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4" l="1"/>
  <c r="D19" i="4" l="1"/>
  <c r="D17" i="4" l="1"/>
  <c r="AB8" i="1" l="1"/>
  <c r="AB9" i="1" s="1"/>
  <c r="AB10" i="1" s="1"/>
  <c r="AB11" i="1" s="1"/>
  <c r="AB12" i="1" s="1"/>
  <c r="AB13" i="1" s="1"/>
  <c r="F11" i="4" l="1"/>
  <c r="B23" i="5" l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B3" i="1"/>
  <c r="AB4" i="1" s="1"/>
  <c r="AB5" i="1" s="1"/>
  <c r="AB6" i="1" s="1"/>
  <c r="AB7" i="1" s="1"/>
  <c r="AB14" i="1" s="1"/>
  <c r="AB17" i="1" s="1"/>
  <c r="AB18" i="1" s="1"/>
  <c r="AB19" i="1" s="1"/>
  <c r="AB20" i="1" s="1"/>
  <c r="AB21" i="1" s="1"/>
  <c r="AB23" i="1" s="1"/>
  <c r="AB24" i="1" s="1"/>
  <c r="AB25" i="1" s="1"/>
  <c r="AB26" i="1" s="1"/>
  <c r="AB27" i="1" s="1"/>
  <c r="AB28" i="1" s="1"/>
  <c r="AB29" i="1" s="1"/>
  <c r="AB30" i="1" s="1"/>
  <c r="Z23" i="1"/>
  <c r="Z24" i="1" s="1"/>
  <c r="Z25" i="1" s="1"/>
  <c r="Z26" i="1" s="1"/>
  <c r="Z27" i="1" s="1"/>
  <c r="Z28" i="1" s="1"/>
  <c r="Z29" i="1" s="1"/>
  <c r="Z30" i="1" s="1"/>
  <c r="X23" i="1"/>
  <c r="X24" i="1" s="1"/>
  <c r="X25" i="1" s="1"/>
  <c r="X26" i="1" s="1"/>
  <c r="X27" i="1" s="1"/>
  <c r="X28" i="1" s="1"/>
  <c r="X29" i="1" s="1"/>
  <c r="X30" i="1" s="1"/>
  <c r="Q5" i="1"/>
  <c r="Q7" i="1" s="1"/>
  <c r="Q8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23" i="1"/>
  <c r="N24" i="1" s="1"/>
  <c r="N25" i="1" s="1"/>
  <c r="N26" i="1" s="1"/>
  <c r="N27" i="1" s="1"/>
  <c r="N28" i="1" s="1"/>
  <c r="N29" i="1" s="1"/>
  <c r="N30" i="1" s="1"/>
  <c r="H23" i="1"/>
  <c r="H24" i="1" s="1"/>
  <c r="H25" i="1" s="1"/>
  <c r="H26" i="1" s="1"/>
  <c r="H27" i="1" s="1"/>
  <c r="H28" i="1" s="1"/>
  <c r="H29" i="1" s="1"/>
  <c r="H30" i="1" s="1"/>
  <c r="E23" i="1"/>
  <c r="E24" i="1" s="1"/>
  <c r="E25" i="1" s="1"/>
  <c r="E26" i="1" s="1"/>
  <c r="E27" i="1" s="1"/>
  <c r="E28" i="1" s="1"/>
  <c r="E29" i="1" s="1"/>
  <c r="E30" i="1" s="1"/>
  <c r="B23" i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4" i="3"/>
  <c r="H23" i="3" s="1"/>
  <c r="H24" i="3" s="1"/>
  <c r="H25" i="3" s="1"/>
  <c r="H26" i="3" s="1"/>
  <c r="H27" i="3" s="1"/>
  <c r="H28" i="3" s="1"/>
  <c r="H29" i="3" s="1"/>
  <c r="H30" i="3" s="1"/>
  <c r="F14" i="3"/>
  <c r="F23" i="3" s="1"/>
  <c r="F24" i="3" s="1"/>
  <c r="F25" i="3" s="1"/>
  <c r="F26" i="3" s="1"/>
  <c r="F27" i="3" s="1"/>
  <c r="F28" i="3" s="1"/>
  <c r="F29" i="3" s="1"/>
  <c r="F30" i="3" s="1"/>
  <c r="D14" i="3"/>
  <c r="D23" i="3" s="1"/>
  <c r="D24" i="3" s="1"/>
  <c r="D25" i="3" s="1"/>
  <c r="D26" i="3" s="1"/>
  <c r="D27" i="3" s="1"/>
  <c r="D28" i="3" s="1"/>
  <c r="D29" i="3" s="1"/>
  <c r="D30" i="3" s="1"/>
  <c r="B23" i="3"/>
  <c r="B24" i="3" s="1"/>
  <c r="B25" i="3" s="1"/>
  <c r="B26" i="3" s="1"/>
  <c r="B27" i="3" s="1"/>
  <c r="B28" i="3" s="1"/>
  <c r="B29" i="3" s="1"/>
  <c r="B30" i="3" s="1"/>
  <c r="J2" i="3"/>
  <c r="K2" i="3" s="1"/>
  <c r="T12" i="2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23" i="2" s="1"/>
  <c r="P24" i="2" s="1"/>
  <c r="P25" i="2" s="1"/>
  <c r="P26" i="2" s="1"/>
  <c r="P27" i="2" s="1"/>
  <c r="P28" i="2" s="1"/>
  <c r="P29" i="2" s="1"/>
  <c r="P30" i="2" s="1"/>
  <c r="N12" i="2"/>
  <c r="N23" i="2" s="1"/>
  <c r="N24" i="2" s="1"/>
  <c r="N25" i="2" s="1"/>
  <c r="N26" i="2" s="1"/>
  <c r="N27" i="2" s="1"/>
  <c r="N28" i="2" s="1"/>
  <c r="N29" i="2" s="1"/>
  <c r="N30" i="2" s="1"/>
  <c r="L12" i="2"/>
  <c r="L23" i="2" s="1"/>
  <c r="L24" i="2" s="1"/>
  <c r="L25" i="2" s="1"/>
  <c r="L26" i="2" s="1"/>
  <c r="L27" i="2" s="1"/>
  <c r="L28" i="2" s="1"/>
  <c r="L29" i="2" s="1"/>
  <c r="L30" i="2" s="1"/>
  <c r="H12" i="2"/>
  <c r="H23" i="2" s="1"/>
  <c r="H24" i="2" s="1"/>
  <c r="H25" i="2" s="1"/>
  <c r="H26" i="2" s="1"/>
  <c r="H27" i="2" s="1"/>
  <c r="H28" i="2" s="1"/>
  <c r="H29" i="2" s="1"/>
  <c r="H30" i="2" s="1"/>
  <c r="F12" i="2"/>
  <c r="F23" i="2" s="1"/>
  <c r="F24" i="2" s="1"/>
  <c r="F25" i="2" s="1"/>
  <c r="F26" i="2" s="1"/>
  <c r="F27" i="2" s="1"/>
  <c r="F28" i="2" s="1"/>
  <c r="F29" i="2" s="1"/>
  <c r="F30" i="2" s="1"/>
  <c r="D12" i="2"/>
  <c r="D23" i="2" s="1"/>
  <c r="D24" i="2" s="1"/>
  <c r="D25" i="2" s="1"/>
  <c r="D26" i="2" s="1"/>
  <c r="D27" i="2" s="1"/>
  <c r="D28" i="2" s="1"/>
  <c r="D29" i="2" s="1"/>
  <c r="D30" i="2" s="1"/>
  <c r="B12" i="2"/>
  <c r="B23" i="2" s="1"/>
  <c r="B24" i="2" s="1"/>
  <c r="B25" i="2" s="1"/>
  <c r="B26" i="2" s="1"/>
  <c r="B27" i="2" s="1"/>
  <c r="B28" i="2" s="1"/>
  <c r="B29" i="2" s="1"/>
  <c r="B30" i="2" s="1"/>
  <c r="V23" i="4"/>
  <c r="V24" i="4" s="1"/>
  <c r="V25" i="4" s="1"/>
  <c r="V26" i="4" s="1"/>
  <c r="V27" i="4" s="1"/>
  <c r="V28" i="4" s="1"/>
  <c r="V29" i="4" s="1"/>
  <c r="V30" i="4" s="1"/>
  <c r="R23" i="4"/>
  <c r="R24" i="4" s="1"/>
  <c r="R25" i="4" s="1"/>
  <c r="R26" i="4" s="1"/>
  <c r="R27" i="4" s="1"/>
  <c r="R28" i="4" s="1"/>
  <c r="R29" i="4" s="1"/>
  <c r="R30" i="4" s="1"/>
  <c r="P23" i="4"/>
  <c r="P24" i="4" s="1"/>
  <c r="P25" i="4" s="1"/>
  <c r="P26" i="4" s="1"/>
  <c r="P27" i="4" s="1"/>
  <c r="P28" i="4" s="1"/>
  <c r="P29" i="4" s="1"/>
  <c r="P30" i="4" s="1"/>
  <c r="N23" i="4"/>
  <c r="N24" i="4" s="1"/>
  <c r="N25" i="4" s="1"/>
  <c r="N26" i="4" s="1"/>
  <c r="N27" i="4" s="1"/>
  <c r="N28" i="4" s="1"/>
  <c r="N29" i="4" s="1"/>
  <c r="N30" i="4" s="1"/>
  <c r="L23" i="4"/>
  <c r="L24" i="4" s="1"/>
  <c r="L25" i="4" s="1"/>
  <c r="L26" i="4" s="1"/>
  <c r="L27" i="4" s="1"/>
  <c r="L28" i="4" s="1"/>
  <c r="L29" i="4" s="1"/>
  <c r="L30" i="4" s="1"/>
  <c r="J23" i="4"/>
  <c r="J24" i="4" s="1"/>
  <c r="J25" i="4" s="1"/>
  <c r="J26" i="4" s="1"/>
  <c r="J27" i="4" s="1"/>
  <c r="J28" i="4" s="1"/>
  <c r="J29" i="4" s="1"/>
  <c r="J30" i="4" s="1"/>
  <c r="G23" i="4"/>
  <c r="G24" i="4" s="1"/>
  <c r="G25" i="4" s="1"/>
  <c r="G26" i="4" s="1"/>
  <c r="G27" i="4" s="1"/>
  <c r="G28" i="4" s="1"/>
  <c r="G29" i="4" s="1"/>
  <c r="G30" i="4" s="1"/>
  <c r="E23" i="4"/>
  <c r="E24" i="4" s="1"/>
  <c r="E25" i="4" s="1"/>
  <c r="E26" i="4" s="1"/>
  <c r="E27" i="4" s="1"/>
  <c r="E28" i="4" s="1"/>
  <c r="E29" i="4" s="1"/>
  <c r="E30" i="4" s="1"/>
  <c r="C6" i="4"/>
  <c r="C7" i="4" s="1"/>
  <c r="C9" i="4" s="1"/>
  <c r="C23" i="4" s="1"/>
  <c r="C24" i="4" s="1"/>
  <c r="C25" i="4" s="1"/>
  <c r="C26" i="4" s="1"/>
  <c r="C27" i="4" s="1"/>
  <c r="C28" i="4" s="1"/>
  <c r="C29" i="4" s="1"/>
  <c r="C30" i="4" s="1"/>
  <c r="I2" i="4"/>
  <c r="AE20" i="1" l="1"/>
  <c r="AG17" i="1"/>
  <c r="T2" i="1"/>
  <c r="U2" i="1" s="1"/>
  <c r="D2" i="1"/>
  <c r="Z2" i="4"/>
  <c r="X2" i="4"/>
  <c r="Y2" i="4" s="1"/>
  <c r="AG18" i="1" l="1"/>
  <c r="AD23" i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3" i="1" l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2" i="2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<sst xmlns="http://schemas.openxmlformats.org/spreadsheetml/2006/main" count="436" uniqueCount="149">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</sst>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53486.054032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37270.139404000001</v>
      </c>
      <c r="F10" s="141">
        <v>1.27</v>
      </c>
      <c r="G10" s="38">
        <f>Gas!C11*0.9147</f>
        <v>2817.2759999999998</v>
      </c>
      <c r="H10" s="142">
        <v>3.65</v>
      </c>
      <c r="I10" s="144">
        <f>Submetering!H10+Submetering!AD10+Submetering!AE10</f>
        <v>666</v>
      </c>
      <c r="J10" s="144">
        <v>10.029999999999999</v>
      </c>
      <c r="K10" s="38">
        <f>ELECT.!B11</f>
        <v>157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43247.953863999996</v>
      </c>
      <c r="F11" s="141">
        <v>1.27</v>
      </c>
      <c r="G11" s="38">
        <f>Gas!C12*0.9147</f>
        <v>2667.2651999999998</v>
      </c>
      <c r="H11" s="142">
        <v>3.65</v>
      </c>
      <c r="I11" s="144">
        <f>Submetering!H11+Submetering!AD11+Submetering!AE11</f>
        <v>676</v>
      </c>
      <c r="J11" s="144">
        <v>10.029999999999999</v>
      </c>
      <c r="K11" s="38">
        <f>ELECT.!B12</f>
        <v>157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58181.171395999998</v>
      </c>
      <c r="F12" s="141">
        <v>1.27</v>
      </c>
      <c r="G12" s="38">
        <f>Gas!C13*0.9147</f>
        <v>2638.9094999999998</v>
      </c>
      <c r="H12" s="142">
        <v>3.65</v>
      </c>
      <c r="I12" s="144">
        <f>Submetering!H12+Submetering!AD12+Submetering!AE12</f>
        <v>676</v>
      </c>
      <c r="J12" s="144">
        <v>10.029999999999999</v>
      </c>
      <c r="K12" s="38">
        <f>ELECT.!B13</f>
        <v>179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36945.725099999996</v>
      </c>
      <c r="F13" s="141">
        <v>1.27</v>
      </c>
      <c r="G13" s="38">
        <f>Gas!C14*0.9147</f>
        <v>3730.1466</v>
      </c>
      <c r="H13" s="142">
        <v>3.65</v>
      </c>
      <c r="I13" s="144">
        <f>Submetering!H13+Submetering!AD13+Submetering!AE13</f>
        <v>465.99999999999994</v>
      </c>
      <c r="J13" s="144">
        <v>10.029999999999999</v>
      </c>
      <c r="K13" s="38">
        <f>ELECT.!B14</f>
        <v>157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53142.257660000003</v>
      </c>
      <c r="F14" s="141">
        <v>1.27</v>
      </c>
      <c r="G14" s="38">
        <f>Gas!C15*0.9147</f>
        <v>2576.7098999999998</v>
      </c>
      <c r="H14" s="142">
        <v>3.65</v>
      </c>
      <c r="I14" s="144">
        <f>Submetering!H14+Submetering!AD14+Submetering!AE14</f>
        <v>706.00000000000011</v>
      </c>
      <c r="J14" s="144">
        <v>10.029999999999999</v>
      </c>
      <c r="K14" s="38">
        <f>ELECT.!B15</f>
        <v>216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44443.869112</v>
      </c>
      <c r="F15" s="141">
        <v>1.27</v>
      </c>
      <c r="G15" s="38">
        <f>Gas!C16*0.9147</f>
        <v>3578.3063999999999</v>
      </c>
      <c r="H15" s="142">
        <v>3.65</v>
      </c>
      <c r="I15" s="144">
        <f>Submetering!H15+Submetering!AD15+Submetering!AE15</f>
        <v>636</v>
      </c>
      <c r="J15" s="144">
        <v>10.029999999999999</v>
      </c>
      <c r="K15" s="38">
        <f>ELECT.!B16</f>
        <v>240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35733.904464000007</v>
      </c>
      <c r="F16" s="141">
        <v>1.27</v>
      </c>
      <c r="G16" s="38">
        <f>Gas!C17*0.9147</f>
        <v>2518.1691000000001</v>
      </c>
      <c r="H16" s="142">
        <v>3.65</v>
      </c>
      <c r="I16" s="144">
        <f>Submetering!H16+Submetering!AD16+Submetering!AE16</f>
        <v>696.00000000000011</v>
      </c>
      <c r="J16" s="144">
        <v>10.029999999999999</v>
      </c>
      <c r="K16" s="38">
        <f>ELECT.!B17</f>
        <v>297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48600.855323999996</v>
      </c>
      <c r="F17" s="141">
        <v>1.27</v>
      </c>
      <c r="G17" s="38">
        <f>Gas!C18*0.9147</f>
        <v>1985.8136999999999</v>
      </c>
      <c r="H17" s="142">
        <v>3.65</v>
      </c>
      <c r="I17" s="144">
        <f>Submetering!H17+Submetering!AD17+Submetering!AE17</f>
        <v>656</v>
      </c>
      <c r="J17" s="144">
        <v>10.029999999999999</v>
      </c>
      <c r="K17" s="38">
        <f>ELECT.!B18</f>
        <v>288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46745.447851999998</v>
      </c>
      <c r="F18" s="141">
        <v>1.27</v>
      </c>
      <c r="G18" s="38">
        <f>Gas!C19*0.9147</f>
        <v>2313.2763</v>
      </c>
      <c r="H18" s="142">
        <v>3.65</v>
      </c>
      <c r="I18" s="144">
        <f>Submetering!H18+Submetering!AD18+Submetering!AE18</f>
        <v>656</v>
      </c>
      <c r="J18" s="144">
        <v>10.029999999999999</v>
      </c>
      <c r="K18" s="38">
        <f>ELECT.!B19</f>
        <v>315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43089.181576000003</v>
      </c>
      <c r="F19" s="141">
        <v>1.27</v>
      </c>
      <c r="G19" s="38">
        <f>Gas!C20*0.9147</f>
        <v>2945.3339999999998</v>
      </c>
      <c r="H19" s="142">
        <v>3.65</v>
      </c>
      <c r="I19" s="144">
        <f>Submetering!H19+Submetering!AD19+Submetering!AE19</f>
        <v>636</v>
      </c>
      <c r="J19" s="144">
        <v>10.029999999999999</v>
      </c>
      <c r="K19" s="38">
        <f>ELECT.!B20</f>
        <v>320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34595.403323999999</v>
      </c>
      <c r="F20" s="141">
        <v>1.27</v>
      </c>
      <c r="G20" s="38">
        <f>Gas!C21*0.9147</f>
        <v>2799.8966999999998</v>
      </c>
      <c r="H20" s="142">
        <v>3.65</v>
      </c>
      <c r="I20" s="144">
        <f>Submetering!H20+Submetering!AD20+Submetering!AE20</f>
        <v>666</v>
      </c>
      <c r="J20" s="144">
        <v>10.029999999999999</v>
      </c>
      <c r="K20" s="38">
        <f>ELECT.!B21</f>
        <v>306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48164.175428000002</v>
      </c>
      <c r="F21" s="141">
        <v>1.27</v>
      </c>
      <c r="G21" s="38">
        <f>Gas!C22*0.9147</f>
        <v>2852.9492999999998</v>
      </c>
      <c r="H21" s="142">
        <v>3.65</v>
      </c>
      <c r="I21" s="144">
        <f>Submetering!H21+Submetering!AD21+Submetering!AE21</f>
        <v>676</v>
      </c>
      <c r="J21" s="144">
        <v>10.029999999999999</v>
      </c>
      <c r="K21" s="38">
        <f>ELECT.!B22</f>
        <v>210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320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860</v>
      </c>
      <c r="F10" s="38">
        <f>Water!E11</f>
        <v>480</v>
      </c>
      <c r="G10" s="38">
        <f>Water!G11</f>
        <v>245.7</v>
      </c>
      <c r="H10" s="38">
        <f>Water!I11</f>
        <v>6.5880000000000001</v>
      </c>
      <c r="I10" s="38">
        <f>ELECT.!F11</f>
        <v>9328</v>
      </c>
      <c r="J10" s="38">
        <f>ELECT.!H11</f>
        <v>31822</v>
      </c>
      <c r="K10" s="38">
        <f>ELECT.!K11</f>
        <v>7854</v>
      </c>
      <c r="L10" s="38">
        <f>ELECT.!M11</f>
        <v>4757</v>
      </c>
      <c r="M10" s="38">
        <f>ELECT.!O11</f>
        <v>4436</v>
      </c>
      <c r="N10" s="38">
        <f>ELECT.!Q11</f>
        <v>2077</v>
      </c>
      <c r="O10" s="38">
        <f>ELECT.!S11</f>
        <v>8385</v>
      </c>
      <c r="P10" s="38">
        <f>ELECT.!W11*2</f>
        <v>16496</v>
      </c>
      <c r="Q10" s="38">
        <f>ELECT.!D11</f>
        <v>480</v>
      </c>
      <c r="R10" s="39">
        <f>BTU!C11</f>
        <v>2.8159999999988941</v>
      </c>
      <c r="S10" s="39">
        <f>BTU!F11</f>
        <v>0.72000000000025466</v>
      </c>
      <c r="T10" s="39">
        <f>BTU!I11</f>
        <v>4</v>
      </c>
      <c r="U10" s="39">
        <f>BTU!O11</f>
        <v>1.0460000000002765</v>
      </c>
      <c r="V10" s="39">
        <f>BTU!L11</f>
        <v>0</v>
      </c>
      <c r="W10" s="39">
        <f>BTU!R11</f>
        <v>1.0000000000218279E-2</v>
      </c>
      <c r="X10" s="36">
        <f>ELECT.!B11</f>
        <v>157</v>
      </c>
      <c r="Y10" s="36">
        <f t="shared" si="0"/>
        <v>-2855</v>
      </c>
      <c r="Z10">
        <f>'Mall, Citadel, Rotana'!C11+'Mall, Citadel, Rotana'!E11+'Mall, Citadel, Rotana'!G11+'Mall, Citadel, Rotana'!I11</f>
        <v>2731</v>
      </c>
      <c r="AA10">
        <f>'Mall, Citadel, Rotana'!K11+'Mall, Citadel, Rotana'!M11</f>
        <v>640</v>
      </c>
      <c r="AB10">
        <f>'Mall, Citadel, Rotana'!O11</f>
        <v>237</v>
      </c>
      <c r="AC10">
        <f>'Mall, Citadel, Rotana'!Q11+'Mall, Citadel, Rotana'!S11</f>
        <v>0</v>
      </c>
      <c r="AD10" s="36">
        <f t="shared" si="1"/>
        <v>86.910501600000003</v>
      </c>
      <c r="AE10" s="36">
        <f t="shared" si="2"/>
        <v>572.50149840000006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870</v>
      </c>
      <c r="F11" s="38">
        <f>Water!E12</f>
        <v>480</v>
      </c>
      <c r="G11" s="38">
        <f>Water!G12</f>
        <v>297</v>
      </c>
      <c r="H11" s="38">
        <f>Water!I12</f>
        <v>5.3460000000000001</v>
      </c>
      <c r="I11" s="38">
        <f>ELECT.!F12</f>
        <v>9694</v>
      </c>
      <c r="J11" s="38">
        <f>ELECT.!H12</f>
        <v>33873</v>
      </c>
      <c r="K11" s="38">
        <f>ELECT.!K12</f>
        <v>8272</v>
      </c>
      <c r="L11" s="38">
        <f>ELECT.!M12</f>
        <v>4834</v>
      </c>
      <c r="M11" s="38">
        <f>ELECT.!O12</f>
        <v>4726</v>
      </c>
      <c r="N11" s="38">
        <f>ELECT.!Q12</f>
        <v>2225</v>
      </c>
      <c r="O11" s="38">
        <f>ELECT.!S12</f>
        <v>9098</v>
      </c>
      <c r="P11" s="38">
        <f>ELECT.!W12*2</f>
        <v>17448</v>
      </c>
      <c r="Q11" s="38">
        <f>ELECT.!D12</f>
        <v>320</v>
      </c>
      <c r="R11" s="39">
        <f>BTU!C12</f>
        <v>2.0700000000033469</v>
      </c>
      <c r="S11" s="39">
        <f>BTU!F12</f>
        <v>0.45200000000022555</v>
      </c>
      <c r="T11" s="39">
        <f>BTU!I12</f>
        <v>5</v>
      </c>
      <c r="U11" s="39">
        <f>BTU!O12</f>
        <v>0.95799999999962893</v>
      </c>
      <c r="V11" s="39">
        <f>BTU!L12</f>
        <v>0</v>
      </c>
      <c r="W11" s="39">
        <f>BTU!R12</f>
        <v>0</v>
      </c>
      <c r="X11" s="36">
        <f>ELECT.!B12</f>
        <v>157</v>
      </c>
      <c r="Y11" s="36">
        <f t="shared" si="0"/>
        <v>-3036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88.392197199999998</v>
      </c>
      <c r="AE11" s="36">
        <f t="shared" si="2"/>
        <v>582.26180279999994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870</v>
      </c>
      <c r="F12" s="38">
        <f>Water!E13</f>
        <v>480</v>
      </c>
      <c r="G12" s="38">
        <f>Water!G13</f>
        <v>297</v>
      </c>
      <c r="H12" s="38">
        <f>Water!I13</f>
        <v>5.3460000000000001</v>
      </c>
      <c r="I12" s="38">
        <f>ELECT.!F13</f>
        <v>12940</v>
      </c>
      <c r="J12" s="38">
        <f>ELECT.!H13</f>
        <v>47413</v>
      </c>
      <c r="K12" s="38">
        <f>ELECT.!K13</f>
        <v>8686</v>
      </c>
      <c r="L12" s="38">
        <f>ELECT.!M13</f>
        <v>6263</v>
      </c>
      <c r="M12" s="38">
        <f>ELECT.!O13</f>
        <v>6510</v>
      </c>
      <c r="N12" s="38">
        <f>ELECT.!Q13</f>
        <v>3188</v>
      </c>
      <c r="O12" s="38">
        <f>ELECT.!S13</f>
        <v>12873</v>
      </c>
      <c r="P12" s="38">
        <f>ELECT.!W13*2</f>
        <v>24846</v>
      </c>
      <c r="Q12" s="38">
        <f>ELECT.!D13</f>
        <v>320</v>
      </c>
      <c r="R12" s="39">
        <f>BTU!C13</f>
        <v>2.1979999999966822</v>
      </c>
      <c r="S12" s="39">
        <f>BTU!F13</f>
        <v>0.33599999999933061</v>
      </c>
      <c r="T12" s="39">
        <f>BTU!I13</f>
        <v>4</v>
      </c>
      <c r="U12" s="39">
        <f>BTU!O13</f>
        <v>1.0160000000000764</v>
      </c>
      <c r="V12" s="39">
        <f>BTU!L13</f>
        <v>0</v>
      </c>
      <c r="W12" s="39">
        <f>BTU!R13</f>
        <v>0</v>
      </c>
      <c r="X12" s="36">
        <f>ELECT.!B13</f>
        <v>179</v>
      </c>
      <c r="Y12" s="36">
        <f t="shared" si="0"/>
        <v>-2013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320</v>
      </c>
      <c r="AB12">
        <f>'Mall, Citadel, Rotana'!O13</f>
        <v>91</v>
      </c>
      <c r="AC12">
        <f>'Mall, Citadel, Rotana'!Q13+'Mall, Citadel, Rotana'!S13</f>
        <v>0</v>
      </c>
      <c r="AD12" s="36">
        <f t="shared" si="1"/>
        <v>88.392197199999998</v>
      </c>
      <c r="AE12" s="36">
        <f t="shared" si="2"/>
        <v>582.26180279999994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660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9207</v>
      </c>
      <c r="J13" s="38">
        <f>ELECT.!H14</f>
        <v>29749</v>
      </c>
      <c r="K13" s="38">
        <f>ELECT.!K14</f>
        <v>8490</v>
      </c>
      <c r="L13" s="38">
        <f>ELECT.!M14</f>
        <v>4256</v>
      </c>
      <c r="M13" s="38">
        <f>ELECT.!O14</f>
        <v>4832</v>
      </c>
      <c r="N13" s="38">
        <f>ELECT.!Q14</f>
        <v>2052</v>
      </c>
      <c r="O13" s="38">
        <f>ELECT.!S14</f>
        <v>8195</v>
      </c>
      <c r="P13" s="38">
        <f>ELECT.!W14*2</f>
        <v>15330</v>
      </c>
      <c r="Q13" s="38">
        <f>ELECT.!D14</f>
        <v>320</v>
      </c>
      <c r="R13" s="39">
        <f>BTU!C14</f>
        <v>2.2040000000015425</v>
      </c>
      <c r="S13" s="39">
        <f>BTU!F14</f>
        <v>0.36599999999998545</v>
      </c>
      <c r="T13" s="39">
        <f>BTU!I14</f>
        <v>5</v>
      </c>
      <c r="U13" s="39">
        <f>BTU!O14</f>
        <v>1.0640000000003056</v>
      </c>
      <c r="V13" s="39">
        <f>BTU!L14</f>
        <v>0</v>
      </c>
      <c r="W13" s="39">
        <f>BTU!R14</f>
        <v>0</v>
      </c>
      <c r="X13" s="36">
        <f>ELECT.!B14</f>
        <v>157</v>
      </c>
      <c r="Y13" s="36">
        <f t="shared" si="0"/>
        <v>-4199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320</v>
      </c>
      <c r="AB13">
        <f>'Mall, Citadel, Rotana'!O14</f>
        <v>82</v>
      </c>
      <c r="AC13">
        <f>'Mall, Citadel, Rotana'!Q14+'Mall, Citadel, Rotana'!S14</f>
        <v>0</v>
      </c>
      <c r="AD13" s="36">
        <f t="shared" si="1"/>
        <v>61.418799999999997</v>
      </c>
      <c r="AE13" s="36">
        <f t="shared" si="2"/>
        <v>404.58119999999997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900</v>
      </c>
      <c r="F14" s="38">
        <f>Water!E15</f>
        <v>790</v>
      </c>
      <c r="G14" s="38">
        <f>Water!G15</f>
        <v>494.1</v>
      </c>
      <c r="H14" s="38">
        <f>Water!I15</f>
        <v>10.179</v>
      </c>
      <c r="I14" s="38">
        <f>ELECT.!F15</f>
        <v>9039</v>
      </c>
      <c r="J14" s="38">
        <f>ELECT.!H15</f>
        <v>46296</v>
      </c>
      <c r="K14" s="38">
        <f>ELECT.!K15</f>
        <v>10476</v>
      </c>
      <c r="L14" s="38">
        <f>ELECT.!M15</f>
        <v>5643</v>
      </c>
      <c r="M14" s="38">
        <f>ELECT.!O15</f>
        <v>3264</v>
      </c>
      <c r="N14" s="38">
        <f>ELECT.!Q15</f>
        <v>5170</v>
      </c>
      <c r="O14" s="38">
        <f>ELECT.!S15</f>
        <v>11453</v>
      </c>
      <c r="P14" s="38">
        <f>ELECT.!W15*2</f>
        <v>23212</v>
      </c>
      <c r="Q14" s="38">
        <f>ELECT.!D15</f>
        <v>480</v>
      </c>
      <c r="R14" s="39">
        <f>BTU!C15</f>
        <v>2.9799999999995634</v>
      </c>
      <c r="S14" s="39">
        <f>BTU!F15</f>
        <v>0.73400000000037835</v>
      </c>
      <c r="T14" s="39">
        <f>BTU!I15</f>
        <v>6</v>
      </c>
      <c r="U14" s="39">
        <f>BTU!O15</f>
        <v>1.5179999999995744</v>
      </c>
      <c r="V14" s="39">
        <f>BTU!L15</f>
        <v>0</v>
      </c>
      <c r="W14" s="39">
        <f>BTU!R15</f>
        <v>0</v>
      </c>
      <c r="X14" s="36">
        <f>ELECT.!B15</f>
        <v>216</v>
      </c>
      <c r="Y14" s="36">
        <f t="shared" si="0"/>
        <v>-3883</v>
      </c>
      <c r="Z14">
        <f>'Mall, Citadel, Rotana'!C15+'Mall, Citadel, Rotana'!E15+'Mall, Citadel, Rotana'!G15+'Mall, Citadel, Rotana'!I15</f>
        <v>1216</v>
      </c>
      <c r="AA14">
        <f>'Mall, Citadel, Rotana'!K15+'Mall, Citadel, Rotana'!M15</f>
        <v>480</v>
      </c>
      <c r="AB14">
        <f>'Mall, Citadel, Rotana'!O15</f>
        <v>108</v>
      </c>
      <c r="AC14">
        <f>'Mall, Citadel, Rotana'!Q15+'Mall, Citadel, Rotana'!S15</f>
        <v>0</v>
      </c>
      <c r="AD14" s="36">
        <f t="shared" si="1"/>
        <v>91.709207800000001</v>
      </c>
      <c r="AE14" s="36">
        <f t="shared" si="2"/>
        <v>604.11179220000008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830</v>
      </c>
      <c r="F15" s="38">
        <f>Water!E16</f>
        <v>440</v>
      </c>
      <c r="G15" s="38">
        <f>Water!G16</f>
        <v>278.10000000000002</v>
      </c>
      <c r="H15" s="38">
        <f>Water!I16</f>
        <v>6.2640000000000002</v>
      </c>
      <c r="I15" s="38">
        <f>ELECT.!F16</f>
        <v>12286</v>
      </c>
      <c r="J15" s="38">
        <f>ELECT.!H16</f>
        <v>33896</v>
      </c>
      <c r="K15" s="38">
        <f>ELECT.!K16</f>
        <v>31340</v>
      </c>
      <c r="L15" s="38">
        <f>ELECT.!M16</f>
        <v>5958</v>
      </c>
      <c r="M15" s="38">
        <f>ELECT.!O16</f>
        <v>6076</v>
      </c>
      <c r="N15" s="38">
        <f>ELECT.!Q16</f>
        <v>4006</v>
      </c>
      <c r="O15" s="38">
        <f>ELECT.!S16</f>
        <v>8432</v>
      </c>
      <c r="P15" s="38">
        <f>ELECT.!W16*2</f>
        <v>16786</v>
      </c>
      <c r="Q15" s="38">
        <f>ELECT.!D16</f>
        <v>480</v>
      </c>
      <c r="R15" s="39">
        <f>BTU!C16</f>
        <v>1.647000000000844</v>
      </c>
      <c r="S15" s="39">
        <f>BTU!F16</f>
        <v>0.54799999999977445</v>
      </c>
      <c r="T15" s="39">
        <f>BTU!I16</f>
        <v>4</v>
      </c>
      <c r="U15" s="39">
        <f>BTU!O16</f>
        <v>0.71100000000024011</v>
      </c>
      <c r="V15" s="39">
        <f>BTU!L16</f>
        <v>0</v>
      </c>
      <c r="W15" s="39">
        <f>BTU!R16</f>
        <v>0</v>
      </c>
      <c r="X15" s="36">
        <f>ELECT.!B16</f>
        <v>240</v>
      </c>
      <c r="Y15" s="36">
        <f t="shared" si="0"/>
        <v>-26416</v>
      </c>
      <c r="Z15">
        <f>'Mall, Citadel, Rotana'!C16+'Mall, Citadel, Rotana'!E16+'Mall, Citadel, Rotana'!G16+'Mall, Citadel, Rotana'!I16</f>
        <v>1373</v>
      </c>
      <c r="AA15">
        <f>'Mall, Citadel, Rotana'!K16+'Mall, Citadel, Rotana'!M16</f>
        <v>640</v>
      </c>
      <c r="AB15">
        <f>'Mall, Citadel, Rotana'!O16</f>
        <v>114</v>
      </c>
      <c r="AC15">
        <f>'Mall, Citadel, Rotana'!Q16+'Mall, Citadel, Rotana'!S16</f>
        <v>0</v>
      </c>
      <c r="AD15" s="36">
        <f t="shared" si="1"/>
        <v>82.999204800000001</v>
      </c>
      <c r="AE15" s="36">
        <f t="shared" si="2"/>
        <v>546.73679519999996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890</v>
      </c>
      <c r="F16" s="38">
        <f>Water!E17</f>
        <v>520</v>
      </c>
      <c r="G16" s="38">
        <f>Water!G17</f>
        <v>270</v>
      </c>
      <c r="H16" s="38">
        <f>Water!I17</f>
        <v>4.968</v>
      </c>
      <c r="I16" s="38">
        <f>ELECT.!F17</f>
        <v>8535</v>
      </c>
      <c r="J16" s="38">
        <f>ELECT.!H17</f>
        <v>29682</v>
      </c>
      <c r="K16" s="38">
        <f>ELECT.!K17</f>
        <v>3820</v>
      </c>
      <c r="L16" s="38">
        <f>ELECT.!M17</f>
        <v>4407</v>
      </c>
      <c r="M16" s="38">
        <f>ELECT.!O17</f>
        <v>4128</v>
      </c>
      <c r="N16" s="38">
        <f>ELECT.!Q17</f>
        <v>1784</v>
      </c>
      <c r="O16" s="38">
        <f>ELECT.!S17</f>
        <v>7696</v>
      </c>
      <c r="P16" s="38">
        <f>ELECT.!W17*2</f>
        <v>15700</v>
      </c>
      <c r="Q16" s="38">
        <f>ELECT.!D17</f>
        <v>480</v>
      </c>
      <c r="R16" s="39">
        <f>BTU!C17</f>
        <v>2.0119999999988067</v>
      </c>
      <c r="S16" s="39">
        <f>BTU!F17</f>
        <v>0.59500000000025466</v>
      </c>
      <c r="T16" s="39">
        <f>BTU!I17</f>
        <v>5</v>
      </c>
      <c r="U16" s="39">
        <f>BTU!O17</f>
        <v>0.11000000000012733</v>
      </c>
      <c r="V16" s="39">
        <f>BTU!L17</f>
        <v>0</v>
      </c>
      <c r="W16" s="39">
        <f>BTU!R17</f>
        <v>0</v>
      </c>
      <c r="X16" s="36">
        <f>ELECT.!B17</f>
        <v>297</v>
      </c>
      <c r="Y16" s="36">
        <f t="shared" si="0"/>
        <v>682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640</v>
      </c>
      <c r="AB16">
        <f>'Mall, Citadel, Rotana'!O17</f>
        <v>115</v>
      </c>
      <c r="AC16">
        <f>'Mall, Citadel, Rotana'!Q17+'Mall, Citadel, Rotana'!S17</f>
        <v>0</v>
      </c>
      <c r="AD16" s="36">
        <f t="shared" si="1"/>
        <v>91.07801760000001</v>
      </c>
      <c r="AE16" s="36">
        <f t="shared" si="2"/>
        <v>599.95398240000009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850</v>
      </c>
      <c r="F17" s="38">
        <f>Water!E18</f>
        <v>430</v>
      </c>
      <c r="G17" s="38">
        <f>Water!G18</f>
        <v>234.9</v>
      </c>
      <c r="H17" s="38">
        <f>Water!I18</f>
        <v>5.2919999999999998</v>
      </c>
      <c r="I17" s="38">
        <f>ELECT.!F18</f>
        <v>11292</v>
      </c>
      <c r="J17" s="38">
        <f>ELECT.!H18</f>
        <v>39882</v>
      </c>
      <c r="K17" s="38">
        <f>ELECT.!K18</f>
        <v>7600</v>
      </c>
      <c r="L17" s="38">
        <f>ELECT.!M18</f>
        <v>5813</v>
      </c>
      <c r="M17" s="38">
        <f>ELECT.!O18</f>
        <v>5204</v>
      </c>
      <c r="N17" s="38">
        <f>ELECT.!Q18</f>
        <v>2364</v>
      </c>
      <c r="O17" s="38">
        <f>ELECT.!S18</f>
        <v>10071</v>
      </c>
      <c r="P17" s="38">
        <f>ELECT.!W18*2</f>
        <v>21790</v>
      </c>
      <c r="Q17" s="38">
        <f>ELECT.!D18</f>
        <v>160</v>
      </c>
      <c r="R17" s="39">
        <f>BTU!C18</f>
        <v>2.0750000000007276</v>
      </c>
      <c r="S17" s="39">
        <f>BTU!F18</f>
        <v>0.85599999999976717</v>
      </c>
      <c r="T17" s="39">
        <f>BTU!I18</f>
        <v>5</v>
      </c>
      <c r="U17" s="39">
        <f>BTU!O18</f>
        <v>2.1859999999996944</v>
      </c>
      <c r="V17" s="39">
        <f>BTU!L18</f>
        <v>0</v>
      </c>
      <c r="W17" s="39">
        <f>BTU!R18</f>
        <v>0</v>
      </c>
      <c r="X17" s="36">
        <f>ELECT.!B18</f>
        <v>288</v>
      </c>
      <c r="Y17" s="36">
        <f t="shared" si="0"/>
        <v>-1668</v>
      </c>
      <c r="Z17">
        <f>'Mall, Citadel, Rotana'!C18+'Mall, Citadel, Rotana'!E18+'Mall, Citadel, Rotana'!G18+'Mall, Citadel, Rotana'!I18</f>
        <v>1516</v>
      </c>
      <c r="AA17">
        <f>'Mall, Citadel, Rotana'!K18+'Mall, Citadel, Rotana'!M18</f>
        <v>480</v>
      </c>
      <c r="AB17">
        <f>'Mall, Citadel, Rotana'!O18</f>
        <v>121</v>
      </c>
      <c r="AC17">
        <f>'Mall, Citadel, Rotana'!Q18+'Mall, Citadel, Rotana'!S18</f>
        <v>0</v>
      </c>
      <c r="AD17" s="36">
        <f t="shared" si="1"/>
        <v>85.763314399999999</v>
      </c>
      <c r="AE17" s="36">
        <f t="shared" si="2"/>
        <v>564.94468559999996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850</v>
      </c>
      <c r="F18" s="38">
        <f>Water!E19</f>
        <v>430</v>
      </c>
      <c r="G18" s="38">
        <f>Water!G19</f>
        <v>234.9</v>
      </c>
      <c r="H18" s="38">
        <f>Water!I19</f>
        <v>5.2919999999999998</v>
      </c>
      <c r="I18" s="38">
        <f>ELECT.!F19</f>
        <v>11298</v>
      </c>
      <c r="J18" s="38">
        <f>ELECT.!H19</f>
        <v>39936</v>
      </c>
      <c r="K18" s="38">
        <f>ELECT.!K19</f>
        <v>0</v>
      </c>
      <c r="L18" s="38">
        <f>ELECT.!M19</f>
        <v>5433</v>
      </c>
      <c r="M18" s="38">
        <f>ELECT.!O19</f>
        <v>5732</v>
      </c>
      <c r="N18" s="38">
        <f>ELECT.!Q19</f>
        <v>2396</v>
      </c>
      <c r="O18" s="38">
        <f>ELECT.!S19</f>
        <v>9807</v>
      </c>
      <c r="P18" s="38">
        <f>ELECT.!W19*2</f>
        <v>21746</v>
      </c>
      <c r="Q18" s="38">
        <f>ELECT.!D19</f>
        <v>160</v>
      </c>
      <c r="R18" s="39">
        <f>BTU!C19</f>
        <v>2.3060000000004948</v>
      </c>
      <c r="S18" s="39">
        <f>BTU!F19</f>
        <v>0.83300000000053842</v>
      </c>
      <c r="T18" s="39">
        <f>BTU!I19</f>
        <v>5</v>
      </c>
      <c r="U18" s="39">
        <f>BTU!O19</f>
        <v>1.3279999999999745</v>
      </c>
      <c r="V18" s="39">
        <f>BTU!L19</f>
        <v>0</v>
      </c>
      <c r="W18" s="39">
        <f>BTU!R19</f>
        <v>0</v>
      </c>
      <c r="X18" s="36">
        <f>ELECT.!B19</f>
        <v>315</v>
      </c>
      <c r="Y18" s="36">
        <f t="shared" si="0"/>
        <v>6120</v>
      </c>
      <c r="Z18">
        <f>'Mall, Citadel, Rotana'!C19+'Mall, Citadel, Rotana'!E19+'Mall, Citadel, Rotana'!G19+'Mall, Citadel, Rotana'!I19</f>
        <v>1218</v>
      </c>
      <c r="AA18">
        <f>'Mall, Citadel, Rotana'!K19+'Mall, Citadel, Rotana'!M19</f>
        <v>640</v>
      </c>
      <c r="AB18">
        <f>'Mall, Citadel, Rotana'!O19</f>
        <v>108</v>
      </c>
      <c r="AC18">
        <f>'Mall, Citadel, Rotana'!Q19+'Mall, Citadel, Rotana'!S19</f>
        <v>1792</v>
      </c>
      <c r="AD18" s="36">
        <f t="shared" si="1"/>
        <v>85.763314399999999</v>
      </c>
      <c r="AE18" s="36">
        <f t="shared" si="2"/>
        <v>564.94468559999996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830</v>
      </c>
      <c r="F19" s="38">
        <f>Water!E20</f>
        <v>440</v>
      </c>
      <c r="G19" s="38">
        <f>Water!G20</f>
        <v>383.4</v>
      </c>
      <c r="H19" s="38">
        <f>Water!I20</f>
        <v>4.8330000000000002</v>
      </c>
      <c r="I19" s="38">
        <f>ELECT.!F20</f>
        <v>9801</v>
      </c>
      <c r="J19" s="38">
        <f>ELECT.!H20</f>
        <v>35752</v>
      </c>
      <c r="K19" s="38">
        <f>ELECT.!K20</f>
        <v>1366</v>
      </c>
      <c r="L19" s="38">
        <f>ELECT.!M20</f>
        <v>4779</v>
      </c>
      <c r="M19" s="38">
        <f>ELECT.!O20</f>
        <v>4884</v>
      </c>
      <c r="N19" s="38">
        <f>ELECT.!Q20</f>
        <v>2161</v>
      </c>
      <c r="O19" s="38">
        <f>ELECT.!S20</f>
        <v>8886</v>
      </c>
      <c r="P19" s="38">
        <f>ELECT.!W20*2</f>
        <v>19928</v>
      </c>
      <c r="Q19" s="38">
        <f>ELECT.!D20</f>
        <v>160</v>
      </c>
      <c r="R19" s="39">
        <f>BTU!C20</f>
        <v>2.1039999999993597</v>
      </c>
      <c r="S19" s="39">
        <f>BTU!F20</f>
        <v>0.4749999999994543</v>
      </c>
      <c r="T19" s="39">
        <f>BTU!I20</f>
        <v>5</v>
      </c>
      <c r="U19" s="39">
        <f>BTU!O20</f>
        <v>1.2609999999999673</v>
      </c>
      <c r="V19" s="39">
        <f>BTU!L20</f>
        <v>0</v>
      </c>
      <c r="W19" s="39">
        <f>BTU!R20</f>
        <v>0</v>
      </c>
      <c r="X19" s="36">
        <f>ELECT.!B20</f>
        <v>320</v>
      </c>
      <c r="Y19" s="36">
        <f t="shared" si="0"/>
        <v>3549</v>
      </c>
      <c r="Z19">
        <f>'Mall, Citadel, Rotana'!C20+'Mall, Citadel, Rotana'!E20+'Mall, Citadel, Rotana'!G20+'Mall, Citadel, Rotana'!I20</f>
        <v>1373</v>
      </c>
      <c r="AA19">
        <f>'Mall, Citadel, Rotana'!K20+'Mall, Citadel, Rotana'!M20</f>
        <v>320</v>
      </c>
      <c r="AB19">
        <f>'Mall, Citadel, Rotana'!O20</f>
        <v>71</v>
      </c>
      <c r="AC19">
        <f>'Mall, Citadel, Rotana'!Q20+'Mall, Citadel, Rotana'!S20</f>
        <v>115</v>
      </c>
      <c r="AD19" s="36">
        <f t="shared" si="1"/>
        <v>83.187810600000006</v>
      </c>
      <c r="AE19" s="36">
        <f t="shared" si="2"/>
        <v>547.9791894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860</v>
      </c>
      <c r="F20" s="38">
        <f>Water!E21</f>
        <v>450</v>
      </c>
      <c r="G20" s="38">
        <f>Water!G21</f>
        <v>272.7</v>
      </c>
      <c r="H20" s="38">
        <f>Water!I21</f>
        <v>4.9409999999999998</v>
      </c>
      <c r="I20" s="38">
        <f>ELECT.!F21</f>
        <v>7754</v>
      </c>
      <c r="J20" s="38">
        <f>ELECT.!H21</f>
        <v>29174</v>
      </c>
      <c r="K20" s="38">
        <f>ELECT.!K21</f>
        <v>6750</v>
      </c>
      <c r="L20" s="38">
        <f>ELECT.!M21</f>
        <v>3952</v>
      </c>
      <c r="M20" s="38">
        <f>ELECT.!O21</f>
        <v>3688</v>
      </c>
      <c r="N20" s="38">
        <f>ELECT.!Q21</f>
        <v>1754</v>
      </c>
      <c r="O20" s="38">
        <f>ELECT.!S21</f>
        <v>7025</v>
      </c>
      <c r="P20" s="38">
        <f>ELECT.!W21*2</f>
        <v>16336</v>
      </c>
      <c r="Q20" s="38">
        <f>ELECT.!D21</f>
        <v>160</v>
      </c>
      <c r="R20" s="39">
        <f>BTU!C21</f>
        <v>2.3869999999988067</v>
      </c>
      <c r="S20" s="39">
        <f>BTU!F21</f>
        <v>0.5180000000000291</v>
      </c>
      <c r="T20" s="39">
        <f>BTU!I21</f>
        <v>5</v>
      </c>
      <c r="U20" s="39">
        <f>BTU!O21</f>
        <v>1.512000000000171</v>
      </c>
      <c r="V20" s="39">
        <f>BTU!L21</f>
        <v>0</v>
      </c>
      <c r="W20" s="39">
        <f>BTU!R21</f>
        <v>0</v>
      </c>
      <c r="X20" s="36">
        <f>ELECT.!B21</f>
        <v>306</v>
      </c>
      <c r="Y20" s="36">
        <f t="shared" si="0"/>
        <v>-2577</v>
      </c>
      <c r="Z20">
        <f>'Mall, Citadel, Rotana'!C21+'Mall, Citadel, Rotana'!E21+'Mall, Citadel, Rotana'!G21+'Mall, Citadel, Rotana'!I21</f>
        <v>1354</v>
      </c>
      <c r="AA20">
        <f>'Mall, Citadel, Rotana'!K21+'Mall, Citadel, Rotana'!M21</f>
        <v>480</v>
      </c>
      <c r="AB20">
        <f>'Mall, Citadel, Rotana'!O21</f>
        <v>99</v>
      </c>
      <c r="AC20">
        <f>'Mall, Citadel, Rotana'!Q21+'Mall, Citadel, Rotana'!S21</f>
        <v>120</v>
      </c>
      <c r="AD20" s="36">
        <f t="shared" si="1"/>
        <v>87.127576199999993</v>
      </c>
      <c r="AE20" s="36">
        <f t="shared" si="2"/>
        <v>573.93142379999995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870</v>
      </c>
      <c r="F21" s="38">
        <f>Water!E22</f>
        <v>410</v>
      </c>
      <c r="G21" s="38">
        <f>Water!G22</f>
        <v>280.8</v>
      </c>
      <c r="H21" s="38">
        <f>Water!I22</f>
        <v>5.0759999999999996</v>
      </c>
      <c r="I21" s="38">
        <f>ELECT.!F22</f>
        <v>11035</v>
      </c>
      <c r="J21" s="38">
        <f>ELECT.!H22</f>
        <v>39361</v>
      </c>
      <c r="K21" s="38">
        <f>ELECT.!K22</f>
        <v>9874</v>
      </c>
      <c r="L21" s="38">
        <f>ELECT.!M22</f>
        <v>5744</v>
      </c>
      <c r="M21" s="38">
        <f>ELECT.!O22</f>
        <v>5144</v>
      </c>
      <c r="N21" s="38">
        <f>ELECT.!Q22</f>
        <v>5329</v>
      </c>
      <c r="O21" s="38">
        <f>ELECT.!S22</f>
        <v>10269</v>
      </c>
      <c r="P21" s="38">
        <f>ELECT.!W22*2</f>
        <v>21298</v>
      </c>
      <c r="Q21" s="38">
        <f>ELECT.!D22</f>
        <v>640</v>
      </c>
      <c r="R21" s="39">
        <f>BTU!C22</f>
        <v>1</v>
      </c>
      <c r="S21" s="39">
        <f>BTU!F22</f>
        <v>0.45800000000053842</v>
      </c>
      <c r="T21" s="39">
        <f>BTU!I22</f>
        <v>4</v>
      </c>
      <c r="U21" s="39">
        <f>BTU!O22</f>
        <v>1.0190000000002328</v>
      </c>
      <c r="V21" s="39">
        <f>BTU!L22</f>
        <v>0</v>
      </c>
      <c r="W21" s="39">
        <f>BTU!R22</f>
        <v>0</v>
      </c>
      <c r="X21" s="36">
        <f>ELECT.!B22</f>
        <v>210</v>
      </c>
      <c r="Y21" s="36">
        <f t="shared" si="0"/>
        <v>-7262</v>
      </c>
      <c r="Z21">
        <f>'Mall, Citadel, Rotana'!C22+'Mall, Citadel, Rotana'!E22+'Mall, Citadel, Rotana'!G22+'Mall, Citadel, Rotana'!I22</f>
        <v>1216</v>
      </c>
      <c r="AA21">
        <f>'Mall, Citadel, Rotana'!K22+'Mall, Citadel, Rotana'!M22</f>
        <v>480</v>
      </c>
      <c r="AB21">
        <f>'Mall, Citadel, Rotana'!O22</f>
        <v>105</v>
      </c>
      <c r="AC21">
        <f>'Mall, Citadel, Rotana'!Q22+'Mall, Citadel, Rotana'!S22</f>
        <v>138</v>
      </c>
      <c r="AD21" s="36">
        <f t="shared" si="1"/>
        <v>88.427783199999993</v>
      </c>
      <c r="AE21" s="36">
        <f t="shared" si="2"/>
        <v>582.49621679999996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25840</v>
      </c>
      <c r="M10" s="15">
        <f t="shared" si="5"/>
        <v>320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v>46613</v>
      </c>
      <c r="C11" s="15">
        <f t="shared" si="1"/>
        <v>1600</v>
      </c>
      <c r="D11" s="33">
        <v>40288</v>
      </c>
      <c r="E11" s="15">
        <f t="shared" si="2"/>
        <v>960</v>
      </c>
      <c r="F11" s="33">
        <v>21310</v>
      </c>
      <c r="G11" s="15">
        <f t="shared" si="3"/>
        <v>140</v>
      </c>
      <c r="H11" s="33">
        <v>253716</v>
      </c>
      <c r="I11" s="15">
        <f t="shared" si="4"/>
        <v>31</v>
      </c>
      <c r="J11" s="33">
        <v>303517</v>
      </c>
      <c r="K11" s="15">
        <v>0</v>
      </c>
      <c r="L11" s="33">
        <v>25844</v>
      </c>
      <c r="M11" s="15">
        <f t="shared" si="5"/>
        <v>640</v>
      </c>
      <c r="N11" s="33">
        <v>223257</v>
      </c>
      <c r="O11" s="15">
        <f t="shared" si="6"/>
        <v>237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v>3928</v>
      </c>
      <c r="U11" s="15">
        <f t="shared" si="9"/>
        <v>320</v>
      </c>
    </row>
    <row r="12" spans="1:24" ht="13.5" thickBot="1" x14ac:dyDescent="0.25">
      <c r="A12" s="9">
        <v>44602</v>
      </c>
      <c r="B12" s="33">
        <f t="shared" ref="B12:B30" si="11">B11</f>
        <v>46613</v>
      </c>
      <c r="C12" s="15">
        <f t="shared" si="1"/>
        <v>0</v>
      </c>
      <c r="D12" s="33">
        <f t="shared" ref="D12:D30" si="12">D11</f>
        <v>40288</v>
      </c>
      <c r="E12" s="15">
        <f t="shared" si="2"/>
        <v>0</v>
      </c>
      <c r="F12" s="33">
        <f t="shared" ref="F12:F30" si="13">F11</f>
        <v>21310</v>
      </c>
      <c r="G12" s="15">
        <f t="shared" si="3"/>
        <v>0</v>
      </c>
      <c r="H12" s="33">
        <f t="shared" ref="H12:H30" si="14">H11</f>
        <v>253716</v>
      </c>
      <c r="I12" s="15">
        <f t="shared" si="4"/>
        <v>0</v>
      </c>
      <c r="J12" s="33">
        <f t="shared" ref="J12:J30" si="15">J11</f>
        <v>303517</v>
      </c>
      <c r="K12" s="15">
        <v>0</v>
      </c>
      <c r="L12" s="33">
        <f t="shared" ref="L12:L30" si="16">L11</f>
        <v>25844</v>
      </c>
      <c r="M12" s="15">
        <f t="shared" si="5"/>
        <v>0</v>
      </c>
      <c r="N12" s="33">
        <f t="shared" ref="N12:N30" si="17">N11</f>
        <v>223257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ref="T12:T30" si="18">T11</f>
        <v>3928</v>
      </c>
      <c r="U12" s="15">
        <f t="shared" si="9"/>
        <v>0</v>
      </c>
    </row>
    <row r="13" spans="1:24" ht="13.5" thickBot="1" x14ac:dyDescent="0.25">
      <c r="A13" s="9">
        <v>44603</v>
      </c>
      <c r="B13" s="33">
        <v>46617</v>
      </c>
      <c r="C13" s="15">
        <f t="shared" si="1"/>
        <v>640</v>
      </c>
      <c r="D13" s="33">
        <v>40291</v>
      </c>
      <c r="E13" s="15">
        <f t="shared" si="2"/>
        <v>480</v>
      </c>
      <c r="F13" s="33">
        <v>21314</v>
      </c>
      <c r="G13" s="15">
        <f t="shared" si="3"/>
        <v>80</v>
      </c>
      <c r="H13" s="33">
        <v>253733</v>
      </c>
      <c r="I13" s="15">
        <f t="shared" si="4"/>
        <v>17</v>
      </c>
      <c r="J13" s="33">
        <v>303517</v>
      </c>
      <c r="K13" s="15">
        <v>0</v>
      </c>
      <c r="L13" s="33">
        <v>25846</v>
      </c>
      <c r="M13" s="15">
        <f t="shared" si="5"/>
        <v>320</v>
      </c>
      <c r="N13" s="33">
        <v>223348</v>
      </c>
      <c r="O13" s="15">
        <f t="shared" si="6"/>
        <v>91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v>3928</v>
      </c>
      <c r="U13" s="15">
        <f t="shared" si="9"/>
        <v>0</v>
      </c>
    </row>
    <row r="14" spans="1:24" ht="13.5" thickBot="1" x14ac:dyDescent="0.25">
      <c r="A14" s="9">
        <v>44604</v>
      </c>
      <c r="B14" s="33">
        <v>46622</v>
      </c>
      <c r="C14" s="15">
        <f t="shared" si="1"/>
        <v>800</v>
      </c>
      <c r="D14" s="33">
        <v>40294</v>
      </c>
      <c r="E14" s="15">
        <f t="shared" si="2"/>
        <v>480</v>
      </c>
      <c r="F14" s="33">
        <v>21317</v>
      </c>
      <c r="G14" s="15">
        <f t="shared" si="3"/>
        <v>60</v>
      </c>
      <c r="H14" s="33">
        <v>253750</v>
      </c>
      <c r="I14" s="15">
        <f t="shared" si="4"/>
        <v>17</v>
      </c>
      <c r="J14" s="33">
        <v>303517</v>
      </c>
      <c r="K14" s="15">
        <v>0</v>
      </c>
      <c r="L14" s="33">
        <v>25848</v>
      </c>
      <c r="M14" s="15">
        <f t="shared" si="5"/>
        <v>320</v>
      </c>
      <c r="N14" s="33">
        <v>223430</v>
      </c>
      <c r="O14" s="15">
        <f t="shared" si="6"/>
        <v>82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v>3929</v>
      </c>
      <c r="U14" s="15">
        <f t="shared" si="9"/>
        <v>160</v>
      </c>
    </row>
    <row r="15" spans="1:24" ht="13.5" thickBot="1" x14ac:dyDescent="0.25">
      <c r="A15" s="9">
        <v>44605</v>
      </c>
      <c r="B15" s="33">
        <v>46626</v>
      </c>
      <c r="C15" s="15">
        <f t="shared" si="1"/>
        <v>640</v>
      </c>
      <c r="D15" s="33">
        <v>40297</v>
      </c>
      <c r="E15" s="15">
        <f t="shared" si="2"/>
        <v>480</v>
      </c>
      <c r="F15" s="33">
        <v>21321</v>
      </c>
      <c r="G15" s="15">
        <f t="shared" ref="G15" si="19">(F15-F14)*100/5</f>
        <v>80</v>
      </c>
      <c r="H15" s="33">
        <v>253766</v>
      </c>
      <c r="I15" s="15">
        <f t="shared" ref="I15" si="20">(H15-H14)</f>
        <v>16</v>
      </c>
      <c r="J15" s="33">
        <v>303517</v>
      </c>
      <c r="K15" s="15">
        <v>0</v>
      </c>
      <c r="L15" s="33">
        <v>25851</v>
      </c>
      <c r="M15" s="15">
        <f t="shared" ref="M15" si="21">(L15-L14)*800/5</f>
        <v>480</v>
      </c>
      <c r="N15" s="33">
        <v>223538</v>
      </c>
      <c r="O15" s="15">
        <f t="shared" ref="O15" si="22">N15-N14</f>
        <v>108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v>3930</v>
      </c>
      <c r="U15" s="15">
        <f t="shared" ref="U15" si="24">(T15-T14)*800/5</f>
        <v>160</v>
      </c>
      <c r="X15" t="s">
        <v>12</v>
      </c>
    </row>
    <row r="16" spans="1:24" ht="13.5" thickBot="1" x14ac:dyDescent="0.25">
      <c r="A16" s="9">
        <v>44606</v>
      </c>
      <c r="B16" s="33">
        <v>46631</v>
      </c>
      <c r="C16" s="15">
        <f t="shared" si="1"/>
        <v>800</v>
      </c>
      <c r="D16" s="33">
        <v>40300</v>
      </c>
      <c r="E16" s="15">
        <f t="shared" si="2"/>
        <v>480</v>
      </c>
      <c r="F16" s="33">
        <v>21325</v>
      </c>
      <c r="G16" s="15">
        <f t="shared" si="3"/>
        <v>80</v>
      </c>
      <c r="H16" s="33">
        <v>253779</v>
      </c>
      <c r="I16" s="15">
        <f t="shared" si="4"/>
        <v>13</v>
      </c>
      <c r="J16" s="33">
        <v>303517</v>
      </c>
      <c r="K16" s="15">
        <v>0</v>
      </c>
      <c r="L16" s="33">
        <v>25855</v>
      </c>
      <c r="M16" s="15">
        <f t="shared" si="5"/>
        <v>640</v>
      </c>
      <c r="N16" s="33">
        <v>223652</v>
      </c>
      <c r="O16" s="15">
        <f t="shared" si="6"/>
        <v>114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v>3931</v>
      </c>
      <c r="U16" s="15">
        <f t="shared" si="9"/>
        <v>160</v>
      </c>
      <c r="W16" t="s">
        <v>12</v>
      </c>
    </row>
    <row r="17" spans="1:23" ht="13.5" thickBot="1" x14ac:dyDescent="0.25">
      <c r="A17" s="9">
        <v>44607</v>
      </c>
      <c r="B17" s="33">
        <v>46636</v>
      </c>
      <c r="C17" s="15">
        <f t="shared" si="1"/>
        <v>800</v>
      </c>
      <c r="D17" s="33">
        <v>40303</v>
      </c>
      <c r="E17" s="15">
        <f t="shared" si="2"/>
        <v>480</v>
      </c>
      <c r="F17" s="33">
        <v>21329</v>
      </c>
      <c r="G17" s="15">
        <f t="shared" si="3"/>
        <v>80</v>
      </c>
      <c r="H17" s="33">
        <v>253791</v>
      </c>
      <c r="I17" s="15">
        <f t="shared" si="4"/>
        <v>12</v>
      </c>
      <c r="J17" s="33">
        <v>303517</v>
      </c>
      <c r="K17" s="15">
        <v>0</v>
      </c>
      <c r="L17" s="33">
        <v>25859</v>
      </c>
      <c r="M17" s="15">
        <f t="shared" si="5"/>
        <v>640</v>
      </c>
      <c r="N17" s="33">
        <v>223767</v>
      </c>
      <c r="O17" s="15">
        <f t="shared" si="6"/>
        <v>115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v>3932</v>
      </c>
      <c r="U17" s="15">
        <f t="shared" si="9"/>
        <v>160</v>
      </c>
    </row>
    <row r="18" spans="1:23" ht="13.5" thickBot="1" x14ac:dyDescent="0.25">
      <c r="A18" s="9">
        <v>44608</v>
      </c>
      <c r="B18" s="33">
        <v>46641</v>
      </c>
      <c r="C18" s="15">
        <f t="shared" si="1"/>
        <v>800</v>
      </c>
      <c r="D18" s="33">
        <v>40307</v>
      </c>
      <c r="E18" s="15">
        <f t="shared" si="2"/>
        <v>640</v>
      </c>
      <c r="F18" s="33">
        <v>21332</v>
      </c>
      <c r="G18" s="15">
        <f t="shared" si="3"/>
        <v>60</v>
      </c>
      <c r="H18" s="33">
        <v>253807</v>
      </c>
      <c r="I18" s="15">
        <f t="shared" si="4"/>
        <v>16</v>
      </c>
      <c r="J18" s="33">
        <f t="shared" si="15"/>
        <v>303517</v>
      </c>
      <c r="K18" s="15">
        <v>0</v>
      </c>
      <c r="L18" s="33">
        <v>25862</v>
      </c>
      <c r="M18" s="15">
        <f t="shared" si="5"/>
        <v>480</v>
      </c>
      <c r="N18" s="33">
        <v>223888</v>
      </c>
      <c r="O18" s="15">
        <f t="shared" si="6"/>
        <v>121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v>3933</v>
      </c>
      <c r="U18" s="15">
        <f t="shared" si="9"/>
        <v>160</v>
      </c>
    </row>
    <row r="19" spans="1:23" ht="13.5" thickBot="1" x14ac:dyDescent="0.25">
      <c r="A19" s="9">
        <v>44609</v>
      </c>
      <c r="B19" s="33">
        <v>46645</v>
      </c>
      <c r="C19" s="15">
        <f t="shared" si="1"/>
        <v>640</v>
      </c>
      <c r="D19" s="33">
        <v>40310</v>
      </c>
      <c r="E19" s="15">
        <f t="shared" si="2"/>
        <v>480</v>
      </c>
      <c r="F19" s="33">
        <v>21336</v>
      </c>
      <c r="G19" s="15">
        <f t="shared" si="3"/>
        <v>80</v>
      </c>
      <c r="H19" s="33">
        <v>253825</v>
      </c>
      <c r="I19" s="15">
        <f t="shared" si="4"/>
        <v>18</v>
      </c>
      <c r="J19" s="33">
        <v>303517</v>
      </c>
      <c r="K19" s="15">
        <v>0</v>
      </c>
      <c r="L19" s="33">
        <v>25866</v>
      </c>
      <c r="M19" s="15">
        <f t="shared" si="5"/>
        <v>640</v>
      </c>
      <c r="N19" s="33">
        <v>223996</v>
      </c>
      <c r="O19" s="15">
        <f t="shared" si="6"/>
        <v>108</v>
      </c>
      <c r="P19" s="33">
        <v>141417</v>
      </c>
      <c r="Q19" s="15">
        <f t="shared" si="7"/>
        <v>1792</v>
      </c>
      <c r="R19" s="1">
        <f t="shared" si="0"/>
        <v>55047</v>
      </c>
      <c r="S19" s="15">
        <f t="shared" si="8"/>
        <v>0</v>
      </c>
      <c r="T19" s="33">
        <v>3934</v>
      </c>
      <c r="U19" s="15">
        <f t="shared" si="9"/>
        <v>160</v>
      </c>
      <c r="W19" t="s">
        <v>12</v>
      </c>
    </row>
    <row r="20" spans="1:23" ht="13.5" thickBot="1" x14ac:dyDescent="0.25">
      <c r="A20" s="9">
        <v>44610</v>
      </c>
      <c r="B20" s="33">
        <v>46650</v>
      </c>
      <c r="C20" s="15">
        <f t="shared" si="1"/>
        <v>800</v>
      </c>
      <c r="D20" s="33">
        <v>40313</v>
      </c>
      <c r="E20" s="15">
        <f t="shared" si="2"/>
        <v>480</v>
      </c>
      <c r="F20" s="33">
        <v>21340</v>
      </c>
      <c r="G20" s="15">
        <f t="shared" si="3"/>
        <v>80</v>
      </c>
      <c r="H20" s="33">
        <v>253838</v>
      </c>
      <c r="I20" s="15">
        <f t="shared" si="4"/>
        <v>13</v>
      </c>
      <c r="J20" s="33">
        <f t="shared" si="15"/>
        <v>303517</v>
      </c>
      <c r="K20" s="15">
        <v>0</v>
      </c>
      <c r="L20" s="33">
        <v>25868</v>
      </c>
      <c r="M20" s="15">
        <f t="shared" si="5"/>
        <v>320</v>
      </c>
      <c r="N20" s="33">
        <v>224067</v>
      </c>
      <c r="O20" s="15">
        <f t="shared" si="6"/>
        <v>71</v>
      </c>
      <c r="P20" s="33">
        <v>141532</v>
      </c>
      <c r="Q20" s="15">
        <f>P20-P19</f>
        <v>115</v>
      </c>
      <c r="R20" s="1">
        <f t="shared" si="0"/>
        <v>55047</v>
      </c>
      <c r="S20" s="15">
        <f t="shared" si="8"/>
        <v>0</v>
      </c>
      <c r="T20" s="33">
        <v>3935</v>
      </c>
      <c r="U20" s="15">
        <f t="shared" si="9"/>
        <v>160</v>
      </c>
    </row>
    <row r="21" spans="1:23" ht="13.5" thickBot="1" x14ac:dyDescent="0.25">
      <c r="A21" s="9">
        <v>44611</v>
      </c>
      <c r="B21" s="33">
        <v>46655</v>
      </c>
      <c r="C21" s="15">
        <f t="shared" si="1"/>
        <v>800</v>
      </c>
      <c r="D21" s="33">
        <v>40316</v>
      </c>
      <c r="E21" s="15">
        <f t="shared" si="2"/>
        <v>480</v>
      </c>
      <c r="F21" s="33">
        <v>21343</v>
      </c>
      <c r="G21" s="15">
        <f t="shared" si="3"/>
        <v>60</v>
      </c>
      <c r="H21" s="33">
        <v>253852</v>
      </c>
      <c r="I21" s="15">
        <f t="shared" si="4"/>
        <v>14</v>
      </c>
      <c r="J21" s="33">
        <v>303517</v>
      </c>
      <c r="K21" s="15">
        <v>0</v>
      </c>
      <c r="L21" s="33">
        <v>25871</v>
      </c>
      <c r="M21" s="15">
        <f t="shared" si="5"/>
        <v>480</v>
      </c>
      <c r="N21" s="33">
        <v>224166</v>
      </c>
      <c r="O21" s="15">
        <f t="shared" si="6"/>
        <v>99</v>
      </c>
      <c r="P21" s="33">
        <v>141652</v>
      </c>
      <c r="Q21" s="15">
        <f t="shared" si="7"/>
        <v>120</v>
      </c>
      <c r="R21" s="1">
        <f t="shared" si="0"/>
        <v>55047</v>
      </c>
      <c r="S21" s="15">
        <f t="shared" si="8"/>
        <v>0</v>
      </c>
      <c r="T21" s="33">
        <v>3936</v>
      </c>
      <c r="U21" s="15">
        <f t="shared" si="9"/>
        <v>160</v>
      </c>
    </row>
    <row r="22" spans="1:23" ht="13.5" thickBot="1" x14ac:dyDescent="0.25">
      <c r="A22" s="9">
        <v>44612</v>
      </c>
      <c r="B22" s="33">
        <v>46659</v>
      </c>
      <c r="C22" s="15">
        <f t="shared" si="1"/>
        <v>640</v>
      </c>
      <c r="D22" s="33">
        <v>40319</v>
      </c>
      <c r="E22" s="15">
        <f t="shared" si="2"/>
        <v>480</v>
      </c>
      <c r="F22" s="33">
        <v>21347</v>
      </c>
      <c r="G22" s="15">
        <f t="shared" si="3"/>
        <v>80</v>
      </c>
      <c r="H22" s="33">
        <v>253868</v>
      </c>
      <c r="I22" s="15">
        <f t="shared" si="4"/>
        <v>16</v>
      </c>
      <c r="J22" s="33">
        <v>303517</v>
      </c>
      <c r="K22" s="15">
        <v>0</v>
      </c>
      <c r="L22" s="33">
        <v>25874</v>
      </c>
      <c r="M22" s="15">
        <f t="shared" si="5"/>
        <v>480</v>
      </c>
      <c r="N22" s="33">
        <v>224271</v>
      </c>
      <c r="O22" s="15">
        <f t="shared" si="6"/>
        <v>105</v>
      </c>
      <c r="P22" s="33">
        <v>141790</v>
      </c>
      <c r="Q22" s="15">
        <f>P22-P21</f>
        <v>138</v>
      </c>
      <c r="R22" s="1">
        <f t="shared" si="0"/>
        <v>55047</v>
      </c>
      <c r="S22" s="15">
        <f t="shared" si="8"/>
        <v>0</v>
      </c>
      <c r="T22" s="33">
        <v>3937</v>
      </c>
      <c r="U22" s="15">
        <f t="shared" si="9"/>
        <v>160</v>
      </c>
    </row>
    <row r="23" spans="1:23" ht="13.5" thickBot="1" x14ac:dyDescent="0.25">
      <c r="A23" s="9">
        <v>44613</v>
      </c>
      <c r="B23" s="33">
        <f t="shared" si="11"/>
        <v>46659</v>
      </c>
      <c r="C23" s="15">
        <f t="shared" si="1"/>
        <v>0</v>
      </c>
      <c r="D23" s="33">
        <f t="shared" si="12"/>
        <v>40319</v>
      </c>
      <c r="E23" s="15">
        <f t="shared" si="2"/>
        <v>0</v>
      </c>
      <c r="F23" s="33">
        <f t="shared" si="13"/>
        <v>21347</v>
      </c>
      <c r="G23" s="15">
        <f t="shared" si="3"/>
        <v>0</v>
      </c>
      <c r="H23" s="33">
        <f t="shared" si="14"/>
        <v>253868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25874</v>
      </c>
      <c r="M23" s="15">
        <f t="shared" si="5"/>
        <v>0</v>
      </c>
      <c r="N23" s="33">
        <f t="shared" si="17"/>
        <v>224271</v>
      </c>
      <c r="O23" s="15">
        <f t="shared" si="6"/>
        <v>0</v>
      </c>
      <c r="P23" s="33">
        <f t="shared" si="10"/>
        <v>141790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3937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46659</v>
      </c>
      <c r="C24" s="15">
        <f t="shared" si="1"/>
        <v>0</v>
      </c>
      <c r="D24" s="33">
        <f t="shared" si="12"/>
        <v>40319</v>
      </c>
      <c r="E24" s="15">
        <f t="shared" si="2"/>
        <v>0</v>
      </c>
      <c r="F24" s="33">
        <f t="shared" si="13"/>
        <v>21347</v>
      </c>
      <c r="G24" s="15">
        <f t="shared" si="3"/>
        <v>0</v>
      </c>
      <c r="H24" s="33">
        <f t="shared" si="14"/>
        <v>253868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25874</v>
      </c>
      <c r="M24" s="15">
        <f t="shared" si="5"/>
        <v>0</v>
      </c>
      <c r="N24" s="33">
        <f t="shared" si="17"/>
        <v>224271</v>
      </c>
      <c r="O24" s="15">
        <f t="shared" si="6"/>
        <v>0</v>
      </c>
      <c r="P24" s="33">
        <f t="shared" si="10"/>
        <v>141790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3937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46659</v>
      </c>
      <c r="C25" s="15">
        <f t="shared" si="1"/>
        <v>0</v>
      </c>
      <c r="D25" s="33">
        <f t="shared" si="12"/>
        <v>40319</v>
      </c>
      <c r="E25" s="15">
        <f t="shared" si="2"/>
        <v>0</v>
      </c>
      <c r="F25" s="33">
        <f t="shared" si="13"/>
        <v>21347</v>
      </c>
      <c r="G25" s="15">
        <f t="shared" si="3"/>
        <v>0</v>
      </c>
      <c r="H25" s="33">
        <f t="shared" si="14"/>
        <v>253868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25874</v>
      </c>
      <c r="M25" s="15">
        <f t="shared" si="5"/>
        <v>0</v>
      </c>
      <c r="N25" s="33">
        <f t="shared" si="17"/>
        <v>224271</v>
      </c>
      <c r="O25" s="15">
        <f t="shared" si="6"/>
        <v>0</v>
      </c>
      <c r="P25" s="33">
        <f t="shared" si="10"/>
        <v>141790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3937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46659</v>
      </c>
      <c r="C26" s="15">
        <f t="shared" si="1"/>
        <v>0</v>
      </c>
      <c r="D26" s="33">
        <f t="shared" si="12"/>
        <v>40319</v>
      </c>
      <c r="E26" s="15">
        <f t="shared" si="2"/>
        <v>0</v>
      </c>
      <c r="F26" s="33">
        <f t="shared" si="13"/>
        <v>21347</v>
      </c>
      <c r="G26" s="15">
        <f t="shared" si="3"/>
        <v>0</v>
      </c>
      <c r="H26" s="33">
        <f t="shared" si="14"/>
        <v>253868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25874</v>
      </c>
      <c r="M26" s="15">
        <f t="shared" si="5"/>
        <v>0</v>
      </c>
      <c r="N26" s="33">
        <f t="shared" si="17"/>
        <v>224271</v>
      </c>
      <c r="O26" s="15">
        <f t="shared" si="6"/>
        <v>0</v>
      </c>
      <c r="P26" s="33">
        <f t="shared" si="10"/>
        <v>141790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3937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46659</v>
      </c>
      <c r="C27" s="15">
        <f t="shared" si="1"/>
        <v>0</v>
      </c>
      <c r="D27" s="33">
        <f t="shared" si="12"/>
        <v>40319</v>
      </c>
      <c r="E27" s="15">
        <f t="shared" si="2"/>
        <v>0</v>
      </c>
      <c r="F27" s="33">
        <f t="shared" si="13"/>
        <v>21347</v>
      </c>
      <c r="G27" s="15">
        <f t="shared" si="3"/>
        <v>0</v>
      </c>
      <c r="H27" s="33">
        <f t="shared" si="14"/>
        <v>253868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25874</v>
      </c>
      <c r="M27" s="15">
        <f t="shared" si="5"/>
        <v>0</v>
      </c>
      <c r="N27" s="33">
        <f t="shared" si="17"/>
        <v>224271</v>
      </c>
      <c r="O27" s="15">
        <f t="shared" si="6"/>
        <v>0</v>
      </c>
      <c r="P27" s="33">
        <f t="shared" si="10"/>
        <v>141790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3937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46659</v>
      </c>
      <c r="C28" s="15">
        <f t="shared" si="1"/>
        <v>0</v>
      </c>
      <c r="D28" s="33">
        <f t="shared" si="12"/>
        <v>40319</v>
      </c>
      <c r="E28" s="15">
        <f t="shared" si="2"/>
        <v>0</v>
      </c>
      <c r="F28" s="33">
        <f t="shared" si="13"/>
        <v>21347</v>
      </c>
      <c r="G28" s="15">
        <f t="shared" si="3"/>
        <v>0</v>
      </c>
      <c r="H28" s="33">
        <f t="shared" si="14"/>
        <v>253868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25874</v>
      </c>
      <c r="M28" s="15">
        <f t="shared" si="5"/>
        <v>0</v>
      </c>
      <c r="N28" s="33">
        <f t="shared" si="17"/>
        <v>224271</v>
      </c>
      <c r="O28" s="15">
        <f t="shared" si="6"/>
        <v>0</v>
      </c>
      <c r="P28" s="33">
        <f t="shared" si="10"/>
        <v>141790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3937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46659</v>
      </c>
      <c r="C29" s="15">
        <f t="shared" si="1"/>
        <v>0</v>
      </c>
      <c r="D29" s="33">
        <f t="shared" si="12"/>
        <v>40319</v>
      </c>
      <c r="E29" s="15">
        <f t="shared" si="2"/>
        <v>0</v>
      </c>
      <c r="F29" s="33">
        <f t="shared" si="13"/>
        <v>21347</v>
      </c>
      <c r="G29" s="15">
        <f t="shared" si="3"/>
        <v>0</v>
      </c>
      <c r="H29" s="33">
        <f t="shared" si="14"/>
        <v>253868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25874</v>
      </c>
      <c r="M29" s="15">
        <f t="shared" si="5"/>
        <v>0</v>
      </c>
      <c r="N29" s="33">
        <f t="shared" si="17"/>
        <v>224271</v>
      </c>
      <c r="O29" s="15">
        <f t="shared" si="6"/>
        <v>0</v>
      </c>
      <c r="P29" s="33">
        <f t="shared" si="10"/>
        <v>141790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3937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46659</v>
      </c>
      <c r="C30" s="15">
        <f t="shared" si="1"/>
        <v>0</v>
      </c>
      <c r="D30" s="33">
        <f t="shared" si="12"/>
        <v>40319</v>
      </c>
      <c r="E30" s="15">
        <f t="shared" si="2"/>
        <v>0</v>
      </c>
      <c r="F30" s="33">
        <f t="shared" si="13"/>
        <v>21347</v>
      </c>
      <c r="G30" s="15">
        <f t="shared" si="3"/>
        <v>0</v>
      </c>
      <c r="H30" s="33">
        <f t="shared" si="14"/>
        <v>253868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25874</v>
      </c>
      <c r="M30" s="15">
        <f t="shared" si="5"/>
        <v>0</v>
      </c>
      <c r="N30" s="33">
        <f t="shared" si="17"/>
        <v>224271</v>
      </c>
      <c r="O30" s="15">
        <f t="shared" si="6"/>
        <v>0</v>
      </c>
      <c r="P30" s="33">
        <f t="shared" si="10"/>
        <v>141790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3937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14240</v>
      </c>
      <c r="D31" s="12"/>
      <c r="E31" s="10">
        <f>SUM(E4:E30)</f>
        <v>9600</v>
      </c>
      <c r="F31" s="12"/>
      <c r="G31" s="10">
        <f>SUM(G4:G30)</f>
        <v>1380</v>
      </c>
      <c r="H31" s="12"/>
      <c r="I31" s="10">
        <f>SUM(I4:I30)</f>
        <v>282</v>
      </c>
      <c r="J31" s="12"/>
      <c r="K31" s="10">
        <f>SUM(K4:K30)</f>
        <v>0</v>
      </c>
      <c r="L31" s="12"/>
      <c r="M31" s="10">
        <f>SUM(M4:M30)</f>
        <v>9120</v>
      </c>
      <c r="N31" s="34"/>
      <c r="O31" s="10">
        <f>SUM(O4:O30)</f>
        <v>2007</v>
      </c>
      <c r="P31" s="12"/>
      <c r="Q31" s="10">
        <f>SUM(Q4:Q30)</f>
        <v>2165</v>
      </c>
      <c r="R31" s="1"/>
      <c r="S31" s="10">
        <f>SUM(S4:S30)</f>
        <v>0</v>
      </c>
      <c r="T31" s="1"/>
      <c r="U31" s="10">
        <f>SUM(U4:U30)</f>
        <v>2880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2" activePane="bottomLeft" state="frozen"/>
      <selection pane="bottomLeft" activeCell="A22" sqref="A22:XFD22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157</v>
      </c>
      <c r="C11" s="147">
        <v>19321</v>
      </c>
      <c r="D11" s="40">
        <f t="shared" si="3"/>
        <v>480</v>
      </c>
      <c r="E11" s="148">
        <v>29750438</v>
      </c>
      <c r="F11" s="40">
        <f t="shared" si="4"/>
        <v>9328</v>
      </c>
      <c r="G11" s="149">
        <v>94930449</v>
      </c>
      <c r="H11" s="40">
        <f t="shared" si="5"/>
        <v>31822</v>
      </c>
      <c r="I11" s="150">
        <f t="shared" si="6"/>
        <v>41150</v>
      </c>
      <c r="J11" s="148">
        <v>9426568</v>
      </c>
      <c r="K11" s="40">
        <f t="shared" si="14"/>
        <v>7854</v>
      </c>
      <c r="L11" s="151">
        <v>9433246</v>
      </c>
      <c r="M11" s="40">
        <f t="shared" si="7"/>
        <v>4757</v>
      </c>
      <c r="N11" s="148">
        <v>6312810</v>
      </c>
      <c r="O11" s="40">
        <f t="shared" si="15"/>
        <v>4436</v>
      </c>
      <c r="P11" s="151">
        <v>5886651</v>
      </c>
      <c r="Q11" s="40">
        <f t="shared" si="8"/>
        <v>2077</v>
      </c>
      <c r="R11" s="148">
        <v>20134035</v>
      </c>
      <c r="S11" s="40">
        <f t="shared" si="9"/>
        <v>8385</v>
      </c>
      <c r="T11" s="148">
        <v>0</v>
      </c>
      <c r="U11" s="152"/>
      <c r="V11" s="148">
        <v>8027606</v>
      </c>
      <c r="W11" s="40">
        <f t="shared" si="10"/>
        <v>8248</v>
      </c>
      <c r="X11" s="20">
        <f t="shared" si="11"/>
        <v>35757</v>
      </c>
      <c r="Y11" s="153">
        <f t="shared" si="12"/>
        <v>5393</v>
      </c>
      <c r="Z11" s="3">
        <f t="shared" si="13"/>
        <v>4979.9559055999998</v>
      </c>
      <c r="AA11" s="3">
        <f t="shared" si="17"/>
        <v>23585.684532800002</v>
      </c>
    </row>
    <row r="12" spans="1:27" ht="16.5" thickBot="1" x14ac:dyDescent="0.3">
      <c r="A12" s="9">
        <v>44602</v>
      </c>
      <c r="B12" s="40">
        <v>157</v>
      </c>
      <c r="C12" s="147">
        <v>19323</v>
      </c>
      <c r="D12" s="40">
        <f t="shared" si="3"/>
        <v>320</v>
      </c>
      <c r="E12" s="148">
        <v>29760132</v>
      </c>
      <c r="F12" s="40">
        <f t="shared" si="4"/>
        <v>9694</v>
      </c>
      <c r="G12" s="149">
        <v>94964322</v>
      </c>
      <c r="H12" s="40">
        <f t="shared" si="5"/>
        <v>33873</v>
      </c>
      <c r="I12" s="150">
        <f t="shared" si="6"/>
        <v>43567</v>
      </c>
      <c r="J12" s="148">
        <v>9430704</v>
      </c>
      <c r="K12" s="40">
        <f t="shared" si="14"/>
        <v>8272</v>
      </c>
      <c r="L12" s="151">
        <v>9438080</v>
      </c>
      <c r="M12" s="40">
        <f t="shared" si="7"/>
        <v>4834</v>
      </c>
      <c r="N12" s="148">
        <v>6315173</v>
      </c>
      <c r="O12" s="40">
        <f t="shared" si="15"/>
        <v>4726</v>
      </c>
      <c r="P12" s="151">
        <v>5888876</v>
      </c>
      <c r="Q12" s="40">
        <f t="shared" si="8"/>
        <v>2225</v>
      </c>
      <c r="R12" s="148">
        <v>20143133</v>
      </c>
      <c r="S12" s="40">
        <f t="shared" si="9"/>
        <v>9098</v>
      </c>
      <c r="T12" s="148">
        <v>0</v>
      </c>
      <c r="U12" s="152"/>
      <c r="V12" s="148">
        <v>8036330</v>
      </c>
      <c r="W12" s="40">
        <f t="shared" si="10"/>
        <v>8724</v>
      </c>
      <c r="X12" s="20">
        <f t="shared" si="11"/>
        <v>37879</v>
      </c>
      <c r="Y12" s="153">
        <f t="shared" si="12"/>
        <v>5688</v>
      </c>
      <c r="Z12" s="3">
        <f t="shared" si="13"/>
        <v>5331.9526624</v>
      </c>
      <c r="AA12" s="3">
        <f t="shared" si="17"/>
        <v>21471.076598399999</v>
      </c>
    </row>
    <row r="13" spans="1:27" ht="16.5" thickBot="1" x14ac:dyDescent="0.3">
      <c r="A13" s="9">
        <v>44603</v>
      </c>
      <c r="B13" s="40">
        <v>179</v>
      </c>
      <c r="C13" s="147">
        <v>19325</v>
      </c>
      <c r="D13" s="40">
        <f t="shared" ref="D13" si="18">IF((C13-C12)&lt;0,"0",(C13-C12))*160</f>
        <v>320</v>
      </c>
      <c r="E13" s="148">
        <v>29773072</v>
      </c>
      <c r="F13" s="40">
        <f t="shared" ref="F13" si="19">IF((E13-E12)&lt;0,"0",(E13-E12))</f>
        <v>12940</v>
      </c>
      <c r="G13" s="149">
        <v>95011735</v>
      </c>
      <c r="H13" s="40">
        <f t="shared" ref="H13" si="20">IF((G13-G12)&lt;0,"0",(G13-G12))</f>
        <v>47413</v>
      </c>
      <c r="I13" s="150">
        <f t="shared" ref="I13" si="21">F13+H13</f>
        <v>60353</v>
      </c>
      <c r="J13" s="148">
        <v>9435047</v>
      </c>
      <c r="K13" s="40">
        <f t="shared" ref="K13" si="22">(IF((J13-J12)&lt;0,"0",(J13-J12)))*2</f>
        <v>8686</v>
      </c>
      <c r="L13" s="151">
        <v>9444343</v>
      </c>
      <c r="M13" s="40">
        <f t="shared" ref="M13" si="23">IF((L13-L12)&lt;0,"0",(L13-L12))</f>
        <v>6263</v>
      </c>
      <c r="N13" s="148">
        <v>6318428</v>
      </c>
      <c r="O13" s="40">
        <f t="shared" ref="O13" si="24">(IF((N13-N12)&lt;0,"0",(N13-N12)))*2</f>
        <v>6510</v>
      </c>
      <c r="P13" s="151">
        <v>5892064</v>
      </c>
      <c r="Q13" s="40">
        <f t="shared" ref="Q13" si="25">IF((P13-P12)&lt;0,"0",(P13-P12))</f>
        <v>3188</v>
      </c>
      <c r="R13" s="148">
        <v>20156006</v>
      </c>
      <c r="S13" s="40">
        <f t="shared" ref="S13" si="26">IF((R13-R12)&lt;0,"0",(R13-R12))</f>
        <v>12873</v>
      </c>
      <c r="T13" s="148">
        <v>0</v>
      </c>
      <c r="U13" s="152"/>
      <c r="V13" s="148">
        <v>8048753</v>
      </c>
      <c r="W13" s="40">
        <f t="shared" ref="W13" si="27">IF((V13-V12)&lt;0,"0",(V13-V12))</f>
        <v>12423</v>
      </c>
      <c r="X13" s="20">
        <f t="shared" ref="X13" si="28">K13+M13+O13+Q13+S13+U13+W13</f>
        <v>49943</v>
      </c>
      <c r="Y13" s="153">
        <f t="shared" ref="Y13" si="29">I13-X13</f>
        <v>10410</v>
      </c>
      <c r="Z13" s="3">
        <f t="shared" ref="Z13" si="30">(0.93352*(W13+S13)+0.5568*(Q13+O13))*0.26</f>
        <v>7543.6837632000006</v>
      </c>
      <c r="AA13" s="3">
        <f t="shared" si="17"/>
        <v>25481.574851199999</v>
      </c>
    </row>
    <row r="14" spans="1:27" ht="16.5" thickBot="1" x14ac:dyDescent="0.3">
      <c r="A14" s="9">
        <v>44604</v>
      </c>
      <c r="B14" s="40">
        <v>157</v>
      </c>
      <c r="C14" s="147">
        <v>19327</v>
      </c>
      <c r="D14" s="40">
        <f t="shared" si="3"/>
        <v>320</v>
      </c>
      <c r="E14" s="148">
        <v>29782279</v>
      </c>
      <c r="F14" s="40">
        <f t="shared" si="4"/>
        <v>9207</v>
      </c>
      <c r="G14" s="149">
        <v>95041484</v>
      </c>
      <c r="H14" s="40">
        <f t="shared" si="5"/>
        <v>29749</v>
      </c>
      <c r="I14" s="150">
        <f t="shared" si="6"/>
        <v>38956</v>
      </c>
      <c r="J14" s="148">
        <v>9439292</v>
      </c>
      <c r="K14" s="40">
        <f t="shared" si="14"/>
        <v>8490</v>
      </c>
      <c r="L14" s="151">
        <v>9448599</v>
      </c>
      <c r="M14" s="40">
        <f t="shared" si="7"/>
        <v>4256</v>
      </c>
      <c r="N14" s="148">
        <v>6320844</v>
      </c>
      <c r="O14" s="40">
        <f t="shared" si="15"/>
        <v>4832</v>
      </c>
      <c r="P14" s="151">
        <v>5894116</v>
      </c>
      <c r="Q14" s="40">
        <f t="shared" si="8"/>
        <v>2052</v>
      </c>
      <c r="R14" s="148">
        <v>20164201</v>
      </c>
      <c r="S14" s="40">
        <f>IF((R14-R13)&lt;0,"0",(R14-R13))</f>
        <v>8195</v>
      </c>
      <c r="T14" s="148">
        <v>0</v>
      </c>
      <c r="U14" s="152"/>
      <c r="V14" s="148">
        <v>8056418</v>
      </c>
      <c r="W14" s="40">
        <f t="shared" si="10"/>
        <v>7665</v>
      </c>
      <c r="X14" s="20">
        <f t="shared" si="11"/>
        <v>35490</v>
      </c>
      <c r="Y14" s="153">
        <f t="shared" si="12"/>
        <v>3466</v>
      </c>
      <c r="Z14" s="3">
        <f t="shared" si="13"/>
        <v>4846.0459840000003</v>
      </c>
      <c r="AA14" s="3">
        <f t="shared" si="17"/>
        <v>22701.638315200002</v>
      </c>
    </row>
    <row r="15" spans="1:27" ht="16.5" thickBot="1" x14ac:dyDescent="0.3">
      <c r="A15" s="9">
        <v>44605</v>
      </c>
      <c r="B15" s="40">
        <v>216</v>
      </c>
      <c r="C15" s="147">
        <v>19330</v>
      </c>
      <c r="D15" s="40">
        <f t="shared" si="3"/>
        <v>480</v>
      </c>
      <c r="E15" s="148">
        <v>29791318</v>
      </c>
      <c r="F15" s="40">
        <f t="shared" si="4"/>
        <v>9039</v>
      </c>
      <c r="G15" s="149">
        <v>95087780</v>
      </c>
      <c r="H15" s="40">
        <f t="shared" si="5"/>
        <v>46296</v>
      </c>
      <c r="I15" s="150">
        <f t="shared" si="6"/>
        <v>55335</v>
      </c>
      <c r="J15" s="148">
        <v>9444530</v>
      </c>
      <c r="K15" s="40">
        <f t="shared" si="14"/>
        <v>10476</v>
      </c>
      <c r="L15" s="151">
        <v>9454242</v>
      </c>
      <c r="M15" s="40">
        <f t="shared" si="7"/>
        <v>5643</v>
      </c>
      <c r="N15" s="148">
        <v>6322476</v>
      </c>
      <c r="O15" s="40">
        <f t="shared" si="15"/>
        <v>3264</v>
      </c>
      <c r="P15" s="151">
        <v>5899286</v>
      </c>
      <c r="Q15" s="40">
        <f t="shared" si="8"/>
        <v>5170</v>
      </c>
      <c r="R15" s="148">
        <v>20175654</v>
      </c>
      <c r="S15" s="40">
        <f>IF((R15-R14)&lt;0,"0",(R15-R14))</f>
        <v>11453</v>
      </c>
      <c r="T15" s="148">
        <v>0</v>
      </c>
      <c r="U15" s="152"/>
      <c r="V15" s="148">
        <v>8068024</v>
      </c>
      <c r="W15" s="40">
        <f t="shared" si="10"/>
        <v>11606</v>
      </c>
      <c r="X15" s="20">
        <f t="shared" si="11"/>
        <v>47612</v>
      </c>
      <c r="Y15" s="153">
        <f t="shared" si="12"/>
        <v>7723</v>
      </c>
      <c r="Z15" s="3">
        <f t="shared" si="13"/>
        <v>6817.7431088000012</v>
      </c>
      <c r="AA15" s="3">
        <f t="shared" si="17"/>
        <v>24539.425518400003</v>
      </c>
    </row>
    <row r="16" spans="1:27" ht="16.5" thickBot="1" x14ac:dyDescent="0.3">
      <c r="A16" s="9">
        <v>44606</v>
      </c>
      <c r="B16" s="40">
        <v>240</v>
      </c>
      <c r="C16" s="147">
        <v>19333</v>
      </c>
      <c r="D16" s="40">
        <f t="shared" si="3"/>
        <v>480</v>
      </c>
      <c r="E16" s="148">
        <v>29803604</v>
      </c>
      <c r="F16" s="40">
        <f t="shared" si="4"/>
        <v>12286</v>
      </c>
      <c r="G16" s="149">
        <v>95121676</v>
      </c>
      <c r="H16" s="40">
        <f t="shared" si="5"/>
        <v>33896</v>
      </c>
      <c r="I16" s="150">
        <f t="shared" si="6"/>
        <v>46182</v>
      </c>
      <c r="J16" s="148">
        <v>9460200</v>
      </c>
      <c r="K16" s="40">
        <f t="shared" si="14"/>
        <v>31340</v>
      </c>
      <c r="L16" s="151">
        <v>9460200</v>
      </c>
      <c r="M16" s="40">
        <f t="shared" si="7"/>
        <v>5958</v>
      </c>
      <c r="N16" s="148">
        <v>6325514</v>
      </c>
      <c r="O16" s="40">
        <f t="shared" si="15"/>
        <v>6076</v>
      </c>
      <c r="P16" s="151">
        <v>5903292</v>
      </c>
      <c r="Q16" s="40">
        <f t="shared" si="8"/>
        <v>4006</v>
      </c>
      <c r="R16" s="148">
        <v>20184086</v>
      </c>
      <c r="S16" s="40">
        <f t="shared" si="9"/>
        <v>8432</v>
      </c>
      <c r="T16" s="148">
        <v>0</v>
      </c>
      <c r="U16" s="152"/>
      <c r="V16" s="148">
        <v>8076417</v>
      </c>
      <c r="W16" s="40">
        <f t="shared" si="10"/>
        <v>8393</v>
      </c>
      <c r="X16" s="20">
        <f t="shared" si="11"/>
        <v>64205</v>
      </c>
      <c r="Y16" s="153">
        <f t="shared" si="12"/>
        <v>-18023</v>
      </c>
      <c r="Z16" s="3">
        <f t="shared" si="13"/>
        <v>5543.2342160000007</v>
      </c>
      <c r="AA16" s="3">
        <f t="shared" si="17"/>
        <v>24750.707072000001</v>
      </c>
    </row>
    <row r="17" spans="1:27" s="132" customFormat="1" ht="16.5" thickBot="1" x14ac:dyDescent="0.3">
      <c r="A17" s="9">
        <v>44607</v>
      </c>
      <c r="B17" s="40">
        <v>297</v>
      </c>
      <c r="C17" s="147">
        <v>19336</v>
      </c>
      <c r="D17" s="40">
        <f t="shared" si="3"/>
        <v>480</v>
      </c>
      <c r="E17" s="148">
        <v>29812139</v>
      </c>
      <c r="F17" s="40">
        <f t="shared" si="4"/>
        <v>8535</v>
      </c>
      <c r="G17" s="149">
        <v>95151358</v>
      </c>
      <c r="H17" s="40">
        <f t="shared" si="5"/>
        <v>29682</v>
      </c>
      <c r="I17" s="154">
        <f t="shared" si="6"/>
        <v>38217</v>
      </c>
      <c r="J17" s="148">
        <v>9462110</v>
      </c>
      <c r="K17" s="131">
        <f t="shared" si="14"/>
        <v>3820</v>
      </c>
      <c r="L17" s="151">
        <v>9464607</v>
      </c>
      <c r="M17" s="131">
        <f t="shared" si="7"/>
        <v>4407</v>
      </c>
      <c r="N17" s="148">
        <v>6327578</v>
      </c>
      <c r="O17" s="131">
        <f t="shared" si="15"/>
        <v>4128</v>
      </c>
      <c r="P17" s="151">
        <v>5905076</v>
      </c>
      <c r="Q17" s="131">
        <f t="shared" si="8"/>
        <v>1784</v>
      </c>
      <c r="R17" s="148">
        <v>20191782</v>
      </c>
      <c r="S17" s="131">
        <f t="shared" si="9"/>
        <v>7696</v>
      </c>
      <c r="T17" s="155">
        <v>0</v>
      </c>
      <c r="U17" s="152"/>
      <c r="V17" s="148">
        <v>8084267</v>
      </c>
      <c r="W17" s="131">
        <f t="shared" si="10"/>
        <v>7850</v>
      </c>
      <c r="X17" s="20">
        <f t="shared" si="11"/>
        <v>29685</v>
      </c>
      <c r="Y17" s="156">
        <f t="shared" si="12"/>
        <v>8532</v>
      </c>
      <c r="Z17" s="157">
        <f t="shared" si="13"/>
        <v>4629.1189152000006</v>
      </c>
      <c r="AA17" s="3">
        <f t="shared" si="17"/>
        <v>21836.142224000003</v>
      </c>
    </row>
    <row r="18" spans="1:27" s="132" customFormat="1" ht="16.5" thickBot="1" x14ac:dyDescent="0.3">
      <c r="A18" s="9">
        <v>44608</v>
      </c>
      <c r="B18" s="40">
        <v>288</v>
      </c>
      <c r="C18" s="147">
        <v>19337</v>
      </c>
      <c r="D18" s="40">
        <f t="shared" si="3"/>
        <v>160</v>
      </c>
      <c r="E18" s="148">
        <v>29823431</v>
      </c>
      <c r="F18" s="40">
        <f t="shared" si="4"/>
        <v>11292</v>
      </c>
      <c r="G18" s="149">
        <v>95191240</v>
      </c>
      <c r="H18" s="40">
        <f t="shared" si="5"/>
        <v>39882</v>
      </c>
      <c r="I18" s="154">
        <f t="shared" si="6"/>
        <v>51174</v>
      </c>
      <c r="J18" s="148">
        <v>9465910</v>
      </c>
      <c r="K18" s="131">
        <f t="shared" si="14"/>
        <v>7600</v>
      </c>
      <c r="L18" s="151">
        <v>9470420</v>
      </c>
      <c r="M18" s="131">
        <f t="shared" si="7"/>
        <v>5813</v>
      </c>
      <c r="N18" s="148">
        <v>6330180</v>
      </c>
      <c r="O18" s="131">
        <f t="shared" si="15"/>
        <v>5204</v>
      </c>
      <c r="P18" s="151">
        <v>5907440</v>
      </c>
      <c r="Q18" s="131">
        <f t="shared" si="8"/>
        <v>2364</v>
      </c>
      <c r="R18" s="148">
        <v>20201853</v>
      </c>
      <c r="S18" s="131">
        <f t="shared" si="9"/>
        <v>10071</v>
      </c>
      <c r="T18" s="155">
        <v>0</v>
      </c>
      <c r="U18" s="152"/>
      <c r="V18" s="148">
        <v>8095162</v>
      </c>
      <c r="W18" s="131">
        <f t="shared" si="10"/>
        <v>10895</v>
      </c>
      <c r="X18" s="20">
        <f t="shared" si="11"/>
        <v>41947</v>
      </c>
      <c r="Y18" s="156">
        <f t="shared" si="12"/>
        <v>9227</v>
      </c>
      <c r="Z18" s="157">
        <f t="shared" si="13"/>
        <v>6184.3711071999996</v>
      </c>
      <c r="AA18" s="3">
        <f t="shared" si="17"/>
        <v>23174.467347200003</v>
      </c>
    </row>
    <row r="19" spans="1:27" s="132" customFormat="1" ht="16.5" thickBot="1" x14ac:dyDescent="0.3">
      <c r="A19" s="9">
        <v>44609</v>
      </c>
      <c r="B19" s="40">
        <v>315</v>
      </c>
      <c r="C19" s="147">
        <v>19338</v>
      </c>
      <c r="D19" s="40">
        <f t="shared" si="3"/>
        <v>160</v>
      </c>
      <c r="E19" s="148">
        <v>29834729</v>
      </c>
      <c r="F19" s="40">
        <f t="shared" si="4"/>
        <v>11298</v>
      </c>
      <c r="G19" s="149">
        <v>95231176</v>
      </c>
      <c r="H19" s="40">
        <f t="shared" si="5"/>
        <v>39936</v>
      </c>
      <c r="I19" s="154">
        <f t="shared" si="6"/>
        <v>51234</v>
      </c>
      <c r="J19" s="148">
        <v>9465110</v>
      </c>
      <c r="K19" s="131">
        <f t="shared" si="14"/>
        <v>0</v>
      </c>
      <c r="L19" s="151">
        <v>9475853</v>
      </c>
      <c r="M19" s="131">
        <f t="shared" si="7"/>
        <v>5433</v>
      </c>
      <c r="N19" s="148">
        <v>6333046</v>
      </c>
      <c r="O19" s="131">
        <f t="shared" si="15"/>
        <v>5732</v>
      </c>
      <c r="P19" s="151">
        <v>5909836</v>
      </c>
      <c r="Q19" s="131">
        <f t="shared" si="8"/>
        <v>2396</v>
      </c>
      <c r="R19" s="148">
        <v>20211660</v>
      </c>
      <c r="S19" s="131">
        <f t="shared" si="9"/>
        <v>9807</v>
      </c>
      <c r="T19" s="155">
        <v>0</v>
      </c>
      <c r="U19" s="152"/>
      <c r="V19" s="148">
        <v>8106035</v>
      </c>
      <c r="W19" s="131">
        <f t="shared" si="10"/>
        <v>10873</v>
      </c>
      <c r="X19" s="20">
        <f t="shared" si="11"/>
        <v>34241</v>
      </c>
      <c r="Y19" s="156">
        <f t="shared" si="12"/>
        <v>16993</v>
      </c>
      <c r="Z19" s="157">
        <f t="shared" si="13"/>
        <v>6196.0246399999996</v>
      </c>
      <c r="AA19" s="3">
        <f t="shared" si="17"/>
        <v>22552.748878400002</v>
      </c>
    </row>
    <row r="20" spans="1:27" s="132" customFormat="1" ht="16.5" thickBot="1" x14ac:dyDescent="0.3">
      <c r="A20" s="9">
        <v>44610</v>
      </c>
      <c r="B20" s="40">
        <v>320</v>
      </c>
      <c r="C20" s="147">
        <v>19339</v>
      </c>
      <c r="D20" s="40">
        <f t="shared" si="3"/>
        <v>160</v>
      </c>
      <c r="E20" s="148">
        <v>29844530</v>
      </c>
      <c r="F20" s="40">
        <f t="shared" si="4"/>
        <v>9801</v>
      </c>
      <c r="G20" s="149">
        <v>95266928</v>
      </c>
      <c r="H20" s="40">
        <f t="shared" si="5"/>
        <v>35752</v>
      </c>
      <c r="I20" s="154">
        <f t="shared" si="6"/>
        <v>45553</v>
      </c>
      <c r="J20" s="148">
        <v>9465793</v>
      </c>
      <c r="K20" s="131">
        <f t="shared" si="14"/>
        <v>1366</v>
      </c>
      <c r="L20" s="151">
        <v>9480632</v>
      </c>
      <c r="M20" s="131">
        <f t="shared" si="7"/>
        <v>4779</v>
      </c>
      <c r="N20" s="148">
        <v>6335488</v>
      </c>
      <c r="O20" s="131">
        <f t="shared" si="15"/>
        <v>4884</v>
      </c>
      <c r="P20" s="151">
        <v>5911997</v>
      </c>
      <c r="Q20" s="131">
        <f t="shared" si="8"/>
        <v>2161</v>
      </c>
      <c r="R20" s="148">
        <v>20220546</v>
      </c>
      <c r="S20" s="131">
        <f t="shared" si="9"/>
        <v>8886</v>
      </c>
      <c r="T20" s="155">
        <v>0</v>
      </c>
      <c r="U20" s="152"/>
      <c r="V20" s="148">
        <v>8115999</v>
      </c>
      <c r="W20" s="131">
        <f t="shared" si="10"/>
        <v>9964</v>
      </c>
      <c r="X20" s="20">
        <f t="shared" si="11"/>
        <v>32040</v>
      </c>
      <c r="Y20" s="156">
        <f t="shared" si="12"/>
        <v>13513</v>
      </c>
      <c r="Z20" s="157">
        <f t="shared" si="13"/>
        <v>5595.0720799999999</v>
      </c>
      <c r="AA20" s="3">
        <f t="shared" si="17"/>
        <v>22604.586742400003</v>
      </c>
    </row>
    <row r="21" spans="1:27" s="132" customFormat="1" ht="16.5" thickBot="1" x14ac:dyDescent="0.3">
      <c r="A21" s="9">
        <v>44611</v>
      </c>
      <c r="B21" s="40">
        <v>306</v>
      </c>
      <c r="C21" s="147">
        <v>19340</v>
      </c>
      <c r="D21" s="40">
        <f t="shared" si="3"/>
        <v>160</v>
      </c>
      <c r="E21" s="148">
        <v>29852284</v>
      </c>
      <c r="F21" s="40">
        <f t="shared" si="4"/>
        <v>7754</v>
      </c>
      <c r="G21" s="149">
        <v>95296102</v>
      </c>
      <c r="H21" s="40">
        <f t="shared" si="5"/>
        <v>29174</v>
      </c>
      <c r="I21" s="154">
        <f t="shared" si="6"/>
        <v>36928</v>
      </c>
      <c r="J21" s="148">
        <v>9469168</v>
      </c>
      <c r="K21" s="131">
        <f t="shared" si="14"/>
        <v>6750</v>
      </c>
      <c r="L21" s="151">
        <v>9484584</v>
      </c>
      <c r="M21" s="131">
        <f t="shared" si="7"/>
        <v>3952</v>
      </c>
      <c r="N21" s="148">
        <v>6337332</v>
      </c>
      <c r="O21" s="131">
        <f t="shared" si="15"/>
        <v>3688</v>
      </c>
      <c r="P21" s="151">
        <v>5913751</v>
      </c>
      <c r="Q21" s="131">
        <f t="shared" si="8"/>
        <v>1754</v>
      </c>
      <c r="R21" s="148">
        <v>20227571</v>
      </c>
      <c r="S21" s="131">
        <f t="shared" si="9"/>
        <v>7025</v>
      </c>
      <c r="T21" s="155">
        <v>0</v>
      </c>
      <c r="U21" s="152"/>
      <c r="V21" s="148">
        <v>8124167</v>
      </c>
      <c r="W21" s="131">
        <f t="shared" si="10"/>
        <v>8168</v>
      </c>
      <c r="X21" s="20">
        <f t="shared" si="11"/>
        <v>31337</v>
      </c>
      <c r="Y21" s="156">
        <f t="shared" si="12"/>
        <v>5591</v>
      </c>
      <c r="Z21" s="157">
        <f t="shared" si="13"/>
        <v>4475.3994896000004</v>
      </c>
      <c r="AA21" s="3">
        <f t="shared" si="17"/>
        <v>22450.867316800002</v>
      </c>
    </row>
    <row r="22" spans="1:27" ht="16.5" thickBot="1" x14ac:dyDescent="0.3">
      <c r="A22" s="9">
        <v>44612</v>
      </c>
      <c r="B22" s="40">
        <v>210</v>
      </c>
      <c r="C22" s="147">
        <v>19344</v>
      </c>
      <c r="D22" s="40">
        <f t="shared" si="3"/>
        <v>640</v>
      </c>
      <c r="E22" s="148">
        <v>29863319</v>
      </c>
      <c r="F22" s="40">
        <f t="shared" si="4"/>
        <v>11035</v>
      </c>
      <c r="G22" s="149">
        <v>95335463</v>
      </c>
      <c r="H22" s="40">
        <f t="shared" si="5"/>
        <v>39361</v>
      </c>
      <c r="I22" s="150">
        <f t="shared" si="6"/>
        <v>50396</v>
      </c>
      <c r="J22" s="148">
        <v>9474105</v>
      </c>
      <c r="K22" s="40">
        <f t="shared" si="14"/>
        <v>9874</v>
      </c>
      <c r="L22" s="151">
        <v>9490328</v>
      </c>
      <c r="M22" s="40">
        <f t="shared" si="7"/>
        <v>5744</v>
      </c>
      <c r="N22" s="148">
        <v>6339904</v>
      </c>
      <c r="O22" s="40">
        <f t="shared" si="15"/>
        <v>5144</v>
      </c>
      <c r="P22" s="151">
        <v>5919080</v>
      </c>
      <c r="Q22" s="40">
        <f t="shared" si="8"/>
        <v>5329</v>
      </c>
      <c r="R22" s="148">
        <v>20237840</v>
      </c>
      <c r="S22" s="40">
        <f t="shared" si="9"/>
        <v>10269</v>
      </c>
      <c r="T22" s="148">
        <v>0</v>
      </c>
      <c r="U22" s="152"/>
      <c r="V22" s="148">
        <v>8134816</v>
      </c>
      <c r="W22" s="40">
        <f t="shared" si="10"/>
        <v>10649</v>
      </c>
      <c r="X22" s="20">
        <f t="shared" si="11"/>
        <v>47009</v>
      </c>
      <c r="Y22" s="153">
        <f t="shared" si="12"/>
        <v>3387</v>
      </c>
      <c r="Z22" s="3">
        <f t="shared" si="13"/>
        <v>6593.2718175999998</v>
      </c>
      <c r="AA22" s="3">
        <f t="shared" si="17"/>
        <v>22859.7680272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19344</v>
      </c>
      <c r="D23" s="40">
        <f t="shared" si="3"/>
        <v>0</v>
      </c>
      <c r="E23" s="148">
        <f t="shared" ref="E22:E30" si="31">E22</f>
        <v>29863319</v>
      </c>
      <c r="F23" s="40">
        <f t="shared" si="4"/>
        <v>0</v>
      </c>
      <c r="G23" s="149">
        <f t="shared" ref="G22:G30" si="32">G22</f>
        <v>95335463</v>
      </c>
      <c r="H23" s="40">
        <f t="shared" si="5"/>
        <v>0</v>
      </c>
      <c r="I23" s="150">
        <f t="shared" si="6"/>
        <v>0</v>
      </c>
      <c r="J23" s="148">
        <f t="shared" ref="J22:J30" si="33">J22</f>
        <v>9474105</v>
      </c>
      <c r="K23" s="40">
        <f t="shared" si="14"/>
        <v>0</v>
      </c>
      <c r="L23" s="151">
        <f t="shared" ref="L22:L30" si="34">L22</f>
        <v>9490328</v>
      </c>
      <c r="M23" s="40">
        <f t="shared" si="7"/>
        <v>0</v>
      </c>
      <c r="N23" s="148">
        <f t="shared" ref="N22:N30" si="35">N22</f>
        <v>6339904</v>
      </c>
      <c r="O23" s="40">
        <f t="shared" si="15"/>
        <v>0</v>
      </c>
      <c r="P23" s="151">
        <f t="shared" ref="P22:P30" si="36">P22</f>
        <v>5919080</v>
      </c>
      <c r="Q23" s="40">
        <f t="shared" si="8"/>
        <v>0</v>
      </c>
      <c r="R23" s="148">
        <f t="shared" ref="R22:R30" si="37">R22</f>
        <v>20237840</v>
      </c>
      <c r="S23" s="40">
        <f t="shared" si="9"/>
        <v>0</v>
      </c>
      <c r="T23" s="148">
        <v>0</v>
      </c>
      <c r="U23" s="152"/>
      <c r="V23" s="148">
        <f t="shared" ref="V22:V30" si="38">V22</f>
        <v>8134816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16663.7433872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19344</v>
      </c>
      <c r="D24" s="40">
        <f t="shared" si="3"/>
        <v>0</v>
      </c>
      <c r="E24" s="148">
        <f t="shared" si="31"/>
        <v>29863319</v>
      </c>
      <c r="F24" s="40">
        <f t="shared" si="4"/>
        <v>0</v>
      </c>
      <c r="G24" s="149">
        <f t="shared" si="32"/>
        <v>95335463</v>
      </c>
      <c r="H24" s="40">
        <f t="shared" si="5"/>
        <v>0</v>
      </c>
      <c r="I24" s="150">
        <f t="shared" si="6"/>
        <v>0</v>
      </c>
      <c r="J24" s="148">
        <f t="shared" si="33"/>
        <v>9474105</v>
      </c>
      <c r="K24" s="40">
        <f t="shared" si="14"/>
        <v>0</v>
      </c>
      <c r="L24" s="151">
        <f t="shared" si="34"/>
        <v>9490328</v>
      </c>
      <c r="M24" s="40">
        <f t="shared" si="7"/>
        <v>0</v>
      </c>
      <c r="N24" s="148">
        <f t="shared" si="35"/>
        <v>6339904</v>
      </c>
      <c r="O24" s="40">
        <f t="shared" si="15"/>
        <v>0</v>
      </c>
      <c r="P24" s="151">
        <f t="shared" si="36"/>
        <v>5919080</v>
      </c>
      <c r="Q24" s="40">
        <f t="shared" si="8"/>
        <v>0</v>
      </c>
      <c r="R24" s="148">
        <f t="shared" si="37"/>
        <v>20237840</v>
      </c>
      <c r="S24" s="40">
        <f t="shared" si="9"/>
        <v>0</v>
      </c>
      <c r="T24" s="148">
        <v>0</v>
      </c>
      <c r="U24" s="152"/>
      <c r="V24" s="148">
        <f t="shared" si="38"/>
        <v>8134816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11068.6713072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19344</v>
      </c>
      <c r="D25" s="40">
        <f t="shared" si="3"/>
        <v>0</v>
      </c>
      <c r="E25" s="148">
        <f t="shared" si="31"/>
        <v>29863319</v>
      </c>
      <c r="F25" s="40">
        <f t="shared" si="4"/>
        <v>0</v>
      </c>
      <c r="G25" s="149">
        <f t="shared" si="32"/>
        <v>95335463</v>
      </c>
      <c r="H25" s="40">
        <f t="shared" si="5"/>
        <v>0</v>
      </c>
      <c r="I25" s="150">
        <f t="shared" si="6"/>
        <v>0</v>
      </c>
      <c r="J25" s="148">
        <f t="shared" si="33"/>
        <v>9474105</v>
      </c>
      <c r="K25" s="40">
        <f t="shared" si="14"/>
        <v>0</v>
      </c>
      <c r="L25" s="151">
        <f t="shared" si="34"/>
        <v>9490328</v>
      </c>
      <c r="M25" s="40">
        <f t="shared" si="7"/>
        <v>0</v>
      </c>
      <c r="N25" s="148">
        <f t="shared" si="35"/>
        <v>6339904</v>
      </c>
      <c r="O25" s="40">
        <f t="shared" si="15"/>
        <v>0</v>
      </c>
      <c r="P25" s="151">
        <f t="shared" si="36"/>
        <v>5919080</v>
      </c>
      <c r="Q25" s="40">
        <f t="shared" si="8"/>
        <v>0</v>
      </c>
      <c r="R25" s="148">
        <f t="shared" si="37"/>
        <v>20237840</v>
      </c>
      <c r="S25" s="40">
        <f t="shared" si="9"/>
        <v>0</v>
      </c>
      <c r="T25" s="148">
        <v>0</v>
      </c>
      <c r="U25" s="152"/>
      <c r="V25" s="148">
        <f t="shared" si="38"/>
        <v>8134816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6593.2718175999998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19344</v>
      </c>
      <c r="D26" s="40">
        <f t="shared" si="3"/>
        <v>0</v>
      </c>
      <c r="E26" s="148">
        <f t="shared" si="31"/>
        <v>29863319</v>
      </c>
      <c r="F26" s="40">
        <f t="shared" si="4"/>
        <v>0</v>
      </c>
      <c r="G26" s="149">
        <f t="shared" si="32"/>
        <v>95335463</v>
      </c>
      <c r="H26" s="40">
        <f t="shared" si="5"/>
        <v>0</v>
      </c>
      <c r="I26" s="150">
        <f t="shared" si="6"/>
        <v>0</v>
      </c>
      <c r="J26" s="148">
        <f t="shared" si="33"/>
        <v>9474105</v>
      </c>
      <c r="K26" s="40">
        <f t="shared" si="14"/>
        <v>0</v>
      </c>
      <c r="L26" s="151">
        <f t="shared" si="34"/>
        <v>9490328</v>
      </c>
      <c r="M26" s="40">
        <f t="shared" si="7"/>
        <v>0</v>
      </c>
      <c r="N26" s="148">
        <f t="shared" si="35"/>
        <v>6339904</v>
      </c>
      <c r="O26" s="40">
        <f t="shared" si="15"/>
        <v>0</v>
      </c>
      <c r="P26" s="151">
        <f t="shared" si="36"/>
        <v>5919080</v>
      </c>
      <c r="Q26" s="40">
        <f t="shared" si="8"/>
        <v>0</v>
      </c>
      <c r="R26" s="148">
        <f t="shared" si="37"/>
        <v>20237840</v>
      </c>
      <c r="S26" s="40">
        <f t="shared" si="9"/>
        <v>0</v>
      </c>
      <c r="T26" s="148">
        <v>0</v>
      </c>
      <c r="U26" s="152"/>
      <c r="V26" s="148">
        <f t="shared" si="38"/>
        <v>8134816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19344</v>
      </c>
      <c r="D27" s="40">
        <f t="shared" si="3"/>
        <v>0</v>
      </c>
      <c r="E27" s="148">
        <f t="shared" si="31"/>
        <v>29863319</v>
      </c>
      <c r="F27" s="40">
        <f t="shared" si="4"/>
        <v>0</v>
      </c>
      <c r="G27" s="149">
        <f t="shared" si="32"/>
        <v>95335463</v>
      </c>
      <c r="H27" s="40">
        <f t="shared" si="5"/>
        <v>0</v>
      </c>
      <c r="I27" s="150">
        <f t="shared" si="6"/>
        <v>0</v>
      </c>
      <c r="J27" s="148">
        <f t="shared" si="33"/>
        <v>9474105</v>
      </c>
      <c r="K27" s="40">
        <f t="shared" si="14"/>
        <v>0</v>
      </c>
      <c r="L27" s="151">
        <f t="shared" si="34"/>
        <v>9490328</v>
      </c>
      <c r="M27" s="40">
        <f t="shared" si="7"/>
        <v>0</v>
      </c>
      <c r="N27" s="148">
        <f t="shared" si="35"/>
        <v>6339904</v>
      </c>
      <c r="O27" s="40">
        <f t="shared" si="15"/>
        <v>0</v>
      </c>
      <c r="P27" s="151">
        <f t="shared" si="36"/>
        <v>5919080</v>
      </c>
      <c r="Q27" s="40">
        <f t="shared" si="8"/>
        <v>0</v>
      </c>
      <c r="R27" s="148">
        <f t="shared" si="37"/>
        <v>20237840</v>
      </c>
      <c r="S27" s="40">
        <f t="shared" si="9"/>
        <v>0</v>
      </c>
      <c r="T27" s="148">
        <v>0</v>
      </c>
      <c r="U27" s="152"/>
      <c r="V27" s="148">
        <f t="shared" si="38"/>
        <v>8134816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19344</v>
      </c>
      <c r="D28" s="40">
        <f t="shared" si="3"/>
        <v>0</v>
      </c>
      <c r="E28" s="148">
        <f t="shared" si="31"/>
        <v>29863319</v>
      </c>
      <c r="F28" s="40">
        <f t="shared" si="4"/>
        <v>0</v>
      </c>
      <c r="G28" s="149">
        <f t="shared" si="32"/>
        <v>95335463</v>
      </c>
      <c r="H28" s="40">
        <f t="shared" si="5"/>
        <v>0</v>
      </c>
      <c r="I28" s="150">
        <f t="shared" si="6"/>
        <v>0</v>
      </c>
      <c r="J28" s="148">
        <f t="shared" si="33"/>
        <v>9474105</v>
      </c>
      <c r="K28" s="40">
        <f t="shared" si="14"/>
        <v>0</v>
      </c>
      <c r="L28" s="151">
        <f t="shared" si="34"/>
        <v>9490328</v>
      </c>
      <c r="M28" s="40">
        <f t="shared" si="7"/>
        <v>0</v>
      </c>
      <c r="N28" s="148">
        <f t="shared" si="35"/>
        <v>6339904</v>
      </c>
      <c r="O28" s="40">
        <f t="shared" si="15"/>
        <v>0</v>
      </c>
      <c r="P28" s="151">
        <f t="shared" si="36"/>
        <v>5919080</v>
      </c>
      <c r="Q28" s="40">
        <f t="shared" si="8"/>
        <v>0</v>
      </c>
      <c r="R28" s="148">
        <f t="shared" si="37"/>
        <v>20237840</v>
      </c>
      <c r="S28" s="40">
        <f t="shared" si="9"/>
        <v>0</v>
      </c>
      <c r="T28" s="148">
        <v>0</v>
      </c>
      <c r="U28" s="152"/>
      <c r="V28" s="148">
        <f t="shared" si="38"/>
        <v>8134816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19344</v>
      </c>
      <c r="D29" s="40">
        <f t="shared" si="3"/>
        <v>0</v>
      </c>
      <c r="E29" s="148">
        <f t="shared" si="31"/>
        <v>29863319</v>
      </c>
      <c r="F29" s="40">
        <f t="shared" si="4"/>
        <v>0</v>
      </c>
      <c r="G29" s="149">
        <f t="shared" si="32"/>
        <v>95335463</v>
      </c>
      <c r="H29" s="40">
        <f t="shared" si="5"/>
        <v>0</v>
      </c>
      <c r="I29" s="150">
        <f t="shared" si="6"/>
        <v>0</v>
      </c>
      <c r="J29" s="148">
        <f t="shared" si="33"/>
        <v>9474105</v>
      </c>
      <c r="K29" s="40">
        <f t="shared" si="14"/>
        <v>0</v>
      </c>
      <c r="L29" s="151">
        <f t="shared" si="34"/>
        <v>9490328</v>
      </c>
      <c r="M29" s="40">
        <f t="shared" si="7"/>
        <v>0</v>
      </c>
      <c r="N29" s="148">
        <f t="shared" si="35"/>
        <v>6339904</v>
      </c>
      <c r="O29" s="40">
        <f t="shared" si="15"/>
        <v>0</v>
      </c>
      <c r="P29" s="151">
        <f t="shared" si="36"/>
        <v>5919080</v>
      </c>
      <c r="Q29" s="40">
        <f t="shared" si="8"/>
        <v>0</v>
      </c>
      <c r="R29" s="148">
        <f t="shared" si="37"/>
        <v>20237840</v>
      </c>
      <c r="S29" s="40">
        <f t="shared" si="9"/>
        <v>0</v>
      </c>
      <c r="T29" s="148">
        <v>0</v>
      </c>
      <c r="U29" s="152"/>
      <c r="V29" s="148">
        <f t="shared" si="38"/>
        <v>8134816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19344</v>
      </c>
      <c r="D30" s="40">
        <f t="shared" si="3"/>
        <v>0</v>
      </c>
      <c r="E30" s="148">
        <f t="shared" si="31"/>
        <v>29863319</v>
      </c>
      <c r="F30" s="40">
        <f t="shared" si="4"/>
        <v>0</v>
      </c>
      <c r="G30" s="149">
        <f t="shared" si="32"/>
        <v>95335463</v>
      </c>
      <c r="H30" s="40">
        <f t="shared" si="5"/>
        <v>0</v>
      </c>
      <c r="I30" s="150">
        <f t="shared" si="6"/>
        <v>0</v>
      </c>
      <c r="J30" s="148">
        <f t="shared" si="33"/>
        <v>9474105</v>
      </c>
      <c r="K30" s="40">
        <f t="shared" si="14"/>
        <v>0</v>
      </c>
      <c r="L30" s="151">
        <f t="shared" si="34"/>
        <v>9490328</v>
      </c>
      <c r="M30" s="40">
        <f t="shared" si="7"/>
        <v>0</v>
      </c>
      <c r="N30" s="148">
        <f t="shared" si="35"/>
        <v>6339904</v>
      </c>
      <c r="O30" s="40">
        <f t="shared" si="15"/>
        <v>0</v>
      </c>
      <c r="P30" s="151">
        <f t="shared" si="36"/>
        <v>5919080</v>
      </c>
      <c r="Q30" s="40">
        <f t="shared" si="8"/>
        <v>0</v>
      </c>
      <c r="R30" s="148">
        <f t="shared" si="37"/>
        <v>20237840</v>
      </c>
      <c r="S30" s="40">
        <f t="shared" si="9"/>
        <v>0</v>
      </c>
      <c r="T30" s="148">
        <v>0</v>
      </c>
      <c r="U30" s="152"/>
      <c r="V30" s="148">
        <f t="shared" si="38"/>
        <v>8134816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4560</v>
      </c>
      <c r="C31" s="139"/>
      <c r="D31" s="139">
        <f>SUM(D3:D30)</f>
        <v>4480</v>
      </c>
      <c r="E31" s="57">
        <v>0</v>
      </c>
      <c r="F31" s="57">
        <f>SUM(F3:F30)</f>
        <v>193988</v>
      </c>
      <c r="G31" s="57">
        <v>0</v>
      </c>
      <c r="H31" s="57">
        <f>SUM(H3:H30)</f>
        <v>735831</v>
      </c>
      <c r="I31" s="57">
        <f>SUM(I6:I30)</f>
        <v>803095</v>
      </c>
      <c r="J31" s="57">
        <v>0</v>
      </c>
      <c r="K31" s="57">
        <f>SUM(K3:K30)</f>
        <v>177806</v>
      </c>
      <c r="L31" s="57">
        <v>0</v>
      </c>
      <c r="M31" s="57">
        <f>SUM(M3:M30)</f>
        <v>95785</v>
      </c>
      <c r="N31" s="57">
        <v>0</v>
      </c>
      <c r="O31" s="57">
        <f>SUM(O3:O30)</f>
        <v>95398</v>
      </c>
      <c r="P31" s="57">
        <v>0</v>
      </c>
      <c r="Q31" s="57">
        <f>SUM(Q3:Q30)</f>
        <v>58535</v>
      </c>
      <c r="R31" s="57">
        <v>0</v>
      </c>
      <c r="S31" s="57">
        <f>SUM(S3:S30)</f>
        <v>187908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192564</v>
      </c>
      <c r="X31" s="57">
        <f>SUM(X6:X30)</f>
        <v>697878</v>
      </c>
      <c r="Y31" s="57">
        <f>SUM(Y3:Y30)</f>
        <v>121823</v>
      </c>
      <c r="Z31" s="57">
        <f>SUM(Z3:Z30)</f>
        <v>114630.9101184</v>
      </c>
      <c r="AA31" s="57">
        <f>SUM(AA3:AA30)</f>
        <v>453555.8176448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v>439129</v>
      </c>
      <c r="C11" s="40">
        <f t="shared" si="8"/>
        <v>860</v>
      </c>
      <c r="D11" s="3">
        <v>3285</v>
      </c>
      <c r="E11" s="40">
        <f t="shared" si="3"/>
        <v>480</v>
      </c>
      <c r="F11" s="3">
        <v>7755500</v>
      </c>
      <c r="G11" s="40">
        <f t="shared" si="6"/>
        <v>245.7</v>
      </c>
      <c r="H11" s="3">
        <v>773763</v>
      </c>
      <c r="I11" s="45">
        <f t="shared" si="7"/>
        <v>6.5880000000000001</v>
      </c>
      <c r="J11" s="20">
        <f t="shared" si="4"/>
        <v>1592.288</v>
      </c>
      <c r="K11" s="21">
        <f t="shared" si="5"/>
        <v>9330.8076799999999</v>
      </c>
      <c r="N11" t="s">
        <v>12</v>
      </c>
    </row>
    <row r="12" spans="1:14" ht="16.5" thickBot="1" x14ac:dyDescent="0.3">
      <c r="A12" s="9">
        <v>44602</v>
      </c>
      <c r="B12" s="3">
        <v>439216</v>
      </c>
      <c r="C12" s="40">
        <f t="shared" si="8"/>
        <v>870</v>
      </c>
      <c r="D12" s="3">
        <v>3333</v>
      </c>
      <c r="E12" s="40">
        <f t="shared" si="3"/>
        <v>480</v>
      </c>
      <c r="F12" s="3">
        <v>7766500</v>
      </c>
      <c r="G12" s="40">
        <f t="shared" si="6"/>
        <v>297</v>
      </c>
      <c r="H12" s="3">
        <v>773961</v>
      </c>
      <c r="I12" s="45">
        <f t="shared" si="7"/>
        <v>5.3460000000000001</v>
      </c>
      <c r="J12" s="20">
        <f t="shared" si="4"/>
        <v>1652.346</v>
      </c>
      <c r="K12" s="21">
        <f t="shared" si="5"/>
        <v>9682.7475599999998</v>
      </c>
    </row>
    <row r="13" spans="1:14" ht="16.5" thickBot="1" x14ac:dyDescent="0.3">
      <c r="A13" s="9">
        <v>44603</v>
      </c>
      <c r="B13" s="3">
        <v>439303</v>
      </c>
      <c r="C13" s="40">
        <f t="shared" si="8"/>
        <v>870</v>
      </c>
      <c r="D13" s="3">
        <v>3381</v>
      </c>
      <c r="E13" s="40">
        <f t="shared" si="3"/>
        <v>480</v>
      </c>
      <c r="F13" s="3">
        <v>7777500</v>
      </c>
      <c r="G13" s="40">
        <f t="shared" si="6"/>
        <v>297</v>
      </c>
      <c r="H13" s="3">
        <v>774159</v>
      </c>
      <c r="I13" s="45">
        <f t="shared" si="7"/>
        <v>5.3460000000000001</v>
      </c>
      <c r="J13" s="20">
        <f t="shared" si="4"/>
        <v>1652.346</v>
      </c>
      <c r="K13" s="21">
        <f t="shared" si="5"/>
        <v>9682.7475599999998</v>
      </c>
    </row>
    <row r="14" spans="1:14" ht="16.5" thickBot="1" x14ac:dyDescent="0.3">
      <c r="A14" s="9">
        <v>44604</v>
      </c>
      <c r="B14" s="3">
        <v>439369</v>
      </c>
      <c r="C14" s="40">
        <f t="shared" si="8"/>
        <v>660</v>
      </c>
      <c r="D14" s="3">
        <f t="shared" ref="D14:D30" si="9">D13</f>
        <v>3381</v>
      </c>
      <c r="E14" s="40">
        <f t="shared" si="3"/>
        <v>0</v>
      </c>
      <c r="F14" s="3">
        <f t="shared" ref="F14:F30" si="10">F13</f>
        <v>7777500</v>
      </c>
      <c r="G14" s="40">
        <f t="shared" si="6"/>
        <v>0</v>
      </c>
      <c r="H14" s="3">
        <f t="shared" ref="H14:H30" si="11">H13</f>
        <v>774159</v>
      </c>
      <c r="I14" s="45">
        <f t="shared" si="7"/>
        <v>0</v>
      </c>
      <c r="J14" s="20">
        <f t="shared" si="4"/>
        <v>660</v>
      </c>
      <c r="K14" s="21">
        <f t="shared" si="5"/>
        <v>3867.6000000000004</v>
      </c>
    </row>
    <row r="15" spans="1:14" ht="16.5" thickBot="1" x14ac:dyDescent="0.3">
      <c r="A15" s="9">
        <v>44605</v>
      </c>
      <c r="B15" s="3">
        <v>439459</v>
      </c>
      <c r="C15" s="40">
        <f t="shared" si="8"/>
        <v>900</v>
      </c>
      <c r="D15" s="3">
        <v>3460</v>
      </c>
      <c r="E15" s="40">
        <f t="shared" si="3"/>
        <v>790</v>
      </c>
      <c r="F15" s="3">
        <v>7795800</v>
      </c>
      <c r="G15" s="40">
        <f t="shared" si="6"/>
        <v>494.1</v>
      </c>
      <c r="H15" s="3">
        <v>774536</v>
      </c>
      <c r="I15" s="45">
        <f t="shared" si="7"/>
        <v>10.179</v>
      </c>
      <c r="J15" s="20">
        <f t="shared" si="4"/>
        <v>2194.279</v>
      </c>
      <c r="K15" s="21">
        <f t="shared" si="5"/>
        <v>12858.47494</v>
      </c>
    </row>
    <row r="16" spans="1:14" ht="16.5" thickBot="1" x14ac:dyDescent="0.3">
      <c r="A16" s="9">
        <v>44606</v>
      </c>
      <c r="B16" s="3">
        <v>439542</v>
      </c>
      <c r="C16" s="40">
        <f t="shared" si="8"/>
        <v>830</v>
      </c>
      <c r="D16" s="3">
        <v>3504</v>
      </c>
      <c r="E16" s="40">
        <f t="shared" si="3"/>
        <v>440</v>
      </c>
      <c r="F16" s="3">
        <v>7806100</v>
      </c>
      <c r="G16" s="40">
        <f t="shared" si="6"/>
        <v>278.10000000000002</v>
      </c>
      <c r="H16" s="3">
        <v>774768</v>
      </c>
      <c r="I16" s="45">
        <f t="shared" si="7"/>
        <v>6.2640000000000002</v>
      </c>
      <c r="J16" s="20">
        <f t="shared" si="4"/>
        <v>1554.3639999999998</v>
      </c>
      <c r="K16" s="21">
        <f t="shared" si="5"/>
        <v>9108.5730399999993</v>
      </c>
    </row>
    <row r="17" spans="1:25" ht="16.5" thickBot="1" x14ac:dyDescent="0.3">
      <c r="A17" s="9">
        <v>44607</v>
      </c>
      <c r="B17" s="3">
        <v>439631</v>
      </c>
      <c r="C17" s="40">
        <f t="shared" si="8"/>
        <v>890</v>
      </c>
      <c r="D17" s="3">
        <v>3556</v>
      </c>
      <c r="E17" s="40">
        <f t="shared" si="3"/>
        <v>520</v>
      </c>
      <c r="F17" s="3">
        <v>7816100</v>
      </c>
      <c r="G17" s="40">
        <f t="shared" si="6"/>
        <v>270</v>
      </c>
      <c r="H17" s="3">
        <v>774952</v>
      </c>
      <c r="I17" s="45">
        <f t="shared" si="7"/>
        <v>4.968</v>
      </c>
      <c r="J17" s="20">
        <f t="shared" si="4"/>
        <v>1684.9680000000001</v>
      </c>
      <c r="K17" s="21">
        <f t="shared" si="5"/>
        <v>9873.9124800000009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v>439716</v>
      </c>
      <c r="C18" s="40">
        <f t="shared" si="8"/>
        <v>850</v>
      </c>
      <c r="D18" s="3">
        <v>3599</v>
      </c>
      <c r="E18" s="40">
        <f t="shared" si="3"/>
        <v>430</v>
      </c>
      <c r="F18" s="3">
        <v>7824800</v>
      </c>
      <c r="G18" s="40">
        <f t="shared" si="6"/>
        <v>234.9</v>
      </c>
      <c r="H18" s="3">
        <v>775148</v>
      </c>
      <c r="I18" s="45">
        <f t="shared" si="7"/>
        <v>5.2919999999999998</v>
      </c>
      <c r="J18" s="20">
        <f t="shared" si="4"/>
        <v>1520.192</v>
      </c>
      <c r="K18" s="21">
        <f t="shared" si="5"/>
        <v>8908.3251200000013</v>
      </c>
      <c r="Q18" t="s">
        <v>43</v>
      </c>
    </row>
    <row r="19" spans="1:25" ht="16.5" thickBot="1" x14ac:dyDescent="0.3">
      <c r="A19" s="9">
        <v>44609</v>
      </c>
      <c r="B19" s="3">
        <v>439801</v>
      </c>
      <c r="C19" s="40">
        <f t="shared" si="8"/>
        <v>850</v>
      </c>
      <c r="D19" s="3">
        <v>3642</v>
      </c>
      <c r="E19" s="40">
        <f t="shared" si="3"/>
        <v>430</v>
      </c>
      <c r="F19" s="3">
        <v>7833500</v>
      </c>
      <c r="G19" s="40">
        <f t="shared" si="6"/>
        <v>234.9</v>
      </c>
      <c r="H19" s="3">
        <v>775344</v>
      </c>
      <c r="I19" s="45">
        <f t="shared" si="7"/>
        <v>5.2919999999999998</v>
      </c>
      <c r="J19" s="20">
        <f t="shared" si="4"/>
        <v>1520.192</v>
      </c>
      <c r="K19" s="21">
        <f t="shared" si="5"/>
        <v>8908.3251200000013</v>
      </c>
      <c r="Q19" t="s">
        <v>12</v>
      </c>
    </row>
    <row r="20" spans="1:25" ht="16.5" thickBot="1" x14ac:dyDescent="0.3">
      <c r="A20" s="9">
        <v>44610</v>
      </c>
      <c r="B20" s="3">
        <v>439884</v>
      </c>
      <c r="C20" s="40">
        <f t="shared" si="8"/>
        <v>830</v>
      </c>
      <c r="D20" s="3">
        <v>3686</v>
      </c>
      <c r="E20" s="40">
        <f t="shared" si="3"/>
        <v>440</v>
      </c>
      <c r="F20" s="3">
        <v>7847700</v>
      </c>
      <c r="G20" s="40">
        <f t="shared" si="6"/>
        <v>383.4</v>
      </c>
      <c r="H20" s="3">
        <v>775523</v>
      </c>
      <c r="I20" s="45">
        <f t="shared" si="7"/>
        <v>4.8330000000000002</v>
      </c>
      <c r="J20" s="20">
        <f t="shared" si="4"/>
        <v>1658.2330000000002</v>
      </c>
      <c r="K20" s="21">
        <f t="shared" si="5"/>
        <v>9717.2453800000021</v>
      </c>
    </row>
    <row r="21" spans="1:25" ht="16.5" thickBot="1" x14ac:dyDescent="0.3">
      <c r="A21" s="9">
        <v>44611</v>
      </c>
      <c r="B21" s="3">
        <v>439970</v>
      </c>
      <c r="C21" s="40">
        <f t="shared" si="8"/>
        <v>860</v>
      </c>
      <c r="D21" s="3">
        <v>3731</v>
      </c>
      <c r="E21" s="40">
        <f t="shared" si="3"/>
        <v>450</v>
      </c>
      <c r="F21" s="3">
        <v>7857800</v>
      </c>
      <c r="G21" s="40">
        <f t="shared" si="6"/>
        <v>272.7</v>
      </c>
      <c r="H21" s="3">
        <v>775706</v>
      </c>
      <c r="I21" s="45">
        <f t="shared" si="7"/>
        <v>4.9409999999999998</v>
      </c>
      <c r="J21" s="20">
        <f t="shared" si="4"/>
        <v>1587.6410000000001</v>
      </c>
      <c r="K21" s="21">
        <f t="shared" si="5"/>
        <v>9303.5762600000016</v>
      </c>
    </row>
    <row r="22" spans="1:25" ht="16.5" thickBot="1" x14ac:dyDescent="0.3">
      <c r="A22" s="9">
        <v>44612</v>
      </c>
      <c r="B22" s="3">
        <v>440057</v>
      </c>
      <c r="C22" s="40">
        <f t="shared" si="8"/>
        <v>870</v>
      </c>
      <c r="D22" s="3">
        <v>3772</v>
      </c>
      <c r="E22" s="40">
        <f t="shared" si="3"/>
        <v>410</v>
      </c>
      <c r="F22" s="3">
        <v>7868200</v>
      </c>
      <c r="G22" s="40">
        <f t="shared" si="6"/>
        <v>280.8</v>
      </c>
      <c r="H22" s="3">
        <v>775894</v>
      </c>
      <c r="I22" s="45">
        <f t="shared" si="7"/>
        <v>5.0759999999999996</v>
      </c>
      <c r="J22" s="20">
        <f t="shared" si="4"/>
        <v>1565.876</v>
      </c>
      <c r="K22" s="21">
        <f t="shared" si="5"/>
        <v>9176.0333600000013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ref="B22:B30" si="12">B22</f>
        <v>440057</v>
      </c>
      <c r="C23" s="40">
        <f t="shared" si="8"/>
        <v>0</v>
      </c>
      <c r="D23" s="3">
        <f t="shared" si="9"/>
        <v>3772</v>
      </c>
      <c r="E23" s="40">
        <f t="shared" si="3"/>
        <v>0</v>
      </c>
      <c r="F23" s="3">
        <f t="shared" si="10"/>
        <v>7868200</v>
      </c>
      <c r="G23" s="40">
        <f t="shared" si="6"/>
        <v>0</v>
      </c>
      <c r="H23" s="3">
        <f t="shared" si="11"/>
        <v>775894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12"/>
        <v>440057</v>
      </c>
      <c r="C24" s="40">
        <f t="shared" si="8"/>
        <v>0</v>
      </c>
      <c r="D24" s="3">
        <f t="shared" si="9"/>
        <v>3772</v>
      </c>
      <c r="E24" s="40">
        <f t="shared" si="3"/>
        <v>0</v>
      </c>
      <c r="F24" s="3">
        <f t="shared" si="10"/>
        <v>7868200</v>
      </c>
      <c r="G24" s="40">
        <f t="shared" si="6"/>
        <v>0</v>
      </c>
      <c r="H24" s="3">
        <f t="shared" si="11"/>
        <v>775894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12"/>
        <v>440057</v>
      </c>
      <c r="C25" s="40">
        <f t="shared" si="8"/>
        <v>0</v>
      </c>
      <c r="D25" s="3">
        <f t="shared" si="9"/>
        <v>3772</v>
      </c>
      <c r="E25" s="40">
        <f t="shared" si="3"/>
        <v>0</v>
      </c>
      <c r="F25" s="3">
        <f t="shared" si="10"/>
        <v>7868200</v>
      </c>
      <c r="G25" s="40">
        <f t="shared" si="6"/>
        <v>0</v>
      </c>
      <c r="H25" s="3">
        <f t="shared" si="11"/>
        <v>775894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12"/>
        <v>440057</v>
      </c>
      <c r="C26" s="40">
        <f t="shared" si="8"/>
        <v>0</v>
      </c>
      <c r="D26" s="3">
        <f t="shared" si="9"/>
        <v>3772</v>
      </c>
      <c r="E26" s="40">
        <f t="shared" si="3"/>
        <v>0</v>
      </c>
      <c r="F26" s="3">
        <f t="shared" si="10"/>
        <v>7868200</v>
      </c>
      <c r="G26" s="40">
        <f t="shared" si="6"/>
        <v>0</v>
      </c>
      <c r="H26" s="3">
        <f t="shared" si="11"/>
        <v>775894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12"/>
        <v>440057</v>
      </c>
      <c r="C27" s="40">
        <f t="shared" si="8"/>
        <v>0</v>
      </c>
      <c r="D27" s="3">
        <f t="shared" si="9"/>
        <v>3772</v>
      </c>
      <c r="E27" s="40">
        <f t="shared" si="3"/>
        <v>0</v>
      </c>
      <c r="F27" s="3">
        <f t="shared" si="10"/>
        <v>7868200</v>
      </c>
      <c r="G27" s="40">
        <f t="shared" si="6"/>
        <v>0</v>
      </c>
      <c r="H27" s="3">
        <f t="shared" si="11"/>
        <v>775894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12"/>
        <v>440057</v>
      </c>
      <c r="C28" s="40">
        <f t="shared" si="8"/>
        <v>0</v>
      </c>
      <c r="D28" s="3">
        <f t="shared" si="9"/>
        <v>3772</v>
      </c>
      <c r="E28" s="40">
        <f t="shared" si="3"/>
        <v>0</v>
      </c>
      <c r="F28" s="3">
        <f t="shared" si="10"/>
        <v>7868200</v>
      </c>
      <c r="G28" s="40">
        <f t="shared" si="6"/>
        <v>0</v>
      </c>
      <c r="H28" s="3">
        <f t="shared" si="11"/>
        <v>775894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12"/>
        <v>440057</v>
      </c>
      <c r="C29" s="40">
        <f t="shared" si="8"/>
        <v>0</v>
      </c>
      <c r="D29" s="3">
        <f t="shared" si="9"/>
        <v>3772</v>
      </c>
      <c r="E29" s="40">
        <f t="shared" si="3"/>
        <v>0</v>
      </c>
      <c r="F29" s="3">
        <f t="shared" si="10"/>
        <v>7868200</v>
      </c>
      <c r="G29" s="40">
        <f t="shared" si="6"/>
        <v>0</v>
      </c>
      <c r="H29" s="3">
        <f t="shared" si="11"/>
        <v>775894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12"/>
        <v>440057</v>
      </c>
      <c r="C30" s="40">
        <f t="shared" si="8"/>
        <v>0</v>
      </c>
      <c r="D30" s="3">
        <f t="shared" si="9"/>
        <v>3772</v>
      </c>
      <c r="E30" s="40">
        <f t="shared" si="3"/>
        <v>0</v>
      </c>
      <c r="F30" s="3">
        <f t="shared" si="10"/>
        <v>7868200</v>
      </c>
      <c r="G30" s="40">
        <f t="shared" si="6"/>
        <v>0</v>
      </c>
      <c r="H30" s="3">
        <f t="shared" si="11"/>
        <v>775894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15870</v>
      </c>
      <c r="D31" s="3"/>
      <c r="E31" s="57">
        <f>SUM(E4:E30)</f>
        <v>8710</v>
      </c>
      <c r="F31" s="3"/>
      <c r="G31" s="57">
        <f>SUM(G4:G30)</f>
        <v>4989.5999999999995</v>
      </c>
      <c r="H31" s="3"/>
      <c r="I31" s="57">
        <f>SUM(I4:I30)</f>
        <v>104.03100000000001</v>
      </c>
      <c r="J31" s="57">
        <f>SUM(J4:J30)</f>
        <v>29673.630999999998</v>
      </c>
      <c r="K31" s="57">
        <f>SUM(K4:K30)</f>
        <v>173887.47766000003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10" zoomScale="80" zoomScaleNormal="55" zoomScaleSheetLayoutView="80" workbookViewId="0">
      <pane xSplit="1" topLeftCell="B1" activePane="topRight" state="frozen"/>
      <selection pane="topRight" activeCell="A23" sqref="A23:XFD23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v>18001660</v>
      </c>
      <c r="C11" s="46">
        <f>IF((B11-B10)&lt;0,"0",(B11-B10))</f>
        <v>3080</v>
      </c>
    </row>
    <row r="12" spans="1:9" ht="24" thickBot="1" x14ac:dyDescent="0.4">
      <c r="A12" s="9">
        <v>44602</v>
      </c>
      <c r="B12" s="134">
        <v>18004576</v>
      </c>
      <c r="C12" s="46">
        <f t="shared" si="0"/>
        <v>2916</v>
      </c>
    </row>
    <row r="13" spans="1:9" ht="24" thickBot="1" x14ac:dyDescent="0.4">
      <c r="A13" s="9">
        <v>44603</v>
      </c>
      <c r="B13" s="134">
        <v>18007461</v>
      </c>
      <c r="C13" s="46">
        <f t="shared" si="0"/>
        <v>2885</v>
      </c>
    </row>
    <row r="14" spans="1:9" ht="24" thickBot="1" x14ac:dyDescent="0.4">
      <c r="A14" s="9">
        <v>44604</v>
      </c>
      <c r="B14" s="134">
        <v>18011539</v>
      </c>
      <c r="C14" s="46">
        <f t="shared" si="0"/>
        <v>4078</v>
      </c>
    </row>
    <row r="15" spans="1:9" ht="24" thickBot="1" x14ac:dyDescent="0.4">
      <c r="A15" s="9">
        <v>44605</v>
      </c>
      <c r="B15" s="134">
        <v>18014356</v>
      </c>
      <c r="C15" s="46">
        <f t="shared" si="0"/>
        <v>2817</v>
      </c>
      <c r="I15" t="s">
        <v>12</v>
      </c>
    </row>
    <row r="16" spans="1:9" ht="26.25" customHeight="1" thickBot="1" x14ac:dyDescent="0.4">
      <c r="A16" s="9">
        <v>44606</v>
      </c>
      <c r="B16" s="134">
        <v>18018268</v>
      </c>
      <c r="C16" s="46">
        <f t="shared" si="0"/>
        <v>3912</v>
      </c>
      <c r="F16" s="158"/>
    </row>
    <row r="17" spans="1:9" ht="25.5" customHeight="1" thickBot="1" x14ac:dyDescent="0.4">
      <c r="A17" s="9">
        <v>44607</v>
      </c>
      <c r="B17" s="134">
        <v>18021021</v>
      </c>
      <c r="C17" s="46">
        <f t="shared" si="0"/>
        <v>2753</v>
      </c>
    </row>
    <row r="18" spans="1:9" ht="24" thickBot="1" x14ac:dyDescent="0.4">
      <c r="A18" s="9">
        <v>44608</v>
      </c>
      <c r="B18" s="134">
        <v>18023192</v>
      </c>
      <c r="C18" s="46">
        <f t="shared" si="0"/>
        <v>2171</v>
      </c>
      <c r="I18" s="36"/>
    </row>
    <row r="19" spans="1:9" ht="24" thickBot="1" x14ac:dyDescent="0.4">
      <c r="A19" s="9">
        <v>44609</v>
      </c>
      <c r="B19" s="134">
        <v>18025721</v>
      </c>
      <c r="C19" s="46">
        <f t="shared" si="0"/>
        <v>2529</v>
      </c>
    </row>
    <row r="20" spans="1:9" ht="24" thickBot="1" x14ac:dyDescent="0.4">
      <c r="A20" s="9">
        <v>44610</v>
      </c>
      <c r="B20" s="134">
        <v>18028941</v>
      </c>
      <c r="C20" s="46">
        <f t="shared" si="0"/>
        <v>3220</v>
      </c>
    </row>
    <row r="21" spans="1:9" ht="24" thickBot="1" x14ac:dyDescent="0.4">
      <c r="A21" s="9">
        <v>44611</v>
      </c>
      <c r="B21" s="134">
        <v>18032002</v>
      </c>
      <c r="C21" s="46">
        <f t="shared" si="0"/>
        <v>3061</v>
      </c>
    </row>
    <row r="22" spans="1:9" ht="24" thickBot="1" x14ac:dyDescent="0.4">
      <c r="A22" s="9">
        <v>44612</v>
      </c>
      <c r="B22" s="134">
        <v>18035121</v>
      </c>
      <c r="C22" s="46">
        <f t="shared" si="0"/>
        <v>3119</v>
      </c>
    </row>
    <row r="23" spans="1:9" ht="24" thickBot="1" x14ac:dyDescent="0.4">
      <c r="A23" s="9">
        <v>44613</v>
      </c>
      <c r="B23" s="134">
        <f t="shared" ref="B22:B30" si="1">B22</f>
        <v>18035121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18035121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18035121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18035121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18035121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18035121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18035121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18035121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58045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f t="shared" si="35"/>
        <v>19.57</v>
      </c>
      <c r="AC8" s="166">
        <f t="shared" si="36"/>
        <v>0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19.57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19.57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v>22866.133999999998</v>
      </c>
      <c r="C11" s="45">
        <f t="shared" si="22"/>
        <v>2.8159999999988941</v>
      </c>
      <c r="D11" s="29">
        <f t="shared" si="23"/>
        <v>5350.3999999978978</v>
      </c>
      <c r="E11" s="1">
        <v>4103.393</v>
      </c>
      <c r="F11" s="45">
        <f t="shared" si="24"/>
        <v>0.72000000000025466</v>
      </c>
      <c r="G11" s="29">
        <f t="shared" si="25"/>
        <v>1368.0000000004836</v>
      </c>
      <c r="H11" s="1">
        <v>4727</v>
      </c>
      <c r="I11" s="45">
        <f t="shared" si="26"/>
        <v>4</v>
      </c>
      <c r="J11" s="29">
        <f t="shared" si="27"/>
        <v>7600</v>
      </c>
      <c r="K11" s="7">
        <v>13889.7</v>
      </c>
      <c r="L11" s="45">
        <f t="shared" si="28"/>
        <v>0</v>
      </c>
      <c r="M11" s="29">
        <f t="shared" si="29"/>
        <v>0</v>
      </c>
      <c r="N11" s="7">
        <v>3410.6260000000002</v>
      </c>
      <c r="O11" s="45">
        <f t="shared" si="30"/>
        <v>1.0460000000002765</v>
      </c>
      <c r="P11" s="29">
        <f t="shared" si="31"/>
        <v>1987.4000000005251</v>
      </c>
      <c r="Q11" s="7">
        <v>5291.13</v>
      </c>
      <c r="R11" s="45">
        <f t="shared" si="32"/>
        <v>1.0000000000218279E-2</v>
      </c>
      <c r="S11" s="29">
        <f t="shared" si="33"/>
        <v>19.00000000041473</v>
      </c>
      <c r="T11" s="8">
        <f t="shared" si="41"/>
        <v>8.5919999999996435</v>
      </c>
      <c r="U11" s="31">
        <f t="shared" si="34"/>
        <v>16324.799999999321</v>
      </c>
      <c r="W11" s="159">
        <v>44570</v>
      </c>
      <c r="X11" s="160">
        <v>164373</v>
      </c>
      <c r="Y11" s="166">
        <f t="shared" si="40"/>
        <v>60</v>
      </c>
      <c r="Z11" s="160">
        <v>8422</v>
      </c>
      <c r="AA11" s="166">
        <f t="shared" si="42"/>
        <v>6</v>
      </c>
      <c r="AB11" s="160">
        <f t="shared" si="35"/>
        <v>19.57</v>
      </c>
      <c r="AC11" s="166">
        <f t="shared" si="44"/>
        <v>0</v>
      </c>
      <c r="AD11" s="160">
        <v>197</v>
      </c>
      <c r="AE11" s="166">
        <f t="shared" si="37"/>
        <v>2</v>
      </c>
      <c r="AF11" s="160">
        <v>5553</v>
      </c>
      <c r="AG11" s="166">
        <f t="shared" si="38"/>
        <v>4</v>
      </c>
    </row>
    <row r="12" spans="1:33" ht="16.5" thickBot="1" x14ac:dyDescent="0.25">
      <c r="A12" s="9">
        <v>44602</v>
      </c>
      <c r="B12" s="162">
        <v>22868.204000000002</v>
      </c>
      <c r="C12" s="45">
        <f t="shared" si="22"/>
        <v>2.0700000000033469</v>
      </c>
      <c r="D12" s="29">
        <f t="shared" si="23"/>
        <v>3933.0000000063592</v>
      </c>
      <c r="E12" s="1">
        <v>4103.8450000000003</v>
      </c>
      <c r="F12" s="45">
        <f t="shared" si="24"/>
        <v>0.45200000000022555</v>
      </c>
      <c r="G12" s="29">
        <f t="shared" si="25"/>
        <v>858.80000000042855</v>
      </c>
      <c r="H12" s="1">
        <v>4732</v>
      </c>
      <c r="I12" s="45">
        <f t="shared" si="26"/>
        <v>5</v>
      </c>
      <c r="J12" s="29">
        <f t="shared" si="27"/>
        <v>9500</v>
      </c>
      <c r="K12" s="7">
        <v>13889.7</v>
      </c>
      <c r="L12" s="45">
        <f t="shared" si="28"/>
        <v>0</v>
      </c>
      <c r="M12" s="29">
        <f t="shared" si="29"/>
        <v>0</v>
      </c>
      <c r="N12" s="7">
        <v>3411.5839999999998</v>
      </c>
      <c r="O12" s="45">
        <f t="shared" si="30"/>
        <v>0.95799999999962893</v>
      </c>
      <c r="P12" s="29">
        <f t="shared" si="31"/>
        <v>1820.1999999992947</v>
      </c>
      <c r="Q12" s="7">
        <v>5291.13</v>
      </c>
      <c r="R12" s="45">
        <f t="shared" si="32"/>
        <v>0</v>
      </c>
      <c r="S12" s="29">
        <f t="shared" si="33"/>
        <v>0</v>
      </c>
      <c r="T12" s="8">
        <f t="shared" si="41"/>
        <v>8.4800000000032014</v>
      </c>
      <c r="U12" s="31">
        <f t="shared" si="34"/>
        <v>16112.000000006081</v>
      </c>
      <c r="W12" s="159">
        <v>44571</v>
      </c>
      <c r="X12" s="160">
        <v>164391</v>
      </c>
      <c r="Y12" s="166">
        <f t="shared" si="40"/>
        <v>18</v>
      </c>
      <c r="Z12" s="160">
        <v>8426</v>
      </c>
      <c r="AA12" s="166">
        <f t="shared" si="42"/>
        <v>4</v>
      </c>
      <c r="AB12" s="160">
        <f t="shared" si="35"/>
        <v>19.57</v>
      </c>
      <c r="AC12" s="166">
        <f t="shared" si="44"/>
        <v>0</v>
      </c>
      <c r="AD12" s="160">
        <v>200</v>
      </c>
      <c r="AE12" s="166">
        <f t="shared" si="37"/>
        <v>3</v>
      </c>
      <c r="AF12" s="160">
        <v>5561</v>
      </c>
      <c r="AG12" s="166">
        <f t="shared" si="38"/>
        <v>8</v>
      </c>
    </row>
    <row r="13" spans="1:33" ht="16.5" thickBot="1" x14ac:dyDescent="0.25">
      <c r="A13" s="9">
        <v>44603</v>
      </c>
      <c r="B13" s="162">
        <v>22870.401999999998</v>
      </c>
      <c r="C13" s="45">
        <f t="shared" si="22"/>
        <v>2.1979999999966822</v>
      </c>
      <c r="D13" s="29">
        <f t="shared" si="23"/>
        <v>4176.1999999936961</v>
      </c>
      <c r="E13" s="1">
        <v>4104.1809999999996</v>
      </c>
      <c r="F13" s="45">
        <f t="shared" si="24"/>
        <v>0.33599999999933061</v>
      </c>
      <c r="G13" s="29">
        <f t="shared" si="25"/>
        <v>638.39999999872805</v>
      </c>
      <c r="H13" s="1">
        <v>4736</v>
      </c>
      <c r="I13" s="45">
        <f t="shared" si="26"/>
        <v>4</v>
      </c>
      <c r="J13" s="29">
        <f t="shared" si="27"/>
        <v>7600</v>
      </c>
      <c r="K13" s="7">
        <v>13889.7</v>
      </c>
      <c r="L13" s="45">
        <f t="shared" si="28"/>
        <v>0</v>
      </c>
      <c r="M13" s="29">
        <f t="shared" si="29"/>
        <v>0</v>
      </c>
      <c r="N13" s="7">
        <v>3412.6</v>
      </c>
      <c r="O13" s="45">
        <f t="shared" si="30"/>
        <v>1.0160000000000764</v>
      </c>
      <c r="P13" s="29">
        <f t="shared" si="31"/>
        <v>1930.4000000001452</v>
      </c>
      <c r="Q13" s="7">
        <v>5291.13</v>
      </c>
      <c r="R13" s="45">
        <f t="shared" si="32"/>
        <v>0</v>
      </c>
      <c r="S13" s="29">
        <f t="shared" si="33"/>
        <v>0</v>
      </c>
      <c r="T13" s="8">
        <f t="shared" si="41"/>
        <v>7.5499999999960892</v>
      </c>
      <c r="U13" s="31">
        <f t="shared" si="34"/>
        <v>14344.999999992568</v>
      </c>
      <c r="W13" s="159">
        <v>44572</v>
      </c>
      <c r="X13" s="160">
        <v>164421</v>
      </c>
      <c r="Y13" s="166">
        <f t="shared" si="40"/>
        <v>30</v>
      </c>
      <c r="Z13" s="160">
        <v>8430</v>
      </c>
      <c r="AA13" s="166">
        <f t="shared" si="42"/>
        <v>4</v>
      </c>
      <c r="AB13" s="160">
        <f t="shared" si="35"/>
        <v>19.57</v>
      </c>
      <c r="AC13" s="166">
        <f t="shared" si="44"/>
        <v>0</v>
      </c>
      <c r="AD13" s="160">
        <v>202</v>
      </c>
      <c r="AE13" s="166">
        <f t="shared" si="37"/>
        <v>2</v>
      </c>
      <c r="AF13" s="160">
        <v>5572</v>
      </c>
      <c r="AG13" s="166">
        <f t="shared" si="38"/>
        <v>11</v>
      </c>
    </row>
    <row r="14" spans="1:33" ht="16.5" thickBot="1" x14ac:dyDescent="0.25">
      <c r="A14" s="9">
        <v>44604</v>
      </c>
      <c r="B14" s="162">
        <v>22872.606</v>
      </c>
      <c r="C14" s="45">
        <f t="shared" si="22"/>
        <v>2.2040000000015425</v>
      </c>
      <c r="D14" s="29">
        <f t="shared" si="23"/>
        <v>4187.6000000029308</v>
      </c>
      <c r="E14" s="1">
        <v>4104.5469999999996</v>
      </c>
      <c r="F14" s="45">
        <f t="shared" si="24"/>
        <v>0.36599999999998545</v>
      </c>
      <c r="G14" s="29">
        <f t="shared" si="25"/>
        <v>695.39999999997235</v>
      </c>
      <c r="H14" s="1">
        <v>4741</v>
      </c>
      <c r="I14" s="45">
        <f t="shared" si="26"/>
        <v>5</v>
      </c>
      <c r="J14" s="29">
        <f t="shared" si="27"/>
        <v>9500</v>
      </c>
      <c r="K14" s="7">
        <v>13889.7</v>
      </c>
      <c r="L14" s="45">
        <f t="shared" si="28"/>
        <v>0</v>
      </c>
      <c r="M14" s="29">
        <f t="shared" si="29"/>
        <v>0</v>
      </c>
      <c r="N14" s="7">
        <v>3413.6640000000002</v>
      </c>
      <c r="O14" s="45">
        <f>IF((N14-N13)&lt;0,"0",(N14-N13))</f>
        <v>1.0640000000003056</v>
      </c>
      <c r="P14" s="29">
        <f t="shared" si="31"/>
        <v>2021.6000000005806</v>
      </c>
      <c r="Q14" s="7">
        <v>5291.13</v>
      </c>
      <c r="R14" s="45">
        <f t="shared" si="32"/>
        <v>0</v>
      </c>
      <c r="S14" s="29">
        <f t="shared" si="33"/>
        <v>0</v>
      </c>
      <c r="T14" s="8">
        <f t="shared" si="41"/>
        <v>8.6340000000018335</v>
      </c>
      <c r="U14" s="31">
        <f t="shared" si="34"/>
        <v>16404.600000003484</v>
      </c>
      <c r="W14" s="159">
        <v>44573</v>
      </c>
      <c r="X14" s="160">
        <v>164444</v>
      </c>
      <c r="Y14" s="166">
        <f t="shared" si="40"/>
        <v>23</v>
      </c>
      <c r="Z14" s="160">
        <v>8434</v>
      </c>
      <c r="AA14" s="166">
        <f t="shared" si="42"/>
        <v>4</v>
      </c>
      <c r="AB14" s="160">
        <f t="shared" si="35"/>
        <v>19.57</v>
      </c>
      <c r="AC14" s="166">
        <f t="shared" si="44"/>
        <v>0</v>
      </c>
      <c r="AD14" s="160">
        <v>204</v>
      </c>
      <c r="AE14" s="166">
        <f t="shared" si="37"/>
        <v>2</v>
      </c>
      <c r="AF14" s="160">
        <v>5584</v>
      </c>
      <c r="AG14" s="166">
        <f t="shared" si="38"/>
        <v>12</v>
      </c>
    </row>
    <row r="15" spans="1:33" ht="16.5" thickBot="1" x14ac:dyDescent="0.25">
      <c r="A15" s="9">
        <v>44605</v>
      </c>
      <c r="B15" s="162">
        <v>22875.585999999999</v>
      </c>
      <c r="C15" s="45">
        <f t="shared" ref="C15" si="45">IF((B15-B14)&lt;0,"0",(B15-B14))</f>
        <v>2.9799999999995634</v>
      </c>
      <c r="D15" s="29">
        <f t="shared" ref="D15" si="46">C15*1.9*1000</f>
        <v>5661.9999999991705</v>
      </c>
      <c r="E15" s="1">
        <v>4105.2809999999999</v>
      </c>
      <c r="F15" s="45">
        <f t="shared" ref="F15" si="47">IF((E15-E14)&lt;0,"0",(E15-E14))</f>
        <v>0.73400000000037835</v>
      </c>
      <c r="G15" s="29">
        <f t="shared" ref="G15" si="48">F15*1.9*1000</f>
        <v>1394.6000000007189</v>
      </c>
      <c r="H15" s="1">
        <v>4747</v>
      </c>
      <c r="I15" s="45">
        <f t="shared" ref="I15" si="49">IF((H15-H14)&lt;0,"0",(H15-H14))</f>
        <v>6</v>
      </c>
      <c r="J15" s="29">
        <f t="shared" ref="J15" si="50">I15*1.9*1000</f>
        <v>11399.999999999998</v>
      </c>
      <c r="K15" s="7">
        <v>13889.7</v>
      </c>
      <c r="L15" s="45">
        <f t="shared" ref="L15" si="51">IF((K15-K14)&lt;0,"0",(K15-K14))</f>
        <v>0</v>
      </c>
      <c r="M15" s="29">
        <f t="shared" ref="M15" si="52">L15*1.9*1000</f>
        <v>0</v>
      </c>
      <c r="N15" s="7">
        <v>3415.1819999999998</v>
      </c>
      <c r="O15" s="45">
        <f>IF((N15-N14)&lt;0,"0",(N15-N14))</f>
        <v>1.5179999999995744</v>
      </c>
      <c r="P15" s="29">
        <f t="shared" ref="P15" si="53">O15*1.9*1000</f>
        <v>2884.1999999991913</v>
      </c>
      <c r="Q15" s="7">
        <v>5291.13</v>
      </c>
      <c r="R15" s="45">
        <f t="shared" ref="R15" si="54">IF((Q15-Q14)&lt;0,"0",(Q15-Q14))</f>
        <v>0</v>
      </c>
      <c r="S15" s="29">
        <f t="shared" ref="S15" si="55">R15*1.9*1000</f>
        <v>0</v>
      </c>
      <c r="T15" s="8">
        <f t="shared" ref="T15" si="56">C15+F15+I15+L15+O15+R15</f>
        <v>11.231999999999516</v>
      </c>
      <c r="U15" s="31">
        <f t="shared" ref="U15" si="57">T15*1.9*1000</f>
        <v>21340.799999999083</v>
      </c>
      <c r="W15" s="159">
        <v>44574</v>
      </c>
      <c r="X15" s="160">
        <v>164482</v>
      </c>
      <c r="Y15" s="166">
        <f t="shared" ref="Y15" si="58">X15-X14</f>
        <v>38</v>
      </c>
      <c r="Z15" s="160">
        <v>8441</v>
      </c>
      <c r="AA15" s="166">
        <f t="shared" ref="AA15" si="59">Z15-Z14</f>
        <v>7</v>
      </c>
      <c r="AB15" s="160">
        <v>19.57</v>
      </c>
      <c r="AC15" s="166">
        <f t="shared" ref="AC15" si="60">AB15-AB14</f>
        <v>0</v>
      </c>
      <c r="AD15" s="160">
        <v>207</v>
      </c>
      <c r="AE15" s="166">
        <f t="shared" si="37"/>
        <v>3</v>
      </c>
      <c r="AF15" s="160">
        <v>5593</v>
      </c>
      <c r="AG15" s="166">
        <f t="shared" si="38"/>
        <v>9</v>
      </c>
    </row>
    <row r="16" spans="1:33" ht="16.5" thickBot="1" x14ac:dyDescent="0.25">
      <c r="A16" s="9">
        <v>44606</v>
      </c>
      <c r="B16" s="162">
        <v>22877.233</v>
      </c>
      <c r="C16" s="45">
        <f t="shared" si="22"/>
        <v>1.647000000000844</v>
      </c>
      <c r="D16" s="29">
        <f t="shared" si="23"/>
        <v>3129.3000000016032</v>
      </c>
      <c r="E16" s="1">
        <v>4105.8289999999997</v>
      </c>
      <c r="F16" s="45">
        <f t="shared" si="24"/>
        <v>0.54799999999977445</v>
      </c>
      <c r="G16" s="29">
        <f t="shared" si="25"/>
        <v>1041.1999999995714</v>
      </c>
      <c r="H16" s="1">
        <v>4751</v>
      </c>
      <c r="I16" s="45">
        <f t="shared" si="26"/>
        <v>4</v>
      </c>
      <c r="J16" s="29">
        <f t="shared" si="27"/>
        <v>7600</v>
      </c>
      <c r="K16" s="7">
        <v>13889.7</v>
      </c>
      <c r="L16" s="45">
        <f t="shared" si="28"/>
        <v>0</v>
      </c>
      <c r="M16" s="29">
        <f t="shared" si="29"/>
        <v>0</v>
      </c>
      <c r="N16" s="7">
        <v>3415.893</v>
      </c>
      <c r="O16" s="45">
        <f t="shared" si="30"/>
        <v>0.71100000000024011</v>
      </c>
      <c r="P16" s="29">
        <f t="shared" si="31"/>
        <v>1350.900000000456</v>
      </c>
      <c r="Q16" s="7">
        <f t="shared" si="39"/>
        <v>5291.13</v>
      </c>
      <c r="R16" s="45">
        <f t="shared" si="32"/>
        <v>0</v>
      </c>
      <c r="S16" s="29">
        <f t="shared" si="33"/>
        <v>0</v>
      </c>
      <c r="T16" s="8">
        <f t="shared" si="41"/>
        <v>6.9060000000008586</v>
      </c>
      <c r="U16" s="31">
        <f t="shared" si="34"/>
        <v>13121.400000001629</v>
      </c>
      <c r="W16" s="159">
        <v>44575</v>
      </c>
      <c r="X16" s="160">
        <v>164501</v>
      </c>
      <c r="Y16" s="166">
        <f t="shared" si="40"/>
        <v>19</v>
      </c>
      <c r="Z16" s="160">
        <v>8444</v>
      </c>
      <c r="AA16" s="166">
        <f t="shared" si="42"/>
        <v>3</v>
      </c>
      <c r="AB16" s="160">
        <v>19.57</v>
      </c>
      <c r="AC16" s="166">
        <f t="shared" si="44"/>
        <v>0</v>
      </c>
      <c r="AD16" s="160">
        <v>209</v>
      </c>
      <c r="AE16" s="166">
        <f t="shared" si="37"/>
        <v>2</v>
      </c>
      <c r="AF16" s="160">
        <v>5617</v>
      </c>
      <c r="AG16" s="166">
        <f t="shared" si="38"/>
        <v>24</v>
      </c>
    </row>
    <row r="17" spans="1:33" ht="16.5" thickBot="1" x14ac:dyDescent="0.25">
      <c r="A17" s="9">
        <v>44607</v>
      </c>
      <c r="B17" s="162">
        <v>22879.244999999999</v>
      </c>
      <c r="C17" s="45">
        <f t="shared" si="22"/>
        <v>2.0119999999988067</v>
      </c>
      <c r="D17" s="29">
        <f t="shared" si="23"/>
        <v>3822.7999999977324</v>
      </c>
      <c r="E17" s="1">
        <v>4106.424</v>
      </c>
      <c r="F17" s="45">
        <f t="shared" si="24"/>
        <v>0.59500000000025466</v>
      </c>
      <c r="G17" s="29">
        <f t="shared" si="25"/>
        <v>1130.5000000004839</v>
      </c>
      <c r="H17" s="1">
        <v>4756</v>
      </c>
      <c r="I17" s="45">
        <f t="shared" si="26"/>
        <v>5</v>
      </c>
      <c r="J17" s="29">
        <f t="shared" si="27"/>
        <v>9500</v>
      </c>
      <c r="K17" s="7">
        <v>13889.7</v>
      </c>
      <c r="L17" s="45">
        <f t="shared" si="28"/>
        <v>0</v>
      </c>
      <c r="M17" s="29">
        <f t="shared" si="29"/>
        <v>0</v>
      </c>
      <c r="N17" s="7">
        <v>3416.0030000000002</v>
      </c>
      <c r="O17" s="45">
        <f t="shared" si="30"/>
        <v>0.11000000000012733</v>
      </c>
      <c r="P17" s="29">
        <f t="shared" si="31"/>
        <v>209.0000000002419</v>
      </c>
      <c r="Q17" s="7">
        <f t="shared" si="39"/>
        <v>5291.13</v>
      </c>
      <c r="R17" s="45">
        <f t="shared" si="32"/>
        <v>0</v>
      </c>
      <c r="S17" s="29">
        <f t="shared" si="33"/>
        <v>0</v>
      </c>
      <c r="T17" s="8">
        <f t="shared" si="41"/>
        <v>7.7169999999991887</v>
      </c>
      <c r="U17" s="31">
        <f t="shared" si="34"/>
        <v>14662.299999998459</v>
      </c>
      <c r="W17" s="159">
        <v>44576</v>
      </c>
      <c r="X17" s="160">
        <v>164508</v>
      </c>
      <c r="Y17" s="166">
        <f t="shared" si="40"/>
        <v>7</v>
      </c>
      <c r="Z17" s="160">
        <v>8448</v>
      </c>
      <c r="AA17" s="166">
        <f t="shared" si="42"/>
        <v>4</v>
      </c>
      <c r="AB17" s="160">
        <f t="shared" si="35"/>
        <v>19.57</v>
      </c>
      <c r="AC17" s="166">
        <f t="shared" si="44"/>
        <v>0</v>
      </c>
      <c r="AD17" s="160">
        <v>212</v>
      </c>
      <c r="AE17" s="166">
        <f t="shared" si="37"/>
        <v>3</v>
      </c>
      <c r="AF17" s="160">
        <v>5630</v>
      </c>
      <c r="AG17" s="166">
        <f t="shared" si="38"/>
        <v>13</v>
      </c>
    </row>
    <row r="18" spans="1:33" ht="16.5" thickBot="1" x14ac:dyDescent="0.25">
      <c r="A18" s="9">
        <v>44608</v>
      </c>
      <c r="B18" s="162">
        <v>22881.32</v>
      </c>
      <c r="C18" s="45">
        <f t="shared" si="22"/>
        <v>2.0750000000007276</v>
      </c>
      <c r="D18" s="29">
        <f t="shared" si="23"/>
        <v>3942.5000000013824</v>
      </c>
      <c r="E18" s="1">
        <v>4107.28</v>
      </c>
      <c r="F18" s="45">
        <f t="shared" si="24"/>
        <v>0.85599999999976717</v>
      </c>
      <c r="G18" s="29">
        <f t="shared" si="25"/>
        <v>1626.3999999995576</v>
      </c>
      <c r="H18" s="1">
        <v>4761</v>
      </c>
      <c r="I18" s="45">
        <f t="shared" si="26"/>
        <v>5</v>
      </c>
      <c r="J18" s="29">
        <f t="shared" si="27"/>
        <v>9500</v>
      </c>
      <c r="K18" s="7">
        <v>13889.7</v>
      </c>
      <c r="L18" s="45">
        <f t="shared" si="28"/>
        <v>0</v>
      </c>
      <c r="M18" s="29">
        <f t="shared" si="29"/>
        <v>0</v>
      </c>
      <c r="N18" s="7">
        <v>3418.1889999999999</v>
      </c>
      <c r="O18" s="45">
        <f t="shared" si="30"/>
        <v>2.1859999999996944</v>
      </c>
      <c r="P18" s="29">
        <f t="shared" si="31"/>
        <v>4153.3999999994194</v>
      </c>
      <c r="Q18" s="7">
        <f t="shared" si="39"/>
        <v>5291.13</v>
      </c>
      <c r="R18" s="45">
        <f t="shared" si="32"/>
        <v>0</v>
      </c>
      <c r="S18" s="29">
        <f t="shared" si="33"/>
        <v>0</v>
      </c>
      <c r="T18" s="8">
        <f t="shared" si="41"/>
        <v>10.117000000000189</v>
      </c>
      <c r="U18" s="31">
        <f t="shared" si="34"/>
        <v>19222.300000000359</v>
      </c>
      <c r="W18" s="159">
        <v>44577</v>
      </c>
      <c r="X18" s="160">
        <v>164549</v>
      </c>
      <c r="Y18" s="166">
        <f t="shared" si="40"/>
        <v>41</v>
      </c>
      <c r="Z18" s="160">
        <v>8452</v>
      </c>
      <c r="AA18" s="166">
        <f t="shared" si="42"/>
        <v>4</v>
      </c>
      <c r="AB18" s="160">
        <f t="shared" si="35"/>
        <v>19.57</v>
      </c>
      <c r="AC18" s="166">
        <f t="shared" si="44"/>
        <v>0</v>
      </c>
      <c r="AD18" s="160">
        <v>215</v>
      </c>
      <c r="AE18" s="166">
        <f t="shared" si="37"/>
        <v>3</v>
      </c>
      <c r="AF18" s="160">
        <v>5638</v>
      </c>
      <c r="AG18" s="166">
        <f t="shared" si="38"/>
        <v>8</v>
      </c>
    </row>
    <row r="19" spans="1:33" ht="16.5" thickBot="1" x14ac:dyDescent="0.25">
      <c r="A19" s="9">
        <v>44609</v>
      </c>
      <c r="B19" s="162">
        <v>22883.626</v>
      </c>
      <c r="C19" s="45">
        <f t="shared" si="22"/>
        <v>2.3060000000004948</v>
      </c>
      <c r="D19" s="29">
        <f t="shared" si="23"/>
        <v>4381.4000000009401</v>
      </c>
      <c r="E19" s="1">
        <v>4108.1130000000003</v>
      </c>
      <c r="F19" s="45">
        <f t="shared" si="24"/>
        <v>0.83300000000053842</v>
      </c>
      <c r="G19" s="29">
        <f t="shared" si="25"/>
        <v>1582.700000001023</v>
      </c>
      <c r="H19" s="1">
        <v>4766</v>
      </c>
      <c r="I19" s="45">
        <f t="shared" si="26"/>
        <v>5</v>
      </c>
      <c r="J19" s="29">
        <f t="shared" si="27"/>
        <v>9500</v>
      </c>
      <c r="K19" s="7">
        <v>13889.7</v>
      </c>
      <c r="L19" s="45">
        <f t="shared" si="28"/>
        <v>0</v>
      </c>
      <c r="M19" s="29">
        <f t="shared" si="29"/>
        <v>0</v>
      </c>
      <c r="N19" s="7">
        <v>3419.5169999999998</v>
      </c>
      <c r="O19" s="45">
        <f t="shared" si="30"/>
        <v>1.3279999999999745</v>
      </c>
      <c r="P19" s="29">
        <f t="shared" si="31"/>
        <v>2523.1999999999516</v>
      </c>
      <c r="Q19" s="7">
        <f t="shared" si="39"/>
        <v>5291.13</v>
      </c>
      <c r="R19" s="45">
        <f t="shared" si="32"/>
        <v>0</v>
      </c>
      <c r="S19" s="29">
        <f t="shared" si="33"/>
        <v>0</v>
      </c>
      <c r="T19" s="8">
        <f t="shared" si="41"/>
        <v>9.4670000000010077</v>
      </c>
      <c r="U19" s="31">
        <f t="shared" si="34"/>
        <v>17987.300000001913</v>
      </c>
      <c r="W19" s="159">
        <v>44578</v>
      </c>
      <c r="X19" s="160">
        <v>164585</v>
      </c>
      <c r="Y19" s="166">
        <f t="shared" si="40"/>
        <v>36</v>
      </c>
      <c r="Z19" s="160">
        <v>8466</v>
      </c>
      <c r="AA19" s="166">
        <f t="shared" si="42"/>
        <v>14</v>
      </c>
      <c r="AB19" s="160">
        <f t="shared" si="35"/>
        <v>19.57</v>
      </c>
      <c r="AC19" s="166">
        <f t="shared" si="44"/>
        <v>0</v>
      </c>
      <c r="AD19" s="160">
        <v>219</v>
      </c>
      <c r="AE19" s="166">
        <f t="shared" si="37"/>
        <v>4</v>
      </c>
      <c r="AF19" s="160">
        <v>5643</v>
      </c>
      <c r="AG19" s="166">
        <f t="shared" si="38"/>
        <v>5</v>
      </c>
    </row>
    <row r="20" spans="1:33" ht="16.5" thickBot="1" x14ac:dyDescent="0.25">
      <c r="A20" s="9">
        <v>44610</v>
      </c>
      <c r="B20" s="162">
        <v>22885.73</v>
      </c>
      <c r="C20" s="45">
        <f t="shared" si="22"/>
        <v>2.1039999999993597</v>
      </c>
      <c r="D20" s="29">
        <f t="shared" si="23"/>
        <v>3997.5999999987835</v>
      </c>
      <c r="E20" s="1">
        <v>4108.5879999999997</v>
      </c>
      <c r="F20" s="45">
        <f t="shared" si="24"/>
        <v>0.4749999999994543</v>
      </c>
      <c r="G20" s="29">
        <f t="shared" si="25"/>
        <v>902.49999999896318</v>
      </c>
      <c r="H20" s="1">
        <v>4771</v>
      </c>
      <c r="I20" s="45">
        <f t="shared" si="26"/>
        <v>5</v>
      </c>
      <c r="J20" s="29">
        <f t="shared" si="27"/>
        <v>9500</v>
      </c>
      <c r="K20" s="7">
        <v>13889.7</v>
      </c>
      <c r="L20" s="45">
        <f t="shared" si="28"/>
        <v>0</v>
      </c>
      <c r="M20" s="29">
        <f t="shared" si="29"/>
        <v>0</v>
      </c>
      <c r="N20" s="7">
        <v>3420.7779999999998</v>
      </c>
      <c r="O20" s="45">
        <f t="shared" si="30"/>
        <v>1.2609999999999673</v>
      </c>
      <c r="P20" s="29">
        <f t="shared" si="31"/>
        <v>2395.8999999999373</v>
      </c>
      <c r="Q20" s="7">
        <f t="shared" si="39"/>
        <v>5291.13</v>
      </c>
      <c r="R20" s="45">
        <f t="shared" si="32"/>
        <v>0</v>
      </c>
      <c r="S20" s="29">
        <f t="shared" si="33"/>
        <v>0</v>
      </c>
      <c r="T20" s="8">
        <f t="shared" si="41"/>
        <v>8.8399999999987813</v>
      </c>
      <c r="U20" s="31">
        <f t="shared" si="34"/>
        <v>16795.999999997683</v>
      </c>
      <c r="W20" s="159">
        <v>44579</v>
      </c>
      <c r="X20" s="160">
        <v>164620</v>
      </c>
      <c r="Y20" s="166">
        <f t="shared" si="40"/>
        <v>35</v>
      </c>
      <c r="Z20" s="160">
        <v>8470</v>
      </c>
      <c r="AA20" s="166">
        <f t="shared" si="42"/>
        <v>4</v>
      </c>
      <c r="AB20" s="160">
        <f t="shared" si="35"/>
        <v>19.57</v>
      </c>
      <c r="AC20" s="166">
        <f t="shared" si="44"/>
        <v>0</v>
      </c>
      <c r="AD20" s="160">
        <v>222</v>
      </c>
      <c r="AE20" s="166">
        <f t="shared" si="37"/>
        <v>3</v>
      </c>
      <c r="AF20" s="160">
        <v>5645</v>
      </c>
      <c r="AG20" s="166">
        <f t="shared" si="38"/>
        <v>2</v>
      </c>
    </row>
    <row r="21" spans="1:33" ht="16.5" thickBot="1" x14ac:dyDescent="0.25">
      <c r="A21" s="9">
        <v>44611</v>
      </c>
      <c r="B21" s="162">
        <v>22888.116999999998</v>
      </c>
      <c r="C21" s="45">
        <f t="shared" si="22"/>
        <v>2.3869999999988067</v>
      </c>
      <c r="D21" s="29">
        <f t="shared" si="23"/>
        <v>4535.2999999977328</v>
      </c>
      <c r="E21" s="1">
        <v>4109.1059999999998</v>
      </c>
      <c r="F21" s="45">
        <f t="shared" si="24"/>
        <v>0.5180000000000291</v>
      </c>
      <c r="G21" s="29">
        <f t="shared" si="25"/>
        <v>984.2000000000553</v>
      </c>
      <c r="H21" s="1">
        <v>4776</v>
      </c>
      <c r="I21" s="45">
        <f t="shared" si="26"/>
        <v>5</v>
      </c>
      <c r="J21" s="29">
        <f t="shared" si="27"/>
        <v>9500</v>
      </c>
      <c r="K21" s="7">
        <v>13889.7</v>
      </c>
      <c r="L21" s="45">
        <f t="shared" si="28"/>
        <v>0</v>
      </c>
      <c r="M21" s="29">
        <f t="shared" si="29"/>
        <v>0</v>
      </c>
      <c r="N21" s="7">
        <v>3422.29</v>
      </c>
      <c r="O21" s="45">
        <f t="shared" si="30"/>
        <v>1.512000000000171</v>
      </c>
      <c r="P21" s="29">
        <f t="shared" si="31"/>
        <v>2872.8000000003249</v>
      </c>
      <c r="Q21" s="7">
        <f t="shared" si="39"/>
        <v>5291.13</v>
      </c>
      <c r="R21" s="45">
        <f t="shared" si="32"/>
        <v>0</v>
      </c>
      <c r="S21" s="29">
        <f t="shared" si="33"/>
        <v>0</v>
      </c>
      <c r="T21" s="8">
        <f t="shared" si="41"/>
        <v>9.4169999999990068</v>
      </c>
      <c r="U21" s="31">
        <f t="shared" si="34"/>
        <v>17892.299999998111</v>
      </c>
      <c r="W21" s="159">
        <v>44580</v>
      </c>
      <c r="X21" s="160">
        <v>164638</v>
      </c>
      <c r="Y21" s="166">
        <f t="shared" si="40"/>
        <v>18</v>
      </c>
      <c r="Z21" s="160">
        <v>8473</v>
      </c>
      <c r="AA21" s="166">
        <f t="shared" si="42"/>
        <v>3</v>
      </c>
      <c r="AB21" s="160">
        <f t="shared" si="35"/>
        <v>19.57</v>
      </c>
      <c r="AC21" s="166">
        <f t="shared" si="44"/>
        <v>0</v>
      </c>
      <c r="AD21" s="160">
        <v>225</v>
      </c>
      <c r="AE21" s="166">
        <f t="shared" si="37"/>
        <v>3</v>
      </c>
      <c r="AF21" s="160">
        <v>5663</v>
      </c>
      <c r="AG21" s="166">
        <f t="shared" si="38"/>
        <v>18</v>
      </c>
    </row>
    <row r="22" spans="1:33" ht="16.5" thickBot="1" x14ac:dyDescent="0.25">
      <c r="A22" s="9">
        <v>44612</v>
      </c>
      <c r="B22" s="162">
        <v>22889.116999999998</v>
      </c>
      <c r="C22" s="45">
        <f t="shared" si="22"/>
        <v>1</v>
      </c>
      <c r="D22" s="29">
        <f t="shared" si="23"/>
        <v>1900</v>
      </c>
      <c r="E22" s="1">
        <v>4109.5640000000003</v>
      </c>
      <c r="F22" s="45">
        <f t="shared" si="24"/>
        <v>0.45800000000053842</v>
      </c>
      <c r="G22" s="29">
        <f t="shared" si="25"/>
        <v>870.20000000102289</v>
      </c>
      <c r="H22" s="1">
        <v>4780</v>
      </c>
      <c r="I22" s="45">
        <f t="shared" si="26"/>
        <v>4</v>
      </c>
      <c r="J22" s="29">
        <f t="shared" si="27"/>
        <v>7600</v>
      </c>
      <c r="K22" s="7">
        <v>13889.7</v>
      </c>
      <c r="L22" s="45">
        <f t="shared" si="28"/>
        <v>0</v>
      </c>
      <c r="M22" s="29">
        <f t="shared" si="29"/>
        <v>0</v>
      </c>
      <c r="N22" s="7">
        <v>3423.3090000000002</v>
      </c>
      <c r="O22" s="45">
        <f t="shared" si="30"/>
        <v>1.0190000000002328</v>
      </c>
      <c r="P22" s="29">
        <f t="shared" si="31"/>
        <v>1936.1000000004422</v>
      </c>
      <c r="Q22" s="7">
        <f t="shared" si="39"/>
        <v>5291.13</v>
      </c>
      <c r="R22" s="45">
        <f t="shared" si="32"/>
        <v>0</v>
      </c>
      <c r="S22" s="29">
        <f t="shared" si="33"/>
        <v>0</v>
      </c>
      <c r="T22" s="8">
        <f t="shared" si="41"/>
        <v>6.4770000000007713</v>
      </c>
      <c r="U22" s="31">
        <f t="shared" si="34"/>
        <v>12306.300000001464</v>
      </c>
      <c r="W22" s="159">
        <v>44581</v>
      </c>
      <c r="X22" s="160">
        <v>164645</v>
      </c>
      <c r="Y22" s="166">
        <f t="shared" si="40"/>
        <v>7</v>
      </c>
      <c r="Z22" s="160">
        <v>8477</v>
      </c>
      <c r="AA22" s="166">
        <f t="shared" si="42"/>
        <v>4</v>
      </c>
      <c r="AB22" s="160">
        <v>20</v>
      </c>
      <c r="AC22" s="166">
        <f t="shared" si="44"/>
        <v>0.42999999999999972</v>
      </c>
      <c r="AD22" s="160">
        <v>258</v>
      </c>
      <c r="AE22" s="166">
        <f t="shared" si="37"/>
        <v>33</v>
      </c>
      <c r="AF22" s="160">
        <v>5679</v>
      </c>
      <c r="AG22" s="166">
        <f t="shared" si="38"/>
        <v>16</v>
      </c>
    </row>
    <row r="23" spans="1:33" ht="16.5" thickBot="1" x14ac:dyDescent="0.25">
      <c r="A23" s="9">
        <v>44613</v>
      </c>
      <c r="B23" s="162">
        <f t="shared" ref="B22:B30" si="61">B22</f>
        <v>22889.116999999998</v>
      </c>
      <c r="C23" s="45">
        <f t="shared" si="22"/>
        <v>0</v>
      </c>
      <c r="D23" s="29">
        <f t="shared" si="23"/>
        <v>0</v>
      </c>
      <c r="E23" s="1">
        <f t="shared" ref="E22:E30" si="62">E22</f>
        <v>4109.5640000000003</v>
      </c>
      <c r="F23" s="45">
        <f t="shared" si="24"/>
        <v>0</v>
      </c>
      <c r="G23" s="29">
        <f t="shared" si="25"/>
        <v>0</v>
      </c>
      <c r="H23" s="1">
        <f t="shared" ref="H22:H30" si="63">H22</f>
        <v>4780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ref="N22:N30" si="64">N22</f>
        <v>3423.3090000000002</v>
      </c>
      <c r="O23" s="45">
        <f t="shared" si="30"/>
        <v>0</v>
      </c>
      <c r="P23" s="29">
        <f t="shared" si="31"/>
        <v>0</v>
      </c>
      <c r="Q23" s="7">
        <f t="shared" si="39"/>
        <v>5291.13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ref="X22:X30" si="65">X22</f>
        <v>164645</v>
      </c>
      <c r="Y23" s="166">
        <f t="shared" si="40"/>
        <v>0</v>
      </c>
      <c r="Z23" s="160">
        <f t="shared" ref="Z22:Z30" si="66">Z22</f>
        <v>8477</v>
      </c>
      <c r="AA23" s="166">
        <f t="shared" si="42"/>
        <v>0</v>
      </c>
      <c r="AB23" s="160">
        <f t="shared" si="35"/>
        <v>20</v>
      </c>
      <c r="AC23" s="166">
        <f t="shared" si="44"/>
        <v>0</v>
      </c>
      <c r="AD23" s="160">
        <f t="shared" ref="AD22:AD30" si="67">AD22</f>
        <v>258</v>
      </c>
      <c r="AE23" s="166">
        <f t="shared" si="37"/>
        <v>0</v>
      </c>
      <c r="AF23" s="160">
        <f t="shared" si="43"/>
        <v>5679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61"/>
        <v>22889.116999999998</v>
      </c>
      <c r="C24" s="45">
        <f t="shared" si="22"/>
        <v>0</v>
      </c>
      <c r="D24" s="29">
        <f t="shared" si="23"/>
        <v>0</v>
      </c>
      <c r="E24" s="1">
        <f t="shared" si="62"/>
        <v>4109.5640000000003</v>
      </c>
      <c r="F24" s="45">
        <f t="shared" si="24"/>
        <v>0</v>
      </c>
      <c r="G24" s="29">
        <f t="shared" si="25"/>
        <v>0</v>
      </c>
      <c r="H24" s="1">
        <f t="shared" si="63"/>
        <v>4780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64"/>
        <v>3423.3090000000002</v>
      </c>
      <c r="O24" s="45">
        <f t="shared" si="30"/>
        <v>0</v>
      </c>
      <c r="P24" s="29">
        <f t="shared" si="31"/>
        <v>0</v>
      </c>
      <c r="Q24" s="7">
        <f t="shared" si="39"/>
        <v>5291.13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65"/>
        <v>164645</v>
      </c>
      <c r="Y24" s="166">
        <f t="shared" si="40"/>
        <v>0</v>
      </c>
      <c r="Z24" s="160">
        <f t="shared" si="66"/>
        <v>8477</v>
      </c>
      <c r="AA24" s="166">
        <f t="shared" si="42"/>
        <v>0</v>
      </c>
      <c r="AB24" s="160">
        <f t="shared" si="35"/>
        <v>20</v>
      </c>
      <c r="AC24" s="166">
        <f t="shared" si="44"/>
        <v>0</v>
      </c>
      <c r="AD24" s="160">
        <f t="shared" si="67"/>
        <v>258</v>
      </c>
      <c r="AE24" s="166">
        <f t="shared" si="37"/>
        <v>0</v>
      </c>
      <c r="AF24" s="160">
        <f t="shared" si="43"/>
        <v>5679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61"/>
        <v>22889.116999999998</v>
      </c>
      <c r="C25" s="45">
        <f t="shared" si="22"/>
        <v>0</v>
      </c>
      <c r="D25" s="29">
        <f t="shared" si="23"/>
        <v>0</v>
      </c>
      <c r="E25" s="1">
        <f t="shared" si="62"/>
        <v>4109.5640000000003</v>
      </c>
      <c r="F25" s="45">
        <f t="shared" si="24"/>
        <v>0</v>
      </c>
      <c r="G25" s="29">
        <f t="shared" si="25"/>
        <v>0</v>
      </c>
      <c r="H25" s="1">
        <f t="shared" si="63"/>
        <v>4780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64"/>
        <v>3423.3090000000002</v>
      </c>
      <c r="O25" s="45">
        <f t="shared" si="30"/>
        <v>0</v>
      </c>
      <c r="P25" s="29">
        <f t="shared" si="31"/>
        <v>0</v>
      </c>
      <c r="Q25" s="7">
        <f t="shared" si="39"/>
        <v>5291.13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65"/>
        <v>164645</v>
      </c>
      <c r="Y25" s="166">
        <f t="shared" si="40"/>
        <v>0</v>
      </c>
      <c r="Z25" s="160">
        <f t="shared" si="66"/>
        <v>8477</v>
      </c>
      <c r="AA25" s="166">
        <f t="shared" si="42"/>
        <v>0</v>
      </c>
      <c r="AB25" s="160">
        <f t="shared" si="35"/>
        <v>20</v>
      </c>
      <c r="AC25" s="166">
        <f t="shared" si="44"/>
        <v>0</v>
      </c>
      <c r="AD25" s="160">
        <f t="shared" si="67"/>
        <v>258</v>
      </c>
      <c r="AE25" s="166">
        <f t="shared" si="37"/>
        <v>0</v>
      </c>
      <c r="AF25" s="160">
        <f t="shared" si="43"/>
        <v>5679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61"/>
        <v>22889.116999999998</v>
      </c>
      <c r="C26" s="45">
        <f t="shared" si="22"/>
        <v>0</v>
      </c>
      <c r="D26" s="29">
        <f t="shared" si="23"/>
        <v>0</v>
      </c>
      <c r="E26" s="1">
        <f t="shared" si="62"/>
        <v>4109.5640000000003</v>
      </c>
      <c r="F26" s="45">
        <f t="shared" si="24"/>
        <v>0</v>
      </c>
      <c r="G26" s="29">
        <f t="shared" si="25"/>
        <v>0</v>
      </c>
      <c r="H26" s="1">
        <f t="shared" si="63"/>
        <v>4780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64"/>
        <v>3423.3090000000002</v>
      </c>
      <c r="O26" s="45">
        <f t="shared" si="30"/>
        <v>0</v>
      </c>
      <c r="P26" s="29">
        <f t="shared" si="31"/>
        <v>0</v>
      </c>
      <c r="Q26" s="7">
        <f t="shared" si="39"/>
        <v>5291.13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65"/>
        <v>164645</v>
      </c>
      <c r="Y26" s="166">
        <f t="shared" si="40"/>
        <v>0</v>
      </c>
      <c r="Z26" s="160">
        <f t="shared" si="66"/>
        <v>8477</v>
      </c>
      <c r="AA26" s="166">
        <f t="shared" si="42"/>
        <v>0</v>
      </c>
      <c r="AB26" s="160">
        <f t="shared" si="35"/>
        <v>20</v>
      </c>
      <c r="AC26" s="166">
        <f t="shared" si="44"/>
        <v>0</v>
      </c>
      <c r="AD26" s="160">
        <f t="shared" si="67"/>
        <v>258</v>
      </c>
      <c r="AE26" s="166">
        <f t="shared" si="37"/>
        <v>0</v>
      </c>
      <c r="AF26" s="160">
        <f t="shared" si="43"/>
        <v>5679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61"/>
        <v>22889.116999999998</v>
      </c>
      <c r="C27" s="45">
        <f t="shared" si="22"/>
        <v>0</v>
      </c>
      <c r="D27" s="29">
        <f t="shared" si="23"/>
        <v>0</v>
      </c>
      <c r="E27" s="1">
        <f t="shared" si="62"/>
        <v>4109.5640000000003</v>
      </c>
      <c r="F27" s="45">
        <f t="shared" si="24"/>
        <v>0</v>
      </c>
      <c r="G27" s="29">
        <f t="shared" si="25"/>
        <v>0</v>
      </c>
      <c r="H27" s="1">
        <f t="shared" si="63"/>
        <v>4780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64"/>
        <v>3423.3090000000002</v>
      </c>
      <c r="O27" s="45">
        <f t="shared" si="30"/>
        <v>0</v>
      </c>
      <c r="P27" s="29">
        <f t="shared" si="31"/>
        <v>0</v>
      </c>
      <c r="Q27" s="7">
        <f t="shared" si="39"/>
        <v>5291.13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65"/>
        <v>164645</v>
      </c>
      <c r="Y27" s="166">
        <f t="shared" si="40"/>
        <v>0</v>
      </c>
      <c r="Z27" s="160">
        <f t="shared" si="66"/>
        <v>8477</v>
      </c>
      <c r="AA27" s="166">
        <f t="shared" si="42"/>
        <v>0</v>
      </c>
      <c r="AB27" s="160">
        <f t="shared" si="35"/>
        <v>20</v>
      </c>
      <c r="AC27" s="166">
        <f t="shared" si="44"/>
        <v>0</v>
      </c>
      <c r="AD27" s="160">
        <f t="shared" si="67"/>
        <v>258</v>
      </c>
      <c r="AE27" s="166">
        <f t="shared" si="37"/>
        <v>0</v>
      </c>
      <c r="AF27" s="160">
        <f t="shared" si="43"/>
        <v>5679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61"/>
        <v>22889.116999999998</v>
      </c>
      <c r="C28" s="45">
        <f t="shared" si="22"/>
        <v>0</v>
      </c>
      <c r="D28" s="29">
        <f t="shared" si="23"/>
        <v>0</v>
      </c>
      <c r="E28" s="1">
        <f t="shared" si="62"/>
        <v>4109.5640000000003</v>
      </c>
      <c r="F28" s="45">
        <f t="shared" si="24"/>
        <v>0</v>
      </c>
      <c r="G28" s="29">
        <f t="shared" si="25"/>
        <v>0</v>
      </c>
      <c r="H28" s="1">
        <f t="shared" si="63"/>
        <v>4780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64"/>
        <v>3423.3090000000002</v>
      </c>
      <c r="O28" s="45">
        <f t="shared" si="30"/>
        <v>0</v>
      </c>
      <c r="P28" s="29">
        <f t="shared" si="31"/>
        <v>0</v>
      </c>
      <c r="Q28" s="7">
        <f t="shared" si="39"/>
        <v>5291.13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65"/>
        <v>164645</v>
      </c>
      <c r="Y28" s="166">
        <f t="shared" si="40"/>
        <v>0</v>
      </c>
      <c r="Z28" s="160">
        <f t="shared" si="66"/>
        <v>8477</v>
      </c>
      <c r="AA28" s="166">
        <f t="shared" si="42"/>
        <v>0</v>
      </c>
      <c r="AB28" s="160">
        <f t="shared" si="35"/>
        <v>20</v>
      </c>
      <c r="AC28" s="166">
        <f t="shared" si="44"/>
        <v>0</v>
      </c>
      <c r="AD28" s="160">
        <f t="shared" si="67"/>
        <v>258</v>
      </c>
      <c r="AE28" s="166">
        <f t="shared" si="37"/>
        <v>0</v>
      </c>
      <c r="AF28" s="160">
        <f t="shared" si="43"/>
        <v>5679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61"/>
        <v>22889.116999999998</v>
      </c>
      <c r="C29" s="45">
        <f t="shared" si="22"/>
        <v>0</v>
      </c>
      <c r="D29" s="29">
        <f t="shared" si="23"/>
        <v>0</v>
      </c>
      <c r="E29" s="1">
        <f t="shared" si="62"/>
        <v>4109.5640000000003</v>
      </c>
      <c r="F29" s="45">
        <f t="shared" si="24"/>
        <v>0</v>
      </c>
      <c r="G29" s="29">
        <f t="shared" si="25"/>
        <v>0</v>
      </c>
      <c r="H29" s="1">
        <f t="shared" si="63"/>
        <v>4780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64"/>
        <v>3423.3090000000002</v>
      </c>
      <c r="O29" s="45">
        <f t="shared" si="30"/>
        <v>0</v>
      </c>
      <c r="P29" s="29">
        <f t="shared" si="31"/>
        <v>0</v>
      </c>
      <c r="Q29" s="7">
        <f t="shared" si="39"/>
        <v>5291.13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65"/>
        <v>164645</v>
      </c>
      <c r="Y29" s="166">
        <f t="shared" si="40"/>
        <v>0</v>
      </c>
      <c r="Z29" s="160">
        <f t="shared" si="66"/>
        <v>8477</v>
      </c>
      <c r="AA29" s="166">
        <f t="shared" si="42"/>
        <v>0</v>
      </c>
      <c r="AB29" s="160">
        <f t="shared" si="35"/>
        <v>20</v>
      </c>
      <c r="AC29" s="166">
        <f t="shared" si="44"/>
        <v>0</v>
      </c>
      <c r="AD29" s="160">
        <f t="shared" si="67"/>
        <v>258</v>
      </c>
      <c r="AE29" s="166">
        <f t="shared" si="37"/>
        <v>0</v>
      </c>
      <c r="AF29" s="160">
        <f t="shared" si="43"/>
        <v>5679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61"/>
        <v>22889.116999999998</v>
      </c>
      <c r="C30" s="45">
        <f t="shared" si="22"/>
        <v>0</v>
      </c>
      <c r="D30" s="29">
        <f t="shared" si="23"/>
        <v>0</v>
      </c>
      <c r="E30" s="1">
        <f t="shared" si="62"/>
        <v>4109.5640000000003</v>
      </c>
      <c r="F30" s="45">
        <f t="shared" si="24"/>
        <v>0</v>
      </c>
      <c r="G30" s="29">
        <f t="shared" si="25"/>
        <v>0</v>
      </c>
      <c r="H30" s="1">
        <f t="shared" si="63"/>
        <v>4780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64"/>
        <v>3423.3090000000002</v>
      </c>
      <c r="O30" s="45">
        <f t="shared" si="30"/>
        <v>0</v>
      </c>
      <c r="P30" s="29">
        <f t="shared" si="31"/>
        <v>0</v>
      </c>
      <c r="Q30" s="7">
        <f t="shared" si="39"/>
        <v>5291.13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65"/>
        <v>164645</v>
      </c>
      <c r="Y30" s="166">
        <f t="shared" si="40"/>
        <v>0</v>
      </c>
      <c r="Z30" s="160">
        <f t="shared" si="66"/>
        <v>8477</v>
      </c>
      <c r="AA30" s="166">
        <f>Z30-Z29</f>
        <v>0</v>
      </c>
      <c r="AB30" s="160">
        <f t="shared" si="35"/>
        <v>20</v>
      </c>
      <c r="AC30" s="166">
        <f t="shared" si="44"/>
        <v>0</v>
      </c>
      <c r="AD30" s="160">
        <f t="shared" si="67"/>
        <v>258</v>
      </c>
      <c r="AE30" s="166">
        <f t="shared" si="37"/>
        <v>0</v>
      </c>
      <c r="AF30" s="160">
        <f t="shared" si="43"/>
        <v>5679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40.006999999997788</v>
      </c>
      <c r="D31" s="139">
        <f>SUM(D3:D30)</f>
        <v>79841.799999994677</v>
      </c>
      <c r="E31" s="139">
        <v>0</v>
      </c>
      <c r="F31" s="45">
        <f>SUM(F3:F30)</f>
        <v>10.566000000000713</v>
      </c>
      <c r="G31" s="139">
        <f>SUM(G3:G30)</f>
        <v>20075.400000001355</v>
      </c>
      <c r="H31" s="139"/>
      <c r="I31" s="45">
        <f>SUM(I3:I30)</f>
        <v>92</v>
      </c>
      <c r="J31" s="139">
        <f>SUM(J3:J30)</f>
        <v>174800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40812.000000000022</v>
      </c>
      <c r="Q31" s="139"/>
      <c r="R31" s="45">
        <f>SUM(R3:R30)</f>
        <v>1.0000000000218279E-2</v>
      </c>
      <c r="S31" s="139">
        <f>SUM(S3:S30)</f>
        <v>19.00000000041473</v>
      </c>
      <c r="T31" s="139">
        <f>SUM(T3:T30)</f>
        <v>166.07799999999816</v>
      </c>
      <c r="U31" s="139">
        <f>SUM(U3:U30)</f>
        <v>315548.19999999646</v>
      </c>
      <c r="V31"/>
      <c r="W31" s="139" t="s">
        <v>143</v>
      </c>
      <c r="X31" s="139"/>
      <c r="Y31" s="139">
        <f>SUM(Y5:Y30)</f>
        <v>477</v>
      </c>
      <c r="Z31" s="139"/>
      <c r="AA31" s="139">
        <f>SUM(AA5:AA30)</f>
        <v>98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79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79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81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81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0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0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79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79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81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81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0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0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79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79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81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81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0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0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79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79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81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81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0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0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79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79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81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81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0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0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79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79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81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81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0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0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79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79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81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81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0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0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79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79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81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81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0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0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79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79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81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81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0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0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79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79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81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81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0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0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79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79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81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81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0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0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79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79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81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81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0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0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79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79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81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81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0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0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9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79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81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81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0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0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9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79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81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81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79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79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81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81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79">
        <v>23</v>
      </c>
      <c r="D49" s="62" t="s">
        <v>83</v>
      </c>
      <c r="E49" s="77"/>
      <c r="F49" s="77"/>
      <c r="G49" s="64">
        <f t="shared" si="2"/>
        <v>0</v>
      </c>
      <c r="H49" s="65"/>
      <c r="J49" s="179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81"/>
      <c r="D50" s="62" t="s">
        <v>82</v>
      </c>
      <c r="E50" s="77"/>
      <c r="F50" s="77"/>
      <c r="G50" s="64">
        <f t="shared" si="2"/>
        <v>0</v>
      </c>
      <c r="H50" s="65"/>
      <c r="J50" s="181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82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82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83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83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84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84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79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79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0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0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9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79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0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0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79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79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0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0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9">
        <v>28</v>
      </c>
      <c r="D62" s="188" t="s">
        <v>86</v>
      </c>
      <c r="E62" s="63"/>
      <c r="F62" s="63"/>
      <c r="G62" s="64"/>
      <c r="H62" s="190" t="s">
        <v>87</v>
      </c>
      <c r="I62" s="68"/>
      <c r="J62" s="179">
        <v>28</v>
      </c>
      <c r="K62" s="188" t="s">
        <v>86</v>
      </c>
      <c r="L62" s="63"/>
      <c r="M62" s="63"/>
      <c r="N62" s="64"/>
      <c r="O62" s="190" t="s">
        <v>87</v>
      </c>
    </row>
    <row r="63" spans="1:15" ht="15" x14ac:dyDescent="0.2">
      <c r="A63" s="68"/>
      <c r="B63" s="58"/>
      <c r="C63" s="180"/>
      <c r="D63" s="189"/>
      <c r="E63" s="63"/>
      <c r="F63" s="63"/>
      <c r="G63" s="64"/>
      <c r="H63" s="191"/>
      <c r="I63" s="68"/>
      <c r="J63" s="180"/>
      <c r="K63" s="189"/>
      <c r="L63" s="63"/>
      <c r="M63" s="63"/>
      <c r="N63" s="64"/>
      <c r="O63" s="191"/>
    </row>
    <row r="64" spans="1:15" x14ac:dyDescent="0.2">
      <c r="A64" s="68"/>
      <c r="B64" s="58"/>
      <c r="C64" s="192" t="s">
        <v>88</v>
      </c>
      <c r="D64" s="192"/>
      <c r="E64" s="192"/>
      <c r="F64" s="192"/>
      <c r="G64" s="82">
        <f>SUM(G2:G63)</f>
        <v>28925</v>
      </c>
      <c r="H64" s="83"/>
      <c r="I64" s="68"/>
      <c r="J64" s="192" t="s">
        <v>88</v>
      </c>
      <c r="K64" s="192"/>
      <c r="L64" s="192"/>
      <c r="M64" s="192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3">
        <v>44409</v>
      </c>
      <c r="C69" s="194"/>
      <c r="D69" s="194"/>
      <c r="E69" s="195"/>
      <c r="F69" s="86"/>
      <c r="G69" s="193">
        <v>44470</v>
      </c>
      <c r="H69" s="194"/>
      <c r="I69" s="194"/>
      <c r="J69" s="195"/>
      <c r="K69" s="86"/>
      <c r="L69" s="185" t="s">
        <v>25</v>
      </c>
      <c r="M69" s="186"/>
      <c r="N69" s="186"/>
      <c r="O69" s="187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2022-02-21T00:12:31Z</dcterms:modified>
</cp:coreProperties>
</file>