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53" documentId="8_{9B439D3B-B023-4087-B27B-CB56FE35C246}" xr6:coauthVersionLast="47" xr6:coauthVersionMax="47" xr10:uidLastSave="{CAA65B70-AFF0-488C-8B6E-1A342A994314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V42" i="3" l="1"/>
  <c r="Q42" i="3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<sst xmlns="http://schemas.openxmlformats.org/spreadsheetml/2006/main" count="90" uniqueCount="53">
  <si>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</si>
  <si>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</si>
  <si>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</si>
  <si>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</si>
  <si>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</si>
  <si>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</si>
  <si>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</si>
  <si>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</si>
  <si>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</si>
  <si>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</si>
  <si>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</si>
  <si>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</si>
  <si>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</si>
  <si>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</si>
  <si>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</si>
  <si>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</si>
  <si>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NOVEMBER 2018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</si>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</sst>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11</v>
      </c>
      <c r="D2" s="97">
        <v>2018</v>
      </c>
      <c r="E2" s="99">
        <f>'Localize Daily Bali Jimbaran'!P7</f>
        <v>16419.999999999618</v>
      </c>
      <c r="F2" s="100">
        <f>'Localize Daily Bali Jimbaran'!O7/'Localize Daily Bali Jimbaran'!P7</f>
        <v>1255.1420554202216</v>
      </c>
      <c r="G2" s="99">
        <f>'Localize Daily Bali Jimbaran'!AC7</f>
        <v>398.51235999998119</v>
      </c>
      <c r="H2" s="100">
        <f>'Localize Daily Bali Jimbaran'!AD7/'Localize Daily Bali Jimbaran'!AC7</f>
        <v>12634.476422763937</v>
      </c>
      <c r="I2" s="99">
        <f>'Localize Daily Bali Jimbaran'!AH7</f>
        <v>769.68000000000029</v>
      </c>
      <c r="J2" s="101"/>
      <c r="K2" s="99">
        <f>'Localize Daily Bali Jimbaran'!Q7</f>
        <v>906</v>
      </c>
      <c r="L2" s="100">
        <f>'Localize Daily Bali Jimbaran'!V7/'Localize Daily Bali Jimbaran'!Q7</f>
        <v>8141.0748344370859</v>
      </c>
      <c r="M2" s="99">
        <f>'Localize Daily Bali Jimbaran'!C7</f>
        <v>142</v>
      </c>
      <c r="N2" s="99">
        <v>290</v>
      </c>
    </row>
    <row r="3" spans="1:14" ht="15">
      <c r="A3" s="96" t="s">
        <v>14</v>
      </c>
      <c r="B3" s="97">
        <v>2</v>
      </c>
      <c r="C3" s="98">
        <v>11</v>
      </c>
      <c r="D3" s="97">
        <v>2018</v>
      </c>
      <c r="E3" s="99">
        <f>'Localize Daily Bali Jimbaran'!P8</f>
        <v>28560.000000000742</v>
      </c>
      <c r="F3" s="100">
        <f>'Localize Daily Bali Jimbaran'!O8/'Localize Daily Bali Jimbaran'!P8</f>
        <v>1187.7197867647053</v>
      </c>
      <c r="G3" s="99">
        <f>'Localize Daily Bali Jimbaran'!AC8</f>
        <v>543.75588000002574</v>
      </c>
      <c r="H3" s="100">
        <f>'Localize Daily Bali Jimbaran'!AD8/'Localize Daily Bali Jimbaran'!AC8</f>
        <v>12748.37971002719</v>
      </c>
      <c r="I3" s="99">
        <f>'Localize Daily Bali Jimbaran'!AH8</f>
        <v>601.29999999999927</v>
      </c>
      <c r="J3" s="101">
        <f>'Localize Daily Bali Jimbaran'!AI8/'Localize Daily Bali Jimbaran'!AH8</f>
        <v>11500</v>
      </c>
      <c r="K3" s="99">
        <f>'Localize Daily Bali Jimbaran'!Q8</f>
        <v>949</v>
      </c>
      <c r="L3" s="100">
        <f>'Localize Daily Bali Jimbaran'!V8/'Localize Daily Bali Jimbaran'!Q8</f>
        <v>7874.2811380400417</v>
      </c>
      <c r="M3" s="99">
        <f>'Localize Daily Bali Jimbaran'!C8</f>
        <v>139</v>
      </c>
      <c r="N3" s="99">
        <v>299</v>
      </c>
    </row>
    <row r="4" spans="1:14" ht="15">
      <c r="A4" s="96" t="s">
        <v>14</v>
      </c>
      <c r="B4" s="97">
        <v>3</v>
      </c>
      <c r="C4" s="98">
        <v>11</v>
      </c>
      <c r="D4" s="97">
        <v>2018</v>
      </c>
      <c r="E4" s="99">
        <f>'Localize Daily Bali Jimbaran'!P9</f>
        <v>28339.999999999236</v>
      </c>
      <c r="F4" s="100">
        <f>'Localize Daily Bali Jimbaran'!O9/'Localize Daily Bali Jimbaran'!P9</f>
        <v>1183.1246390261144</v>
      </c>
      <c r="G4" s="99">
        <f>'Localize Daily Bali Jimbaran'!AC9</f>
        <v>146.29351999998593</v>
      </c>
      <c r="H4" s="100">
        <f>'Localize Daily Bali Jimbaran'!AD9/'Localize Daily Bali Jimbaran'!AC9</f>
        <v>11909.571669339828</v>
      </c>
      <c r="I4" s="99">
        <f>'Localize Daily Bali Jimbaran'!AH9</f>
        <v>512.47999999999956</v>
      </c>
      <c r="J4" s="101">
        <f>'Localize Daily Bali Jimbaran'!AI9/'Localize Daily Bali Jimbaran'!AH9</f>
        <v>11500</v>
      </c>
      <c r="K4" s="99">
        <f>'Localize Daily Bali Jimbaran'!Q9</f>
        <v>751.69999999999709</v>
      </c>
      <c r="L4" s="100">
        <f>'Localize Daily Bali Jimbaran'!V9/'Localize Daily Bali Jimbaran'!Q9</f>
        <v>8191.3584249035648</v>
      </c>
      <c r="M4" s="99">
        <f>'Localize Daily Bali Jimbaran'!C9</f>
        <v>74</v>
      </c>
      <c r="N4" s="99">
        <v>187</v>
      </c>
    </row>
    <row r="5" spans="1:14" ht="15">
      <c r="A5" s="96" t="s">
        <v>14</v>
      </c>
      <c r="B5" s="97">
        <v>4</v>
      </c>
      <c r="C5" s="98">
        <v>11</v>
      </c>
      <c r="D5" s="97">
        <v>2018</v>
      </c>
      <c r="E5" s="99">
        <f>'Localize Daily Bali Jimbaran'!P10</f>
        <v>27500.000000000113</v>
      </c>
      <c r="F5" s="100">
        <f>'Localize Daily Bali Jimbaran'!O10/'Localize Daily Bali Jimbaran'!P10</f>
        <v>1167.4558865454558</v>
      </c>
      <c r="G5" s="99">
        <f>'Localize Daily Bali Jimbaran'!AC10</f>
        <v>62</v>
      </c>
      <c r="H5" s="100">
        <f>'Localize Daily Bali Jimbaran'!AD10/'Localize Daily Bali Jimbaran'!AC10</f>
        <v>12774.193548387097</v>
      </c>
      <c r="I5" s="99">
        <f>'Localize Daily Bali Jimbaran'!AH10</f>
        <v>590.17000000000007</v>
      </c>
      <c r="J5" s="101">
        <f>'Localize Daily Bali Jimbaran'!AI10/'Localize Daily Bali Jimbaran'!AH10</f>
        <v>11500</v>
      </c>
      <c r="K5" s="99">
        <f>'Localize Daily Bali Jimbaran'!Q10</f>
        <v>813.40000000000873</v>
      </c>
      <c r="L5" s="100">
        <f>'Localize Daily Bali Jimbaran'!V10/'Localize Daily Bali Jimbaran'!Q10</f>
        <v>7194.7917088762943</v>
      </c>
      <c r="M5" s="99">
        <f>'Localize Daily Bali Jimbaran'!C10</f>
        <v>29</v>
      </c>
      <c r="N5" s="99">
        <v>88</v>
      </c>
    </row>
    <row r="6" spans="1:14" ht="15">
      <c r="A6" s="96" t="s">
        <v>14</v>
      </c>
      <c r="B6" s="97">
        <v>5</v>
      </c>
      <c r="C6" s="98">
        <v>11</v>
      </c>
      <c r="D6" s="97">
        <v>2018</v>
      </c>
      <c r="E6" s="99">
        <f>'Localize Daily Bali Jimbaran'!P11</f>
        <v>23360.000000000582</v>
      </c>
      <c r="F6" s="100">
        <f>'Localize Daily Bali Jimbaran'!O11/'Localize Daily Bali Jimbaran'!P11</f>
        <v>1198.8399721746489</v>
      </c>
      <c r="G6" s="99">
        <f>'Localize Daily Bali Jimbaran'!AC11</f>
        <v>146.9782800000375</v>
      </c>
      <c r="H6" s="100">
        <f>'Localize Daily Bali Jimbaran'!AD11/'Localize Daily Bali Jimbaran'!AC11</f>
        <v>11909.690137889767</v>
      </c>
      <c r="I6" s="99">
        <f>'Localize Daily Bali Jimbaran'!AH11</f>
        <v>600</v>
      </c>
      <c r="J6" s="101">
        <f>'Localize Daily Bali Jimbaran'!AI11/'Localize Daily Bali Jimbaran'!AH11</f>
        <v>11500</v>
      </c>
      <c r="K6" s="99">
        <f>'Localize Daily Bali Jimbaran'!Q11</f>
        <v>738</v>
      </c>
      <c r="L6" s="100">
        <f>'Localize Daily Bali Jimbaran'!V11/'Localize Daily Bali Jimbaran'!Q11</f>
        <v>5310.9974796747965</v>
      </c>
      <c r="M6" s="99">
        <f>'Localize Daily Bali Jimbaran'!C11</f>
        <v>34</v>
      </c>
      <c r="N6" s="99">
        <v>99</v>
      </c>
    </row>
    <row r="7" spans="1:14" ht="15">
      <c r="A7" s="96" t="s">
        <v>14</v>
      </c>
      <c r="B7" s="97">
        <v>6</v>
      </c>
      <c r="C7" s="98">
        <v>11</v>
      </c>
      <c r="D7" s="97">
        <v>2018</v>
      </c>
      <c r="E7" s="99">
        <f>'Localize Daily Bali Jimbaran'!P12</f>
        <v>24859.999999999785</v>
      </c>
      <c r="F7" s="100">
        <f>'Localize Daily Bali Jimbaran'!O12/'Localize Daily Bali Jimbaran'!P12</f>
        <v>1184.6889991954995</v>
      </c>
      <c r="G7" s="99">
        <f>'Localize Daily Bali Jimbaran'!AC12</f>
        <v>380.38291999999763</v>
      </c>
      <c r="H7" s="100">
        <f>'Localize Daily Bali Jimbaran'!AD12/'Localize Daily Bali Jimbaran'!AC12</f>
        <v>12658.034567377532</v>
      </c>
      <c r="I7" s="99">
        <f>'Localize Daily Bali Jimbaran'!AH12</f>
        <v>416.32999999999993</v>
      </c>
      <c r="J7" s="101">
        <f>'Localize Daily Bali Jimbaran'!AI12/'Localize Daily Bali Jimbaran'!AH12</f>
        <v>11500</v>
      </c>
      <c r="K7" s="99">
        <f>'Localize Daily Bali Jimbaran'!Q12</f>
        <v>954.89999999999418</v>
      </c>
      <c r="L7" s="100">
        <f>'Localize Daily Bali Jimbaran'!V12/'Localize Daily Bali Jimbaran'!Q12</f>
        <v>10491.530208398821</v>
      </c>
      <c r="M7" s="99">
        <f>'Localize Daily Bali Jimbaran'!C12</f>
        <v>42</v>
      </c>
      <c r="N7" s="99">
        <v>122</v>
      </c>
    </row>
    <row r="8" spans="1:14" ht="15">
      <c r="A8" s="96" t="s">
        <v>14</v>
      </c>
      <c r="B8" s="97">
        <v>7</v>
      </c>
      <c r="C8" s="98">
        <v>11</v>
      </c>
      <c r="D8" s="97">
        <v>2018</v>
      </c>
      <c r="E8" s="99">
        <f>'Localize Daily Bali Jimbaran'!P13</f>
        <v>24039.99999999928</v>
      </c>
      <c r="F8" s="100">
        <f>'Localize Daily Bali Jimbaran'!O13/'Localize Daily Bali Jimbaran'!P13</f>
        <v>1188.4541443427609</v>
      </c>
      <c r="G8" s="99">
        <f>'Localize Daily Bali Jimbaran'!AC13</f>
        <v>525.99583999999527</v>
      </c>
      <c r="H8" s="100">
        <f>'Localize Daily Bali Jimbaran'!AD13/'Localize Daily Bali Jimbaran'!AC13</f>
        <v>12782.915451194451</v>
      </c>
      <c r="I8" s="99">
        <f>'Localize Daily Bali Jimbaran'!AH13</f>
        <v>616.66000000000167</v>
      </c>
      <c r="J8" s="101">
        <f>'Localize Daily Bali Jimbaran'!AI13/'Localize Daily Bali Jimbaran'!AH13</f>
        <v>11500</v>
      </c>
      <c r="K8" s="99">
        <f>'Localize Daily Bali Jimbaran'!Q13</f>
        <v>450</v>
      </c>
      <c r="L8" s="100">
        <f>'Localize Daily Bali Jimbaran'!V13/'Localize Daily Bali Jimbaran'!Q13</f>
        <v>12581.139066666667</v>
      </c>
      <c r="M8" s="99">
        <f>'Localize Daily Bali Jimbaran'!C13</f>
        <v>52</v>
      </c>
      <c r="N8" s="99">
        <v>141</v>
      </c>
    </row>
    <row r="9" spans="1:14" ht="15">
      <c r="A9" s="96" t="s">
        <v>14</v>
      </c>
      <c r="B9" s="97">
        <v>8</v>
      </c>
      <c r="C9" s="98">
        <v>11</v>
      </c>
      <c r="D9" s="97">
        <v>2018</v>
      </c>
      <c r="E9" s="99">
        <f>'Localize Daily Bali Jimbaran'!P14</f>
        <v>25720.000000000367</v>
      </c>
      <c r="F9" s="100">
        <f>'Localize Daily Bali Jimbaran'!O14/'Localize Daily Bali Jimbaran'!P14</f>
        <v>1179.7501982892729</v>
      </c>
      <c r="G9" s="99">
        <f>'Localize Daily Bali Jimbaran'!AC14</f>
        <v>175.32508000000234</v>
      </c>
      <c r="H9" s="100">
        <f>'Localize Daily Bali Jimbaran'!AD14/'Localize Daily Bali Jimbaran'!AC14</f>
        <v>11850.129084783535</v>
      </c>
      <c r="I9" s="99">
        <f>'Localize Daily Bali Jimbaran'!AH14</f>
        <v>767.40999999999985</v>
      </c>
      <c r="J9" s="101">
        <f>'Localize Daily Bali Jimbaran'!AI14/'Localize Daily Bali Jimbaran'!AH14</f>
        <v>11500</v>
      </c>
      <c r="K9" s="99">
        <f>'Localize Daily Bali Jimbaran'!Q14</f>
        <v>706</v>
      </c>
      <c r="L9" s="100">
        <f>'Localize Daily Bali Jimbaran'!V14/'Localize Daily Bali Jimbaran'!Q14</f>
        <v>9673.7648725212457</v>
      </c>
      <c r="M9" s="99">
        <f>'Localize Daily Bali Jimbaran'!C14</f>
        <v>54</v>
      </c>
      <c r="N9" s="99">
        <v>140</v>
      </c>
    </row>
    <row r="10" spans="1:14" ht="15">
      <c r="A10" s="96" t="s">
        <v>14</v>
      </c>
      <c r="B10" s="97">
        <v>9</v>
      </c>
      <c r="C10" s="98">
        <v>11</v>
      </c>
      <c r="D10" s="97">
        <v>2018</v>
      </c>
      <c r="E10" s="99">
        <f>'Localize Daily Bali Jimbaran'!P15</f>
        <v>24680.000000000517</v>
      </c>
      <c r="F10" s="100">
        <f>'Localize Daily Bali Jimbaran'!O15/'Localize Daily Bali Jimbaran'!P15</f>
        <v>1181.4313164505652</v>
      </c>
      <c r="G10" s="99">
        <f>'Localize Daily Bali Jimbaran'!AC15</f>
        <v>133.44419999997655</v>
      </c>
      <c r="H10" s="100">
        <f>'Localize Daily Bali Jimbaran'!AD15/'Localize Daily Bali Jimbaran'!AC15</f>
        <v>11907.123179576178</v>
      </c>
      <c r="I10" s="99">
        <f>'Localize Daily Bali Jimbaran'!AH15</f>
        <v>558.75</v>
      </c>
      <c r="J10" s="101">
        <f>'Localize Daily Bali Jimbaran'!AI15/'Localize Daily Bali Jimbaran'!AH15</f>
        <v>11500</v>
      </c>
      <c r="K10" s="99">
        <f>'Localize Daily Bali Jimbaran'!Q15</f>
        <v>750</v>
      </c>
      <c r="L10" s="100">
        <f>'Localize Daily Bali Jimbaran'!V15/'Localize Daily Bali Jimbaran'!Q15</f>
        <v>9718.763226666666</v>
      </c>
      <c r="M10" s="99">
        <f>'Localize Daily Bali Jimbaran'!C15</f>
        <v>42</v>
      </c>
      <c r="N10" s="99">
        <v>118</v>
      </c>
    </row>
    <row r="11" spans="1:14" ht="15">
      <c r="A11" s="96" t="s">
        <v>14</v>
      </c>
      <c r="B11" s="97">
        <v>10</v>
      </c>
      <c r="C11" s="98">
        <v>11</v>
      </c>
      <c r="D11" s="97">
        <v>2018</v>
      </c>
      <c r="E11" s="99">
        <f>'Localize Daily Bali Jimbaran'!P16</f>
        <v>24039.999999999513</v>
      </c>
      <c r="F11" s="100">
        <f>'Localize Daily Bali Jimbaran'!O16/'Localize Daily Bali Jimbaran'!P16</f>
        <v>1183.0253473377677</v>
      </c>
      <c r="G11" s="99">
        <f>'Localize Daily Bali Jimbaran'!AC16</f>
        <v>165.36191999999764</v>
      </c>
      <c r="H11" s="100">
        <f>'Localize Daily Bali Jimbaran'!AD16/'Localize Daily Bali Jimbaran'!AC16</f>
        <v>12272.139288174694</v>
      </c>
      <c r="I11" s="99">
        <f>'Localize Daily Bali Jimbaran'!AH16</f>
        <v>576.70000000000073</v>
      </c>
      <c r="J11" s="101">
        <f>'Localize Daily Bali Jimbaran'!AI16/'Localize Daily Bali Jimbaran'!AH16</f>
        <v>11500</v>
      </c>
      <c r="K11" s="99">
        <f>'Localize Daily Bali Jimbaran'!Q16</f>
        <v>807</v>
      </c>
      <c r="L11" s="100">
        <f>'Localize Daily Bali Jimbaran'!V16/'Localize Daily Bali Jimbaran'!Q16</f>
        <v>9710.4213630731083</v>
      </c>
      <c r="M11" s="99">
        <f>'Localize Daily Bali Jimbaran'!C16</f>
        <v>29</v>
      </c>
      <c r="N11" s="99">
        <v>99</v>
      </c>
    </row>
    <row r="12" spans="1:14" ht="15">
      <c r="A12" s="96" t="s">
        <v>14</v>
      </c>
      <c r="B12" s="97">
        <v>11</v>
      </c>
      <c r="C12" s="98">
        <v>11</v>
      </c>
      <c r="D12" s="97">
        <v>2018</v>
      </c>
      <c r="E12" s="99">
        <f>'Localize Daily Bali Jimbaran'!P17</f>
        <v>24619.999999999778</v>
      </c>
      <c r="F12" s="100">
        <f>'Localize Daily Bali Jimbaran'!O17/'Localize Daily Bali Jimbaran'!P17</f>
        <v>1182.9852891957778</v>
      </c>
      <c r="G12" s="99">
        <f>'Localize Daily Bali Jimbaran'!AC17</f>
        <v>361.85756000001641</v>
      </c>
      <c r="H12" s="100">
        <f>'Localize Daily Bali Jimbaran'!AD17/'Localize Daily Bali Jimbaran'!AC17</f>
        <v>12705.330734557507</v>
      </c>
      <c r="I12" s="99">
        <f>'Localize Daily Bali Jimbaran'!AH17</f>
        <v>466.39999999999964</v>
      </c>
      <c r="J12" s="101">
        <f>'Localize Daily Bali Jimbaran'!AI17/'Localize Daily Bali Jimbaran'!AH17</f>
        <v>11500.000000000002</v>
      </c>
      <c r="K12" s="99">
        <f>'Localize Daily Bali Jimbaran'!Q17</f>
        <v>659</v>
      </c>
      <c r="L12" s="100">
        <f>'Localize Daily Bali Jimbaran'!V17/'Localize Daily Bali Jimbaran'!Q17</f>
        <v>8860.8655538695002</v>
      </c>
      <c r="M12" s="99">
        <f>'Localize Daily Bali Jimbaran'!C17</f>
        <v>35</v>
      </c>
      <c r="N12" s="99">
        <v>99</v>
      </c>
    </row>
    <row r="13" spans="1:14" ht="15">
      <c r="A13" s="96" t="s">
        <v>14</v>
      </c>
      <c r="B13" s="97">
        <v>12</v>
      </c>
      <c r="C13" s="98">
        <v>11</v>
      </c>
      <c r="D13" s="97">
        <v>2018</v>
      </c>
      <c r="E13" s="99">
        <f>'Localize Daily Bali Jimbaran'!P18</f>
        <v>25320.000000000618</v>
      </c>
      <c r="F13" s="100">
        <f>'Localize Daily Bali Jimbaran'!O18/'Localize Daily Bali Jimbaran'!P18</f>
        <v>1182.4950462085301</v>
      </c>
      <c r="G13" s="99">
        <f>'Localize Daily Bali Jimbaran'!AC18</f>
        <v>529.33564000001877</v>
      </c>
      <c r="H13" s="100">
        <f>'Localize Daily Bali Jimbaran'!AD18/'Localize Daily Bali Jimbaran'!AC18</f>
        <v>12770.53792070374</v>
      </c>
      <c r="I13" s="99">
        <f>'Localize Daily Bali Jimbaran'!AH18</f>
        <v>511.75</v>
      </c>
      <c r="J13" s="101">
        <f>'Localize Daily Bali Jimbaran'!AI18/'Localize Daily Bali Jimbaran'!AH18</f>
        <v>11500</v>
      </c>
      <c r="K13" s="99">
        <f>'Localize Daily Bali Jimbaran'!Q18</f>
        <v>827</v>
      </c>
      <c r="L13" s="100">
        <f>'Localize Daily Bali Jimbaran'!V18/'Localize Daily Bali Jimbaran'!Q18</f>
        <v>8980.7892623941952</v>
      </c>
      <c r="M13" s="99">
        <f>'Localize Daily Bali Jimbaran'!C18</f>
        <v>35</v>
      </c>
      <c r="N13" s="99">
        <v>95</v>
      </c>
    </row>
    <row r="14" spans="1:14" ht="15">
      <c r="A14" s="96" t="s">
        <v>14</v>
      </c>
      <c r="B14" s="97">
        <v>13</v>
      </c>
      <c r="C14" s="98">
        <v>11</v>
      </c>
      <c r="D14" s="97">
        <v>2018</v>
      </c>
      <c r="E14" s="99">
        <f>'Localize Daily Bali Jimbaran'!P19</f>
        <v>22880.000000000451</v>
      </c>
      <c r="F14" s="100">
        <f>'Localize Daily Bali Jimbaran'!O19/'Localize Daily Bali Jimbaran'!P19</f>
        <v>1189.7662618006989</v>
      </c>
      <c r="G14" s="99">
        <f>'Localize Daily Bali Jimbaran'!AC19</f>
        <v>160.98883999999529</v>
      </c>
      <c r="H14" s="100">
        <f>'Localize Daily Bali Jimbaran'!AD19/'Localize Daily Bali Jimbaran'!AC19</f>
        <v>11865.678424665957</v>
      </c>
      <c r="I14" s="99">
        <f>'Localize Daily Bali Jimbaran'!AH19</f>
        <v>3138.8500000000013</v>
      </c>
      <c r="J14" s="101">
        <f>'Localize Daily Bali Jimbaran'!AI19/'Localize Daily Bali Jimbaran'!AH19</f>
        <v>11500</v>
      </c>
      <c r="K14" s="99">
        <f>'Localize Daily Bali Jimbaran'!Q19</f>
        <v>632</v>
      </c>
      <c r="L14" s="100">
        <f>'Localize Daily Bali Jimbaran'!V19/'Localize Daily Bali Jimbaran'!Q19</f>
        <v>10799.143481012658</v>
      </c>
      <c r="M14" s="99">
        <f>'Localize Daily Bali Jimbaran'!C19</f>
        <v>32</v>
      </c>
      <c r="N14" s="99">
        <v>95</v>
      </c>
    </row>
    <row r="15" spans="1:14" ht="15">
      <c r="A15" s="96" t="s">
        <v>14</v>
      </c>
      <c r="B15" s="97">
        <v>14</v>
      </c>
      <c r="C15" s="98">
        <v>11</v>
      </c>
      <c r="D15" s="97">
        <v>2018</v>
      </c>
      <c r="E15" s="99">
        <f>'Localize Daily Bali Jimbaran'!P20</f>
        <v>25199.999999999705</v>
      </c>
      <c r="F15" s="100">
        <f>'Localize Daily Bali Jimbaran'!O20/'Localize Daily Bali Jimbaran'!P20</f>
        <v>1182.9470750000005</v>
      </c>
      <c r="G15" s="99">
        <f>'Localize Daily Bali Jimbaran'!AC20</f>
        <v>124.82771999996247</v>
      </c>
      <c r="H15" s="100">
        <f>'Localize Daily Bali Jimbaran'!AD20/'Localize Daily Bali Jimbaran'!AC20</f>
        <v>11935</v>
      </c>
      <c r="I15" s="99">
        <f>'Localize Daily Bali Jimbaran'!AH20</f>
        <v>708.90999999999894</v>
      </c>
      <c r="J15" s="101">
        <f>'Localize Daily Bali Jimbaran'!AI20/'Localize Daily Bali Jimbaran'!AH20</f>
        <v>11500</v>
      </c>
      <c r="K15" s="99">
        <f>'Localize Daily Bali Jimbaran'!Q20</f>
        <v>654</v>
      </c>
      <c r="L15" s="100">
        <f>'Localize Daily Bali Jimbaran'!V20/'Localize Daily Bali Jimbaran'!Q20</f>
        <v>9784.0898470948014</v>
      </c>
      <c r="M15" s="99">
        <f>'Localize Daily Bali Jimbaran'!C20</f>
        <v>29</v>
      </c>
      <c r="N15" s="99">
        <v>86</v>
      </c>
    </row>
    <row r="16" spans="1:14" ht="15">
      <c r="A16" s="96" t="s">
        <v>14</v>
      </c>
      <c r="B16" s="97">
        <v>15</v>
      </c>
      <c r="C16" s="98">
        <v>11</v>
      </c>
      <c r="D16" s="97">
        <v>2018</v>
      </c>
      <c r="E16" s="99">
        <f>'Localize Daily Bali Jimbaran'!P21</f>
        <v>25720.000000000029</v>
      </c>
      <c r="F16" s="100">
        <f>'Localize Daily Bali Jimbaran'!O21/'Localize Daily Bali Jimbaran'!P21</f>
        <v>1180.5958973561399</v>
      </c>
      <c r="G16" s="99">
        <f>'Localize Daily Bali Jimbaran'!AC21</f>
        <v>142.46691999999763</v>
      </c>
      <c r="H16" s="100">
        <f>'Localize Daily Bali Jimbaran'!AD21/'Localize Daily Bali Jimbaran'!AC21</f>
        <v>11908.888675350039</v>
      </c>
      <c r="I16" s="99">
        <f>'Localize Daily Bali Jimbaran'!AH21</f>
        <v>769.05000000000109</v>
      </c>
      <c r="J16" s="101">
        <f>'Localize Daily Bali Jimbaran'!AI21/'Localize Daily Bali Jimbaran'!AH21</f>
        <v>11500</v>
      </c>
      <c r="K16" s="99">
        <f>'Localize Daily Bali Jimbaran'!Q21</f>
        <v>555</v>
      </c>
      <c r="L16" s="100">
        <f>'Localize Daily Bali Jimbaran'!V21/'Localize Daily Bali Jimbaran'!Q21</f>
        <v>9589.349837837839</v>
      </c>
      <c r="M16" s="99">
        <f>'Localize Daily Bali Jimbaran'!C21</f>
        <v>34</v>
      </c>
      <c r="N16" s="99">
        <v>95</v>
      </c>
    </row>
    <row r="17" spans="1:14" ht="15">
      <c r="A17" s="96" t="s">
        <v>14</v>
      </c>
      <c r="B17" s="97">
        <v>16</v>
      </c>
      <c r="C17" s="98">
        <v>11</v>
      </c>
      <c r="D17" s="97">
        <v>2018</v>
      </c>
      <c r="E17" s="99">
        <f>'Localize Daily Bali Jimbaran'!P22</f>
        <v>24340.000000000033</v>
      </c>
      <c r="F17" s="100">
        <f>'Localize Daily Bali Jimbaran'!O22/'Localize Daily Bali Jimbaran'!P22</f>
        <v>1183.6361055875116</v>
      </c>
      <c r="G17" s="99">
        <f>'Localize Daily Bali Jimbaran'!AC22</f>
        <v>418.74199999999996</v>
      </c>
      <c r="H17" s="100">
        <f>'Localize Daily Bali Jimbaran'!AD22/'Localize Daily Bali Jimbaran'!AC22</f>
        <v>12724.937479402592</v>
      </c>
      <c r="I17" s="99">
        <f>'Localize Daily Bali Jimbaran'!AH22</f>
        <v>754.44999999999891</v>
      </c>
      <c r="J17" s="101">
        <f>'Localize Daily Bali Jimbaran'!AI22/'Localize Daily Bali Jimbaran'!AH22</f>
        <v>11500</v>
      </c>
      <c r="K17" s="99">
        <f>'Localize Daily Bali Jimbaran'!Q22</f>
        <v>728</v>
      </c>
      <c r="L17" s="100">
        <f>'Localize Daily Bali Jimbaran'!V22/'Localize Daily Bali Jimbaran'!Q22</f>
        <v>9287.3778296703294</v>
      </c>
      <c r="M17" s="99">
        <f>'Localize Daily Bali Jimbaran'!C22</f>
        <v>36</v>
      </c>
      <c r="N17" s="99">
        <v>101</v>
      </c>
    </row>
    <row r="18" spans="1:14" ht="15">
      <c r="A18" s="96" t="s">
        <v>14</v>
      </c>
      <c r="B18" s="97">
        <v>17</v>
      </c>
      <c r="C18" s="98">
        <v>11</v>
      </c>
      <c r="D18" s="97">
        <v>2018</v>
      </c>
      <c r="E18" s="99">
        <f>'Localize Daily Bali Jimbaran'!P23</f>
        <v>23299.999999999953</v>
      </c>
      <c r="F18" s="100">
        <f>'Localize Daily Bali Jimbaran'!O23/'Localize Daily Bali Jimbaran'!P23</f>
        <v>1184.6567047210322</v>
      </c>
      <c r="G18" s="99">
        <f>'Localize Daily Bali Jimbaran'!AC23</f>
        <v>526.11324000000707</v>
      </c>
      <c r="H18" s="100">
        <f>'Localize Daily Bali Jimbaran'!AD23/'Localize Daily Bali Jimbaran'!AC23</f>
        <v>12775.655521233402</v>
      </c>
      <c r="I18" s="99">
        <f>'Localize Daily Bali Jimbaran'!AH23</f>
        <v>679.68999999999778</v>
      </c>
      <c r="J18" s="101">
        <f>'Localize Daily Bali Jimbaran'!AI23/'Localize Daily Bali Jimbaran'!AH23</f>
        <v>11500</v>
      </c>
      <c r="K18" s="99">
        <f>'Localize Daily Bali Jimbaran'!Q23</f>
        <v>644</v>
      </c>
      <c r="L18" s="100">
        <f>'Localize Daily Bali Jimbaran'!V23/'Localize Daily Bali Jimbaran'!Q23</f>
        <v>9801.017298136645</v>
      </c>
      <c r="M18" s="99">
        <f>'Localize Daily Bali Jimbaran'!C23</f>
        <v>26</v>
      </c>
      <c r="N18" s="99">
        <v>92</v>
      </c>
    </row>
    <row r="19" spans="1:14" ht="15">
      <c r="A19" s="96" t="s">
        <v>14</v>
      </c>
      <c r="B19" s="97">
        <v>18</v>
      </c>
      <c r="C19" s="98">
        <v>11</v>
      </c>
      <c r="D19" s="97">
        <v>2018</v>
      </c>
      <c r="E19" s="99">
        <f>'Localize Daily Bali Jimbaran'!P24</f>
        <v>25139.999999999985</v>
      </c>
      <c r="F19" s="100">
        <f>'Localize Daily Bali Jimbaran'!O24/'Localize Daily Bali Jimbaran'!P24</f>
        <v>1181.4442875894947</v>
      </c>
      <c r="G19" s="99">
        <f>'Localize Daily Bali Jimbaran'!AC24</f>
        <v>137.71043999998358</v>
      </c>
      <c r="H19" s="100">
        <f>'Localize Daily Bali Jimbaran'!AD24/'Localize Daily Bali Jimbaran'!AC24</f>
        <v>11880.973595030262</v>
      </c>
      <c r="I19" s="99">
        <f>'Localize Daily Bali Jimbaran'!AH24</f>
        <v>509.59999999999854</v>
      </c>
      <c r="J19" s="101">
        <f>'Localize Daily Bali Jimbaran'!AI24/'Localize Daily Bali Jimbaran'!AH24</f>
        <v>11500</v>
      </c>
      <c r="K19" s="99">
        <f>'Localize Daily Bali Jimbaran'!Q24</f>
        <v>980.69999999999709</v>
      </c>
      <c r="L19" s="100">
        <f>'Localize Daily Bali Jimbaran'!V24/'Localize Daily Bali Jimbaran'!Q24</f>
        <v>8204.673221168563</v>
      </c>
      <c r="M19" s="99">
        <f>'Localize Daily Bali Jimbaran'!C24</f>
        <v>28</v>
      </c>
      <c r="N19" s="99">
        <v>98</v>
      </c>
    </row>
    <row r="20" spans="1:14" ht="15">
      <c r="A20" s="96" t="s">
        <v>14</v>
      </c>
      <c r="B20" s="97">
        <v>19</v>
      </c>
      <c r="C20" s="98">
        <v>11</v>
      </c>
      <c r="D20" s="97">
        <v>2018</v>
      </c>
      <c r="E20" s="99">
        <f>'Localize Daily Bali Jimbaran'!P25</f>
        <v>25059.999999999716</v>
      </c>
      <c r="F20" s="100">
        <f>'Localize Daily Bali Jimbaran'!O25/'Localize Daily Bali Jimbaran'!P25</f>
        <v>1186.0838296089439</v>
      </c>
      <c r="G20" s="99">
        <f>'Localize Daily Bali Jimbaran'!AC25</f>
        <v>141.65788000002578</v>
      </c>
      <c r="H20" s="100">
        <f>'Localize Daily Bali Jimbaran'!AD25/'Localize Daily Bali Jimbaran'!AC25</f>
        <v>11882.479095409315</v>
      </c>
      <c r="I20" s="99">
        <f>'Localize Daily Bali Jimbaran'!AH25</f>
        <v>621.90000000000327</v>
      </c>
      <c r="J20" s="101">
        <f>'Localize Daily Bali Jimbaran'!AI25/'Localize Daily Bali Jimbaran'!AH25</f>
        <v>11500</v>
      </c>
      <c r="K20" s="99">
        <f>'Localize Daily Bali Jimbaran'!Q25</f>
        <v>672</v>
      </c>
      <c r="L20" s="100">
        <f>'Localize Daily Bali Jimbaran'!V25/'Localize Daily Bali Jimbaran'!Q25</f>
        <v>9332.8851785714287</v>
      </c>
      <c r="M20" s="99">
        <f>'Localize Daily Bali Jimbaran'!C25</f>
        <v>44</v>
      </c>
      <c r="N20" s="99">
        <v>109</v>
      </c>
    </row>
    <row r="21" spans="1:14" ht="15">
      <c r="A21" s="96" t="s">
        <v>14</v>
      </c>
      <c r="B21" s="97">
        <v>20</v>
      </c>
      <c r="C21" s="98">
        <v>11</v>
      </c>
      <c r="D21" s="97">
        <v>2018</v>
      </c>
      <c r="E21" s="99">
        <f>'Localize Daily Bali Jimbaran'!P26</f>
        <v>26220.000000000138</v>
      </c>
      <c r="F21" s="100">
        <f>'Localize Daily Bali Jimbaran'!O26/'Localize Daily Bali Jimbaran'!P26</f>
        <v>1181.725431350111</v>
      </c>
      <c r="G21" s="99">
        <f>'Localize Daily Bali Jimbaran'!AC26</f>
        <v>142.38980000002343</v>
      </c>
      <c r="H21" s="100">
        <f>'Localize Daily Bali Jimbaran'!AD26/'Localize Daily Bali Jimbaran'!AC26</f>
        <v>11935</v>
      </c>
      <c r="I21" s="99">
        <f>'Localize Daily Bali Jimbaran'!AH26</f>
        <v>579.59999999999764</v>
      </c>
      <c r="J21" s="101">
        <f>'Localize Daily Bali Jimbaran'!AI26/'Localize Daily Bali Jimbaran'!AH26</f>
        <v>11500</v>
      </c>
      <c r="K21" s="99">
        <f>'Localize Daily Bali Jimbaran'!Q26</f>
        <v>615.5</v>
      </c>
      <c r="L21" s="100">
        <f>'Localize Daily Bali Jimbaran'!V26/'Localize Daily Bali Jimbaran'!Q26</f>
        <v>10273.190479285135</v>
      </c>
      <c r="M21" s="99">
        <f>'Localize Daily Bali Jimbaran'!C26</f>
        <v>45</v>
      </c>
      <c r="N21" s="99">
        <v>110</v>
      </c>
    </row>
    <row r="22" spans="1:14" ht="15">
      <c r="A22" s="96" t="s">
        <v>14</v>
      </c>
      <c r="B22" s="97">
        <v>21</v>
      </c>
      <c r="C22" s="98">
        <v>11</v>
      </c>
      <c r="D22" s="97">
        <v>2018</v>
      </c>
      <c r="E22" s="99">
        <f>'Localize Daily Bali Jimbaran'!P27</f>
        <v>25399.999999999749</v>
      </c>
      <c r="F22" s="100">
        <f>'Localize Daily Bali Jimbaran'!O27/'Localize Daily Bali Jimbaran'!P27</f>
        <v>1182.6242433070913</v>
      </c>
      <c r="G22" s="99">
        <f>'Localize Daily Bali Jimbaran'!AC27</f>
        <v>143.63503999997184</v>
      </c>
      <c r="H22" s="100">
        <f>'Localize Daily Bali Jimbaran'!AD27/'Localize Daily Bali Jimbaran'!AC27</f>
        <v>11909.101027158827</v>
      </c>
      <c r="I22" s="99">
        <f>'Localize Daily Bali Jimbaran'!AH27</f>
        <v>655.40999999999894</v>
      </c>
      <c r="J22" s="101">
        <f>'Localize Daily Bali Jimbaran'!AI27/'Localize Daily Bali Jimbaran'!AH27</f>
        <v>11500</v>
      </c>
      <c r="K22" s="99">
        <f>'Localize Daily Bali Jimbaran'!Q27</f>
        <v>793.80000000000291</v>
      </c>
      <c r="L22" s="100">
        <f>'Localize Daily Bali Jimbaran'!V27/'Localize Daily Bali Jimbaran'!Q27</f>
        <v>9008.8118568908885</v>
      </c>
      <c r="M22" s="99">
        <f>'Localize Daily Bali Jimbaran'!C27</f>
        <v>49</v>
      </c>
      <c r="N22" s="99">
        <v>127</v>
      </c>
    </row>
    <row r="23" spans="1:14" ht="15">
      <c r="A23" s="96" t="s">
        <v>14</v>
      </c>
      <c r="B23" s="97">
        <v>22</v>
      </c>
      <c r="C23" s="98">
        <v>11</v>
      </c>
      <c r="D23" s="97">
        <v>2018</v>
      </c>
      <c r="E23" s="99">
        <f>'Localize Daily Bali Jimbaran'!P28</f>
        <v>25960.000000000153</v>
      </c>
      <c r="F23" s="100">
        <f>'Localize Daily Bali Jimbaran'!O28/'Localize Daily Bali Jimbaran'!P28</f>
        <v>1178.0601032357429</v>
      </c>
      <c r="G23" s="99">
        <f>'Localize Daily Bali Jimbaran'!AC28</f>
        <v>770.5948800000258</v>
      </c>
      <c r="H23" s="100">
        <f>'Localize Daily Bali Jimbaran'!AD28/'Localize Daily Bali Jimbaran'!AC28</f>
        <v>12870.679717986157</v>
      </c>
      <c r="I23" s="99">
        <f>'Localize Daily Bali Jimbaran'!AH28</f>
        <v>764.59000000000196</v>
      </c>
      <c r="J23" s="101">
        <f>'Localize Daily Bali Jimbaran'!AI28/'Localize Daily Bali Jimbaran'!AH28</f>
        <v>11500</v>
      </c>
      <c r="K23" s="99">
        <f>'Localize Daily Bali Jimbaran'!Q28</f>
        <v>667</v>
      </c>
      <c r="L23" s="100">
        <f>'Localize Daily Bali Jimbaran'!V28/'Localize Daily Bali Jimbaran'!Q28</f>
        <v>9307.8731934032985</v>
      </c>
      <c r="M23" s="99">
        <f>'Localize Daily Bali Jimbaran'!C28</f>
        <v>33</v>
      </c>
      <c r="N23" s="99">
        <v>108</v>
      </c>
    </row>
    <row r="24" spans="1:14" ht="15">
      <c r="A24" s="96" t="s">
        <v>14</v>
      </c>
      <c r="B24" s="97">
        <v>23</v>
      </c>
      <c r="C24" s="98">
        <v>11</v>
      </c>
      <c r="D24" s="97">
        <v>2018</v>
      </c>
      <c r="E24" s="99">
        <f>'Localize Daily Bali Jimbaran'!P29</f>
        <v>22759.999999999876</v>
      </c>
      <c r="F24" s="100">
        <f>'Localize Daily Bali Jimbaran'!O29/'Localize Daily Bali Jimbaran'!P29</f>
        <v>1183.6152956942035</v>
      </c>
      <c r="G24" s="99">
        <f>'Localize Daily Bali Jimbaran'!AC29</f>
        <v>211.55275999999296</v>
      </c>
      <c r="H24" s="100">
        <f>'Localize Daily Bali Jimbaran'!AD29/'Localize Daily Bali Jimbaran'!AC29</f>
        <v>12145.774844062547</v>
      </c>
      <c r="I24" s="99">
        <f>'Localize Daily Bali Jimbaran'!AH29</f>
        <v>605.79999999999927</v>
      </c>
      <c r="J24" s="101">
        <f>'Localize Daily Bali Jimbaran'!AI29/'Localize Daily Bali Jimbaran'!AH29</f>
        <v>11500</v>
      </c>
      <c r="K24" s="99">
        <f>'Localize Daily Bali Jimbaran'!Q29</f>
        <v>592</v>
      </c>
      <c r="L24" s="100">
        <f>'Localize Daily Bali Jimbaran'!V29/'Localize Daily Bali Jimbaran'!Q29</f>
        <v>10448.922162162162</v>
      </c>
      <c r="M24" s="99">
        <f>'Localize Daily Bali Jimbaran'!C29</f>
        <v>35</v>
      </c>
      <c r="N24" s="99">
        <v>100</v>
      </c>
    </row>
    <row r="25" spans="1:14" ht="15">
      <c r="A25" s="96" t="s">
        <v>14</v>
      </c>
      <c r="B25" s="97">
        <v>24</v>
      </c>
      <c r="C25" s="98">
        <v>11</v>
      </c>
      <c r="D25" s="97">
        <v>2018</v>
      </c>
      <c r="E25" s="99">
        <f>'Localize Daily Bali Jimbaran'!P30</f>
        <v>22719.9999999998</v>
      </c>
      <c r="F25" s="100">
        <f>'Localize Daily Bali Jimbaran'!O30/'Localize Daily Bali Jimbaran'!P30</f>
        <v>1181.8696571302839</v>
      </c>
      <c r="G25" s="99">
        <f>'Localize Daily Bali Jimbaran'!AC30</f>
        <v>141.53703999997185</v>
      </c>
      <c r="H25" s="100">
        <f>'Localize Daily Bali Jimbaran'!AD30/'Localize Daily Bali Jimbaran'!AC30</f>
        <v>11882.434254665764</v>
      </c>
      <c r="I25" s="99">
        <f>'Localize Daily Bali Jimbaran'!AH30</f>
        <v>583.90000000000146</v>
      </c>
      <c r="J25" s="101">
        <f>'Localize Daily Bali Jimbaran'!AI30/'Localize Daily Bali Jimbaran'!AH30</f>
        <v>11500</v>
      </c>
      <c r="K25" s="99">
        <f>'Localize Daily Bali Jimbaran'!Q30</f>
        <v>624</v>
      </c>
      <c r="L25" s="100">
        <f>'Localize Daily Bali Jimbaran'!V30/'Localize Daily Bali Jimbaran'!Q30</f>
        <v>9857.736602564104</v>
      </c>
      <c r="M25" s="99">
        <f>'Localize Daily Bali Jimbaran'!C30</f>
        <v>31</v>
      </c>
      <c r="N25" s="99">
        <v>98</v>
      </c>
    </row>
    <row r="26" spans="1:14" ht="15">
      <c r="A26" s="96" t="s">
        <v>14</v>
      </c>
      <c r="B26" s="97">
        <v>25</v>
      </c>
      <c r="C26" s="98">
        <v>11</v>
      </c>
      <c r="D26" s="97">
        <v>2018</v>
      </c>
      <c r="E26" s="99">
        <f>'Localize Daily Bali Jimbaran'!P31</f>
        <v>23080.000000000153</v>
      </c>
      <c r="F26" s="100">
        <f>'Localize Daily Bali Jimbaran'!O31/'Localize Daily Bali Jimbaran'!P31</f>
        <v>1178.0426776429786</v>
      </c>
      <c r="G26" s="99">
        <f>'Localize Daily Bali Jimbaran'!AC31</f>
        <v>128.28836000003986</v>
      </c>
      <c r="H26" s="100">
        <f>'Localize Daily Bali Jimbaran'!AD31/'Localize Daily Bali Jimbaran'!AC31</f>
        <v>11906.002825197866</v>
      </c>
      <c r="I26" s="99">
        <f>'Localize Daily Bali Jimbaran'!AH31</f>
        <v>624.59000000000378</v>
      </c>
      <c r="J26" s="101">
        <f>'Localize Daily Bali Jimbaran'!AI31/'Localize Daily Bali Jimbaran'!AH31</f>
        <v>11500</v>
      </c>
      <c r="K26" s="99">
        <f>'Localize Daily Bali Jimbaran'!Q31</f>
        <v>760</v>
      </c>
      <c r="L26" s="100">
        <f>'Localize Daily Bali Jimbaran'!V31/'Localize Daily Bali Jimbaran'!Q31</f>
        <v>9164.7474999999995</v>
      </c>
      <c r="M26" s="99">
        <f>'Localize Daily Bali Jimbaran'!C31</f>
        <v>22</v>
      </c>
      <c r="N26" s="99">
        <v>81</v>
      </c>
    </row>
    <row r="27" spans="1:14" ht="15">
      <c r="A27" s="96" t="s">
        <v>14</v>
      </c>
      <c r="B27" s="97">
        <v>26</v>
      </c>
      <c r="C27" s="98">
        <v>11</v>
      </c>
      <c r="D27" s="97">
        <v>2018</v>
      </c>
      <c r="E27" s="99">
        <f>'Localize Daily Bali Jimbaran'!P32</f>
        <v>22420.000000000415</v>
      </c>
      <c r="F27" s="100">
        <f>'Localize Daily Bali Jimbaran'!O32/'Localize Daily Bali Jimbaran'!P32</f>
        <v>1181.1911306868853</v>
      </c>
      <c r="G27" s="99">
        <f>'Localize Daily Bali Jimbaran'!AC32</f>
        <v>123.49503999997185</v>
      </c>
      <c r="H27" s="100">
        <f>'Localize Daily Bali Jimbaran'!AD32/'Localize Daily Bali Jimbaran'!AC32</f>
        <v>11904.877332725258</v>
      </c>
      <c r="I27" s="99">
        <f>'Localize Daily Bali Jimbaran'!AH32</f>
        <v>734.10999999999967</v>
      </c>
      <c r="J27" s="101">
        <f>'Localize Daily Bali Jimbaran'!AI32/'Localize Daily Bali Jimbaran'!AH32</f>
        <v>11500</v>
      </c>
      <c r="K27" s="99">
        <f>'Localize Daily Bali Jimbaran'!Q32</f>
        <v>639</v>
      </c>
      <c r="L27" s="100">
        <f>'Localize Daily Bali Jimbaran'!V32/'Localize Daily Bali Jimbaran'!Q32</f>
        <v>9612.6663536776232</v>
      </c>
      <c r="M27" s="99">
        <f>'Localize Daily Bali Jimbaran'!C32</f>
        <v>26</v>
      </c>
      <c r="N27" s="99">
        <v>93</v>
      </c>
    </row>
    <row r="28" spans="1:14" ht="15">
      <c r="A28" s="96" t="s">
        <v>14</v>
      </c>
      <c r="B28" s="97">
        <v>27</v>
      </c>
      <c r="C28" s="98">
        <v>11</v>
      </c>
      <c r="D28" s="97">
        <v>2018</v>
      </c>
      <c r="E28" s="99">
        <f>'Localize Daily Bali Jimbaran'!P33</f>
        <v>23059.999999999603</v>
      </c>
      <c r="F28" s="100">
        <f>'Localize Daily Bali Jimbaran'!O33/'Localize Daily Bali Jimbaran'!P33</f>
        <v>1184.2522805724223</v>
      </c>
      <c r="G28" s="99">
        <f>'Localize Daily Bali Jimbaran'!AC33</f>
        <v>771.12196000002814</v>
      </c>
      <c r="H28" s="100">
        <f>'Localize Daily Bali Jimbaran'!AD33/'Localize Daily Bali Jimbaran'!AC33</f>
        <v>12874.864298508593</v>
      </c>
      <c r="I28" s="99">
        <f>'Localize Daily Bali Jimbaran'!AH33</f>
        <v>446.39999999999782</v>
      </c>
      <c r="J28" s="101">
        <f>'Localize Daily Bali Jimbaran'!AI33/'Localize Daily Bali Jimbaran'!AH33</f>
        <v>11500</v>
      </c>
      <c r="K28" s="99">
        <f>'Localize Daily Bali Jimbaran'!Q33</f>
        <v>662</v>
      </c>
      <c r="L28" s="100">
        <f>'Localize Daily Bali Jimbaran'!V33/'Localize Daily Bali Jimbaran'!Q33</f>
        <v>9562.7316616314201</v>
      </c>
      <c r="M28" s="99">
        <f>'Localize Daily Bali Jimbaran'!C33</f>
        <v>28</v>
      </c>
      <c r="N28" s="99">
        <v>89</v>
      </c>
    </row>
    <row r="29" spans="1:14" ht="15">
      <c r="A29" s="96" t="s">
        <v>14</v>
      </c>
      <c r="B29" s="97">
        <v>28</v>
      </c>
      <c r="C29" s="98">
        <v>11</v>
      </c>
      <c r="D29" s="97">
        <v>2018</v>
      </c>
      <c r="E29" s="99">
        <f>'Localize Daily Bali Jimbaran'!P34</f>
        <v>23400.000000000546</v>
      </c>
      <c r="F29" s="100">
        <f>'Localize Daily Bali Jimbaran'!O34/'Localize Daily Bali Jimbaran'!P34</f>
        <v>1176.8054307692321</v>
      </c>
      <c r="G29" s="99">
        <f>'Localize Daily Bali Jimbaran'!AC34</f>
        <v>138.60003999997184</v>
      </c>
      <c r="H29" s="100">
        <f>'Localize Daily Bali Jimbaran'!AD34/'Localize Daily Bali Jimbaran'!AC34</f>
        <v>11908.160180906149</v>
      </c>
      <c r="I29" s="99">
        <f>'Localize Daily Bali Jimbaran'!AH34</f>
        <v>631.38999999999942</v>
      </c>
      <c r="J29" s="101">
        <f>'Localize Daily Bali Jimbaran'!AI34/'Localize Daily Bali Jimbaran'!AH34</f>
        <v>11500</v>
      </c>
      <c r="K29" s="99">
        <f>'Localize Daily Bali Jimbaran'!Q34</f>
        <v>386</v>
      </c>
      <c r="L29" s="100">
        <f>'Localize Daily Bali Jimbaran'!V34/'Localize Daily Bali Jimbaran'!Q34</f>
        <v>4718.4399999999996</v>
      </c>
      <c r="M29" s="99">
        <f>'Localize Daily Bali Jimbaran'!C34</f>
        <v>27</v>
      </c>
      <c r="N29" s="99">
        <v>86</v>
      </c>
    </row>
    <row r="30" spans="1:14" ht="15">
      <c r="A30" s="96" t="s">
        <v>14</v>
      </c>
      <c r="B30" s="97">
        <v>29</v>
      </c>
      <c r="C30" s="98">
        <v>11</v>
      </c>
      <c r="D30" s="97">
        <v>2018</v>
      </c>
      <c r="E30" s="99">
        <f>'Localize Daily Bali Jimbaran'!P35</f>
        <v>21479.999999999563</v>
      </c>
      <c r="F30" s="100">
        <f>'Localize Daily Bali Jimbaran'!O35/'Localize Daily Bali Jimbaran'!P35</f>
        <v>1180.2250181564229</v>
      </c>
      <c r="G30" s="99">
        <f>'Localize Daily Bali Jimbaran'!AC35</f>
        <v>178.8925600000164</v>
      </c>
      <c r="H30" s="100">
        <f>'Localize Daily Bali Jimbaran'!AD35/'Localize Daily Bali Jimbaran'!AC35</f>
        <v>12225.844963032532</v>
      </c>
      <c r="I30" s="99">
        <f>'Localize Daily Bali Jimbaran'!AH35</f>
        <v>832.00999999999749</v>
      </c>
      <c r="J30" s="101">
        <f>'Localize Daily Bali Jimbaran'!AI35/'Localize Daily Bali Jimbaran'!AH35</f>
        <v>11500.000000000002</v>
      </c>
      <c r="K30" s="99">
        <f>'Localize Daily Bali Jimbaran'!Q35</f>
        <v>521</v>
      </c>
      <c r="L30" s="100">
        <f>'Localize Daily Bali Jimbaran'!V35/'Localize Daily Bali Jimbaran'!Q35</f>
        <v>11687.685220729367</v>
      </c>
      <c r="M30" s="99">
        <f>'Localize Daily Bali Jimbaran'!C35</f>
        <v>28</v>
      </c>
      <c r="N30" s="99">
        <v>82</v>
      </c>
    </row>
    <row r="31" spans="1:14" ht="15">
      <c r="A31" s="96" t="s">
        <v>14</v>
      </c>
      <c r="B31" s="97">
        <v>30</v>
      </c>
      <c r="C31" s="98">
        <v>11</v>
      </c>
      <c r="D31" s="97">
        <v>2018</v>
      </c>
      <c r="E31" s="99">
        <f>'Localize Daily Bali Jimbaran'!P36</f>
        <v>31739.999999999556</v>
      </c>
      <c r="F31" s="100">
        <f>'Localize Daily Bali Jimbaran'!O36/'Localize Daily Bali Jimbaran'!P36</f>
        <v>1153.7003223062372</v>
      </c>
      <c r="G31" s="99">
        <f>'Localize Daily Bali Jimbaran'!AC36</f>
        <v>127.52303999997186</v>
      </c>
      <c r="H31" s="100">
        <f>'Localize Daily Bali Jimbaran'!AD36/'Localize Daily Bali Jimbaran'!AC36</f>
        <v>11905.828800819045</v>
      </c>
      <c r="I31" s="99">
        <f>'Localize Daily Bali Jimbaran'!AH36</f>
        <v>617.20000000000073</v>
      </c>
      <c r="J31" s="101">
        <f>'Localize Daily Bali Jimbaran'!AI36/'Localize Daily Bali Jimbaran'!AH36</f>
        <v>11500</v>
      </c>
      <c r="K31" s="99">
        <f>'Localize Daily Bali Jimbaran'!Q36</f>
        <v>536</v>
      </c>
      <c r="L31" s="100">
        <f>'Localize Daily Bali Jimbaran'!V36/'Localize Daily Bali Jimbaran'!Q36</f>
        <v>11863.50130597015</v>
      </c>
      <c r="M31" s="99">
        <f>'Localize Daily Bali Jimbaran'!C36</f>
        <v>25</v>
      </c>
      <c r="N31" s="99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M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142</v>
      </c>
      <c r="D7" s="103">
        <v>764</v>
      </c>
      <c r="E7" s="156">
        <v>10239.999999999782</v>
      </c>
      <c r="F7" s="156">
        <v>11136706.559999764</v>
      </c>
      <c r="G7" s="116">
        <v>4519.9999999999818</v>
      </c>
      <c r="H7" s="157">
        <v>7373717.8199999714</v>
      </c>
      <c r="I7" s="105">
        <f>F7+H7</f>
        <v>18510424.379999734</v>
      </c>
      <c r="J7" s="115">
        <v>1119.9999999998909</v>
      </c>
      <c r="K7" s="115">
        <v>1218077.2799998813</v>
      </c>
      <c r="L7" s="119">
        <v>539.99999999996362</v>
      </c>
      <c r="M7" s="121">
        <v>880930.88999994064</v>
      </c>
      <c r="N7" s="107">
        <f>K7+M7</f>
        <v>2099008.169999822</v>
      </c>
      <c r="O7" s="105">
        <f>I7+N7</f>
        <v>20609432.549999557</v>
      </c>
      <c r="P7" s="107">
        <f>E7+G7+J7+L7</f>
        <v>16419.999999999618</v>
      </c>
      <c r="Q7" s="123">
        <f>R7+T7</f>
        <v>906</v>
      </c>
      <c r="R7" s="115">
        <v>234</v>
      </c>
      <c r="S7" s="115">
        <v>4205022.12</v>
      </c>
      <c r="T7" s="115">
        <v>672</v>
      </c>
      <c r="U7" s="115">
        <v>3170791.6799999997</v>
      </c>
      <c r="V7" s="115">
        <f>S7+U7</f>
        <v>7375813.7999999998</v>
      </c>
      <c r="W7" s="115">
        <v>148.51235999998121</v>
      </c>
      <c r="X7" s="106">
        <v>250</v>
      </c>
      <c r="Y7" s="110"/>
      <c r="Z7" s="108"/>
      <c r="AA7" s="108"/>
      <c r="AB7" s="112">
        <v>0</v>
      </c>
      <c r="AC7" s="123">
        <f>W7+X7+Y7+Z7+AA7+AB7</f>
        <v>398.51235999998119</v>
      </c>
      <c r="AD7" s="104">
        <v>5034995.0165997762</v>
      </c>
      <c r="AE7" s="109"/>
      <c r="AF7" s="128">
        <v>769.68000000000029</v>
      </c>
      <c r="AG7" s="130">
        <v>0</v>
      </c>
      <c r="AH7" s="130">
        <f>AF7+AG7</f>
        <v>769.68000000000029</v>
      </c>
      <c r="AI7" s="132">
        <v>8851320.0000000037</v>
      </c>
      <c r="AJ7" s="18"/>
    </row>
    <row r="8" spans="1:36" ht="15">
      <c r="A8" s="19"/>
      <c r="B8" s="64">
        <v>2</v>
      </c>
      <c r="C8" s="65">
        <v>139</v>
      </c>
      <c r="D8" s="65">
        <v>658</v>
      </c>
      <c r="E8" s="124">
        <v>21080.000000000382</v>
      </c>
      <c r="F8" s="124">
        <v>22925954.520000413</v>
      </c>
      <c r="G8" s="111">
        <v>4760.0000000001046</v>
      </c>
      <c r="H8" s="111">
        <v>7765242.6600001715</v>
      </c>
      <c r="I8" s="105">
        <f>F8+H8</f>
        <v>30691197.180000585</v>
      </c>
      <c r="J8" s="158">
        <v>2220.0000000002547</v>
      </c>
      <c r="K8" s="158">
        <v>2414403.1800002768</v>
      </c>
      <c r="L8" s="120">
        <v>500</v>
      </c>
      <c r="M8" s="122">
        <v>815676.75</v>
      </c>
      <c r="N8" s="107">
        <f>K8+M8</f>
        <v>3230079.9300002768</v>
      </c>
      <c r="O8" s="105">
        <f>I8+N8</f>
        <v>33921277.110000864</v>
      </c>
      <c r="P8" s="107">
        <f>E8+G8+J8+L8</f>
        <v>28560.000000000742</v>
      </c>
      <c r="Q8" s="123">
        <f>R8+T8</f>
        <v>949</v>
      </c>
      <c r="R8" s="124">
        <v>226</v>
      </c>
      <c r="S8" s="124">
        <v>4061260.68</v>
      </c>
      <c r="T8" s="117">
        <v>723</v>
      </c>
      <c r="U8" s="117">
        <v>3411432.1199999996</v>
      </c>
      <c r="V8" s="115">
        <f>S8+U8</f>
        <v>7472692.7999999998</v>
      </c>
      <c r="W8" s="126">
        <v>131.75588000002577</v>
      </c>
      <c r="X8" s="112"/>
      <c r="Y8" s="110">
        <v>400</v>
      </c>
      <c r="Z8" s="112"/>
      <c r="AA8" s="112"/>
      <c r="AB8" s="112">
        <v>12</v>
      </c>
      <c r="AC8" s="123">
        <f>W8+X8+Y8+Z8+AA8+AB8</f>
        <v>543.75588000002574</v>
      </c>
      <c r="AD8" s="110">
        <v>6932006.4278003071</v>
      </c>
      <c r="AE8" s="113"/>
      <c r="AF8" s="129">
        <v>601.29999999999927</v>
      </c>
      <c r="AG8" s="131">
        <v>0</v>
      </c>
      <c r="AH8" s="130">
        <f>AF8+AG8</f>
        <v>601.29999999999927</v>
      </c>
      <c r="AI8" s="133">
        <v>6914949.9999999916</v>
      </c>
      <c r="AJ8" s="21"/>
    </row>
    <row r="9" spans="1:36" ht="15">
      <c r="A9" s="19"/>
      <c r="B9" s="81">
        <v>3</v>
      </c>
      <c r="C9" s="65">
        <v>74</v>
      </c>
      <c r="D9" s="65">
        <v>651</v>
      </c>
      <c r="E9" s="124">
        <v>20959.999999999582</v>
      </c>
      <c r="F9" s="124">
        <v>22795446.239999544</v>
      </c>
      <c r="G9" s="111">
        <v>4519.9999999999818</v>
      </c>
      <c r="H9" s="111">
        <v>7373717.8199999714</v>
      </c>
      <c r="I9" s="105">
        <f>F9+H9</f>
        <v>30169164.059999514</v>
      </c>
      <c r="J9" s="158">
        <v>2399.9999999996362</v>
      </c>
      <c r="K9" s="158">
        <v>2610165.5999996047</v>
      </c>
      <c r="L9" s="120">
        <v>460.00000000003638</v>
      </c>
      <c r="M9" s="122">
        <v>750422.61000005936</v>
      </c>
      <c r="N9" s="107">
        <f>K9+M9</f>
        <v>3360588.2099996642</v>
      </c>
      <c r="O9" s="105">
        <f>I9+N9</f>
        <v>33529752.26999918</v>
      </c>
      <c r="P9" s="107">
        <f>E9+G9+J9+L9</f>
        <v>28339.999999999236</v>
      </c>
      <c r="Q9" s="123">
        <f>R9+T9</f>
        <v>751.69999999999709</v>
      </c>
      <c r="R9" s="124">
        <v>197</v>
      </c>
      <c r="S9" s="124">
        <v>3540125.46</v>
      </c>
      <c r="T9" s="117">
        <v>554.69999999999709</v>
      </c>
      <c r="U9" s="117">
        <v>2617318.6679999861</v>
      </c>
      <c r="V9" s="115">
        <f>S9+U9</f>
        <v>6157444.1279999856</v>
      </c>
      <c r="W9" s="126">
        <v>134.29351999998593</v>
      </c>
      <c r="X9" s="112"/>
      <c r="Y9" s="110"/>
      <c r="Z9" s="112"/>
      <c r="AA9" s="112"/>
      <c r="AB9" s="112">
        <v>12</v>
      </c>
      <c r="AC9" s="123">
        <f>W9+X9+Y9+Z9+AA9+AB9</f>
        <v>146.29351999998593</v>
      </c>
      <c r="AD9" s="110">
        <v>1742293.1611998321</v>
      </c>
      <c r="AE9" s="113"/>
      <c r="AF9" s="129">
        <v>512.47999999999956</v>
      </c>
      <c r="AG9" s="131">
        <v>0</v>
      </c>
      <c r="AH9" s="130">
        <f>AF9+AG9</f>
        <v>512.47999999999956</v>
      </c>
      <c r="AI9" s="133">
        <v>5893519.9999999953</v>
      </c>
      <c r="AJ9" s="21"/>
    </row>
    <row r="10" spans="1:36" ht="15">
      <c r="A10" s="19"/>
      <c r="B10" s="64">
        <v>4</v>
      </c>
      <c r="C10" s="65">
        <v>29</v>
      </c>
      <c r="D10" s="65">
        <v>582</v>
      </c>
      <c r="E10" s="124">
        <v>21760.000000000218</v>
      </c>
      <c r="F10" s="124">
        <v>23665501.440000236</v>
      </c>
      <c r="G10" s="111">
        <v>3639.9999999999864</v>
      </c>
      <c r="H10" s="111">
        <v>5938126.7399999788</v>
      </c>
      <c r="I10" s="105">
        <f>F10+H10</f>
        <v>29603628.180000216</v>
      </c>
      <c r="J10" s="158">
        <v>1699.9999999998181</v>
      </c>
      <c r="K10" s="158">
        <v>1848867.2999998024</v>
      </c>
      <c r="L10" s="120">
        <v>400.00000000009095</v>
      </c>
      <c r="M10" s="122">
        <v>652541.40000014845</v>
      </c>
      <c r="N10" s="107">
        <f>K10+M10</f>
        <v>2501408.6999999508</v>
      </c>
      <c r="O10" s="105">
        <f>I10+N10</f>
        <v>32105036.880000167</v>
      </c>
      <c r="P10" s="107">
        <f>E10+G10+J10+L10</f>
        <v>27500.000000000113</v>
      </c>
      <c r="Q10" s="123">
        <f>R10+T10</f>
        <v>813.40000000000873</v>
      </c>
      <c r="R10" s="124">
        <v>152</v>
      </c>
      <c r="S10" s="124">
        <v>2731467.36</v>
      </c>
      <c r="T10" s="117">
        <v>661.40000000000873</v>
      </c>
      <c r="U10" s="117">
        <v>3120776.216000041</v>
      </c>
      <c r="V10" s="115">
        <f>S10+U10</f>
        <v>5852243.5760000404</v>
      </c>
      <c r="W10" s="126">
        <v>0</v>
      </c>
      <c r="X10" s="112"/>
      <c r="Y10" s="110"/>
      <c r="Z10" s="112">
        <v>50</v>
      </c>
      <c r="AA10" s="112"/>
      <c r="AB10" s="112">
        <v>12</v>
      </c>
      <c r="AC10" s="123">
        <f>W10+X10+Y10+Z10+AA10+AB10</f>
        <v>62</v>
      </c>
      <c r="AD10" s="110">
        <v>792000</v>
      </c>
      <c r="AE10" s="113"/>
      <c r="AF10" s="129">
        <v>590.17000000000007</v>
      </c>
      <c r="AG10" s="131">
        <v>0</v>
      </c>
      <c r="AH10" s="130">
        <f>AF10+AG10</f>
        <v>590.17000000000007</v>
      </c>
      <c r="AI10" s="133">
        <v>6786955.0000000009</v>
      </c>
      <c r="AJ10" s="21"/>
    </row>
    <row r="11" spans="1:36" ht="15">
      <c r="A11" s="19"/>
      <c r="B11" s="81">
        <v>5</v>
      </c>
      <c r="C11" s="65">
        <v>34</v>
      </c>
      <c r="D11" s="65">
        <v>265</v>
      </c>
      <c r="E11" s="124">
        <v>16800.000000000182</v>
      </c>
      <c r="F11" s="124">
        <v>18271159.200000197</v>
      </c>
      <c r="G11" s="111">
        <v>4319.9999999999363</v>
      </c>
      <c r="H11" s="111">
        <v>7047447.1199998967</v>
      </c>
      <c r="I11" s="105">
        <f>F11+H11</f>
        <v>25318606.320000093</v>
      </c>
      <c r="J11" s="158">
        <v>1780.0000000006548</v>
      </c>
      <c r="K11" s="158">
        <v>1935872.8200007121</v>
      </c>
      <c r="L11" s="120">
        <v>459.99999999980901</v>
      </c>
      <c r="M11" s="122">
        <v>750422.60999968858</v>
      </c>
      <c r="N11" s="107">
        <f>K11+M11</f>
        <v>2686295.4300004006</v>
      </c>
      <c r="O11" s="105">
        <f>I11+N11</f>
        <v>28004901.750000495</v>
      </c>
      <c r="P11" s="107">
        <f>E11+G11+J11+L11</f>
        <v>23360.000000000582</v>
      </c>
      <c r="Q11" s="123">
        <f>R11+T11</f>
        <v>738</v>
      </c>
      <c r="R11" s="124">
        <v>33</v>
      </c>
      <c r="S11" s="124">
        <v>593015.94000000006</v>
      </c>
      <c r="T11" s="117">
        <v>705</v>
      </c>
      <c r="U11" s="117">
        <v>3326500.1999999997</v>
      </c>
      <c r="V11" s="115">
        <f>S11+U11</f>
        <v>3919516.1399999997</v>
      </c>
      <c r="W11" s="126">
        <v>134.9782800000375</v>
      </c>
      <c r="X11" s="112"/>
      <c r="Y11" s="110"/>
      <c r="Z11" s="112"/>
      <c r="AA11" s="112"/>
      <c r="AB11" s="112">
        <v>12</v>
      </c>
      <c r="AC11" s="123">
        <f>W11+X11+Y11+Z11+AA11+AB11</f>
        <v>146.9782800000375</v>
      </c>
      <c r="AD11" s="110">
        <v>1750465.7718004475</v>
      </c>
      <c r="AE11" s="113"/>
      <c r="AF11" s="129">
        <v>600</v>
      </c>
      <c r="AG11" s="131">
        <v>0</v>
      </c>
      <c r="AH11" s="130">
        <f>AF11+AG11</f>
        <v>600</v>
      </c>
      <c r="AI11" s="133">
        <v>6900000</v>
      </c>
      <c r="AJ11" s="21"/>
    </row>
    <row r="12" spans="1:36" ht="15">
      <c r="A12" s="19"/>
      <c r="B12" s="64">
        <v>6</v>
      </c>
      <c r="C12" s="65">
        <v>42</v>
      </c>
      <c r="D12" s="65">
        <v>267</v>
      </c>
      <c r="E12" s="124">
        <v>18519.999999999982</v>
      </c>
      <c r="F12" s="124">
        <v>20141777.87999998</v>
      </c>
      <c r="G12" s="111">
        <v>4040.0000000000773</v>
      </c>
      <c r="H12" s="111">
        <v>6590668.1400001263</v>
      </c>
      <c r="I12" s="105">
        <f>F12+H12</f>
        <v>26732446.020000108</v>
      </c>
      <c r="J12" s="158">
        <v>1899.9999999996362</v>
      </c>
      <c r="K12" s="158">
        <v>2066381.0999996043</v>
      </c>
      <c r="L12" s="120">
        <v>400.00000000009095</v>
      </c>
      <c r="M12" s="122">
        <v>652541.40000014845</v>
      </c>
      <c r="N12" s="107">
        <f>K12+M12</f>
        <v>2718922.4999997527</v>
      </c>
      <c r="O12" s="105">
        <f>I12+N12</f>
        <v>29451368.519999862</v>
      </c>
      <c r="P12" s="107">
        <f>E12+G12+J12+L12</f>
        <v>24859.999999999785</v>
      </c>
      <c r="Q12" s="123">
        <f>R12+T12</f>
        <v>954.89999999999418</v>
      </c>
      <c r="R12" s="124">
        <v>416</v>
      </c>
      <c r="S12" s="124">
        <v>7475594.8799999999</v>
      </c>
      <c r="T12" s="117">
        <v>538.89999999999418</v>
      </c>
      <c r="U12" s="117">
        <v>2542767.3159999722</v>
      </c>
      <c r="V12" s="115">
        <f>S12+U12</f>
        <v>10018362.195999973</v>
      </c>
      <c r="W12" s="126">
        <v>118.38291999999764</v>
      </c>
      <c r="X12" s="112">
        <v>250</v>
      </c>
      <c r="Y12" s="110"/>
      <c r="Z12" s="112"/>
      <c r="AA12" s="112"/>
      <c r="AB12" s="112">
        <v>12</v>
      </c>
      <c r="AC12" s="123">
        <f>W12+X12+Y12+Z12+AA12+AB12</f>
        <v>380.38291999999763</v>
      </c>
      <c r="AD12" s="110">
        <v>4814900.1501999721</v>
      </c>
      <c r="AE12" s="113"/>
      <c r="AF12" s="129">
        <v>416.32999999999993</v>
      </c>
      <c r="AG12" s="131">
        <v>0</v>
      </c>
      <c r="AH12" s="130">
        <f>AF12+AG12</f>
        <v>416.32999999999993</v>
      </c>
      <c r="AI12" s="133">
        <v>4787794.9999999991</v>
      </c>
      <c r="AJ12" s="21"/>
    </row>
    <row r="13" spans="1:36" ht="15">
      <c r="A13" s="19"/>
      <c r="B13" s="81">
        <v>7</v>
      </c>
      <c r="C13" s="65">
        <v>52</v>
      </c>
      <c r="D13" s="65">
        <v>311</v>
      </c>
      <c r="E13" s="124">
        <v>17879.999999999654</v>
      </c>
      <c r="F13" s="124">
        <v>19445733.719999623</v>
      </c>
      <c r="G13" s="111">
        <v>3839.9999999999181</v>
      </c>
      <c r="H13" s="111">
        <v>6264397.4399998672</v>
      </c>
      <c r="I13" s="105">
        <f>F13+H13</f>
        <v>25710131.15999949</v>
      </c>
      <c r="J13" s="158">
        <v>1699.9999999998181</v>
      </c>
      <c r="K13" s="158">
        <v>1848867.2999998024</v>
      </c>
      <c r="L13" s="120">
        <v>619.99999999989086</v>
      </c>
      <c r="M13" s="122">
        <v>1011439.169999822</v>
      </c>
      <c r="N13" s="107">
        <f>K13+M13</f>
        <v>2860306.4699996244</v>
      </c>
      <c r="O13" s="105">
        <f>I13+N13</f>
        <v>28570437.629999116</v>
      </c>
      <c r="P13" s="107">
        <f>E13+G13+J13+L13</f>
        <v>24039.99999999928</v>
      </c>
      <c r="Q13" s="123">
        <f>R13+T13</f>
        <v>450</v>
      </c>
      <c r="R13" s="124">
        <v>267</v>
      </c>
      <c r="S13" s="124">
        <v>4798038.0600000005</v>
      </c>
      <c r="T13" s="117">
        <v>183</v>
      </c>
      <c r="U13" s="117">
        <v>863474.5199999999</v>
      </c>
      <c r="V13" s="115">
        <f>S13+U13</f>
        <v>5661512.5800000001</v>
      </c>
      <c r="W13" s="126">
        <v>125.9958399999953</v>
      </c>
      <c r="X13" s="112"/>
      <c r="Y13" s="110">
        <v>400</v>
      </c>
      <c r="Z13" s="112"/>
      <c r="AA13" s="112"/>
      <c r="AB13" s="112">
        <v>0</v>
      </c>
      <c r="AC13" s="123">
        <f>W13+X13+Y13+Z13+AA13+AB13</f>
        <v>525.99583999999527</v>
      </c>
      <c r="AD13" s="110">
        <v>6723760.350399944</v>
      </c>
      <c r="AE13" s="113"/>
      <c r="AF13" s="129">
        <v>567.46000000000095</v>
      </c>
      <c r="AG13" s="131">
        <v>49.200000000000728</v>
      </c>
      <c r="AH13" s="130">
        <f>AF13+AG13</f>
        <v>616.66000000000167</v>
      </c>
      <c r="AI13" s="133">
        <v>7091590.0000000196</v>
      </c>
      <c r="AJ13" s="21"/>
    </row>
    <row r="14" spans="1:36" ht="15">
      <c r="A14" s="19"/>
      <c r="B14" s="64">
        <v>8</v>
      </c>
      <c r="C14" s="65">
        <v>54</v>
      </c>
      <c r="D14" s="65">
        <v>351</v>
      </c>
      <c r="E14" s="124">
        <v>19480.000000000018</v>
      </c>
      <c r="F14" s="124">
        <v>21185844.12000002</v>
      </c>
      <c r="G14" s="111">
        <v>4040.0000000000773</v>
      </c>
      <c r="H14" s="111">
        <v>6590668.1400001263</v>
      </c>
      <c r="I14" s="105">
        <f>F14+H14</f>
        <v>27776512.260000147</v>
      </c>
      <c r="J14" s="158">
        <v>1880.0000000001091</v>
      </c>
      <c r="K14" s="158">
        <v>2044629.7200001187</v>
      </c>
      <c r="L14" s="120">
        <v>320.00000000016371</v>
      </c>
      <c r="M14" s="122">
        <v>522033.12000026711</v>
      </c>
      <c r="N14" s="107">
        <f>K14+M14</f>
        <v>2566662.8400003859</v>
      </c>
      <c r="O14" s="105">
        <f>I14+N14</f>
        <v>30343175.100000534</v>
      </c>
      <c r="P14" s="107">
        <f>E14+G14+J14+L14</f>
        <v>25720.000000000367</v>
      </c>
      <c r="Q14" s="123">
        <f>R14+T14</f>
        <v>706</v>
      </c>
      <c r="R14" s="124">
        <v>264</v>
      </c>
      <c r="S14" s="124">
        <v>4744127.5200000005</v>
      </c>
      <c r="T14" s="117">
        <v>442</v>
      </c>
      <c r="U14" s="117">
        <v>2085550.4799999997</v>
      </c>
      <c r="V14" s="115">
        <f>S14+U14</f>
        <v>6829678</v>
      </c>
      <c r="W14" s="126">
        <v>127.32508000000233</v>
      </c>
      <c r="X14" s="112"/>
      <c r="Y14" s="110"/>
      <c r="Z14" s="112"/>
      <c r="AA14" s="112"/>
      <c r="AB14" s="112">
        <v>48</v>
      </c>
      <c r="AC14" s="123">
        <f>W14+X14+Y14+Z14+AA14+AB14</f>
        <v>175.32508000000234</v>
      </c>
      <c r="AD14" s="110">
        <v>2077624.8298000279</v>
      </c>
      <c r="AE14" s="113"/>
      <c r="AF14" s="129">
        <v>767.40999999999985</v>
      </c>
      <c r="AG14" s="131">
        <v>0</v>
      </c>
      <c r="AH14" s="130">
        <f>AF14+AG14</f>
        <v>767.40999999999985</v>
      </c>
      <c r="AI14" s="133">
        <v>8825214.9999999981</v>
      </c>
      <c r="AJ14" s="21"/>
    </row>
    <row r="15" spans="1:36" ht="15">
      <c r="A15" s="19"/>
      <c r="B15" s="81">
        <v>9</v>
      </c>
      <c r="C15" s="65">
        <v>42</v>
      </c>
      <c r="D15" s="65">
        <v>385</v>
      </c>
      <c r="E15" s="124">
        <v>18519.999999999982</v>
      </c>
      <c r="F15" s="124">
        <v>20141777.87999998</v>
      </c>
      <c r="G15" s="111">
        <v>3799.9999999999545</v>
      </c>
      <c r="H15" s="111">
        <v>6199143.2999999262</v>
      </c>
      <c r="I15" s="105">
        <f>F15+H15</f>
        <v>26340921.179999907</v>
      </c>
      <c r="J15" s="158">
        <v>1900.0000000005457</v>
      </c>
      <c r="K15" s="158">
        <v>2066381.1000005933</v>
      </c>
      <c r="L15" s="120">
        <v>460.00000000003638</v>
      </c>
      <c r="M15" s="122">
        <v>750422.61000005936</v>
      </c>
      <c r="N15" s="107">
        <f>K15+M15</f>
        <v>2816803.7100006528</v>
      </c>
      <c r="O15" s="105">
        <f>I15+N15</f>
        <v>29157724.890000559</v>
      </c>
      <c r="P15" s="107">
        <f>E15+G15+J15+L15</f>
        <v>24680.000000000517</v>
      </c>
      <c r="Q15" s="123">
        <f>R15+T15</f>
        <v>750</v>
      </c>
      <c r="R15" s="124">
        <v>283</v>
      </c>
      <c r="S15" s="124">
        <v>5085560.9400000004</v>
      </c>
      <c r="T15" s="117">
        <v>467</v>
      </c>
      <c r="U15" s="117">
        <v>2203511.48</v>
      </c>
      <c r="V15" s="115">
        <f>S15+U15</f>
        <v>7289072.4199999999</v>
      </c>
      <c r="W15" s="126">
        <v>121.44419999997655</v>
      </c>
      <c r="X15" s="112"/>
      <c r="Y15" s="110"/>
      <c r="Z15" s="112"/>
      <c r="AA15" s="112"/>
      <c r="AB15" s="112">
        <v>12</v>
      </c>
      <c r="AC15" s="123">
        <f>W15+X15+Y15+Z15+AA15+AB15</f>
        <v>133.44419999997655</v>
      </c>
      <c r="AD15" s="110">
        <v>1588936.5269997201</v>
      </c>
      <c r="AE15" s="113"/>
      <c r="AF15" s="129">
        <v>558.75</v>
      </c>
      <c r="AG15" s="131">
        <v>0</v>
      </c>
      <c r="AH15" s="130">
        <f>AF15+AG15</f>
        <v>558.75</v>
      </c>
      <c r="AI15" s="133">
        <v>6425625</v>
      </c>
      <c r="AJ15" s="21"/>
    </row>
    <row r="16" spans="1:36" ht="15">
      <c r="A16" s="19"/>
      <c r="B16" s="64">
        <v>10</v>
      </c>
      <c r="C16" s="65">
        <v>29</v>
      </c>
      <c r="D16" s="65">
        <v>308</v>
      </c>
      <c r="E16" s="124">
        <v>17920.000000000073</v>
      </c>
      <c r="F16" s="124">
        <v>19489236.480000082</v>
      </c>
      <c r="G16" s="111">
        <v>3759.9999999999909</v>
      </c>
      <c r="H16" s="111">
        <v>6133889.1599999862</v>
      </c>
      <c r="I16" s="105">
        <f>F16+H16</f>
        <v>25623125.640000068</v>
      </c>
      <c r="J16" s="158">
        <v>1899.9999999996362</v>
      </c>
      <c r="K16" s="158">
        <v>2066381.0999996043</v>
      </c>
      <c r="L16" s="120">
        <v>459.99999999980901</v>
      </c>
      <c r="M16" s="122">
        <v>750422.60999968858</v>
      </c>
      <c r="N16" s="107">
        <f>K16+M16</f>
        <v>2816803.7099992931</v>
      </c>
      <c r="O16" s="105">
        <f>I16+N16</f>
        <v>28439929.349999361</v>
      </c>
      <c r="P16" s="107">
        <f>E16+G16+J16+L16</f>
        <v>24039.999999999513</v>
      </c>
      <c r="Q16" s="123">
        <f>R16+T16</f>
        <v>807</v>
      </c>
      <c r="R16" s="124">
        <v>304</v>
      </c>
      <c r="S16" s="124">
        <v>5462934.7199999997</v>
      </c>
      <c r="T16" s="117">
        <v>503</v>
      </c>
      <c r="U16" s="117">
        <v>2373375.3199999998</v>
      </c>
      <c r="V16" s="115">
        <f>S16+U16</f>
        <v>7836310.0399999991</v>
      </c>
      <c r="W16" s="126">
        <v>115.36191999999764</v>
      </c>
      <c r="X16" s="112"/>
      <c r="Y16" s="110"/>
      <c r="Z16" s="112">
        <v>50</v>
      </c>
      <c r="AA16" s="112"/>
      <c r="AB16" s="112">
        <v>0</v>
      </c>
      <c r="AC16" s="123">
        <f>W16+X16+Y16+Z16+AA16+AB16</f>
        <v>165.36191999999764</v>
      </c>
      <c r="AD16" s="110">
        <v>2029344.5151999719</v>
      </c>
      <c r="AE16" s="113"/>
      <c r="AF16" s="129">
        <v>576.70000000000073</v>
      </c>
      <c r="AG16" s="131">
        <v>0</v>
      </c>
      <c r="AH16" s="130">
        <f>AF16+AG16</f>
        <v>576.70000000000073</v>
      </c>
      <c r="AI16" s="133">
        <v>6632050.0000000084</v>
      </c>
      <c r="AJ16" s="21"/>
    </row>
    <row r="17" spans="1:36" ht="15">
      <c r="A17" s="19"/>
      <c r="B17" s="81">
        <v>11</v>
      </c>
      <c r="C17" s="65">
        <v>35</v>
      </c>
      <c r="D17" s="65">
        <v>241</v>
      </c>
      <c r="E17" s="124">
        <v>18360.000000000127</v>
      </c>
      <c r="F17" s="124">
        <v>19967766.840000138</v>
      </c>
      <c r="G17" s="111">
        <v>3879.9999999999955</v>
      </c>
      <c r="H17" s="111">
        <v>6329651.5799999926</v>
      </c>
      <c r="I17" s="105">
        <f>F17+H17</f>
        <v>26297418.420000128</v>
      </c>
      <c r="J17" s="158">
        <v>1939.9999999995998</v>
      </c>
      <c r="K17" s="158">
        <v>2109883.8599995649</v>
      </c>
      <c r="L17" s="120">
        <v>440.00000000005457</v>
      </c>
      <c r="M17" s="122">
        <v>717795.54000008909</v>
      </c>
      <c r="N17" s="107">
        <f>K17+M17</f>
        <v>2827679.3999996539</v>
      </c>
      <c r="O17" s="105">
        <f>I17+N17</f>
        <v>29125097.819999784</v>
      </c>
      <c r="P17" s="107">
        <f>E17+G17+J17+L17</f>
        <v>24619.999999999778</v>
      </c>
      <c r="Q17" s="123">
        <f>R17+T17</f>
        <v>659</v>
      </c>
      <c r="R17" s="124">
        <v>206</v>
      </c>
      <c r="S17" s="124">
        <v>3701857.08</v>
      </c>
      <c r="T17" s="117">
        <v>453</v>
      </c>
      <c r="U17" s="117">
        <v>2137453.3199999998</v>
      </c>
      <c r="V17" s="115">
        <f>S17+U17</f>
        <v>5839310.4000000004</v>
      </c>
      <c r="W17" s="126">
        <v>111.85756000001641</v>
      </c>
      <c r="X17" s="112">
        <v>250</v>
      </c>
      <c r="Y17" s="110"/>
      <c r="Z17" s="112"/>
      <c r="AA17" s="112"/>
      <c r="AB17" s="112">
        <v>0</v>
      </c>
      <c r="AC17" s="123">
        <f>W17+X17+Y17+Z17+AA17+AB17</f>
        <v>361.85756000001641</v>
      </c>
      <c r="AD17" s="110">
        <v>4597519.9786001956</v>
      </c>
      <c r="AE17" s="113"/>
      <c r="AF17" s="129">
        <v>466.39999999999964</v>
      </c>
      <c r="AG17" s="131">
        <v>0</v>
      </c>
      <c r="AH17" s="130">
        <f>AF17+AG17</f>
        <v>466.39999999999964</v>
      </c>
      <c r="AI17" s="133">
        <v>5363599.9999999963</v>
      </c>
      <c r="AJ17" s="21"/>
    </row>
    <row r="18" spans="1:36" ht="15">
      <c r="A18" s="19"/>
      <c r="B18" s="64">
        <v>12</v>
      </c>
      <c r="C18" s="65">
        <v>35</v>
      </c>
      <c r="D18" s="65">
        <v>260</v>
      </c>
      <c r="E18" s="124">
        <v>18800.000000000182</v>
      </c>
      <c r="F18" s="124">
        <v>20446297.200000197</v>
      </c>
      <c r="G18" s="111">
        <v>3960.0000000000364</v>
      </c>
      <c r="H18" s="111">
        <v>6460159.8600000599</v>
      </c>
      <c r="I18" s="105">
        <f>F18+H18</f>
        <v>26906457.060000256</v>
      </c>
      <c r="J18" s="158">
        <v>2100.0000000003638</v>
      </c>
      <c r="K18" s="158">
        <v>2283894.9000003957</v>
      </c>
      <c r="L18" s="120">
        <v>460.00000000003638</v>
      </c>
      <c r="M18" s="122">
        <v>750422.61000005936</v>
      </c>
      <c r="N18" s="107">
        <f>K18+M18</f>
        <v>3034317.5100004552</v>
      </c>
      <c r="O18" s="105">
        <f>I18+N18</f>
        <v>29940774.570000712</v>
      </c>
      <c r="P18" s="107">
        <f>E18+G18+J18+L18</f>
        <v>25320.000000000618</v>
      </c>
      <c r="Q18" s="123">
        <f>R18+T18</f>
        <v>827</v>
      </c>
      <c r="R18" s="124">
        <v>266</v>
      </c>
      <c r="S18" s="124">
        <v>4780067.88</v>
      </c>
      <c r="T18" s="117">
        <v>561</v>
      </c>
      <c r="U18" s="117">
        <v>2647044.84</v>
      </c>
      <c r="V18" s="115">
        <f>S18+U18</f>
        <v>7427112.7199999997</v>
      </c>
      <c r="W18" s="126">
        <v>117.33564000001874</v>
      </c>
      <c r="X18" s="112"/>
      <c r="Y18" s="110">
        <v>400</v>
      </c>
      <c r="Z18" s="112"/>
      <c r="AA18" s="112"/>
      <c r="AB18" s="112">
        <v>12</v>
      </c>
      <c r="AC18" s="123">
        <f>W18+X18+Y18+Z18+AA18+AB18</f>
        <v>529.33564000001877</v>
      </c>
      <c r="AD18" s="110">
        <v>6759900.8634002237</v>
      </c>
      <c r="AE18" s="113"/>
      <c r="AF18" s="129">
        <v>511.75</v>
      </c>
      <c r="AG18" s="131">
        <v>0</v>
      </c>
      <c r="AH18" s="130">
        <f>AF18+AG18</f>
        <v>511.75</v>
      </c>
      <c r="AI18" s="133">
        <v>5885125</v>
      </c>
      <c r="AJ18" s="21"/>
    </row>
    <row r="19" spans="1:36" ht="15">
      <c r="A19" s="19"/>
      <c r="B19" s="81">
        <v>13</v>
      </c>
      <c r="C19" s="65">
        <v>32</v>
      </c>
      <c r="D19" s="65">
        <v>426</v>
      </c>
      <c r="E19" s="124">
        <v>16639.999999999873</v>
      </c>
      <c r="F19" s="124">
        <v>18097148.159999862</v>
      </c>
      <c r="G19" s="111">
        <v>3840.0000000000318</v>
      </c>
      <c r="H19" s="111">
        <v>6264397.4400000526</v>
      </c>
      <c r="I19" s="105">
        <f>F19+H19</f>
        <v>24361545.599999916</v>
      </c>
      <c r="J19" s="158">
        <v>1940.0000000005093</v>
      </c>
      <c r="K19" s="158">
        <v>2109883.860000554</v>
      </c>
      <c r="L19" s="120">
        <v>460.00000000003638</v>
      </c>
      <c r="M19" s="122">
        <v>750422.61000005936</v>
      </c>
      <c r="N19" s="107">
        <f>K19+M19</f>
        <v>2860306.4700006135</v>
      </c>
      <c r="O19" s="105">
        <f>I19+N19</f>
        <v>27221852.070000529</v>
      </c>
      <c r="P19" s="107">
        <f>E19+G19+J19+L19</f>
        <v>22880.000000000451</v>
      </c>
      <c r="Q19" s="123">
        <f>R19+T19</f>
        <v>632</v>
      </c>
      <c r="R19" s="124">
        <v>290</v>
      </c>
      <c r="S19" s="124">
        <v>5211352.2</v>
      </c>
      <c r="T19" s="117">
        <v>342</v>
      </c>
      <c r="U19" s="117">
        <v>1613706.4799999997</v>
      </c>
      <c r="V19" s="115">
        <f>S19+U19</f>
        <v>6825058.6799999997</v>
      </c>
      <c r="W19" s="126">
        <v>124.98883999999529</v>
      </c>
      <c r="X19" s="112"/>
      <c r="Y19" s="110"/>
      <c r="Z19" s="112"/>
      <c r="AA19" s="112"/>
      <c r="AB19" s="112">
        <v>36</v>
      </c>
      <c r="AC19" s="123">
        <f>W19+X19+Y19+Z19+AA19+AB19</f>
        <v>160.98883999999529</v>
      </c>
      <c r="AD19" s="110">
        <v>1910241.8053999438</v>
      </c>
      <c r="AE19" s="113"/>
      <c r="AF19" s="129">
        <v>378.14999999999964</v>
      </c>
      <c r="AG19" s="131">
        <v>2760.7000000000016</v>
      </c>
      <c r="AH19" s="130">
        <f>AF19+AG19</f>
        <v>3138.8500000000013</v>
      </c>
      <c r="AI19" s="133">
        <v>36096775.000000015</v>
      </c>
      <c r="AJ19" s="21"/>
    </row>
    <row r="20" spans="1:36" ht="15">
      <c r="A20" s="19"/>
      <c r="B20" s="64">
        <v>14</v>
      </c>
      <c r="C20" s="65">
        <v>29</v>
      </c>
      <c r="D20" s="65">
        <v>317</v>
      </c>
      <c r="E20" s="124">
        <v>18880.000000000109</v>
      </c>
      <c r="F20" s="124">
        <v>20533302.720000122</v>
      </c>
      <c r="G20" s="111">
        <v>3959.9999999999227</v>
      </c>
      <c r="H20" s="111">
        <v>6460159.8599998746</v>
      </c>
      <c r="I20" s="105">
        <f>F20+H20</f>
        <v>26993462.579999998</v>
      </c>
      <c r="J20" s="158">
        <v>1899.9999999996362</v>
      </c>
      <c r="K20" s="158">
        <v>2066381.0999996043</v>
      </c>
      <c r="L20" s="120">
        <v>460.00000000003638</v>
      </c>
      <c r="M20" s="122">
        <v>750422.61000005936</v>
      </c>
      <c r="N20" s="107">
        <f>K20+M20</f>
        <v>2816803.7099996638</v>
      </c>
      <c r="O20" s="105">
        <f>I20+N20</f>
        <v>29810266.289999664</v>
      </c>
      <c r="P20" s="107">
        <f>E20+G20+J20+L20</f>
        <v>25199.999999999705</v>
      </c>
      <c r="Q20" s="123">
        <f>R20+T20</f>
        <v>654</v>
      </c>
      <c r="R20" s="124">
        <v>250</v>
      </c>
      <c r="S20" s="124">
        <v>4492545</v>
      </c>
      <c r="T20" s="117">
        <v>404</v>
      </c>
      <c r="U20" s="117">
        <v>1906249.7599999998</v>
      </c>
      <c r="V20" s="115">
        <f>S20+U20</f>
        <v>6398794.7599999998</v>
      </c>
      <c r="W20" s="126">
        <v>124.82771999996247</v>
      </c>
      <c r="X20" s="112"/>
      <c r="Y20" s="110"/>
      <c r="Z20" s="112"/>
      <c r="AA20" s="112"/>
      <c r="AB20" s="112">
        <v>0</v>
      </c>
      <c r="AC20" s="123">
        <f>W20+X20+Y20+Z20+AA20+AB20</f>
        <v>124.82771999996247</v>
      </c>
      <c r="AD20" s="110">
        <v>1489818.8381995521</v>
      </c>
      <c r="AE20" s="113"/>
      <c r="AF20" s="129">
        <v>591.20999999999913</v>
      </c>
      <c r="AG20" s="131">
        <v>117.69999999999982</v>
      </c>
      <c r="AH20" s="130">
        <f>AF20+AG20</f>
        <v>708.90999999999894</v>
      </c>
      <c r="AI20" s="133">
        <v>8152464.9999999879</v>
      </c>
      <c r="AJ20" s="21"/>
    </row>
    <row r="21" spans="1:36" ht="15">
      <c r="A21" s="19"/>
      <c r="B21" s="81">
        <v>15</v>
      </c>
      <c r="C21" s="71">
        <v>34</v>
      </c>
      <c r="D21" s="71">
        <v>258</v>
      </c>
      <c r="E21" s="117">
        <v>19559.999999999945</v>
      </c>
      <c r="F21" s="117">
        <v>21272849.639999937</v>
      </c>
      <c r="G21" s="114">
        <v>3960.0000000000364</v>
      </c>
      <c r="H21" s="114">
        <v>6460159.8600000599</v>
      </c>
      <c r="I21" s="105">
        <f>F21+H21</f>
        <v>27733009.499999996</v>
      </c>
      <c r="J21" s="114">
        <v>1760.0000000002183</v>
      </c>
      <c r="K21" s="114">
        <v>1914121.4400002374</v>
      </c>
      <c r="L21" s="114">
        <v>439.9999999998272</v>
      </c>
      <c r="M21" s="117">
        <v>717795.5399997182</v>
      </c>
      <c r="N21" s="107">
        <f>K21+M21</f>
        <v>2631916.9799999557</v>
      </c>
      <c r="O21" s="105">
        <f>I21+N21</f>
        <v>30364926.479999952</v>
      </c>
      <c r="P21" s="107">
        <f>E21+G21+J21+L21</f>
        <v>25720.000000000029</v>
      </c>
      <c r="Q21" s="123">
        <f>R21+T21</f>
        <v>555</v>
      </c>
      <c r="R21" s="124">
        <v>204</v>
      </c>
      <c r="S21" s="124">
        <v>3665916.72</v>
      </c>
      <c r="T21" s="117">
        <v>351</v>
      </c>
      <c r="U21" s="117">
        <v>1656172.44</v>
      </c>
      <c r="V21" s="115">
        <f>S21+U21</f>
        <v>5322089.16</v>
      </c>
      <c r="W21" s="126">
        <v>130.46691999999763</v>
      </c>
      <c r="X21" s="112"/>
      <c r="Y21" s="110"/>
      <c r="Z21" s="112"/>
      <c r="AA21" s="112"/>
      <c r="AB21" s="112">
        <v>12</v>
      </c>
      <c r="AC21" s="123">
        <f>W21+X21+Y21+Z21+AA21+AB21</f>
        <v>142.46691999999763</v>
      </c>
      <c r="AD21" s="110">
        <v>1696622.6901999717</v>
      </c>
      <c r="AE21" s="113"/>
      <c r="AF21" s="129">
        <v>769.05000000000109</v>
      </c>
      <c r="AG21" s="131">
        <v>0</v>
      </c>
      <c r="AH21" s="130">
        <f>AF21+AG21</f>
        <v>769.05000000000109</v>
      </c>
      <c r="AI21" s="133">
        <v>8844075.000000013</v>
      </c>
      <c r="AJ21" s="21"/>
    </row>
    <row r="22" spans="1:36" ht="15">
      <c r="A22" s="19"/>
      <c r="B22" s="64">
        <v>16</v>
      </c>
      <c r="C22" s="71">
        <v>36</v>
      </c>
      <c r="D22" s="71">
        <v>301</v>
      </c>
      <c r="E22" s="117">
        <v>18199.999999999818</v>
      </c>
      <c r="F22" s="117">
        <v>19793755.7999998</v>
      </c>
      <c r="G22" s="114">
        <v>3840.0000000000318</v>
      </c>
      <c r="H22" s="114">
        <v>6264397.4400000526</v>
      </c>
      <c r="I22" s="105">
        <f>F22+H22</f>
        <v>26058153.239999853</v>
      </c>
      <c r="J22" s="114">
        <v>1840.0000000001455</v>
      </c>
      <c r="K22" s="114">
        <v>2001126.9600001583</v>
      </c>
      <c r="L22" s="114">
        <v>460.00000000003638</v>
      </c>
      <c r="M22" s="117">
        <v>750422.61000005936</v>
      </c>
      <c r="N22" s="107">
        <f>K22+M22</f>
        <v>2751549.5700002178</v>
      </c>
      <c r="O22" s="105">
        <f>I22+N22</f>
        <v>28809702.810000069</v>
      </c>
      <c r="P22" s="107">
        <f>E22+G22+J22+L22</f>
        <v>24340.000000000033</v>
      </c>
      <c r="Q22" s="123">
        <f>R22+T22</f>
        <v>728</v>
      </c>
      <c r="R22" s="124">
        <v>251</v>
      </c>
      <c r="S22" s="124">
        <v>4510515.18</v>
      </c>
      <c r="T22" s="117">
        <v>477</v>
      </c>
      <c r="U22" s="117">
        <v>2250695.88</v>
      </c>
      <c r="V22" s="115">
        <f>S22+U22</f>
        <v>6761211.0599999996</v>
      </c>
      <c r="W22" s="126">
        <v>106.74199999999999</v>
      </c>
      <c r="X22" s="112">
        <v>250</v>
      </c>
      <c r="Y22" s="110"/>
      <c r="Z22" s="112">
        <v>50</v>
      </c>
      <c r="AA22" s="112"/>
      <c r="AB22" s="112">
        <v>12</v>
      </c>
      <c r="AC22" s="123">
        <f>W22+X22+Y22+Z22+AA22+AB22</f>
        <v>418.74199999999996</v>
      </c>
      <c r="AD22" s="110">
        <v>5328465.7699999996</v>
      </c>
      <c r="AE22" s="113"/>
      <c r="AF22" s="129">
        <v>584.44999999999891</v>
      </c>
      <c r="AG22" s="131">
        <v>170</v>
      </c>
      <c r="AH22" s="130">
        <f>AF22+AG22</f>
        <v>754.44999999999891</v>
      </c>
      <c r="AI22" s="133">
        <v>8676174.999999987</v>
      </c>
      <c r="AJ22" s="21"/>
    </row>
    <row r="23" spans="1:36" ht="15">
      <c r="A23" s="19"/>
      <c r="B23" s="81">
        <v>17</v>
      </c>
      <c r="C23" s="71">
        <v>26</v>
      </c>
      <c r="D23" s="71">
        <v>309</v>
      </c>
      <c r="E23" s="117">
        <v>17360.000000000127</v>
      </c>
      <c r="F23" s="117">
        <v>18880197.840000138</v>
      </c>
      <c r="G23" s="114">
        <v>3759.9999999999909</v>
      </c>
      <c r="H23" s="114">
        <v>6133889.1599999862</v>
      </c>
      <c r="I23" s="105">
        <f>F23+H23</f>
        <v>25014087.000000123</v>
      </c>
      <c r="J23" s="114">
        <v>1779.9999999997453</v>
      </c>
      <c r="K23" s="114">
        <v>1935872.819999723</v>
      </c>
      <c r="L23" s="114">
        <v>400.00000000009095</v>
      </c>
      <c r="M23" s="117">
        <v>652541.40000014845</v>
      </c>
      <c r="N23" s="107">
        <f>K23+M23</f>
        <v>2588414.2199998712</v>
      </c>
      <c r="O23" s="105">
        <f>I23+N23</f>
        <v>27602501.219999995</v>
      </c>
      <c r="P23" s="107">
        <f>E23+G23+J23+L23</f>
        <v>23299.999999999953</v>
      </c>
      <c r="Q23" s="123">
        <f>R23+T23</f>
        <v>644</v>
      </c>
      <c r="R23" s="124">
        <v>247</v>
      </c>
      <c r="S23" s="124">
        <v>4438634.46</v>
      </c>
      <c r="T23" s="117">
        <v>397</v>
      </c>
      <c r="U23" s="117">
        <v>1873220.68</v>
      </c>
      <c r="V23" s="115">
        <f>S23+U23</f>
        <v>6311855.1399999997</v>
      </c>
      <c r="W23" s="126">
        <v>114.11324000000702</v>
      </c>
      <c r="X23" s="112"/>
      <c r="Y23" s="110">
        <v>400</v>
      </c>
      <c r="Z23" s="112"/>
      <c r="AA23" s="112"/>
      <c r="AB23" s="112">
        <v>12</v>
      </c>
      <c r="AC23" s="123">
        <f>W23+X23+Y23+Z23+AA23+AB23</f>
        <v>526.11324000000707</v>
      </c>
      <c r="AD23" s="110">
        <v>6721441.5194000844</v>
      </c>
      <c r="AE23" s="113"/>
      <c r="AF23" s="129">
        <v>576.29000000000087</v>
      </c>
      <c r="AG23" s="131">
        <v>103.39999999999691</v>
      </c>
      <c r="AH23" s="130">
        <f>AF23+AG23</f>
        <v>679.68999999999778</v>
      </c>
      <c r="AI23" s="133">
        <v>7816434.9999999749</v>
      </c>
      <c r="AJ23" s="21"/>
    </row>
    <row r="24" spans="1:36" ht="15">
      <c r="A24" s="19"/>
      <c r="B24" s="64">
        <v>18</v>
      </c>
      <c r="C24" s="71">
        <v>28</v>
      </c>
      <c r="D24" s="71">
        <v>315</v>
      </c>
      <c r="E24" s="117">
        <v>18960.000000000036</v>
      </c>
      <c r="F24" s="117">
        <v>20620308.240000039</v>
      </c>
      <c r="G24" s="114">
        <v>3959.9999999999227</v>
      </c>
      <c r="H24" s="114">
        <v>6460159.8599998746</v>
      </c>
      <c r="I24" s="105">
        <f>F24+H24</f>
        <v>27080468.099999912</v>
      </c>
      <c r="J24" s="114">
        <v>1840.0000000001455</v>
      </c>
      <c r="K24" s="118">
        <v>2001126.9600001583</v>
      </c>
      <c r="L24" s="114">
        <v>379.99999999988177</v>
      </c>
      <c r="M24" s="117">
        <v>619914.32999980706</v>
      </c>
      <c r="N24" s="107">
        <f>K24+M24</f>
        <v>2621041.2899999656</v>
      </c>
      <c r="O24" s="105">
        <f>I24+N24</f>
        <v>29701509.389999878</v>
      </c>
      <c r="P24" s="107">
        <f>E24+G24+J24+L24</f>
        <v>25139.999999999985</v>
      </c>
      <c r="Q24" s="123">
        <f>R24+T24</f>
        <v>980.69999999999709</v>
      </c>
      <c r="R24" s="124">
        <v>258</v>
      </c>
      <c r="S24" s="124">
        <v>4636306.4400000004</v>
      </c>
      <c r="T24" s="117">
        <v>722.69999999999709</v>
      </c>
      <c r="U24" s="117">
        <v>3410016.587999986</v>
      </c>
      <c r="V24" s="115">
        <f>S24+U24</f>
        <v>8046323.027999986</v>
      </c>
      <c r="W24" s="126">
        <v>113.71043999998358</v>
      </c>
      <c r="X24" s="112"/>
      <c r="Y24" s="110"/>
      <c r="Z24" s="112"/>
      <c r="AA24" s="112"/>
      <c r="AB24" s="112">
        <v>24</v>
      </c>
      <c r="AC24" s="123">
        <f>W24+X24+Y24+Z24+AA24+AB24</f>
        <v>137.71043999998358</v>
      </c>
      <c r="AD24" s="110">
        <v>1636134.101399804</v>
      </c>
      <c r="AE24" s="113"/>
      <c r="AF24" s="129">
        <v>509.59999999999854</v>
      </c>
      <c r="AG24" s="131">
        <v>0</v>
      </c>
      <c r="AH24" s="130">
        <f>AF24+AG24</f>
        <v>509.59999999999854</v>
      </c>
      <c r="AI24" s="133">
        <v>5860399.9999999832</v>
      </c>
      <c r="AJ24" s="21"/>
    </row>
    <row r="25" spans="1:36" ht="15">
      <c r="A25" s="19"/>
      <c r="B25" s="81">
        <v>19</v>
      </c>
      <c r="C25" s="71">
        <v>44</v>
      </c>
      <c r="D25" s="71">
        <v>309</v>
      </c>
      <c r="E25" s="117">
        <v>19159.999999999854</v>
      </c>
      <c r="F25" s="117">
        <v>20837822.039999843</v>
      </c>
      <c r="G25" s="114">
        <v>4200.0000000000455</v>
      </c>
      <c r="H25" s="114">
        <v>6851684.7000000747</v>
      </c>
      <c r="I25" s="105">
        <f>F25+H25</f>
        <v>27689506.739999916</v>
      </c>
      <c r="J25" s="114">
        <v>1359.9999999996726</v>
      </c>
      <c r="K25" s="114">
        <v>1479093.8399996439</v>
      </c>
      <c r="L25" s="114">
        <v>340.00000000014552</v>
      </c>
      <c r="M25" s="117">
        <v>554660.19000023743</v>
      </c>
      <c r="N25" s="107">
        <f>K25+M25</f>
        <v>2033754.0299998813</v>
      </c>
      <c r="O25" s="105">
        <f>I25+N25</f>
        <v>29723260.769999798</v>
      </c>
      <c r="P25" s="107">
        <f>E25+G25+J25+L25</f>
        <v>25059.999999999716</v>
      </c>
      <c r="Q25" s="123">
        <f>R25+T25</f>
        <v>672</v>
      </c>
      <c r="R25" s="124">
        <v>234</v>
      </c>
      <c r="S25" s="124">
        <v>4205022.12</v>
      </c>
      <c r="T25" s="117">
        <v>438</v>
      </c>
      <c r="U25" s="117">
        <v>2066676.7199999997</v>
      </c>
      <c r="V25" s="115">
        <f>S25+U25</f>
        <v>6271698.8399999999</v>
      </c>
      <c r="W25" s="126">
        <v>117.65788000002578</v>
      </c>
      <c r="X25" s="112"/>
      <c r="Y25" s="110"/>
      <c r="Z25" s="112"/>
      <c r="AA25" s="112"/>
      <c r="AB25" s="112">
        <v>24</v>
      </c>
      <c r="AC25" s="123">
        <f>W25+X25+Y25+Z25+AA25+AB25</f>
        <v>141.65788000002578</v>
      </c>
      <c r="AD25" s="110">
        <v>1683246.7978003076</v>
      </c>
      <c r="AE25" s="113"/>
      <c r="AF25" s="129">
        <v>462.30000000000291</v>
      </c>
      <c r="AG25" s="131">
        <v>159.60000000000036</v>
      </c>
      <c r="AH25" s="130">
        <f>AF25+AG25</f>
        <v>621.90000000000327</v>
      </c>
      <c r="AI25" s="133">
        <v>7151850.0000000373</v>
      </c>
      <c r="AJ25" s="21"/>
    </row>
    <row r="26" spans="1:36" ht="15">
      <c r="A26" s="19"/>
      <c r="B26" s="64">
        <v>20</v>
      </c>
      <c r="C26" s="71">
        <v>45</v>
      </c>
      <c r="D26" s="71">
        <v>394</v>
      </c>
      <c r="E26" s="117">
        <v>19960.000000000036</v>
      </c>
      <c r="F26" s="117">
        <v>21707877.240000039</v>
      </c>
      <c r="G26" s="114">
        <v>4159.9999999999682</v>
      </c>
      <c r="H26" s="114">
        <v>6786430.5599999484</v>
      </c>
      <c r="I26" s="105">
        <f>F26+H26</f>
        <v>28494307.79999999</v>
      </c>
      <c r="J26" s="114">
        <v>1720.0000000002547</v>
      </c>
      <c r="K26" s="114">
        <v>1870618.680000277</v>
      </c>
      <c r="L26" s="114">
        <v>379.99999999988177</v>
      </c>
      <c r="M26" s="117">
        <v>619914.32999980706</v>
      </c>
      <c r="N26" s="107">
        <f>K26+M26</f>
        <v>2490533.0100000841</v>
      </c>
      <c r="O26" s="105">
        <f>I26+N26</f>
        <v>30984840.810000073</v>
      </c>
      <c r="P26" s="107">
        <f>E26+G26+J26+L26</f>
        <v>26220.000000000138</v>
      </c>
      <c r="Q26" s="123">
        <f>R26+T26</f>
        <v>615.5</v>
      </c>
      <c r="R26" s="124">
        <v>258</v>
      </c>
      <c r="S26" s="124">
        <v>4636306.4400000004</v>
      </c>
      <c r="T26" s="117">
        <v>357.5</v>
      </c>
      <c r="U26" s="117">
        <v>1686842.2999999998</v>
      </c>
      <c r="V26" s="115">
        <f>S26+U26</f>
        <v>6323148.7400000002</v>
      </c>
      <c r="W26" s="126">
        <v>142.38980000002343</v>
      </c>
      <c r="X26" s="112"/>
      <c r="Y26" s="110"/>
      <c r="Z26" s="112"/>
      <c r="AA26" s="112"/>
      <c r="AB26" s="112">
        <v>0</v>
      </c>
      <c r="AC26" s="123">
        <f>W26+X26+Y26+Z26+AA26+AB26</f>
        <v>142.38980000002343</v>
      </c>
      <c r="AD26" s="110">
        <v>1699422.2630002797</v>
      </c>
      <c r="AE26" s="113"/>
      <c r="AF26" s="129">
        <v>548.59999999999854</v>
      </c>
      <c r="AG26" s="131">
        <v>30.999999999999091</v>
      </c>
      <c r="AH26" s="130">
        <f>AF26+AG26</f>
        <v>579.59999999999764</v>
      </c>
      <c r="AI26" s="133">
        <v>6665399.999999973</v>
      </c>
      <c r="AJ26" s="21"/>
    </row>
    <row r="27" spans="1:36" ht="15">
      <c r="A27" s="19"/>
      <c r="B27" s="81">
        <v>21</v>
      </c>
      <c r="C27" s="65">
        <v>49</v>
      </c>
      <c r="D27" s="65">
        <v>332</v>
      </c>
      <c r="E27" s="124">
        <v>19440.000000000055</v>
      </c>
      <c r="F27" s="124">
        <v>21142341.360000059</v>
      </c>
      <c r="G27" s="111">
        <v>4080.0000000000409</v>
      </c>
      <c r="H27" s="111">
        <v>6655922.2800000673</v>
      </c>
      <c r="I27" s="105">
        <f>F27+H27</f>
        <v>27798263.640000127</v>
      </c>
      <c r="J27" s="158">
        <v>1519.9999999995271</v>
      </c>
      <c r="K27" s="158">
        <v>1653104.8799994856</v>
      </c>
      <c r="L27" s="120">
        <v>360.00000000012733</v>
      </c>
      <c r="M27" s="122">
        <v>587287.26000020781</v>
      </c>
      <c r="N27" s="107">
        <f>K27+M27</f>
        <v>2240392.1399996933</v>
      </c>
      <c r="O27" s="105">
        <f>I27+N27</f>
        <v>30038655.779999822</v>
      </c>
      <c r="P27" s="107">
        <f>E27+G27+J27+L27</f>
        <v>25399.999999999749</v>
      </c>
      <c r="Q27" s="123">
        <f>R27+T27</f>
        <v>793.80000000000291</v>
      </c>
      <c r="R27" s="124">
        <v>257</v>
      </c>
      <c r="S27" s="124">
        <v>4618336.26</v>
      </c>
      <c r="T27" s="117">
        <v>536.80000000000291</v>
      </c>
      <c r="U27" s="117">
        <v>2532858.5920000137</v>
      </c>
      <c r="V27" s="115">
        <f>S27+U27</f>
        <v>7151194.852000013</v>
      </c>
      <c r="W27" s="126">
        <v>131.63503999997184</v>
      </c>
      <c r="X27" s="112"/>
      <c r="Y27" s="110"/>
      <c r="Z27" s="112"/>
      <c r="AA27" s="112"/>
      <c r="AB27" s="112">
        <v>12</v>
      </c>
      <c r="AC27" s="123">
        <f>W27+X27+Y27+Z27+AA27+AB27</f>
        <v>143.63503999997184</v>
      </c>
      <c r="AD27" s="110">
        <v>1710564.2023996639</v>
      </c>
      <c r="AE27" s="113"/>
      <c r="AF27" s="129">
        <v>418.5099999999984</v>
      </c>
      <c r="AG27" s="131">
        <v>236.90000000000055</v>
      </c>
      <c r="AH27" s="130">
        <f>AF27+AG27</f>
        <v>655.40999999999894</v>
      </c>
      <c r="AI27" s="133">
        <v>7537214.9999999879</v>
      </c>
      <c r="AJ27" s="21"/>
    </row>
    <row r="28" spans="1:36" ht="15">
      <c r="A28" s="19"/>
      <c r="B28" s="64">
        <v>22</v>
      </c>
      <c r="C28" s="65">
        <v>33</v>
      </c>
      <c r="D28" s="65">
        <v>410</v>
      </c>
      <c r="E28" s="124">
        <v>20039.999999999964</v>
      </c>
      <c r="F28" s="124">
        <v>21794882.759999961</v>
      </c>
      <c r="G28" s="111">
        <v>3879.9999999999955</v>
      </c>
      <c r="H28" s="111">
        <v>6329651.5799999926</v>
      </c>
      <c r="I28" s="105">
        <f>F28+H28</f>
        <v>28124534.339999951</v>
      </c>
      <c r="J28" s="158">
        <v>1600.0000000003638</v>
      </c>
      <c r="K28" s="158">
        <v>1740110.4000003957</v>
      </c>
      <c r="L28" s="120">
        <v>439.9999999998272</v>
      </c>
      <c r="M28" s="122">
        <v>717795.5399997182</v>
      </c>
      <c r="N28" s="107">
        <f>K28+M28</f>
        <v>2457905.940000114</v>
      </c>
      <c r="O28" s="105">
        <f>I28+N28</f>
        <v>30582440.280000065</v>
      </c>
      <c r="P28" s="107">
        <f>E28+G28+J28+L28</f>
        <v>25960.000000000153</v>
      </c>
      <c r="Q28" s="123">
        <f>R28+T28</f>
        <v>667</v>
      </c>
      <c r="R28" s="124">
        <v>231</v>
      </c>
      <c r="S28" s="124">
        <v>4151111.58</v>
      </c>
      <c r="T28" s="117">
        <v>436</v>
      </c>
      <c r="U28" s="117">
        <v>2057239.8399999999</v>
      </c>
      <c r="V28" s="115">
        <f>S28+U28</f>
        <v>6208351.4199999999</v>
      </c>
      <c r="W28" s="126">
        <v>108.59488000002578</v>
      </c>
      <c r="X28" s="112">
        <v>250</v>
      </c>
      <c r="Y28" s="110">
        <v>400</v>
      </c>
      <c r="Z28" s="112"/>
      <c r="AA28" s="112"/>
      <c r="AB28" s="112">
        <v>12</v>
      </c>
      <c r="AC28" s="123">
        <f>W28+X28+Y28+Z28+AA28+AB28</f>
        <v>770.5948800000258</v>
      </c>
      <c r="AD28" s="110">
        <v>9918079.8928003088</v>
      </c>
      <c r="AE28" s="113"/>
      <c r="AF28" s="129">
        <v>749.19000000000233</v>
      </c>
      <c r="AG28" s="131">
        <v>15.399999999999636</v>
      </c>
      <c r="AH28" s="130">
        <f>AF28+AG28</f>
        <v>764.59000000000196</v>
      </c>
      <c r="AI28" s="133">
        <v>8792785.0000000224</v>
      </c>
      <c r="AJ28" s="21"/>
    </row>
    <row r="29" spans="1:36" ht="15">
      <c r="A29" s="19"/>
      <c r="B29" s="81">
        <v>23</v>
      </c>
      <c r="C29" s="65">
        <v>35</v>
      </c>
      <c r="D29" s="65">
        <v>329</v>
      </c>
      <c r="E29" s="124">
        <v>16920.000000000073</v>
      </c>
      <c r="F29" s="124">
        <v>18401667.480000082</v>
      </c>
      <c r="G29" s="111">
        <v>3639.9999999999864</v>
      </c>
      <c r="H29" s="111">
        <v>5938126.7399999788</v>
      </c>
      <c r="I29" s="105">
        <f>F29+H29</f>
        <v>24339794.220000062</v>
      </c>
      <c r="J29" s="158">
        <v>1819.999999999709</v>
      </c>
      <c r="K29" s="158">
        <v>1979375.5799996837</v>
      </c>
      <c r="L29" s="120">
        <v>380.00000000010914</v>
      </c>
      <c r="M29" s="122">
        <v>619914.33000017807</v>
      </c>
      <c r="N29" s="107">
        <f>K29+M29</f>
        <v>2599289.9099998618</v>
      </c>
      <c r="O29" s="105">
        <f>I29+N29</f>
        <v>26939084.129999924</v>
      </c>
      <c r="P29" s="107">
        <f>E29+G29+J29+L29</f>
        <v>22759.999999999876</v>
      </c>
      <c r="Q29" s="123">
        <f>R29+T29</f>
        <v>592</v>
      </c>
      <c r="R29" s="124">
        <v>256</v>
      </c>
      <c r="S29" s="124">
        <v>4600366.08</v>
      </c>
      <c r="T29" s="117">
        <v>336</v>
      </c>
      <c r="U29" s="117">
        <v>1585395.8399999999</v>
      </c>
      <c r="V29" s="115">
        <f>S29+U29</f>
        <v>6185761.9199999999</v>
      </c>
      <c r="W29" s="126">
        <v>125.55275999999296</v>
      </c>
      <c r="X29" s="112"/>
      <c r="Y29" s="110"/>
      <c r="Z29" s="112">
        <v>50</v>
      </c>
      <c r="AA29" s="112"/>
      <c r="AB29" s="112">
        <v>36</v>
      </c>
      <c r="AC29" s="123">
        <f>W29+X29+Y29+Z29+AA29+AB29</f>
        <v>211.55275999999296</v>
      </c>
      <c r="AD29" s="110">
        <v>2569472.190599916</v>
      </c>
      <c r="AE29" s="113"/>
      <c r="AF29" s="129">
        <v>605.79999999999927</v>
      </c>
      <c r="AG29" s="131">
        <v>0</v>
      </c>
      <c r="AH29" s="130">
        <f>AF29+AG29</f>
        <v>605.79999999999927</v>
      </c>
      <c r="AI29" s="133">
        <v>6966699.9999999916</v>
      </c>
      <c r="AJ29" s="21"/>
    </row>
    <row r="30" spans="1:36" ht="15">
      <c r="A30" s="19"/>
      <c r="B30" s="64">
        <v>24</v>
      </c>
      <c r="C30" s="65">
        <v>31</v>
      </c>
      <c r="D30" s="65">
        <v>305</v>
      </c>
      <c r="E30" s="124">
        <v>17119.999999999891</v>
      </c>
      <c r="F30" s="124">
        <v>18619181.279999882</v>
      </c>
      <c r="G30" s="111">
        <v>3519.9999999999818</v>
      </c>
      <c r="H30" s="111">
        <v>5742364.3199999714</v>
      </c>
      <c r="I30" s="105">
        <f>F30+H30</f>
        <v>24361545.599999852</v>
      </c>
      <c r="J30" s="158">
        <v>1659.9999999998545</v>
      </c>
      <c r="K30" s="158">
        <v>1805364.5399998417</v>
      </c>
      <c r="L30" s="120">
        <v>420.00000000007276</v>
      </c>
      <c r="M30" s="122">
        <v>685168.47000011872</v>
      </c>
      <c r="N30" s="107">
        <f>K30+M30</f>
        <v>2490533.0099999607</v>
      </c>
      <c r="O30" s="105">
        <f>I30+N30</f>
        <v>26852078.609999813</v>
      </c>
      <c r="P30" s="107">
        <f>E30+G30+J30+L30</f>
        <v>22719.9999999998</v>
      </c>
      <c r="Q30" s="123">
        <f>R30+T30</f>
        <v>624</v>
      </c>
      <c r="R30" s="124">
        <v>242</v>
      </c>
      <c r="S30" s="124">
        <v>4348783.5600000005</v>
      </c>
      <c r="T30" s="117">
        <v>382</v>
      </c>
      <c r="U30" s="117">
        <v>1802444.0799999998</v>
      </c>
      <c r="V30" s="115">
        <f>S30+U30</f>
        <v>6151227.6400000006</v>
      </c>
      <c r="W30" s="126">
        <v>117.53703999997185</v>
      </c>
      <c r="X30" s="112"/>
      <c r="Y30" s="110"/>
      <c r="Z30" s="112"/>
      <c r="AA30" s="112"/>
      <c r="AB30" s="112">
        <v>24</v>
      </c>
      <c r="AC30" s="123">
        <f>W30+X30+Y30+Z30+AA30+AB30</f>
        <v>141.53703999997185</v>
      </c>
      <c r="AD30" s="110">
        <v>1681804.572399664</v>
      </c>
      <c r="AE30" s="113"/>
      <c r="AF30" s="129">
        <v>583.90000000000146</v>
      </c>
      <c r="AG30" s="131">
        <v>0</v>
      </c>
      <c r="AH30" s="130">
        <f>AF30+AG30</f>
        <v>583.90000000000146</v>
      </c>
      <c r="AI30" s="133">
        <v>6714850.0000000168</v>
      </c>
      <c r="AJ30" s="21"/>
    </row>
    <row r="31" spans="1:36" ht="15">
      <c r="A31" s="19"/>
      <c r="B31" s="81">
        <v>25</v>
      </c>
      <c r="C31" s="65">
        <v>22</v>
      </c>
      <c r="D31" s="65">
        <v>273</v>
      </c>
      <c r="E31" s="124">
        <v>17440.000000000055</v>
      </c>
      <c r="F31" s="124">
        <v>18967203.360000059</v>
      </c>
      <c r="G31" s="111">
        <v>3480.0000000000182</v>
      </c>
      <c r="H31" s="111">
        <v>5677110.1800000304</v>
      </c>
      <c r="I31" s="105">
        <f>F31+H31</f>
        <v>24644313.540000089</v>
      </c>
      <c r="J31" s="158">
        <v>1800.0000000001819</v>
      </c>
      <c r="K31" s="158">
        <v>1957624.2000001979</v>
      </c>
      <c r="L31" s="120">
        <v>359.99999999989996</v>
      </c>
      <c r="M31" s="122">
        <v>587287.2599998368</v>
      </c>
      <c r="N31" s="107">
        <f>K31+M31</f>
        <v>2544911.4600000344</v>
      </c>
      <c r="O31" s="105">
        <f>I31+N31</f>
        <v>27189225.000000123</v>
      </c>
      <c r="P31" s="107">
        <f>E31+G31+J31+L31</f>
        <v>23080.000000000153</v>
      </c>
      <c r="Q31" s="123">
        <f>R31+T31</f>
        <v>760</v>
      </c>
      <c r="R31" s="124">
        <v>255</v>
      </c>
      <c r="S31" s="124">
        <v>4582395.9000000004</v>
      </c>
      <c r="T31" s="117">
        <v>505</v>
      </c>
      <c r="U31" s="117">
        <v>2382812.1999999997</v>
      </c>
      <c r="V31" s="115">
        <f>S31+U31</f>
        <v>6965208.0999999996</v>
      </c>
      <c r="W31" s="126">
        <v>116.28836000003984</v>
      </c>
      <c r="X31" s="112"/>
      <c r="Y31" s="110"/>
      <c r="Z31" s="112"/>
      <c r="AA31" s="112"/>
      <c r="AB31" s="112">
        <v>12</v>
      </c>
      <c r="AC31" s="123">
        <f>W31+X31+Y31+Z31+AA31+AB31</f>
        <v>128.28836000003986</v>
      </c>
      <c r="AD31" s="110">
        <v>1527401.5766004755</v>
      </c>
      <c r="AE31" s="113"/>
      <c r="AF31" s="129">
        <v>568.59000000000015</v>
      </c>
      <c r="AG31" s="131">
        <v>56.000000000003638</v>
      </c>
      <c r="AH31" s="130">
        <f>AF31+AG31</f>
        <v>624.59000000000378</v>
      </c>
      <c r="AI31" s="133">
        <v>7182785.0000000438</v>
      </c>
      <c r="AJ31" s="21"/>
    </row>
    <row r="32" spans="1:36" ht="15">
      <c r="A32" s="19"/>
      <c r="B32" s="64">
        <v>26</v>
      </c>
      <c r="C32" s="65">
        <v>26</v>
      </c>
      <c r="D32" s="65">
        <v>196</v>
      </c>
      <c r="E32" s="124">
        <v>17079.999999999927</v>
      </c>
      <c r="F32" s="124">
        <v>18575678.519999921</v>
      </c>
      <c r="G32" s="111">
        <v>3600.0000000000227</v>
      </c>
      <c r="H32" s="111">
        <v>5872872.6000000378</v>
      </c>
      <c r="I32" s="105">
        <f>F32+H32</f>
        <v>24448551.11999996</v>
      </c>
      <c r="J32" s="158">
        <v>1480.0000000004729</v>
      </c>
      <c r="K32" s="158">
        <v>1609602.1200005144</v>
      </c>
      <c r="L32" s="120">
        <v>259.99999999999091</v>
      </c>
      <c r="M32" s="122">
        <v>424151.90999998519</v>
      </c>
      <c r="N32" s="107">
        <f>K32+M32</f>
        <v>2033754.0300004997</v>
      </c>
      <c r="O32" s="105">
        <f>I32+N32</f>
        <v>26482305.15000046</v>
      </c>
      <c r="P32" s="107">
        <f>E32+G32+J32+L32</f>
        <v>22420.000000000415</v>
      </c>
      <c r="Q32" s="123">
        <f>R32+T32</f>
        <v>639</v>
      </c>
      <c r="R32" s="124">
        <v>236</v>
      </c>
      <c r="S32" s="124">
        <v>4240962.4800000004</v>
      </c>
      <c r="T32" s="117">
        <v>403</v>
      </c>
      <c r="U32" s="117">
        <v>1901531.3199999998</v>
      </c>
      <c r="V32" s="115">
        <f>S32+U32</f>
        <v>6142493.8000000007</v>
      </c>
      <c r="W32" s="126">
        <v>111.49503999997185</v>
      </c>
      <c r="X32" s="112"/>
      <c r="Y32" s="110"/>
      <c r="Z32" s="112"/>
      <c r="AA32" s="112"/>
      <c r="AB32" s="112">
        <v>12</v>
      </c>
      <c r="AC32" s="123">
        <f>W32+X32+Y32+Z32+AA32+AB32</f>
        <v>123.49503999997185</v>
      </c>
      <c r="AD32" s="110">
        <v>1470193.302399664</v>
      </c>
      <c r="AE32" s="113"/>
      <c r="AF32" s="129">
        <v>523.90999999999985</v>
      </c>
      <c r="AG32" s="131">
        <v>210.19999999999982</v>
      </c>
      <c r="AH32" s="130">
        <f>AF32+AG32</f>
        <v>734.10999999999967</v>
      </c>
      <c r="AI32" s="133">
        <v>8442264.9999999963</v>
      </c>
      <c r="AJ32" s="21"/>
    </row>
    <row r="33" spans="1:36" ht="15">
      <c r="A33" s="19"/>
      <c r="B33" s="81">
        <v>27</v>
      </c>
      <c r="C33" s="65">
        <v>28</v>
      </c>
      <c r="D33" s="65">
        <v>204</v>
      </c>
      <c r="E33" s="124">
        <v>17280.0000000002</v>
      </c>
      <c r="F33" s="124">
        <v>18793192.32000022</v>
      </c>
      <c r="G33" s="111">
        <v>3600.0000000000227</v>
      </c>
      <c r="H33" s="111">
        <v>5872872.6000000378</v>
      </c>
      <c r="I33" s="105">
        <f>F33+H33</f>
        <v>24666064.920000259</v>
      </c>
      <c r="J33" s="158">
        <v>1679.9999999993815</v>
      </c>
      <c r="K33" s="158">
        <v>1827115.9199993275</v>
      </c>
      <c r="L33" s="120">
        <v>500</v>
      </c>
      <c r="M33" s="122">
        <v>815676.75</v>
      </c>
      <c r="N33" s="107">
        <f>K33+M33</f>
        <v>2642792.6699993275</v>
      </c>
      <c r="O33" s="105">
        <f>I33+N33</f>
        <v>27308857.589999586</v>
      </c>
      <c r="P33" s="107">
        <f>E33+G33+J33+L33</f>
        <v>23059.999999999603</v>
      </c>
      <c r="Q33" s="123">
        <f>R33+T33</f>
        <v>662</v>
      </c>
      <c r="R33" s="124">
        <v>242</v>
      </c>
      <c r="S33" s="124">
        <v>4348783.5600000005</v>
      </c>
      <c r="T33" s="117">
        <v>420</v>
      </c>
      <c r="U33" s="117">
        <v>1981744.7999999998</v>
      </c>
      <c r="V33" s="115">
        <f>S33+U33</f>
        <v>6330528.3600000003</v>
      </c>
      <c r="W33" s="126">
        <v>121.12196000002812</v>
      </c>
      <c r="X33" s="112">
        <v>250</v>
      </c>
      <c r="Y33" s="110">
        <v>400</v>
      </c>
      <c r="Z33" s="112"/>
      <c r="AA33" s="112"/>
      <c r="AB33" s="112">
        <v>0</v>
      </c>
      <c r="AC33" s="123">
        <f>W33+X33+Y33+Z33+AA33+AB33</f>
        <v>771.12196000002814</v>
      </c>
      <c r="AD33" s="110">
        <v>9928090.5926003344</v>
      </c>
      <c r="AE33" s="113"/>
      <c r="AF33" s="129">
        <v>442.29999999999927</v>
      </c>
      <c r="AG33" s="131">
        <v>4.0999999999985448</v>
      </c>
      <c r="AH33" s="130">
        <f>AF33+AG33</f>
        <v>446.39999999999782</v>
      </c>
      <c r="AI33" s="133">
        <v>5133599.9999999749</v>
      </c>
      <c r="AJ33" s="21"/>
    </row>
    <row r="34" spans="1:36" ht="15">
      <c r="A34" s="19"/>
      <c r="B34" s="64">
        <v>28</v>
      </c>
      <c r="C34" s="65">
        <v>27</v>
      </c>
      <c r="D34" s="65">
        <v>243</v>
      </c>
      <c r="E34" s="124">
        <v>18000</v>
      </c>
      <c r="F34" s="124">
        <v>19576242</v>
      </c>
      <c r="G34" s="111">
        <v>3480.0000000000182</v>
      </c>
      <c r="H34" s="111">
        <v>5677110.1800000304</v>
      </c>
      <c r="I34" s="105">
        <f>F34+H34</f>
        <v>25253352.18000003</v>
      </c>
      <c r="J34" s="158">
        <v>1560.0000000004002</v>
      </c>
      <c r="K34" s="158">
        <v>1696607.6400004353</v>
      </c>
      <c r="L34" s="120">
        <v>360.00000000012733</v>
      </c>
      <c r="M34" s="122">
        <v>587287.26000020781</v>
      </c>
      <c r="N34" s="107">
        <f>K34+M34</f>
        <v>2283894.900000643</v>
      </c>
      <c r="O34" s="105">
        <f>I34+N34</f>
        <v>27537247.080000672</v>
      </c>
      <c r="P34" s="107">
        <f>E34+G34+J34+L34</f>
        <v>23400.000000000546</v>
      </c>
      <c r="Q34" s="123">
        <f>R34+T34</f>
        <v>386</v>
      </c>
      <c r="R34" s="124">
        <v>0</v>
      </c>
      <c r="S34" s="124">
        <v>0</v>
      </c>
      <c r="T34" s="117">
        <v>386</v>
      </c>
      <c r="U34" s="117">
        <v>1821317.8399999999</v>
      </c>
      <c r="V34" s="115">
        <f>S34+U34</f>
        <v>1821317.8399999999</v>
      </c>
      <c r="W34" s="126">
        <v>126.60003999997186</v>
      </c>
      <c r="X34" s="112"/>
      <c r="Y34" s="110"/>
      <c r="Z34" s="112"/>
      <c r="AA34" s="112"/>
      <c r="AB34" s="112">
        <v>12</v>
      </c>
      <c r="AC34" s="123">
        <f>W34+X34+Y34+Z34+AA34+AB34</f>
        <v>138.60003999997184</v>
      </c>
      <c r="AD34" s="110">
        <v>1650471.477399664</v>
      </c>
      <c r="AE34" s="113"/>
      <c r="AF34" s="129">
        <v>631.38999999999942</v>
      </c>
      <c r="AG34" s="131">
        <v>0</v>
      </c>
      <c r="AH34" s="130">
        <f>AF34+AG34</f>
        <v>631.38999999999942</v>
      </c>
      <c r="AI34" s="133">
        <v>7260984.9999999935</v>
      </c>
      <c r="AJ34" s="21"/>
    </row>
    <row r="35" spans="1:36" ht="15">
      <c r="A35" s="19"/>
      <c r="B35" s="81">
        <v>29</v>
      </c>
      <c r="C35" s="65">
        <v>28</v>
      </c>
      <c r="D35" s="65">
        <v>230</v>
      </c>
      <c r="E35" s="124">
        <v>16319.999999999709</v>
      </c>
      <c r="F35" s="124">
        <v>17749126.079999685</v>
      </c>
      <c r="G35" s="111">
        <v>3319.9999999999363</v>
      </c>
      <c r="H35" s="111">
        <v>5416093.6199998967</v>
      </c>
      <c r="I35" s="105">
        <f>F35+H35</f>
        <v>23165219.699999582</v>
      </c>
      <c r="J35" s="158">
        <v>1500</v>
      </c>
      <c r="K35" s="158">
        <v>1631353.5</v>
      </c>
      <c r="L35" s="120">
        <v>339.99999999991815</v>
      </c>
      <c r="M35" s="122">
        <v>554660.18999986642</v>
      </c>
      <c r="N35" s="107">
        <f>K35+M35</f>
        <v>2186013.6899998663</v>
      </c>
      <c r="O35" s="105">
        <f>I35+N35</f>
        <v>25351233.389999449</v>
      </c>
      <c r="P35" s="107">
        <f>E35+G35+J35+L35</f>
        <v>21479.999999999563</v>
      </c>
      <c r="Q35" s="123">
        <f>R35+T35</f>
        <v>521</v>
      </c>
      <c r="R35" s="124">
        <v>274</v>
      </c>
      <c r="S35" s="124">
        <v>4923829.32</v>
      </c>
      <c r="T35" s="117">
        <v>247</v>
      </c>
      <c r="U35" s="117">
        <v>1165454.68</v>
      </c>
      <c r="V35" s="115">
        <f>S35+U35</f>
        <v>6089284</v>
      </c>
      <c r="W35" s="126">
        <v>116.8925600000164</v>
      </c>
      <c r="X35" s="112"/>
      <c r="Y35" s="110"/>
      <c r="Z35" s="112">
        <v>50</v>
      </c>
      <c r="AA35" s="112"/>
      <c r="AB35" s="112">
        <v>12</v>
      </c>
      <c r="AC35" s="123">
        <f>W35+X35+Y35+Z35+AA35+AB35</f>
        <v>178.8925600000164</v>
      </c>
      <c r="AD35" s="110">
        <v>2187112.7036001957</v>
      </c>
      <c r="AE35" s="113"/>
      <c r="AF35" s="129">
        <v>787.70999999999913</v>
      </c>
      <c r="AG35" s="131">
        <v>44.299999999998363</v>
      </c>
      <c r="AH35" s="130">
        <f>AF35+AG35</f>
        <v>832.00999999999749</v>
      </c>
      <c r="AI35" s="133">
        <v>9568114.9999999721</v>
      </c>
      <c r="AJ35" s="21"/>
    </row>
    <row r="36" spans="1:36" ht="15">
      <c r="A36" s="19"/>
      <c r="B36" s="64">
        <v>30</v>
      </c>
      <c r="C36" s="65">
        <v>25</v>
      </c>
      <c r="D36" s="65">
        <v>300</v>
      </c>
      <c r="E36" s="124">
        <v>25559.999999999945</v>
      </c>
      <c r="F36" s="124">
        <v>27798263.639999941</v>
      </c>
      <c r="G36" s="111">
        <v>3519.9999999999818</v>
      </c>
      <c r="H36" s="111">
        <v>5742364.3199999714</v>
      </c>
      <c r="I36" s="105">
        <f>F36+H36</f>
        <v>33540627.959999911</v>
      </c>
      <c r="J36" s="158">
        <v>2319.999999999709</v>
      </c>
      <c r="K36" s="158">
        <v>2523160.0799996834</v>
      </c>
      <c r="L36" s="120">
        <v>339.99999999991815</v>
      </c>
      <c r="M36" s="122">
        <v>554660.18999986642</v>
      </c>
      <c r="N36" s="107">
        <f>K36+M36</f>
        <v>3077820.2699995497</v>
      </c>
      <c r="O36" s="105">
        <f>I36+N36</f>
        <v>36618448.22999946</v>
      </c>
      <c r="P36" s="107">
        <f>E36+G36+J36+L36</f>
        <v>31739.999999999556</v>
      </c>
      <c r="Q36" s="123">
        <f>R36+T36</f>
        <v>536</v>
      </c>
      <c r="R36" s="124">
        <v>289</v>
      </c>
      <c r="S36" s="124">
        <v>5193382.0200000005</v>
      </c>
      <c r="T36" s="117">
        <v>247</v>
      </c>
      <c r="U36" s="117">
        <v>1165454.68</v>
      </c>
      <c r="V36" s="115">
        <f>S36+U36</f>
        <v>6358836.7000000002</v>
      </c>
      <c r="W36" s="126">
        <v>115.52303999997186</v>
      </c>
      <c r="X36" s="112"/>
      <c r="Y36" s="110"/>
      <c r="Z36" s="112"/>
      <c r="AA36" s="112"/>
      <c r="AB36" s="112">
        <v>12</v>
      </c>
      <c r="AC36" s="123">
        <f>W36+X36+Y36+Z36+AA36+AB36</f>
        <v>127.52303999997186</v>
      </c>
      <c r="AD36" s="110">
        <v>1518267.4823996641</v>
      </c>
      <c r="AE36" s="113"/>
      <c r="AF36" s="129">
        <v>613</v>
      </c>
      <c r="AG36" s="131">
        <v>4.2000000000007276</v>
      </c>
      <c r="AH36" s="130">
        <f>AF36+AG36</f>
        <v>617.20000000000073</v>
      </c>
      <c r="AI36" s="133">
        <v>7097800.0000000084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1285</v>
      </c>
      <c r="D42" s="134">
        <f>SUM(D7:D36)</f>
        <v>10494</v>
      </c>
      <c r="E42" s="135">
        <f>SUM(E7:E36)</f>
        <v>554239.99999999977</v>
      </c>
      <c r="F42" s="135">
        <f>SUM(F7:F36)</f>
        <v>602774242.55999982</v>
      </c>
      <c r="G42" s="135">
        <f>SUM(G7:G36)</f>
        <v>116880.00000000001</v>
      </c>
      <c r="H42" s="135">
        <f>SUM(H7:H36)</f>
        <v>190672597.07999998</v>
      </c>
      <c r="I42" s="135">
        <f>SUM(I7:I36)</f>
        <v>793446839.63999975</v>
      </c>
      <c r="J42" s="135">
        <f>SUM(J7:J36)</f>
        <v>53619.999999999891</v>
      </c>
      <c r="K42" s="135">
        <f>SUM(K7:K36)</f>
        <v>58315449.779999882</v>
      </c>
      <c r="L42" s="135">
        <f>SUM(L7:L36)</f>
        <v>12599.999999999909</v>
      </c>
      <c r="M42" s="135">
        <f>SUM(M7:M36)</f>
        <v>20555054.099999852</v>
      </c>
      <c r="N42" s="135">
        <f>SUM(N7:N36)</f>
        <v>78870503.879999757</v>
      </c>
      <c r="O42" s="136">
        <f>SUM(O7:O36)</f>
        <v>872317343.51999938</v>
      </c>
      <c r="P42" s="137">
        <f>SUM(P7:P36)</f>
        <v>737339.99999999965</v>
      </c>
      <c r="Q42" s="138">
        <f>SUM(Q7:Q36)</f>
        <v>20974</v>
      </c>
      <c r="R42" s="135">
        <f>SUM(R7:R36)</f>
        <v>7122</v>
      </c>
      <c r="S42" s="135">
        <f>SUM(S7:S36)</f>
        <v>127983621.96000002</v>
      </c>
      <c r="T42" s="135">
        <f>SUM(T7:T36)</f>
        <v>13852</v>
      </c>
      <c r="U42" s="135">
        <f>SUM(U7:U36)</f>
        <v>65359830.879999995</v>
      </c>
      <c r="V42" s="139">
        <f>SUM(V7:V36)</f>
        <v>193343452.83999997</v>
      </c>
      <c r="W42" s="140">
        <f>SUM(W7:W36)</f>
        <v>3553.3807599999927</v>
      </c>
      <c r="X42" s="135">
        <f>SUM(X7:X36)</f>
        <v>1500</v>
      </c>
      <c r="Y42" s="135">
        <f>SUM(Y7:Y36)</f>
        <v>2400</v>
      </c>
      <c r="Z42" s="135">
        <f>SUM(Z7:Z36)</f>
        <v>250</v>
      </c>
      <c r="AA42" s="135">
        <f>SUM(AA7:AA36)</f>
        <v>0</v>
      </c>
      <c r="AB42" s="135">
        <f>SUM(AB7:AB36)</f>
        <v>396</v>
      </c>
      <c r="AC42" s="141">
        <f>SUM(AC7:AC36)</f>
        <v>8099.3807599999936</v>
      </c>
      <c r="AD42" s="141">
        <f>SUM(AD7:AD36)</f>
        <v>101170599.37059988</v>
      </c>
      <c r="AE42" s="142">
        <f>SUM(AE8:AE38)</f>
        <v>0</v>
      </c>
      <c r="AF42" s="135">
        <f>SUM(AF7:AF36)</f>
        <v>17282.379999999997</v>
      </c>
      <c r="AG42" s="135">
        <f>SUM(AG7:AG36)</f>
        <v>3962.7</v>
      </c>
      <c r="AH42" s="143">
        <f>SUM(AH7:AH36)</f>
        <v>21245.080000000005</v>
      </c>
      <c r="AI42" s="143">
        <f>SUM(AI7:AI36)</f>
        <v>244318420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1183.0598414842539</v>
      </c>
      <c r="Q44" s="43"/>
      <c r="R44" s="43"/>
      <c r="S44" s="43"/>
      <c r="T44" s="36"/>
      <c r="U44" s="36"/>
      <c r="V44" s="43">
        <f>V42/Q42</f>
        <v>9218.2441518069973</v>
      </c>
      <c r="W44" s="43"/>
      <c r="X44" s="36"/>
      <c r="Y44" s="43"/>
      <c r="Z44" s="43"/>
      <c r="AA44" s="43"/>
      <c r="AB44" s="43"/>
      <c r="AC44" s="36"/>
      <c r="AD44" s="36">
        <f>AD42/AC42</f>
        <v>12491.152394050427</v>
      </c>
      <c r="AE44" s="40"/>
      <c r="AF44" s="40"/>
      <c r="AG44" s="40"/>
      <c r="AH44" s="40"/>
      <c r="AI44" s="43">
        <f>AI42/AH42</f>
        <v>11499.999999999996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2023-02-27T14:34:11Z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