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xr:revisionPtr revIDLastSave="335" documentId="11_00C1ED7558031DD21EA57FA15018ADAF4A1ED64B" xr6:coauthVersionLast="47" xr6:coauthVersionMax="47" xr10:uidLastSave="{FFD159C8-5021-4AB6-803C-CD3BDB749E20}"/>
  <bookViews>
    <workbookView xWindow="0" yWindow="0" windowWidth="28800" windowHeight="12435" firstSheet="2" activeTab="2" xr2:uid="{00000000-000D-0000-FFFF-FFFF00000000}"/>
  </bookViews>
  <sheets>
    <sheet name="Total Daily " sheetId="3" r:id="rId1"/>
    <sheet name="Submetering Daily " sheetId="2" r:id="rId2"/>
    <sheet name="02 - 2023" sheetId="5" r:id="rId3"/>
  </sheets>
  <definedNames>
    <definedName name="_xlnm.Print_Area" localSheetId="2">'02 - 2023'!$A$1:$J$35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J19" i="2"/>
  <c r="I19" i="2"/>
  <c r="H19" i="2"/>
  <c r="F19" i="2"/>
  <c r="E19" i="2"/>
  <c r="L18" i="3"/>
  <c r="K18" i="3"/>
  <c r="I18" i="3"/>
  <c r="G18" i="3"/>
  <c r="E18" i="3"/>
  <c r="J18" i="2"/>
  <c r="I18" i="2"/>
  <c r="H18" i="2"/>
  <c r="F18" i="2"/>
  <c r="E18" i="2"/>
  <c r="L17" i="3"/>
  <c r="K17" i="3"/>
  <c r="I17" i="3"/>
  <c r="G17" i="3"/>
  <c r="E17" i="3"/>
  <c r="J17" i="2"/>
  <c r="I17" i="2"/>
  <c r="H17" i="2"/>
  <c r="F17" i="2"/>
  <c r="E17" i="2"/>
  <c r="L16" i="3"/>
  <c r="K16" i="3"/>
  <c r="I16" i="3"/>
  <c r="G16" i="3"/>
  <c r="E16" i="3"/>
  <c r="J16" i="2"/>
  <c r="I16" i="2"/>
  <c r="H16" i="2"/>
  <c r="F16" i="2"/>
  <c r="E16" i="2"/>
  <c r="J15" i="2"/>
  <c r="I15" i="2"/>
  <c r="H15" i="2"/>
  <c r="F15" i="2"/>
  <c r="E15" i="2"/>
  <c r="L15" i="3"/>
  <c r="K15" i="3"/>
  <c r="I15" i="3"/>
  <c r="G15" i="3"/>
  <c r="E15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J10" i="2"/>
  <c r="I10" i="2"/>
  <c r="H10" i="2"/>
  <c r="F10" i="2"/>
  <c r="E10" i="2"/>
  <c r="L10" i="3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5" i="3"/>
  <c r="K5" i="3"/>
  <c r="I5" i="3"/>
  <c r="G5" i="3"/>
  <c r="E5" i="3"/>
  <c r="J5" i="2"/>
  <c r="I5" i="2"/>
  <c r="H5" i="2"/>
  <c r="F5" i="2"/>
  <c r="E5" i="2"/>
  <c r="L4" i="3"/>
  <c r="K4" i="3"/>
  <c r="I4" i="3"/>
  <c r="G4" i="3"/>
  <c r="E4" i="3"/>
  <c r="J4" i="2"/>
  <c r="I4" i="2"/>
  <c r="H4" i="2"/>
  <c r="F4" i="2"/>
  <c r="E4" i="2"/>
  <c r="J3" i="2"/>
  <c r="I3" i="2"/>
  <c r="H3" i="2"/>
  <c r="F3" i="2"/>
  <c r="E3" i="2"/>
  <c r="L3" i="3"/>
  <c r="K3" i="3"/>
  <c r="I3" i="3"/>
  <c r="G3" i="3"/>
  <c r="E3" i="3"/>
  <c r="K36" i="5"/>
  <c r="J36" i="5"/>
  <c r="I36" i="5"/>
  <c r="I37" i="5" s="1"/>
  <c r="H36" i="5"/>
  <c r="H37" i="5" s="1"/>
  <c r="G36" i="5"/>
  <c r="F36" i="5"/>
  <c r="E36" i="5"/>
  <c r="C36" i="5"/>
  <c r="B36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L29" i="3"/>
  <c r="K29" i="3"/>
  <c r="I29" i="3"/>
  <c r="G29" i="3"/>
  <c r="E29" i="3"/>
  <c r="J29" i="2"/>
  <c r="I29" i="2"/>
  <c r="H29" i="2"/>
  <c r="F29" i="2"/>
  <c r="E29" i="2"/>
  <c r="L28" i="3"/>
  <c r="K28" i="3"/>
  <c r="I28" i="3"/>
  <c r="G28" i="3"/>
  <c r="E28" i="3"/>
  <c r="J28" i="2"/>
  <c r="I28" i="2"/>
  <c r="H28" i="2"/>
  <c r="F28" i="2"/>
  <c r="E28" i="2"/>
  <c r="L27" i="3"/>
  <c r="K27" i="3"/>
  <c r="I27" i="3"/>
  <c r="G27" i="3"/>
  <c r="E27" i="3"/>
  <c r="J27" i="2"/>
  <c r="I27" i="2"/>
  <c r="H27" i="2"/>
  <c r="F27" i="2"/>
  <c r="E27" i="2"/>
  <c r="L26" i="3"/>
  <c r="K26" i="3"/>
  <c r="I26" i="3"/>
  <c r="G26" i="3"/>
  <c r="E26" i="3"/>
  <c r="J26" i="2"/>
  <c r="I26" i="2"/>
  <c r="H26" i="2"/>
  <c r="F26" i="2"/>
  <c r="E26" i="2"/>
  <c r="L25" i="3"/>
  <c r="K25" i="3"/>
  <c r="I25" i="3"/>
  <c r="G25" i="3"/>
  <c r="E25" i="3"/>
  <c r="J25" i="2"/>
  <c r="I25" i="2"/>
  <c r="H25" i="2"/>
  <c r="F25" i="2"/>
  <c r="E25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<sst xmlns="http://schemas.openxmlformats.org/spreadsheetml/2006/main" count="101" uniqueCount="38">
  <si>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</si>
  <si>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</si>
  <si>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</si>
  <si>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</si>
  <si>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</si>
  <si>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</si>
  <si>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</si>
  <si>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</si>
  <si>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</si>
  <si>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</si>
  <si>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</si>
  <si>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</si>
  <si>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</si>
  <si>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</si>
  <si>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</si>
  <si>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</si>
  <si>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</si>
  <si>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</si>
  <si>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</si>
  <si>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 xml:space="preserve">FOUR SEASONS HOTEL - DIFC </t>
  </si>
  <si>
    <t>HLP READING MONTH OF FEBRUARY'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</si>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</sst>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0.0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/>
      <bottom style="double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1" fontId="1" fillId="0" borderId="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0" fillId="2" borderId="0" xfId="0" applyFill="1" applyAlignment="1">
      <alignment vertical="center"/>
    </xf>
    <xf numFmtId="1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164" fontId="5" fillId="0" borderId="8" xfId="0" applyNumberFormat="1" applyFont="1" applyBorder="1" applyAlignment="1">
      <alignment horizontal="center" vertical="center"/>
    </xf>
    <xf numFmtId="43" fontId="5" fillId="0" borderId="9" xfId="2" applyFont="1" applyBorder="1" applyAlignment="1">
      <alignment horizontal="center" vertical="center"/>
    </xf>
    <xf numFmtId="43" fontId="5" fillId="2" borderId="9" xfId="2" applyFont="1" applyFill="1" applyBorder="1" applyAlignment="1">
      <alignment horizontal="center" vertical="center"/>
    </xf>
    <xf numFmtId="9" fontId="5" fillId="0" borderId="9" xfId="0" applyNumberFormat="1" applyFont="1" applyBorder="1" applyAlignment="1">
      <alignment horizontal="center" vertical="center"/>
    </xf>
    <xf numFmtId="43" fontId="9" fillId="0" borderId="9" xfId="2" applyFont="1" applyFill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center" vertical="center"/>
    </xf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9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3" fontId="4" fillId="0" borderId="18" xfId="2" applyFont="1" applyBorder="1" applyAlignment="1">
      <alignment horizontal="center" vertical="center"/>
    </xf>
    <xf numFmtId="164" fontId="5" fillId="0" borderId="19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 vertic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3" fontId="5" fillId="0" borderId="23" xfId="2" applyFont="1" applyBorder="1" applyAlignment="1">
      <alignment horizontal="center" vertical="center"/>
    </xf>
    <xf numFmtId="43" fontId="5" fillId="0" borderId="23" xfId="2" applyFont="1" applyFill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43" fontId="4" fillId="0" borderId="25" xfId="0" applyNumberFormat="1" applyFont="1" applyBorder="1" applyAlignment="1">
      <alignment horizontal="center" vertical="center"/>
    </xf>
    <xf numFmtId="43" fontId="5" fillId="0" borderId="23" xfId="0" applyNumberFormat="1" applyFont="1" applyBorder="1" applyAlignment="1">
      <alignment horizontal="center" vertical="center"/>
    </xf>
    <xf numFmtId="43" fontId="5" fillId="0" borderId="23" xfId="2" applyFont="1" applyBorder="1" applyAlignment="1" applyProtection="1">
      <alignment horizontal="center" vertical="center"/>
      <protection locked="0"/>
    </xf>
    <xf numFmtId="43" fontId="5" fillId="0" borderId="23" xfId="2" applyFont="1" applyFill="1" applyBorder="1" applyAlignment="1" applyProtection="1">
      <alignment horizontal="center" vertical="center"/>
      <protection locked="0"/>
    </xf>
    <xf numFmtId="43" fontId="4" fillId="0" borderId="25" xfId="2" applyFont="1" applyBorder="1" applyAlignment="1">
      <alignment horizontal="center" vertical="center"/>
    </xf>
    <xf numFmtId="43" fontId="4" fillId="0" borderId="25" xfId="2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43" fontId="5" fillId="2" borderId="23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opLeftCell="A8" workbookViewId="0">
      <selection activeCell="O25" sqref="O25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3"/>
    <col min="251" max="251" width="13.42578125" customWidth="1"/>
    <col min="252" max="253" width="12.5703125" customWidth="1"/>
  </cols>
  <sheetData>
    <row r="1" spans="1:15" ht="60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15" t="s">
        <v>10</v>
      </c>
      <c r="L1" s="2" t="s">
        <v>10</v>
      </c>
      <c r="M1" s="5" t="s">
        <v>11</v>
      </c>
      <c r="N1" s="14" t="s">
        <v>12</v>
      </c>
      <c r="O1" s="2"/>
    </row>
    <row r="2" spans="1:15">
      <c r="A2" t="s">
        <v>13</v>
      </c>
      <c r="B2">
        <v>1</v>
      </c>
      <c r="C2">
        <v>2</v>
      </c>
      <c r="D2">
        <v>2023</v>
      </c>
      <c r="E2" s="4">
        <f>'02 - 2023'!B8-'02 - 2023'!B7+'02 - 2023'!C8-'02 - 2023'!C7</f>
        <v>9239</v>
      </c>
      <c r="F2">
        <v>0.11799999999999999</v>
      </c>
      <c r="G2" s="4">
        <f>'02 - 2023'!D8-'02 - 2023'!D7+'02 - 2023'!E8-'02 - 2023'!E7</f>
        <v>27.030000000000655</v>
      </c>
      <c r="H2">
        <v>0.99</v>
      </c>
      <c r="I2" s="4">
        <f>'02 - 2023'!J8-'02 - 2023'!J7</f>
        <v>9770</v>
      </c>
      <c r="J2">
        <v>8.1000000000000003E-2</v>
      </c>
      <c r="K2" s="16">
        <f>'02 - 2023'!H8-'02 - 2023'!H7</f>
        <v>0</v>
      </c>
      <c r="L2" s="4">
        <f>'02 - 2023'!I8-'02 - 2023'!I7</f>
        <v>108</v>
      </c>
      <c r="M2" s="1">
        <v>4.393629424766913</v>
      </c>
      <c r="N2" s="11">
        <v>98</v>
      </c>
    </row>
    <row r="3" spans="1:15">
      <c r="A3" t="s">
        <v>13</v>
      </c>
      <c r="B3">
        <f>B2+1</f>
        <v>2</v>
      </c>
      <c r="C3">
        <v>2</v>
      </c>
      <c r="D3">
        <v>2023</v>
      </c>
      <c r="E3" s="4">
        <f>'02 - 2023'!B9-'02 - 2023'!B8+'02 - 2023'!C9-'02 - 2023'!C8</f>
        <v>9458</v>
      </c>
      <c r="F3">
        <v>0.11799999999999999</v>
      </c>
      <c r="G3" s="4">
        <f>'02 - 2023'!D9-'02 - 2023'!D8+'02 - 2023'!E9-'02 - 2023'!E8</f>
        <v>25.759999999999309</v>
      </c>
      <c r="H3">
        <v>0.99</v>
      </c>
      <c r="I3" s="4">
        <f>'02 - 2023'!J9-'02 - 2023'!J8</f>
        <v>12455</v>
      </c>
      <c r="J3">
        <v>8.1000000000000003E-2</v>
      </c>
      <c r="K3" s="16">
        <f>'02 - 2023'!H9-'02 - 2023'!H8</f>
        <v>0</v>
      </c>
      <c r="L3" s="4">
        <f>'02 - 2023'!I9-'02 - 2023'!I8</f>
        <v>120</v>
      </c>
      <c r="M3" s="1">
        <v>4.393629424766913</v>
      </c>
      <c r="N3" s="26">
        <v>98</v>
      </c>
    </row>
    <row r="4" spans="1:15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'02 - 2023'!B10-'02 - 2023'!B9+'02 - 2023'!C10-'02 - 2023'!C9</f>
        <v>9644</v>
      </c>
      <c r="F4">
        <v>0.11799999999999999</v>
      </c>
      <c r="G4" s="4">
        <f>'02 - 2023'!D10-'02 - 2023'!D9+'02 - 2023'!E10-'02 - 2023'!E9</f>
        <v>26.390000000000327</v>
      </c>
      <c r="H4">
        <v>0.99</v>
      </c>
      <c r="I4" s="4">
        <f>'02 - 2023'!J10-'02 - 2023'!J9</f>
        <v>13025</v>
      </c>
      <c r="J4">
        <v>8.1000000000000003E-2</v>
      </c>
      <c r="K4" s="16">
        <f>'02 - 2023'!H10-'02 - 2023'!H9</f>
        <v>0</v>
      </c>
      <c r="L4" s="4">
        <f>'02 - 2023'!I10-'02 - 2023'!I9</f>
        <v>114</v>
      </c>
      <c r="M4" s="1">
        <v>4.393629424766913</v>
      </c>
      <c r="N4" s="11">
        <v>101</v>
      </c>
    </row>
    <row r="5" spans="1:15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'02 - 2023'!B11-'02 - 2023'!B10+'02 - 2023'!C11-'02 - 2023'!C10</f>
        <v>9903</v>
      </c>
      <c r="F5">
        <v>0.11799999999999999</v>
      </c>
      <c r="G5" s="4">
        <f>'02 - 2023'!D11-'02 - 2023'!D10+'02 - 2023'!E11-'02 - 2023'!E10</f>
        <v>28.1899999999996</v>
      </c>
      <c r="H5">
        <v>0.99</v>
      </c>
      <c r="I5" s="4">
        <f>'02 - 2023'!J11-'02 - 2023'!J10</f>
        <v>13712</v>
      </c>
      <c r="J5">
        <v>8.1000000000000003E-2</v>
      </c>
      <c r="K5" s="16">
        <f>'02 - 2023'!H11-'02 - 2023'!H10</f>
        <v>0</v>
      </c>
      <c r="L5" s="4">
        <f>'02 - 2023'!I11-'02 - 2023'!I10</f>
        <v>126</v>
      </c>
      <c r="M5" s="1">
        <v>4.393629424766913</v>
      </c>
      <c r="N5" s="11">
        <v>98</v>
      </c>
    </row>
    <row r="6" spans="1:15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'02 - 2023'!B12-'02 - 2023'!B11+'02 - 2023'!C12-'02 - 2023'!C11</f>
        <v>9531</v>
      </c>
      <c r="F6">
        <v>0.11799999999999999</v>
      </c>
      <c r="G6" s="4">
        <f>'02 - 2023'!D12-'02 - 2023'!D11+'02 - 2023'!E12-'02 - 2023'!E11</f>
        <v>27.900000000000546</v>
      </c>
      <c r="H6">
        <v>0.99</v>
      </c>
      <c r="I6" s="4">
        <f>'02 - 2023'!J12-'02 - 2023'!J11</f>
        <v>12368</v>
      </c>
      <c r="J6">
        <v>8.1000000000000003E-2</v>
      </c>
      <c r="K6" s="16">
        <f>'02 - 2023'!H12-'02 - 2023'!H11</f>
        <v>0</v>
      </c>
      <c r="L6" s="4">
        <f>'02 - 2023'!I12-'02 - 2023'!I11</f>
        <v>109</v>
      </c>
      <c r="M6" s="1">
        <v>4.393629424766913</v>
      </c>
      <c r="N6" s="11">
        <v>82</v>
      </c>
    </row>
    <row r="7" spans="1:15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'02 - 2023'!B13-'02 - 2023'!B12+'02 - 2023'!C13-'02 - 2023'!C12</f>
        <v>9426</v>
      </c>
      <c r="F7">
        <v>0.11799999999999999</v>
      </c>
      <c r="G7" s="4">
        <f>'02 - 2023'!D13-'02 - 2023'!D12+'02 - 2023'!E13-'02 - 2023'!E12</f>
        <v>29.579999999999927</v>
      </c>
      <c r="H7">
        <v>0.99</v>
      </c>
      <c r="I7" s="4">
        <f>'02 - 2023'!J13-'02 - 2023'!J12</f>
        <v>11925</v>
      </c>
      <c r="J7">
        <v>8.1000000000000003E-2</v>
      </c>
      <c r="K7" s="16">
        <f>'02 - 2023'!H13-'02 - 2023'!H12</f>
        <v>0</v>
      </c>
      <c r="L7" s="4">
        <f>'02 - 2023'!I13-'02 - 2023'!I12</f>
        <v>109</v>
      </c>
      <c r="M7" s="1">
        <v>4.393629424766913</v>
      </c>
      <c r="N7" s="11">
        <v>85</v>
      </c>
    </row>
    <row r="8" spans="1:15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'02 - 2023'!B14-'02 - 2023'!B13+'02 - 2023'!C14-'02 - 2023'!C13</f>
        <v>9191</v>
      </c>
      <c r="F8">
        <v>0.11799999999999999</v>
      </c>
      <c r="G8" s="4">
        <f>'02 - 2023'!D14-'02 - 2023'!D13+'02 - 2023'!E14-'02 - 2023'!E13</f>
        <v>24.799999999999272</v>
      </c>
      <c r="H8">
        <v>0.99</v>
      </c>
      <c r="I8" s="4">
        <f>'02 - 2023'!J14-'02 - 2023'!J13</f>
        <v>11759</v>
      </c>
      <c r="J8">
        <v>8.1000000000000003E-2</v>
      </c>
      <c r="K8" s="16">
        <f>'02 - 2023'!H14-'02 - 2023'!H13</f>
        <v>0</v>
      </c>
      <c r="L8" s="4">
        <f>'02 - 2023'!I14-'02 - 2023'!I13</f>
        <v>102</v>
      </c>
      <c r="M8" s="1">
        <v>4.393629424766913</v>
      </c>
      <c r="N8" s="11">
        <v>95</v>
      </c>
      <c r="O8" s="4"/>
    </row>
    <row r="9" spans="1:15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'02 - 2023'!B15-'02 - 2023'!B14+'02 - 2023'!C15-'02 - 2023'!C14</f>
        <v>9008</v>
      </c>
      <c r="F9">
        <v>0.11799999999999999</v>
      </c>
      <c r="G9" s="4">
        <f>'02 - 2023'!D15-'02 - 2023'!D14+'02 - 2023'!E15-'02 - 2023'!E14</f>
        <v>25.819999999999709</v>
      </c>
      <c r="H9">
        <v>0.99</v>
      </c>
      <c r="I9" s="4">
        <f>'02 - 2023'!J15-'02 - 2023'!J14</f>
        <v>13548</v>
      </c>
      <c r="J9">
        <v>8.1000000000000003E-2</v>
      </c>
      <c r="K9" s="16">
        <f>'02 - 2023'!H15-'02 - 2023'!H14</f>
        <v>0</v>
      </c>
      <c r="L9" s="4">
        <f>'02 - 2023'!I15-'02 - 2023'!I14</f>
        <v>104</v>
      </c>
      <c r="M9" s="1">
        <v>4.393629424766913</v>
      </c>
      <c r="N9" s="11">
        <v>90</v>
      </c>
    </row>
    <row r="10" spans="1:15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'02 - 2023'!B16-'02 - 2023'!B15+'02 - 2023'!C16-'02 - 2023'!C15</f>
        <v>9690</v>
      </c>
      <c r="F10">
        <v>0.11799999999999999</v>
      </c>
      <c r="G10" s="4">
        <f>'02 - 2023'!D16-'02 - 2023'!D15+'02 - 2023'!E16-'02 - 2023'!E15</f>
        <v>24.329999999999927</v>
      </c>
      <c r="H10">
        <v>0.99</v>
      </c>
      <c r="I10" s="4">
        <f>'02 - 2023'!J16-'02 - 2023'!J15</f>
        <v>14587</v>
      </c>
      <c r="J10">
        <v>8.1000000000000003E-2</v>
      </c>
      <c r="K10" s="16">
        <f>'02 - 2023'!H16-'02 - 2023'!H15</f>
        <v>0</v>
      </c>
      <c r="L10" s="4">
        <f>'02 - 2023'!I16-'02 - 2023'!I15</f>
        <v>110</v>
      </c>
      <c r="M10" s="1">
        <v>4.393629424766913</v>
      </c>
      <c r="N10" s="11">
        <v>99</v>
      </c>
    </row>
    <row r="11" spans="1:15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'02 - 2023'!B17-'02 - 2023'!B16+'02 - 2023'!C17-'02 - 2023'!C16</f>
        <v>9952</v>
      </c>
      <c r="F11">
        <v>0.11799999999999999</v>
      </c>
      <c r="G11" s="4">
        <f>'02 - 2023'!D17-'02 - 2023'!D16+'02 - 2023'!E17-'02 - 2023'!E16</f>
        <v>28.93999999999869</v>
      </c>
      <c r="H11">
        <v>0.99</v>
      </c>
      <c r="I11" s="4">
        <f>'02 - 2023'!J17-'02 - 2023'!J16</f>
        <v>11878</v>
      </c>
      <c r="J11">
        <v>8.1000000000000003E-2</v>
      </c>
      <c r="K11" s="16">
        <f>'02 - 2023'!H17-'02 - 2023'!H16</f>
        <v>0</v>
      </c>
      <c r="L11" s="4">
        <f>'02 - 2023'!I17-'02 - 2023'!I16</f>
        <v>122</v>
      </c>
      <c r="M11" s="1">
        <v>4.393629424766913</v>
      </c>
      <c r="N11" s="11">
        <v>100</v>
      </c>
    </row>
    <row r="12" spans="1:15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'02 - 2023'!B18-'02 - 2023'!B17+'02 - 2023'!C18-'02 - 2023'!C17</f>
        <v>10160</v>
      </c>
      <c r="F12">
        <v>0.11799999999999999</v>
      </c>
      <c r="G12" s="4">
        <f>'02 - 2023'!D18-'02 - 2023'!D17+'02 - 2023'!E18-'02 - 2023'!E17</f>
        <v>27.729999999999563</v>
      </c>
      <c r="H12">
        <v>0.99</v>
      </c>
      <c r="I12" s="4">
        <f>'02 - 2023'!J18-'02 - 2023'!J17</f>
        <v>10274</v>
      </c>
      <c r="J12">
        <v>8.1000000000000003E-2</v>
      </c>
      <c r="K12" s="16">
        <f>'02 - 2023'!H18-'02 - 2023'!H17</f>
        <v>0</v>
      </c>
      <c r="L12" s="4">
        <f>'02 - 2023'!I18-'02 - 2023'!I17</f>
        <v>118</v>
      </c>
      <c r="M12" s="1">
        <v>4.393629424766913</v>
      </c>
      <c r="N12" s="11">
        <v>89</v>
      </c>
    </row>
    <row r="13" spans="1:15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'02 - 2023'!B19-'02 - 2023'!B18+'02 - 2023'!C19-'02 - 2023'!C18</f>
        <v>9649</v>
      </c>
      <c r="F13">
        <v>0.11799999999999999</v>
      </c>
      <c r="G13" s="4">
        <f>'02 - 2023'!D19-'02 - 2023'!D18+'02 - 2023'!E19-'02 - 2023'!E18</f>
        <v>26.3700000000008</v>
      </c>
      <c r="H13">
        <v>0.99</v>
      </c>
      <c r="I13" s="4">
        <f>'02 - 2023'!J19-'02 - 2023'!J18</f>
        <v>11000</v>
      </c>
      <c r="J13">
        <v>8.1000000000000003E-2</v>
      </c>
      <c r="K13" s="16">
        <f>'02 - 2023'!H19-'02 - 2023'!H18</f>
        <v>0</v>
      </c>
      <c r="L13" s="4">
        <f>'02 - 2023'!I19-'02 - 2023'!I18</f>
        <v>115</v>
      </c>
      <c r="M13" s="1">
        <v>4.393629424766913</v>
      </c>
      <c r="N13" s="11">
        <v>83</v>
      </c>
    </row>
    <row r="14" spans="1:15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'02 - 2023'!B20-'02 - 2023'!B19+'02 - 2023'!C20-'02 - 2023'!C19</f>
        <v>9573</v>
      </c>
      <c r="F14">
        <v>0.11799999999999999</v>
      </c>
      <c r="G14" s="4">
        <f>'02 - 2023'!D20-'02 - 2023'!D19+'02 - 2023'!E20-'02 - 2023'!E19</f>
        <v>30.010000000000218</v>
      </c>
      <c r="H14">
        <v>0.99</v>
      </c>
      <c r="I14" s="4">
        <f>'02 - 2023'!J20-'02 - 2023'!J19</f>
        <v>12308</v>
      </c>
      <c r="J14">
        <v>8.1000000000000003E-2</v>
      </c>
      <c r="K14" s="16">
        <f>'02 - 2023'!H20-'02 - 2023'!H19</f>
        <v>0</v>
      </c>
      <c r="L14" s="4">
        <f>'02 - 2023'!I20-'02 - 2023'!I19</f>
        <v>104</v>
      </c>
      <c r="M14" s="1">
        <v>4.393629424766913</v>
      </c>
      <c r="N14" s="11">
        <v>92</v>
      </c>
      <c r="O14" s="4"/>
    </row>
    <row r="15" spans="1:15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'02 - 2023'!B21-'02 - 2023'!B20+'02 - 2023'!C21-'02 - 2023'!C20</f>
        <v>9715</v>
      </c>
      <c r="F15">
        <v>0.11799999999999999</v>
      </c>
      <c r="G15" s="4">
        <f>'02 - 2023'!D21-'02 - 2023'!D20+'02 - 2023'!E21-'02 - 2023'!E20</f>
        <v>23.210000000000946</v>
      </c>
      <c r="H15">
        <v>0.99</v>
      </c>
      <c r="I15" s="4">
        <f>'02 - 2023'!J21-'02 - 2023'!J20</f>
        <v>13404</v>
      </c>
      <c r="J15">
        <v>8.1000000000000003E-2</v>
      </c>
      <c r="K15" s="16">
        <f>'02 - 2023'!H21-'02 - 2023'!H20</f>
        <v>0</v>
      </c>
      <c r="L15" s="4">
        <f>'02 - 2023'!I21-'02 - 2023'!I20</f>
        <v>114</v>
      </c>
      <c r="M15" s="1">
        <v>4.393629424766913</v>
      </c>
      <c r="N15" s="11">
        <v>93</v>
      </c>
    </row>
    <row r="16" spans="1:15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'02 - 2023'!B22-'02 - 2023'!B21+'02 - 2023'!C22-'02 - 2023'!C21</f>
        <v>9373</v>
      </c>
      <c r="F16">
        <v>0.11799999999999999</v>
      </c>
      <c r="G16" s="4">
        <f>'02 - 2023'!D22-'02 - 2023'!D21+'02 - 2023'!E22-'02 - 2023'!E21</f>
        <v>24.5</v>
      </c>
      <c r="H16">
        <v>0.99</v>
      </c>
      <c r="I16" s="4">
        <f>'02 - 2023'!J22-'02 - 2023'!J21</f>
        <v>14504</v>
      </c>
      <c r="J16">
        <v>8.1000000000000003E-2</v>
      </c>
      <c r="K16" s="16">
        <f>'02 - 2023'!H22-'02 - 2023'!H21</f>
        <v>0</v>
      </c>
      <c r="L16" s="4">
        <f>'02 - 2023'!I22-'02 - 2023'!I21</f>
        <v>107</v>
      </c>
      <c r="M16" s="1">
        <v>4.393629424766913</v>
      </c>
      <c r="N16" s="11">
        <v>91</v>
      </c>
    </row>
    <row r="17" spans="1:16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'02 - 2023'!B23-'02 - 2023'!B22+'02 - 2023'!C23-'02 - 2023'!C22</f>
        <v>9402</v>
      </c>
      <c r="F17">
        <v>0.11799999999999999</v>
      </c>
      <c r="G17" s="4">
        <f>'02 - 2023'!D23-'02 - 2023'!D22+'02 - 2023'!E23-'02 - 2023'!E22</f>
        <v>26.399999999999636</v>
      </c>
      <c r="H17">
        <v>0.99</v>
      </c>
      <c r="I17" s="4">
        <f>'02 - 2023'!J23-'02 - 2023'!J22</f>
        <v>14894</v>
      </c>
      <c r="J17">
        <v>8.1000000000000003E-2</v>
      </c>
      <c r="K17" s="16">
        <f>'02 - 2023'!H23-'02 - 2023'!H22</f>
        <v>0</v>
      </c>
      <c r="L17" s="4">
        <f>'02 - 2023'!I23-'02 - 2023'!I22</f>
        <v>112</v>
      </c>
      <c r="M17" s="1">
        <v>4.393629424766913</v>
      </c>
      <c r="N17" s="11">
        <v>99</v>
      </c>
    </row>
    <row r="18" spans="1:16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'02 - 2023'!B24-'02 - 2023'!B23+'02 - 2023'!C24-'02 - 2023'!C23</f>
        <v>9853</v>
      </c>
      <c r="F18">
        <v>0.11799999999999999</v>
      </c>
      <c r="G18" s="4">
        <f>'02 - 2023'!D24-'02 - 2023'!D23+'02 - 2023'!E24-'02 - 2023'!E23</f>
        <v>26.760000000000218</v>
      </c>
      <c r="H18">
        <v>0.99</v>
      </c>
      <c r="I18" s="4">
        <f>'02 - 2023'!J24-'02 - 2023'!J23</f>
        <v>15833</v>
      </c>
      <c r="J18">
        <v>8.1000000000000003E-2</v>
      </c>
      <c r="K18" s="16">
        <f>'02 - 2023'!H24-'02 - 2023'!H23</f>
        <v>0</v>
      </c>
      <c r="L18" s="4">
        <f>'02 - 2023'!I24-'02 - 2023'!I23</f>
        <v>119</v>
      </c>
      <c r="M18" s="1">
        <v>4.393629424766913</v>
      </c>
      <c r="N18" s="11">
        <v>95</v>
      </c>
    </row>
    <row r="19" spans="1:16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'02 - 2023'!B25-'02 - 2023'!B24+'02 - 2023'!C25-'02 - 2023'!C24</f>
        <v>10078</v>
      </c>
      <c r="F19">
        <v>0.11799999999999999</v>
      </c>
      <c r="G19" s="4">
        <f>'02 - 2023'!D25-'02 - 2023'!D24+'02 - 2023'!E25-'02 - 2023'!E24</f>
        <v>26.059999999999491</v>
      </c>
      <c r="H19">
        <v>0.99</v>
      </c>
      <c r="I19" s="4">
        <f>'02 - 2023'!J25-'02 - 2023'!J24</f>
        <v>15548</v>
      </c>
      <c r="J19">
        <v>8.1000000000000003E-2</v>
      </c>
      <c r="K19" s="16">
        <f>'02 - 2023'!H25-'02 - 2023'!H24</f>
        <v>0</v>
      </c>
      <c r="L19" s="4">
        <f>'02 - 2023'!I25-'02 - 2023'!I24</f>
        <v>117</v>
      </c>
      <c r="M19" s="1">
        <v>4.393629424766913</v>
      </c>
      <c r="N19" s="11">
        <v>86</v>
      </c>
    </row>
    <row r="20" spans="1:16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'02 - 2023'!B26-'02 - 2023'!B25+'02 - 2023'!C26-'02 - 2023'!C25</f>
        <v>9615</v>
      </c>
      <c r="F20">
        <v>0.11799999999999999</v>
      </c>
      <c r="G20" s="4">
        <f>'02 - 2023'!D26-'02 - 2023'!D25+'02 - 2023'!E26-'02 - 2023'!E25</f>
        <v>27.3799999999992</v>
      </c>
      <c r="H20">
        <v>0.99</v>
      </c>
      <c r="I20" s="4">
        <f>'02 - 2023'!J26-'02 - 2023'!J25</f>
        <v>13874</v>
      </c>
      <c r="J20">
        <v>8.1000000000000003E-2</v>
      </c>
      <c r="K20" s="16">
        <f>'02 - 2023'!H26-'02 - 2023'!H25</f>
        <v>0</v>
      </c>
      <c r="L20" s="4">
        <f>'02 - 2023'!I26-'02 - 2023'!I25</f>
        <v>110</v>
      </c>
      <c r="M20" s="1">
        <v>4.393629424766913</v>
      </c>
      <c r="N20" s="11">
        <v>82</v>
      </c>
    </row>
    <row r="21" spans="1:16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'02 - 2023'!B27-'02 - 2023'!B26+'02 - 2023'!C27-'02 - 2023'!C26</f>
        <v>9463</v>
      </c>
      <c r="F21">
        <v>0.11799999999999999</v>
      </c>
      <c r="G21" s="4">
        <f>'02 - 2023'!D27-'02 - 2023'!D26+'02 - 2023'!E27-'02 - 2023'!E26</f>
        <v>29.190000000000509</v>
      </c>
      <c r="H21">
        <v>0.99</v>
      </c>
      <c r="I21" s="4">
        <f>'02 - 2023'!J27-'02 - 2023'!J26</f>
        <v>12408</v>
      </c>
      <c r="J21">
        <v>8.1000000000000003E-2</v>
      </c>
      <c r="K21" s="16">
        <f>'02 - 2023'!H27-'02 - 2023'!H26</f>
        <v>0</v>
      </c>
      <c r="L21" s="4">
        <f>'02 - 2023'!I27-'02 - 2023'!I26</f>
        <v>109</v>
      </c>
      <c r="M21" s="1">
        <v>4.393629424766913</v>
      </c>
      <c r="N21" s="26">
        <v>82</v>
      </c>
    </row>
    <row r="22" spans="1:16">
      <c r="A22" t="s">
        <v>13</v>
      </c>
      <c r="B22">
        <f t="shared" si="0"/>
        <v>21</v>
      </c>
      <c r="C22">
        <v>2</v>
      </c>
      <c r="D22">
        <v>2023</v>
      </c>
      <c r="E22" s="4">
        <v>0</v>
      </c>
      <c r="F22">
        <v>0.11799999999999999</v>
      </c>
      <c r="G22" s="4">
        <v>0</v>
      </c>
      <c r="H22">
        <v>0.99</v>
      </c>
      <c r="I22" s="4">
        <v>0</v>
      </c>
      <c r="J22">
        <v>8.1000000000000003E-2</v>
      </c>
      <c r="K22" s="16">
        <v>0</v>
      </c>
      <c r="L22" s="4">
        <v>0</v>
      </c>
      <c r="M22" s="1">
        <v>4.393629424766913</v>
      </c>
      <c r="N22" s="11"/>
    </row>
    <row r="23" spans="1:16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'02 - 2023'!B29-'02 - 2023'!B28+'02 - 2023'!C29-'02 - 2023'!C28</f>
        <v>0</v>
      </c>
      <c r="F23">
        <v>0.11799999999999999</v>
      </c>
      <c r="G23" s="4">
        <f>'02 - 2023'!D29-'02 - 2023'!D28+'02 - 2023'!E29-'02 - 2023'!E28</f>
        <v>0</v>
      </c>
      <c r="H23">
        <v>0.99</v>
      </c>
      <c r="I23" s="4">
        <f>'02 - 2023'!J29-'02 - 2023'!J28</f>
        <v>0</v>
      </c>
      <c r="J23">
        <v>8.1000000000000003E-2</v>
      </c>
      <c r="K23" s="16">
        <f>'02 - 2023'!H29-'02 - 2023'!H28</f>
        <v>0</v>
      </c>
      <c r="L23" s="4">
        <f>'02 - 2023'!I29-'02 - 2023'!I28</f>
        <v>0</v>
      </c>
      <c r="M23" s="1">
        <v>4.393629424766913</v>
      </c>
      <c r="N23" s="11"/>
    </row>
    <row r="24" spans="1:16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'02 - 2023'!B30-'02 - 2023'!B29+'02 - 2023'!C30-'02 - 2023'!C29</f>
        <v>0</v>
      </c>
      <c r="F24">
        <v>0.11799999999999999</v>
      </c>
      <c r="G24" s="4">
        <f>'02 - 2023'!D30-'02 - 2023'!D29+'02 - 2023'!E30-'02 - 2023'!E29</f>
        <v>0</v>
      </c>
      <c r="H24">
        <v>0.99</v>
      </c>
      <c r="I24" s="4">
        <f>'02 - 2023'!J30-'02 - 2023'!J29</f>
        <v>0</v>
      </c>
      <c r="J24">
        <v>8.1000000000000003E-2</v>
      </c>
      <c r="K24" s="16">
        <f>'02 - 2023'!H30-'02 - 2023'!H29</f>
        <v>0</v>
      </c>
      <c r="L24" s="4">
        <f>'02 - 2023'!I30-'02 - 2023'!I29</f>
        <v>0</v>
      </c>
      <c r="M24" s="1">
        <v>4.393629424766913</v>
      </c>
      <c r="N24" s="11"/>
    </row>
    <row r="25" spans="1:16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'02 - 2023'!B31-'02 - 2023'!B30+'02 - 2023'!C31-'02 - 2023'!C30</f>
        <v>0</v>
      </c>
      <c r="F25">
        <v>0.11799999999999999</v>
      </c>
      <c r="G25" s="4">
        <f>'02 - 2023'!D31-'02 - 2023'!D30+'02 - 2023'!E31-'02 - 2023'!E30</f>
        <v>0</v>
      </c>
      <c r="H25">
        <v>0.99</v>
      </c>
      <c r="I25" s="4">
        <f>'02 - 2023'!J31-'02 - 2023'!J30</f>
        <v>0</v>
      </c>
      <c r="J25">
        <v>8.1000000000000003E-2</v>
      </c>
      <c r="K25" s="16">
        <f>'02 - 2023'!H31-'02 - 2023'!H30</f>
        <v>0</v>
      </c>
      <c r="L25" s="4">
        <f>'02 - 2023'!I31-'02 - 2023'!I30</f>
        <v>0</v>
      </c>
      <c r="M25" s="1">
        <v>4.393629424766913</v>
      </c>
      <c r="N25" s="11"/>
      <c r="P25" s="10"/>
    </row>
    <row r="26" spans="1:16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'02 - 2023'!B32-'02 - 2023'!B31+'02 - 2023'!C32-'02 - 2023'!C31</f>
        <v>0</v>
      </c>
      <c r="F26">
        <v>0.11799999999999999</v>
      </c>
      <c r="G26" s="4">
        <f>'02 - 2023'!D32-'02 - 2023'!D31+'02 - 2023'!E32-'02 - 2023'!E31</f>
        <v>0</v>
      </c>
      <c r="H26">
        <v>0.99</v>
      </c>
      <c r="I26" s="4">
        <f>'02 - 2023'!J32-'02 - 2023'!J31</f>
        <v>0</v>
      </c>
      <c r="J26">
        <v>8.1000000000000003E-2</v>
      </c>
      <c r="K26" s="16">
        <f>'02 - 2023'!H32-'02 - 2023'!H31</f>
        <v>0</v>
      </c>
      <c r="L26" s="4">
        <f>'02 - 2023'!I32-'02 - 2023'!I31</f>
        <v>0</v>
      </c>
      <c r="M26" s="1">
        <v>4.393629424766913</v>
      </c>
      <c r="N26" s="11"/>
    </row>
    <row r="27" spans="1:16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'02 - 2023'!B33-'02 - 2023'!B32+'02 - 2023'!C33-'02 - 2023'!C32</f>
        <v>0</v>
      </c>
      <c r="F27">
        <v>0.11799999999999999</v>
      </c>
      <c r="G27" s="4">
        <f>'02 - 2023'!D33-'02 - 2023'!D32+'02 - 2023'!E33-'02 - 2023'!E32</f>
        <v>0</v>
      </c>
      <c r="H27">
        <v>0.99</v>
      </c>
      <c r="I27" s="4">
        <f>'02 - 2023'!J33-'02 - 2023'!J32</f>
        <v>0</v>
      </c>
      <c r="J27">
        <v>8.1000000000000003E-2</v>
      </c>
      <c r="K27" s="16">
        <f>'02 - 2023'!H33-'02 - 2023'!H32</f>
        <v>0</v>
      </c>
      <c r="L27" s="4">
        <f>'02 - 2023'!I33-'02 - 2023'!I32</f>
        <v>0</v>
      </c>
      <c r="M27" s="1">
        <v>4.393629424766913</v>
      </c>
      <c r="N27" s="11"/>
    </row>
    <row r="28" spans="1:16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'02 - 2023'!B34-'02 - 2023'!B33+'02 - 2023'!C34-'02 - 2023'!C33</f>
        <v>0</v>
      </c>
      <c r="F28">
        <v>0.11799999999999999</v>
      </c>
      <c r="G28" s="4">
        <f>'02 - 2023'!D34-'02 - 2023'!D33+'02 - 2023'!E34-'02 - 2023'!E33</f>
        <v>0</v>
      </c>
      <c r="H28">
        <v>0.99</v>
      </c>
      <c r="I28" s="4">
        <f>'02 - 2023'!J34-'02 - 2023'!J33</f>
        <v>0</v>
      </c>
      <c r="J28">
        <v>8.1000000000000003E-2</v>
      </c>
      <c r="K28" s="16">
        <f>'02 - 2023'!H34-'02 - 2023'!H33</f>
        <v>0</v>
      </c>
      <c r="L28" s="4">
        <f>'02 - 2023'!I34-'02 - 2023'!I33</f>
        <v>0</v>
      </c>
      <c r="M28" s="1">
        <v>4.393629424766913</v>
      </c>
      <c r="N28" s="4"/>
    </row>
    <row r="29" spans="1:16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'02 - 2023'!B35-'02 - 2023'!B34+'02 - 2023'!C35-'02 - 2023'!C34</f>
        <v>0</v>
      </c>
      <c r="F29">
        <v>0.11799999999999999</v>
      </c>
      <c r="G29" s="4">
        <f>'02 - 2023'!D35-'02 - 2023'!D34+'02 - 2023'!E35-'02 - 2023'!E34</f>
        <v>0</v>
      </c>
      <c r="H29">
        <v>0.99</v>
      </c>
      <c r="I29" s="4">
        <f>'02 - 2023'!J35-'02 - 2023'!J34</f>
        <v>0</v>
      </c>
      <c r="J29">
        <v>8.1000000000000003E-2</v>
      </c>
      <c r="K29" s="16">
        <f>'02 - 2023'!H35-'02 - 2023'!H34</f>
        <v>0</v>
      </c>
      <c r="L29" s="4">
        <f>'02 - 2023'!I35-'02 - 2023'!I34</f>
        <v>0</v>
      </c>
      <c r="M29" s="1">
        <v>4.393629424766913</v>
      </c>
      <c r="N29" s="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workbookViewId="0">
      <selection activeCell="M23" sqref="M23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>
      <c r="A1" s="6" t="s">
        <v>0</v>
      </c>
      <c r="B1" s="6" t="s">
        <v>1</v>
      </c>
      <c r="C1" s="6" t="s">
        <v>2</v>
      </c>
      <c r="D1" s="6" t="s">
        <v>3</v>
      </c>
      <c r="E1" s="7" t="s">
        <v>14</v>
      </c>
      <c r="F1" s="7" t="s">
        <v>15</v>
      </c>
      <c r="G1" s="8" t="s">
        <v>5</v>
      </c>
      <c r="H1" s="7" t="s">
        <v>16</v>
      </c>
      <c r="I1" s="7" t="s">
        <v>17</v>
      </c>
      <c r="J1" s="7" t="s">
        <v>18</v>
      </c>
      <c r="K1" s="8" t="s">
        <v>7</v>
      </c>
      <c r="L1" s="8" t="s">
        <v>12</v>
      </c>
      <c r="M1" s="8"/>
    </row>
    <row r="2" spans="1:13">
      <c r="A2" t="s">
        <v>13</v>
      </c>
      <c r="B2">
        <v>1</v>
      </c>
      <c r="C2">
        <v>2</v>
      </c>
      <c r="D2">
        <v>2023</v>
      </c>
      <c r="E2" s="4">
        <f>'02 - 2023'!B8-'02 - 2023'!B7</f>
        <v>3936</v>
      </c>
      <c r="F2" s="4">
        <f>'02 - 2023'!C8-'02 - 2023'!C7</f>
        <v>5303</v>
      </c>
      <c r="G2">
        <v>0.11799999999999999</v>
      </c>
      <c r="H2" s="4">
        <f>'02 - 2023'!E8-'02 - 2023'!E7</f>
        <v>27.110000000000582</v>
      </c>
      <c r="I2" s="4">
        <f>'02 - 2023'!F8-'02 - 2023'!F7</f>
        <v>6.7799999999997453</v>
      </c>
      <c r="J2" s="4">
        <f>'02 - 2023'!G8-'02 - 2023'!G7</f>
        <v>37.840000000003783</v>
      </c>
      <c r="K2">
        <v>0.74</v>
      </c>
      <c r="L2" s="11">
        <v>98</v>
      </c>
      <c r="M2" s="9"/>
    </row>
    <row r="3" spans="1:13">
      <c r="A3" t="s">
        <v>13</v>
      </c>
      <c r="B3">
        <f>B2+1</f>
        <v>2</v>
      </c>
      <c r="C3">
        <v>2</v>
      </c>
      <c r="D3">
        <v>2023</v>
      </c>
      <c r="E3" s="4">
        <f>'02 - 2023'!B9-'02 - 2023'!B8</f>
        <v>4041</v>
      </c>
      <c r="F3" s="4">
        <f>'02 - 2023'!C9-'02 - 2023'!C8</f>
        <v>5417</v>
      </c>
      <c r="G3">
        <v>0.11799999999999999</v>
      </c>
      <c r="H3" s="4">
        <f>'02 - 2023'!E9-'02 - 2023'!E8</f>
        <v>25.279999999999745</v>
      </c>
      <c r="I3" s="4">
        <f>'02 - 2023'!F9-'02 - 2023'!F8</f>
        <v>7.5200000000004366</v>
      </c>
      <c r="J3" s="4">
        <f>'02 - 2023'!G9-'02 - 2023'!G8</f>
        <v>42.089999999996508</v>
      </c>
      <c r="K3">
        <v>0.74</v>
      </c>
      <c r="L3" s="26">
        <v>98</v>
      </c>
      <c r="M3" s="9"/>
    </row>
    <row r="4" spans="1:13">
      <c r="A4" t="s">
        <v>13</v>
      </c>
      <c r="B4">
        <f t="shared" ref="B4:B29" si="0">B3+1</f>
        <v>3</v>
      </c>
      <c r="C4">
        <v>2</v>
      </c>
      <c r="D4">
        <v>2023</v>
      </c>
      <c r="E4" s="4">
        <f>'02 - 2023'!B10-'02 - 2023'!B9</f>
        <v>4120</v>
      </c>
      <c r="F4" s="4">
        <f>'02 - 2023'!C10-'02 - 2023'!C9</f>
        <v>5524</v>
      </c>
      <c r="G4">
        <v>0.11799999999999999</v>
      </c>
      <c r="H4" s="4">
        <f>'02 - 2023'!E10-'02 - 2023'!E9</f>
        <v>26.470000000000255</v>
      </c>
      <c r="I4" s="4">
        <f>'02 - 2023'!F10-'02 - 2023'!F9</f>
        <v>8.1799999999993815</v>
      </c>
      <c r="J4" s="4">
        <f>'02 - 2023'!G10-'02 - 2023'!G9</f>
        <v>39.029999999998836</v>
      </c>
      <c r="K4">
        <v>0.74</v>
      </c>
      <c r="L4" s="11">
        <v>101</v>
      </c>
      <c r="M4" s="9"/>
    </row>
    <row r="5" spans="1:13">
      <c r="A5" t="s">
        <v>13</v>
      </c>
      <c r="B5">
        <f t="shared" si="0"/>
        <v>4</v>
      </c>
      <c r="C5">
        <v>2</v>
      </c>
      <c r="D5">
        <v>2023</v>
      </c>
      <c r="E5" s="4">
        <f>'02 - 2023'!B11-'02 - 2023'!B10</f>
        <v>4209</v>
      </c>
      <c r="F5" s="4">
        <f>'02 - 2023'!C11-'02 - 2023'!C10</f>
        <v>5694</v>
      </c>
      <c r="G5">
        <v>0.11799999999999999</v>
      </c>
      <c r="H5" s="4">
        <f>'02 - 2023'!E11-'02 - 2023'!E10</f>
        <v>28.309999999999491</v>
      </c>
      <c r="I5" s="4">
        <f>'02 - 2023'!F11-'02 - 2023'!F10</f>
        <v>10.190000000000509</v>
      </c>
      <c r="J5" s="4">
        <f>'02 - 2023'!G11-'02 - 2023'!G10</f>
        <v>41.850000000005821</v>
      </c>
      <c r="K5">
        <v>0.74</v>
      </c>
      <c r="L5" s="11">
        <v>98</v>
      </c>
      <c r="M5" s="9"/>
    </row>
    <row r="6" spans="1:13">
      <c r="A6" t="s">
        <v>13</v>
      </c>
      <c r="B6">
        <f t="shared" si="0"/>
        <v>5</v>
      </c>
      <c r="C6">
        <v>2</v>
      </c>
      <c r="D6">
        <v>2023</v>
      </c>
      <c r="E6" s="4">
        <f>'02 - 2023'!B12-'02 - 2023'!B11</f>
        <v>4050</v>
      </c>
      <c r="F6" s="4">
        <f>'02 - 2023'!C12-'02 - 2023'!C11</f>
        <v>5481</v>
      </c>
      <c r="G6">
        <v>0.11799999999999999</v>
      </c>
      <c r="H6" s="4">
        <f>'02 - 2023'!E12-'02 - 2023'!E11</f>
        <v>27.980000000000473</v>
      </c>
      <c r="I6" s="4">
        <f>'02 - 2023'!F12-'02 - 2023'!F11</f>
        <v>7.3299999999999272</v>
      </c>
      <c r="J6" s="4">
        <f>'02 - 2023'!G12-'02 - 2023'!G11</f>
        <v>34.939999999995052</v>
      </c>
      <c r="K6">
        <v>0.74</v>
      </c>
      <c r="L6" s="11">
        <v>82</v>
      </c>
      <c r="M6" s="4"/>
    </row>
    <row r="7" spans="1:13">
      <c r="A7" t="s">
        <v>13</v>
      </c>
      <c r="B7">
        <f t="shared" si="0"/>
        <v>6</v>
      </c>
      <c r="C7">
        <v>2</v>
      </c>
      <c r="D7">
        <v>2023</v>
      </c>
      <c r="E7" s="4">
        <f>'02 - 2023'!B13-'02 - 2023'!B12</f>
        <v>3881</v>
      </c>
      <c r="F7" s="4">
        <f>'02 - 2023'!C13-'02 - 2023'!C12</f>
        <v>5545</v>
      </c>
      <c r="G7">
        <v>0.11799999999999999</v>
      </c>
      <c r="H7" s="4">
        <f>'02 - 2023'!E13-'02 - 2023'!E12</f>
        <v>29.630000000000109</v>
      </c>
      <c r="I7" s="4">
        <f>'02 - 2023'!F13-'02 - 2023'!F12</f>
        <v>8.8800000000001091</v>
      </c>
      <c r="J7" s="4">
        <f>'02 - 2023'!G13-'02 - 2023'!G12</f>
        <v>35.5</v>
      </c>
      <c r="K7">
        <v>0.74</v>
      </c>
      <c r="L7" s="11">
        <v>85</v>
      </c>
      <c r="M7" s="4"/>
    </row>
    <row r="8" spans="1:13">
      <c r="A8" t="s">
        <v>13</v>
      </c>
      <c r="B8">
        <f t="shared" si="0"/>
        <v>7</v>
      </c>
      <c r="C8">
        <v>2</v>
      </c>
      <c r="D8">
        <v>2023</v>
      </c>
      <c r="E8" s="4">
        <f>'02 - 2023'!B14-'02 - 2023'!B13</f>
        <v>3770</v>
      </c>
      <c r="F8" s="4">
        <f>'02 - 2023'!C14-'02 - 2023'!C13</f>
        <v>5421</v>
      </c>
      <c r="G8">
        <v>0.11799999999999999</v>
      </c>
      <c r="H8" s="4">
        <f>'02 - 2023'!E14-'02 - 2023'!E13</f>
        <v>24.849999999999454</v>
      </c>
      <c r="I8" s="4">
        <f>'02 - 2023'!F14-'02 - 2023'!F13</f>
        <v>7.3699999999998909</v>
      </c>
      <c r="J8" s="4">
        <f>'02 - 2023'!G14-'02 - 2023'!G13</f>
        <v>33.530000000006112</v>
      </c>
      <c r="K8">
        <v>0.74</v>
      </c>
      <c r="L8" s="11">
        <v>95</v>
      </c>
      <c r="M8" s="4"/>
    </row>
    <row r="9" spans="1:13">
      <c r="A9" t="s">
        <v>13</v>
      </c>
      <c r="B9">
        <f t="shared" si="0"/>
        <v>8</v>
      </c>
      <c r="C9">
        <v>2</v>
      </c>
      <c r="D9">
        <v>2023</v>
      </c>
      <c r="E9" s="4">
        <f>'02 - 2023'!B15-'02 - 2023'!B14</f>
        <v>3546</v>
      </c>
      <c r="F9" s="4">
        <f>'02 - 2023'!C15-'02 - 2023'!C14</f>
        <v>5462</v>
      </c>
      <c r="G9">
        <v>0.11799999999999999</v>
      </c>
      <c r="H9" s="4">
        <f>'02 - 2023'!E15-'02 - 2023'!E14</f>
        <v>25.920000000000073</v>
      </c>
      <c r="I9" s="4">
        <f>'02 - 2023'!F15-'02 - 2023'!F14</f>
        <v>7.5</v>
      </c>
      <c r="J9" s="4">
        <f>'02 - 2023'!G15-'02 - 2023'!G14</f>
        <v>32.869999999995343</v>
      </c>
      <c r="K9">
        <v>0.74</v>
      </c>
      <c r="L9" s="11">
        <v>90</v>
      </c>
      <c r="M9" s="4"/>
    </row>
    <row r="10" spans="1:13">
      <c r="A10" t="s">
        <v>13</v>
      </c>
      <c r="B10">
        <f t="shared" si="0"/>
        <v>9</v>
      </c>
      <c r="C10">
        <v>2</v>
      </c>
      <c r="D10">
        <v>2023</v>
      </c>
      <c r="E10" s="4">
        <f>'02 - 2023'!B16-'02 - 2023'!B15</f>
        <v>4034</v>
      </c>
      <c r="F10" s="4">
        <f>'02 - 2023'!C16-'02 - 2023'!C15</f>
        <v>5656</v>
      </c>
      <c r="G10">
        <v>0.11799999999999999</v>
      </c>
      <c r="H10" s="4">
        <f>'02 - 2023'!E16-'02 - 2023'!E15</f>
        <v>24.390000000000327</v>
      </c>
      <c r="I10" s="4">
        <f>'02 - 2023'!F16-'02 - 2023'!F15</f>
        <v>7.1899999999995998</v>
      </c>
      <c r="J10" s="4">
        <f>'02 - 2023'!G16-'02 - 2023'!G15</f>
        <v>33.410000000003492</v>
      </c>
      <c r="K10">
        <v>0.74</v>
      </c>
      <c r="L10" s="11">
        <v>99</v>
      </c>
      <c r="M10" s="4"/>
    </row>
    <row r="11" spans="1:13">
      <c r="A11" t="s">
        <v>13</v>
      </c>
      <c r="B11">
        <f t="shared" si="0"/>
        <v>10</v>
      </c>
      <c r="C11">
        <v>2</v>
      </c>
      <c r="D11">
        <v>2023</v>
      </c>
      <c r="E11" s="4">
        <f>'02 - 2023'!B17-'02 - 2023'!B16</f>
        <v>4264</v>
      </c>
      <c r="F11" s="4">
        <f>'02 - 2023'!C17-'02 - 2023'!C16</f>
        <v>5688</v>
      </c>
      <c r="G11">
        <v>0.11799999999999999</v>
      </c>
      <c r="H11" s="4">
        <f>'02 - 2023'!E17-'02 - 2023'!E16</f>
        <v>28.459999999999127</v>
      </c>
      <c r="I11" s="4">
        <f>'02 - 2023'!F17-'02 - 2023'!F16</f>
        <v>8.4800000000004729</v>
      </c>
      <c r="J11" s="4">
        <f>'02 - 2023'!G17-'02 - 2023'!G16</f>
        <v>38.25</v>
      </c>
      <c r="K11">
        <v>0.74</v>
      </c>
      <c r="L11" s="11">
        <v>100</v>
      </c>
      <c r="M11" s="4"/>
    </row>
    <row r="12" spans="1:13">
      <c r="A12" t="s">
        <v>13</v>
      </c>
      <c r="B12">
        <f t="shared" si="0"/>
        <v>11</v>
      </c>
      <c r="C12">
        <v>2</v>
      </c>
      <c r="D12">
        <v>2023</v>
      </c>
      <c r="E12" s="4">
        <f>'02 - 2023'!B18-'02 - 2023'!B17</f>
        <v>4474</v>
      </c>
      <c r="F12" s="4">
        <f>'02 - 2023'!C18-'02 - 2023'!C17</f>
        <v>5686</v>
      </c>
      <c r="G12">
        <v>0.11799999999999999</v>
      </c>
      <c r="H12" s="4">
        <f>'02 - 2023'!E18-'02 - 2023'!E17</f>
        <v>27.829999999999927</v>
      </c>
      <c r="I12" s="4">
        <f>'02 - 2023'!F18-'02 - 2023'!F17</f>
        <v>7.9399999999995998</v>
      </c>
      <c r="J12" s="4">
        <f>'02 - 2023'!G18-'02 - 2023'!G17</f>
        <v>39.529999999998836</v>
      </c>
      <c r="K12">
        <v>0.74</v>
      </c>
      <c r="L12" s="11">
        <v>89</v>
      </c>
      <c r="M12" s="4"/>
    </row>
    <row r="13" spans="1:13">
      <c r="A13" t="s">
        <v>13</v>
      </c>
      <c r="B13">
        <f t="shared" si="0"/>
        <v>12</v>
      </c>
      <c r="C13">
        <v>2</v>
      </c>
      <c r="D13">
        <v>2023</v>
      </c>
      <c r="E13" s="4">
        <f>'02 - 2023'!B19-'02 - 2023'!B18</f>
        <v>4171</v>
      </c>
      <c r="F13" s="4">
        <f>'02 - 2023'!C19-'02 - 2023'!C18</f>
        <v>5478</v>
      </c>
      <c r="G13">
        <v>0.11799999999999999</v>
      </c>
      <c r="H13" s="4">
        <f>'02 - 2023'!E19-'02 - 2023'!E18</f>
        <v>26.450000000000728</v>
      </c>
      <c r="I13" s="4">
        <f>'02 - 2023'!F19-'02 - 2023'!F18</f>
        <v>6.6999999999998181</v>
      </c>
      <c r="J13" s="4">
        <f>'02 - 2023'!G19-'02 - 2023'!G18</f>
        <v>39.409999999996217</v>
      </c>
      <c r="K13">
        <v>0.74</v>
      </c>
      <c r="L13" s="11">
        <v>83</v>
      </c>
      <c r="M13" s="4"/>
    </row>
    <row r="14" spans="1:13">
      <c r="A14" t="s">
        <v>13</v>
      </c>
      <c r="B14">
        <f t="shared" si="0"/>
        <v>13</v>
      </c>
      <c r="C14">
        <v>2</v>
      </c>
      <c r="D14">
        <v>2023</v>
      </c>
      <c r="E14" s="4">
        <f>'02 - 2023'!B20-'02 - 2023'!B19</f>
        <v>3997</v>
      </c>
      <c r="F14" s="4">
        <f>'02 - 2023'!C20-'02 - 2023'!C19</f>
        <v>5576</v>
      </c>
      <c r="G14">
        <v>0.11799999999999999</v>
      </c>
      <c r="H14" s="4">
        <f>'02 - 2023'!E20-'02 - 2023'!E19</f>
        <v>30.069999999999709</v>
      </c>
      <c r="I14" s="4">
        <f>'02 - 2023'!F20-'02 - 2023'!F19</f>
        <v>7.1500000000005457</v>
      </c>
      <c r="J14" s="4">
        <f>'02 - 2023'!G20-'02 - 2023'!G19</f>
        <v>34.580000000001746</v>
      </c>
      <c r="K14">
        <v>0.74</v>
      </c>
      <c r="L14" s="11">
        <v>92</v>
      </c>
      <c r="M14" s="4"/>
    </row>
    <row r="15" spans="1:13">
      <c r="A15" t="s">
        <v>13</v>
      </c>
      <c r="B15">
        <f t="shared" si="0"/>
        <v>14</v>
      </c>
      <c r="C15">
        <v>2</v>
      </c>
      <c r="D15">
        <v>2023</v>
      </c>
      <c r="E15" s="4">
        <f>'02 - 2023'!B21-'02 - 2023'!B20</f>
        <v>4105</v>
      </c>
      <c r="F15" s="4">
        <f>'02 - 2023'!C21-'02 - 2023'!C20</f>
        <v>5610</v>
      </c>
      <c r="G15">
        <v>0.11799999999999999</v>
      </c>
      <c r="H15" s="4">
        <f>'02 - 2023'!E21-'02 - 2023'!E20</f>
        <v>23.290000000000873</v>
      </c>
      <c r="I15" s="4">
        <f>'02 - 2023'!F21-'02 - 2023'!F20</f>
        <v>7.6700000000000728</v>
      </c>
      <c r="J15" s="4">
        <f>'02 - 2023'!G21-'02 - 2023'!G20</f>
        <v>37.069999999999709</v>
      </c>
      <c r="K15">
        <v>0.74</v>
      </c>
      <c r="L15" s="11">
        <v>93</v>
      </c>
      <c r="M15" s="4"/>
    </row>
    <row r="16" spans="1:13">
      <c r="A16" t="s">
        <v>13</v>
      </c>
      <c r="B16">
        <f t="shared" si="0"/>
        <v>15</v>
      </c>
      <c r="C16">
        <v>2</v>
      </c>
      <c r="D16">
        <v>2023</v>
      </c>
      <c r="E16" s="4">
        <f>'02 - 2023'!B22-'02 - 2023'!B21</f>
        <v>3891</v>
      </c>
      <c r="F16" s="4">
        <f>'02 - 2023'!C22-'02 - 2023'!C21</f>
        <v>5482</v>
      </c>
      <c r="G16">
        <v>0.11799999999999999</v>
      </c>
      <c r="H16" s="4">
        <f>'02 - 2023'!E22-'02 - 2023'!E21</f>
        <v>24.549999999999272</v>
      </c>
      <c r="I16" s="4">
        <f>'02 - 2023'!F22-'02 - 2023'!F21</f>
        <v>8</v>
      </c>
      <c r="J16" s="4">
        <f>'02 - 2023'!G22-'02 - 2023'!G21</f>
        <v>33.849999999998545</v>
      </c>
      <c r="K16">
        <v>0.74</v>
      </c>
      <c r="L16" s="11">
        <v>91</v>
      </c>
      <c r="M16" s="4"/>
    </row>
    <row r="17" spans="1:13">
      <c r="A17" t="s">
        <v>13</v>
      </c>
      <c r="B17">
        <f t="shared" si="0"/>
        <v>16</v>
      </c>
      <c r="C17">
        <v>2</v>
      </c>
      <c r="D17">
        <v>2023</v>
      </c>
      <c r="E17" s="4">
        <f>'02 - 2023'!B23-'02 - 2023'!B22</f>
        <v>3843</v>
      </c>
      <c r="F17" s="4">
        <f>'02 - 2023'!C23-'02 - 2023'!C22</f>
        <v>5559</v>
      </c>
      <c r="G17">
        <v>0.11799999999999999</v>
      </c>
      <c r="H17" s="4">
        <f>'02 - 2023'!E23-'02 - 2023'!E22</f>
        <v>26.469999999999345</v>
      </c>
      <c r="I17" s="4">
        <f>'02 - 2023'!F23-'02 - 2023'!F22</f>
        <v>7.339999999999236</v>
      </c>
      <c r="J17" s="4">
        <f>'02 - 2023'!G23-'02 - 2023'!G22</f>
        <v>32.150000000001455</v>
      </c>
      <c r="K17">
        <v>0.74</v>
      </c>
      <c r="L17" s="11">
        <v>99</v>
      </c>
      <c r="M17" s="4"/>
    </row>
    <row r="18" spans="1:13">
      <c r="A18" t="s">
        <v>13</v>
      </c>
      <c r="B18">
        <f t="shared" si="0"/>
        <v>17</v>
      </c>
      <c r="C18">
        <v>2</v>
      </c>
      <c r="D18">
        <v>2023</v>
      </c>
      <c r="E18" s="4">
        <f>'02 - 2023'!B24-'02 - 2023'!B23</f>
        <v>4096</v>
      </c>
      <c r="F18" s="4">
        <f>'02 - 2023'!C24-'02 - 2023'!C23</f>
        <v>5757</v>
      </c>
      <c r="G18">
        <v>0.11799999999999999</v>
      </c>
      <c r="H18" s="4">
        <f>'02 - 2023'!E24-'02 - 2023'!E23</f>
        <v>26.270000000000437</v>
      </c>
      <c r="I18" s="4">
        <f>'02 - 2023'!F24-'02 - 2023'!F23</f>
        <v>7.8900000000003274</v>
      </c>
      <c r="J18" s="4">
        <f>'02 - 2023'!G24-'02 - 2023'!G23</f>
        <v>40.150000000001455</v>
      </c>
      <c r="K18">
        <v>0.74</v>
      </c>
      <c r="L18" s="11">
        <v>95</v>
      </c>
      <c r="M18" s="4"/>
    </row>
    <row r="19" spans="1:13">
      <c r="A19" t="s">
        <v>13</v>
      </c>
      <c r="B19">
        <f>B18+1</f>
        <v>18</v>
      </c>
      <c r="C19">
        <v>2</v>
      </c>
      <c r="D19">
        <v>2023</v>
      </c>
      <c r="E19" s="4">
        <f>'02 - 2023'!B25-'02 - 2023'!B24</f>
        <v>4252</v>
      </c>
      <c r="F19" s="4">
        <f>'02 - 2023'!C25-'02 - 2023'!C24</f>
        <v>5826</v>
      </c>
      <c r="G19">
        <v>0.11799999999999999</v>
      </c>
      <c r="H19" s="4">
        <f>'02 - 2023'!E25-'02 - 2023'!E24</f>
        <v>26.149999999999636</v>
      </c>
      <c r="I19" s="4">
        <f>'02 - 2023'!F25-'02 - 2023'!F24</f>
        <v>8.2200000000002547</v>
      </c>
      <c r="J19" s="4">
        <f>'02 - 2023'!G25-'02 - 2023'!G24</f>
        <v>38.25</v>
      </c>
      <c r="K19">
        <v>0.74</v>
      </c>
      <c r="L19" s="11">
        <v>86</v>
      </c>
      <c r="M19" s="4"/>
    </row>
    <row r="20" spans="1:13">
      <c r="A20" t="s">
        <v>13</v>
      </c>
      <c r="B20">
        <f t="shared" si="0"/>
        <v>19</v>
      </c>
      <c r="C20">
        <v>2</v>
      </c>
      <c r="D20">
        <v>2023</v>
      </c>
      <c r="E20" s="4">
        <f>'02 - 2023'!B26-'02 - 2023'!B25</f>
        <v>4075</v>
      </c>
      <c r="F20" s="4">
        <f>'02 - 2023'!C26-'02 - 2023'!C25</f>
        <v>5540</v>
      </c>
      <c r="G20">
        <v>0.11799999999999999</v>
      </c>
      <c r="H20" s="4">
        <f>'02 - 2023'!E26-'02 - 2023'!E25</f>
        <v>27.5</v>
      </c>
      <c r="I20" s="4">
        <f>'02 - 2023'!F26-'02 - 2023'!F25</f>
        <v>8.1499999999996362</v>
      </c>
      <c r="J20" s="4">
        <f>'02 - 2023'!G26-'02 - 2023'!G25</f>
        <v>36.900000000001455</v>
      </c>
      <c r="K20">
        <v>0.74</v>
      </c>
      <c r="L20" s="11">
        <v>82</v>
      </c>
      <c r="M20" s="4"/>
    </row>
    <row r="21" spans="1:13">
      <c r="A21" t="s">
        <v>13</v>
      </c>
      <c r="B21">
        <f t="shared" si="0"/>
        <v>20</v>
      </c>
      <c r="C21">
        <v>2</v>
      </c>
      <c r="D21">
        <v>2023</v>
      </c>
      <c r="E21" s="4">
        <f>'02 - 2023'!B27-'02 - 2023'!B26</f>
        <v>4074</v>
      </c>
      <c r="F21" s="4">
        <f>'02 - 2023'!C27-'02 - 2023'!C26</f>
        <v>5389</v>
      </c>
      <c r="G21">
        <v>0.11799999999999999</v>
      </c>
      <c r="H21" s="4">
        <f>'02 - 2023'!E27-'02 - 2023'!E26</f>
        <v>29.75</v>
      </c>
      <c r="I21" s="4">
        <f>'02 - 2023'!F27-'02 - 2023'!F26</f>
        <v>6.3600000000005821</v>
      </c>
      <c r="J21" s="4">
        <f>'02 - 2023'!G27-'02 - 2023'!G26</f>
        <v>34.970000000001164</v>
      </c>
      <c r="K21">
        <v>0.74</v>
      </c>
      <c r="L21" s="26">
        <v>82</v>
      </c>
      <c r="M21" s="4"/>
    </row>
    <row r="22" spans="1:13">
      <c r="A22" t="s">
        <v>13</v>
      </c>
      <c r="B22">
        <f t="shared" si="0"/>
        <v>21</v>
      </c>
      <c r="C22">
        <v>2</v>
      </c>
      <c r="D22">
        <v>2023</v>
      </c>
      <c r="E22" s="4">
        <v>0</v>
      </c>
      <c r="F22" s="4">
        <v>0</v>
      </c>
      <c r="G22">
        <v>0.11799999999999999</v>
      </c>
      <c r="H22" s="4">
        <v>0</v>
      </c>
      <c r="I22" s="4">
        <v>0</v>
      </c>
      <c r="J22" s="4">
        <v>0</v>
      </c>
      <c r="K22">
        <v>0.74</v>
      </c>
      <c r="L22" s="11"/>
      <c r="M22" s="4"/>
    </row>
    <row r="23" spans="1:13">
      <c r="A23" t="s">
        <v>13</v>
      </c>
      <c r="B23">
        <f t="shared" si="0"/>
        <v>22</v>
      </c>
      <c r="C23">
        <v>2</v>
      </c>
      <c r="D23">
        <v>2023</v>
      </c>
      <c r="E23" s="4">
        <f>'02 - 2023'!B29-'02 - 2023'!B28</f>
        <v>0</v>
      </c>
      <c r="F23" s="4">
        <f>'02 - 2023'!C29-'02 - 2023'!C28</f>
        <v>0</v>
      </c>
      <c r="G23">
        <v>0.11799999999999999</v>
      </c>
      <c r="H23" s="4">
        <f>'02 - 2023'!E29-'02 - 2023'!E28</f>
        <v>0</v>
      </c>
      <c r="I23" s="4">
        <f>'02 - 2023'!F29-'02 - 2023'!F28</f>
        <v>0</v>
      </c>
      <c r="J23" s="4">
        <f>'02 - 2023'!G29-'02 - 2023'!G28</f>
        <v>0</v>
      </c>
      <c r="K23">
        <v>0.74</v>
      </c>
      <c r="L23" s="11"/>
      <c r="M23" s="4"/>
    </row>
    <row r="24" spans="1:13">
      <c r="A24" t="s">
        <v>13</v>
      </c>
      <c r="B24">
        <f t="shared" si="0"/>
        <v>23</v>
      </c>
      <c r="C24">
        <v>2</v>
      </c>
      <c r="D24">
        <v>2023</v>
      </c>
      <c r="E24" s="4">
        <f>'02 - 2023'!B30-'02 - 2023'!B29</f>
        <v>0</v>
      </c>
      <c r="F24" s="4">
        <f>'02 - 2023'!C30-'02 - 2023'!C29</f>
        <v>0</v>
      </c>
      <c r="G24">
        <v>0.11799999999999999</v>
      </c>
      <c r="H24" s="4">
        <f>'02 - 2023'!E30-'02 - 2023'!E29</f>
        <v>0</v>
      </c>
      <c r="I24" s="4">
        <f>'02 - 2023'!F30-'02 - 2023'!F29</f>
        <v>0</v>
      </c>
      <c r="J24" s="4">
        <f>'02 - 2023'!G30-'02 - 2023'!G29</f>
        <v>0</v>
      </c>
      <c r="K24">
        <v>0.74</v>
      </c>
      <c r="L24" s="11"/>
      <c r="M24" s="4"/>
    </row>
    <row r="25" spans="1:13">
      <c r="A25" t="s">
        <v>13</v>
      </c>
      <c r="B25">
        <f t="shared" si="0"/>
        <v>24</v>
      </c>
      <c r="C25">
        <v>2</v>
      </c>
      <c r="D25">
        <v>2023</v>
      </c>
      <c r="E25" s="4">
        <f>'02 - 2023'!B31-'02 - 2023'!B30</f>
        <v>0</v>
      </c>
      <c r="F25" s="4">
        <f>'02 - 2023'!C31-'02 - 2023'!C30</f>
        <v>0</v>
      </c>
      <c r="G25">
        <v>0.11799999999999999</v>
      </c>
      <c r="H25" s="4">
        <f>'02 - 2023'!E31-'02 - 2023'!E30</f>
        <v>0</v>
      </c>
      <c r="I25" s="4">
        <f>'02 - 2023'!F31-'02 - 2023'!F30</f>
        <v>0</v>
      </c>
      <c r="J25" s="4">
        <f>'02 - 2023'!G31-'02 - 2023'!G30</f>
        <v>0</v>
      </c>
      <c r="K25">
        <v>0.74</v>
      </c>
      <c r="L25" s="11"/>
      <c r="M25" s="4"/>
    </row>
    <row r="26" spans="1:13">
      <c r="A26" t="s">
        <v>13</v>
      </c>
      <c r="B26">
        <f>B25+1</f>
        <v>25</v>
      </c>
      <c r="C26">
        <v>2</v>
      </c>
      <c r="D26">
        <v>2023</v>
      </c>
      <c r="E26" s="4">
        <f>'02 - 2023'!B32-'02 - 2023'!B31</f>
        <v>0</v>
      </c>
      <c r="F26" s="4">
        <f>'02 - 2023'!C32-'02 - 2023'!C31</f>
        <v>0</v>
      </c>
      <c r="G26">
        <v>0.11799999999999999</v>
      </c>
      <c r="H26" s="4">
        <f>'02 - 2023'!E32-'02 - 2023'!E31</f>
        <v>0</v>
      </c>
      <c r="I26" s="4">
        <f>'02 - 2023'!F32-'02 - 2023'!F31</f>
        <v>0</v>
      </c>
      <c r="J26" s="4">
        <f>'02 - 2023'!G32-'02 - 2023'!G31</f>
        <v>0</v>
      </c>
      <c r="K26">
        <v>0.74</v>
      </c>
      <c r="L26" s="11"/>
      <c r="M26" s="4"/>
    </row>
    <row r="27" spans="1:13">
      <c r="A27" t="s">
        <v>13</v>
      </c>
      <c r="B27">
        <f t="shared" si="0"/>
        <v>26</v>
      </c>
      <c r="C27">
        <v>2</v>
      </c>
      <c r="D27">
        <v>2023</v>
      </c>
      <c r="E27" s="4">
        <f>'02 - 2023'!B33-'02 - 2023'!B32</f>
        <v>0</v>
      </c>
      <c r="F27" s="4">
        <f>'02 - 2023'!C33-'02 - 2023'!C32</f>
        <v>0</v>
      </c>
      <c r="G27">
        <v>0.11799999999999999</v>
      </c>
      <c r="H27" s="4">
        <f>'02 - 2023'!E33-'02 - 2023'!E32</f>
        <v>0</v>
      </c>
      <c r="I27" s="4">
        <f>'02 - 2023'!F33-'02 - 2023'!F32</f>
        <v>0</v>
      </c>
      <c r="J27" s="4">
        <f>'02 - 2023'!G33-'02 - 2023'!G32</f>
        <v>0</v>
      </c>
      <c r="K27">
        <v>0.74</v>
      </c>
      <c r="L27" s="11"/>
      <c r="M27" s="4"/>
    </row>
    <row r="28" spans="1:13">
      <c r="A28" t="s">
        <v>13</v>
      </c>
      <c r="B28">
        <f t="shared" si="0"/>
        <v>27</v>
      </c>
      <c r="C28">
        <v>2</v>
      </c>
      <c r="D28">
        <v>2023</v>
      </c>
      <c r="E28" s="4">
        <f>'02 - 2023'!B34-'02 - 2023'!B33</f>
        <v>0</v>
      </c>
      <c r="F28" s="4">
        <f>'02 - 2023'!C34-'02 - 2023'!C33</f>
        <v>0</v>
      </c>
      <c r="G28">
        <v>0.11799999999999999</v>
      </c>
      <c r="H28" s="4">
        <f>'02 - 2023'!E34-'02 - 2023'!E33</f>
        <v>0</v>
      </c>
      <c r="I28" s="4">
        <f>'02 - 2023'!F34-'02 - 2023'!F33</f>
        <v>0</v>
      </c>
      <c r="J28" s="4">
        <f>'02 - 2023'!G34-'02 - 2023'!G33</f>
        <v>0</v>
      </c>
      <c r="K28">
        <v>0.74</v>
      </c>
      <c r="L28" s="4"/>
      <c r="M28" s="4"/>
    </row>
    <row r="29" spans="1:13">
      <c r="A29" t="s">
        <v>13</v>
      </c>
      <c r="B29">
        <f t="shared" si="0"/>
        <v>28</v>
      </c>
      <c r="C29">
        <v>2</v>
      </c>
      <c r="D29">
        <v>2023</v>
      </c>
      <c r="E29" s="4">
        <f>'02 - 2023'!B35-'02 - 2023'!B34</f>
        <v>0</v>
      </c>
      <c r="F29" s="4">
        <f>'02 - 2023'!C35-'02 - 2023'!C34</f>
        <v>0</v>
      </c>
      <c r="G29">
        <v>0.11799999999999999</v>
      </c>
      <c r="H29" s="4">
        <f>'02 - 2023'!E35-'02 - 2023'!E34</f>
        <v>0</v>
      </c>
      <c r="I29" s="4">
        <f>'02 - 2023'!F35-'02 - 2023'!F34</f>
        <v>0</v>
      </c>
      <c r="J29" s="4">
        <f>'02 - 2023'!G35-'02 - 2023'!G34</f>
        <v>0</v>
      </c>
      <c r="K29">
        <v>0.74</v>
      </c>
      <c r="L29" s="12"/>
      <c r="M29" s="4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1"/>
  <sheetViews>
    <sheetView tabSelected="1" zoomScaleNormal="100" workbookViewId="0">
      <selection activeCell="E30" sqref="E30"/>
    </sheetView>
  </sheetViews>
  <sheetFormatPr defaultRowHeight="15"/>
  <cols>
    <col min="1" max="1" width="13.5703125" style="18" customWidth="1"/>
    <col min="2" max="2" width="13.28515625" style="18" customWidth="1"/>
    <col min="3" max="3" width="13.140625" style="18" customWidth="1"/>
    <col min="4" max="4" width="9.85546875" style="18" customWidth="1"/>
    <col min="5" max="5" width="11.42578125" style="18" customWidth="1"/>
    <col min="6" max="6" width="11.7109375" style="18" customWidth="1"/>
    <col min="7" max="7" width="11.28515625" style="18" customWidth="1"/>
    <col min="8" max="8" width="13.5703125" style="18" customWidth="1"/>
    <col min="9" max="9" width="15.140625" style="18" customWidth="1"/>
    <col min="10" max="10" width="14.28515625" style="18" customWidth="1"/>
    <col min="11" max="11" width="16.42578125" style="18" customWidth="1"/>
    <col min="12" max="12" width="39" style="18" customWidth="1"/>
    <col min="13" max="13" width="14.140625" style="18" customWidth="1"/>
    <col min="14" max="16384" width="9.140625" style="18"/>
  </cols>
  <sheetData>
    <row r="1" spans="1:14">
      <c r="H1" s="31"/>
      <c r="I1" s="31"/>
    </row>
    <row r="3" spans="1:14" ht="18.75">
      <c r="A3" s="79" t="s">
        <v>19</v>
      </c>
      <c r="B3" s="79"/>
      <c r="C3" s="79"/>
      <c r="D3" s="79"/>
      <c r="E3" s="79"/>
      <c r="F3" s="79"/>
      <c r="G3" s="79"/>
      <c r="H3" s="79"/>
      <c r="I3" s="79"/>
      <c r="J3" s="79"/>
    </row>
    <row r="4" spans="1:14" ht="16.5" customHeight="1">
      <c r="A4" s="80" t="s">
        <v>20</v>
      </c>
      <c r="B4" s="80"/>
      <c r="C4" s="80"/>
      <c r="D4" s="80"/>
      <c r="E4" s="80"/>
      <c r="F4" s="80"/>
      <c r="G4" s="80"/>
      <c r="H4" s="80"/>
      <c r="I4" s="80"/>
      <c r="J4" s="80"/>
    </row>
    <row r="5" spans="1:14" ht="16.5" customHeight="1">
      <c r="A5" s="27"/>
      <c r="B5" s="81" t="s">
        <v>21</v>
      </c>
      <c r="C5" s="82"/>
      <c r="D5" s="81" t="s">
        <v>22</v>
      </c>
      <c r="E5" s="83"/>
      <c r="F5" s="83"/>
      <c r="G5" s="84"/>
      <c r="H5" s="85" t="s">
        <v>23</v>
      </c>
      <c r="I5" s="86"/>
      <c r="J5" s="19" t="s">
        <v>24</v>
      </c>
      <c r="K5" s="27"/>
    </row>
    <row r="6" spans="1:14" ht="33.75" customHeight="1">
      <c r="A6" s="40" t="s">
        <v>25</v>
      </c>
      <c r="B6" s="41" t="s">
        <v>26</v>
      </c>
      <c r="C6" s="42" t="s">
        <v>27</v>
      </c>
      <c r="D6" s="42" t="s">
        <v>28</v>
      </c>
      <c r="E6" s="42" t="s">
        <v>29</v>
      </c>
      <c r="F6" s="42" t="s">
        <v>30</v>
      </c>
      <c r="G6" s="43" t="s">
        <v>31</v>
      </c>
      <c r="H6" s="42" t="s">
        <v>32</v>
      </c>
      <c r="I6" s="42" t="s">
        <v>33</v>
      </c>
      <c r="J6" s="42" t="s">
        <v>34</v>
      </c>
      <c r="K6" s="44" t="s">
        <v>35</v>
      </c>
      <c r="L6" s="45" t="s">
        <v>36</v>
      </c>
    </row>
    <row r="7" spans="1:14" s="21" customFormat="1" ht="12.95" customHeight="1">
      <c r="A7" s="46">
        <v>44957</v>
      </c>
      <c r="B7" s="47">
        <v>1106488</v>
      </c>
      <c r="C7" s="48">
        <v>333365</v>
      </c>
      <c r="D7" s="49">
        <v>0.38</v>
      </c>
      <c r="E7" s="50">
        <v>7935.32</v>
      </c>
      <c r="F7" s="51">
        <v>4463.22</v>
      </c>
      <c r="G7" s="51">
        <v>50171.13</v>
      </c>
      <c r="H7" s="47">
        <v>14528</v>
      </c>
      <c r="I7" s="47">
        <v>186242</v>
      </c>
      <c r="J7" s="47">
        <v>62710363</v>
      </c>
      <c r="K7" s="52"/>
      <c r="L7" s="53"/>
      <c r="M7" s="20"/>
    </row>
    <row r="8" spans="1:14" s="23" customFormat="1" ht="12.95" customHeight="1">
      <c r="A8" s="54">
        <f>A7+1</f>
        <v>44958</v>
      </c>
      <c r="B8" s="55">
        <v>1110424</v>
      </c>
      <c r="C8" s="55">
        <v>338668</v>
      </c>
      <c r="D8" s="56">
        <v>0.3</v>
      </c>
      <c r="E8" s="57">
        <v>7962.43</v>
      </c>
      <c r="F8" s="57">
        <v>4470</v>
      </c>
      <c r="G8" s="55">
        <v>50208.97</v>
      </c>
      <c r="H8" s="55">
        <v>14528</v>
      </c>
      <c r="I8" s="55">
        <v>186350</v>
      </c>
      <c r="J8" s="55">
        <v>62720133</v>
      </c>
      <c r="K8" s="58">
        <v>3950</v>
      </c>
      <c r="L8" s="59"/>
      <c r="M8" s="22"/>
    </row>
    <row r="9" spans="1:14" s="23" customFormat="1" ht="12.95" customHeight="1">
      <c r="A9" s="54">
        <f t="shared" ref="A9:A35" si="0">A8+1</f>
        <v>44959</v>
      </c>
      <c r="B9" s="60">
        <v>1114465</v>
      </c>
      <c r="C9" s="61">
        <v>344085</v>
      </c>
      <c r="D9" s="62">
        <v>0.78</v>
      </c>
      <c r="E9" s="61">
        <v>7987.71</v>
      </c>
      <c r="F9" s="61">
        <v>4477.5200000000004</v>
      </c>
      <c r="G9" s="61">
        <v>50251.06</v>
      </c>
      <c r="H9" s="60">
        <v>14528</v>
      </c>
      <c r="I9" s="60">
        <v>186470</v>
      </c>
      <c r="J9" s="60">
        <v>62732588</v>
      </c>
      <c r="K9" s="63"/>
      <c r="L9" s="64"/>
      <c r="M9" s="22"/>
    </row>
    <row r="10" spans="1:14" s="23" customFormat="1" ht="12.95" customHeight="1">
      <c r="A10" s="54">
        <f t="shared" si="0"/>
        <v>44960</v>
      </c>
      <c r="B10" s="60">
        <v>1118585</v>
      </c>
      <c r="C10" s="60">
        <v>349609</v>
      </c>
      <c r="D10" s="62">
        <v>0.7</v>
      </c>
      <c r="E10" s="61">
        <v>8014.18</v>
      </c>
      <c r="F10" s="61">
        <v>4485.7</v>
      </c>
      <c r="G10" s="61">
        <v>50290.09</v>
      </c>
      <c r="H10" s="60">
        <v>14528</v>
      </c>
      <c r="I10" s="60">
        <v>186584</v>
      </c>
      <c r="J10" s="61">
        <v>62745613</v>
      </c>
      <c r="K10" s="63"/>
      <c r="L10" s="65"/>
      <c r="M10" s="22"/>
    </row>
    <row r="11" spans="1:14" s="23" customFormat="1" ht="12.95" customHeight="1">
      <c r="A11" s="54">
        <f t="shared" si="0"/>
        <v>44961</v>
      </c>
      <c r="B11" s="60">
        <v>1122794</v>
      </c>
      <c r="C11" s="60">
        <v>355303</v>
      </c>
      <c r="D11" s="62">
        <v>0.57999999999999996</v>
      </c>
      <c r="E11" s="61">
        <v>8042.49</v>
      </c>
      <c r="F11" s="61">
        <v>4495.8900000000003</v>
      </c>
      <c r="G11" s="61">
        <v>50331.94</v>
      </c>
      <c r="H11" s="60">
        <v>14528</v>
      </c>
      <c r="I11" s="60">
        <v>186710</v>
      </c>
      <c r="J11" s="60">
        <v>62759325</v>
      </c>
      <c r="K11" s="63"/>
      <c r="L11" s="65"/>
      <c r="M11" s="22"/>
    </row>
    <row r="12" spans="1:14" s="23" customFormat="1" ht="12.95" customHeight="1">
      <c r="A12" s="54">
        <f t="shared" si="0"/>
        <v>44962</v>
      </c>
      <c r="B12" s="60">
        <v>1126844</v>
      </c>
      <c r="C12" s="60">
        <v>360784</v>
      </c>
      <c r="D12" s="62">
        <v>0.5</v>
      </c>
      <c r="E12" s="60">
        <v>8070.47</v>
      </c>
      <c r="F12" s="60">
        <v>4503.22</v>
      </c>
      <c r="G12" s="60">
        <v>50366.879999999997</v>
      </c>
      <c r="H12" s="60">
        <v>14528</v>
      </c>
      <c r="I12" s="60">
        <v>186819</v>
      </c>
      <c r="J12" s="60">
        <v>62771693</v>
      </c>
      <c r="K12" s="63"/>
      <c r="L12" s="65"/>
      <c r="M12" s="22"/>
      <c r="N12" s="24"/>
    </row>
    <row r="13" spans="1:14" s="23" customFormat="1" ht="12.95" customHeight="1">
      <c r="A13" s="54">
        <f t="shared" si="0"/>
        <v>44963</v>
      </c>
      <c r="B13" s="60">
        <v>1130725</v>
      </c>
      <c r="C13" s="61">
        <v>366329</v>
      </c>
      <c r="D13" s="62">
        <v>0.45</v>
      </c>
      <c r="E13" s="61">
        <v>8100.1</v>
      </c>
      <c r="F13" s="61">
        <v>4512.1000000000004</v>
      </c>
      <c r="G13" s="61">
        <v>50402.38</v>
      </c>
      <c r="H13" s="60">
        <v>14528</v>
      </c>
      <c r="I13" s="61">
        <v>186928</v>
      </c>
      <c r="J13" s="61">
        <v>62783618</v>
      </c>
      <c r="K13" s="63"/>
      <c r="L13" s="66"/>
      <c r="M13" s="22"/>
    </row>
    <row r="14" spans="1:14" s="23" customFormat="1" ht="12.95" customHeight="1">
      <c r="A14" s="54">
        <f t="shared" si="0"/>
        <v>44964</v>
      </c>
      <c r="B14" s="60">
        <v>1134495</v>
      </c>
      <c r="C14" s="60">
        <v>371750</v>
      </c>
      <c r="D14" s="62">
        <v>0.4</v>
      </c>
      <c r="E14" s="61">
        <v>8124.95</v>
      </c>
      <c r="F14" s="61">
        <v>4519.47</v>
      </c>
      <c r="G14" s="61">
        <v>50435.91</v>
      </c>
      <c r="H14" s="60">
        <v>14528</v>
      </c>
      <c r="I14" s="60">
        <v>187030</v>
      </c>
      <c r="J14" s="60">
        <v>62795377</v>
      </c>
      <c r="K14" s="63"/>
      <c r="L14" s="65"/>
      <c r="M14" s="22"/>
    </row>
    <row r="15" spans="1:14" s="23" customFormat="1" ht="12.95" customHeight="1">
      <c r="A15" s="54">
        <f t="shared" si="0"/>
        <v>44965</v>
      </c>
      <c r="B15" s="60">
        <v>1138041</v>
      </c>
      <c r="C15" s="60">
        <v>377212</v>
      </c>
      <c r="D15" s="62">
        <v>0.3</v>
      </c>
      <c r="E15" s="61">
        <v>8150.87</v>
      </c>
      <c r="F15" s="67">
        <v>4526.97</v>
      </c>
      <c r="G15" s="61">
        <v>50468.78</v>
      </c>
      <c r="H15" s="60">
        <v>14528</v>
      </c>
      <c r="I15" s="60">
        <v>187134</v>
      </c>
      <c r="J15" s="60">
        <v>62808925</v>
      </c>
      <c r="K15" s="63"/>
      <c r="L15" s="65"/>
      <c r="M15" s="22"/>
    </row>
    <row r="16" spans="1:14" s="23" customFormat="1" ht="12.95" customHeight="1">
      <c r="A16" s="54">
        <f t="shared" si="0"/>
        <v>44966</v>
      </c>
      <c r="B16" s="60">
        <v>1142075</v>
      </c>
      <c r="C16" s="60">
        <v>382868</v>
      </c>
      <c r="D16" s="62">
        <v>0.24</v>
      </c>
      <c r="E16" s="61">
        <v>8175.26</v>
      </c>
      <c r="F16" s="67">
        <v>4534.16</v>
      </c>
      <c r="G16" s="61">
        <v>50502.19</v>
      </c>
      <c r="H16" s="60">
        <v>14528</v>
      </c>
      <c r="I16" s="60">
        <v>187244</v>
      </c>
      <c r="J16" s="60">
        <v>62823512</v>
      </c>
      <c r="K16" s="63">
        <v>4100</v>
      </c>
      <c r="L16" s="65"/>
      <c r="M16" s="22"/>
    </row>
    <row r="17" spans="1:19" s="23" customFormat="1" ht="12.95" customHeight="1">
      <c r="A17" s="54">
        <f t="shared" si="0"/>
        <v>44967</v>
      </c>
      <c r="B17" s="61">
        <v>1146339</v>
      </c>
      <c r="C17" s="61">
        <v>388556</v>
      </c>
      <c r="D17" s="62">
        <v>0.72</v>
      </c>
      <c r="E17" s="61">
        <v>8203.7199999999993</v>
      </c>
      <c r="F17" s="67">
        <v>4542.6400000000003</v>
      </c>
      <c r="G17" s="61">
        <v>50540.44</v>
      </c>
      <c r="H17" s="60">
        <v>14528</v>
      </c>
      <c r="I17" s="61">
        <v>187366</v>
      </c>
      <c r="J17" s="61">
        <v>62835390</v>
      </c>
      <c r="K17" s="63"/>
      <c r="L17" s="65"/>
      <c r="M17" s="22"/>
    </row>
    <row r="18" spans="1:19" s="23" customFormat="1" ht="12.95" customHeight="1">
      <c r="A18" s="54">
        <f t="shared" si="0"/>
        <v>44968</v>
      </c>
      <c r="B18" s="60">
        <v>1150813</v>
      </c>
      <c r="C18" s="60">
        <v>394242</v>
      </c>
      <c r="D18" s="62">
        <v>0.62</v>
      </c>
      <c r="E18" s="61">
        <v>8231.5499999999993</v>
      </c>
      <c r="F18" s="61">
        <v>4550.58</v>
      </c>
      <c r="G18" s="61">
        <v>50579.97</v>
      </c>
      <c r="H18" s="60">
        <v>14528</v>
      </c>
      <c r="I18" s="60">
        <v>187484</v>
      </c>
      <c r="J18" s="60">
        <v>62845664</v>
      </c>
      <c r="K18" s="63"/>
      <c r="L18" s="65"/>
      <c r="M18" s="22"/>
      <c r="O18" s="17"/>
    </row>
    <row r="19" spans="1:19" s="23" customFormat="1" ht="12.95" customHeight="1">
      <c r="A19" s="54">
        <f t="shared" si="0"/>
        <v>44969</v>
      </c>
      <c r="B19" s="60">
        <v>1154984</v>
      </c>
      <c r="C19" s="60">
        <v>399720</v>
      </c>
      <c r="D19" s="62">
        <v>0.54</v>
      </c>
      <c r="E19" s="61">
        <v>8258</v>
      </c>
      <c r="F19" s="61">
        <v>4557.28</v>
      </c>
      <c r="G19" s="61">
        <v>50619.38</v>
      </c>
      <c r="H19" s="60">
        <v>14528</v>
      </c>
      <c r="I19" s="60">
        <v>187599</v>
      </c>
      <c r="J19" s="60">
        <v>62856664</v>
      </c>
      <c r="K19" s="63"/>
      <c r="L19" s="65"/>
      <c r="M19" s="22"/>
      <c r="O19" s="17"/>
    </row>
    <row r="20" spans="1:19" s="23" customFormat="1" ht="12.95" customHeight="1">
      <c r="A20" s="54">
        <f t="shared" si="0"/>
        <v>44970</v>
      </c>
      <c r="B20" s="68">
        <v>1158981</v>
      </c>
      <c r="C20" s="68">
        <v>405296</v>
      </c>
      <c r="D20" s="62">
        <v>0.48</v>
      </c>
      <c r="E20" s="60">
        <v>8288.07</v>
      </c>
      <c r="F20" s="60">
        <v>4564.43</v>
      </c>
      <c r="G20" s="69">
        <v>50653.96</v>
      </c>
      <c r="H20" s="60">
        <v>14528</v>
      </c>
      <c r="I20" s="68">
        <v>187703</v>
      </c>
      <c r="J20" s="68">
        <v>62868972</v>
      </c>
      <c r="K20" s="63"/>
      <c r="L20" s="70"/>
      <c r="M20" s="22"/>
      <c r="N20" s="24"/>
    </row>
    <row r="21" spans="1:19" s="23" customFormat="1" ht="12.95" customHeight="1">
      <c r="A21" s="54">
        <f t="shared" si="0"/>
        <v>44971</v>
      </c>
      <c r="B21" s="68">
        <v>1163086</v>
      </c>
      <c r="C21" s="68">
        <v>410906</v>
      </c>
      <c r="D21" s="62">
        <v>0.4</v>
      </c>
      <c r="E21" s="69">
        <v>8311.36</v>
      </c>
      <c r="F21" s="61">
        <v>4572.1000000000004</v>
      </c>
      <c r="G21" s="69">
        <v>50691.03</v>
      </c>
      <c r="H21" s="60">
        <v>14528</v>
      </c>
      <c r="I21" s="68">
        <v>187817</v>
      </c>
      <c r="J21" s="68">
        <v>62882376</v>
      </c>
      <c r="K21" s="63"/>
      <c r="L21" s="70"/>
      <c r="M21" s="22"/>
      <c r="N21" s="24"/>
      <c r="O21" s="24"/>
      <c r="P21" s="24"/>
      <c r="Q21" s="24"/>
      <c r="S21" s="24"/>
    </row>
    <row r="22" spans="1:19" s="23" customFormat="1" ht="12.95" customHeight="1">
      <c r="A22" s="54">
        <f>A21+1</f>
        <v>44972</v>
      </c>
      <c r="B22" s="68">
        <v>1166977</v>
      </c>
      <c r="C22" s="68">
        <v>416388</v>
      </c>
      <c r="D22" s="62">
        <v>0.35</v>
      </c>
      <c r="E22" s="69">
        <v>8335.91</v>
      </c>
      <c r="F22" s="61">
        <v>4580.1000000000004</v>
      </c>
      <c r="G22" s="69">
        <v>50724.88</v>
      </c>
      <c r="H22" s="60">
        <v>14528</v>
      </c>
      <c r="I22" s="68">
        <v>187924</v>
      </c>
      <c r="J22" s="68">
        <v>62896880</v>
      </c>
      <c r="K22" s="63"/>
      <c r="L22" s="70"/>
      <c r="M22" s="22"/>
      <c r="N22" s="24"/>
      <c r="O22" s="24"/>
    </row>
    <row r="23" spans="1:19" s="23" customFormat="1" ht="12.95" customHeight="1">
      <c r="A23" s="54">
        <f t="shared" si="0"/>
        <v>44973</v>
      </c>
      <c r="B23" s="68">
        <v>1170820</v>
      </c>
      <c r="C23" s="68">
        <v>421947</v>
      </c>
      <c r="D23" s="62">
        <v>0.28000000000000003</v>
      </c>
      <c r="E23" s="69">
        <v>8362.3799999999992</v>
      </c>
      <c r="F23" s="61">
        <v>4587.4399999999996</v>
      </c>
      <c r="G23" s="69">
        <v>50757.03</v>
      </c>
      <c r="H23" s="60">
        <v>14528</v>
      </c>
      <c r="I23" s="68">
        <v>188036</v>
      </c>
      <c r="J23" s="68">
        <v>62911774</v>
      </c>
      <c r="K23" s="63">
        <v>4000</v>
      </c>
      <c r="L23" s="70"/>
      <c r="M23" s="22"/>
      <c r="N23" s="24"/>
    </row>
    <row r="24" spans="1:19" s="23" customFormat="1" ht="12.95" customHeight="1">
      <c r="A24" s="54">
        <f t="shared" si="0"/>
        <v>44974</v>
      </c>
      <c r="B24" s="68">
        <v>1174916</v>
      </c>
      <c r="C24" s="68">
        <v>427704</v>
      </c>
      <c r="D24" s="62">
        <v>0.77</v>
      </c>
      <c r="E24" s="69">
        <v>8388.65</v>
      </c>
      <c r="F24" s="61">
        <v>4595.33</v>
      </c>
      <c r="G24" s="69">
        <v>50797.18</v>
      </c>
      <c r="H24" s="60">
        <v>14528</v>
      </c>
      <c r="I24" s="68">
        <v>188155</v>
      </c>
      <c r="J24" s="68">
        <v>62927607</v>
      </c>
      <c r="K24" s="63"/>
      <c r="L24" s="71"/>
      <c r="M24" s="22"/>
      <c r="N24" s="24"/>
      <c r="O24" s="24"/>
    </row>
    <row r="25" spans="1:19" s="23" customFormat="1" ht="12.95" customHeight="1">
      <c r="A25" s="54">
        <f t="shared" si="0"/>
        <v>44975</v>
      </c>
      <c r="B25" s="69">
        <v>1179168</v>
      </c>
      <c r="C25" s="69">
        <v>433530</v>
      </c>
      <c r="D25" s="62">
        <v>0.68</v>
      </c>
      <c r="E25" s="69">
        <v>8414.7999999999993</v>
      </c>
      <c r="F25" s="61">
        <v>4603.55</v>
      </c>
      <c r="G25" s="69">
        <v>50835.43</v>
      </c>
      <c r="H25" s="60">
        <v>14528</v>
      </c>
      <c r="I25" s="68">
        <v>188272</v>
      </c>
      <c r="J25" s="68">
        <v>62943155</v>
      </c>
      <c r="K25" s="72"/>
      <c r="L25" s="71"/>
      <c r="M25" s="22"/>
      <c r="N25" s="24"/>
      <c r="O25" s="24"/>
    </row>
    <row r="26" spans="1:19" s="23" customFormat="1" ht="12.95" customHeight="1">
      <c r="A26" s="54">
        <f t="shared" si="0"/>
        <v>44976</v>
      </c>
      <c r="B26" s="69">
        <v>1183243</v>
      </c>
      <c r="C26" s="69">
        <v>439070</v>
      </c>
      <c r="D26" s="73">
        <v>0.56000000000000005</v>
      </c>
      <c r="E26" s="69">
        <v>8442.2999999999993</v>
      </c>
      <c r="F26" s="61">
        <v>4611.7</v>
      </c>
      <c r="G26" s="69">
        <v>50872.33</v>
      </c>
      <c r="H26" s="60">
        <v>14528</v>
      </c>
      <c r="I26" s="68">
        <v>188382</v>
      </c>
      <c r="J26" s="68">
        <v>62957029</v>
      </c>
      <c r="K26" s="63"/>
      <c r="L26" s="71"/>
      <c r="M26" s="22"/>
      <c r="N26" s="24"/>
      <c r="O26" s="24"/>
    </row>
    <row r="27" spans="1:19" s="23" customFormat="1" ht="12.95" customHeight="1">
      <c r="A27" s="54">
        <f t="shared" si="0"/>
        <v>44977</v>
      </c>
      <c r="B27" s="68">
        <v>1187317</v>
      </c>
      <c r="C27" s="68">
        <v>444459</v>
      </c>
      <c r="D27" s="62"/>
      <c r="E27" s="69">
        <v>8472.0499999999993</v>
      </c>
      <c r="F27" s="61">
        <v>4618.0600000000004</v>
      </c>
      <c r="G27" s="69">
        <v>50907.3</v>
      </c>
      <c r="H27" s="60">
        <v>14528</v>
      </c>
      <c r="I27" s="68">
        <v>188491</v>
      </c>
      <c r="J27" s="68">
        <v>62969437</v>
      </c>
      <c r="K27" s="63"/>
      <c r="L27" s="70"/>
      <c r="M27" s="22"/>
    </row>
    <row r="28" spans="1:19" s="23" customFormat="1" ht="12.95" customHeight="1">
      <c r="A28" s="54">
        <f t="shared" si="0"/>
        <v>44978</v>
      </c>
      <c r="B28" s="68"/>
      <c r="C28" s="68"/>
      <c r="D28" s="62"/>
      <c r="E28" s="69"/>
      <c r="F28" s="61"/>
      <c r="G28" s="69"/>
      <c r="H28" s="60"/>
      <c r="I28" s="68"/>
      <c r="J28" s="68"/>
      <c r="K28" s="63"/>
      <c r="L28" s="70"/>
      <c r="M28" s="22"/>
    </row>
    <row r="29" spans="1:19" s="23" customFormat="1" ht="12.95" customHeight="1">
      <c r="A29" s="54">
        <f t="shared" si="0"/>
        <v>44979</v>
      </c>
      <c r="B29" s="68"/>
      <c r="C29" s="68"/>
      <c r="D29" s="62"/>
      <c r="E29" s="69"/>
      <c r="F29" s="61"/>
      <c r="G29" s="69"/>
      <c r="H29" s="60"/>
      <c r="I29" s="68"/>
      <c r="J29" s="68"/>
      <c r="K29" s="63"/>
      <c r="L29" s="70"/>
      <c r="M29" s="22"/>
      <c r="N29" s="24"/>
    </row>
    <row r="30" spans="1:19" s="23" customFormat="1" ht="12.95" customHeight="1">
      <c r="A30" s="54">
        <f t="shared" si="0"/>
        <v>44980</v>
      </c>
      <c r="B30" s="68"/>
      <c r="C30" s="68"/>
      <c r="D30" s="62"/>
      <c r="E30" s="69"/>
      <c r="F30" s="61"/>
      <c r="G30" s="69"/>
      <c r="H30" s="60"/>
      <c r="I30" s="68"/>
      <c r="J30" s="68"/>
      <c r="K30" s="63"/>
      <c r="L30" s="70"/>
      <c r="M30" s="22"/>
    </row>
    <row r="31" spans="1:19" s="23" customFormat="1" ht="12.95" customHeight="1">
      <c r="A31" s="54">
        <f t="shared" si="0"/>
        <v>44981</v>
      </c>
      <c r="B31" s="68"/>
      <c r="C31" s="68"/>
      <c r="D31" s="62"/>
      <c r="E31" s="69"/>
      <c r="F31" s="61"/>
      <c r="G31" s="69"/>
      <c r="H31" s="60"/>
      <c r="I31" s="68"/>
      <c r="J31" s="68"/>
      <c r="K31" s="63"/>
      <c r="L31" s="70"/>
      <c r="M31" s="22"/>
      <c r="N31" s="24"/>
      <c r="O31" s="24"/>
    </row>
    <row r="32" spans="1:19" s="23" customFormat="1" ht="12.95" customHeight="1">
      <c r="A32" s="54">
        <f>A31+1</f>
        <v>44982</v>
      </c>
      <c r="B32" s="68"/>
      <c r="C32" s="68"/>
      <c r="D32" s="62"/>
      <c r="E32" s="69"/>
      <c r="F32" s="61"/>
      <c r="G32" s="69"/>
      <c r="H32" s="60"/>
      <c r="I32" s="68"/>
      <c r="J32" s="68"/>
      <c r="K32" s="63"/>
      <c r="L32" s="70"/>
      <c r="M32" s="22"/>
      <c r="N32" s="24"/>
      <c r="O32" s="24"/>
    </row>
    <row r="33" spans="1:16" s="23" customFormat="1" ht="12.95" customHeight="1">
      <c r="A33" s="54">
        <f t="shared" si="0"/>
        <v>44983</v>
      </c>
      <c r="B33" s="68"/>
      <c r="C33" s="68"/>
      <c r="D33" s="62"/>
      <c r="E33" s="69"/>
      <c r="F33" s="61"/>
      <c r="G33" s="69"/>
      <c r="H33" s="60"/>
      <c r="I33" s="68"/>
      <c r="J33" s="68"/>
      <c r="K33" s="63"/>
      <c r="L33" s="70"/>
      <c r="M33" s="25"/>
      <c r="N33" s="24"/>
      <c r="O33" s="24"/>
    </row>
    <row r="34" spans="1:16" s="23" customFormat="1" ht="12.95" customHeight="1">
      <c r="A34" s="54">
        <f t="shared" si="0"/>
        <v>44984</v>
      </c>
      <c r="B34" s="68"/>
      <c r="C34" s="68"/>
      <c r="D34" s="62"/>
      <c r="E34" s="69"/>
      <c r="F34" s="61"/>
      <c r="G34" s="69"/>
      <c r="H34" s="60"/>
      <c r="I34" s="69"/>
      <c r="J34" s="69"/>
      <c r="K34" s="63"/>
      <c r="L34" s="74"/>
      <c r="M34" s="25"/>
      <c r="N34" s="24"/>
      <c r="P34" s="24"/>
    </row>
    <row r="35" spans="1:16" s="23" customFormat="1" ht="12.95" customHeight="1">
      <c r="A35" s="54">
        <f t="shared" si="0"/>
        <v>44985</v>
      </c>
      <c r="B35" s="60"/>
      <c r="C35" s="75"/>
      <c r="D35" s="62"/>
      <c r="E35" s="69"/>
      <c r="F35" s="61"/>
      <c r="G35" s="61"/>
      <c r="H35" s="60"/>
      <c r="I35" s="60"/>
      <c r="J35" s="60"/>
      <c r="K35" s="63"/>
      <c r="L35" s="70"/>
      <c r="M35" s="22"/>
      <c r="N35" s="24"/>
      <c r="O35" s="24"/>
    </row>
    <row r="36" spans="1:16" s="23" customFormat="1" ht="12.95" customHeight="1">
      <c r="A36" s="76" t="s">
        <v>37</v>
      </c>
      <c r="B36" s="77">
        <f>B35-B4</f>
        <v>0</v>
      </c>
      <c r="C36" s="77">
        <f>C35-C4</f>
        <v>0</v>
      </c>
      <c r="D36" s="77"/>
      <c r="E36" s="77">
        <f>E35-E4</f>
        <v>0</v>
      </c>
      <c r="F36" s="77">
        <f>F35-F4</f>
        <v>0</v>
      </c>
      <c r="G36" s="77">
        <f>G35-G4</f>
        <v>0</v>
      </c>
      <c r="H36" s="77">
        <f>H35-H4</f>
        <v>0</v>
      </c>
      <c r="I36" s="77">
        <f>I35-I4</f>
        <v>0</v>
      </c>
      <c r="J36" s="77">
        <f>J35-J4</f>
        <v>0</v>
      </c>
      <c r="K36" s="77">
        <f>SUM(K4:K34)</f>
        <v>12050</v>
      </c>
      <c r="L36" s="18"/>
      <c r="M36" s="22"/>
      <c r="N36" s="24"/>
      <c r="O36" s="24"/>
    </row>
    <row r="37" spans="1:16" s="23" customFormat="1" ht="12.95" customHeight="1">
      <c r="A37" s="18"/>
      <c r="B37" s="18"/>
      <c r="C37" s="77"/>
      <c r="D37" s="18"/>
      <c r="E37" s="28"/>
      <c r="F37" s="28"/>
      <c r="G37" s="28"/>
      <c r="H37" s="78">
        <f>H36*219.969</f>
        <v>0</v>
      </c>
      <c r="I37" s="77">
        <f>I36*219.969</f>
        <v>0</v>
      </c>
      <c r="J37" s="28"/>
      <c r="K37" s="18"/>
      <c r="L37" s="18"/>
      <c r="M37" s="22"/>
      <c r="N37" s="24"/>
      <c r="O37" s="24"/>
    </row>
    <row r="38" spans="1:16" s="23" customFormat="1" ht="12.95" customHeight="1">
      <c r="A38" s="32">
        <v>44957</v>
      </c>
      <c r="B38" s="33">
        <v>1106488</v>
      </c>
      <c r="C38" s="34">
        <v>333365</v>
      </c>
      <c r="D38" s="35">
        <v>0.38</v>
      </c>
      <c r="E38" s="36">
        <v>7935.32</v>
      </c>
      <c r="F38" s="37">
        <v>4463.22</v>
      </c>
      <c r="G38" s="37">
        <v>50171.13</v>
      </c>
      <c r="H38" s="33">
        <v>14528</v>
      </c>
      <c r="I38" s="33">
        <v>186242</v>
      </c>
      <c r="J38" s="33">
        <v>62710363</v>
      </c>
      <c r="K38" s="38"/>
      <c r="L38" s="39"/>
      <c r="M38" s="18"/>
      <c r="N38" s="24"/>
      <c r="O38" s="24"/>
    </row>
    <row r="39" spans="1:16">
      <c r="C39" s="28"/>
    </row>
    <row r="40" spans="1:16">
      <c r="J40" s="29"/>
    </row>
    <row r="41" spans="1:16">
      <c r="C41" s="30"/>
      <c r="I41" s="2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F49845E7-C347-4ED0-B73F-6C74077570D6}"/>
</file>

<file path=customXml/itemProps3.xml><?xml version="1.0" encoding="utf-8"?>
<ds:datastoreItem xmlns:ds="http://schemas.openxmlformats.org/officeDocument/2006/customXml" ds:itemID="{A864D059-F91F-4AE4-8F04-E7F81AAD4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2023-02-20T07:57:02Z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