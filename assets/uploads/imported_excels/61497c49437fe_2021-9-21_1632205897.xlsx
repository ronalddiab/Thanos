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F4265B49-C61D-408A-A469-60B3FDFE3F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2" l="1"/>
  <c r="J34" i="2"/>
  <c r="K34" i="2"/>
  <c r="L34" i="2"/>
  <c r="O34" i="2"/>
  <c r="B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B32" i="1"/>
  <c r="E32" i="1"/>
  <c r="G32" i="1"/>
  <c r="I32" i="1"/>
  <c r="K32" i="1"/>
  <c r="L32" i="1"/>
  <c r="K7" i="2" l="1"/>
  <c r="K9" i="2"/>
  <c r="K11" i="2"/>
  <c r="K13" i="2"/>
  <c r="K15" i="2"/>
  <c r="K17" i="2"/>
  <c r="K19" i="2"/>
  <c r="K21" i="2"/>
  <c r="K23" i="2"/>
  <c r="K25" i="2"/>
  <c r="K27" i="2"/>
  <c r="K29" i="2"/>
  <c r="K31" i="2"/>
  <c r="K5" i="2"/>
  <c r="J7" i="2"/>
  <c r="J9" i="2"/>
  <c r="J11" i="2"/>
  <c r="J13" i="2"/>
  <c r="J15" i="2"/>
  <c r="J17" i="2"/>
  <c r="J19" i="2"/>
  <c r="J21" i="2"/>
  <c r="J23" i="2"/>
  <c r="J25" i="2"/>
  <c r="J27" i="2"/>
  <c r="J29" i="2"/>
  <c r="J31" i="2"/>
  <c r="J5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K29" i="1"/>
  <c r="L29" i="1"/>
  <c r="K30" i="1"/>
  <c r="L30" i="1"/>
  <c r="K31" i="1"/>
  <c r="L31" i="1"/>
  <c r="F7" i="3"/>
  <c r="F8" i="3"/>
  <c r="F9" i="3"/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I31" i="3"/>
  <c r="J31" i="3"/>
  <c r="K31" i="3"/>
  <c r="L31" i="3"/>
  <c r="M31" i="3"/>
  <c r="G31" i="1" s="1"/>
  <c r="N31" i="3"/>
  <c r="I31" i="1" s="1"/>
  <c r="O31" i="3"/>
  <c r="P31" i="3"/>
  <c r="Q31" i="3"/>
  <c r="R31" i="3"/>
  <c r="S31" i="3"/>
  <c r="E30" i="1" l="1"/>
  <c r="E31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<sst xmlns="http://schemas.openxmlformats.org/spreadsheetml/2006/main" count="133" uniqueCount="59">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</sst>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/>
    <xf numFmtId="0" fontId="8" fillId="0" borderId="8" xfId="0" applyFont="1" applyBorder="1"/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12" xfId="0" applyFont="1" applyBorder="1"/>
    <xf numFmtId="0" fontId="8" fillId="0" borderId="13" xfId="0" applyFont="1" applyBorder="1"/>
    <xf numFmtId="0" fontId="8" fillId="0" borderId="2" xfId="0" applyFont="1" applyBorder="1"/>
    <xf numFmtId="0" fontId="8" fillId="0" borderId="7" xfId="0" applyFont="1" applyBorder="1" applyAlignment="1">
      <alignment horizontal="right"/>
    </xf>
    <xf numFmtId="0" fontId="8" fillId="0" borderId="14" xfId="0" applyFont="1" applyBorder="1"/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9" xfId="1" applyFont="1" applyFill="1" applyBorder="1" applyAlignment="1">
      <alignment horizontal="center" wrapText="1"/>
    </xf>
    <xf numFmtId="0" fontId="1" fillId="3" borderId="9" xfId="1" applyFill="1" applyBorder="1" applyAlignment="1">
      <alignment horizontal="center"/>
    </xf>
    <xf numFmtId="0" fontId="3" fillId="3" borderId="10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tabSelected="1" workbookViewId="0">
      <selection activeCell="E6" sqref="E6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8</v>
      </c>
      <c r="D2" s="2">
        <v>2021</v>
      </c>
      <c r="E2" s="4">
        <f>(Submetering!E2+Submetering!F2)</f>
        <v>5787</v>
      </c>
      <c r="F2" s="12">
        <v>0.14000000000000001</v>
      </c>
      <c r="G2" s="4">
        <f>Submetering!M2</f>
        <v>2249</v>
      </c>
      <c r="H2" s="12">
        <v>0.16</v>
      </c>
      <c r="I2" s="4">
        <f>Submetering!N2</f>
        <v>123</v>
      </c>
      <c r="J2" s="13">
        <v>2.06</v>
      </c>
      <c r="K2" s="4">
        <f>'Hampshire Daily'!B5</f>
        <v>103</v>
      </c>
      <c r="L2" s="4">
        <f>'Hampshire Daily'!C5</f>
        <v>247</v>
      </c>
    </row>
    <row r="3" spans="1:24" x14ac:dyDescent="0.25">
      <c r="A3" s="3" t="s">
        <v>40</v>
      </c>
      <c r="B3" s="2">
        <f>B2+1</f>
        <v>2</v>
      </c>
      <c r="C3" s="2">
        <v>8</v>
      </c>
      <c r="D3" s="2">
        <v>2021</v>
      </c>
      <c r="E3" s="4">
        <f>Submetering!E3+Submetering!F3</f>
        <v>6387</v>
      </c>
      <c r="F3" s="12">
        <v>0.14000000000000001</v>
      </c>
      <c r="G3" s="4">
        <f>Submetering!M3</f>
        <v>2360</v>
      </c>
      <c r="H3" s="12">
        <v>0.16</v>
      </c>
      <c r="I3" s="4">
        <f>Submetering!N3</f>
        <v>143</v>
      </c>
      <c r="J3" s="13">
        <v>2.06</v>
      </c>
      <c r="K3" s="4">
        <f>'Hampshire Daily'!B6</f>
        <v>74</v>
      </c>
      <c r="L3" s="4">
        <f>'Hampshire Daily'!C6</f>
        <v>209</v>
      </c>
    </row>
    <row r="4" spans="1:24" x14ac:dyDescent="0.25">
      <c r="A4" s="3" t="s">
        <v>40</v>
      </c>
      <c r="B4" s="2">
        <f t="shared" ref="B4:B32" si="0">B3+1</f>
        <v>3</v>
      </c>
      <c r="C4" s="2">
        <v>8</v>
      </c>
      <c r="D4" s="2">
        <v>2021</v>
      </c>
      <c r="E4" s="4">
        <f>Submetering!E4+Submetering!F4</f>
        <v>5721</v>
      </c>
      <c r="F4" s="12">
        <v>0.14000000000000001</v>
      </c>
      <c r="G4" s="4">
        <f>Submetering!M4</f>
        <v>2284</v>
      </c>
      <c r="H4" s="12">
        <v>0.16</v>
      </c>
      <c r="I4" s="4">
        <f>Submetering!N4</f>
        <v>132</v>
      </c>
      <c r="J4" s="13">
        <v>2.06</v>
      </c>
      <c r="K4" s="4">
        <f>'Hampshire Daily'!B7</f>
        <v>73</v>
      </c>
      <c r="L4" s="4">
        <f>'Hampshire Daily'!C7</f>
        <v>211</v>
      </c>
    </row>
    <row r="5" spans="1:24" x14ac:dyDescent="0.25">
      <c r="A5" s="3" t="s">
        <v>40</v>
      </c>
      <c r="B5" s="2">
        <f t="shared" si="0"/>
        <v>4</v>
      </c>
      <c r="C5" s="2">
        <v>8</v>
      </c>
      <c r="D5" s="2">
        <v>2021</v>
      </c>
      <c r="E5" s="4">
        <f>Submetering!E5+Submetering!F5</f>
        <v>6245</v>
      </c>
      <c r="F5" s="12">
        <v>0.14000000000000001</v>
      </c>
      <c r="G5" s="4">
        <f>Submetering!M5</f>
        <v>2040</v>
      </c>
      <c r="H5" s="12">
        <v>0.16</v>
      </c>
      <c r="I5" s="4">
        <f>Submetering!N5</f>
        <v>131</v>
      </c>
      <c r="J5" s="13">
        <v>2.06</v>
      </c>
      <c r="K5" s="4">
        <f>'Hampshire Daily'!B8</f>
        <v>73</v>
      </c>
      <c r="L5" s="4">
        <f>'Hampshire Daily'!C8</f>
        <v>194</v>
      </c>
    </row>
    <row r="6" spans="1:24" x14ac:dyDescent="0.25">
      <c r="A6" s="3" t="s">
        <v>40</v>
      </c>
      <c r="B6" s="2">
        <f t="shared" si="0"/>
        <v>5</v>
      </c>
      <c r="C6" s="2">
        <v>8</v>
      </c>
      <c r="D6" s="2">
        <v>2021</v>
      </c>
      <c r="E6" s="4">
        <f>Submetering!E6+Submetering!F6</f>
        <v>5838</v>
      </c>
      <c r="F6" s="12">
        <v>0.14000000000000001</v>
      </c>
      <c r="G6" s="4">
        <f>Submetering!M6</f>
        <v>2134</v>
      </c>
      <c r="H6" s="12">
        <v>0.16</v>
      </c>
      <c r="I6" s="4">
        <f>Submetering!N6</f>
        <v>139</v>
      </c>
      <c r="J6" s="13">
        <v>2.06</v>
      </c>
      <c r="K6" s="4">
        <f>'Hampshire Daily'!B9</f>
        <v>61</v>
      </c>
      <c r="L6" s="4">
        <f>'Hampshire Daily'!C9</f>
        <v>152</v>
      </c>
    </row>
    <row r="7" spans="1:24" x14ac:dyDescent="0.25">
      <c r="A7" s="3" t="s">
        <v>40</v>
      </c>
      <c r="B7" s="2">
        <f t="shared" si="0"/>
        <v>6</v>
      </c>
      <c r="C7" s="2">
        <v>8</v>
      </c>
      <c r="D7" s="2">
        <v>2021</v>
      </c>
      <c r="E7" s="4">
        <f>Submetering!E7+Submetering!F7</f>
        <v>6538</v>
      </c>
      <c r="F7" s="12">
        <v>0.14000000000000001</v>
      </c>
      <c r="G7" s="4">
        <f>Submetering!M7</f>
        <v>2175</v>
      </c>
      <c r="H7" s="12">
        <v>0.16</v>
      </c>
      <c r="I7" s="4">
        <f>Submetering!N7</f>
        <v>119</v>
      </c>
      <c r="J7" s="13">
        <v>2.06</v>
      </c>
      <c r="K7" s="4">
        <f>'Hampshire Daily'!B10</f>
        <v>66</v>
      </c>
      <c r="L7" s="4">
        <f>'Hampshire Daily'!C10</f>
        <v>162</v>
      </c>
    </row>
    <row r="8" spans="1:24" x14ac:dyDescent="0.25">
      <c r="A8" s="3" t="s">
        <v>40</v>
      </c>
      <c r="B8" s="2">
        <f t="shared" si="0"/>
        <v>7</v>
      </c>
      <c r="C8" s="2">
        <v>8</v>
      </c>
      <c r="D8" s="2">
        <v>2021</v>
      </c>
      <c r="E8" s="4">
        <f>Submetering!E8+Submetering!F8</f>
        <v>5853</v>
      </c>
      <c r="F8" s="12">
        <v>0.14000000000000001</v>
      </c>
      <c r="G8" s="4">
        <f>Submetering!M8</f>
        <v>2304</v>
      </c>
      <c r="H8" s="12">
        <v>0.16</v>
      </c>
      <c r="I8" s="4">
        <f>Submetering!N8</f>
        <v>120</v>
      </c>
      <c r="J8" s="13">
        <v>2.06</v>
      </c>
      <c r="K8" s="4">
        <f>'Hampshire Daily'!B11</f>
        <v>72</v>
      </c>
      <c r="L8" s="4">
        <f>'Hampshire Daily'!C11</f>
        <v>178</v>
      </c>
    </row>
    <row r="9" spans="1:24" x14ac:dyDescent="0.25">
      <c r="A9" s="3" t="s">
        <v>40</v>
      </c>
      <c r="B9" s="2">
        <f t="shared" si="0"/>
        <v>8</v>
      </c>
      <c r="C9" s="2">
        <v>8</v>
      </c>
      <c r="D9" s="2">
        <v>2021</v>
      </c>
      <c r="E9" s="4">
        <f>Submetering!E9+Submetering!F9</f>
        <v>5996</v>
      </c>
      <c r="F9" s="12">
        <v>0.14000000000000001</v>
      </c>
      <c r="G9" s="4">
        <f>Submetering!M9</f>
        <v>2350</v>
      </c>
      <c r="H9" s="12">
        <v>0.16</v>
      </c>
      <c r="I9" s="4">
        <f>Submetering!N9</f>
        <v>120</v>
      </c>
      <c r="J9" s="13">
        <v>2.06</v>
      </c>
      <c r="K9" s="4">
        <f>'Hampshire Daily'!B12</f>
        <v>69</v>
      </c>
      <c r="L9" s="4">
        <f>'Hampshire Daily'!C12</f>
        <v>179</v>
      </c>
    </row>
    <row r="10" spans="1:24" x14ac:dyDescent="0.25">
      <c r="A10" s="3" t="s">
        <v>40</v>
      </c>
      <c r="B10" s="2">
        <f t="shared" si="0"/>
        <v>9</v>
      </c>
      <c r="C10" s="2">
        <v>8</v>
      </c>
      <c r="D10" s="2">
        <v>2021</v>
      </c>
      <c r="E10" s="4">
        <f>Submetering!E10+Submetering!F10</f>
        <v>5581</v>
      </c>
      <c r="F10" s="12">
        <v>0.14000000000000001</v>
      </c>
      <c r="G10" s="4">
        <f>Submetering!M10</f>
        <v>2344</v>
      </c>
      <c r="H10" s="12">
        <v>0.16</v>
      </c>
      <c r="I10" s="4">
        <f>Submetering!N10</f>
        <v>169</v>
      </c>
      <c r="J10" s="13">
        <v>2.06</v>
      </c>
      <c r="K10" s="4">
        <f>'Hampshire Daily'!B13</f>
        <v>82</v>
      </c>
      <c r="L10" s="4">
        <f>'Hampshire Daily'!C13</f>
        <v>212</v>
      </c>
    </row>
    <row r="11" spans="1:24" x14ac:dyDescent="0.25">
      <c r="A11" s="3" t="s">
        <v>40</v>
      </c>
      <c r="B11" s="2">
        <f t="shared" si="0"/>
        <v>10</v>
      </c>
      <c r="C11" s="2">
        <v>8</v>
      </c>
      <c r="D11" s="2">
        <v>2021</v>
      </c>
      <c r="E11" s="4">
        <f>Submetering!E11+Submetering!F11</f>
        <v>5746</v>
      </c>
      <c r="F11" s="12">
        <v>0.14000000000000001</v>
      </c>
      <c r="G11" s="4">
        <f>Submetering!M11</f>
        <v>2241</v>
      </c>
      <c r="H11" s="12">
        <v>0.16</v>
      </c>
      <c r="I11" s="4">
        <f>Submetering!N11</f>
        <v>133</v>
      </c>
      <c r="J11" s="13">
        <v>2.06</v>
      </c>
      <c r="K11" s="4">
        <f>'Hampshire Daily'!B14</f>
        <v>92</v>
      </c>
      <c r="L11" s="4">
        <f>'Hampshire Daily'!C14</f>
        <v>226</v>
      </c>
    </row>
    <row r="12" spans="1:24" x14ac:dyDescent="0.25">
      <c r="A12" s="3" t="s">
        <v>40</v>
      </c>
      <c r="B12" s="2">
        <f t="shared" si="0"/>
        <v>11</v>
      </c>
      <c r="C12" s="2">
        <v>8</v>
      </c>
      <c r="D12" s="2">
        <v>2021</v>
      </c>
      <c r="E12" s="4">
        <f>Submetering!E12+Submetering!F12</f>
        <v>6500</v>
      </c>
      <c r="F12" s="12">
        <v>0.14000000000000001</v>
      </c>
      <c r="G12" s="4">
        <f>Submetering!M12</f>
        <v>2105</v>
      </c>
      <c r="H12" s="12">
        <v>0.16</v>
      </c>
      <c r="I12" s="4">
        <f>Submetering!N12</f>
        <v>120</v>
      </c>
      <c r="J12" s="13">
        <v>2.06</v>
      </c>
      <c r="K12" s="4">
        <f>'Hampshire Daily'!B15</f>
        <v>112</v>
      </c>
      <c r="L12" s="4">
        <f>'Hampshire Daily'!C15</f>
        <v>253</v>
      </c>
    </row>
    <row r="13" spans="1:24" x14ac:dyDescent="0.25">
      <c r="A13" s="3" t="s">
        <v>40</v>
      </c>
      <c r="B13" s="2">
        <f t="shared" si="0"/>
        <v>12</v>
      </c>
      <c r="C13" s="2">
        <v>8</v>
      </c>
      <c r="D13" s="2">
        <v>2021</v>
      </c>
      <c r="E13" s="4">
        <f>Submetering!E13+Submetering!F13</f>
        <v>7212</v>
      </c>
      <c r="F13" s="12">
        <v>0.14000000000000001</v>
      </c>
      <c r="G13" s="4">
        <f>Submetering!M13</f>
        <v>2187</v>
      </c>
      <c r="H13" s="12">
        <v>0.16</v>
      </c>
      <c r="I13" s="4">
        <f>Submetering!N13</f>
        <v>149</v>
      </c>
      <c r="J13" s="13">
        <v>2.06</v>
      </c>
      <c r="K13" s="4">
        <f>'Hampshire Daily'!B16</f>
        <v>68</v>
      </c>
      <c r="L13" s="4">
        <f>'Hampshire Daily'!C16</f>
        <v>176</v>
      </c>
    </row>
    <row r="14" spans="1:24" x14ac:dyDescent="0.25">
      <c r="A14" s="3" t="s">
        <v>40</v>
      </c>
      <c r="B14" s="2">
        <f t="shared" si="0"/>
        <v>13</v>
      </c>
      <c r="C14" s="2">
        <v>8</v>
      </c>
      <c r="D14" s="2">
        <v>2021</v>
      </c>
      <c r="E14" s="4">
        <f>Submetering!E14+Submetering!F14</f>
        <v>6433</v>
      </c>
      <c r="F14" s="12">
        <v>0.14000000000000001</v>
      </c>
      <c r="G14" s="4">
        <f>Submetering!M14</f>
        <v>2111</v>
      </c>
      <c r="H14" s="12">
        <v>0.16</v>
      </c>
      <c r="I14" s="4">
        <f>Submetering!N14</f>
        <v>169</v>
      </c>
      <c r="J14" s="13">
        <v>2.06</v>
      </c>
      <c r="K14" s="4">
        <f>'Hampshire Daily'!B17</f>
        <v>91</v>
      </c>
      <c r="L14" s="4">
        <f>'Hampshire Daily'!C17</f>
        <v>243</v>
      </c>
    </row>
    <row r="15" spans="1:24" x14ac:dyDescent="0.25">
      <c r="A15" s="3" t="s">
        <v>40</v>
      </c>
      <c r="B15" s="2">
        <f t="shared" si="0"/>
        <v>14</v>
      </c>
      <c r="C15" s="2">
        <v>8</v>
      </c>
      <c r="D15" s="2">
        <v>2021</v>
      </c>
      <c r="E15" s="4">
        <f>Submetering!E15+Submetering!F15</f>
        <v>7194</v>
      </c>
      <c r="F15" s="12">
        <v>0.14000000000000001</v>
      </c>
      <c r="G15" s="4">
        <f>Submetering!M15</f>
        <v>2305</v>
      </c>
      <c r="H15" s="12">
        <v>0.16</v>
      </c>
      <c r="I15" s="4">
        <f>Submetering!N15</f>
        <v>174</v>
      </c>
      <c r="J15" s="13">
        <v>2.06</v>
      </c>
      <c r="K15" s="4">
        <f>'Hampshire Daily'!B18</f>
        <v>92</v>
      </c>
      <c r="L15" s="4">
        <f>'Hampshire Daily'!C18</f>
        <v>236</v>
      </c>
    </row>
    <row r="16" spans="1:24" x14ac:dyDescent="0.25">
      <c r="A16" s="3" t="s">
        <v>40</v>
      </c>
      <c r="B16" s="2">
        <f t="shared" si="0"/>
        <v>15</v>
      </c>
      <c r="C16" s="2">
        <v>8</v>
      </c>
      <c r="D16" s="2">
        <v>2021</v>
      </c>
      <c r="E16" s="4">
        <f>Submetering!E16+Submetering!F16</f>
        <v>6589</v>
      </c>
      <c r="F16" s="12">
        <v>0.14000000000000001</v>
      </c>
      <c r="G16" s="4">
        <f>Submetering!M16</f>
        <v>2094</v>
      </c>
      <c r="H16" s="12">
        <v>0.16</v>
      </c>
      <c r="I16" s="4">
        <f>Submetering!N16</f>
        <v>183</v>
      </c>
      <c r="J16" s="13">
        <v>2.06</v>
      </c>
      <c r="K16" s="4">
        <f>'Hampshire Daily'!B19</f>
        <v>86</v>
      </c>
      <c r="L16" s="4">
        <f>'Hampshire Daily'!C19</f>
        <v>231</v>
      </c>
    </row>
    <row r="17" spans="1:12" x14ac:dyDescent="0.25">
      <c r="A17" s="3" t="s">
        <v>40</v>
      </c>
      <c r="B17" s="2">
        <f t="shared" si="0"/>
        <v>16</v>
      </c>
      <c r="C17" s="2">
        <v>8</v>
      </c>
      <c r="D17" s="2">
        <v>2021</v>
      </c>
      <c r="E17" s="4">
        <f>Submetering!E17+Submetering!F17</f>
        <v>6732</v>
      </c>
      <c r="F17" s="12">
        <v>0.14000000000000001</v>
      </c>
      <c r="G17" s="4">
        <f>Submetering!M17</f>
        <v>2275</v>
      </c>
      <c r="H17" s="12">
        <v>0.16</v>
      </c>
      <c r="I17" s="4" t="str">
        <f>Submetering!N17</f>
        <v>0</v>
      </c>
      <c r="J17" s="13">
        <v>2.06</v>
      </c>
      <c r="K17" s="4">
        <f>'Hampshire Daily'!B20</f>
        <v>72</v>
      </c>
      <c r="L17" s="4">
        <f>'Hampshire Daily'!C20</f>
        <v>183</v>
      </c>
    </row>
    <row r="18" spans="1:12" x14ac:dyDescent="0.25">
      <c r="A18" s="3" t="s">
        <v>40</v>
      </c>
      <c r="B18" s="2">
        <f t="shared" si="0"/>
        <v>17</v>
      </c>
      <c r="C18" s="2">
        <v>8</v>
      </c>
      <c r="D18" s="2">
        <v>2021</v>
      </c>
      <c r="E18" s="4">
        <f>Submetering!E18+Submetering!F18</f>
        <v>9294</v>
      </c>
      <c r="F18" s="12">
        <v>0.14000000000000001</v>
      </c>
      <c r="G18" s="4">
        <f>Submetering!M18</f>
        <v>1649</v>
      </c>
      <c r="H18" s="12">
        <v>0.16</v>
      </c>
      <c r="I18" s="4">
        <f>Submetering!N18</f>
        <v>649</v>
      </c>
      <c r="J18" s="13">
        <v>2.06</v>
      </c>
      <c r="K18" s="4">
        <f>'Hampshire Daily'!B21</f>
        <v>65</v>
      </c>
      <c r="L18" s="4">
        <f>'Hampshire Daily'!C21</f>
        <v>163</v>
      </c>
    </row>
    <row r="19" spans="1:12" x14ac:dyDescent="0.25">
      <c r="A19" s="3" t="s">
        <v>40</v>
      </c>
      <c r="B19" s="2">
        <f t="shared" si="0"/>
        <v>18</v>
      </c>
      <c r="C19" s="2">
        <v>8</v>
      </c>
      <c r="D19" s="2">
        <v>2021</v>
      </c>
      <c r="E19" s="4">
        <f>Submetering!E19+Submetering!F19</f>
        <v>9444</v>
      </c>
      <c r="F19" s="12">
        <v>0.14000000000000001</v>
      </c>
      <c r="G19" s="4">
        <f>Submetering!M19</f>
        <v>1587</v>
      </c>
      <c r="H19" s="12">
        <v>0.16</v>
      </c>
      <c r="I19" s="4">
        <f>Submetering!N19</f>
        <v>177</v>
      </c>
      <c r="J19" s="13">
        <v>2.06</v>
      </c>
      <c r="K19" s="4">
        <f>'Hampshire Daily'!B22</f>
        <v>83</v>
      </c>
      <c r="L19" s="4">
        <f>'Hampshire Daily'!C22</f>
        <v>202</v>
      </c>
    </row>
    <row r="20" spans="1:12" x14ac:dyDescent="0.25">
      <c r="A20" s="3" t="s">
        <v>40</v>
      </c>
      <c r="B20" s="2">
        <f t="shared" si="0"/>
        <v>19</v>
      </c>
      <c r="C20" s="2">
        <v>8</v>
      </c>
      <c r="D20" s="2">
        <v>2021</v>
      </c>
      <c r="E20" s="4">
        <f>Submetering!E20+Submetering!F20</f>
        <v>9444</v>
      </c>
      <c r="F20" s="12">
        <v>0.14000000000000001</v>
      </c>
      <c r="G20" s="4">
        <f>Submetering!M20</f>
        <v>1587</v>
      </c>
      <c r="H20" s="12">
        <v>0.16</v>
      </c>
      <c r="I20" s="4">
        <f>Submetering!N20</f>
        <v>177</v>
      </c>
      <c r="J20" s="13">
        <v>2.06</v>
      </c>
      <c r="K20" s="4">
        <f>'Hampshire Daily'!B23</f>
        <v>104</v>
      </c>
      <c r="L20" s="4">
        <f>'Hampshire Daily'!C23</f>
        <v>242</v>
      </c>
    </row>
    <row r="21" spans="1:12" x14ac:dyDescent="0.25">
      <c r="A21" s="3" t="s">
        <v>40</v>
      </c>
      <c r="B21" s="2">
        <f t="shared" si="0"/>
        <v>20</v>
      </c>
      <c r="C21" s="2">
        <v>8</v>
      </c>
      <c r="D21" s="2">
        <v>2021</v>
      </c>
      <c r="E21" s="4">
        <f>Submetering!E21+Submetering!F21</f>
        <v>9447</v>
      </c>
      <c r="F21" s="12">
        <v>0.14000000000000001</v>
      </c>
      <c r="G21" s="4">
        <f>Submetering!M21</f>
        <v>1589</v>
      </c>
      <c r="H21" s="12">
        <v>0.16</v>
      </c>
      <c r="I21" s="4">
        <f>Submetering!N21</f>
        <v>177</v>
      </c>
      <c r="J21" s="13">
        <v>2.06</v>
      </c>
      <c r="K21" s="4">
        <f>'Hampshire Daily'!B24</f>
        <v>100</v>
      </c>
      <c r="L21" s="4">
        <f>'Hampshire Daily'!C24</f>
        <v>241</v>
      </c>
    </row>
    <row r="22" spans="1:12" x14ac:dyDescent="0.25">
      <c r="A22" s="3" t="s">
        <v>40</v>
      </c>
      <c r="B22" s="2">
        <f t="shared" si="0"/>
        <v>21</v>
      </c>
      <c r="C22" s="2">
        <v>8</v>
      </c>
      <c r="D22" s="2">
        <v>2021</v>
      </c>
      <c r="E22" s="4">
        <f>Submetering!E22+Submetering!F22</f>
        <v>10446</v>
      </c>
      <c r="F22" s="12">
        <v>0.14000000000000001</v>
      </c>
      <c r="G22" s="4">
        <f>Submetering!M22</f>
        <v>1668</v>
      </c>
      <c r="H22" s="12">
        <v>0.16</v>
      </c>
      <c r="I22" s="4">
        <f>Submetering!N22</f>
        <v>179</v>
      </c>
      <c r="J22" s="13">
        <v>2.06</v>
      </c>
      <c r="K22" s="4">
        <f>'Hampshire Daily'!B25</f>
        <v>104</v>
      </c>
      <c r="L22" s="4">
        <f>'Hampshire Daily'!C25</f>
        <v>272</v>
      </c>
    </row>
    <row r="23" spans="1:12" x14ac:dyDescent="0.25">
      <c r="A23" s="3" t="s">
        <v>40</v>
      </c>
      <c r="B23" s="2">
        <f t="shared" si="0"/>
        <v>22</v>
      </c>
      <c r="C23" s="2">
        <v>8</v>
      </c>
      <c r="D23" s="2">
        <v>2021</v>
      </c>
      <c r="E23" s="4">
        <f>Submetering!E23+Submetering!F23</f>
        <v>9656</v>
      </c>
      <c r="F23" s="12">
        <v>0.14000000000000001</v>
      </c>
      <c r="G23" s="4">
        <f>Submetering!M23</f>
        <v>1564</v>
      </c>
      <c r="H23" s="12">
        <v>0.16</v>
      </c>
      <c r="I23" s="4">
        <f>Submetering!N23</f>
        <v>242</v>
      </c>
      <c r="J23" s="13">
        <v>2.06</v>
      </c>
      <c r="K23" s="4">
        <f>'Hampshire Daily'!B26</f>
        <v>112</v>
      </c>
      <c r="L23" s="4">
        <f>'Hampshire Daily'!C26</f>
        <v>267</v>
      </c>
    </row>
    <row r="24" spans="1:12" x14ac:dyDescent="0.25">
      <c r="A24" s="3" t="s">
        <v>40</v>
      </c>
      <c r="B24" s="2">
        <f t="shared" si="0"/>
        <v>23</v>
      </c>
      <c r="C24" s="2">
        <v>8</v>
      </c>
      <c r="D24" s="2">
        <v>2021</v>
      </c>
      <c r="E24" s="4">
        <f>Submetering!E24+Submetering!F24</f>
        <v>10590</v>
      </c>
      <c r="F24" s="12">
        <v>0.14000000000000001</v>
      </c>
      <c r="G24" s="4">
        <f>Submetering!M24</f>
        <v>1578</v>
      </c>
      <c r="H24" s="12">
        <v>0.16</v>
      </c>
      <c r="I24" s="4">
        <f>Submetering!N24</f>
        <v>233</v>
      </c>
      <c r="J24" s="13">
        <v>2.06</v>
      </c>
      <c r="K24" s="4">
        <f>'Hampshire Daily'!B27</f>
        <v>106</v>
      </c>
      <c r="L24" s="4">
        <f>'Hampshire Daily'!C27</f>
        <v>245</v>
      </c>
    </row>
    <row r="25" spans="1:12" x14ac:dyDescent="0.25">
      <c r="A25" s="3" t="s">
        <v>40</v>
      </c>
      <c r="B25" s="2">
        <f t="shared" si="0"/>
        <v>24</v>
      </c>
      <c r="C25" s="2">
        <v>8</v>
      </c>
      <c r="D25" s="2">
        <v>2021</v>
      </c>
      <c r="E25" s="4">
        <f>Submetering!E25+Submetering!F25</f>
        <v>9107</v>
      </c>
      <c r="F25" s="12">
        <v>0.14000000000000001</v>
      </c>
      <c r="G25" s="4">
        <f>Submetering!M25</f>
        <v>1556</v>
      </c>
      <c r="H25" s="12">
        <v>0.16</v>
      </c>
      <c r="I25" s="4">
        <f>Submetering!N25</f>
        <v>257</v>
      </c>
      <c r="J25" s="13">
        <v>2.06</v>
      </c>
      <c r="K25" s="4">
        <f>'Hampshire Daily'!B28</f>
        <v>121</v>
      </c>
      <c r="L25" s="4">
        <f>'Hampshire Daily'!C28</f>
        <v>281</v>
      </c>
    </row>
    <row r="26" spans="1:12" x14ac:dyDescent="0.25">
      <c r="A26" s="3" t="s">
        <v>40</v>
      </c>
      <c r="B26" s="2">
        <f>B25+1</f>
        <v>25</v>
      </c>
      <c r="C26" s="2">
        <v>8</v>
      </c>
      <c r="D26" s="2">
        <v>2021</v>
      </c>
      <c r="E26" s="4">
        <f>Submetering!E26+Submetering!F26</f>
        <v>10257</v>
      </c>
      <c r="F26" s="12">
        <v>0.14000000000000001</v>
      </c>
      <c r="G26" s="4">
        <f>Submetering!M26</f>
        <v>1695</v>
      </c>
      <c r="H26" s="12">
        <v>0.16</v>
      </c>
      <c r="I26" s="4">
        <f>Submetering!N26</f>
        <v>229</v>
      </c>
      <c r="J26" s="13">
        <v>2.06</v>
      </c>
      <c r="K26" s="4">
        <f>'Hampshire Daily'!B29</f>
        <v>78</v>
      </c>
      <c r="L26" s="4">
        <f>'Hampshire Daily'!C29</f>
        <v>211</v>
      </c>
    </row>
    <row r="27" spans="1:12" x14ac:dyDescent="0.25">
      <c r="A27" s="3" t="s">
        <v>40</v>
      </c>
      <c r="B27" s="2">
        <f t="shared" si="0"/>
        <v>26</v>
      </c>
      <c r="C27" s="2">
        <v>8</v>
      </c>
      <c r="D27" s="2">
        <v>2021</v>
      </c>
      <c r="E27" s="4">
        <f>Submetering!E27+Submetering!F27</f>
        <v>8860</v>
      </c>
      <c r="F27" s="12">
        <v>0.14000000000000001</v>
      </c>
      <c r="G27" s="4">
        <f>Submetering!M27</f>
        <v>1361</v>
      </c>
      <c r="H27" s="12">
        <v>0.16</v>
      </c>
      <c r="I27" s="4">
        <f>Submetering!N27</f>
        <v>151</v>
      </c>
      <c r="J27" s="13">
        <v>2.06</v>
      </c>
      <c r="K27" s="4">
        <f>'Hampshire Daily'!B30</f>
        <v>102</v>
      </c>
      <c r="L27" s="4">
        <f>'Hampshire Daily'!C30</f>
        <v>254</v>
      </c>
    </row>
    <row r="28" spans="1:12" x14ac:dyDescent="0.25">
      <c r="A28" s="3" t="s">
        <v>40</v>
      </c>
      <c r="B28" s="2">
        <f t="shared" si="0"/>
        <v>27</v>
      </c>
      <c r="C28" s="2">
        <v>8</v>
      </c>
      <c r="D28" s="2">
        <v>2021</v>
      </c>
      <c r="E28" s="4">
        <f>Submetering!E28+Submetering!F28</f>
        <v>6490</v>
      </c>
      <c r="F28" s="12">
        <v>0.14000000000000001</v>
      </c>
      <c r="G28" s="4">
        <f>Submetering!M28</f>
        <v>2275</v>
      </c>
      <c r="H28" s="12">
        <v>0.16</v>
      </c>
      <c r="I28" s="4">
        <f>Submetering!N28</f>
        <v>136</v>
      </c>
      <c r="J28" s="13">
        <v>2.06</v>
      </c>
      <c r="K28" s="4">
        <f>'Hampshire Daily'!B31</f>
        <v>99</v>
      </c>
      <c r="L28" s="4">
        <f>'Hampshire Daily'!C31</f>
        <v>251</v>
      </c>
    </row>
    <row r="29" spans="1:12" x14ac:dyDescent="0.25">
      <c r="A29" s="3" t="s">
        <v>40</v>
      </c>
      <c r="B29" s="2">
        <f t="shared" si="0"/>
        <v>28</v>
      </c>
      <c r="C29" s="2">
        <v>8</v>
      </c>
      <c r="D29" s="2">
        <v>2021</v>
      </c>
      <c r="E29" s="4">
        <f>Submetering!E29+Submetering!F29</f>
        <v>5533</v>
      </c>
      <c r="F29" s="12">
        <v>0.14000000000000001</v>
      </c>
      <c r="G29" s="4">
        <f>Submetering!M29</f>
        <v>2338</v>
      </c>
      <c r="H29" s="12">
        <v>0.16</v>
      </c>
      <c r="I29" s="4">
        <f>Submetering!N29</f>
        <v>145</v>
      </c>
      <c r="J29" s="13">
        <v>2.06</v>
      </c>
      <c r="K29" s="4">
        <f>'Hampshire Daily'!B32</f>
        <v>104</v>
      </c>
      <c r="L29" s="4">
        <f>'Hampshire Daily'!C32</f>
        <v>267</v>
      </c>
    </row>
    <row r="30" spans="1:12" x14ac:dyDescent="0.25">
      <c r="A30" s="3" t="s">
        <v>40</v>
      </c>
      <c r="B30" s="2">
        <f t="shared" si="0"/>
        <v>29</v>
      </c>
      <c r="C30" s="2">
        <v>8</v>
      </c>
      <c r="D30" s="2">
        <v>2021</v>
      </c>
      <c r="E30" s="4">
        <f>Submetering!E30+Submetering!F30</f>
        <v>5547</v>
      </c>
      <c r="F30" s="12">
        <v>0.14000000000000001</v>
      </c>
      <c r="G30" s="4">
        <f>Submetering!M30</f>
        <v>2200</v>
      </c>
      <c r="H30" s="12">
        <v>0.16</v>
      </c>
      <c r="I30" s="4">
        <f>Submetering!N30</f>
        <v>157</v>
      </c>
      <c r="J30" s="13">
        <v>2.06</v>
      </c>
      <c r="K30" s="4">
        <f>'Hampshire Daily'!B33</f>
        <v>104</v>
      </c>
      <c r="L30" s="4">
        <f>'Hampshire Daily'!C33</f>
        <v>268</v>
      </c>
    </row>
    <row r="31" spans="1:12" x14ac:dyDescent="0.25">
      <c r="A31" s="3" t="s">
        <v>40</v>
      </c>
      <c r="B31" s="2">
        <f t="shared" si="0"/>
        <v>30</v>
      </c>
      <c r="C31" s="2">
        <v>8</v>
      </c>
      <c r="D31" s="2">
        <v>2021</v>
      </c>
      <c r="E31" s="4">
        <f>Submetering!E31+Submetering!F31</f>
        <v>5530</v>
      </c>
      <c r="F31" s="12">
        <v>0.14000000000000001</v>
      </c>
      <c r="G31" s="4">
        <f>Submetering!M31</f>
        <v>2347</v>
      </c>
      <c r="H31" s="12">
        <v>0.16</v>
      </c>
      <c r="I31" s="4">
        <f>Submetering!N31</f>
        <v>160</v>
      </c>
      <c r="J31" s="13">
        <v>2.06</v>
      </c>
      <c r="K31" s="4">
        <f>'Hampshire Daily'!B34</f>
        <v>75</v>
      </c>
      <c r="L31" s="4">
        <f>'Hampshire Daily'!C34</f>
        <v>182</v>
      </c>
    </row>
    <row r="32" spans="1:12" x14ac:dyDescent="0.25">
      <c r="A32" s="3" t="s">
        <v>40</v>
      </c>
      <c r="B32" s="2">
        <f t="shared" si="0"/>
        <v>31</v>
      </c>
      <c r="C32" s="2">
        <v>8</v>
      </c>
      <c r="D32" s="2">
        <v>2021</v>
      </c>
      <c r="E32" s="4">
        <f>Submetering!E32+Submetering!F32</f>
        <v>6137</v>
      </c>
      <c r="F32" s="12">
        <v>0.14000000000000001</v>
      </c>
      <c r="G32" s="4">
        <f>Submetering!M32</f>
        <v>2269</v>
      </c>
      <c r="H32" s="12">
        <v>0.16</v>
      </c>
      <c r="I32" s="4">
        <f>Submetering!N32</f>
        <v>160</v>
      </c>
      <c r="J32" s="13">
        <v>2.06</v>
      </c>
      <c r="K32" s="4">
        <f>'Hampshire Daily'!B35</f>
        <v>48</v>
      </c>
      <c r="L32" s="4">
        <f>'Hampshire Daily'!C35</f>
        <v>109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B27" sqref="AB27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8</v>
      </c>
      <c r="D2" s="1">
        <v>2021</v>
      </c>
      <c r="E2" s="4">
        <f>IF(('Hampshire Daily'!D5-'Hampshire Daily'!D4&lt;0),"0",('Hampshire Daily'!D5-'Hampshire Daily'!D4))</f>
        <v>3788</v>
      </c>
      <c r="F2" s="4">
        <f>IF(('Hampshire Daily'!F5-'Hampshire Daily'!F4&lt;0),"0",('Hampshire Daily'!F5-'Hampshire Daily'!F4))</f>
        <v>1999</v>
      </c>
      <c r="G2" s="4">
        <f>IF(('Hampshire Daily'!H5-'Hampshire Daily'!H4&lt;0),"0",('Hampshire Daily'!H5-'Hampshire Daily'!H4))</f>
        <v>0</v>
      </c>
      <c r="H2" s="4">
        <f>IF(('Hampshire Daily'!I5-'Hampshire Daily'!I4&lt;0),"0",('Hampshire Daily'!I5-'Hampshire Daily'!I4))</f>
        <v>1730</v>
      </c>
      <c r="I2" s="4">
        <f>IF(('Hampshire Daily'!J5-'Hampshire Daily'!J4&lt;0),"0",('Hampshire Daily'!J5-'Hampshire Daily'!J4))</f>
        <v>3</v>
      </c>
      <c r="J2" s="4">
        <f>IF(('Hampshire Daily'!K5-'Hampshire Daily'!K4&lt;0),"0",('Hampshire Daily'!K5-'Hampshire Daily'!K4))</f>
        <v>2632</v>
      </c>
      <c r="K2" s="4">
        <f>IF(('Hampshire Daily'!L5-'Hampshire Daily'!L4&lt;0),"0",('Hampshire Daily'!L5-'Hampshire Daily'!L4))</f>
        <v>1386</v>
      </c>
      <c r="L2" s="4">
        <f>IF(('Hampshire Daily'!M5-'Hampshire Daily'!M4&lt;0),"0",('Hampshire Daily'!M5-'Hampshire Daily'!M4))</f>
        <v>0</v>
      </c>
      <c r="M2" s="4">
        <f>IF(('Hampshire Daily'!N5-'Hampshire Daily'!N4&lt;0),"0",('Hampshire Daily'!N5-'Hampshire Daily'!N4))</f>
        <v>2249</v>
      </c>
      <c r="N2" s="4">
        <f>IF(('Hampshire Daily'!O5-'Hampshire Daily'!O4&lt;0),"0",('Hampshire Daily'!O5-'Hampshire Daily'!O4))</f>
        <v>123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755</v>
      </c>
      <c r="Q2" s="4">
        <f>IF(('Hampshire Daily'!R5-'Hampshire Daily'!R4&lt;0),"0",('Hampshire Daily'!R5-'Hampshire Daily'!R4))</f>
        <v>2</v>
      </c>
      <c r="R2" s="4">
        <f>IF(('Hampshire Daily'!U5-'Hampshire Daily'!U4&lt;0),"0",('Hampshire Daily'!U5-'Hampshire Daily'!U4))</f>
        <v>9</v>
      </c>
      <c r="S2" s="4">
        <f>IF(('Hampshire Daily'!V5-'Hampshire Daily'!V4&lt;0),"0",('Hampshire Daily'!V5-'Hampshire Daily'!V4))</f>
        <v>1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0.24000000000000909</v>
      </c>
      <c r="V2" s="4">
        <f>IF(('Hampshire Daily'!Y5-'Hampshire Daily'!Y4&lt;0),"0",('Hampshire Daily'!Y5-'Hampshire Daily'!Y4))</f>
        <v>9.0000000000145519E-3</v>
      </c>
      <c r="W2" s="4">
        <f>IF(('Hampshire Daily'!Z5-'Hampshire Daily'!Z4&lt;0),"0",('Hampshire Daily'!Z5-'Hampshire Daily'!Z4))</f>
        <v>0</v>
      </c>
      <c r="X2" s="4">
        <f>IF(('Hampshire Daily'!AA5-'Hampshire Daily'!AA4&lt;0),"0",('Hampshire Daily'!AA5-'Hampshire Daily'!AA4))</f>
        <v>7</v>
      </c>
      <c r="Y2" s="4">
        <f>'Hampshire Daily'!B5</f>
        <v>103</v>
      </c>
      <c r="Z2" s="4">
        <f>'Hampshire Daily'!C5</f>
        <v>247</v>
      </c>
    </row>
    <row r="3" spans="1:30" x14ac:dyDescent="0.25">
      <c r="A3" s="3" t="s">
        <v>40</v>
      </c>
      <c r="B3" s="1">
        <f>B2+1</f>
        <v>2</v>
      </c>
      <c r="C3" s="17">
        <v>8</v>
      </c>
      <c r="D3" s="1">
        <v>2021</v>
      </c>
      <c r="E3" s="4">
        <f>IF(('Hampshire Daily'!D6-'Hampshire Daily'!D5&lt;0),"0",('Hampshire Daily'!D6-'Hampshire Daily'!D5))</f>
        <v>4371</v>
      </c>
      <c r="F3" s="4">
        <f>IF(('Hampshire Daily'!F6-'Hampshire Daily'!F5&lt;0),"0",('Hampshire Daily'!F6-'Hampshire Daily'!F5))</f>
        <v>2016</v>
      </c>
      <c r="G3" s="4">
        <f>IF(('Hampshire Daily'!H6-'Hampshire Daily'!H5&lt;0),"0",('Hampshire Daily'!H6-'Hampshire Daily'!H5))</f>
        <v>0</v>
      </c>
      <c r="H3" s="4">
        <f>IF(('Hampshire Daily'!I6-'Hampshire Daily'!I5&lt;0),"0",('Hampshire Daily'!I6-'Hampshire Daily'!I5))</f>
        <v>1730</v>
      </c>
      <c r="I3" s="4" t="str">
        <f>IF(('Hampshire Daily'!J6-'Hampshire Daily'!J5&lt;0),"0",('Hampshire Daily'!J6-'Hampshire Daily'!J5))</f>
        <v>0</v>
      </c>
      <c r="J3" s="4" t="str">
        <f>IF(('Hampshire Daily'!K6-'Hampshire Daily'!K5&lt;0),"0",('Hampshire Daily'!K6-'Hampshire Daily'!K5))</f>
        <v>0</v>
      </c>
      <c r="K3" s="4">
        <f>IF(('Hampshire Daily'!L6-'Hampshire Daily'!L5&lt;0),"0",('Hampshire Daily'!L6-'Hampshire Daily'!L5))</f>
        <v>1361</v>
      </c>
      <c r="L3" s="4">
        <f>IF(('Hampshire Daily'!M6-'Hampshire Daily'!M5&lt;0),"0",('Hampshire Daily'!M6-'Hampshire Daily'!M5))</f>
        <v>0</v>
      </c>
      <c r="M3" s="4">
        <f>IF(('Hampshire Daily'!N6-'Hampshire Daily'!N5&lt;0),"0",('Hampshire Daily'!N6-'Hampshire Daily'!N5))</f>
        <v>2360</v>
      </c>
      <c r="N3" s="4">
        <f>IF(('Hampshire Daily'!O6-'Hampshire Daily'!O5&lt;0),"0",('Hampshire Daily'!O6-'Hampshire Daily'!O5))</f>
        <v>143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708</v>
      </c>
      <c r="Q3" s="4">
        <f>IF(('Hampshire Daily'!R6-'Hampshire Daily'!R5&lt;0),"0",('Hampshire Daily'!R6-'Hampshire Daily'!R5))</f>
        <v>4</v>
      </c>
      <c r="R3" s="4">
        <f>IF(('Hampshire Daily'!U6-'Hampshire Daily'!U5&lt;0),"0",('Hampshire Daily'!U6-'Hampshire Daily'!U5))</f>
        <v>11</v>
      </c>
      <c r="S3" s="4">
        <f>IF(('Hampshire Daily'!V6-'Hampshire Daily'!V5&lt;0),"0",('Hampshire Daily'!V6-'Hampshire Daily'!V5))</f>
        <v>16</v>
      </c>
      <c r="T3" s="4" t="str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0.21400000000005548</v>
      </c>
      <c r="V3" s="4">
        <f>IF(('Hampshire Daily'!Y6-'Hampshire Daily'!Y5&lt;0),"0",('Hampshire Daily'!Y6-'Hampshire Daily'!Y5))</f>
        <v>7.0000000000618456E-3</v>
      </c>
      <c r="W3" s="4">
        <f>IF(('Hampshire Daily'!Z6-'Hampshire Daily'!Z5&lt;0),"0",('Hampshire Daily'!Z6-'Hampshire Daily'!Z5))</f>
        <v>0</v>
      </c>
      <c r="X3" s="4">
        <f>IF(('Hampshire Daily'!AA6-'Hampshire Daily'!AA5&lt;0),"0",('Hampshire Daily'!AA6-'Hampshire Daily'!AA5))</f>
        <v>3</v>
      </c>
      <c r="Y3" s="4">
        <f>'Hampshire Daily'!B6</f>
        <v>74</v>
      </c>
      <c r="Z3" s="4">
        <f>'Hampshire Daily'!C6</f>
        <v>209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2" si="0">B3+1</f>
        <v>3</v>
      </c>
      <c r="C4" s="17">
        <v>8</v>
      </c>
      <c r="D4" s="1">
        <v>2021</v>
      </c>
      <c r="E4" s="4">
        <f>IF(('Hampshire Daily'!D7-'Hampshire Daily'!D6&lt;0),"0",('Hampshire Daily'!D7-'Hampshire Daily'!D6))</f>
        <v>3762</v>
      </c>
      <c r="F4" s="4">
        <f>IF(('Hampshire Daily'!F7-'Hampshire Daily'!F6&lt;0),"0",('Hampshire Daily'!F7-'Hampshire Daily'!F6))</f>
        <v>1959</v>
      </c>
      <c r="G4" s="4">
        <f>IF(('Hampshire Daily'!H7-'Hampshire Daily'!H6&lt;0),"0",('Hampshire Daily'!H7-'Hampshire Daily'!H6))</f>
        <v>18</v>
      </c>
      <c r="H4" s="4">
        <f>IF(('Hampshire Daily'!I7-'Hampshire Daily'!I6&lt;0),"0",('Hampshire Daily'!I7-'Hampshire Daily'!I6))</f>
        <v>1730</v>
      </c>
      <c r="I4" s="4">
        <f>IF(('Hampshire Daily'!J7-'Hampshire Daily'!J6&lt;0),"0",('Hampshire Daily'!J7-'Hampshire Daily'!J6))</f>
        <v>3</v>
      </c>
      <c r="J4" s="4">
        <f>IF(('Hampshire Daily'!K7-'Hampshire Daily'!K6&lt;0),"0",('Hampshire Daily'!K7-'Hampshire Daily'!K6))</f>
        <v>2632</v>
      </c>
      <c r="K4" s="4">
        <f>IF(('Hampshire Daily'!L7-'Hampshire Daily'!L6&lt;0),"0",('Hampshire Daily'!L7-'Hampshire Daily'!L6))</f>
        <v>1372</v>
      </c>
      <c r="L4" s="4">
        <f>IF(('Hampshire Daily'!M7-'Hampshire Daily'!M6&lt;0),"0",('Hampshire Daily'!M7-'Hampshire Daily'!M6))</f>
        <v>1</v>
      </c>
      <c r="M4" s="4">
        <f>IF(('Hampshire Daily'!N7-'Hampshire Daily'!N6&lt;0),"0",('Hampshire Daily'!N7-'Hampshire Daily'!N6))</f>
        <v>2284</v>
      </c>
      <c r="N4" s="4">
        <f>IF(('Hampshire Daily'!O7-'Hampshire Daily'!O6&lt;0),"0",('Hampshire Daily'!O7-'Hampshire Daily'!O6))</f>
        <v>132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472</v>
      </c>
      <c r="Q4" s="4">
        <f>IF(('Hampshire Daily'!R7-'Hampshire Daily'!R6&lt;0),"0",('Hampshire Daily'!R7-'Hampshire Daily'!R6))</f>
        <v>4</v>
      </c>
      <c r="R4" s="4">
        <f>IF(('Hampshire Daily'!U7-'Hampshire Daily'!U6&lt;0),"0",('Hampshire Daily'!U7-'Hampshire Daily'!U6))</f>
        <v>11</v>
      </c>
      <c r="S4" s="4">
        <f>IF(('Hampshire Daily'!V7-'Hampshire Daily'!V6&lt;0),"0",('Hampshire Daily'!V7-'Hampshire Daily'!V6))</f>
        <v>0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0.21600000000000819</v>
      </c>
      <c r="V4" s="4">
        <f>IF(('Hampshire Daily'!Y7-'Hampshire Daily'!Y6&lt;0),"0",('Hampshire Daily'!Y7-'Hampshire Daily'!Y6))</f>
        <v>0.35500000000001819</v>
      </c>
      <c r="W4" s="4">
        <f>IF(('Hampshire Daily'!Z7-'Hampshire Daily'!Z6&lt;0),"0",('Hampshire Daily'!Z7-'Hampshire Daily'!Z6))</f>
        <v>0</v>
      </c>
      <c r="X4" s="4">
        <f>IF(('Hampshire Daily'!AA7-'Hampshire Daily'!AA6&lt;0),"0",('Hampshire Daily'!AA7-'Hampshire Daily'!AA6))</f>
        <v>5</v>
      </c>
      <c r="Y4" s="4">
        <f>'Hampshire Daily'!B7</f>
        <v>73</v>
      </c>
      <c r="Z4" s="4">
        <f>'Hampshire Daily'!C7</f>
        <v>211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8</v>
      </c>
      <c r="D5" s="1">
        <v>2021</v>
      </c>
      <c r="E5" s="4">
        <f>IF(('Hampshire Daily'!D8-'Hampshire Daily'!D7&lt;0),"0",('Hampshire Daily'!D8-'Hampshire Daily'!D7))</f>
        <v>3529</v>
      </c>
      <c r="F5" s="4">
        <f>IF(('Hampshire Daily'!F8-'Hampshire Daily'!F7&lt;0),"0",('Hampshire Daily'!F8-'Hampshire Daily'!F7))</f>
        <v>2716</v>
      </c>
      <c r="G5" s="4">
        <f>IF(('Hampshire Daily'!H8-'Hampshire Daily'!H7&lt;0),"0",('Hampshire Daily'!H8-'Hampshire Daily'!H7))</f>
        <v>181</v>
      </c>
      <c r="H5" s="4">
        <f>IF(('Hampshire Daily'!I8-'Hampshire Daily'!I7&lt;0),"0",('Hampshire Daily'!I8-'Hampshire Daily'!I7))</f>
        <v>1730</v>
      </c>
      <c r="I5" s="4" t="str">
        <f>IF(('Hampshire Daily'!J8-'Hampshire Daily'!J7&lt;0),"0",('Hampshire Daily'!J8-'Hampshire Daily'!J7))</f>
        <v>0</v>
      </c>
      <c r="J5" s="4" t="str">
        <f>IF(('Hampshire Daily'!K8-'Hampshire Daily'!K7&lt;0),"0",('Hampshire Daily'!K8-'Hampshire Daily'!K7))</f>
        <v>0</v>
      </c>
      <c r="K5" s="4">
        <f>IF(('Hampshire Daily'!L8-'Hampshire Daily'!L7&lt;0),"0",('Hampshire Daily'!L8-'Hampshire Daily'!L7))</f>
        <v>1398</v>
      </c>
      <c r="L5" s="4">
        <f>IF(('Hampshire Daily'!M8-'Hampshire Daily'!M7&lt;0),"0",('Hampshire Daily'!M8-'Hampshire Daily'!M7))</f>
        <v>20</v>
      </c>
      <c r="M5" s="4">
        <f>IF(('Hampshire Daily'!N8-'Hampshire Daily'!N7&lt;0),"0",('Hampshire Daily'!N8-'Hampshire Daily'!N7))</f>
        <v>2040</v>
      </c>
      <c r="N5" s="4">
        <f>IF(('Hampshire Daily'!O8-'Hampshire Daily'!O7&lt;0),"0",('Hampshire Daily'!O8-'Hampshire Daily'!O7))</f>
        <v>131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488</v>
      </c>
      <c r="Q5" s="4">
        <f>IF(('Hampshire Daily'!R8-'Hampshire Daily'!R7&lt;0),"0",('Hampshire Daily'!R8-'Hampshire Daily'!R7))</f>
        <v>4</v>
      </c>
      <c r="R5" s="4">
        <f>IF(('Hampshire Daily'!U8-'Hampshire Daily'!U7&lt;0),"0",('Hampshire Daily'!U8-'Hampshire Daily'!U7))</f>
        <v>9</v>
      </c>
      <c r="S5" s="4">
        <f>IF(('Hampshire Daily'!V8-'Hampshire Daily'!V7&lt;0),"0",('Hampshire Daily'!V8-'Hampshire Daily'!V7))</f>
        <v>1</v>
      </c>
      <c r="T5" s="4">
        <f>IF(('Hampshire Daily'!W8-'Hampshire Daily'!W7&lt;0),"0",('Hampshire Daily'!W8-'Hampshire Daily'!W7))</f>
        <v>0</v>
      </c>
      <c r="U5" s="4">
        <f>IF(('Hampshire Daily'!X8-'Hampshire Daily'!X7&lt;0),"0",('Hampshire Daily'!X8-'Hampshire Daily'!X7))</f>
        <v>2.5999999999953616E-2</v>
      </c>
      <c r="V5" s="4">
        <f>IF(('Hampshire Daily'!Y8-'Hampshire Daily'!Y7&lt;0),"0",('Hampshire Daily'!Y8-'Hampshire Daily'!Y7))</f>
        <v>1.0999999999967258E-2</v>
      </c>
      <c r="W5" s="4">
        <f>IF(('Hampshire Daily'!Z8-'Hampshire Daily'!Z7&lt;0),"0",('Hampshire Daily'!Z8-'Hampshire Daily'!Z7))</f>
        <v>0</v>
      </c>
      <c r="X5" s="4">
        <f>IF(('Hampshire Daily'!AA8-'Hampshire Daily'!AA7&lt;0),"0",('Hampshire Daily'!AA8-'Hampshire Daily'!AA7))</f>
        <v>5</v>
      </c>
      <c r="Y5" s="4">
        <f>'Hampshire Daily'!B8</f>
        <v>73</v>
      </c>
      <c r="Z5" s="4">
        <f>'Hampshire Daily'!C8</f>
        <v>194</v>
      </c>
    </row>
    <row r="6" spans="1:30" x14ac:dyDescent="0.25">
      <c r="A6" s="3" t="s">
        <v>40</v>
      </c>
      <c r="B6" s="1">
        <f t="shared" si="0"/>
        <v>5</v>
      </c>
      <c r="C6" s="17">
        <v>8</v>
      </c>
      <c r="D6" s="1">
        <v>2021</v>
      </c>
      <c r="E6" s="4">
        <f>IF(('Hampshire Daily'!D9-'Hampshire Daily'!D8&lt;0),"0",('Hampshire Daily'!D9-'Hampshire Daily'!D8))</f>
        <v>3551</v>
      </c>
      <c r="F6" s="4">
        <f>IF(('Hampshire Daily'!F9-'Hampshire Daily'!F8&lt;0),"0",('Hampshire Daily'!F9-'Hampshire Daily'!F8))</f>
        <v>2287</v>
      </c>
      <c r="G6" s="4">
        <f>IF(('Hampshire Daily'!H9-'Hampshire Daily'!H8&lt;0),"0",('Hampshire Daily'!H9-'Hampshire Daily'!H8))</f>
        <v>81</v>
      </c>
      <c r="H6" s="4">
        <f>IF(('Hampshire Daily'!I9-'Hampshire Daily'!I8&lt;0),"0",('Hampshire Daily'!I9-'Hampshire Daily'!I8))</f>
        <v>1730</v>
      </c>
      <c r="I6" s="4">
        <f>IF(('Hampshire Daily'!J9-'Hampshire Daily'!J8&lt;0),"0",('Hampshire Daily'!J9-'Hampshire Daily'!J8))</f>
        <v>3</v>
      </c>
      <c r="J6" s="4">
        <f>IF(('Hampshire Daily'!K9-'Hampshire Daily'!K8&lt;0),"0",('Hampshire Daily'!K9-'Hampshire Daily'!K8))</f>
        <v>2632</v>
      </c>
      <c r="K6" s="4">
        <f>IF(('Hampshire Daily'!L9-'Hampshire Daily'!L8&lt;0),"0",('Hampshire Daily'!L9-'Hampshire Daily'!L8))</f>
        <v>1361</v>
      </c>
      <c r="L6" s="4">
        <f>IF(('Hampshire Daily'!M9-'Hampshire Daily'!M8&lt;0),"0",('Hampshire Daily'!M9-'Hampshire Daily'!M8))</f>
        <v>0</v>
      </c>
      <c r="M6" s="4">
        <f>IF(('Hampshire Daily'!N9-'Hampshire Daily'!N8&lt;0),"0",('Hampshire Daily'!N9-'Hampshire Daily'!N8))</f>
        <v>2134</v>
      </c>
      <c r="N6" s="4">
        <f>IF(('Hampshire Daily'!O9-'Hampshire Daily'!O8&lt;0),"0",('Hampshire Daily'!O9-'Hampshire Daily'!O8))</f>
        <v>139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667</v>
      </c>
      <c r="Q6" s="4">
        <f>IF(('Hampshire Daily'!R9-'Hampshire Daily'!R8&lt;0),"0",('Hampshire Daily'!R9-'Hampshire Daily'!R8))</f>
        <v>4</v>
      </c>
      <c r="R6" s="4">
        <f>IF(('Hampshire Daily'!U9-'Hampshire Daily'!U8&lt;0),"0",('Hampshire Daily'!U9-'Hampshire Daily'!U8))</f>
        <v>10</v>
      </c>
      <c r="S6" s="4">
        <f>IF(('Hampshire Daily'!V9-'Hampshire Daily'!V8&lt;0),"0",('Hampshire Daily'!V9-'Hampshire Daily'!V8))</f>
        <v>1</v>
      </c>
      <c r="T6" s="4">
        <f>IF(('Hampshire Daily'!W9-'Hampshire Daily'!W8&lt;0),"0",('Hampshire Daily'!W9-'Hampshire Daily'!W8))</f>
        <v>1.0000000000331966E-3</v>
      </c>
      <c r="U6" s="4">
        <f>IF(('Hampshire Daily'!X9-'Hampshire Daily'!X8&lt;0),"0",('Hampshire Daily'!X9-'Hampshire Daily'!X8))</f>
        <v>0.32900000000006457</v>
      </c>
      <c r="V6" s="4">
        <f>IF(('Hampshire Daily'!Y9-'Hampshire Daily'!Y8&lt;0),"0",('Hampshire Daily'!Y9-'Hampshire Daily'!Y8))</f>
        <v>0</v>
      </c>
      <c r="W6" s="4">
        <f>IF(('Hampshire Daily'!Z9-'Hampshire Daily'!Z8&lt;0),"0",('Hampshire Daily'!Z9-'Hampshire Daily'!Z8))</f>
        <v>0</v>
      </c>
      <c r="X6" s="4">
        <f>IF(('Hampshire Daily'!AA9-'Hampshire Daily'!AA8&lt;0),"0",('Hampshire Daily'!AA9-'Hampshire Daily'!AA8))</f>
        <v>5</v>
      </c>
      <c r="Y6" s="4">
        <f>'Hampshire Daily'!B9</f>
        <v>61</v>
      </c>
      <c r="Z6" s="4">
        <f>'Hampshire Daily'!C9</f>
        <v>152</v>
      </c>
    </row>
    <row r="7" spans="1:30" x14ac:dyDescent="0.25">
      <c r="A7" s="3" t="s">
        <v>40</v>
      </c>
      <c r="B7" s="1">
        <f t="shared" si="0"/>
        <v>6</v>
      </c>
      <c r="C7" s="17">
        <v>8</v>
      </c>
      <c r="D7" s="1">
        <v>2021</v>
      </c>
      <c r="E7" s="4">
        <f>IF(('Hampshire Daily'!D10-'Hampshire Daily'!D9&lt;0),"0",('Hampshire Daily'!D10-'Hampshire Daily'!D9))</f>
        <v>4553</v>
      </c>
      <c r="F7" s="4">
        <f>IF(('Hampshire Daily'!F10-'Hampshire Daily'!F9&lt;0),"0",('Hampshire Daily'!F10-'Hampshire Daily'!F9))</f>
        <v>1985</v>
      </c>
      <c r="G7" s="4">
        <f>IF(('Hampshire Daily'!H10-'Hampshire Daily'!H9&lt;0),"0",('Hampshire Daily'!H10-'Hampshire Daily'!H9))</f>
        <v>21</v>
      </c>
      <c r="H7" s="4">
        <f>IF(('Hampshire Daily'!I10-'Hampshire Daily'!I9&lt;0),"0",('Hampshire Daily'!I10-'Hampshire Daily'!I9))</f>
        <v>1730</v>
      </c>
      <c r="I7" s="4" t="str">
        <f>IF(('Hampshire Daily'!J10-'Hampshire Daily'!J9&lt;0),"0",('Hampshire Daily'!J10-'Hampshire Daily'!J9))</f>
        <v>0</v>
      </c>
      <c r="J7" s="4" t="str">
        <f>IF(('Hampshire Daily'!K10-'Hampshire Daily'!K9&lt;0),"0",('Hampshire Daily'!K10-'Hampshire Daily'!K9))</f>
        <v>0</v>
      </c>
      <c r="K7" s="4">
        <f>IF(('Hampshire Daily'!L10-'Hampshire Daily'!L9&lt;0),"0",('Hampshire Daily'!L10-'Hampshire Daily'!L9))</f>
        <v>1361</v>
      </c>
      <c r="L7" s="4">
        <f>IF(('Hampshire Daily'!M10-'Hampshire Daily'!M9&lt;0),"0",('Hampshire Daily'!M10-'Hampshire Daily'!M9))</f>
        <v>160</v>
      </c>
      <c r="M7" s="4">
        <f>IF(('Hampshire Daily'!N10-'Hampshire Daily'!N9&lt;0),"0",('Hampshire Daily'!N10-'Hampshire Daily'!N9))</f>
        <v>2175</v>
      </c>
      <c r="N7" s="4">
        <f>IF(('Hampshire Daily'!O10-'Hampshire Daily'!O9&lt;0),"0",('Hampshire Daily'!O10-'Hampshire Daily'!O9))</f>
        <v>119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694</v>
      </c>
      <c r="Q7" s="4">
        <f>IF(('Hampshire Daily'!R10-'Hampshire Daily'!R9&lt;0),"0",('Hampshire Daily'!R10-'Hampshire Daily'!R9))</f>
        <v>4</v>
      </c>
      <c r="R7" s="4">
        <f>IF(('Hampshire Daily'!U10-'Hampshire Daily'!U9&lt;0),"0",('Hampshire Daily'!U10-'Hampshire Daily'!U9))</f>
        <v>9</v>
      </c>
      <c r="S7" s="4">
        <f>IF(('Hampshire Daily'!V10-'Hampshire Daily'!V9&lt;0),"0",('Hampshire Daily'!V10-'Hampshire Daily'!V9))</f>
        <v>1</v>
      </c>
      <c r="T7" s="4">
        <f>IF(('Hampshire Daily'!W10-'Hampshire Daily'!W9&lt;0),"0",('Hampshire Daily'!W10-'Hampshire Daily'!W9))</f>
        <v>0</v>
      </c>
      <c r="U7" s="4">
        <f>IF(('Hampshire Daily'!X10-'Hampshire Daily'!X9&lt;0),"0",('Hampshire Daily'!X10-'Hampshire Daily'!X9))</f>
        <v>0.24500000000000455</v>
      </c>
      <c r="V7" s="4">
        <f>IF(('Hampshire Daily'!Y10-'Hampshire Daily'!Y9&lt;0),"0",('Hampshire Daily'!Y10-'Hampshire Daily'!Y9))</f>
        <v>1.0999999999967258E-2</v>
      </c>
      <c r="W7" s="4">
        <f>IF(('Hampshire Daily'!Z10-'Hampshire Daily'!Z9&lt;0),"0",('Hampshire Daily'!Z10-'Hampshire Daily'!Z9))</f>
        <v>0</v>
      </c>
      <c r="X7" s="4">
        <f>IF(('Hampshire Daily'!AA10-'Hampshire Daily'!AA9&lt;0),"0",('Hampshire Daily'!AA10-'Hampshire Daily'!AA9))</f>
        <v>4</v>
      </c>
      <c r="Y7" s="4">
        <f>'Hampshire Daily'!B10</f>
        <v>66</v>
      </c>
      <c r="Z7" s="4">
        <f>'Hampshire Daily'!C10</f>
        <v>162</v>
      </c>
    </row>
    <row r="8" spans="1:30" x14ac:dyDescent="0.25">
      <c r="A8" s="3" t="s">
        <v>40</v>
      </c>
      <c r="B8" s="1">
        <f t="shared" si="0"/>
        <v>7</v>
      </c>
      <c r="C8" s="17">
        <v>8</v>
      </c>
      <c r="D8" s="1">
        <v>2021</v>
      </c>
      <c r="E8" s="4">
        <f>IF(('Hampshire Daily'!D11-'Hampshire Daily'!D10&lt;0),"0",('Hampshire Daily'!D11-'Hampshire Daily'!D10))</f>
        <v>3859</v>
      </c>
      <c r="F8" s="4">
        <f>IF(('Hampshire Daily'!F11-'Hampshire Daily'!F10&lt;0),"0",('Hampshire Daily'!F11-'Hampshire Daily'!F10))</f>
        <v>1994</v>
      </c>
      <c r="G8" s="4">
        <f>IF(('Hampshire Daily'!H11-'Hampshire Daily'!H10&lt;0),"0",('Hampshire Daily'!H11-'Hampshire Daily'!H10))</f>
        <v>0</v>
      </c>
      <c r="H8" s="4">
        <f>IF(('Hampshire Daily'!I11-'Hampshire Daily'!I10&lt;0),"0",('Hampshire Daily'!I11-'Hampshire Daily'!I10))</f>
        <v>1730</v>
      </c>
      <c r="I8" s="4">
        <f>IF(('Hampshire Daily'!J11-'Hampshire Daily'!J10&lt;0),"0",('Hampshire Daily'!J11-'Hampshire Daily'!J10))</f>
        <v>3</v>
      </c>
      <c r="J8" s="4">
        <f>IF(('Hampshire Daily'!K11-'Hampshire Daily'!K10&lt;0),"0",('Hampshire Daily'!K11-'Hampshire Daily'!K10))</f>
        <v>2632</v>
      </c>
      <c r="K8" s="4">
        <f>IF(('Hampshire Daily'!L11-'Hampshire Daily'!L10&lt;0),"0",('Hampshire Daily'!L11-'Hampshire Daily'!L10))</f>
        <v>1424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2304</v>
      </c>
      <c r="N8" s="4">
        <f>IF(('Hampshire Daily'!O11-'Hampshire Daily'!O10&lt;0),"0",('Hampshire Daily'!O11-'Hampshire Daily'!O10))</f>
        <v>120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652</v>
      </c>
      <c r="Q8" s="4" t="str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12</v>
      </c>
      <c r="S8" s="4">
        <f>IF(('Hampshire Daily'!V11-'Hampshire Daily'!V10&lt;0),"0",('Hampshire Daily'!V11-'Hampshire Daily'!V10))</f>
        <v>1</v>
      </c>
      <c r="T8" s="4" t="str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0.23699999999996635</v>
      </c>
      <c r="V8" s="4">
        <f>IF(('Hampshire Daily'!Y11-'Hampshire Daily'!Y10&lt;0),"0",('Hampshire Daily'!Y11-'Hampshire Daily'!Y10))</f>
        <v>3.0000000001564331E-3</v>
      </c>
      <c r="W8" s="4">
        <f>IF(('Hampshire Daily'!Z11-'Hampshire Daily'!Z10&lt;0),"0",('Hampshire Daily'!Z11-'Hampshire Daily'!Z10))</f>
        <v>0</v>
      </c>
      <c r="X8" s="4">
        <f>IF(('Hampshire Daily'!AA11-'Hampshire Daily'!AA10&lt;0),"0",('Hampshire Daily'!AA11-'Hampshire Daily'!AA10))</f>
        <v>4</v>
      </c>
      <c r="Y8" s="4">
        <f>'Hampshire Daily'!B11</f>
        <v>72</v>
      </c>
      <c r="Z8" s="4">
        <f>'Hampshire Daily'!C11</f>
        <v>178</v>
      </c>
    </row>
    <row r="9" spans="1:30" x14ac:dyDescent="0.25">
      <c r="A9" s="3" t="s">
        <v>40</v>
      </c>
      <c r="B9" s="1">
        <f t="shared" si="0"/>
        <v>8</v>
      </c>
      <c r="C9" s="17">
        <v>8</v>
      </c>
      <c r="D9" s="1">
        <v>2021</v>
      </c>
      <c r="E9" s="4">
        <f>IF(('Hampshire Daily'!D12-'Hampshire Daily'!D11&lt;0),"0",('Hampshire Daily'!D12-'Hampshire Daily'!D11))</f>
        <v>3930</v>
      </c>
      <c r="F9" s="4">
        <f>IF(('Hampshire Daily'!F12-'Hampshire Daily'!F11&lt;0),"0",('Hampshire Daily'!F12-'Hampshire Daily'!F11))</f>
        <v>2066</v>
      </c>
      <c r="G9" s="4">
        <f>IF(('Hampshire Daily'!H12-'Hampshire Daily'!H11&lt;0),"0",('Hampshire Daily'!H12-'Hampshire Daily'!H11))</f>
        <v>43</v>
      </c>
      <c r="H9" s="4">
        <f>IF(('Hampshire Daily'!I12-'Hampshire Daily'!I11&lt;0),"0",('Hampshire Daily'!I12-'Hampshire Daily'!I11))</f>
        <v>1730</v>
      </c>
      <c r="I9" s="4" t="str">
        <f>IF(('Hampshire Daily'!J12-'Hampshire Daily'!J11&lt;0),"0",('Hampshire Daily'!J12-'Hampshire Daily'!J11))</f>
        <v>0</v>
      </c>
      <c r="J9" s="4" t="str">
        <f>IF(('Hampshire Daily'!K12-'Hampshire Daily'!K11&lt;0),"0",('Hampshire Daily'!K12-'Hampshire Daily'!K11))</f>
        <v>0</v>
      </c>
      <c r="K9" s="4">
        <f>IF(('Hampshire Daily'!L12-'Hampshire Daily'!L11&lt;0),"0",('Hampshire Daily'!L12-'Hampshire Daily'!L11))</f>
        <v>1261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2350</v>
      </c>
      <c r="N9" s="4">
        <f>IF(('Hampshire Daily'!O12-'Hampshire Daily'!O11&lt;0),"0",('Hampshire Daily'!O12-'Hampshire Daily'!O11))</f>
        <v>120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574</v>
      </c>
      <c r="Q9" s="4">
        <f>IF(('Hampshire Daily'!R12-'Hampshire Daily'!R11&lt;0),"0",('Hampshire Daily'!R12-'Hampshire Daily'!R11))</f>
        <v>504</v>
      </c>
      <c r="R9" s="4">
        <f>IF(('Hampshire Daily'!U12-'Hampshire Daily'!U11&lt;0),"0",('Hampshire Daily'!U12-'Hampshire Daily'!U11))</f>
        <v>8</v>
      </c>
      <c r="S9" s="4">
        <f>IF(('Hampshire Daily'!V12-'Hampshire Daily'!V11&lt;0),"0",('Hampshire Daily'!V12-'Hampshire Daily'!V11))</f>
        <v>1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0.18399999999996908</v>
      </c>
      <c r="V9" s="4">
        <f>IF(('Hampshire Daily'!Y12-'Hampshire Daily'!Y11&lt;0),"0",('Hampshire Daily'!Y12-'Hampshire Daily'!Y11))</f>
        <v>5.9999999998581188E-3</v>
      </c>
      <c r="W9" s="4">
        <f>IF(('Hampshire Daily'!Z12-'Hampshire Daily'!Z11&lt;0),"0",('Hampshire Daily'!Z12-'Hampshire Daily'!Z11))</f>
        <v>0</v>
      </c>
      <c r="X9" s="4">
        <f>IF(('Hampshire Daily'!AA12-'Hampshire Daily'!AA11&lt;0),"0",('Hampshire Daily'!AA12-'Hampshire Daily'!AA11))</f>
        <v>7</v>
      </c>
      <c r="Y9" s="4">
        <f>'Hampshire Daily'!B12</f>
        <v>69</v>
      </c>
      <c r="Z9" s="4">
        <f>'Hampshire Daily'!C12</f>
        <v>179</v>
      </c>
    </row>
    <row r="10" spans="1:30" x14ac:dyDescent="0.25">
      <c r="A10" s="3" t="s">
        <v>40</v>
      </c>
      <c r="B10" s="1">
        <f t="shared" si="0"/>
        <v>9</v>
      </c>
      <c r="C10" s="17">
        <v>8</v>
      </c>
      <c r="D10" s="1">
        <v>2021</v>
      </c>
      <c r="E10" s="4">
        <f>IF(('Hampshire Daily'!D13-'Hampshire Daily'!D12&lt;0),"0",('Hampshire Daily'!D13-'Hampshire Daily'!D12))</f>
        <v>3683</v>
      </c>
      <c r="F10" s="4">
        <f>IF(('Hampshire Daily'!F13-'Hampshire Daily'!F12&lt;0),"0",('Hampshire Daily'!F13-'Hampshire Daily'!F12))</f>
        <v>1898</v>
      </c>
      <c r="G10" s="4">
        <f>IF(('Hampshire Daily'!H13-'Hampshire Daily'!H12&lt;0),"0",('Hampshire Daily'!H13-'Hampshire Daily'!H12))</f>
        <v>0</v>
      </c>
      <c r="H10" s="4">
        <f>IF(('Hampshire Daily'!I13-'Hampshire Daily'!I12&lt;0),"0",('Hampshire Daily'!I13-'Hampshire Daily'!I12))</f>
        <v>1730</v>
      </c>
      <c r="I10" s="4">
        <f>IF(('Hampshire Daily'!J13-'Hampshire Daily'!J12&lt;0),"0",('Hampshire Daily'!J13-'Hampshire Daily'!J12))</f>
        <v>3</v>
      </c>
      <c r="J10" s="4">
        <f>IF(('Hampshire Daily'!K13-'Hampshire Daily'!K12&lt;0),"0",('Hampshire Daily'!K13-'Hampshire Daily'!K12))</f>
        <v>2632</v>
      </c>
      <c r="K10" s="4">
        <f>IF(('Hampshire Daily'!L13-'Hampshire Daily'!L12&lt;0),"0",('Hampshire Daily'!L13-'Hampshire Daily'!L12))</f>
        <v>1291</v>
      </c>
      <c r="L10" s="4">
        <f>IF(('Hampshire Daily'!M13-'Hampshire Daily'!M12&lt;0),"0",('Hampshire Daily'!M13-'Hampshire Daily'!M12))</f>
        <v>0</v>
      </c>
      <c r="M10" s="4">
        <f>IF(('Hampshire Daily'!N13-'Hampshire Daily'!N12&lt;0),"0",('Hampshire Daily'!N13-'Hampshire Daily'!N12))</f>
        <v>2344</v>
      </c>
      <c r="N10" s="4">
        <f>IF(('Hampshire Daily'!O13-'Hampshire Daily'!O12&lt;0),"0",('Hampshire Daily'!O13-'Hampshire Daily'!O12))</f>
        <v>169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485</v>
      </c>
      <c r="Q10" s="4">
        <f>IF(('Hampshire Daily'!R13-'Hampshire Daily'!R12&lt;0),"0",('Hampshire Daily'!R13-'Hampshire Daily'!R12))</f>
        <v>4</v>
      </c>
      <c r="R10" s="4">
        <f>IF(('Hampshire Daily'!U13-'Hampshire Daily'!U12&lt;0),"0",('Hampshire Daily'!U13-'Hampshire Daily'!U12))</f>
        <v>9</v>
      </c>
      <c r="S10" s="4">
        <f>IF(('Hampshire Daily'!V13-'Hampshire Daily'!V12&lt;0),"0",('Hampshire Daily'!V13-'Hampshire Daily'!V12))</f>
        <v>11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0.22100000000000364</v>
      </c>
      <c r="V10" s="4">
        <f>IF(('Hampshire Daily'!Y13-'Hampshire Daily'!Y12&lt;0),"0",('Hampshire Daily'!Y13-'Hampshire Daily'!Y12))</f>
        <v>7.0000000000618456E-3</v>
      </c>
      <c r="W10" s="4">
        <f>IF(('Hampshire Daily'!Z13-'Hampshire Daily'!Z12&lt;0),"0",('Hampshire Daily'!Z13-'Hampshire Daily'!Z12))</f>
        <v>0</v>
      </c>
      <c r="X10" s="4">
        <f>IF(('Hampshire Daily'!AA13-'Hampshire Daily'!AA12&lt;0),"0",('Hampshire Daily'!AA13-'Hampshire Daily'!AA12))</f>
        <v>7</v>
      </c>
      <c r="Y10" s="4">
        <f>'Hampshire Daily'!B13</f>
        <v>82</v>
      </c>
      <c r="Z10" s="4">
        <f>'Hampshire Daily'!C13</f>
        <v>212</v>
      </c>
    </row>
    <row r="11" spans="1:30" x14ac:dyDescent="0.25">
      <c r="A11" s="3" t="s">
        <v>40</v>
      </c>
      <c r="B11" s="1">
        <f t="shared" si="0"/>
        <v>10</v>
      </c>
      <c r="C11" s="17">
        <v>8</v>
      </c>
      <c r="D11" s="1">
        <v>2021</v>
      </c>
      <c r="E11" s="4">
        <f>IF(('Hampshire Daily'!D14-'Hampshire Daily'!D13&lt;0),"0",('Hampshire Daily'!D14-'Hampshire Daily'!D13))</f>
        <v>3385</v>
      </c>
      <c r="F11" s="4">
        <f>IF(('Hampshire Daily'!F14-'Hampshire Daily'!F13&lt;0),"0",('Hampshire Daily'!F14-'Hampshire Daily'!F13))</f>
        <v>2361</v>
      </c>
      <c r="G11" s="4">
        <f>IF(('Hampshire Daily'!H14-'Hampshire Daily'!H13&lt;0),"0",('Hampshire Daily'!H14-'Hampshire Daily'!H13))</f>
        <v>82</v>
      </c>
      <c r="H11" s="4">
        <f>IF(('Hampshire Daily'!I14-'Hampshire Daily'!I13&lt;0),"0",('Hampshire Daily'!I14-'Hampshire Daily'!I13))</f>
        <v>1730</v>
      </c>
      <c r="I11" s="4" t="str">
        <f>IF(('Hampshire Daily'!J14-'Hampshire Daily'!J13&lt;0),"0",('Hampshire Daily'!J14-'Hampshire Daily'!J13))</f>
        <v>0</v>
      </c>
      <c r="J11" s="4" t="str">
        <f>IF(('Hampshire Daily'!K14-'Hampshire Daily'!K13&lt;0),"0",('Hampshire Daily'!K14-'Hampshire Daily'!K13))</f>
        <v>0</v>
      </c>
      <c r="K11" s="4">
        <f>IF(('Hampshire Daily'!L14-'Hampshire Daily'!L13&lt;0),"0",('Hampshire Daily'!L14-'Hampshire Daily'!L13))</f>
        <v>1361</v>
      </c>
      <c r="L11" s="4">
        <f>IF(('Hampshire Daily'!M14-'Hampshire Daily'!M13&lt;0),"0",('Hampshire Daily'!M14-'Hampshire Daily'!M13))</f>
        <v>1</v>
      </c>
      <c r="M11" s="4">
        <f>IF(('Hampshire Daily'!N14-'Hampshire Daily'!N13&lt;0),"0",('Hampshire Daily'!N14-'Hampshire Daily'!N13))</f>
        <v>2241</v>
      </c>
      <c r="N11" s="4">
        <f>IF(('Hampshire Daily'!O14-'Hampshire Daily'!O13&lt;0),"0",('Hampshire Daily'!O14-'Hampshire Daily'!O13))</f>
        <v>133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539</v>
      </c>
      <c r="Q11" s="4">
        <f>IF(('Hampshire Daily'!R14-'Hampshire Daily'!R13&lt;0),"0",('Hampshire Daily'!R14-'Hampshire Daily'!R13))</f>
        <v>4</v>
      </c>
      <c r="R11" s="4">
        <f>IF(('Hampshire Daily'!U14-'Hampshire Daily'!U13&lt;0),"0",('Hampshire Daily'!U14-'Hampshire Daily'!U13))</f>
        <v>10</v>
      </c>
      <c r="S11" s="4">
        <f>IF(('Hampshire Daily'!V14-'Hampshire Daily'!V13&lt;0),"0",('Hampshire Daily'!V14-'Hampshire Daily'!V13))</f>
        <v>1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0.13599999999996726</v>
      </c>
      <c r="V11" s="4">
        <f>IF(('Hampshire Daily'!Y14-'Hampshire Daily'!Y13&lt;0),"0",('Hampshire Daily'!Y14-'Hampshire Daily'!Y13))</f>
        <v>7.9999999998108251E-3</v>
      </c>
      <c r="W11" s="4">
        <f>IF(('Hampshire Daily'!Z14-'Hampshire Daily'!Z13&lt;0),"0",('Hampshire Daily'!Z14-'Hampshire Daily'!Z13))</f>
        <v>0</v>
      </c>
      <c r="X11" s="4">
        <f>IF(('Hampshire Daily'!AA14-'Hampshire Daily'!AA13&lt;0),"0",('Hampshire Daily'!AA14-'Hampshire Daily'!AA13))</f>
        <v>5</v>
      </c>
      <c r="Y11" s="4">
        <f>'Hampshire Daily'!B14</f>
        <v>92</v>
      </c>
      <c r="Z11" s="4">
        <f>'Hampshire Daily'!C14</f>
        <v>226</v>
      </c>
    </row>
    <row r="12" spans="1:30" x14ac:dyDescent="0.25">
      <c r="A12" s="3" t="s">
        <v>40</v>
      </c>
      <c r="B12" s="1">
        <f t="shared" si="0"/>
        <v>11</v>
      </c>
      <c r="C12" s="17">
        <v>8</v>
      </c>
      <c r="D12" s="1">
        <v>2021</v>
      </c>
      <c r="E12" s="4">
        <f>IF(('Hampshire Daily'!D15-'Hampshire Daily'!D14&lt;0),"0",('Hampshire Daily'!D15-'Hampshire Daily'!D14))</f>
        <v>4145</v>
      </c>
      <c r="F12" s="4">
        <f>IF(('Hampshire Daily'!F15-'Hampshire Daily'!F14&lt;0),"0",('Hampshire Daily'!F15-'Hampshire Daily'!F14))</f>
        <v>2355</v>
      </c>
      <c r="G12" s="4">
        <f>IF(('Hampshire Daily'!H15-'Hampshire Daily'!H14&lt;0),"0",('Hampshire Daily'!H15-'Hampshire Daily'!H14))</f>
        <v>110</v>
      </c>
      <c r="H12" s="4">
        <f>IF(('Hampshire Daily'!I15-'Hampshire Daily'!I14&lt;0),"0",('Hampshire Daily'!I15-'Hampshire Daily'!I14))</f>
        <v>1730</v>
      </c>
      <c r="I12" s="4">
        <f>IF(('Hampshire Daily'!J15-'Hampshire Daily'!J14&lt;0),"0",('Hampshire Daily'!J15-'Hampshire Daily'!J14))</f>
        <v>3</v>
      </c>
      <c r="J12" s="4">
        <f>IF(('Hampshire Daily'!K15-'Hampshire Daily'!K14&lt;0),"0",('Hampshire Daily'!K15-'Hampshire Daily'!K14))</f>
        <v>2632</v>
      </c>
      <c r="K12" s="4">
        <f>IF(('Hampshire Daily'!L15-'Hampshire Daily'!L14&lt;0),"0",('Hampshire Daily'!L15-'Hampshire Daily'!L14))</f>
        <v>1361</v>
      </c>
      <c r="L12" s="4">
        <f>IF(('Hampshire Daily'!M15-'Hampshire Daily'!M14&lt;0),"0",('Hampshire Daily'!M15-'Hampshire Daily'!M14))</f>
        <v>10</v>
      </c>
      <c r="M12" s="4">
        <f>IF(('Hampshire Daily'!N15-'Hampshire Daily'!N14&lt;0),"0",('Hampshire Daily'!N15-'Hampshire Daily'!N14))</f>
        <v>2105</v>
      </c>
      <c r="N12" s="4">
        <f>IF(('Hampshire Daily'!O15-'Hampshire Daily'!O14&lt;0),"0",('Hampshire Daily'!O15-'Hampshire Daily'!O14))</f>
        <v>120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727</v>
      </c>
      <c r="Q12" s="4">
        <f>IF(('Hampshire Daily'!R15-'Hampshire Daily'!R14&lt;0),"0",('Hampshire Daily'!R15-'Hampshire Daily'!R14))</f>
        <v>4</v>
      </c>
      <c r="R12" s="4">
        <f>IF(('Hampshire Daily'!U15-'Hampshire Daily'!U14&lt;0),"0",('Hampshire Daily'!U15-'Hampshire Daily'!U14))</f>
        <v>9</v>
      </c>
      <c r="S12" s="4">
        <f>IF(('Hampshire Daily'!V15-'Hampshire Daily'!V14&lt;0),"0",('Hampshire Daily'!V15-'Hampshire Daily'!V14))</f>
        <v>1</v>
      </c>
      <c r="T12" s="4">
        <f>IF(('Hampshire Daily'!W15-'Hampshire Daily'!W14&lt;0),"0",('Hampshire Daily'!W15-'Hampshire Daily'!W14))</f>
        <v>0</v>
      </c>
      <c r="U12" s="4">
        <f>IF(('Hampshire Daily'!X15-'Hampshire Daily'!X14&lt;0),"0",('Hampshire Daily'!X15-'Hampshire Daily'!X14))</f>
        <v>0.43900000000007822</v>
      </c>
      <c r="V12" s="4">
        <f>IF(('Hampshire Daily'!Y15-'Hampshire Daily'!Y14&lt;0),"0",('Hampshire Daily'!Y15-'Hampshire Daily'!Y14))</f>
        <v>9.0000000000145519E-3</v>
      </c>
      <c r="W12" s="4">
        <f>IF(('Hampshire Daily'!Z15-'Hampshire Daily'!Z14&lt;0),"0",('Hampshire Daily'!Z15-'Hampshire Daily'!Z14))</f>
        <v>0</v>
      </c>
      <c r="X12" s="4">
        <f>IF(('Hampshire Daily'!AA15-'Hampshire Daily'!AA14&lt;0),"0",('Hampshire Daily'!AA15-'Hampshire Daily'!AA14))</f>
        <v>5</v>
      </c>
      <c r="Y12" s="4">
        <f>'Hampshire Daily'!B15</f>
        <v>112</v>
      </c>
      <c r="Z12" s="4">
        <f>'Hampshire Daily'!C15</f>
        <v>253</v>
      </c>
    </row>
    <row r="13" spans="1:30" x14ac:dyDescent="0.25">
      <c r="A13" s="3" t="s">
        <v>40</v>
      </c>
      <c r="B13" s="1">
        <f t="shared" si="0"/>
        <v>12</v>
      </c>
      <c r="C13" s="17">
        <v>8</v>
      </c>
      <c r="D13" s="1">
        <v>2021</v>
      </c>
      <c r="E13" s="4">
        <f>IF(('Hampshire Daily'!D16-'Hampshire Daily'!D15&lt;0),"0",('Hampshire Daily'!D16-'Hampshire Daily'!D15))</f>
        <v>4127</v>
      </c>
      <c r="F13" s="4">
        <f>IF(('Hampshire Daily'!F16-'Hampshire Daily'!F15&lt;0),"0",('Hampshire Daily'!F16-'Hampshire Daily'!F15))</f>
        <v>3085</v>
      </c>
      <c r="G13" s="4">
        <f>IF(('Hampshire Daily'!H16-'Hampshire Daily'!H15&lt;0),"0",('Hampshire Daily'!H16-'Hampshire Daily'!H15))</f>
        <v>104</v>
      </c>
      <c r="H13" s="4">
        <f>IF(('Hampshire Daily'!I16-'Hampshire Daily'!I15&lt;0),"0",('Hampshire Daily'!I16-'Hampshire Daily'!I15))</f>
        <v>1730</v>
      </c>
      <c r="I13" s="4" t="str">
        <f>IF(('Hampshire Daily'!J16-'Hampshire Daily'!J15&lt;0),"0",('Hampshire Daily'!J16-'Hampshire Daily'!J15))</f>
        <v>0</v>
      </c>
      <c r="J13" s="4" t="str">
        <f>IF(('Hampshire Daily'!K16-'Hampshire Daily'!K15&lt;0),"0",('Hampshire Daily'!K16-'Hampshire Daily'!K15))</f>
        <v>0</v>
      </c>
      <c r="K13" s="4">
        <f>IF(('Hampshire Daily'!L16-'Hampshire Daily'!L15&lt;0),"0",('Hampshire Daily'!L16-'Hampshire Daily'!L15))</f>
        <v>1361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2187</v>
      </c>
      <c r="N13" s="4">
        <f>IF(('Hampshire Daily'!O16-'Hampshire Daily'!O15&lt;0),"0",('Hampshire Daily'!O16-'Hampshire Daily'!O15))</f>
        <v>149</v>
      </c>
      <c r="O13" s="4">
        <f>IF(('Hampshire Daily'!P16-'Hampshire Daily'!P15&lt;0),"0",('Hampshire Daily'!P16-'Hampshire Daily'!P15))</f>
        <v>468</v>
      </c>
      <c r="P13" s="4">
        <f>IF(('Hampshire Daily'!Q16-'Hampshire Daily'!Q15&lt;0),"0",('Hampshire Daily'!Q16-'Hampshire Daily'!Q15))</f>
        <v>563</v>
      </c>
      <c r="Q13" s="4">
        <f>IF(('Hampshire Daily'!R16-'Hampshire Daily'!R15&lt;0),"0",('Hampshire Daily'!R16-'Hampshire Daily'!R15))</f>
        <v>3</v>
      </c>
      <c r="R13" s="4">
        <f>IF(('Hampshire Daily'!U16-'Hampshire Daily'!U15&lt;0),"0",('Hampshire Daily'!U16-'Hampshire Daily'!U15))</f>
        <v>10</v>
      </c>
      <c r="S13" s="4">
        <f>IF(('Hampshire Daily'!V16-'Hampshire Daily'!V15&lt;0),"0",('Hampshire Daily'!V16-'Hampshire Daily'!V15))</f>
        <v>1</v>
      </c>
      <c r="T13" s="4">
        <f>IF(('Hampshire Daily'!W16-'Hampshire Daily'!W15&lt;0),"0",('Hampshire Daily'!W16-'Hampshire Daily'!W15))</f>
        <v>0</v>
      </c>
      <c r="U13" s="4">
        <f>IF(('Hampshire Daily'!X16-'Hampshire Daily'!X15&lt;0),"0",('Hampshire Daily'!X16-'Hampshire Daily'!X15))</f>
        <v>7.6000000000021828E-2</v>
      </c>
      <c r="V13" s="4">
        <f>IF(('Hampshire Daily'!Y16-'Hampshire Daily'!Y15&lt;0),"0",('Hampshire Daily'!Y16-'Hampshire Daily'!Y15))</f>
        <v>1.0000000000218279E-2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5</v>
      </c>
      <c r="Y13" s="4">
        <f>'Hampshire Daily'!B16</f>
        <v>68</v>
      </c>
      <c r="Z13" s="4">
        <f>'Hampshire Daily'!C16</f>
        <v>176</v>
      </c>
    </row>
    <row r="14" spans="1:30" x14ac:dyDescent="0.25">
      <c r="A14" s="3" t="s">
        <v>40</v>
      </c>
      <c r="B14" s="1">
        <f t="shared" si="0"/>
        <v>13</v>
      </c>
      <c r="C14" s="17">
        <v>8</v>
      </c>
      <c r="D14" s="1">
        <v>2021</v>
      </c>
      <c r="E14" s="4">
        <f>IF(('Hampshire Daily'!D17-'Hampshire Daily'!D16&lt;0),"0",('Hampshire Daily'!D17-'Hampshire Daily'!D16))</f>
        <v>2882</v>
      </c>
      <c r="F14" s="4">
        <f>IF(('Hampshire Daily'!F17-'Hampshire Daily'!F16&lt;0),"0",('Hampshire Daily'!F17-'Hampshire Daily'!F16))</f>
        <v>3551</v>
      </c>
      <c r="G14" s="4">
        <f>IF(('Hampshire Daily'!H17-'Hampshire Daily'!H16&lt;0),"0",('Hampshire Daily'!H17-'Hampshire Daily'!H16))</f>
        <v>83</v>
      </c>
      <c r="H14" s="4">
        <f>IF(('Hampshire Daily'!I17-'Hampshire Daily'!I16&lt;0),"0",('Hampshire Daily'!I17-'Hampshire Daily'!I16))</f>
        <v>1730</v>
      </c>
      <c r="I14" s="4">
        <f>IF(('Hampshire Daily'!J17-'Hampshire Daily'!J16&lt;0),"0",('Hampshire Daily'!J17-'Hampshire Daily'!J16))</f>
        <v>3</v>
      </c>
      <c r="J14" s="4">
        <f>IF(('Hampshire Daily'!K17-'Hampshire Daily'!K16&lt;0),"0",('Hampshire Daily'!K17-'Hampshire Daily'!K16))</f>
        <v>2632</v>
      </c>
      <c r="K14" s="4">
        <f>IF(('Hampshire Daily'!L17-'Hampshire Daily'!L16&lt;0),"0",('Hampshire Daily'!L17-'Hampshire Daily'!L16))</f>
        <v>1361</v>
      </c>
      <c r="L14" s="4">
        <f>IF(('Hampshire Daily'!M17-'Hampshire Daily'!M16&lt;0),"0",('Hampshire Daily'!M17-'Hampshire Daily'!M16))</f>
        <v>1</v>
      </c>
      <c r="M14" s="4">
        <f>IF(('Hampshire Daily'!N17-'Hampshire Daily'!N16&lt;0),"0",('Hampshire Daily'!N17-'Hampshire Daily'!N16))</f>
        <v>2111</v>
      </c>
      <c r="N14" s="4">
        <f>IF(('Hampshire Daily'!O17-'Hampshire Daily'!O16&lt;0),"0",('Hampshire Daily'!O17-'Hampshire Daily'!O16))</f>
        <v>169</v>
      </c>
      <c r="O14" s="4">
        <f>IF(('Hampshire Daily'!P17-'Hampshire Daily'!P16&lt;0),"0",('Hampshire Daily'!P17-'Hampshire Daily'!P16))</f>
        <v>810</v>
      </c>
      <c r="P14" s="4">
        <f>IF(('Hampshire Daily'!Q17-'Hampshire Daily'!Q16&lt;0),"0",('Hampshire Daily'!Q17-'Hampshire Daily'!Q16))</f>
        <v>200</v>
      </c>
      <c r="Q14" s="4">
        <f>IF(('Hampshire Daily'!R17-'Hampshire Daily'!R16&lt;0),"0",('Hampshire Daily'!R17-'Hampshire Daily'!R16))</f>
        <v>2</v>
      </c>
      <c r="R14" s="4">
        <f>IF(('Hampshire Daily'!U17-'Hampshire Daily'!U16&lt;0),"0",('Hampshire Daily'!U17-'Hampshire Daily'!U16))</f>
        <v>10</v>
      </c>
      <c r="S14" s="4">
        <f>IF(('Hampshire Daily'!V17-'Hampshire Daily'!V16&lt;0),"0",('Hampshire Daily'!V17-'Hampshire Daily'!V16))</f>
        <v>2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0.34399999999993724</v>
      </c>
      <c r="V14" s="4">
        <f>IF(('Hampshire Daily'!Y17-'Hampshire Daily'!Y16&lt;0),"0",('Hampshire Daily'!Y17-'Hampshire Daily'!Y16))</f>
        <v>9.9999999997635314E-3</v>
      </c>
      <c r="W14" s="4">
        <f>IF(('Hampshire Daily'!Z17-'Hampshire Daily'!Z16&lt;0),"0",('Hampshire Daily'!Z17-'Hampshire Daily'!Z16))</f>
        <v>21</v>
      </c>
      <c r="X14" s="4">
        <f>IF(('Hampshire Daily'!AA17-'Hampshire Daily'!AA16&lt;0),"0",('Hampshire Daily'!AA17-'Hampshire Daily'!AA16))</f>
        <v>5</v>
      </c>
      <c r="Y14" s="4">
        <f>'Hampshire Daily'!B17</f>
        <v>91</v>
      </c>
      <c r="Z14" s="4">
        <f>'Hampshire Daily'!C17</f>
        <v>243</v>
      </c>
    </row>
    <row r="15" spans="1:30" x14ac:dyDescent="0.25">
      <c r="A15" s="3" t="s">
        <v>40</v>
      </c>
      <c r="B15" s="1">
        <f t="shared" si="0"/>
        <v>14</v>
      </c>
      <c r="C15" s="17">
        <v>8</v>
      </c>
      <c r="D15" s="1">
        <v>2021</v>
      </c>
      <c r="E15" s="4">
        <f>IF(('Hampshire Daily'!D18-'Hampshire Daily'!D17&lt;0),"0",('Hampshire Daily'!D18-'Hampshire Daily'!D17))</f>
        <v>3245</v>
      </c>
      <c r="F15" s="4">
        <f>IF(('Hampshire Daily'!F18-'Hampshire Daily'!F17&lt;0),"0",('Hampshire Daily'!F18-'Hampshire Daily'!F17))</f>
        <v>3949</v>
      </c>
      <c r="G15" s="4">
        <f>IF(('Hampshire Daily'!H18-'Hampshire Daily'!H17&lt;0),"0",('Hampshire Daily'!H18-'Hampshire Daily'!H17))</f>
        <v>81</v>
      </c>
      <c r="H15" s="4">
        <f>IF(('Hampshire Daily'!I18-'Hampshire Daily'!I17&lt;0),"0",('Hampshire Daily'!I18-'Hampshire Daily'!I17))</f>
        <v>1730</v>
      </c>
      <c r="I15" s="4" t="str">
        <f>IF(('Hampshire Daily'!J18-'Hampshire Daily'!J17&lt;0),"0",('Hampshire Daily'!J18-'Hampshire Daily'!J17))</f>
        <v>0</v>
      </c>
      <c r="J15" s="4" t="str">
        <f>IF(('Hampshire Daily'!K18-'Hampshire Daily'!K17&lt;0),"0",('Hampshire Daily'!K18-'Hampshire Daily'!K17))</f>
        <v>0</v>
      </c>
      <c r="K15" s="4">
        <f>IF(('Hampshire Daily'!L18-'Hampshire Daily'!L17&lt;0),"0",('Hampshire Daily'!L18-'Hampshire Daily'!L17))</f>
        <v>1361</v>
      </c>
      <c r="L15" s="4">
        <f>IF(('Hampshire Daily'!M18-'Hampshire Daily'!M17&lt;0),"0",('Hampshire Daily'!M18-'Hampshire Daily'!M17))</f>
        <v>1</v>
      </c>
      <c r="M15" s="4">
        <f>IF(('Hampshire Daily'!N18-'Hampshire Daily'!N17&lt;0),"0",('Hampshire Daily'!N18-'Hampshire Daily'!N17))</f>
        <v>2305</v>
      </c>
      <c r="N15" s="4">
        <f>IF(('Hampshire Daily'!O18-'Hampshire Daily'!O17&lt;0),"0",('Hampshire Daily'!O18-'Hampshire Daily'!O17))</f>
        <v>174</v>
      </c>
      <c r="O15" s="4">
        <f>IF(('Hampshire Daily'!P18-'Hampshire Daily'!P17&lt;0),"0",('Hampshire Daily'!P18-'Hampshire Daily'!P17))</f>
        <v>857</v>
      </c>
      <c r="P15" s="4">
        <f>IF(('Hampshire Daily'!Q18-'Hampshire Daily'!Q17&lt;0),"0",('Hampshire Daily'!Q18-'Hampshire Daily'!Q17))</f>
        <v>245</v>
      </c>
      <c r="Q15" s="4">
        <f>IF(('Hampshire Daily'!R18-'Hampshire Daily'!R17&lt;0),"0",('Hampshire Daily'!R18-'Hampshire Daily'!R17))</f>
        <v>3</v>
      </c>
      <c r="R15" s="4">
        <f>IF(('Hampshire Daily'!U18-'Hampshire Daily'!U17&lt;0),"0",('Hampshire Daily'!U18-'Hampshire Daily'!U17))</f>
        <v>11</v>
      </c>
      <c r="S15" s="4">
        <f>IF(('Hampshire Daily'!V18-'Hampshire Daily'!V17&lt;0),"0",('Hampshire Daily'!V18-'Hampshire Daily'!V17))</f>
        <v>1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0.30700000000001637</v>
      </c>
      <c r="V15" s="4">
        <f>IF(('Hampshire Daily'!Y18-'Hampshire Daily'!Y17&lt;0),"0",('Hampshire Daily'!Y18-'Hampshire Daily'!Y17))</f>
        <v>2.0000000000436557E-2</v>
      </c>
      <c r="W15" s="4">
        <f>IF(('Hampshire Daily'!Z18-'Hampshire Daily'!Z17&lt;0),"0",('Hampshire Daily'!Z18-'Hampshire Daily'!Z17))</f>
        <v>21</v>
      </c>
      <c r="X15" s="4">
        <f>IF(('Hampshire Daily'!AA18-'Hampshire Daily'!AA17&lt;0),"0",('Hampshire Daily'!AA18-'Hampshire Daily'!AA17))</f>
        <v>5</v>
      </c>
      <c r="Y15" s="4">
        <f>'Hampshire Daily'!B18</f>
        <v>92</v>
      </c>
      <c r="Z15" s="4">
        <f>'Hampshire Daily'!C18</f>
        <v>236</v>
      </c>
    </row>
    <row r="16" spans="1:30" x14ac:dyDescent="0.25">
      <c r="A16" s="3" t="s">
        <v>40</v>
      </c>
      <c r="B16" s="1">
        <f t="shared" si="0"/>
        <v>15</v>
      </c>
      <c r="C16" s="17">
        <v>8</v>
      </c>
      <c r="D16" s="1">
        <v>2021</v>
      </c>
      <c r="E16" s="4">
        <f>IF(('Hampshire Daily'!D19-'Hampshire Daily'!D18&lt;0),"0",('Hampshire Daily'!D19-'Hampshire Daily'!D18))</f>
        <v>2710</v>
      </c>
      <c r="F16" s="4">
        <f>IF(('Hampshire Daily'!F19-'Hampshire Daily'!F18&lt;0),"0",('Hampshire Daily'!F19-'Hampshire Daily'!F18))</f>
        <v>3879</v>
      </c>
      <c r="G16" s="4">
        <f>IF(('Hampshire Daily'!H19-'Hampshire Daily'!H18&lt;0),"0",('Hampshire Daily'!H19-'Hampshire Daily'!H18))</f>
        <v>107</v>
      </c>
      <c r="H16" s="4">
        <f>IF(('Hampshire Daily'!I19-'Hampshire Daily'!I18&lt;0),"0",('Hampshire Daily'!I19-'Hampshire Daily'!I18))</f>
        <v>1730</v>
      </c>
      <c r="I16" s="4">
        <f>IF(('Hampshire Daily'!J19-'Hampshire Daily'!J18&lt;0),"0",('Hampshire Daily'!J19-'Hampshire Daily'!J18))</f>
        <v>3</v>
      </c>
      <c r="J16" s="4">
        <f>IF(('Hampshire Daily'!K19-'Hampshire Daily'!K18&lt;0),"0",('Hampshire Daily'!K19-'Hampshire Daily'!K18))</f>
        <v>2632</v>
      </c>
      <c r="K16" s="4">
        <f>IF(('Hampshire Daily'!L19-'Hampshire Daily'!L18&lt;0),"0",('Hampshire Daily'!L19-'Hampshire Daily'!L18))</f>
        <v>1361</v>
      </c>
      <c r="L16" s="4">
        <f>IF(('Hampshire Daily'!M19-'Hampshire Daily'!M18&lt;0),"0",('Hampshire Daily'!M19-'Hampshire Daily'!M18))</f>
        <v>2</v>
      </c>
      <c r="M16" s="4">
        <f>IF(('Hampshire Daily'!N19-'Hampshire Daily'!N18&lt;0),"0",('Hampshire Daily'!N19-'Hampshire Daily'!N18))</f>
        <v>2094</v>
      </c>
      <c r="N16" s="4">
        <f>IF(('Hampshire Daily'!O19-'Hampshire Daily'!O18&lt;0),"0",('Hampshire Daily'!O19-'Hampshire Daily'!O18))</f>
        <v>183</v>
      </c>
      <c r="O16" s="4">
        <f>IF(('Hampshire Daily'!P19-'Hampshire Daily'!P18&lt;0),"0",('Hampshire Daily'!P19-'Hampshire Daily'!P18))</f>
        <v>829</v>
      </c>
      <c r="P16" s="4">
        <f>IF(('Hampshire Daily'!Q19-'Hampshire Daily'!Q18&lt;0),"0",('Hampshire Daily'!Q19-'Hampshire Daily'!Q18))</f>
        <v>193</v>
      </c>
      <c r="Q16" s="4">
        <f>IF(('Hampshire Daily'!R19-'Hampshire Daily'!R18&lt;0),"0",('Hampshire Daily'!R19-'Hampshire Daily'!R18))</f>
        <v>3</v>
      </c>
      <c r="R16" s="4">
        <f>IF(('Hampshire Daily'!U19-'Hampshire Daily'!U18&lt;0),"0",('Hampshire Daily'!U19-'Hampshire Daily'!U18))</f>
        <v>10</v>
      </c>
      <c r="S16" s="4">
        <f>IF(('Hampshire Daily'!V19-'Hampshire Daily'!V18&lt;0),"0",('Hampshire Daily'!V19-'Hampshire Daily'!V18))</f>
        <v>1</v>
      </c>
      <c r="T16" s="4">
        <f>IF(('Hampshire Daily'!W19-'Hampshire Daily'!W18&lt;0),"0",('Hampshire Daily'!W19-'Hampshire Daily'!W18))</f>
        <v>0</v>
      </c>
      <c r="U16" s="4">
        <f>IF(('Hampshire Daily'!X19-'Hampshire Daily'!X18&lt;0),"0",('Hampshire Daily'!X19-'Hampshire Daily'!X18))</f>
        <v>0.45699999999999363</v>
      </c>
      <c r="V16" s="4">
        <f>IF(('Hampshire Daily'!Y19-'Hampshire Daily'!Y18&lt;0),"0",('Hampshire Daily'!Y19-'Hampshire Daily'!Y18))</f>
        <v>4.999999999654392E-3</v>
      </c>
      <c r="W16" s="4">
        <f>IF(('Hampshire Daily'!Z19-'Hampshire Daily'!Z18&lt;0),"0",('Hampshire Daily'!Z19-'Hampshire Daily'!Z18))</f>
        <v>21</v>
      </c>
      <c r="X16" s="4">
        <f>IF(('Hampshire Daily'!AA19-'Hampshire Daily'!AA18&lt;0),"0",('Hampshire Daily'!AA19-'Hampshire Daily'!AA18))</f>
        <v>5</v>
      </c>
      <c r="Y16" s="4">
        <f>'Hampshire Daily'!B19</f>
        <v>86</v>
      </c>
      <c r="Z16" s="4">
        <f>'Hampshire Daily'!C19</f>
        <v>231</v>
      </c>
    </row>
    <row r="17" spans="1:26" x14ac:dyDescent="0.25">
      <c r="A17" s="3" t="s">
        <v>40</v>
      </c>
      <c r="B17" s="1">
        <f t="shared" si="0"/>
        <v>16</v>
      </c>
      <c r="C17" s="17">
        <v>8</v>
      </c>
      <c r="D17" s="1">
        <v>2021</v>
      </c>
      <c r="E17" s="4">
        <f>IF(('Hampshire Daily'!D20-'Hampshire Daily'!D19&lt;0),"0",('Hampshire Daily'!D20-'Hampshire Daily'!D19))</f>
        <v>2986</v>
      </c>
      <c r="F17" s="4">
        <f>IF(('Hampshire Daily'!F20-'Hampshire Daily'!F19&lt;0),"0",('Hampshire Daily'!F20-'Hampshire Daily'!F19))</f>
        <v>3746</v>
      </c>
      <c r="G17" s="4">
        <f>IF(('Hampshire Daily'!H20-'Hampshire Daily'!H19&lt;0),"0",('Hampshire Daily'!H20-'Hampshire Daily'!H19))</f>
        <v>57</v>
      </c>
      <c r="H17" s="4">
        <f>IF(('Hampshire Daily'!I20-'Hampshire Daily'!I19&lt;0),"0",('Hampshire Daily'!I20-'Hampshire Daily'!I19))</f>
        <v>1730</v>
      </c>
      <c r="I17" s="4" t="str">
        <f>IF(('Hampshire Daily'!J20-'Hampshire Daily'!J19&lt;0),"0",('Hampshire Daily'!J20-'Hampshire Daily'!J19))</f>
        <v>0</v>
      </c>
      <c r="J17" s="4" t="str">
        <f>IF(('Hampshire Daily'!K20-'Hampshire Daily'!K19&lt;0),"0",('Hampshire Daily'!K20-'Hampshire Daily'!K19))</f>
        <v>0</v>
      </c>
      <c r="K17" s="4">
        <f>IF(('Hampshire Daily'!L20-'Hampshire Daily'!L19&lt;0),"0",('Hampshire Daily'!L20-'Hampshire Daily'!L19))</f>
        <v>1361</v>
      </c>
      <c r="L17" s="4">
        <f>IF(('Hampshire Daily'!M20-'Hampshire Daily'!M19&lt;0),"0",('Hampshire Daily'!M20-'Hampshire Daily'!M19))</f>
        <v>3</v>
      </c>
      <c r="M17" s="4">
        <f>IF(('Hampshire Daily'!N20-'Hampshire Daily'!N19&lt;0),"0",('Hampshire Daily'!N20-'Hampshire Daily'!N19))</f>
        <v>2275</v>
      </c>
      <c r="N17" s="4" t="str">
        <f>IF(('Hampshire Daily'!O20-'Hampshire Daily'!O19&lt;0),"0",('Hampshire Daily'!O20-'Hampshire Daily'!O19))</f>
        <v>0</v>
      </c>
      <c r="O17" s="4">
        <f>IF(('Hampshire Daily'!P20-'Hampshire Daily'!P19&lt;0),"0",('Hampshire Daily'!P20-'Hampshire Daily'!P19))</f>
        <v>852</v>
      </c>
      <c r="P17" s="4">
        <f>IF(('Hampshire Daily'!Q20-'Hampshire Daily'!Q19&lt;0),"0",('Hampshire Daily'!Q20-'Hampshire Daily'!Q19))</f>
        <v>136</v>
      </c>
      <c r="Q17" s="4">
        <f>IF(('Hampshire Daily'!R20-'Hampshire Daily'!R19&lt;0),"0",('Hampshire Daily'!R20-'Hampshire Daily'!R19))</f>
        <v>3</v>
      </c>
      <c r="R17" s="4">
        <f>IF(('Hampshire Daily'!U20-'Hampshire Daily'!U19&lt;0),"0",('Hampshire Daily'!U20-'Hampshire Daily'!U19))</f>
        <v>11</v>
      </c>
      <c r="S17" s="4">
        <f>IF(('Hampshire Daily'!V20-'Hampshire Daily'!V19&lt;0),"0",('Hampshire Daily'!V20-'Hampshire Daily'!V19))</f>
        <v>14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0.38900000000001</v>
      </c>
      <c r="V17" s="4">
        <f>IF(('Hampshire Daily'!Y20-'Hampshire Daily'!Y19&lt;0),"0",('Hampshire Daily'!Y20-'Hampshire Daily'!Y19))</f>
        <v>8.0000000002655725E-3</v>
      </c>
      <c r="W17" s="4">
        <f>IF(('Hampshire Daily'!Z20-'Hampshire Daily'!Z19&lt;0),"0",('Hampshire Daily'!Z20-'Hampshire Daily'!Z19))</f>
        <v>19</v>
      </c>
      <c r="X17" s="4">
        <f>IF(('Hampshire Daily'!AA20-'Hampshire Daily'!AA19&lt;0),"0",('Hampshire Daily'!AA20-'Hampshire Daily'!AA19))</f>
        <v>5</v>
      </c>
      <c r="Y17" s="4">
        <f>'Hampshire Daily'!B20</f>
        <v>72</v>
      </c>
      <c r="Z17" s="4">
        <f>'Hampshire Daily'!C20</f>
        <v>183</v>
      </c>
    </row>
    <row r="18" spans="1:26" x14ac:dyDescent="0.25">
      <c r="A18" s="3" t="s">
        <v>40</v>
      </c>
      <c r="B18" s="1">
        <f t="shared" si="0"/>
        <v>17</v>
      </c>
      <c r="C18" s="17">
        <v>8</v>
      </c>
      <c r="D18" s="1">
        <v>2021</v>
      </c>
      <c r="E18" s="4">
        <f>IF(('Hampshire Daily'!D21-'Hampshire Daily'!D20&lt;0),"0",('Hampshire Daily'!D21-'Hampshire Daily'!D20))</f>
        <v>2656</v>
      </c>
      <c r="F18" s="4">
        <f>IF(('Hampshire Daily'!F21-'Hampshire Daily'!F20&lt;0),"0",('Hampshire Daily'!F21-'Hampshire Daily'!F20))</f>
        <v>6638</v>
      </c>
      <c r="G18" s="4">
        <f>IF(('Hampshire Daily'!H21-'Hampshire Daily'!H20&lt;0),"0",('Hampshire Daily'!H21-'Hampshire Daily'!H20))</f>
        <v>701</v>
      </c>
      <c r="H18" s="4">
        <f>IF(('Hampshire Daily'!I21-'Hampshire Daily'!I20&lt;0),"0",('Hampshire Daily'!I21-'Hampshire Daily'!I20))</f>
        <v>1730</v>
      </c>
      <c r="I18" s="4">
        <f>IF(('Hampshire Daily'!J21-'Hampshire Daily'!J20&lt;0),"0",('Hampshire Daily'!J21-'Hampshire Daily'!J20))</f>
        <v>3</v>
      </c>
      <c r="J18" s="4">
        <f>IF(('Hampshire Daily'!K21-'Hampshire Daily'!K20&lt;0),"0",('Hampshire Daily'!K21-'Hampshire Daily'!K20))</f>
        <v>2632</v>
      </c>
      <c r="K18" s="4">
        <f>IF(('Hampshire Daily'!L21-'Hampshire Daily'!L20&lt;0),"0",('Hampshire Daily'!L21-'Hampshire Daily'!L20))</f>
        <v>1361</v>
      </c>
      <c r="L18" s="4">
        <f>IF(('Hampshire Daily'!M21-'Hampshire Daily'!M20&lt;0),"0",('Hampshire Daily'!M21-'Hampshire Daily'!M20))</f>
        <v>0</v>
      </c>
      <c r="M18" s="4">
        <f>IF(('Hampshire Daily'!N21-'Hampshire Daily'!N20&lt;0),"0",('Hampshire Daily'!N21-'Hampshire Daily'!N20))</f>
        <v>1649</v>
      </c>
      <c r="N18" s="4">
        <f>IF(('Hampshire Daily'!O21-'Hampshire Daily'!O20&lt;0),"0",('Hampshire Daily'!O21-'Hampshire Daily'!O20))</f>
        <v>649</v>
      </c>
      <c r="O18" s="4">
        <f>IF(('Hampshire Daily'!P21-'Hampshire Daily'!P20&lt;0),"0",('Hampshire Daily'!P21-'Hampshire Daily'!P20))</f>
        <v>803</v>
      </c>
      <c r="P18" s="4">
        <f>IF(('Hampshire Daily'!Q21-'Hampshire Daily'!Q20&lt;0),"0",('Hampshire Daily'!Q21-'Hampshire Daily'!Q20))</f>
        <v>110</v>
      </c>
      <c r="Q18" s="4">
        <f>IF(('Hampshire Daily'!R21-'Hampshire Daily'!R20&lt;0),"0",('Hampshire Daily'!R21-'Hampshire Daily'!R20))</f>
        <v>1</v>
      </c>
      <c r="R18" s="4">
        <f>IF(('Hampshire Daily'!U21-'Hampshire Daily'!U20&lt;0),"0",('Hampshire Daily'!U21-'Hampshire Daily'!U20))</f>
        <v>9</v>
      </c>
      <c r="S18" s="4">
        <f>IF(('Hampshire Daily'!V21-'Hampshire Daily'!V20&lt;0),"0",('Hampshire Daily'!V21-'Hampshire Daily'!V20))</f>
        <v>1</v>
      </c>
      <c r="T18" s="4">
        <f>IF(('Hampshire Daily'!W21-'Hampshire Daily'!W20&lt;0),"0",('Hampshire Daily'!W21-'Hampshire Daily'!W20))</f>
        <v>0</v>
      </c>
      <c r="U18" s="4">
        <f>IF(('Hampshire Daily'!X21-'Hampshire Daily'!X20&lt;0),"0",('Hampshire Daily'!X21-'Hampshire Daily'!X20))</f>
        <v>8.500000000003638E-2</v>
      </c>
      <c r="V18" s="4">
        <f>IF(('Hampshire Daily'!Y21-'Hampshire Daily'!Y20&lt;0),"0",('Hampshire Daily'!Y21-'Hampshire Daily'!Y20))</f>
        <v>7.0000000000618456E-3</v>
      </c>
      <c r="W18" s="4">
        <f>IF(('Hampshire Daily'!Z21-'Hampshire Daily'!Z20&lt;0),"0",('Hampshire Daily'!Z21-'Hampshire Daily'!Z20))</f>
        <v>20</v>
      </c>
      <c r="X18" s="4">
        <f>IF(('Hampshire Daily'!AA21-'Hampshire Daily'!AA20&lt;0),"0",('Hampshire Daily'!AA21-'Hampshire Daily'!AA20))</f>
        <v>5</v>
      </c>
      <c r="Y18" s="4">
        <f>'Hampshire Daily'!B21</f>
        <v>65</v>
      </c>
      <c r="Z18" s="4">
        <f>'Hampshire Daily'!C21</f>
        <v>163</v>
      </c>
    </row>
    <row r="19" spans="1:26" x14ac:dyDescent="0.25">
      <c r="A19" s="3" t="s">
        <v>40</v>
      </c>
      <c r="B19" s="1">
        <f t="shared" si="0"/>
        <v>18</v>
      </c>
      <c r="C19" s="17">
        <v>8</v>
      </c>
      <c r="D19" s="1">
        <v>2021</v>
      </c>
      <c r="E19" s="4">
        <f>IF(('Hampshire Daily'!D22-'Hampshire Daily'!D21&lt;0),"0",('Hampshire Daily'!D22-'Hampshire Daily'!D21))</f>
        <v>2787</v>
      </c>
      <c r="F19" s="4">
        <f>IF(('Hampshire Daily'!F22-'Hampshire Daily'!F21&lt;0),"0",('Hampshire Daily'!F22-'Hampshire Daily'!F21))</f>
        <v>6657</v>
      </c>
      <c r="G19" s="4">
        <f>IF(('Hampshire Daily'!H22-'Hampshire Daily'!H21&lt;0),"0",('Hampshire Daily'!H22-'Hampshire Daily'!H21))</f>
        <v>962</v>
      </c>
      <c r="H19" s="4">
        <f>IF(('Hampshire Daily'!I22-'Hampshire Daily'!I21&lt;0),"0",('Hampshire Daily'!I22-'Hampshire Daily'!I21))</f>
        <v>1730</v>
      </c>
      <c r="I19" s="4" t="str">
        <f>IF(('Hampshire Daily'!J22-'Hampshire Daily'!J21&lt;0),"0",('Hampshire Daily'!J22-'Hampshire Daily'!J21))</f>
        <v>0</v>
      </c>
      <c r="J19" s="4" t="str">
        <f>IF(('Hampshire Daily'!K22-'Hampshire Daily'!K21&lt;0),"0",('Hampshire Daily'!K22-'Hampshire Daily'!K21))</f>
        <v>0</v>
      </c>
      <c r="K19" s="4">
        <f>IF(('Hampshire Daily'!L22-'Hampshire Daily'!L21&lt;0),"0",('Hampshire Daily'!L22-'Hampshire Daily'!L21))</f>
        <v>1361</v>
      </c>
      <c r="L19" s="4">
        <f>IF(('Hampshire Daily'!M22-'Hampshire Daily'!M21&lt;0),"0",('Hampshire Daily'!M22-'Hampshire Daily'!M21))</f>
        <v>48</v>
      </c>
      <c r="M19" s="4">
        <f>IF(('Hampshire Daily'!N22-'Hampshire Daily'!N21&lt;0),"0",('Hampshire Daily'!N22-'Hampshire Daily'!N21))</f>
        <v>1587</v>
      </c>
      <c r="N19" s="4">
        <f>IF(('Hampshire Daily'!O22-'Hampshire Daily'!O21&lt;0),"0",('Hampshire Daily'!O22-'Hampshire Daily'!O21))</f>
        <v>177</v>
      </c>
      <c r="O19" s="4">
        <f>IF(('Hampshire Daily'!P22-'Hampshire Daily'!P21&lt;0),"0",('Hampshire Daily'!P22-'Hampshire Daily'!P21))</f>
        <v>819</v>
      </c>
      <c r="P19" s="4">
        <f>IF(('Hampshire Daily'!Q22-'Hampshire Daily'!Q21&lt;0),"0",('Hampshire Daily'!Q22-'Hampshire Daily'!Q21))</f>
        <v>167</v>
      </c>
      <c r="Q19" s="4">
        <f>IF(('Hampshire Daily'!R22-'Hampshire Daily'!R21&lt;0),"0",('Hampshire Daily'!R22-'Hampshire Daily'!R21))</f>
        <v>1.6599999999999682</v>
      </c>
      <c r="R19" s="4">
        <f>IF(('Hampshire Daily'!U22-'Hampshire Daily'!U21&lt;0),"0",('Hampshire Daily'!U22-'Hampshire Daily'!U21))</f>
        <v>9.5999999999985448</v>
      </c>
      <c r="S19" s="4">
        <f>IF(('Hampshire Daily'!V22-'Hampshire Daily'!V21&lt;0),"0",('Hampshire Daily'!V22-'Hampshire Daily'!V21))</f>
        <v>1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0.16999999999995907</v>
      </c>
      <c r="V19" s="4">
        <f>IF(('Hampshire Daily'!Y22-'Hampshire Daily'!Y21&lt;0),"0",('Hampshire Daily'!Y22-'Hampshire Daily'!Y21))</f>
        <v>0</v>
      </c>
      <c r="W19" s="4">
        <f>IF(('Hampshire Daily'!Z22-'Hampshire Daily'!Z21&lt;0),"0",('Hampshire Daily'!Z22-'Hampshire Daily'!Z21))</f>
        <v>17</v>
      </c>
      <c r="X19" s="4">
        <f>IF(('Hampshire Daily'!AA22-'Hampshire Daily'!AA21&lt;0),"0",('Hampshire Daily'!AA22-'Hampshire Daily'!AA21))</f>
        <v>5</v>
      </c>
      <c r="Y19" s="4">
        <f>'Hampshire Daily'!B22</f>
        <v>83</v>
      </c>
      <c r="Z19" s="4">
        <f>'Hampshire Daily'!C22</f>
        <v>202</v>
      </c>
    </row>
    <row r="20" spans="1:26" x14ac:dyDescent="0.25">
      <c r="A20" s="3" t="s">
        <v>40</v>
      </c>
      <c r="B20" s="1">
        <f t="shared" si="0"/>
        <v>19</v>
      </c>
      <c r="C20" s="17">
        <v>8</v>
      </c>
      <c r="D20" s="1">
        <v>2021</v>
      </c>
      <c r="E20" s="4">
        <f>IF(('Hampshire Daily'!D23-'Hampshire Daily'!D22&lt;0),"0",('Hampshire Daily'!D23-'Hampshire Daily'!D22))</f>
        <v>2787</v>
      </c>
      <c r="F20" s="4">
        <f>IF(('Hampshire Daily'!F23-'Hampshire Daily'!F22&lt;0),"0",('Hampshire Daily'!F23-'Hampshire Daily'!F22))</f>
        <v>6657</v>
      </c>
      <c r="G20" s="4">
        <f>IF(('Hampshire Daily'!H23-'Hampshire Daily'!H22&lt;0),"0",('Hampshire Daily'!H23-'Hampshire Daily'!H22))</f>
        <v>962</v>
      </c>
      <c r="H20" s="4">
        <f>IF(('Hampshire Daily'!I23-'Hampshire Daily'!I22&lt;0),"0",('Hampshire Daily'!I23-'Hampshire Daily'!I22))</f>
        <v>1730</v>
      </c>
      <c r="I20" s="4">
        <f>IF(('Hampshire Daily'!J23-'Hampshire Daily'!J22&lt;0),"0",('Hampshire Daily'!J23-'Hampshire Daily'!J22))</f>
        <v>3</v>
      </c>
      <c r="J20" s="4">
        <f>IF(('Hampshire Daily'!K23-'Hampshire Daily'!K22&lt;0),"0",('Hampshire Daily'!K23-'Hampshire Daily'!K22))</f>
        <v>2632</v>
      </c>
      <c r="K20" s="4">
        <f>IF(('Hampshire Daily'!L23-'Hampshire Daily'!L22&lt;0),"0",('Hampshire Daily'!L23-'Hampshire Daily'!L22))</f>
        <v>1361</v>
      </c>
      <c r="L20" s="4">
        <f>IF(('Hampshire Daily'!M23-'Hampshire Daily'!M22&lt;0),"0",('Hampshire Daily'!M23-'Hampshire Daily'!M22))</f>
        <v>48</v>
      </c>
      <c r="M20" s="4">
        <f>IF(('Hampshire Daily'!N23-'Hampshire Daily'!N22&lt;0),"0",('Hampshire Daily'!N23-'Hampshire Daily'!N22))</f>
        <v>1587</v>
      </c>
      <c r="N20" s="4">
        <f>IF(('Hampshire Daily'!O23-'Hampshire Daily'!O22&lt;0),"0",('Hampshire Daily'!O23-'Hampshire Daily'!O22))</f>
        <v>177</v>
      </c>
      <c r="O20" s="4">
        <f>IF(('Hampshire Daily'!P23-'Hampshire Daily'!P22&lt;0),"0",('Hampshire Daily'!P23-'Hampshire Daily'!P22))</f>
        <v>819</v>
      </c>
      <c r="P20" s="4">
        <f>IF(('Hampshire Daily'!Q23-'Hampshire Daily'!Q22&lt;0),"0",('Hampshire Daily'!Q23-'Hampshire Daily'!Q22))</f>
        <v>167</v>
      </c>
      <c r="Q20" s="4">
        <f>IF(('Hampshire Daily'!R23-'Hampshire Daily'!R22&lt;0),"0",('Hampshire Daily'!R23-'Hampshire Daily'!R22))</f>
        <v>1.6600000000000819</v>
      </c>
      <c r="R20" s="4">
        <f>IF(('Hampshire Daily'!U23-'Hampshire Daily'!U22&lt;0),"0",('Hampshire Daily'!U23-'Hampshire Daily'!U22))</f>
        <v>9.5999999999985448</v>
      </c>
      <c r="S20" s="4">
        <f>IF(('Hampshire Daily'!V23-'Hampshire Daily'!V22&lt;0),"0",('Hampshire Daily'!V23-'Hampshire Daily'!V22))</f>
        <v>1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0.16999999999995907</v>
      </c>
      <c r="V20" s="4">
        <f>IF(('Hampshire Daily'!Y23-'Hampshire Daily'!Y22&lt;0),"0",('Hampshire Daily'!Y23-'Hampshire Daily'!Y22))</f>
        <v>0</v>
      </c>
      <c r="W20" s="4">
        <f>IF(('Hampshire Daily'!Z23-'Hampshire Daily'!Z22&lt;0),"0",('Hampshire Daily'!Z23-'Hampshire Daily'!Z22))</f>
        <v>17</v>
      </c>
      <c r="X20" s="4">
        <f>IF(('Hampshire Daily'!AA23-'Hampshire Daily'!AA22&lt;0),"0",('Hampshire Daily'!AA23-'Hampshire Daily'!AA22))</f>
        <v>5</v>
      </c>
      <c r="Y20" s="4">
        <f>'Hampshire Daily'!B23</f>
        <v>104</v>
      </c>
      <c r="Z20" s="4">
        <f>'Hampshire Daily'!C23</f>
        <v>242</v>
      </c>
    </row>
    <row r="21" spans="1:26" x14ac:dyDescent="0.25">
      <c r="A21" s="3" t="s">
        <v>40</v>
      </c>
      <c r="B21" s="1">
        <f t="shared" si="0"/>
        <v>20</v>
      </c>
      <c r="C21" s="17">
        <v>8</v>
      </c>
      <c r="D21" s="1">
        <v>2021</v>
      </c>
      <c r="E21" s="4">
        <f>IF(('Hampshire Daily'!D24-'Hampshire Daily'!D23&lt;0),"0",('Hampshire Daily'!D24-'Hampshire Daily'!D23))</f>
        <v>2789</v>
      </c>
      <c r="F21" s="4">
        <f>IF(('Hampshire Daily'!F24-'Hampshire Daily'!F23&lt;0),"0",('Hampshire Daily'!F24-'Hampshire Daily'!F23))</f>
        <v>6658</v>
      </c>
      <c r="G21" s="4">
        <f>IF(('Hampshire Daily'!H24-'Hampshire Daily'!H23&lt;0),"0",('Hampshire Daily'!H24-'Hampshire Daily'!H23))</f>
        <v>963</v>
      </c>
      <c r="H21" s="4">
        <f>IF(('Hampshire Daily'!I24-'Hampshire Daily'!I23&lt;0),"0",('Hampshire Daily'!I24-'Hampshire Daily'!I23))</f>
        <v>1730</v>
      </c>
      <c r="I21" s="4" t="str">
        <f>IF(('Hampshire Daily'!J24-'Hampshire Daily'!J23&lt;0),"0",('Hampshire Daily'!J24-'Hampshire Daily'!J23))</f>
        <v>0</v>
      </c>
      <c r="J21" s="4" t="str">
        <f>IF(('Hampshire Daily'!K24-'Hampshire Daily'!K23&lt;0),"0",('Hampshire Daily'!K24-'Hampshire Daily'!K23))</f>
        <v>0</v>
      </c>
      <c r="K21" s="4">
        <f>IF(('Hampshire Daily'!L24-'Hampshire Daily'!L23&lt;0),"0",('Hampshire Daily'!L24-'Hampshire Daily'!L23))</f>
        <v>1361</v>
      </c>
      <c r="L21" s="4">
        <f>IF(('Hampshire Daily'!M24-'Hampshire Daily'!M23&lt;0),"0",('Hampshire Daily'!M24-'Hampshire Daily'!M23))</f>
        <v>50</v>
      </c>
      <c r="M21" s="4">
        <f>IF(('Hampshire Daily'!N24-'Hampshire Daily'!N23&lt;0),"0",('Hampshire Daily'!N24-'Hampshire Daily'!N23))</f>
        <v>1589</v>
      </c>
      <c r="N21" s="4">
        <f>IF(('Hampshire Daily'!O24-'Hampshire Daily'!O23&lt;0),"0",('Hampshire Daily'!O24-'Hampshire Daily'!O23))</f>
        <v>177</v>
      </c>
      <c r="O21" s="4">
        <f>IF(('Hampshire Daily'!P24-'Hampshire Daily'!P23&lt;0),"0",('Hampshire Daily'!P24-'Hampshire Daily'!P23))</f>
        <v>821</v>
      </c>
      <c r="P21" s="4">
        <f>IF(('Hampshire Daily'!Q24-'Hampshire Daily'!Q23&lt;0),"0",('Hampshire Daily'!Q24-'Hampshire Daily'!Q23))</f>
        <v>168</v>
      </c>
      <c r="Q21" s="4">
        <f>IF(('Hampshire Daily'!R24-'Hampshire Daily'!R23&lt;0),"0",('Hampshire Daily'!R24-'Hampshire Daily'!R23))</f>
        <v>1.67999999999995</v>
      </c>
      <c r="R21" s="4">
        <f>IF(('Hampshire Daily'!U24-'Hampshire Daily'!U23&lt;0),"0",('Hampshire Daily'!U24-'Hampshire Daily'!U23))</f>
        <v>9.8000000000029104</v>
      </c>
      <c r="S21" s="4">
        <f>IF(('Hampshire Daily'!V24-'Hampshire Daily'!V23&lt;0),"0",('Hampshire Daily'!V24-'Hampshire Daily'!V23))</f>
        <v>1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0.17000000000007276</v>
      </c>
      <c r="V21" s="4">
        <f>IF(('Hampshire Daily'!Y24-'Hampshire Daily'!Y23&lt;0),"0",('Hampshire Daily'!Y24-'Hampshire Daily'!Y23))</f>
        <v>3.1999999999698048E-2</v>
      </c>
      <c r="W21" s="4">
        <f>IF(('Hampshire Daily'!Z24-'Hampshire Daily'!Z23&lt;0),"0",('Hampshire Daily'!Z24-'Hampshire Daily'!Z23))</f>
        <v>18</v>
      </c>
      <c r="X21" s="4">
        <f>IF(('Hampshire Daily'!AA24-'Hampshire Daily'!AA23&lt;0),"0",('Hampshire Daily'!AA24-'Hampshire Daily'!AA23))</f>
        <v>5</v>
      </c>
      <c r="Y21" s="4">
        <f>'Hampshire Daily'!B24</f>
        <v>100</v>
      </c>
      <c r="Z21" s="4">
        <f>'Hampshire Daily'!C24</f>
        <v>241</v>
      </c>
    </row>
    <row r="22" spans="1:26" x14ac:dyDescent="0.25">
      <c r="A22" s="3" t="s">
        <v>40</v>
      </c>
      <c r="B22" s="1">
        <f t="shared" si="0"/>
        <v>21</v>
      </c>
      <c r="C22" s="17">
        <v>8</v>
      </c>
      <c r="D22" s="1">
        <v>2021</v>
      </c>
      <c r="E22" s="4">
        <f>IF(('Hampshire Daily'!D25-'Hampshire Daily'!D24&lt;0),"0",('Hampshire Daily'!D25-'Hampshire Daily'!D24))</f>
        <v>3286</v>
      </c>
      <c r="F22" s="4">
        <f>IF(('Hampshire Daily'!F25-'Hampshire Daily'!F24&lt;0),"0",('Hampshire Daily'!F25-'Hampshire Daily'!F24))</f>
        <v>7160</v>
      </c>
      <c r="G22" s="4">
        <f>IF(('Hampshire Daily'!H25-'Hampshire Daily'!H24&lt;0),"0",('Hampshire Daily'!H25-'Hampshire Daily'!H24))</f>
        <v>224</v>
      </c>
      <c r="H22" s="4">
        <f>IF(('Hampshire Daily'!I25-'Hampshire Daily'!I24&lt;0),"0",('Hampshire Daily'!I25-'Hampshire Daily'!I24))</f>
        <v>1730</v>
      </c>
      <c r="I22" s="4">
        <f>IF(('Hampshire Daily'!J25-'Hampshire Daily'!J24&lt;0),"0",('Hampshire Daily'!J25-'Hampshire Daily'!J24))</f>
        <v>3</v>
      </c>
      <c r="J22" s="4">
        <f>IF(('Hampshire Daily'!K25-'Hampshire Daily'!K24&lt;0),"0",('Hampshire Daily'!K25-'Hampshire Daily'!K24))</f>
        <v>2632</v>
      </c>
      <c r="K22" s="4">
        <f>IF(('Hampshire Daily'!L25-'Hampshire Daily'!L24&lt;0),"0",('Hampshire Daily'!L25-'Hampshire Daily'!L24))</f>
        <v>1361</v>
      </c>
      <c r="L22" s="4">
        <f>IF(('Hampshire Daily'!M25-'Hampshire Daily'!M24&lt;0),"0",('Hampshire Daily'!M25-'Hampshire Daily'!M24))</f>
        <v>1</v>
      </c>
      <c r="M22" s="4">
        <f>IF(('Hampshire Daily'!N25-'Hampshire Daily'!N24&lt;0),"0",('Hampshire Daily'!N25-'Hampshire Daily'!N24))</f>
        <v>1668</v>
      </c>
      <c r="N22" s="4">
        <f>IF(('Hampshire Daily'!O25-'Hampshire Daily'!O24&lt;0),"0",('Hampshire Daily'!O25-'Hampshire Daily'!O24))</f>
        <v>179</v>
      </c>
      <c r="O22" s="4">
        <f>IF(('Hampshire Daily'!P25-'Hampshire Daily'!P24&lt;0),"0",('Hampshire Daily'!P25-'Hampshire Daily'!P24))</f>
        <v>851</v>
      </c>
      <c r="P22" s="4">
        <f>IF(('Hampshire Daily'!Q25-'Hampshire Daily'!Q24&lt;0),"0",('Hampshire Daily'!Q25-'Hampshire Daily'!Q24))</f>
        <v>128</v>
      </c>
      <c r="Q22" s="4">
        <f>IF(('Hampshire Daily'!R25-'Hampshire Daily'!R24&lt;0),"0",('Hampshire Daily'!R25-'Hampshire Daily'!R24))</f>
        <v>2</v>
      </c>
      <c r="R22" s="4">
        <f>IF(('Hampshire Daily'!U25-'Hampshire Daily'!U24&lt;0),"0",('Hampshire Daily'!U25-'Hampshire Daily'!U24))</f>
        <v>10</v>
      </c>
      <c r="S22" s="4">
        <f>IF(('Hampshire Daily'!V25-'Hampshire Daily'!V24&lt;0),"0",('Hampshire Daily'!V25-'Hampshire Daily'!V24))</f>
        <v>1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1.2999999999919964E-2</v>
      </c>
      <c r="V22" s="4">
        <f>IF(('Hampshire Daily'!Y25-'Hampshire Daily'!Y24&lt;0),"0",('Hampshire Daily'!Y25-'Hampshire Daily'!Y24))</f>
        <v>7.0000000000618456E-3</v>
      </c>
      <c r="W22" s="4">
        <f>IF(('Hampshire Daily'!Z25-'Hampshire Daily'!Z24&lt;0),"0",('Hampshire Daily'!Z25-'Hampshire Daily'!Z24))</f>
        <v>19</v>
      </c>
      <c r="X22" s="4">
        <f>IF(('Hampshire Daily'!AA25-'Hampshire Daily'!AA24&lt;0),"0",('Hampshire Daily'!AA25-'Hampshire Daily'!AA24))</f>
        <v>5</v>
      </c>
      <c r="Y22" s="4">
        <f>'Hampshire Daily'!B25</f>
        <v>104</v>
      </c>
      <c r="Z22" s="4">
        <f>'Hampshire Daily'!C25</f>
        <v>272</v>
      </c>
    </row>
    <row r="23" spans="1:26" x14ac:dyDescent="0.25">
      <c r="A23" s="3" t="s">
        <v>40</v>
      </c>
      <c r="B23" s="1">
        <f t="shared" si="0"/>
        <v>22</v>
      </c>
      <c r="C23" s="17">
        <v>8</v>
      </c>
      <c r="D23" s="1">
        <v>2021</v>
      </c>
      <c r="E23" s="4">
        <f>IF(('Hampshire Daily'!D26-'Hampshire Daily'!D25&lt;0),"0",('Hampshire Daily'!D26-'Hampshire Daily'!D25))</f>
        <v>2939</v>
      </c>
      <c r="F23" s="4">
        <f>IF(('Hampshire Daily'!F26-'Hampshire Daily'!F25&lt;0),"0",('Hampshire Daily'!F26-'Hampshire Daily'!F25))</f>
        <v>6717</v>
      </c>
      <c r="G23" s="4">
        <f>IF(('Hampshire Daily'!H26-'Hampshire Daily'!H25&lt;0),"0",('Hampshire Daily'!H26-'Hampshire Daily'!H25))</f>
        <v>769</v>
      </c>
      <c r="H23" s="4">
        <f>IF(('Hampshire Daily'!I26-'Hampshire Daily'!I25&lt;0),"0",('Hampshire Daily'!I26-'Hampshire Daily'!I25))</f>
        <v>1730</v>
      </c>
      <c r="I23" s="4" t="str">
        <f>IF(('Hampshire Daily'!J26-'Hampshire Daily'!J25&lt;0),"0",('Hampshire Daily'!J26-'Hampshire Daily'!J25))</f>
        <v>0</v>
      </c>
      <c r="J23" s="4" t="str">
        <f>IF(('Hampshire Daily'!K26-'Hampshire Daily'!K25&lt;0),"0",('Hampshire Daily'!K26-'Hampshire Daily'!K25))</f>
        <v>0</v>
      </c>
      <c r="K23" s="4">
        <f>IF(('Hampshire Daily'!L26-'Hampshire Daily'!L25&lt;0),"0",('Hampshire Daily'!L26-'Hampshire Daily'!L25))</f>
        <v>1193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1564</v>
      </c>
      <c r="N23" s="4">
        <f>IF(('Hampshire Daily'!O26-'Hampshire Daily'!O25&lt;0),"0",('Hampshire Daily'!O26-'Hampshire Daily'!O25))</f>
        <v>242</v>
      </c>
      <c r="O23" s="4">
        <f>IF(('Hampshire Daily'!P26-'Hampshire Daily'!P25&lt;0),"0",('Hampshire Daily'!P26-'Hampshire Daily'!P25))</f>
        <v>824</v>
      </c>
      <c r="P23" s="4">
        <f>IF(('Hampshire Daily'!Q26-'Hampshire Daily'!Q25&lt;0),"0",('Hampshire Daily'!Q26-'Hampshire Daily'!Q25))</f>
        <v>135</v>
      </c>
      <c r="Q23" s="4">
        <f>IF(('Hampshire Daily'!R26-'Hampshire Daily'!R25&lt;0),"0",('Hampshire Daily'!R26-'Hampshire Daily'!R25))</f>
        <v>2</v>
      </c>
      <c r="R23" s="4">
        <f>IF(('Hampshire Daily'!U26-'Hampshire Daily'!U25&lt;0),"0",('Hampshire Daily'!U26-'Hampshire Daily'!U25))</f>
        <v>10</v>
      </c>
      <c r="S23" s="4">
        <f>IF(('Hampshire Daily'!V26-'Hampshire Daily'!V25&lt;0),"0",('Hampshire Daily'!V26-'Hampshire Daily'!V25))</f>
        <v>1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4.2000000000030013E-2</v>
      </c>
      <c r="V23" s="4">
        <f>IF(('Hampshire Daily'!Y26-'Hampshire Daily'!Y25&lt;0),"0",('Hampshire Daily'!Y26-'Hampshire Daily'!Y25))</f>
        <v>3.0000000001564331E-3</v>
      </c>
      <c r="W23" s="4">
        <f>IF(('Hampshire Daily'!Z26-'Hampshire Daily'!Z25&lt;0),"0",('Hampshire Daily'!Z26-'Hampshire Daily'!Z25))</f>
        <v>17</v>
      </c>
      <c r="X23" s="4">
        <f>IF(('Hampshire Daily'!AA26-'Hampshire Daily'!AA25&lt;0),"0",('Hampshire Daily'!AA26-'Hampshire Daily'!AA25))</f>
        <v>5</v>
      </c>
      <c r="Y23" s="4">
        <f>'Hampshire Daily'!B26</f>
        <v>112</v>
      </c>
      <c r="Z23" s="4">
        <f>'Hampshire Daily'!C26</f>
        <v>267</v>
      </c>
    </row>
    <row r="24" spans="1:26" x14ac:dyDescent="0.25">
      <c r="A24" s="3" t="s">
        <v>40</v>
      </c>
      <c r="B24" s="1">
        <f t="shared" si="0"/>
        <v>23</v>
      </c>
      <c r="C24" s="17">
        <v>8</v>
      </c>
      <c r="D24" s="1">
        <v>2021</v>
      </c>
      <c r="E24" s="4">
        <f>IF(('Hampshire Daily'!D27-'Hampshire Daily'!D26&lt;0),"0",('Hampshire Daily'!D27-'Hampshire Daily'!D26))</f>
        <v>3439</v>
      </c>
      <c r="F24" s="4">
        <f>IF(('Hampshire Daily'!F27-'Hampshire Daily'!F26&lt;0),"0",('Hampshire Daily'!F27-'Hampshire Daily'!F26))</f>
        <v>7151</v>
      </c>
      <c r="G24" s="4">
        <f>IF(('Hampshire Daily'!H27-'Hampshire Daily'!H26&lt;0),"0",('Hampshire Daily'!H27-'Hampshire Daily'!H26))</f>
        <v>786</v>
      </c>
      <c r="H24" s="4">
        <f>IF(('Hampshire Daily'!I27-'Hampshire Daily'!I26&lt;0),"0",('Hampshire Daily'!I27-'Hampshire Daily'!I26))</f>
        <v>1730</v>
      </c>
      <c r="I24" s="4">
        <f>IF(('Hampshire Daily'!J27-'Hampshire Daily'!J26&lt;0),"0",('Hampshire Daily'!J27-'Hampshire Daily'!J26))</f>
        <v>3</v>
      </c>
      <c r="J24" s="4">
        <f>IF(('Hampshire Daily'!K27-'Hampshire Daily'!K26&lt;0),"0",('Hampshire Daily'!K27-'Hampshire Daily'!K26))</f>
        <v>2632</v>
      </c>
      <c r="K24" s="4">
        <f>IF(('Hampshire Daily'!L27-'Hampshire Daily'!L26&lt;0),"0",('Hampshire Daily'!L27-'Hampshire Daily'!L26))</f>
        <v>1505</v>
      </c>
      <c r="L24" s="4">
        <f>IF(('Hampshire Daily'!M27-'Hampshire Daily'!M26&lt;0),"0",('Hampshire Daily'!M27-'Hampshire Daily'!M26))</f>
        <v>0</v>
      </c>
      <c r="M24" s="4">
        <f>IF(('Hampshire Daily'!N27-'Hampshire Daily'!N26&lt;0),"0",('Hampshire Daily'!N27-'Hampshire Daily'!N26))</f>
        <v>1578</v>
      </c>
      <c r="N24" s="4">
        <f>IF(('Hampshire Daily'!O27-'Hampshire Daily'!O26&lt;0),"0",('Hampshire Daily'!O27-'Hampshire Daily'!O26))</f>
        <v>233</v>
      </c>
      <c r="O24" s="4">
        <f>IF(('Hampshire Daily'!P27-'Hampshire Daily'!P26&lt;0),"0",('Hampshire Daily'!P27-'Hampshire Daily'!P26))</f>
        <v>866</v>
      </c>
      <c r="P24" s="4">
        <f>IF(('Hampshire Daily'!Q27-'Hampshire Daily'!Q26&lt;0),"0",('Hampshire Daily'!Q27-'Hampshire Daily'!Q26))</f>
        <v>228</v>
      </c>
      <c r="Q24" s="4">
        <f>IF(('Hampshire Daily'!R27-'Hampshire Daily'!R26&lt;0),"0",('Hampshire Daily'!R27-'Hampshire Daily'!R26))</f>
        <v>3</v>
      </c>
      <c r="R24" s="4">
        <f>IF(('Hampshire Daily'!U27-'Hampshire Daily'!U26&lt;0),"0",('Hampshire Daily'!U27-'Hampshire Daily'!U26))</f>
        <v>10</v>
      </c>
      <c r="S24" s="4">
        <f>IF(('Hampshire Daily'!V27-'Hampshire Daily'!V26&lt;0),"0",('Hampshire Daily'!V27-'Hampshire Daily'!V26))</f>
        <v>6</v>
      </c>
      <c r="T24" s="4">
        <f>IF(('Hampshire Daily'!W27-'Hampshire Daily'!W26&lt;0),"0",('Hampshire Daily'!W27-'Hampshire Daily'!W26))</f>
        <v>0</v>
      </c>
      <c r="U24" s="4">
        <f>IF(('Hampshire Daily'!X27-'Hampshire Daily'!X26&lt;0),"0",('Hampshire Daily'!X27-'Hampshire Daily'!X26))</f>
        <v>0.27400000000000091</v>
      </c>
      <c r="V24" s="4">
        <f>IF(('Hampshire Daily'!Y27-'Hampshire Daily'!Y26&lt;0),"0",('Hampshire Daily'!Y27-'Hampshire Daily'!Y26))</f>
        <v>7.9999999998108251E-3</v>
      </c>
      <c r="W24" s="4">
        <f>IF(('Hampshire Daily'!Z27-'Hampshire Daily'!Z26&lt;0),"0",('Hampshire Daily'!Z27-'Hampshire Daily'!Z26))</f>
        <v>15</v>
      </c>
      <c r="X24" s="4">
        <f>IF(('Hampshire Daily'!AA27-'Hampshire Daily'!AA26&lt;0),"0",('Hampshire Daily'!AA27-'Hampshire Daily'!AA26))</f>
        <v>8</v>
      </c>
      <c r="Y24" s="4">
        <f>'Hampshire Daily'!B27</f>
        <v>106</v>
      </c>
      <c r="Z24" s="4">
        <f>'Hampshire Daily'!C27</f>
        <v>245</v>
      </c>
    </row>
    <row r="25" spans="1:26" x14ac:dyDescent="0.25">
      <c r="A25" s="3" t="s">
        <v>40</v>
      </c>
      <c r="B25" s="1">
        <f t="shared" si="0"/>
        <v>24</v>
      </c>
      <c r="C25" s="17">
        <v>8</v>
      </c>
      <c r="D25" s="1">
        <v>2021</v>
      </c>
      <c r="E25" s="4">
        <f>IF(('Hampshire Daily'!D28-'Hampshire Daily'!D27&lt;0),"0",('Hampshire Daily'!D28-'Hampshire Daily'!D27))</f>
        <v>2677</v>
      </c>
      <c r="F25" s="4">
        <f>IF(('Hampshire Daily'!F28-'Hampshire Daily'!F27&lt;0),"0",('Hampshire Daily'!F28-'Hampshire Daily'!F27))</f>
        <v>6430</v>
      </c>
      <c r="G25" s="4">
        <f>IF(('Hampshire Daily'!H28-'Hampshire Daily'!H27&lt;0),"0",('Hampshire Daily'!H28-'Hampshire Daily'!H27))</f>
        <v>743</v>
      </c>
      <c r="H25" s="4">
        <f>IF(('Hampshire Daily'!I28-'Hampshire Daily'!I27&lt;0),"0",('Hampshire Daily'!I28-'Hampshire Daily'!I27))</f>
        <v>1730</v>
      </c>
      <c r="I25" s="4" t="str">
        <f>IF(('Hampshire Daily'!J28-'Hampshire Daily'!J27&lt;0),"0",('Hampshire Daily'!J28-'Hampshire Daily'!J27))</f>
        <v>0</v>
      </c>
      <c r="J25" s="4" t="str">
        <f>IF(('Hampshire Daily'!K28-'Hampshire Daily'!K27&lt;0),"0",('Hampshire Daily'!K28-'Hampshire Daily'!K27))</f>
        <v>0</v>
      </c>
      <c r="K25" s="4">
        <f>IF(('Hampshire Daily'!L28-'Hampshire Daily'!L27&lt;0),"0",('Hampshire Daily'!L28-'Hampshire Daily'!L27))</f>
        <v>1366</v>
      </c>
      <c r="L25" s="4">
        <f>IF(('Hampshire Daily'!M28-'Hampshire Daily'!M27&lt;0),"0",('Hampshire Daily'!M28-'Hampshire Daily'!M27))</f>
        <v>13</v>
      </c>
      <c r="M25" s="4">
        <f>IF(('Hampshire Daily'!N28-'Hampshire Daily'!N27&lt;0),"0",('Hampshire Daily'!N28-'Hampshire Daily'!N27))</f>
        <v>1556</v>
      </c>
      <c r="N25" s="4">
        <f>IF(('Hampshire Daily'!O28-'Hampshire Daily'!O27&lt;0),"0",('Hampshire Daily'!O28-'Hampshire Daily'!O27))</f>
        <v>257</v>
      </c>
      <c r="O25" s="4">
        <f>IF(('Hampshire Daily'!P28-'Hampshire Daily'!P27&lt;0),"0",('Hampshire Daily'!P28-'Hampshire Daily'!P27))</f>
        <v>781</v>
      </c>
      <c r="P25" s="4">
        <f>IF(('Hampshire Daily'!Q28-'Hampshire Daily'!Q27&lt;0),"0",('Hampshire Daily'!Q28-'Hampshire Daily'!Q27))</f>
        <v>166</v>
      </c>
      <c r="Q25" s="4">
        <f>IF(('Hampshire Daily'!R28-'Hampshire Daily'!R27&lt;0),"0",('Hampshire Daily'!R28-'Hampshire Daily'!R27))</f>
        <v>2</v>
      </c>
      <c r="R25" s="4">
        <f>IF(('Hampshire Daily'!U28-'Hampshire Daily'!U27&lt;0),"0",('Hampshire Daily'!U28-'Hampshire Daily'!U27))</f>
        <v>10</v>
      </c>
      <c r="S25" s="4">
        <f>IF(('Hampshire Daily'!V28-'Hampshire Daily'!V27&lt;0),"0",('Hampshire Daily'!V28-'Hampshire Daily'!V27))</f>
        <v>0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1.4000000000010004E-2</v>
      </c>
      <c r="V25" s="4">
        <f>IF(('Hampshire Daily'!Y28-'Hampshire Daily'!Y27&lt;0),"0",('Hampshire Daily'!Y28-'Hampshire Daily'!Y27))</f>
        <v>5.9999999998581188E-3</v>
      </c>
      <c r="W25" s="4">
        <f>IF(('Hampshire Daily'!Z28-'Hampshire Daily'!Z27&lt;0),"0",('Hampshire Daily'!Z28-'Hampshire Daily'!Z27))</f>
        <v>6</v>
      </c>
      <c r="X25" s="4">
        <f>IF(('Hampshire Daily'!AA28-'Hampshire Daily'!AA27&lt;0),"0",('Hampshire Daily'!AA28-'Hampshire Daily'!AA27))</f>
        <v>5</v>
      </c>
      <c r="Y25" s="4">
        <f>'Hampshire Daily'!B28</f>
        <v>121</v>
      </c>
      <c r="Z25" s="4">
        <f>'Hampshire Daily'!C28</f>
        <v>281</v>
      </c>
    </row>
    <row r="26" spans="1:26" x14ac:dyDescent="0.25">
      <c r="A26" s="3" t="s">
        <v>40</v>
      </c>
      <c r="B26" s="30">
        <f>B25+1</f>
        <v>25</v>
      </c>
      <c r="C26" s="17">
        <v>8</v>
      </c>
      <c r="D26" s="1">
        <v>2021</v>
      </c>
      <c r="E26" s="4">
        <f>IF(('Hampshire Daily'!D29-'Hampshire Daily'!D28&lt;0),"0",('Hampshire Daily'!D29-'Hampshire Daily'!D28))</f>
        <v>3260</v>
      </c>
      <c r="F26" s="4">
        <f>IF(('Hampshire Daily'!F29-'Hampshire Daily'!F28&lt;0),"0",('Hampshire Daily'!F29-'Hampshire Daily'!F28))</f>
        <v>6997</v>
      </c>
      <c r="G26" s="4">
        <f>IF(('Hampshire Daily'!H29-'Hampshire Daily'!H28&lt;0),"0",('Hampshire Daily'!H29-'Hampshire Daily'!H28))</f>
        <v>775</v>
      </c>
      <c r="H26" s="4">
        <f>IF(('Hampshire Daily'!I29-'Hampshire Daily'!I28&lt;0),"0",('Hampshire Daily'!I29-'Hampshire Daily'!I28))</f>
        <v>1730</v>
      </c>
      <c r="I26" s="4">
        <f>IF(('Hampshire Daily'!J29-'Hampshire Daily'!J28&lt;0),"0",('Hampshire Daily'!J29-'Hampshire Daily'!J28))</f>
        <v>3</v>
      </c>
      <c r="J26" s="4">
        <f>IF(('Hampshire Daily'!K29-'Hampshire Daily'!K28&lt;0),"0",('Hampshire Daily'!K29-'Hampshire Daily'!K28))</f>
        <v>2632</v>
      </c>
      <c r="K26" s="4">
        <f>IF(('Hampshire Daily'!L29-'Hampshire Daily'!L28&lt;0),"0",('Hampshire Daily'!L29-'Hampshire Daily'!L28))</f>
        <v>1202</v>
      </c>
      <c r="L26" s="4">
        <f>IF(('Hampshire Daily'!M29-'Hampshire Daily'!M28&lt;0),"0",('Hampshire Daily'!M29-'Hampshire Daily'!M28))</f>
        <v>0</v>
      </c>
      <c r="M26" s="4">
        <f>IF(('Hampshire Daily'!N29-'Hampshire Daily'!N28&lt;0),"0",('Hampshire Daily'!N29-'Hampshire Daily'!N28))</f>
        <v>1695</v>
      </c>
      <c r="N26" s="4">
        <f>IF(('Hampshire Daily'!O29-'Hampshire Daily'!O28&lt;0),"0",('Hampshire Daily'!O29-'Hampshire Daily'!O28))</f>
        <v>229</v>
      </c>
      <c r="O26" s="4">
        <f>IF(('Hampshire Daily'!P29-'Hampshire Daily'!P28&lt;0),"0",('Hampshire Daily'!P29-'Hampshire Daily'!P28))</f>
        <v>840</v>
      </c>
      <c r="P26" s="4">
        <f>IF(('Hampshire Daily'!Q29-'Hampshire Daily'!Q28&lt;0),"0",('Hampshire Daily'!Q29-'Hampshire Daily'!Q28))</f>
        <v>174</v>
      </c>
      <c r="Q26" s="4">
        <f>IF(('Hampshire Daily'!R29-'Hampshire Daily'!R28&lt;0),"0",('Hampshire Daily'!R29-'Hampshire Daily'!R28))</f>
        <v>2</v>
      </c>
      <c r="R26" s="4">
        <f>IF(('Hampshire Daily'!U29-'Hampshire Daily'!U28&lt;0),"0",('Hampshire Daily'!U29-'Hampshire Daily'!U28))</f>
        <v>9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4.100000000005366E-2</v>
      </c>
      <c r="V26" s="4">
        <f>IF(('Hampshire Daily'!Y29-'Hampshire Daily'!Y28&lt;0),"0",('Hampshire Daily'!Y29-'Hampshire Daily'!Y28))</f>
        <v>6.0000000003128662E-3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4</v>
      </c>
      <c r="Y26" s="4">
        <f>'Hampshire Daily'!B29</f>
        <v>78</v>
      </c>
      <c r="Z26" s="4">
        <f>'Hampshire Daily'!C29</f>
        <v>211</v>
      </c>
    </row>
    <row r="27" spans="1:26" x14ac:dyDescent="0.25">
      <c r="A27" s="3" t="s">
        <v>40</v>
      </c>
      <c r="B27" s="1">
        <f t="shared" si="0"/>
        <v>26</v>
      </c>
      <c r="C27" s="17">
        <v>8</v>
      </c>
      <c r="D27" s="1">
        <v>2021</v>
      </c>
      <c r="E27" s="4">
        <f>IF(('Hampshire Daily'!D30-'Hampshire Daily'!D29&lt;0),"0",('Hampshire Daily'!D30-'Hampshire Daily'!D29))</f>
        <v>2406</v>
      </c>
      <c r="F27" s="4">
        <f>IF(('Hampshire Daily'!F30-'Hampshire Daily'!F29&lt;0),"0",('Hampshire Daily'!F30-'Hampshire Daily'!F29))</f>
        <v>6454</v>
      </c>
      <c r="G27" s="4">
        <f>IF(('Hampshire Daily'!H30-'Hampshire Daily'!H29&lt;0),"0",('Hampshire Daily'!H30-'Hampshire Daily'!H29))</f>
        <v>775</v>
      </c>
      <c r="H27" s="4">
        <f>IF(('Hampshire Daily'!I30-'Hampshire Daily'!I29&lt;0),"0",('Hampshire Daily'!I30-'Hampshire Daily'!I29))</f>
        <v>1730</v>
      </c>
      <c r="I27" s="4" t="str">
        <f>IF(('Hampshire Daily'!J30-'Hampshire Daily'!J29&lt;0),"0",('Hampshire Daily'!J30-'Hampshire Daily'!J29))</f>
        <v>0</v>
      </c>
      <c r="J27" s="4" t="str">
        <f>IF(('Hampshire Daily'!K30-'Hampshire Daily'!K29&lt;0),"0",('Hampshire Daily'!K30-'Hampshire Daily'!K29))</f>
        <v>0</v>
      </c>
      <c r="K27" s="4">
        <f>IF(('Hampshire Daily'!L30-'Hampshire Daily'!L29&lt;0),"0",('Hampshire Daily'!L30-'Hampshire Daily'!L29))</f>
        <v>1361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1361</v>
      </c>
      <c r="N27" s="4">
        <f>IF(('Hampshire Daily'!O30-'Hampshire Daily'!O29&lt;0),"0",('Hampshire Daily'!O30-'Hampshire Daily'!O29))</f>
        <v>151</v>
      </c>
      <c r="O27" s="4">
        <f>IF(('Hampshire Daily'!P30-'Hampshire Daily'!P29&lt;0),"0",('Hampshire Daily'!P30-'Hampshire Daily'!P29))</f>
        <v>783</v>
      </c>
      <c r="P27" s="4">
        <f>IF(('Hampshire Daily'!Q30-'Hampshire Daily'!Q29&lt;0),"0",('Hampshire Daily'!Q30-'Hampshire Daily'!Q29))</f>
        <v>176</v>
      </c>
      <c r="Q27" s="4">
        <f>IF(('Hampshire Daily'!R30-'Hampshire Daily'!R29&lt;0),"0",('Hampshire Daily'!R30-'Hampshire Daily'!R29))</f>
        <v>1</v>
      </c>
      <c r="R27" s="4">
        <f>IF(('Hampshire Daily'!U30-'Hampshire Daily'!U29&lt;0),"0",('Hampshire Daily'!U30-'Hampshire Daily'!U29))</f>
        <v>9</v>
      </c>
      <c r="S27" s="4">
        <f>IF(('Hampshire Daily'!V30-'Hampshire Daily'!V29&lt;0),"0",('Hampshire Daily'!V30-'Hampshire Daily'!V29))</f>
        <v>2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1.999999999998181E-2</v>
      </c>
      <c r="V27" s="4">
        <f>IF(('Hampshire Daily'!Y30-'Hampshire Daily'!Y29&lt;0),"0",('Hampshire Daily'!Y30-'Hampshire Daily'!Y29))</f>
        <v>0.29500000000007276</v>
      </c>
      <c r="W27" s="4">
        <f>IF(('Hampshire Daily'!Z30-'Hampshire Daily'!Z29&lt;0),"0",('Hampshire Daily'!Z30-'Hampshire Daily'!Z29))</f>
        <v>17</v>
      </c>
      <c r="X27" s="4">
        <f>IF(('Hampshire Daily'!AA30-'Hampshire Daily'!AA29&lt;0),"0",('Hampshire Daily'!AA30-'Hampshire Daily'!AA29))</f>
        <v>4</v>
      </c>
      <c r="Y27" s="4">
        <f>'Hampshire Daily'!B30</f>
        <v>102</v>
      </c>
      <c r="Z27" s="4">
        <f>'Hampshire Daily'!C30</f>
        <v>254</v>
      </c>
    </row>
    <row r="28" spans="1:26" x14ac:dyDescent="0.25">
      <c r="A28" s="3" t="s">
        <v>40</v>
      </c>
      <c r="B28" s="1">
        <f t="shared" si="0"/>
        <v>27</v>
      </c>
      <c r="C28" s="17">
        <v>8</v>
      </c>
      <c r="D28" s="1">
        <v>2021</v>
      </c>
      <c r="E28" s="4">
        <f>IF(('Hampshire Daily'!D31-'Hampshire Daily'!D30&lt;0),"0",('Hampshire Daily'!D31-'Hampshire Daily'!D30))</f>
        <v>2772</v>
      </c>
      <c r="F28" s="4">
        <f>IF(('Hampshire Daily'!F31-'Hampshire Daily'!F30&lt;0),"0",('Hampshire Daily'!F31-'Hampshire Daily'!F30))</f>
        <v>3718</v>
      </c>
      <c r="G28" s="4">
        <f>IF(('Hampshire Daily'!H31-'Hampshire Daily'!H30&lt;0),"0",('Hampshire Daily'!H31-'Hampshire Daily'!H30))</f>
        <v>117</v>
      </c>
      <c r="H28" s="4">
        <f>IF(('Hampshire Daily'!I31-'Hampshire Daily'!I30&lt;0),"0",('Hampshire Daily'!I31-'Hampshire Daily'!I30))</f>
        <v>1730</v>
      </c>
      <c r="I28" s="4">
        <f>IF(('Hampshire Daily'!J31-'Hampshire Daily'!J30&lt;0),"0",('Hampshire Daily'!J31-'Hampshire Daily'!J30))</f>
        <v>3</v>
      </c>
      <c r="J28" s="4">
        <f>IF(('Hampshire Daily'!K31-'Hampshire Daily'!K30&lt;0),"0",('Hampshire Daily'!K31-'Hampshire Daily'!K30))</f>
        <v>2632</v>
      </c>
      <c r="K28" s="4">
        <f>IF(('Hampshire Daily'!L31-'Hampshire Daily'!L30&lt;0),"0",('Hampshire Daily'!L31-'Hampshire Daily'!L30))</f>
        <v>1361</v>
      </c>
      <c r="L28" s="4">
        <f>IF(('Hampshire Daily'!M31-'Hampshire Daily'!M30&lt;0),"0",('Hampshire Daily'!M31-'Hampshire Daily'!M30))</f>
        <v>128</v>
      </c>
      <c r="M28" s="4">
        <f>IF(('Hampshire Daily'!N31-'Hampshire Daily'!N30&lt;0),"0",('Hampshire Daily'!N31-'Hampshire Daily'!N30))</f>
        <v>2275</v>
      </c>
      <c r="N28" s="4">
        <f>IF(('Hampshire Daily'!O31-'Hampshire Daily'!O30&lt;0),"0",('Hampshire Daily'!O31-'Hampshire Daily'!O30))</f>
        <v>136</v>
      </c>
      <c r="O28" s="4">
        <f>IF(('Hampshire Daily'!P31-'Hampshire Daily'!P30&lt;0),"0",('Hampshire Daily'!P31-'Hampshire Daily'!P30))</f>
        <v>801</v>
      </c>
      <c r="P28" s="4">
        <f>IF(('Hampshire Daily'!Q31-'Hampshire Daily'!Q30&lt;0),"0",('Hampshire Daily'!Q31-'Hampshire Daily'!Q30))</f>
        <v>191</v>
      </c>
      <c r="Q28" s="4">
        <f>IF(('Hampshire Daily'!R31-'Hampshire Daily'!R30&lt;0),"0",('Hampshire Daily'!R31-'Hampshire Daily'!R30))</f>
        <v>1</v>
      </c>
      <c r="R28" s="4">
        <f>IF(('Hampshire Daily'!U31-'Hampshire Daily'!U30&lt;0),"0",('Hampshire Daily'!U31-'Hampshire Daily'!U30))</f>
        <v>15</v>
      </c>
      <c r="S28" s="4">
        <f>IF(('Hampshire Daily'!V31-'Hampshire Daily'!V30&lt;0),"0",('Hampshire Daily'!V31-'Hampshire Daily'!V30))</f>
        <v>0</v>
      </c>
      <c r="T28" s="4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2.1999999999934516E-2</v>
      </c>
      <c r="V28" s="4" t="str">
        <f>IF(('Hampshire Daily'!Y31-'Hampshire Daily'!Y30&lt;0),"0",('Hampshire Daily'!Y31-'Hampshire Daily'!Y30))</f>
        <v>0</v>
      </c>
      <c r="W28" s="4">
        <f>IF(('Hampshire Daily'!Z31-'Hampshire Daily'!Z30&lt;0),"0",('Hampshire Daily'!Z31-'Hampshire Daily'!Z30))</f>
        <v>19</v>
      </c>
      <c r="X28" s="4">
        <f>IF(('Hampshire Daily'!AA31-'Hampshire Daily'!AA30&lt;0),"0",('Hampshire Daily'!AA31-'Hampshire Daily'!AA30))</f>
        <v>3</v>
      </c>
      <c r="Y28" s="4">
        <f>'Hampshire Daily'!B31</f>
        <v>99</v>
      </c>
      <c r="Z28" s="4">
        <f>'Hampshire Daily'!C31</f>
        <v>251</v>
      </c>
    </row>
    <row r="29" spans="1:26" x14ac:dyDescent="0.25">
      <c r="A29" s="3" t="s">
        <v>40</v>
      </c>
      <c r="B29" s="1">
        <f t="shared" si="0"/>
        <v>28</v>
      </c>
      <c r="C29" s="17">
        <v>8</v>
      </c>
      <c r="D29" s="1">
        <v>2021</v>
      </c>
      <c r="E29" s="4">
        <f>IF(('Hampshire Daily'!D32-'Hampshire Daily'!D31&lt;0),"0",('Hampshire Daily'!D32-'Hampshire Daily'!D31))</f>
        <v>2324</v>
      </c>
      <c r="F29" s="4">
        <f>IF(('Hampshire Daily'!F32-'Hampshire Daily'!F31&lt;0),"0",('Hampshire Daily'!F32-'Hampshire Daily'!F31))</f>
        <v>3209</v>
      </c>
      <c r="G29" s="4">
        <f>IF(('Hampshire Daily'!H32-'Hampshire Daily'!H31&lt;0),"0",('Hampshire Daily'!H32-'Hampshire Daily'!H31))</f>
        <v>40</v>
      </c>
      <c r="H29" s="4">
        <f>IF(('Hampshire Daily'!I32-'Hampshire Daily'!I31&lt;0),"0",('Hampshire Daily'!I32-'Hampshire Daily'!I31))</f>
        <v>1730</v>
      </c>
      <c r="I29" s="4" t="str">
        <f>IF(('Hampshire Daily'!J32-'Hampshire Daily'!J31&lt;0),"0",('Hampshire Daily'!J32-'Hampshire Daily'!J31))</f>
        <v>0</v>
      </c>
      <c r="J29" s="4" t="str">
        <f>IF(('Hampshire Daily'!K32-'Hampshire Daily'!K31&lt;0),"0",('Hampshire Daily'!K32-'Hampshire Daily'!K31))</f>
        <v>0</v>
      </c>
      <c r="K29" s="4">
        <f>IF(('Hampshire Daily'!L32-'Hampshire Daily'!L31&lt;0),"0",('Hampshire Daily'!L32-'Hampshire Daily'!L31))</f>
        <v>1361</v>
      </c>
      <c r="L29" s="4">
        <f>IF(('Hampshire Daily'!M32-'Hampshire Daily'!M31&lt;0),"0",('Hampshire Daily'!M32-'Hampshire Daily'!M31))</f>
        <v>0</v>
      </c>
      <c r="M29" s="4">
        <f>IF(('Hampshire Daily'!N32-'Hampshire Daily'!N31&lt;0),"0",('Hampshire Daily'!N32-'Hampshire Daily'!N31))</f>
        <v>2338</v>
      </c>
      <c r="N29" s="4">
        <f>IF(('Hampshire Daily'!O32-'Hampshire Daily'!O31&lt;0),"0",('Hampshire Daily'!O32-'Hampshire Daily'!O31))</f>
        <v>145</v>
      </c>
      <c r="O29" s="4">
        <f>IF(('Hampshire Daily'!P32-'Hampshire Daily'!P31&lt;0),"0",('Hampshire Daily'!P32-'Hampshire Daily'!P31))</f>
        <v>769</v>
      </c>
      <c r="P29" s="4">
        <f>IF(('Hampshire Daily'!Q32-'Hampshire Daily'!Q31&lt;0),"0",('Hampshire Daily'!Q32-'Hampshire Daily'!Q31))</f>
        <v>202</v>
      </c>
      <c r="Q29" s="4">
        <f>IF(('Hampshire Daily'!R32-'Hampshire Daily'!R31&lt;0),"0",('Hampshire Daily'!R32-'Hampshire Daily'!R31))</f>
        <v>1</v>
      </c>
      <c r="R29" s="4">
        <f>IF(('Hampshire Daily'!U32-'Hampshire Daily'!U31&lt;0),"0",('Hampshire Daily'!U32-'Hampshire Daily'!U31))</f>
        <v>14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0.33600000000001273</v>
      </c>
      <c r="V29" s="4">
        <f>IF(('Hampshire Daily'!Y32-'Hampshire Daily'!Y31&lt;0),"0",('Hampshire Daily'!Y32-'Hampshire Daily'!Y31))</f>
        <v>1.999999999998181E-2</v>
      </c>
      <c r="W29" s="4">
        <f>IF(('Hampshire Daily'!Z32-'Hampshire Daily'!Z31&lt;0),"0",('Hampshire Daily'!Z32-'Hampshire Daily'!Z31))</f>
        <v>20</v>
      </c>
      <c r="X29" s="4">
        <f>IF(('Hampshire Daily'!AA32-'Hampshire Daily'!AA31&lt;0),"0",('Hampshire Daily'!AA32-'Hampshire Daily'!AA31))</f>
        <v>3</v>
      </c>
      <c r="Y29" s="4">
        <f>'Hampshire Daily'!B32</f>
        <v>104</v>
      </c>
      <c r="Z29" s="4">
        <f>'Hampshire Daily'!C32</f>
        <v>267</v>
      </c>
    </row>
    <row r="30" spans="1:26" x14ac:dyDescent="0.25">
      <c r="A30" s="3" t="s">
        <v>40</v>
      </c>
      <c r="B30" s="1">
        <f t="shared" si="0"/>
        <v>29</v>
      </c>
      <c r="C30" s="17">
        <v>8</v>
      </c>
      <c r="D30" s="1">
        <v>2021</v>
      </c>
      <c r="E30" s="4">
        <f>IF(('Hampshire Daily'!D33-'Hampshire Daily'!D32&lt;0),"0",('Hampshire Daily'!D33-'Hampshire Daily'!D32))</f>
        <v>3733</v>
      </c>
      <c r="F30" s="4">
        <f>IF(('Hampshire Daily'!F33-'Hampshire Daily'!F32&lt;0),"0",('Hampshire Daily'!F33-'Hampshire Daily'!F32))</f>
        <v>1814</v>
      </c>
      <c r="G30" s="4">
        <f>IF(('Hampshire Daily'!H33-'Hampshire Daily'!H32&lt;0),"0",('Hampshire Daily'!H33-'Hampshire Daily'!H32))</f>
        <v>0</v>
      </c>
      <c r="H30" s="4">
        <f>IF(('Hampshire Daily'!I33-'Hampshire Daily'!I32&lt;0),"0",('Hampshire Daily'!I33-'Hampshire Daily'!I32))</f>
        <v>5220</v>
      </c>
      <c r="I30" s="4">
        <f>IF(('Hampshire Daily'!J33-'Hampshire Daily'!J32&lt;0),"0",('Hampshire Daily'!J33-'Hampshire Daily'!J32))</f>
        <v>106</v>
      </c>
      <c r="J30" s="4">
        <f>IF(('Hampshire Daily'!K33-'Hampshire Daily'!K32&lt;0),"0",('Hampshire Daily'!K33-'Hampshire Daily'!K32))</f>
        <v>81580</v>
      </c>
      <c r="K30" s="4">
        <f>IF(('Hampshire Daily'!L33-'Hampshire Daily'!L32&lt;0),"0",('Hampshire Daily'!L33-'Hampshire Daily'!L32))</f>
        <v>1717</v>
      </c>
      <c r="L30" s="4">
        <f>IF(('Hampshire Daily'!M33-'Hampshire Daily'!M32&lt;0),"0",('Hampshire Daily'!M33-'Hampshire Daily'!M32))</f>
        <v>1</v>
      </c>
      <c r="M30" s="4">
        <f>IF(('Hampshire Daily'!N33-'Hampshire Daily'!N32&lt;0),"0",('Hampshire Daily'!N33-'Hampshire Daily'!N32))</f>
        <v>2200</v>
      </c>
      <c r="N30" s="4">
        <f>IF(('Hampshire Daily'!O33-'Hampshire Daily'!O32&lt;0),"0",('Hampshire Daily'!O33-'Hampshire Daily'!O32))</f>
        <v>157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582</v>
      </c>
      <c r="Q30" s="4">
        <f>IF(('Hampshire Daily'!R33-'Hampshire Daily'!R32&lt;0),"0",('Hampshire Daily'!R33-'Hampshire Daily'!R32))</f>
        <v>5</v>
      </c>
      <c r="R30" s="4">
        <f>IF(('Hampshire Daily'!U33-'Hampshire Daily'!U32&lt;0),"0",('Hampshire Daily'!U33-'Hampshire Daily'!U32))</f>
        <v>13</v>
      </c>
      <c r="S30" s="4">
        <f>IF(('Hampshire Daily'!V33-'Hampshire Daily'!V32&lt;0),"0",('Hampshire Daily'!V33-'Hampshire Daily'!V32))</f>
        <v>1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0.23099999999999454</v>
      </c>
      <c r="V30" s="4">
        <f>IF(('Hampshire Daily'!Y33-'Hampshire Daily'!Y32&lt;0),"0",('Hampshire Daily'!Y33-'Hampshire Daily'!Y32))</f>
        <v>1.6000000000076398E-2</v>
      </c>
      <c r="W30" s="4">
        <f>IF(('Hampshire Daily'!Z33-'Hampshire Daily'!Z32&lt;0),"0",('Hampshire Daily'!Z33-'Hampshire Daily'!Z32))</f>
        <v>18</v>
      </c>
      <c r="X30" s="4">
        <f>IF(('Hampshire Daily'!AA33-'Hampshire Daily'!AA32&lt;0),"0",('Hampshire Daily'!AA33-'Hampshire Daily'!AA32))</f>
        <v>6</v>
      </c>
      <c r="Y30" s="4">
        <f>'Hampshire Daily'!B33</f>
        <v>104</v>
      </c>
      <c r="Z30" s="4">
        <f>'Hampshire Daily'!C33</f>
        <v>268</v>
      </c>
    </row>
    <row r="31" spans="1:26" x14ac:dyDescent="0.25">
      <c r="A31" s="3" t="s">
        <v>40</v>
      </c>
      <c r="B31" s="1">
        <f t="shared" si="0"/>
        <v>30</v>
      </c>
      <c r="C31" s="17">
        <v>8</v>
      </c>
      <c r="D31" s="1">
        <v>2021</v>
      </c>
      <c r="E31" s="4">
        <f>IF(('Hampshire Daily'!D34-'Hampshire Daily'!D33&lt;0),"0",('Hampshire Daily'!D34-'Hampshire Daily'!D33))</f>
        <v>3679</v>
      </c>
      <c r="F31" s="4">
        <f>IF(('Hampshire Daily'!F34-'Hampshire Daily'!F33&lt;0),"0",('Hampshire Daily'!F34-'Hampshire Daily'!F33))</f>
        <v>1851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1721</v>
      </c>
      <c r="I31" s="4">
        <f>IF(('Hampshire Daily'!J34-'Hampshire Daily'!J33&lt;0),"0",('Hampshire Daily'!J34-'Hampshire Daily'!J33))</f>
        <v>0</v>
      </c>
      <c r="J31" s="4">
        <f>IF(('Hampshire Daily'!K34-'Hampshire Daily'!K33&lt;0),"0",('Hampshire Daily'!K34-'Hampshire Daily'!K33))</f>
        <v>2875</v>
      </c>
      <c r="K31" s="4">
        <f>IF(('Hampshire Daily'!L34-'Hampshire Daily'!L33&lt;0),"0",('Hampshire Daily'!L34-'Hampshire Daily'!L33))</f>
        <v>1466</v>
      </c>
      <c r="L31" s="4">
        <f>IF(('Hampshire Daily'!M34-'Hampshire Daily'!M33&lt;0),"0",('Hampshire Daily'!M34-'Hampshire Daily'!M33))</f>
        <v>0</v>
      </c>
      <c r="M31" s="4">
        <f>IF(('Hampshire Daily'!N34-'Hampshire Daily'!N33&lt;0),"0",('Hampshire Daily'!N34-'Hampshire Daily'!N33))</f>
        <v>2347</v>
      </c>
      <c r="N31" s="4">
        <f>IF(('Hampshire Daily'!O34-'Hampshire Daily'!O33&lt;0),"0",('Hampshire Daily'!O34-'Hampshire Daily'!O33))</f>
        <v>160</v>
      </c>
      <c r="O31" s="4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596</v>
      </c>
      <c r="Q31" s="4">
        <f>IF(('Hampshire Daily'!R34-'Hampshire Daily'!R33&lt;0),"0",('Hampshire Daily'!R34-'Hampshire Daily'!R33))</f>
        <v>4</v>
      </c>
      <c r="R31" s="4">
        <f>IF(('Hampshire Daily'!U34-'Hampshire Daily'!U33&lt;0),"0",('Hampshire Daily'!U34-'Hampshire Daily'!U33))</f>
        <v>14</v>
      </c>
      <c r="S31" s="4">
        <f>IF(('Hampshire Daily'!V34-'Hampshire Daily'!V33&lt;0),"0",('Hampshire Daily'!V34-'Hampshire Daily'!V33))</f>
        <v>15</v>
      </c>
      <c r="T31" s="4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0.21600000000000819</v>
      </c>
      <c r="V31" s="4">
        <f>IF(('Hampshire Daily'!Y34-'Hampshire Daily'!Y33&lt;0),"0",('Hampshire Daily'!Y34-'Hampshire Daily'!Y33))</f>
        <v>1.8000000000029104E-2</v>
      </c>
      <c r="W31" s="4">
        <f>IF(('Hampshire Daily'!Z34-'Hampshire Daily'!Z33&lt;0),"0",('Hampshire Daily'!Z34-'Hampshire Daily'!Z33))</f>
        <v>17</v>
      </c>
      <c r="X31" s="4">
        <f>IF(('Hampshire Daily'!AA34-'Hampshire Daily'!AA33&lt;0),"0",('Hampshire Daily'!AA34-'Hampshire Daily'!AA33))</f>
        <v>8</v>
      </c>
      <c r="Y31" s="4">
        <f>'Hampshire Daily'!B34</f>
        <v>75</v>
      </c>
      <c r="Z31" s="4">
        <f>'Hampshire Daily'!C34</f>
        <v>182</v>
      </c>
    </row>
    <row r="32" spans="1:26" x14ac:dyDescent="0.25">
      <c r="A32" s="3" t="s">
        <v>40</v>
      </c>
      <c r="B32" s="1">
        <f t="shared" si="0"/>
        <v>31</v>
      </c>
      <c r="C32" s="17">
        <v>8</v>
      </c>
      <c r="D32" s="1">
        <v>2021</v>
      </c>
      <c r="E32" s="4">
        <f>IF(('Hampshire Daily'!D35-'Hampshire Daily'!D34&lt;0),"0",('Hampshire Daily'!D35-'Hampshire Daily'!D34))</f>
        <v>4412</v>
      </c>
      <c r="F32" s="4">
        <f>IF(('Hampshire Daily'!F35-'Hampshire Daily'!F34&lt;0),"0",('Hampshire Daily'!F35-'Hampshire Daily'!F34))</f>
        <v>1725</v>
      </c>
      <c r="G32" s="4">
        <f>IF(('Hampshire Daily'!H35-'Hampshire Daily'!H34&lt;0),"0",('Hampshire Daily'!H35-'Hampshire Daily'!H34))</f>
        <v>0</v>
      </c>
      <c r="H32" s="4">
        <f>IF(('Hampshire Daily'!I35-'Hampshire Daily'!I34&lt;0),"0",('Hampshire Daily'!I35-'Hampshire Daily'!I34))</f>
        <v>1722</v>
      </c>
      <c r="I32" s="4">
        <f>IF(('Hampshire Daily'!J35-'Hampshire Daily'!J34&lt;0),"0",('Hampshire Daily'!J35-'Hampshire Daily'!J34))</f>
        <v>0</v>
      </c>
      <c r="J32" s="4">
        <f>IF(('Hampshire Daily'!K35-'Hampshire Daily'!K34&lt;0),"0",('Hampshire Daily'!K35-'Hampshire Daily'!K34))</f>
        <v>2875</v>
      </c>
      <c r="K32" s="4">
        <f>IF(('Hampshire Daily'!L35-'Hampshire Daily'!L34&lt;0),"0",('Hampshire Daily'!L35-'Hampshire Daily'!L34))</f>
        <v>1466</v>
      </c>
      <c r="L32" s="4">
        <f>IF(('Hampshire Daily'!M35-'Hampshire Daily'!M34&lt;0),"0",('Hampshire Daily'!M35-'Hampshire Daily'!M34))</f>
        <v>0</v>
      </c>
      <c r="M32" s="4">
        <f>IF(('Hampshire Daily'!N35-'Hampshire Daily'!N34&lt;0),"0",('Hampshire Daily'!N35-'Hampshire Daily'!N34))</f>
        <v>2269</v>
      </c>
      <c r="N32" s="4">
        <f>IF(('Hampshire Daily'!O35-'Hampshire Daily'!O34&lt;0),"0",('Hampshire Daily'!O35-'Hampshire Daily'!O34))</f>
        <v>160</v>
      </c>
      <c r="O32" s="4">
        <f>IF(('Hampshire Daily'!P35-'Hampshire Daily'!P34&lt;0),"0",('Hampshire Daily'!P35-'Hampshire Daily'!P34))</f>
        <v>0</v>
      </c>
      <c r="P32" s="4">
        <f>IF(('Hampshire Daily'!Q35-'Hampshire Daily'!Q34&lt;0),"0",('Hampshire Daily'!Q35-'Hampshire Daily'!Q34))</f>
        <v>585</v>
      </c>
      <c r="Q32" s="4">
        <f>IF(('Hampshire Daily'!R35-'Hampshire Daily'!R34&lt;0),"0",('Hampshire Daily'!R35-'Hampshire Daily'!R34))</f>
        <v>5</v>
      </c>
      <c r="R32" s="4">
        <f>IF(('Hampshire Daily'!U35-'Hampshire Daily'!U34&lt;0),"0",('Hampshire Daily'!U35-'Hampshire Daily'!U34))</f>
        <v>12</v>
      </c>
      <c r="S32" s="4">
        <f>IF(('Hampshire Daily'!V35-'Hampshire Daily'!V34&lt;0),"0",('Hampshire Daily'!V35-'Hampshire Daily'!V34))</f>
        <v>0</v>
      </c>
      <c r="T32" s="4">
        <f>IF(('Hampshire Daily'!W35-'Hampshire Daily'!W34&lt;0),"0",('Hampshire Daily'!W35-'Hampshire Daily'!W34))</f>
        <v>1.0000000000331966E-3</v>
      </c>
      <c r="U32" s="4">
        <f>IF(('Hampshire Daily'!X35-'Hampshire Daily'!X34&lt;0),"0",('Hampshire Daily'!X35-'Hampshire Daily'!X34))</f>
        <v>0.21400000000005548</v>
      </c>
      <c r="V32" s="4">
        <f>IF(('Hampshire Daily'!Y35-'Hampshire Daily'!Y34&lt;0),"0",('Hampshire Daily'!Y35-'Hampshire Daily'!Y34))</f>
        <v>7.9999999998108251E-3</v>
      </c>
      <c r="W32" s="4">
        <f>IF(('Hampshire Daily'!Z35-'Hampshire Daily'!Z34&lt;0),"0",('Hampshire Daily'!Z35-'Hampshire Daily'!Z34))</f>
        <v>20</v>
      </c>
      <c r="X32" s="4">
        <f>IF(('Hampshire Daily'!AA35-'Hampshire Daily'!AA34&lt;0),"0",('Hampshire Daily'!AA35-'Hampshire Daily'!AA34))</f>
        <v>4</v>
      </c>
      <c r="Y32" s="4">
        <f>'Hampshire Daily'!B35</f>
        <v>48</v>
      </c>
      <c r="Z32" s="4">
        <f>'Hampshire Daily'!C35</f>
        <v>109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6"/>
  <sheetViews>
    <sheetView topLeftCell="A4" zoomScaleNormal="100" workbookViewId="0">
      <pane xSplit="1" topLeftCell="C1" activePane="topRight" state="frozen"/>
      <selection pane="topRight" activeCell="Q39" sqref="Q39"/>
    </sheetView>
  </sheetViews>
  <sheetFormatPr defaultRowHeight="15" x14ac:dyDescent="0.25"/>
  <cols>
    <col min="1" max="1" width="8.7109375" style="16" customWidth="1"/>
    <col min="2" max="3" width="8.7109375" style="22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6"/>
      <c r="B1" s="21"/>
      <c r="C1" s="21"/>
      <c r="D1" s="39" t="s">
        <v>12</v>
      </c>
      <c r="E1" s="39"/>
      <c r="F1" s="39"/>
      <c r="G1" s="39"/>
      <c r="H1" s="39"/>
      <c r="I1" s="39"/>
      <c r="J1" s="39"/>
      <c r="K1" s="39"/>
      <c r="L1" s="39"/>
      <c r="M1" s="39"/>
      <c r="N1" s="45" t="s">
        <v>13</v>
      </c>
      <c r="O1" s="47" t="s">
        <v>14</v>
      </c>
      <c r="P1" s="23"/>
      <c r="Q1" s="23"/>
      <c r="R1" s="23"/>
      <c r="S1" s="47" t="s">
        <v>15</v>
      </c>
      <c r="T1" s="49"/>
      <c r="U1" s="47" t="s">
        <v>16</v>
      </c>
      <c r="V1" s="50" t="s">
        <v>17</v>
      </c>
      <c r="W1" s="47" t="s">
        <v>18</v>
      </c>
      <c r="X1" s="47" t="s">
        <v>19</v>
      </c>
      <c r="Y1" s="56" t="s">
        <v>20</v>
      </c>
      <c r="Z1" s="47" t="s">
        <v>54</v>
      </c>
      <c r="AA1" s="52" t="s">
        <v>55</v>
      </c>
      <c r="AB1" s="1">
        <v>42</v>
      </c>
      <c r="AC1" s="1">
        <v>41</v>
      </c>
    </row>
    <row r="2" spans="1:29" ht="15" customHeight="1" x14ac:dyDescent="0.25">
      <c r="A2" s="37"/>
      <c r="B2" s="42" t="s">
        <v>52</v>
      </c>
      <c r="C2" s="42" t="s">
        <v>53</v>
      </c>
      <c r="D2" s="40" t="s">
        <v>21</v>
      </c>
      <c r="E2" s="40" t="s">
        <v>22</v>
      </c>
      <c r="F2" s="40" t="s">
        <v>23</v>
      </c>
      <c r="G2" s="40" t="s">
        <v>24</v>
      </c>
      <c r="H2" s="40" t="s">
        <v>25</v>
      </c>
      <c r="I2" s="40" t="s">
        <v>26</v>
      </c>
      <c r="J2" s="40" t="s">
        <v>27</v>
      </c>
      <c r="K2" s="40" t="s">
        <v>28</v>
      </c>
      <c r="L2" s="40" t="s">
        <v>29</v>
      </c>
      <c r="M2" s="40" t="s">
        <v>30</v>
      </c>
      <c r="N2" s="46"/>
      <c r="O2" s="47"/>
      <c r="P2" s="23" t="s">
        <v>31</v>
      </c>
      <c r="Q2" s="23" t="s">
        <v>31</v>
      </c>
      <c r="R2" s="23" t="s">
        <v>31</v>
      </c>
      <c r="S2" s="47"/>
      <c r="T2" s="49"/>
      <c r="U2" s="47"/>
      <c r="V2" s="50"/>
      <c r="W2" s="47"/>
      <c r="X2" s="47"/>
      <c r="Y2" s="56"/>
      <c r="Z2" s="47"/>
      <c r="AA2" s="53"/>
      <c r="AB2" s="55" t="s">
        <v>57</v>
      </c>
      <c r="AC2" s="55" t="s">
        <v>58</v>
      </c>
    </row>
    <row r="3" spans="1:29" ht="27" customHeight="1" thickBot="1" x14ac:dyDescent="0.3">
      <c r="A3" s="38"/>
      <c r="B3" s="43"/>
      <c r="C3" s="43"/>
      <c r="D3" s="44"/>
      <c r="E3" s="44"/>
      <c r="F3" s="44"/>
      <c r="G3" s="44"/>
      <c r="H3" s="40"/>
      <c r="I3" s="40"/>
      <c r="J3" s="40"/>
      <c r="K3" s="40"/>
      <c r="L3" s="40"/>
      <c r="M3" s="41"/>
      <c r="N3" s="46"/>
      <c r="O3" s="48"/>
      <c r="P3" s="24">
        <v>2</v>
      </c>
      <c r="Q3" s="24">
        <v>3</v>
      </c>
      <c r="R3" s="24">
        <v>4</v>
      </c>
      <c r="S3" s="49"/>
      <c r="T3" s="49"/>
      <c r="U3" s="48"/>
      <c r="V3" s="51"/>
      <c r="W3" s="47"/>
      <c r="X3" s="47"/>
      <c r="Y3" s="56"/>
      <c r="Z3" s="47"/>
      <c r="AA3" s="54"/>
      <c r="AB3" s="55"/>
      <c r="AC3" s="55"/>
    </row>
    <row r="4" spans="1:29" s="18" customFormat="1" ht="19.899999999999999" customHeight="1" x14ac:dyDescent="0.25">
      <c r="A4" s="20">
        <v>44407</v>
      </c>
      <c r="B4" s="29">
        <v>84</v>
      </c>
      <c r="C4" s="28">
        <v>204</v>
      </c>
      <c r="D4" s="26">
        <v>603985</v>
      </c>
      <c r="E4" s="25">
        <v>604901</v>
      </c>
      <c r="F4" s="25">
        <v>531541</v>
      </c>
      <c r="G4" s="25">
        <v>530997</v>
      </c>
      <c r="H4" s="25">
        <v>234498</v>
      </c>
      <c r="I4" s="25">
        <v>7198870</v>
      </c>
      <c r="J4" s="25">
        <v>32221</v>
      </c>
      <c r="K4" s="25">
        <v>5173101</v>
      </c>
      <c r="L4" s="25">
        <v>741542</v>
      </c>
      <c r="M4" s="25">
        <v>2632699</v>
      </c>
      <c r="N4" s="25">
        <v>1133818</v>
      </c>
      <c r="O4" s="25">
        <v>364359</v>
      </c>
      <c r="P4" s="25">
        <v>1483076</v>
      </c>
      <c r="Q4" s="25">
        <v>649913</v>
      </c>
      <c r="R4" s="25">
        <v>925</v>
      </c>
      <c r="S4" s="25">
        <v>335352</v>
      </c>
      <c r="T4" s="25">
        <v>37528</v>
      </c>
      <c r="U4" s="25">
        <v>51308</v>
      </c>
      <c r="V4" s="25">
        <v>30721</v>
      </c>
      <c r="W4" s="25">
        <v>489.71600000000001</v>
      </c>
      <c r="X4" s="25">
        <v>932.42499999999995</v>
      </c>
      <c r="Y4" s="25">
        <v>3888.4769999999999</v>
      </c>
      <c r="Z4" s="25">
        <v>3478</v>
      </c>
      <c r="AA4" s="25">
        <v>1952</v>
      </c>
      <c r="AB4" s="27">
        <v>2928</v>
      </c>
      <c r="AC4" s="27">
        <v>3530</v>
      </c>
    </row>
    <row r="5" spans="1:29" x14ac:dyDescent="0.25">
      <c r="A5" s="20">
        <v>44409</v>
      </c>
      <c r="B5" s="29">
        <v>103</v>
      </c>
      <c r="C5" s="28">
        <v>247</v>
      </c>
      <c r="D5" s="26">
        <v>607773</v>
      </c>
      <c r="E5" s="25">
        <v>608695</v>
      </c>
      <c r="F5" s="25">
        <v>533540</v>
      </c>
      <c r="G5" s="25">
        <v>532995</v>
      </c>
      <c r="H5" s="25">
        <v>234498</v>
      </c>
      <c r="I5" s="25">
        <f t="shared" ref="I5:I32" si="0">I4+1730</f>
        <v>7200600</v>
      </c>
      <c r="J5" s="25">
        <f>J4+3</f>
        <v>32224</v>
      </c>
      <c r="K5" s="25">
        <f>K4+2632</f>
        <v>5175733</v>
      </c>
      <c r="L5" s="25">
        <v>742928</v>
      </c>
      <c r="M5" s="25">
        <v>2632699</v>
      </c>
      <c r="N5" s="25">
        <v>1136067</v>
      </c>
      <c r="O5" s="25">
        <v>364482</v>
      </c>
      <c r="P5" s="25">
        <v>1483076</v>
      </c>
      <c r="Q5" s="25">
        <v>650668</v>
      </c>
      <c r="R5" s="25">
        <v>927</v>
      </c>
      <c r="S5" s="25">
        <v>335448</v>
      </c>
      <c r="T5" s="25">
        <v>37626</v>
      </c>
      <c r="U5" s="25">
        <v>51317</v>
      </c>
      <c r="V5" s="25">
        <v>30722</v>
      </c>
      <c r="W5" s="25">
        <v>489.71600000000001</v>
      </c>
      <c r="X5" s="25">
        <v>932.66499999999996</v>
      </c>
      <c r="Y5" s="25">
        <v>3888.4859999999999</v>
      </c>
      <c r="Z5" s="25">
        <v>3478</v>
      </c>
      <c r="AA5" s="25">
        <v>1959</v>
      </c>
      <c r="AB5" s="27">
        <v>2928</v>
      </c>
      <c r="AC5" s="27">
        <v>3561</v>
      </c>
    </row>
    <row r="6" spans="1:29" x14ac:dyDescent="0.25">
      <c r="A6" s="20">
        <v>44410</v>
      </c>
      <c r="B6" s="29">
        <v>74</v>
      </c>
      <c r="C6" s="28">
        <v>209</v>
      </c>
      <c r="D6" s="26">
        <v>612144</v>
      </c>
      <c r="E6" s="25">
        <v>613073</v>
      </c>
      <c r="F6" s="25">
        <v>535556</v>
      </c>
      <c r="G6" s="25">
        <v>535009</v>
      </c>
      <c r="H6" s="25">
        <v>234498</v>
      </c>
      <c r="I6" s="25">
        <f t="shared" si="0"/>
        <v>7202330</v>
      </c>
      <c r="J6" s="25">
        <v>32222</v>
      </c>
      <c r="K6" s="25">
        <v>5173102</v>
      </c>
      <c r="L6" s="25">
        <v>744289</v>
      </c>
      <c r="M6" s="25">
        <v>2632699</v>
      </c>
      <c r="N6" s="25">
        <v>1138427</v>
      </c>
      <c r="O6" s="25">
        <v>364625</v>
      </c>
      <c r="P6" s="25">
        <v>1483076</v>
      </c>
      <c r="Q6" s="25">
        <v>651376</v>
      </c>
      <c r="R6" s="25">
        <v>931</v>
      </c>
      <c r="S6" s="25">
        <v>335559</v>
      </c>
      <c r="T6" s="25">
        <v>37738</v>
      </c>
      <c r="U6" s="25">
        <v>51328</v>
      </c>
      <c r="V6" s="25">
        <v>30738</v>
      </c>
      <c r="W6" s="25">
        <v>489.71499999999997</v>
      </c>
      <c r="X6" s="25">
        <v>932.87900000000002</v>
      </c>
      <c r="Y6" s="25">
        <v>3888.4929999999999</v>
      </c>
      <c r="Z6" s="25">
        <v>3478</v>
      </c>
      <c r="AA6" s="25">
        <v>1962</v>
      </c>
      <c r="AB6" s="27">
        <v>2928</v>
      </c>
      <c r="AC6" s="27">
        <v>3442</v>
      </c>
    </row>
    <row r="7" spans="1:29" x14ac:dyDescent="0.25">
      <c r="A7" s="20">
        <v>44411</v>
      </c>
      <c r="B7" s="29">
        <v>73</v>
      </c>
      <c r="C7" s="28">
        <v>211</v>
      </c>
      <c r="D7" s="26">
        <v>615906</v>
      </c>
      <c r="E7" s="25">
        <v>616841</v>
      </c>
      <c r="F7" s="25">
        <v>537515</v>
      </c>
      <c r="G7" s="25">
        <v>536966</v>
      </c>
      <c r="H7" s="25">
        <v>234516</v>
      </c>
      <c r="I7" s="25">
        <f t="shared" si="0"/>
        <v>7204060</v>
      </c>
      <c r="J7" s="25">
        <f t="shared" ref="J7" si="1">J6+3</f>
        <v>32225</v>
      </c>
      <c r="K7" s="25">
        <f t="shared" ref="K7" si="2">K6+2632</f>
        <v>5175734</v>
      </c>
      <c r="L7" s="25">
        <v>745661</v>
      </c>
      <c r="M7" s="25">
        <v>2632700</v>
      </c>
      <c r="N7" s="25">
        <v>1140711</v>
      </c>
      <c r="O7" s="25">
        <v>364757</v>
      </c>
      <c r="P7" s="25">
        <v>1483076</v>
      </c>
      <c r="Q7" s="25">
        <v>651848</v>
      </c>
      <c r="R7" s="25">
        <v>935</v>
      </c>
      <c r="S7" s="25">
        <v>335660</v>
      </c>
      <c r="T7" s="25">
        <v>37840</v>
      </c>
      <c r="U7" s="25">
        <v>51339</v>
      </c>
      <c r="V7" s="25">
        <v>30738</v>
      </c>
      <c r="W7" s="25">
        <v>489.71499999999997</v>
      </c>
      <c r="X7" s="25">
        <v>933.09500000000003</v>
      </c>
      <c r="Y7" s="25">
        <v>3888.848</v>
      </c>
      <c r="Z7" s="25">
        <v>3478</v>
      </c>
      <c r="AA7" s="25">
        <v>1967</v>
      </c>
      <c r="AB7" s="27">
        <v>2863</v>
      </c>
      <c r="AC7" s="27">
        <v>2913</v>
      </c>
    </row>
    <row r="8" spans="1:29" x14ac:dyDescent="0.25">
      <c r="A8" s="20">
        <v>44412</v>
      </c>
      <c r="B8" s="29">
        <v>73</v>
      </c>
      <c r="C8" s="28">
        <v>194</v>
      </c>
      <c r="D8" s="26">
        <v>619435</v>
      </c>
      <c r="E8" s="25">
        <v>620377</v>
      </c>
      <c r="F8" s="25">
        <v>540231</v>
      </c>
      <c r="G8" s="25">
        <v>539680</v>
      </c>
      <c r="H8" s="25">
        <v>234697</v>
      </c>
      <c r="I8" s="25">
        <f t="shared" si="0"/>
        <v>7205790</v>
      </c>
      <c r="J8" s="25">
        <v>32223</v>
      </c>
      <c r="K8" s="25">
        <v>5173103</v>
      </c>
      <c r="L8" s="25">
        <v>747059</v>
      </c>
      <c r="M8" s="25">
        <v>2632720</v>
      </c>
      <c r="N8" s="25">
        <v>1142751</v>
      </c>
      <c r="O8" s="25">
        <v>364888</v>
      </c>
      <c r="P8" s="25">
        <v>1483076</v>
      </c>
      <c r="Q8" s="25">
        <v>652336</v>
      </c>
      <c r="R8" s="25">
        <v>939</v>
      </c>
      <c r="S8" s="25">
        <v>335764</v>
      </c>
      <c r="T8" s="25">
        <v>37946</v>
      </c>
      <c r="U8" s="25">
        <v>51348</v>
      </c>
      <c r="V8" s="25">
        <v>30739</v>
      </c>
      <c r="W8" s="25">
        <v>489.71499999999997</v>
      </c>
      <c r="X8" s="25">
        <v>933.12099999999998</v>
      </c>
      <c r="Y8" s="25">
        <v>3888.8589999999999</v>
      </c>
      <c r="Z8" s="25">
        <v>3478</v>
      </c>
      <c r="AA8" s="25">
        <v>1972</v>
      </c>
      <c r="AB8" s="27">
        <v>2928</v>
      </c>
      <c r="AC8" s="27">
        <v>2898</v>
      </c>
    </row>
    <row r="9" spans="1:29" x14ac:dyDescent="0.25">
      <c r="A9" s="20">
        <v>44413</v>
      </c>
      <c r="B9" s="29">
        <v>61</v>
      </c>
      <c r="C9" s="28">
        <v>152</v>
      </c>
      <c r="D9" s="26">
        <v>622986</v>
      </c>
      <c r="E9" s="25">
        <v>623933</v>
      </c>
      <c r="F9" s="25">
        <v>542518</v>
      </c>
      <c r="G9" s="25">
        <v>541965</v>
      </c>
      <c r="H9" s="25">
        <v>234778</v>
      </c>
      <c r="I9" s="25">
        <f t="shared" si="0"/>
        <v>7207520</v>
      </c>
      <c r="J9" s="25">
        <f t="shared" ref="J9" si="3">J8+3</f>
        <v>32226</v>
      </c>
      <c r="K9" s="25">
        <f t="shared" ref="K9" si="4">K8+2632</f>
        <v>5175735</v>
      </c>
      <c r="L9" s="25">
        <v>748420</v>
      </c>
      <c r="M9" s="25">
        <v>2632720</v>
      </c>
      <c r="N9" s="25">
        <v>1144885</v>
      </c>
      <c r="O9" s="25">
        <v>365027</v>
      </c>
      <c r="P9" s="25">
        <v>1483076</v>
      </c>
      <c r="Q9" s="25">
        <v>653003</v>
      </c>
      <c r="R9" s="25">
        <v>943</v>
      </c>
      <c r="S9" s="25">
        <v>335865</v>
      </c>
      <c r="T9" s="25">
        <v>38048</v>
      </c>
      <c r="U9" s="25">
        <v>51358</v>
      </c>
      <c r="V9" s="25">
        <v>30740</v>
      </c>
      <c r="W9" s="25">
        <v>489.71600000000001</v>
      </c>
      <c r="X9" s="25">
        <v>933.45</v>
      </c>
      <c r="Y9" s="25">
        <v>3888.8589999999999</v>
      </c>
      <c r="Z9" s="25">
        <v>3478</v>
      </c>
      <c r="AA9" s="25">
        <v>1977</v>
      </c>
      <c r="AB9" s="27">
        <v>2334</v>
      </c>
      <c r="AC9" s="27">
        <v>3465</v>
      </c>
    </row>
    <row r="10" spans="1:29" x14ac:dyDescent="0.25">
      <c r="A10" s="20">
        <v>44414</v>
      </c>
      <c r="B10" s="29">
        <v>66</v>
      </c>
      <c r="C10" s="28">
        <v>162</v>
      </c>
      <c r="D10" s="26">
        <v>627539</v>
      </c>
      <c r="E10" s="25">
        <v>628493</v>
      </c>
      <c r="F10" s="25">
        <v>544503</v>
      </c>
      <c r="G10" s="25">
        <v>543948</v>
      </c>
      <c r="H10" s="25">
        <v>234799</v>
      </c>
      <c r="I10" s="25">
        <f t="shared" si="0"/>
        <v>7209250</v>
      </c>
      <c r="J10" s="25">
        <v>32224</v>
      </c>
      <c r="K10" s="25">
        <v>5173104</v>
      </c>
      <c r="L10" s="25">
        <v>749781</v>
      </c>
      <c r="M10" s="25">
        <v>2632880</v>
      </c>
      <c r="N10" s="25">
        <v>1147060</v>
      </c>
      <c r="O10" s="25">
        <v>365146</v>
      </c>
      <c r="P10" s="25">
        <v>1483076</v>
      </c>
      <c r="Q10" s="25">
        <v>653697</v>
      </c>
      <c r="R10" s="25">
        <v>947</v>
      </c>
      <c r="S10" s="25">
        <v>335956</v>
      </c>
      <c r="T10" s="25">
        <v>38139</v>
      </c>
      <c r="U10" s="25">
        <v>51367</v>
      </c>
      <c r="V10" s="25">
        <v>30741</v>
      </c>
      <c r="W10" s="25">
        <v>489.71600000000001</v>
      </c>
      <c r="X10" s="25">
        <v>933.69500000000005</v>
      </c>
      <c r="Y10" s="25">
        <v>3888.87</v>
      </c>
      <c r="Z10" s="25">
        <v>3478</v>
      </c>
      <c r="AA10" s="25">
        <v>1981</v>
      </c>
      <c r="AB10" s="27">
        <v>2925</v>
      </c>
      <c r="AC10" s="27">
        <v>3525</v>
      </c>
    </row>
    <row r="11" spans="1:29" x14ac:dyDescent="0.25">
      <c r="A11" s="20">
        <v>44415</v>
      </c>
      <c r="B11" s="29">
        <v>72</v>
      </c>
      <c r="C11" s="28">
        <v>178</v>
      </c>
      <c r="D11" s="26">
        <v>631398</v>
      </c>
      <c r="E11" s="25">
        <v>632358</v>
      </c>
      <c r="F11" s="25">
        <v>546497</v>
      </c>
      <c r="G11" s="25">
        <v>545940</v>
      </c>
      <c r="H11" s="25">
        <v>234799</v>
      </c>
      <c r="I11" s="25">
        <f t="shared" si="0"/>
        <v>7210980</v>
      </c>
      <c r="J11" s="25">
        <f t="shared" ref="J11" si="5">J10+3</f>
        <v>32227</v>
      </c>
      <c r="K11" s="25">
        <f t="shared" ref="K11" si="6">K10+2632</f>
        <v>5175736</v>
      </c>
      <c r="L11" s="25">
        <v>751205</v>
      </c>
      <c r="M11" s="25">
        <v>2632880</v>
      </c>
      <c r="N11" s="25">
        <v>1149364</v>
      </c>
      <c r="O11" s="25">
        <v>365266</v>
      </c>
      <c r="P11" s="25">
        <v>1483076</v>
      </c>
      <c r="Q11" s="25">
        <v>654349</v>
      </c>
      <c r="R11" s="25">
        <v>450</v>
      </c>
      <c r="S11" s="25">
        <v>336056</v>
      </c>
      <c r="T11" s="25">
        <v>38241</v>
      </c>
      <c r="U11" s="25">
        <v>51379</v>
      </c>
      <c r="V11" s="25">
        <v>30742</v>
      </c>
      <c r="W11" s="25">
        <v>489.71499999999997</v>
      </c>
      <c r="X11" s="25">
        <v>933.93200000000002</v>
      </c>
      <c r="Y11" s="25">
        <v>3888.873</v>
      </c>
      <c r="Z11" s="25">
        <v>3478</v>
      </c>
      <c r="AA11" s="25">
        <v>1985</v>
      </c>
      <c r="AB11" s="27">
        <v>2929</v>
      </c>
      <c r="AC11" s="27">
        <v>3378</v>
      </c>
    </row>
    <row r="12" spans="1:29" x14ac:dyDescent="0.25">
      <c r="A12" s="20">
        <v>44416</v>
      </c>
      <c r="B12" s="29">
        <v>69</v>
      </c>
      <c r="C12" s="28">
        <v>179</v>
      </c>
      <c r="D12" s="26">
        <v>635328</v>
      </c>
      <c r="E12" s="25">
        <v>636295</v>
      </c>
      <c r="F12" s="25">
        <v>548563</v>
      </c>
      <c r="G12" s="25">
        <v>548004</v>
      </c>
      <c r="H12" s="25">
        <v>234842</v>
      </c>
      <c r="I12" s="25">
        <f t="shared" si="0"/>
        <v>7212710</v>
      </c>
      <c r="J12" s="25">
        <v>32225</v>
      </c>
      <c r="K12" s="25">
        <v>5173105</v>
      </c>
      <c r="L12" s="25">
        <v>752466</v>
      </c>
      <c r="M12" s="25">
        <v>2632880</v>
      </c>
      <c r="N12" s="25">
        <v>1151714</v>
      </c>
      <c r="O12" s="25">
        <v>365386</v>
      </c>
      <c r="P12" s="25">
        <v>1483076</v>
      </c>
      <c r="Q12" s="25">
        <v>654923</v>
      </c>
      <c r="R12" s="25">
        <v>954</v>
      </c>
      <c r="S12" s="25">
        <v>336150</v>
      </c>
      <c r="T12" s="25">
        <v>38337</v>
      </c>
      <c r="U12" s="25">
        <v>51387</v>
      </c>
      <c r="V12" s="25">
        <v>30743</v>
      </c>
      <c r="W12" s="25">
        <v>489.71499999999997</v>
      </c>
      <c r="X12" s="25">
        <v>934.11599999999999</v>
      </c>
      <c r="Y12" s="25">
        <v>3888.8789999999999</v>
      </c>
      <c r="Z12" s="25">
        <v>3478</v>
      </c>
      <c r="AA12" s="25">
        <v>1992</v>
      </c>
      <c r="AB12" s="27">
        <v>2928</v>
      </c>
      <c r="AC12" s="27">
        <v>3566</v>
      </c>
    </row>
    <row r="13" spans="1:29" x14ac:dyDescent="0.25">
      <c r="A13" s="20">
        <v>44417</v>
      </c>
      <c r="B13" s="29">
        <v>82</v>
      </c>
      <c r="C13" s="28">
        <v>212</v>
      </c>
      <c r="D13" s="26">
        <v>639011</v>
      </c>
      <c r="E13" s="25">
        <v>639984</v>
      </c>
      <c r="F13" s="25">
        <v>550461</v>
      </c>
      <c r="G13" s="25">
        <v>549900</v>
      </c>
      <c r="H13" s="25">
        <v>234842</v>
      </c>
      <c r="I13" s="25">
        <f t="shared" si="0"/>
        <v>7214440</v>
      </c>
      <c r="J13" s="25">
        <f t="shared" ref="J13" si="7">J12+3</f>
        <v>32228</v>
      </c>
      <c r="K13" s="25">
        <f t="shared" ref="K13" si="8">K12+2632</f>
        <v>5175737</v>
      </c>
      <c r="L13" s="25">
        <v>753757</v>
      </c>
      <c r="M13" s="25">
        <v>2632880</v>
      </c>
      <c r="N13" s="25">
        <v>1154058</v>
      </c>
      <c r="O13" s="25">
        <v>365555</v>
      </c>
      <c r="P13" s="25">
        <v>1483076</v>
      </c>
      <c r="Q13" s="25">
        <v>655408</v>
      </c>
      <c r="R13" s="25">
        <v>958</v>
      </c>
      <c r="S13" s="25">
        <v>336260</v>
      </c>
      <c r="T13" s="25">
        <v>38448</v>
      </c>
      <c r="U13" s="25">
        <v>51396</v>
      </c>
      <c r="V13" s="25">
        <v>30754</v>
      </c>
      <c r="W13" s="25">
        <v>489.71499999999997</v>
      </c>
      <c r="X13" s="25">
        <v>934.33699999999999</v>
      </c>
      <c r="Y13" s="25">
        <v>3888.886</v>
      </c>
      <c r="Z13" s="25">
        <v>3478</v>
      </c>
      <c r="AA13" s="25">
        <v>1999</v>
      </c>
      <c r="AB13" s="27">
        <v>2928</v>
      </c>
      <c r="AC13" s="27">
        <v>3179</v>
      </c>
    </row>
    <row r="14" spans="1:29" x14ac:dyDescent="0.25">
      <c r="A14" s="20">
        <v>44418</v>
      </c>
      <c r="B14" s="29">
        <v>92</v>
      </c>
      <c r="C14" s="28">
        <v>226</v>
      </c>
      <c r="D14" s="26">
        <v>642396</v>
      </c>
      <c r="E14" s="25">
        <v>643375</v>
      </c>
      <c r="F14" s="25">
        <v>552822</v>
      </c>
      <c r="G14" s="25">
        <v>552259</v>
      </c>
      <c r="H14" s="25">
        <v>234924</v>
      </c>
      <c r="I14" s="25">
        <f t="shared" si="0"/>
        <v>7216170</v>
      </c>
      <c r="J14" s="25">
        <v>32226</v>
      </c>
      <c r="K14" s="25">
        <v>5173106</v>
      </c>
      <c r="L14" s="25">
        <v>755118</v>
      </c>
      <c r="M14" s="25">
        <v>2632881</v>
      </c>
      <c r="N14" s="25">
        <v>1156299</v>
      </c>
      <c r="O14" s="25">
        <v>365688</v>
      </c>
      <c r="P14" s="25">
        <v>1483076</v>
      </c>
      <c r="Q14" s="25">
        <v>655947</v>
      </c>
      <c r="R14" s="25">
        <v>962</v>
      </c>
      <c r="S14" s="25">
        <v>336363</v>
      </c>
      <c r="T14" s="25">
        <v>38552</v>
      </c>
      <c r="U14" s="25">
        <v>51406</v>
      </c>
      <c r="V14" s="25">
        <v>30755</v>
      </c>
      <c r="W14" s="25">
        <v>489.71499999999997</v>
      </c>
      <c r="X14" s="25">
        <v>934.47299999999996</v>
      </c>
      <c r="Y14" s="25">
        <v>3888.8939999999998</v>
      </c>
      <c r="Z14" s="34">
        <v>3478</v>
      </c>
      <c r="AA14" s="25">
        <v>2004</v>
      </c>
      <c r="AB14" s="27">
        <v>2891</v>
      </c>
      <c r="AC14" s="27">
        <v>3014</v>
      </c>
    </row>
    <row r="15" spans="1:29" x14ac:dyDescent="0.25">
      <c r="A15" s="20">
        <v>44419</v>
      </c>
      <c r="B15" s="29">
        <v>112</v>
      </c>
      <c r="C15" s="28">
        <v>253</v>
      </c>
      <c r="D15" s="26">
        <v>646541</v>
      </c>
      <c r="E15" s="25">
        <v>647527</v>
      </c>
      <c r="F15" s="25">
        <v>555177</v>
      </c>
      <c r="G15" s="25">
        <v>554611</v>
      </c>
      <c r="H15" s="25">
        <v>235034</v>
      </c>
      <c r="I15" s="25">
        <f t="shared" si="0"/>
        <v>7217900</v>
      </c>
      <c r="J15" s="25">
        <f t="shared" ref="J15" si="9">J14+3</f>
        <v>32229</v>
      </c>
      <c r="K15" s="25">
        <f t="shared" ref="K15" si="10">K14+2632</f>
        <v>5175738</v>
      </c>
      <c r="L15" s="25">
        <v>756479</v>
      </c>
      <c r="M15" s="25">
        <v>2632891</v>
      </c>
      <c r="N15" s="25">
        <v>1158404</v>
      </c>
      <c r="O15" s="25">
        <v>365808</v>
      </c>
      <c r="P15" s="25">
        <v>1483076</v>
      </c>
      <c r="Q15" s="25">
        <v>656674</v>
      </c>
      <c r="R15" s="25">
        <v>966</v>
      </c>
      <c r="S15" s="25">
        <v>336477</v>
      </c>
      <c r="T15" s="25">
        <v>38668</v>
      </c>
      <c r="U15" s="25">
        <v>51415</v>
      </c>
      <c r="V15" s="25">
        <v>30756</v>
      </c>
      <c r="W15" s="25">
        <v>489.71499999999997</v>
      </c>
      <c r="X15" s="25">
        <v>934.91200000000003</v>
      </c>
      <c r="Y15" s="25">
        <v>3888.9029999999998</v>
      </c>
      <c r="Z15" s="25">
        <v>3478</v>
      </c>
      <c r="AA15" s="25">
        <v>2009</v>
      </c>
      <c r="AB15" s="27">
        <v>2928</v>
      </c>
      <c r="AC15" s="27">
        <v>3190</v>
      </c>
    </row>
    <row r="16" spans="1:29" x14ac:dyDescent="0.25">
      <c r="A16" s="20">
        <v>44420</v>
      </c>
      <c r="B16" s="29">
        <v>68</v>
      </c>
      <c r="C16" s="28">
        <v>176</v>
      </c>
      <c r="D16" s="26">
        <v>650668</v>
      </c>
      <c r="E16" s="25">
        <v>651660</v>
      </c>
      <c r="F16" s="25">
        <v>558262</v>
      </c>
      <c r="G16" s="25">
        <v>557693</v>
      </c>
      <c r="H16" s="25">
        <v>235138</v>
      </c>
      <c r="I16" s="25">
        <f t="shared" si="0"/>
        <v>7219630</v>
      </c>
      <c r="J16" s="25">
        <v>32227</v>
      </c>
      <c r="K16" s="25">
        <v>5173107</v>
      </c>
      <c r="L16" s="25">
        <v>757840</v>
      </c>
      <c r="M16" s="25">
        <v>2632891</v>
      </c>
      <c r="N16" s="25">
        <v>1160591</v>
      </c>
      <c r="O16" s="25">
        <v>365957</v>
      </c>
      <c r="P16" s="25">
        <v>1483544</v>
      </c>
      <c r="Q16" s="25">
        <v>657237</v>
      </c>
      <c r="R16" s="25">
        <v>969</v>
      </c>
      <c r="S16" s="25">
        <v>336600</v>
      </c>
      <c r="T16" s="25">
        <v>38792</v>
      </c>
      <c r="U16" s="25">
        <v>51425</v>
      </c>
      <c r="V16" s="25">
        <v>30757</v>
      </c>
      <c r="W16" s="25">
        <v>489.71499999999997</v>
      </c>
      <c r="X16" s="25">
        <v>934.98800000000006</v>
      </c>
      <c r="Y16" s="25">
        <v>3888.913</v>
      </c>
      <c r="Z16" s="25">
        <v>3478</v>
      </c>
      <c r="AA16" s="25">
        <v>2014</v>
      </c>
      <c r="AB16" s="27">
        <v>2905</v>
      </c>
      <c r="AC16" s="27">
        <v>3069</v>
      </c>
    </row>
    <row r="17" spans="1:29" x14ac:dyDescent="0.25">
      <c r="A17" s="20">
        <v>44421</v>
      </c>
      <c r="B17" s="29">
        <v>91</v>
      </c>
      <c r="C17" s="28">
        <v>243</v>
      </c>
      <c r="D17" s="26">
        <v>653550</v>
      </c>
      <c r="E17" s="25">
        <v>654546</v>
      </c>
      <c r="F17" s="25">
        <v>561813</v>
      </c>
      <c r="G17" s="25">
        <v>561241</v>
      </c>
      <c r="H17" s="25">
        <v>235221</v>
      </c>
      <c r="I17" s="25">
        <f t="shared" si="0"/>
        <v>7221360</v>
      </c>
      <c r="J17" s="25">
        <f t="shared" ref="J17" si="11">J16+3</f>
        <v>32230</v>
      </c>
      <c r="K17" s="25">
        <f t="shared" ref="K17" si="12">K16+2632</f>
        <v>5175739</v>
      </c>
      <c r="L17" s="25">
        <v>759201</v>
      </c>
      <c r="M17" s="25">
        <v>2632892</v>
      </c>
      <c r="N17" s="25">
        <v>1162702</v>
      </c>
      <c r="O17" s="25">
        <v>366126</v>
      </c>
      <c r="P17" s="25">
        <v>1484354</v>
      </c>
      <c r="Q17" s="25">
        <v>657437</v>
      </c>
      <c r="R17" s="25">
        <v>971</v>
      </c>
      <c r="S17" s="25">
        <v>336714</v>
      </c>
      <c r="T17" s="25">
        <v>38907</v>
      </c>
      <c r="U17" s="25">
        <v>51435</v>
      </c>
      <c r="V17" s="25">
        <v>30759</v>
      </c>
      <c r="W17" s="25">
        <v>489.71499999999997</v>
      </c>
      <c r="X17" s="25">
        <v>935.33199999999999</v>
      </c>
      <c r="Y17" s="25">
        <v>3888.9229999999998</v>
      </c>
      <c r="Z17" s="25">
        <v>3499</v>
      </c>
      <c r="AA17" s="25">
        <v>2019</v>
      </c>
      <c r="AB17" s="27">
        <v>2825</v>
      </c>
      <c r="AC17" s="27">
        <v>3194</v>
      </c>
    </row>
    <row r="18" spans="1:29" x14ac:dyDescent="0.25">
      <c r="A18" s="20">
        <v>44422</v>
      </c>
      <c r="B18" s="29">
        <v>92</v>
      </c>
      <c r="C18" s="28">
        <v>236</v>
      </c>
      <c r="D18" s="26">
        <v>656795</v>
      </c>
      <c r="E18" s="25">
        <v>657795</v>
      </c>
      <c r="F18" s="25">
        <v>565762</v>
      </c>
      <c r="G18" s="25">
        <v>565186</v>
      </c>
      <c r="H18" s="25">
        <v>235302</v>
      </c>
      <c r="I18" s="25">
        <f t="shared" si="0"/>
        <v>7223090</v>
      </c>
      <c r="J18" s="25">
        <v>32228</v>
      </c>
      <c r="K18" s="25">
        <v>5173108</v>
      </c>
      <c r="L18" s="25">
        <v>760562</v>
      </c>
      <c r="M18" s="25">
        <v>2632893</v>
      </c>
      <c r="N18" s="25">
        <v>1165007</v>
      </c>
      <c r="O18" s="25">
        <v>366300</v>
      </c>
      <c r="P18" s="25">
        <v>1485211</v>
      </c>
      <c r="Q18" s="25">
        <v>657682</v>
      </c>
      <c r="R18" s="25">
        <v>974</v>
      </c>
      <c r="S18" s="25">
        <v>336837</v>
      </c>
      <c r="T18" s="25">
        <v>39031</v>
      </c>
      <c r="U18" s="25">
        <v>51446</v>
      </c>
      <c r="V18" s="25">
        <v>30760</v>
      </c>
      <c r="W18" s="25">
        <v>489.71499999999997</v>
      </c>
      <c r="X18" s="25">
        <v>935.63900000000001</v>
      </c>
      <c r="Y18" s="25">
        <v>3888.9430000000002</v>
      </c>
      <c r="Z18" s="25">
        <v>3520</v>
      </c>
      <c r="AA18" s="25">
        <v>2024</v>
      </c>
      <c r="AB18" s="27">
        <v>2859</v>
      </c>
      <c r="AC18" s="27">
        <v>3076</v>
      </c>
    </row>
    <row r="19" spans="1:29" x14ac:dyDescent="0.25">
      <c r="A19" s="20">
        <v>44423</v>
      </c>
      <c r="B19" s="29">
        <v>86</v>
      </c>
      <c r="C19" s="28">
        <v>231</v>
      </c>
      <c r="D19" s="26">
        <v>659505</v>
      </c>
      <c r="E19" s="25">
        <v>660509</v>
      </c>
      <c r="F19" s="25">
        <v>569641</v>
      </c>
      <c r="G19" s="25">
        <v>569061</v>
      </c>
      <c r="H19" s="25">
        <v>235409</v>
      </c>
      <c r="I19" s="25">
        <f t="shared" si="0"/>
        <v>7224820</v>
      </c>
      <c r="J19" s="25">
        <f t="shared" ref="J19" si="13">J18+3</f>
        <v>32231</v>
      </c>
      <c r="K19" s="25">
        <f t="shared" ref="K19" si="14">K18+2632</f>
        <v>5175740</v>
      </c>
      <c r="L19" s="25">
        <v>761923</v>
      </c>
      <c r="M19" s="25">
        <v>2632895</v>
      </c>
      <c r="N19" s="25">
        <v>1167101</v>
      </c>
      <c r="O19" s="25">
        <v>366483</v>
      </c>
      <c r="P19" s="25">
        <v>1486040</v>
      </c>
      <c r="Q19" s="25">
        <v>657875</v>
      </c>
      <c r="R19" s="25">
        <v>977</v>
      </c>
      <c r="S19" s="25">
        <v>336955</v>
      </c>
      <c r="T19" s="25">
        <v>39150</v>
      </c>
      <c r="U19" s="25">
        <v>51456</v>
      </c>
      <c r="V19" s="25">
        <v>30761</v>
      </c>
      <c r="W19" s="25">
        <v>489.71499999999997</v>
      </c>
      <c r="X19" s="25">
        <v>936.096</v>
      </c>
      <c r="Y19" s="25">
        <v>3888.9479999999999</v>
      </c>
      <c r="Z19" s="25">
        <v>3541</v>
      </c>
      <c r="AA19" s="25">
        <v>2029</v>
      </c>
      <c r="AB19" s="27">
        <v>2859</v>
      </c>
      <c r="AC19" s="27">
        <v>3271</v>
      </c>
    </row>
    <row r="20" spans="1:29" x14ac:dyDescent="0.25">
      <c r="A20" s="20">
        <v>44424</v>
      </c>
      <c r="B20" s="29">
        <v>72</v>
      </c>
      <c r="C20" s="28">
        <v>183</v>
      </c>
      <c r="D20" s="26">
        <v>662491</v>
      </c>
      <c r="E20" s="25">
        <v>663500</v>
      </c>
      <c r="F20" s="25">
        <v>573387</v>
      </c>
      <c r="G20" s="25">
        <v>572803</v>
      </c>
      <c r="H20" s="25">
        <v>235466</v>
      </c>
      <c r="I20" s="25">
        <f t="shared" si="0"/>
        <v>7226550</v>
      </c>
      <c r="J20" s="25">
        <v>32229</v>
      </c>
      <c r="K20" s="25">
        <v>5173109</v>
      </c>
      <c r="L20" s="25">
        <v>763284</v>
      </c>
      <c r="M20" s="25">
        <v>2632898</v>
      </c>
      <c r="N20" s="25">
        <v>1169376</v>
      </c>
      <c r="O20" s="25">
        <v>366166</v>
      </c>
      <c r="P20" s="25">
        <v>1486892</v>
      </c>
      <c r="Q20" s="25">
        <v>658011</v>
      </c>
      <c r="R20" s="25">
        <v>980</v>
      </c>
      <c r="S20" s="25">
        <v>337082</v>
      </c>
      <c r="T20" s="25">
        <v>39277</v>
      </c>
      <c r="U20" s="25">
        <v>51467</v>
      </c>
      <c r="V20" s="25">
        <v>30775</v>
      </c>
      <c r="W20" s="25">
        <v>489.71499999999997</v>
      </c>
      <c r="X20" s="25">
        <v>936.48500000000001</v>
      </c>
      <c r="Y20" s="25">
        <v>3888.9560000000001</v>
      </c>
      <c r="Z20" s="25">
        <v>3560</v>
      </c>
      <c r="AA20" s="25">
        <v>2034</v>
      </c>
      <c r="AB20" s="27">
        <v>2830</v>
      </c>
      <c r="AC20" s="27">
        <v>1575</v>
      </c>
    </row>
    <row r="21" spans="1:29" x14ac:dyDescent="0.25">
      <c r="A21" s="20">
        <v>44425</v>
      </c>
      <c r="B21" s="29">
        <v>65</v>
      </c>
      <c r="C21" s="28">
        <v>163</v>
      </c>
      <c r="D21" s="26">
        <v>665147</v>
      </c>
      <c r="E21" s="25">
        <v>666160</v>
      </c>
      <c r="F21" s="25">
        <v>580025</v>
      </c>
      <c r="G21" s="25">
        <v>579436</v>
      </c>
      <c r="H21" s="25">
        <v>236167</v>
      </c>
      <c r="I21" s="25">
        <f t="shared" si="0"/>
        <v>7228280</v>
      </c>
      <c r="J21" s="25">
        <f t="shared" ref="J21" si="15">J20+3</f>
        <v>32232</v>
      </c>
      <c r="K21" s="25">
        <f t="shared" ref="K21" si="16">K20+2632</f>
        <v>5175741</v>
      </c>
      <c r="L21" s="25">
        <v>764645</v>
      </c>
      <c r="M21" s="25">
        <v>2632898</v>
      </c>
      <c r="N21" s="25">
        <v>1171025</v>
      </c>
      <c r="O21" s="25">
        <v>366815</v>
      </c>
      <c r="P21" s="25">
        <v>1487695</v>
      </c>
      <c r="Q21" s="25">
        <v>658121</v>
      </c>
      <c r="R21" s="25">
        <v>981</v>
      </c>
      <c r="S21" s="25">
        <v>337198</v>
      </c>
      <c r="T21" s="25">
        <v>39394</v>
      </c>
      <c r="U21" s="25">
        <v>51476</v>
      </c>
      <c r="V21" s="25">
        <v>30776</v>
      </c>
      <c r="W21" s="25">
        <v>489.71499999999997</v>
      </c>
      <c r="X21" s="25">
        <v>936.57</v>
      </c>
      <c r="Y21" s="25">
        <v>3888.9630000000002</v>
      </c>
      <c r="Z21" s="25">
        <v>3580</v>
      </c>
      <c r="AA21" s="25">
        <v>2039</v>
      </c>
      <c r="AB21" s="27">
        <v>2357</v>
      </c>
      <c r="AC21" s="27">
        <v>24</v>
      </c>
    </row>
    <row r="22" spans="1:29" x14ac:dyDescent="0.25">
      <c r="A22" s="20">
        <v>44426</v>
      </c>
      <c r="B22" s="29">
        <v>83</v>
      </c>
      <c r="C22" s="28">
        <v>202</v>
      </c>
      <c r="D22" s="26">
        <v>667934</v>
      </c>
      <c r="E22" s="25">
        <v>668952</v>
      </c>
      <c r="F22" s="25">
        <v>586682</v>
      </c>
      <c r="G22" s="25">
        <v>586086</v>
      </c>
      <c r="H22" s="25">
        <v>237129</v>
      </c>
      <c r="I22" s="25">
        <f t="shared" si="0"/>
        <v>7230010</v>
      </c>
      <c r="J22" s="25">
        <v>32230</v>
      </c>
      <c r="K22" s="25">
        <v>5173110</v>
      </c>
      <c r="L22" s="25">
        <v>766006</v>
      </c>
      <c r="M22" s="25">
        <v>2632946</v>
      </c>
      <c r="N22" s="25">
        <v>1172612</v>
      </c>
      <c r="O22" s="25">
        <v>366992</v>
      </c>
      <c r="P22" s="25">
        <v>1488514</v>
      </c>
      <c r="Q22" s="25">
        <v>658288</v>
      </c>
      <c r="R22" s="25">
        <v>982.66</v>
      </c>
      <c r="S22" s="25">
        <v>337314</v>
      </c>
      <c r="T22" s="25">
        <v>39511</v>
      </c>
      <c r="U22" s="25">
        <v>51485.599999999999</v>
      </c>
      <c r="V22" s="25">
        <v>30777</v>
      </c>
      <c r="W22" s="25">
        <v>489.71499999999997</v>
      </c>
      <c r="X22" s="25">
        <v>936.74</v>
      </c>
      <c r="Y22" s="25">
        <v>3888.9630000000002</v>
      </c>
      <c r="Z22" s="25">
        <v>3597</v>
      </c>
      <c r="AA22" s="25">
        <v>2044</v>
      </c>
      <c r="AB22" s="27">
        <v>2822</v>
      </c>
      <c r="AC22" s="27">
        <v>0</v>
      </c>
    </row>
    <row r="23" spans="1:29" x14ac:dyDescent="0.25">
      <c r="A23" s="20">
        <v>44427</v>
      </c>
      <c r="B23" s="29">
        <v>104</v>
      </c>
      <c r="C23" s="28">
        <v>242</v>
      </c>
      <c r="D23" s="26">
        <v>670721</v>
      </c>
      <c r="E23" s="25">
        <v>671744</v>
      </c>
      <c r="F23" s="25">
        <v>593339</v>
      </c>
      <c r="G23" s="25">
        <v>592736</v>
      </c>
      <c r="H23" s="25">
        <v>238091</v>
      </c>
      <c r="I23" s="25">
        <f t="shared" si="0"/>
        <v>7231740</v>
      </c>
      <c r="J23" s="25">
        <f t="shared" ref="J23" si="17">J22+3</f>
        <v>32233</v>
      </c>
      <c r="K23" s="25">
        <f t="shared" ref="K23" si="18">K22+2632</f>
        <v>5175742</v>
      </c>
      <c r="L23" s="25">
        <v>767367</v>
      </c>
      <c r="M23" s="25">
        <v>2632994</v>
      </c>
      <c r="N23" s="25">
        <v>1174199</v>
      </c>
      <c r="O23" s="25">
        <v>367169</v>
      </c>
      <c r="P23" s="25">
        <v>1489333</v>
      </c>
      <c r="Q23" s="25">
        <v>658455</v>
      </c>
      <c r="R23" s="25">
        <v>984.32</v>
      </c>
      <c r="S23" s="25">
        <v>337430</v>
      </c>
      <c r="T23" s="25">
        <v>39628</v>
      </c>
      <c r="U23" s="25">
        <v>51495.199999999997</v>
      </c>
      <c r="V23" s="25">
        <v>30778</v>
      </c>
      <c r="W23" s="25">
        <v>489.71499999999997</v>
      </c>
      <c r="X23" s="25">
        <v>936.91</v>
      </c>
      <c r="Y23" s="25">
        <v>3888.9630000000002</v>
      </c>
      <c r="Z23" s="25">
        <v>3614</v>
      </c>
      <c r="AA23" s="25">
        <v>2049</v>
      </c>
      <c r="AB23" s="27">
        <v>2815</v>
      </c>
      <c r="AC23" s="27">
        <v>21</v>
      </c>
    </row>
    <row r="24" spans="1:29" x14ac:dyDescent="0.25">
      <c r="A24" s="20">
        <v>44428</v>
      </c>
      <c r="B24" s="29">
        <v>100</v>
      </c>
      <c r="C24" s="28">
        <v>241</v>
      </c>
      <c r="D24" s="26">
        <v>673510</v>
      </c>
      <c r="E24" s="25">
        <v>674537</v>
      </c>
      <c r="F24" s="25">
        <v>599997</v>
      </c>
      <c r="G24" s="25">
        <v>599388</v>
      </c>
      <c r="H24" s="25">
        <v>239054</v>
      </c>
      <c r="I24" s="25">
        <f t="shared" si="0"/>
        <v>7233470</v>
      </c>
      <c r="J24" s="25">
        <v>32231</v>
      </c>
      <c r="K24" s="25">
        <v>5173111</v>
      </c>
      <c r="L24" s="25">
        <v>768728</v>
      </c>
      <c r="M24" s="25">
        <v>2633044</v>
      </c>
      <c r="N24" s="25">
        <v>1175788</v>
      </c>
      <c r="O24" s="25">
        <v>367346</v>
      </c>
      <c r="P24" s="25">
        <v>1490154</v>
      </c>
      <c r="Q24" s="25">
        <v>658623</v>
      </c>
      <c r="R24" s="25">
        <v>986</v>
      </c>
      <c r="S24" s="25">
        <v>337546</v>
      </c>
      <c r="T24" s="25">
        <v>39745</v>
      </c>
      <c r="U24" s="25">
        <v>51505</v>
      </c>
      <c r="V24" s="25">
        <v>30779</v>
      </c>
      <c r="W24" s="25">
        <v>489.71499999999997</v>
      </c>
      <c r="X24" s="25">
        <v>937.08</v>
      </c>
      <c r="Y24" s="25">
        <v>3888.9949999999999</v>
      </c>
      <c r="Z24" s="25">
        <v>3632</v>
      </c>
      <c r="AA24" s="25">
        <v>2054</v>
      </c>
      <c r="AB24" s="27">
        <v>2884</v>
      </c>
      <c r="AC24" s="27">
        <v>13</v>
      </c>
    </row>
    <row r="25" spans="1:29" x14ac:dyDescent="0.25">
      <c r="A25" s="20">
        <v>44429</v>
      </c>
      <c r="B25" s="29">
        <v>104</v>
      </c>
      <c r="C25" s="28">
        <v>272</v>
      </c>
      <c r="D25" s="26">
        <v>676796</v>
      </c>
      <c r="E25" s="25">
        <v>677828</v>
      </c>
      <c r="F25" s="25">
        <v>607157</v>
      </c>
      <c r="G25" s="25">
        <v>606540</v>
      </c>
      <c r="H25" s="25">
        <v>239278</v>
      </c>
      <c r="I25" s="25">
        <f t="shared" si="0"/>
        <v>7235200</v>
      </c>
      <c r="J25" s="25">
        <f t="shared" ref="J25" si="19">J24+3</f>
        <v>32234</v>
      </c>
      <c r="K25" s="25">
        <f t="shared" ref="K25" si="20">K24+2632</f>
        <v>5175743</v>
      </c>
      <c r="L25" s="25">
        <v>770089</v>
      </c>
      <c r="M25" s="25">
        <v>2633045</v>
      </c>
      <c r="N25" s="25">
        <v>1177456</v>
      </c>
      <c r="O25" s="25">
        <v>367525</v>
      </c>
      <c r="P25" s="25">
        <v>1491005</v>
      </c>
      <c r="Q25" s="25">
        <v>658751</v>
      </c>
      <c r="R25" s="25">
        <v>988</v>
      </c>
      <c r="S25" s="25">
        <v>337731</v>
      </c>
      <c r="T25" s="25">
        <v>39930</v>
      </c>
      <c r="U25" s="25">
        <v>51515</v>
      </c>
      <c r="V25" s="25">
        <v>30780</v>
      </c>
      <c r="W25" s="25">
        <v>489.71499999999997</v>
      </c>
      <c r="X25" s="25">
        <v>937.09299999999996</v>
      </c>
      <c r="Y25" s="25">
        <v>3889.002</v>
      </c>
      <c r="Z25" s="25">
        <v>3651</v>
      </c>
      <c r="AA25" s="25">
        <v>2059</v>
      </c>
      <c r="AB25" s="27">
        <v>2865</v>
      </c>
      <c r="AC25" s="27">
        <v>0</v>
      </c>
    </row>
    <row r="26" spans="1:29" x14ac:dyDescent="0.25">
      <c r="A26" s="20">
        <v>44430</v>
      </c>
      <c r="B26" s="29">
        <v>112</v>
      </c>
      <c r="C26" s="28">
        <v>267</v>
      </c>
      <c r="D26" s="26">
        <v>679735</v>
      </c>
      <c r="E26" s="25">
        <v>680771</v>
      </c>
      <c r="F26" s="25">
        <v>613874</v>
      </c>
      <c r="G26" s="25">
        <v>613251</v>
      </c>
      <c r="H26" s="25">
        <v>240047</v>
      </c>
      <c r="I26" s="25">
        <f t="shared" si="0"/>
        <v>7236930</v>
      </c>
      <c r="J26" s="25">
        <v>32232</v>
      </c>
      <c r="K26" s="25">
        <v>5173112</v>
      </c>
      <c r="L26" s="25">
        <v>771282</v>
      </c>
      <c r="M26" s="25">
        <v>2633045</v>
      </c>
      <c r="N26" s="25">
        <v>1179020</v>
      </c>
      <c r="O26" s="25">
        <v>367767</v>
      </c>
      <c r="P26" s="25">
        <v>1491829</v>
      </c>
      <c r="Q26" s="25">
        <v>658886</v>
      </c>
      <c r="R26" s="25">
        <v>990</v>
      </c>
      <c r="S26" s="25">
        <v>337925</v>
      </c>
      <c r="T26" s="25">
        <v>40125</v>
      </c>
      <c r="U26" s="25">
        <v>51525</v>
      </c>
      <c r="V26" s="25">
        <v>30781</v>
      </c>
      <c r="W26" s="25">
        <v>489.71499999999997</v>
      </c>
      <c r="X26" s="25">
        <v>937.13499999999999</v>
      </c>
      <c r="Y26" s="25">
        <v>3889.0050000000001</v>
      </c>
      <c r="Z26" s="25">
        <v>3668</v>
      </c>
      <c r="AA26" s="25">
        <v>2064</v>
      </c>
      <c r="AB26" s="27">
        <v>2853</v>
      </c>
      <c r="AC26" s="27">
        <v>0</v>
      </c>
    </row>
    <row r="27" spans="1:29" x14ac:dyDescent="0.25">
      <c r="A27" s="20">
        <v>44431</v>
      </c>
      <c r="B27" s="29">
        <v>106</v>
      </c>
      <c r="C27" s="28">
        <v>245</v>
      </c>
      <c r="D27" s="26">
        <v>683174</v>
      </c>
      <c r="E27" s="25">
        <v>684216</v>
      </c>
      <c r="F27" s="25">
        <v>621025</v>
      </c>
      <c r="G27" s="25">
        <v>620396</v>
      </c>
      <c r="H27" s="25">
        <v>240833</v>
      </c>
      <c r="I27" s="25">
        <f t="shared" si="0"/>
        <v>7238660</v>
      </c>
      <c r="J27" s="25">
        <f t="shared" ref="J27" si="21">J26+3</f>
        <v>32235</v>
      </c>
      <c r="K27" s="25">
        <f t="shared" ref="K27" si="22">K26+2632</f>
        <v>5175744</v>
      </c>
      <c r="L27" s="25">
        <v>772787</v>
      </c>
      <c r="M27" s="25">
        <v>2633045</v>
      </c>
      <c r="N27" s="25">
        <v>1180598</v>
      </c>
      <c r="O27" s="25">
        <v>368000</v>
      </c>
      <c r="P27" s="25">
        <v>1492695</v>
      </c>
      <c r="Q27" s="25">
        <v>659114</v>
      </c>
      <c r="R27" s="25">
        <v>993</v>
      </c>
      <c r="S27" s="25">
        <v>338111</v>
      </c>
      <c r="T27" s="25">
        <v>40310</v>
      </c>
      <c r="U27" s="25">
        <v>51535</v>
      </c>
      <c r="V27" s="25">
        <v>30787</v>
      </c>
      <c r="W27" s="25">
        <v>489.71499999999997</v>
      </c>
      <c r="X27" s="25">
        <v>937.40899999999999</v>
      </c>
      <c r="Y27" s="25">
        <v>3889.0129999999999</v>
      </c>
      <c r="Z27" s="25">
        <v>3683</v>
      </c>
      <c r="AA27" s="25">
        <v>2072</v>
      </c>
      <c r="AB27" s="27">
        <v>2888</v>
      </c>
      <c r="AC27" s="27">
        <v>0</v>
      </c>
    </row>
    <row r="28" spans="1:29" x14ac:dyDescent="0.25">
      <c r="A28" s="20">
        <v>44432</v>
      </c>
      <c r="B28" s="29">
        <v>121</v>
      </c>
      <c r="C28" s="28">
        <v>281</v>
      </c>
      <c r="D28" s="26">
        <v>685851</v>
      </c>
      <c r="E28" s="25">
        <v>686897</v>
      </c>
      <c r="F28" s="25">
        <v>627455</v>
      </c>
      <c r="G28" s="25">
        <v>626818</v>
      </c>
      <c r="H28" s="25">
        <v>241576</v>
      </c>
      <c r="I28" s="25">
        <f t="shared" si="0"/>
        <v>7240390</v>
      </c>
      <c r="J28" s="25">
        <v>32233</v>
      </c>
      <c r="K28" s="25">
        <v>5173113</v>
      </c>
      <c r="L28" s="25">
        <v>774153</v>
      </c>
      <c r="M28" s="25">
        <v>2633058</v>
      </c>
      <c r="N28" s="25">
        <v>1182154</v>
      </c>
      <c r="O28" s="25">
        <v>368257</v>
      </c>
      <c r="P28" s="25">
        <v>1493476</v>
      </c>
      <c r="Q28" s="25">
        <v>659280</v>
      </c>
      <c r="R28" s="25">
        <v>995</v>
      </c>
      <c r="S28" s="25">
        <v>338319</v>
      </c>
      <c r="T28" s="25">
        <v>40520</v>
      </c>
      <c r="U28" s="25">
        <v>51545</v>
      </c>
      <c r="V28" s="25">
        <v>30787</v>
      </c>
      <c r="W28" s="25">
        <v>489.71499999999997</v>
      </c>
      <c r="X28" s="25">
        <v>937.423</v>
      </c>
      <c r="Y28" s="25">
        <v>3889.0189999999998</v>
      </c>
      <c r="Z28" s="25">
        <v>3689</v>
      </c>
      <c r="AA28" s="25">
        <v>2077</v>
      </c>
      <c r="AB28" s="27">
        <v>2843</v>
      </c>
      <c r="AC28" s="27">
        <v>0</v>
      </c>
    </row>
    <row r="29" spans="1:29" x14ac:dyDescent="0.25">
      <c r="A29" s="20">
        <v>44433</v>
      </c>
      <c r="B29" s="29">
        <v>78</v>
      </c>
      <c r="C29" s="28">
        <v>211</v>
      </c>
      <c r="D29" s="26">
        <v>689111</v>
      </c>
      <c r="E29" s="25">
        <v>690161</v>
      </c>
      <c r="F29" s="25">
        <v>634452</v>
      </c>
      <c r="G29" s="25">
        <v>633809</v>
      </c>
      <c r="H29" s="25">
        <v>242351</v>
      </c>
      <c r="I29" s="25">
        <f t="shared" si="0"/>
        <v>7242120</v>
      </c>
      <c r="J29" s="25">
        <f t="shared" ref="J29" si="23">J28+3</f>
        <v>32236</v>
      </c>
      <c r="K29" s="25">
        <f t="shared" ref="K29" si="24">K28+2632</f>
        <v>5175745</v>
      </c>
      <c r="L29" s="25">
        <v>775355</v>
      </c>
      <c r="M29" s="25">
        <v>2633058</v>
      </c>
      <c r="N29" s="25">
        <v>1183849</v>
      </c>
      <c r="O29" s="31">
        <v>368486</v>
      </c>
      <c r="P29" s="31">
        <v>1494316</v>
      </c>
      <c r="Q29" s="31">
        <v>659454</v>
      </c>
      <c r="R29" s="31">
        <v>997</v>
      </c>
      <c r="S29" s="31">
        <v>338511</v>
      </c>
      <c r="T29" s="31">
        <v>40712</v>
      </c>
      <c r="U29" s="25">
        <v>51554</v>
      </c>
      <c r="V29" s="25">
        <v>30788</v>
      </c>
      <c r="W29" s="25">
        <v>489.71499999999997</v>
      </c>
      <c r="X29" s="25">
        <v>937.46400000000006</v>
      </c>
      <c r="Y29" s="25">
        <v>3889.0250000000001</v>
      </c>
      <c r="Z29" s="25">
        <v>3689</v>
      </c>
      <c r="AA29" s="25">
        <v>2081</v>
      </c>
      <c r="AB29" s="27">
        <v>2831</v>
      </c>
      <c r="AC29" s="27">
        <v>0</v>
      </c>
    </row>
    <row r="30" spans="1:29" x14ac:dyDescent="0.25">
      <c r="A30" s="20">
        <v>44434</v>
      </c>
      <c r="B30" s="29">
        <v>102</v>
      </c>
      <c r="C30" s="28">
        <v>254</v>
      </c>
      <c r="D30" s="26">
        <v>691517</v>
      </c>
      <c r="E30" s="25">
        <v>692571</v>
      </c>
      <c r="F30" s="25">
        <v>640906</v>
      </c>
      <c r="G30" s="25">
        <v>640257</v>
      </c>
      <c r="H30" s="25">
        <v>243126</v>
      </c>
      <c r="I30" s="25">
        <f t="shared" si="0"/>
        <v>7243850</v>
      </c>
      <c r="J30" s="25">
        <v>32234</v>
      </c>
      <c r="K30" s="25">
        <v>5173114</v>
      </c>
      <c r="L30" s="25">
        <v>776716</v>
      </c>
      <c r="M30" s="25">
        <v>2633059</v>
      </c>
      <c r="N30" s="35">
        <v>1185210</v>
      </c>
      <c r="O30" s="33">
        <v>368637</v>
      </c>
      <c r="P30" s="33">
        <v>1495099</v>
      </c>
      <c r="Q30" s="33">
        <v>659630</v>
      </c>
      <c r="R30" s="33">
        <v>998</v>
      </c>
      <c r="S30" s="33">
        <v>338771</v>
      </c>
      <c r="T30" s="33">
        <v>40931</v>
      </c>
      <c r="U30" s="26">
        <v>51563</v>
      </c>
      <c r="V30" s="25">
        <v>30790</v>
      </c>
      <c r="W30" s="25">
        <v>489.71499999999997</v>
      </c>
      <c r="X30" s="25">
        <v>937.48400000000004</v>
      </c>
      <c r="Y30" s="25">
        <v>3889.32</v>
      </c>
      <c r="Z30" s="25">
        <v>3706</v>
      </c>
      <c r="AA30" s="25">
        <v>2085</v>
      </c>
      <c r="AB30" s="27">
        <v>2397</v>
      </c>
      <c r="AC30" s="27">
        <v>1825</v>
      </c>
    </row>
    <row r="31" spans="1:29" x14ac:dyDescent="0.25">
      <c r="A31" s="20">
        <v>44435</v>
      </c>
      <c r="B31" s="29">
        <v>99</v>
      </c>
      <c r="C31" s="28">
        <v>251</v>
      </c>
      <c r="D31" s="26">
        <v>694289</v>
      </c>
      <c r="E31" s="25">
        <v>695347</v>
      </c>
      <c r="F31" s="25">
        <v>644624</v>
      </c>
      <c r="G31" s="25">
        <v>643971</v>
      </c>
      <c r="H31" s="25">
        <v>243243</v>
      </c>
      <c r="I31" s="25">
        <f t="shared" si="0"/>
        <v>7245580</v>
      </c>
      <c r="J31" s="25">
        <f t="shared" ref="J31" si="25">J30+3</f>
        <v>32237</v>
      </c>
      <c r="K31" s="25">
        <f t="shared" ref="K31" si="26">K30+2632</f>
        <v>5175746</v>
      </c>
      <c r="L31" s="25">
        <v>778077</v>
      </c>
      <c r="M31" s="25">
        <v>2633187</v>
      </c>
      <c r="N31" s="25">
        <v>1187485</v>
      </c>
      <c r="O31" s="32">
        <v>368773</v>
      </c>
      <c r="P31" s="32">
        <v>1495900</v>
      </c>
      <c r="Q31" s="32">
        <v>659821</v>
      </c>
      <c r="R31" s="32">
        <v>999</v>
      </c>
      <c r="S31" s="32">
        <v>338695</v>
      </c>
      <c r="T31" s="32">
        <v>40909</v>
      </c>
      <c r="U31" s="25">
        <v>51578</v>
      </c>
      <c r="V31" s="25">
        <v>30790</v>
      </c>
      <c r="W31" s="25">
        <v>489.71499999999997</v>
      </c>
      <c r="X31" s="25">
        <v>937.50599999999997</v>
      </c>
      <c r="Y31" s="25">
        <v>3889.04</v>
      </c>
      <c r="Z31" s="25">
        <v>3725</v>
      </c>
      <c r="AA31" s="25">
        <v>2088</v>
      </c>
      <c r="AB31" s="27">
        <v>2857</v>
      </c>
      <c r="AC31" s="27">
        <v>3368</v>
      </c>
    </row>
    <row r="32" spans="1:29" x14ac:dyDescent="0.25">
      <c r="A32" s="20">
        <v>44436</v>
      </c>
      <c r="B32" s="29">
        <v>104</v>
      </c>
      <c r="C32" s="28">
        <v>267</v>
      </c>
      <c r="D32" s="26">
        <v>696613</v>
      </c>
      <c r="E32" s="25">
        <v>697675</v>
      </c>
      <c r="F32" s="25">
        <v>647833</v>
      </c>
      <c r="G32" s="25">
        <v>647176</v>
      </c>
      <c r="H32" s="25">
        <v>243283</v>
      </c>
      <c r="I32" s="25">
        <f t="shared" si="0"/>
        <v>7247310</v>
      </c>
      <c r="J32" s="25">
        <v>32235</v>
      </c>
      <c r="K32" s="25">
        <v>5173115</v>
      </c>
      <c r="L32" s="25">
        <v>779438</v>
      </c>
      <c r="M32" s="25">
        <v>2633187</v>
      </c>
      <c r="N32" s="25">
        <v>1189823</v>
      </c>
      <c r="O32" s="25">
        <v>368918</v>
      </c>
      <c r="P32" s="25">
        <v>1496669</v>
      </c>
      <c r="Q32" s="25">
        <v>660023</v>
      </c>
      <c r="R32" s="25">
        <v>1000</v>
      </c>
      <c r="S32" s="25">
        <v>338788</v>
      </c>
      <c r="T32" s="25">
        <v>41012</v>
      </c>
      <c r="U32" s="25">
        <v>51592</v>
      </c>
      <c r="V32" s="25">
        <v>30791</v>
      </c>
      <c r="W32" s="25">
        <v>489.71499999999997</v>
      </c>
      <c r="X32" s="25">
        <v>937.84199999999998</v>
      </c>
      <c r="Y32" s="25">
        <v>3889.06</v>
      </c>
      <c r="Z32" s="25">
        <v>3745</v>
      </c>
      <c r="AA32" s="25">
        <v>2091</v>
      </c>
      <c r="AB32" s="27">
        <v>2818</v>
      </c>
      <c r="AC32" s="27">
        <v>3570</v>
      </c>
    </row>
    <row r="33" spans="1:29" x14ac:dyDescent="0.25">
      <c r="A33" s="20">
        <v>44437</v>
      </c>
      <c r="B33" s="29">
        <v>104</v>
      </c>
      <c r="C33" s="28">
        <v>268</v>
      </c>
      <c r="D33" s="26">
        <v>700346</v>
      </c>
      <c r="E33" s="25">
        <v>701414</v>
      </c>
      <c r="F33" s="25">
        <v>649647</v>
      </c>
      <c r="G33" s="25">
        <v>648989</v>
      </c>
      <c r="H33" s="25">
        <v>243283</v>
      </c>
      <c r="I33" s="25">
        <v>7252530</v>
      </c>
      <c r="J33" s="25">
        <v>32341</v>
      </c>
      <c r="K33" s="25">
        <v>5254695</v>
      </c>
      <c r="L33" s="25">
        <v>781155</v>
      </c>
      <c r="M33" s="25">
        <v>2633188</v>
      </c>
      <c r="N33" s="25">
        <v>1192023</v>
      </c>
      <c r="O33" s="25">
        <v>369075</v>
      </c>
      <c r="P33" s="25">
        <v>1496669</v>
      </c>
      <c r="Q33" s="25">
        <v>660605</v>
      </c>
      <c r="R33" s="25">
        <v>1005</v>
      </c>
      <c r="S33" s="25">
        <v>338878</v>
      </c>
      <c r="T33" s="25">
        <v>41111</v>
      </c>
      <c r="U33" s="25">
        <v>51605</v>
      </c>
      <c r="V33" s="25">
        <v>30792</v>
      </c>
      <c r="W33" s="25">
        <v>489.71499999999997</v>
      </c>
      <c r="X33" s="25">
        <v>938.07299999999998</v>
      </c>
      <c r="Y33" s="25">
        <v>3889.076</v>
      </c>
      <c r="Z33" s="25">
        <v>3763</v>
      </c>
      <c r="AA33" s="25">
        <v>2097</v>
      </c>
      <c r="AB33" s="27">
        <v>2928</v>
      </c>
      <c r="AC33" s="27">
        <v>3547</v>
      </c>
    </row>
    <row r="34" spans="1:29" x14ac:dyDescent="0.25">
      <c r="A34" s="20">
        <v>44438</v>
      </c>
      <c r="B34" s="29">
        <v>75</v>
      </c>
      <c r="C34" s="28">
        <v>182</v>
      </c>
      <c r="D34" s="25">
        <v>704025</v>
      </c>
      <c r="E34" s="25">
        <v>705100</v>
      </c>
      <c r="F34" s="25">
        <v>651498</v>
      </c>
      <c r="G34" s="25">
        <v>650838</v>
      </c>
      <c r="H34" s="25">
        <v>243283</v>
      </c>
      <c r="I34" s="25">
        <f>I33+1721</f>
        <v>7254251</v>
      </c>
      <c r="J34" s="25">
        <f>J33</f>
        <v>32341</v>
      </c>
      <c r="K34" s="25">
        <f>K33+2875</f>
        <v>5257570</v>
      </c>
      <c r="L34" s="25">
        <f>L33+1466</f>
        <v>782621</v>
      </c>
      <c r="M34" s="25">
        <v>2633188</v>
      </c>
      <c r="N34" s="25">
        <v>1194370</v>
      </c>
      <c r="O34" s="25">
        <f>O33+160</f>
        <v>369235</v>
      </c>
      <c r="P34" s="25">
        <v>1496669</v>
      </c>
      <c r="Q34" s="25">
        <v>661201</v>
      </c>
      <c r="R34" s="25">
        <v>1009</v>
      </c>
      <c r="S34" s="25">
        <v>338980</v>
      </c>
      <c r="T34" s="25">
        <v>41214</v>
      </c>
      <c r="U34" s="25">
        <v>51619</v>
      </c>
      <c r="V34" s="25">
        <v>30807</v>
      </c>
      <c r="W34" s="25">
        <v>489.71499999999997</v>
      </c>
      <c r="X34" s="25">
        <v>938.28899999999999</v>
      </c>
      <c r="Y34" s="25">
        <v>3889.0940000000001</v>
      </c>
      <c r="Z34" s="25">
        <v>3780</v>
      </c>
      <c r="AA34" s="25">
        <v>2105</v>
      </c>
      <c r="AB34" s="27">
        <v>2829</v>
      </c>
      <c r="AC34" s="27">
        <v>3368</v>
      </c>
    </row>
    <row r="35" spans="1:29" x14ac:dyDescent="0.25">
      <c r="A35" s="20">
        <v>44439</v>
      </c>
      <c r="B35" s="29">
        <v>48</v>
      </c>
      <c r="C35" s="28">
        <v>109</v>
      </c>
      <c r="D35" s="25">
        <v>708437</v>
      </c>
      <c r="E35" s="25">
        <v>709519</v>
      </c>
      <c r="F35" s="25">
        <v>653223</v>
      </c>
      <c r="G35" s="25">
        <v>652562</v>
      </c>
      <c r="H35" s="25">
        <v>243283</v>
      </c>
      <c r="I35" s="25">
        <v>7255973</v>
      </c>
      <c r="J35" s="25">
        <v>32341</v>
      </c>
      <c r="K35" s="25">
        <v>5260445</v>
      </c>
      <c r="L35" s="25">
        <v>784087</v>
      </c>
      <c r="M35" s="25">
        <v>2633188</v>
      </c>
      <c r="N35" s="25">
        <v>1196639</v>
      </c>
      <c r="O35" s="25">
        <v>369395</v>
      </c>
      <c r="P35" s="25">
        <v>1496669</v>
      </c>
      <c r="Q35" s="25">
        <v>661786</v>
      </c>
      <c r="R35" s="25">
        <v>1014</v>
      </c>
      <c r="S35" s="25">
        <v>339079</v>
      </c>
      <c r="T35" s="25">
        <v>41315</v>
      </c>
      <c r="U35" s="25">
        <v>51631</v>
      </c>
      <c r="V35" s="25">
        <v>30807</v>
      </c>
      <c r="W35" s="25">
        <v>489.71600000000001</v>
      </c>
      <c r="X35" s="25">
        <v>938.50300000000004</v>
      </c>
      <c r="Y35" s="25">
        <v>3889.1019999999999</v>
      </c>
      <c r="Z35" s="25">
        <v>3800</v>
      </c>
      <c r="AA35" s="25">
        <v>2109</v>
      </c>
      <c r="AB35" s="27">
        <v>2829</v>
      </c>
      <c r="AC35" s="27">
        <v>3368</v>
      </c>
    </row>
    <row r="36" spans="1:29" x14ac:dyDescent="0.25">
      <c r="B36" s="16"/>
      <c r="C36" s="16"/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2019-08-19T07:32:13Z</cp:lastPrinted>
  <dcterms:created xsi:type="dcterms:W3CDTF">2017-05-03T09:23:30Z</dcterms:created>
  <dcterms:modified xsi:type="dcterms:W3CDTF">2021-09-21T06:22:55Z</dcterms:modified>
</cp:coreProperties>
</file>