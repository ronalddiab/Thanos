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preet_sanmukhiya_fourseasons_com/Documents/Engineering/Utilities/HEP Upload/2021/Daily report/"/>
    </mc:Choice>
  </mc:AlternateContent>
  <xr:revisionPtr revIDLastSave="1" documentId="8_{C6A1A9DA-8462-4BBC-BEC3-DC19125467AA}" xr6:coauthVersionLast="47" xr6:coauthVersionMax="47" xr10:uidLastSave="{133CD400-77A2-4B69-B9B3-50ECF21C8293}"/>
  <bookViews>
    <workbookView xWindow="-120" yWindow="-120" windowWidth="29040" windowHeight="15225" tabRatio="434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2" i="4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" i="1"/>
  <c r="N26" i="1" l="1"/>
  <c r="N27" i="1"/>
  <c r="N28" i="1"/>
  <c r="N29" i="1"/>
  <c r="N30" i="1"/>
  <c r="N31" i="1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J4" i="1" s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30" i="4" l="1"/>
  <c r="L18" i="4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<sst xmlns="http://schemas.openxmlformats.org/spreadsheetml/2006/main" count="329" uniqueCount="129">
  <si>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</si>
  <si>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</si>
  <si>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</si>
  <si>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</si>
  <si>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</si>
  <si>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</si>
  <si>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</si>
  <si>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</si>
  <si>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</si>
  <si>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</si>
  <si>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</si>
  <si>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</si>
  <si>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</si>
  <si>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</si>
  <si>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</si>
  <si>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</si>
  <si>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</si>
  <si>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</si>
  <si>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</si>
  <si>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</si>
  <si>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</si>
  <si>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</si>
  <si>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</si>
  <si>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</si>
  <si>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</si>
  <si>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</si>
  <si>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</si>
  <si>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</si>
  <si>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</si>
  <si>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</si>
  <si>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</si>
  <si>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</si>
  <si>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</si>
  <si>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</si>
  <si>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</si>
  <si>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</si>
  <si>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</si>
  <si>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</si>
  <si>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</si>
  <si>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</si>
  <si>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</si>
  <si>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</si>
  <si>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</si>
  <si>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</si>
  <si>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</si>
  <si>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</si>
  <si>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</si>
  <si>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</si>
  <si>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</si>
  <si>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</si>
  <si>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</si>
  <si>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</si>
  <si>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</si>
  <si>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</si>
  <si>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</si>
  <si>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</si>
  <si>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</si>
  <si>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</si>
  <si>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</si>
  <si>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</si>
  <si>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</si>
  <si>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</si>
  <si>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</si>
  <si>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</si>
  <si>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</si>
  <si>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</si>
  <si>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</si>
  <si>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</si>
  <si>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</si>
  <si>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</si>
  <si>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</si>
  <si>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</si>
  <si>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</si>
  <si>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</si>
  <si>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</si>
  <si>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</si>
  <si>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</si>
  <si>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</si>
  <si>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</si>
  <si>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</si>
  <si>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</si>
  <si>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</si>
  <si>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</si>
  <si>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</si>
  <si>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</si>
  <si>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</si>
  <si>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</si>
  <si>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</si>
  <si>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</si>
  <si>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</si>
  <si>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</si>
  <si>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</si>
  <si>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</si>
  <si>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</si>
  <si>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</si>
  <si>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</si>
  <si>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</si>
  <si>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</si>
  <si>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</si>
  <si>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</si>
  <si>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</si>
  <si>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</si>
  <si>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</si>
  <si>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</si>
  <si>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</si>
  <si>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</si>
  <si>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</si>
  <si>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</si>
  <si>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</si>
  <si>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</si>
  <si>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</si>
  <si>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</si>
  <si>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</si>
  <si>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</si>
  <si>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</si>
  <si>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</si>
  <si>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</si>
  <si>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</si>
  <si>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</si>
  <si>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</si>
  <si>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</si>
  <si>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</si>
  <si>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</si>
  <si>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</si>
  <si>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</si>
  <si>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</si>
  <si>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</si>
  <si>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</si>
  <si>
    <t>Fill pool 185 190, bambou pool start filling. Elec consumption: coldrooms on test, pools on, spa and villa ACs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</si>
</sst>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13" x14ac:knownFonts="1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0" fontId="9" fillId="9" borderId="0" applyNumberFormat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/>
    <xf numFmtId="0" fontId="5" fillId="7" borderId="7" xfId="0" applyFont="1" applyFill="1" applyBorder="1" applyAlignment="1">
      <alignment horizont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8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8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8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/>
      <protection locked="0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9" borderId="0" xfId="3" applyAlignment="1">
      <alignment horizontal="center"/>
    </xf>
    <xf numFmtId="0" fontId="0" fillId="0" borderId="22" xfId="0" applyBorder="1" applyAlignment="1">
      <alignment horizontal="center" vertical="center"/>
    </xf>
    <xf numFmtId="0" fontId="4" fillId="0" borderId="8" xfId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2" fontId="0" fillId="0" borderId="2" xfId="0" applyNumberFormat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8" borderId="0" xfId="0" applyFill="1" applyAlignment="1">
      <alignment horizontal="center"/>
    </xf>
    <xf numFmtId="9" fontId="0" fillId="0" borderId="3" xfId="4" applyFont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4" fillId="0" borderId="0" xfId="2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7" xfId="0" applyNumberFormat="1" applyBorder="1" applyAlignment="1" applyProtection="1">
      <alignment horizontal="center" vertical="center" wrapText="1"/>
      <protection locked="0"/>
    </xf>
    <xf numFmtId="0" fontId="0" fillId="8" borderId="5" xfId="0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0" fontId="0" fillId="0" borderId="25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22" xfId="0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10" borderId="2" xfId="0" applyFill="1" applyBorder="1" applyAlignment="1" applyProtection="1">
      <alignment horizontal="center"/>
      <protection locked="0"/>
    </xf>
    <xf numFmtId="0" fontId="0" fillId="8" borderId="5" xfId="0" applyFill="1" applyBorder="1" applyAlignment="1">
      <alignment horizontal="center" vertical="center"/>
    </xf>
    <xf numFmtId="0" fontId="0" fillId="2" borderId="25" xfId="0" applyFill="1" applyBorder="1" applyAlignment="1" applyProtection="1">
      <alignment horizontal="center" vertical="center"/>
      <protection locked="0"/>
    </xf>
    <xf numFmtId="0" fontId="0" fillId="2" borderId="15" xfId="0" applyFill="1" applyBorder="1" applyAlignment="1" applyProtection="1">
      <alignment horizontal="center" vertical="center"/>
      <protection locked="0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>
      <alignment horizontal="center" vertical="center"/>
    </xf>
    <xf numFmtId="0" fontId="12" fillId="0" borderId="22" xfId="5" applyNumberFormat="1" applyFont="1" applyFill="1" applyBorder="1" applyAlignment="1" applyProtection="1">
      <alignment horizontal="left" vertical="top" wrapText="1"/>
      <protection locked="0"/>
    </xf>
  </cellXfs>
  <cellStyles count="6">
    <cellStyle name="Good" xfId="3" builtinId="26"/>
    <cellStyle name="Normal" xfId="0" builtinId="0"/>
    <cellStyle name="Normal 11" xfId="1" xr:uid="{00000000-0005-0000-0000-000002000000}"/>
    <cellStyle name="Normal 2" xfId="2" xr:uid="{00000000-0005-0000-0000-000003000000}"/>
    <cellStyle name="Percent" xfId="4" builtinId="5"/>
    <cellStyle name="Percent 3" xfId="5" xr:uid="{EED5FD83-7E72-4890-8DD2-7EFC75480303}"/>
  </cellStyles>
  <dxfs count="143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zoomScaleNormal="100" workbookViewId="0">
      <pane xSplit="4" ySplit="13" topLeftCell="E14" activePane="bottomRight" state="frozen"/>
      <selection pane="topRight" activeCell="E1" sqref="E1"/>
      <selection pane="bottomLeft" activeCell="A14" sqref="A14"/>
      <selection pane="bottomRight" activeCell="C2" sqref="C2:C31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 x14ac:dyDescent="0.2">
      <c r="A2" s="2" t="s">
        <v>19</v>
      </c>
      <c r="B2" s="7">
        <v>1</v>
      </c>
      <c r="C2" s="7">
        <v>11</v>
      </c>
      <c r="D2" s="7">
        <v>2021</v>
      </c>
      <c r="E2" s="8">
        <f>HOTEL!E4</f>
        <v>20103</v>
      </c>
      <c r="F2" s="16">
        <v>6.21</v>
      </c>
      <c r="G2" s="8">
        <f>HOTEL!CK4</f>
        <v>80</v>
      </c>
      <c r="H2" s="16">
        <v>57.45</v>
      </c>
      <c r="I2" s="8">
        <f>HOTEL!V4+HOTEL!Y4</f>
        <v>525</v>
      </c>
      <c r="J2" s="16">
        <f>P2</f>
        <v>41.474452554744524</v>
      </c>
      <c r="K2" s="7">
        <f>HOTEL!EE4</f>
        <v>0</v>
      </c>
      <c r="L2" s="18"/>
      <c r="N2" s="7">
        <f>HOTEL!Y4/25</f>
        <v>6.4</v>
      </c>
      <c r="O2" s="7">
        <f t="shared" ref="O2:O19" si="0">N2*2500</f>
        <v>16000</v>
      </c>
      <c r="P2" s="8">
        <f>IFERROR(((((HOTEL!V4*34))+(N2*2500))/(I2+N2*25)),0)</f>
        <v>41.474452554744524</v>
      </c>
      <c r="Q2" s="7">
        <v>6.21</v>
      </c>
      <c r="R2" s="16">
        <f>H2</f>
        <v>57.45</v>
      </c>
      <c r="S2" s="7">
        <v>33.880000000000003</v>
      </c>
      <c r="T2" s="8">
        <f>G2*H2</f>
        <v>4596</v>
      </c>
      <c r="U2" s="8">
        <f>I2*P2</f>
        <v>21774.087591240874</v>
      </c>
    </row>
    <row r="3" spans="1:21" x14ac:dyDescent="0.2">
      <c r="A3" s="2" t="s">
        <v>19</v>
      </c>
      <c r="B3" s="7">
        <f>B2+1</f>
        <v>2</v>
      </c>
      <c r="C3" s="7">
        <v>11</v>
      </c>
      <c r="D3" s="7">
        <v>2021</v>
      </c>
      <c r="E3" s="8">
        <f>HOTEL!E5</f>
        <v>20249</v>
      </c>
      <c r="F3" s="16">
        <v>6.21</v>
      </c>
      <c r="G3" s="8">
        <f>HOTEL!CK5</f>
        <v>75</v>
      </c>
      <c r="H3" s="16">
        <v>57.45</v>
      </c>
      <c r="I3" s="8">
        <f>HOTEL!V5+HOTEL!Y5</f>
        <v>542</v>
      </c>
      <c r="J3" s="16">
        <f t="shared" ref="J3:J31" si="1">P3</f>
        <v>43.238845144356958</v>
      </c>
      <c r="K3" s="7">
        <f>HOTEL!EE5</f>
        <v>0</v>
      </c>
      <c r="L3" s="18"/>
      <c r="N3" s="7">
        <f>HOTEL!Y5/25</f>
        <v>8.8000000000000007</v>
      </c>
      <c r="O3" s="7">
        <f t="shared" si="0"/>
        <v>22000</v>
      </c>
      <c r="P3" s="8">
        <f>IFERROR(((((HOTEL!V5*34))+(N3*2500))/(I3+N3*25)),0)</f>
        <v>43.238845144356958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4308.75</v>
      </c>
      <c r="U3" s="8">
        <f t="shared" ref="U3:U31" si="4">I3*P3</f>
        <v>23435.45406824147</v>
      </c>
    </row>
    <row r="4" spans="1:21" x14ac:dyDescent="0.2">
      <c r="A4" s="2" t="s">
        <v>19</v>
      </c>
      <c r="B4" s="7">
        <f t="shared" ref="B4:B30" si="5">B3+1</f>
        <v>3</v>
      </c>
      <c r="C4" s="7">
        <v>11</v>
      </c>
      <c r="D4" s="7">
        <v>2021</v>
      </c>
      <c r="E4" s="8">
        <f>HOTEL!E6</f>
        <v>21582</v>
      </c>
      <c r="F4" s="16">
        <v>6.21</v>
      </c>
      <c r="G4" s="8">
        <f>HOTEL!CK6</f>
        <v>71</v>
      </c>
      <c r="H4" s="16">
        <v>57.45</v>
      </c>
      <c r="I4" s="8">
        <f>HOTEL!V6+HOTEL!Y6</f>
        <v>602</v>
      </c>
      <c r="J4" s="16">
        <f t="shared" si="1"/>
        <v>44.158730158730158</v>
      </c>
      <c r="K4" s="7">
        <f>HOTEL!EE6</f>
        <v>0</v>
      </c>
      <c r="L4" s="18"/>
      <c r="N4" s="7">
        <f>HOTEL!Y6/25</f>
        <v>11.2</v>
      </c>
      <c r="O4" s="7">
        <f t="shared" si="0"/>
        <v>28000</v>
      </c>
      <c r="P4" s="8">
        <f>IFERROR(((((HOTEL!V6*34))+(N4*2500))/(I4+N4*25)),0)</f>
        <v>44.158730158730158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4078.9500000000003</v>
      </c>
      <c r="U4" s="8">
        <f t="shared" si="4"/>
        <v>26583.555555555555</v>
      </c>
    </row>
    <row r="5" spans="1:21" x14ac:dyDescent="0.2">
      <c r="A5" s="2" t="s">
        <v>19</v>
      </c>
      <c r="B5" s="7">
        <f t="shared" si="5"/>
        <v>4</v>
      </c>
      <c r="C5" s="7">
        <v>11</v>
      </c>
      <c r="D5" s="7">
        <v>2021</v>
      </c>
      <c r="E5" s="8">
        <f>HOTEL!E7</f>
        <v>21582</v>
      </c>
      <c r="F5" s="16">
        <v>6.21</v>
      </c>
      <c r="G5" s="8">
        <f>HOTEL!CK7</f>
        <v>67</v>
      </c>
      <c r="H5" s="16">
        <v>57.45</v>
      </c>
      <c r="I5" s="8">
        <f>HOTEL!V7+HOTEL!Y7</f>
        <v>604</v>
      </c>
      <c r="J5" s="16">
        <f t="shared" si="1"/>
        <v>46.749003984063748</v>
      </c>
      <c r="K5" s="7">
        <f>HOTEL!EE7</f>
        <v>0</v>
      </c>
      <c r="L5" s="18"/>
      <c r="N5" s="7">
        <f>HOTEL!Y7/25</f>
        <v>16</v>
      </c>
      <c r="O5" s="7">
        <f t="shared" si="0"/>
        <v>40000</v>
      </c>
      <c r="P5" s="8">
        <f>IFERROR(((((HOTEL!V7*34))+(N5*2500))/(I5+N5*25)),0)</f>
        <v>46.749003984063748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3849.15</v>
      </c>
      <c r="U5" s="8">
        <f t="shared" si="4"/>
        <v>28236.398406374505</v>
      </c>
    </row>
    <row r="6" spans="1:21" x14ac:dyDescent="0.2">
      <c r="A6" s="2" t="s">
        <v>19</v>
      </c>
      <c r="B6" s="7">
        <f t="shared" si="5"/>
        <v>5</v>
      </c>
      <c r="C6" s="7">
        <v>11</v>
      </c>
      <c r="D6" s="7">
        <v>2021</v>
      </c>
      <c r="E6" s="8">
        <f>HOTEL!E8</f>
        <v>22314</v>
      </c>
      <c r="F6" s="16">
        <v>6.21</v>
      </c>
      <c r="G6" s="8">
        <f>HOTEL!CK8</f>
        <v>85</v>
      </c>
      <c r="H6" s="16">
        <v>57.45</v>
      </c>
      <c r="I6" s="8">
        <f>HOTEL!V8+HOTEL!Y8</f>
        <v>435</v>
      </c>
      <c r="J6" s="16">
        <f t="shared" si="1"/>
        <v>48.490566037735846</v>
      </c>
      <c r="K6" s="7">
        <f>HOTEL!EE8</f>
        <v>0</v>
      </c>
      <c r="L6" s="18"/>
      <c r="N6" s="7">
        <f>HOTEL!Y8/25</f>
        <v>14.4</v>
      </c>
      <c r="O6" s="7">
        <f t="shared" si="0"/>
        <v>36000</v>
      </c>
      <c r="P6" s="8">
        <f>IFERROR(((((HOTEL!V8*34))+(N6*2500))/(I6+N6*25)),0)</f>
        <v>48.490566037735846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4883.25</v>
      </c>
      <c r="U6" s="8">
        <f t="shared" si="4"/>
        <v>21093.396226415094</v>
      </c>
    </row>
    <row r="7" spans="1:21" x14ac:dyDescent="0.2">
      <c r="A7" s="2" t="s">
        <v>19</v>
      </c>
      <c r="B7" s="7">
        <f t="shared" si="5"/>
        <v>6</v>
      </c>
      <c r="C7" s="7">
        <v>11</v>
      </c>
      <c r="D7" s="7">
        <v>2021</v>
      </c>
      <c r="E7" s="8">
        <f>HOTEL!E9</f>
        <v>21744</v>
      </c>
      <c r="F7" s="16">
        <v>6.21</v>
      </c>
      <c r="G7" s="8">
        <f>HOTEL!CK9</f>
        <v>80</v>
      </c>
      <c r="H7" s="16">
        <v>57.45</v>
      </c>
      <c r="I7" s="8">
        <f>HOTEL!V9+HOTEL!Y9</f>
        <v>298</v>
      </c>
      <c r="J7" s="16">
        <f t="shared" si="1"/>
        <v>48.275092936802977</v>
      </c>
      <c r="K7" s="7">
        <f>HOTEL!EE9</f>
        <v>0</v>
      </c>
      <c r="L7" s="18"/>
      <c r="N7" s="7">
        <f>HOTEL!Y9/25</f>
        <v>9.6</v>
      </c>
      <c r="O7" s="7">
        <f t="shared" si="0"/>
        <v>24000</v>
      </c>
      <c r="P7" s="8">
        <f>IFERROR(((((HOTEL!V9*34))+(N7*2500))/(I7+N7*25)),0)</f>
        <v>48.275092936802977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4596</v>
      </c>
      <c r="U7" s="8">
        <f t="shared" si="4"/>
        <v>14385.977695167287</v>
      </c>
    </row>
    <row r="8" spans="1:21" x14ac:dyDescent="0.2">
      <c r="A8" s="2" t="s">
        <v>19</v>
      </c>
      <c r="B8" s="7">
        <f t="shared" si="5"/>
        <v>7</v>
      </c>
      <c r="C8" s="7">
        <v>11</v>
      </c>
      <c r="D8" s="7">
        <v>2021</v>
      </c>
      <c r="E8" s="8">
        <f>HOTEL!E10</f>
        <v>19925</v>
      </c>
      <c r="F8" s="16">
        <v>6.21</v>
      </c>
      <c r="G8" s="8">
        <f>HOTEL!CK10</f>
        <v>80</v>
      </c>
      <c r="H8" s="16">
        <v>57.45</v>
      </c>
      <c r="I8" s="8">
        <f>HOTEL!V10+HOTEL!Y10</f>
        <v>490</v>
      </c>
      <c r="J8" s="16">
        <f t="shared" si="1"/>
        <v>45.636363636363633</v>
      </c>
      <c r="K8" s="7">
        <f>HOTEL!EE10</f>
        <v>0</v>
      </c>
      <c r="L8" s="18"/>
      <c r="N8" s="7">
        <f>HOTEL!Y10/25</f>
        <v>11.2</v>
      </c>
      <c r="O8" s="7">
        <f t="shared" si="0"/>
        <v>28000</v>
      </c>
      <c r="P8" s="8">
        <f>IFERROR(((((HOTEL!V10*34))+(N8*2500))/(I8+N8*25)),0)</f>
        <v>45.636363636363633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4596</v>
      </c>
      <c r="U8" s="8">
        <f t="shared" si="4"/>
        <v>22361.81818181818</v>
      </c>
    </row>
    <row r="9" spans="1:21" x14ac:dyDescent="0.2">
      <c r="A9" s="2" t="s">
        <v>19</v>
      </c>
      <c r="B9" s="7">
        <f t="shared" si="5"/>
        <v>8</v>
      </c>
      <c r="C9" s="7">
        <v>11</v>
      </c>
      <c r="D9" s="7">
        <v>2021</v>
      </c>
      <c r="E9" s="8">
        <f>HOTEL!E11</f>
        <v>25533</v>
      </c>
      <c r="F9" s="16">
        <v>6.21</v>
      </c>
      <c r="G9" s="8">
        <f>HOTEL!CK11</f>
        <v>75</v>
      </c>
      <c r="H9" s="16">
        <v>57.45</v>
      </c>
      <c r="I9" s="8">
        <f>HOTEL!V11+HOTEL!Y11</f>
        <v>610</v>
      </c>
      <c r="J9" s="16">
        <f t="shared" si="1"/>
        <v>46.67326732673267</v>
      </c>
      <c r="K9" s="7">
        <f>HOTEL!EE11</f>
        <v>0</v>
      </c>
      <c r="L9" s="18"/>
      <c r="N9" s="7">
        <f>HOTEL!Y11/25</f>
        <v>16</v>
      </c>
      <c r="O9" s="7">
        <f>N9*2500</f>
        <v>40000</v>
      </c>
      <c r="P9" s="8">
        <f>IFERROR(((((HOTEL!V11*34))+(N9*2500))/(I9+N9*25)),0)</f>
        <v>46.67326732673267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4308.75</v>
      </c>
      <c r="U9" s="8">
        <f t="shared" si="4"/>
        <v>28470.69306930693</v>
      </c>
    </row>
    <row r="10" spans="1:21" x14ac:dyDescent="0.2">
      <c r="A10" s="2" t="s">
        <v>19</v>
      </c>
      <c r="B10" s="7">
        <f t="shared" si="5"/>
        <v>9</v>
      </c>
      <c r="C10" s="7">
        <v>11</v>
      </c>
      <c r="D10" s="7">
        <v>2021</v>
      </c>
      <c r="E10" s="8">
        <f>HOTEL!E12</f>
        <v>21694</v>
      </c>
      <c r="F10" s="16">
        <v>6.21</v>
      </c>
      <c r="G10" s="8">
        <f>HOTEL!CK12</f>
        <v>70</v>
      </c>
      <c r="H10" s="16">
        <v>57.45</v>
      </c>
      <c r="I10" s="8">
        <f>HOTEL!V12+HOTEL!Y12</f>
        <v>565.55555555555554</v>
      </c>
      <c r="J10" s="16">
        <f t="shared" si="1"/>
        <v>46.352231604342585</v>
      </c>
      <c r="K10" s="7">
        <f>HOTEL!EE12</f>
        <v>0</v>
      </c>
      <c r="L10" s="18"/>
      <c r="N10" s="7">
        <f>HOTEL!Y12/25</f>
        <v>14.222222222222221</v>
      </c>
      <c r="O10" s="7">
        <f t="shared" si="0"/>
        <v>35555.555555555555</v>
      </c>
      <c r="P10" s="8">
        <f>IFERROR(((((HOTEL!V12*34))+(N10*2500))/(I10+N10*25)),0)</f>
        <v>46.352231604342585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4021.5</v>
      </c>
      <c r="U10" s="8">
        <f t="shared" si="4"/>
        <v>26214.76209623375</v>
      </c>
    </row>
    <row r="11" spans="1:21" x14ac:dyDescent="0.2">
      <c r="A11" s="2" t="s">
        <v>19</v>
      </c>
      <c r="B11" s="7">
        <f t="shared" si="5"/>
        <v>10</v>
      </c>
      <c r="C11" s="7">
        <v>11</v>
      </c>
      <c r="D11" s="7">
        <v>2021</v>
      </c>
      <c r="E11" s="8">
        <f>HOTEL!E13</f>
        <v>21141</v>
      </c>
      <c r="F11" s="16">
        <v>6.21</v>
      </c>
      <c r="G11" s="8">
        <f>HOTEL!CK13</f>
        <v>62</v>
      </c>
      <c r="H11" s="16">
        <v>57.45</v>
      </c>
      <c r="I11" s="8">
        <f>HOTEL!V13+HOTEL!Y13</f>
        <v>502</v>
      </c>
      <c r="J11" s="16">
        <f t="shared" si="1"/>
        <v>44.350404312668466</v>
      </c>
      <c r="K11" s="7">
        <f>HOTEL!EE13</f>
        <v>0</v>
      </c>
      <c r="L11" s="18"/>
      <c r="N11" s="7">
        <f>HOTEL!Y13/25</f>
        <v>9.6</v>
      </c>
      <c r="O11" s="7">
        <f>N11*2500</f>
        <v>24000</v>
      </c>
      <c r="P11" s="8">
        <f>IFERROR(((((HOTEL!V13*34))+(N11*2500))/(I11+N11*25)),0)</f>
        <v>44.350404312668466</v>
      </c>
      <c r="Q11" s="7">
        <v>6.21</v>
      </c>
      <c r="R11" s="16">
        <f t="shared" si="2"/>
        <v>57.45</v>
      </c>
      <c r="S11" s="7">
        <v>33.93</v>
      </c>
      <c r="T11" s="8">
        <f>G11*H11</f>
        <v>3561.9</v>
      </c>
      <c r="U11" s="8">
        <f t="shared" si="4"/>
        <v>22263.902964959569</v>
      </c>
    </row>
    <row r="12" spans="1:21" x14ac:dyDescent="0.2">
      <c r="A12" s="2" t="s">
        <v>19</v>
      </c>
      <c r="B12" s="7">
        <f t="shared" si="5"/>
        <v>11</v>
      </c>
      <c r="C12" s="7">
        <v>11</v>
      </c>
      <c r="D12" s="7">
        <v>2021</v>
      </c>
      <c r="E12" s="8">
        <f>HOTEL!E14</f>
        <v>21174</v>
      </c>
      <c r="F12" s="16">
        <v>6.21</v>
      </c>
      <c r="G12" s="8">
        <f>HOTEL!CK14</f>
        <v>66</v>
      </c>
      <c r="H12" s="16">
        <v>57.45</v>
      </c>
      <c r="I12" s="8">
        <f>HOTEL!V14+HOTEL!Y14</f>
        <v>622</v>
      </c>
      <c r="J12" s="16">
        <f t="shared" si="1"/>
        <v>45.731160896130348</v>
      </c>
      <c r="K12" s="7">
        <f>HOTEL!EE14</f>
        <v>0</v>
      </c>
      <c r="L12" s="18"/>
      <c r="N12" s="7">
        <f>HOTEL!Y14/25</f>
        <v>14.4</v>
      </c>
      <c r="O12" s="7">
        <f>N12*2500</f>
        <v>36000</v>
      </c>
      <c r="P12" s="8">
        <f>IFERROR(((((HOTEL!V14*34))+(N12*2500))/(I12+N12*25)),0)</f>
        <v>45.731160896130348</v>
      </c>
      <c r="Q12" s="7">
        <v>6.21</v>
      </c>
      <c r="R12" s="16">
        <f t="shared" si="2"/>
        <v>57.45</v>
      </c>
      <c r="S12" s="7">
        <v>33.93</v>
      </c>
      <c r="T12" s="8">
        <f>G12*H12</f>
        <v>3791.7000000000003</v>
      </c>
      <c r="U12" s="8">
        <f t="shared" si="4"/>
        <v>28444.782077393076</v>
      </c>
    </row>
    <row r="13" spans="1:21" x14ac:dyDescent="0.2">
      <c r="A13" s="2" t="s">
        <v>19</v>
      </c>
      <c r="B13" s="7">
        <f t="shared" si="5"/>
        <v>12</v>
      </c>
      <c r="C13" s="7">
        <v>11</v>
      </c>
      <c r="D13" s="7">
        <v>2021</v>
      </c>
      <c r="E13" s="8">
        <f>HOTEL!E15</f>
        <v>25715</v>
      </c>
      <c r="F13" s="16">
        <v>6.21</v>
      </c>
      <c r="G13" s="8">
        <f>HOTEL!CK15</f>
        <v>62</v>
      </c>
      <c r="H13" s="16">
        <v>57.45</v>
      </c>
      <c r="I13" s="8">
        <f>HOTEL!V15+HOTEL!Y15</f>
        <v>408.22222222222223</v>
      </c>
      <c r="J13" s="16">
        <f t="shared" si="1"/>
        <v>45.279520620373631</v>
      </c>
      <c r="K13" s="7">
        <f>HOTEL!EE15</f>
        <v>0</v>
      </c>
      <c r="L13" s="18"/>
      <c r="N13" s="7">
        <f>HOTEL!Y15/25</f>
        <v>8.8888888888888893</v>
      </c>
      <c r="O13" s="7">
        <f t="shared" si="0"/>
        <v>22222.222222222223</v>
      </c>
      <c r="P13" s="8">
        <f>IFERROR(((((HOTEL!V15*34))+(N13*2500))/(I13+N13*25)),0)</f>
        <v>45.279520620373631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3561.9</v>
      </c>
      <c r="U13" s="8">
        <f t="shared" si="4"/>
        <v>18484.10652880586</v>
      </c>
    </row>
    <row r="14" spans="1:21" x14ac:dyDescent="0.2">
      <c r="A14" s="2" t="s">
        <v>19</v>
      </c>
      <c r="B14" s="7">
        <f t="shared" si="5"/>
        <v>13</v>
      </c>
      <c r="C14" s="7">
        <v>11</v>
      </c>
      <c r="D14" s="7">
        <v>2021</v>
      </c>
      <c r="E14" s="8">
        <f>HOTEL!E16</f>
        <v>22601</v>
      </c>
      <c r="F14" s="16">
        <v>6.21</v>
      </c>
      <c r="G14" s="8">
        <f>HOTEL!CK16</f>
        <v>60</v>
      </c>
      <c r="H14" s="16">
        <v>57.45</v>
      </c>
      <c r="I14" s="8">
        <f>HOTEL!V16+HOTEL!Y16</f>
        <v>410.22222222222223</v>
      </c>
      <c r="J14" s="16">
        <f t="shared" si="1"/>
        <v>45.243851018973999</v>
      </c>
      <c r="K14" s="7">
        <f>HOTEL!EE16</f>
        <v>0</v>
      </c>
      <c r="L14" s="18"/>
      <c r="N14" s="7">
        <f>HOTEL!Y16/25</f>
        <v>8.8888888888888893</v>
      </c>
      <c r="O14" s="7">
        <f t="shared" si="0"/>
        <v>22222.222222222223</v>
      </c>
      <c r="P14" s="8">
        <f>IFERROR(((((HOTEL!V16*34))+(N14*2500))/(I14+N14*25)),0)</f>
        <v>45.243851018973999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3447</v>
      </c>
      <c r="U14" s="8">
        <f t="shared" si="4"/>
        <v>18560.033106894669</v>
      </c>
    </row>
    <row r="15" spans="1:21" x14ac:dyDescent="0.2">
      <c r="A15" s="2" t="s">
        <v>19</v>
      </c>
      <c r="B15" s="7">
        <f t="shared" si="5"/>
        <v>14</v>
      </c>
      <c r="C15" s="7">
        <v>11</v>
      </c>
      <c r="D15" s="7">
        <v>2021</v>
      </c>
      <c r="E15" s="8">
        <f>HOTEL!E17</f>
        <v>21467</v>
      </c>
      <c r="F15" s="16">
        <v>6.21</v>
      </c>
      <c r="G15" s="8">
        <f>HOTEL!CK17</f>
        <v>56</v>
      </c>
      <c r="H15" s="16">
        <v>57.45</v>
      </c>
      <c r="I15" s="8">
        <f>HOTEL!V17+HOTEL!Y17</f>
        <v>454.66666666666663</v>
      </c>
      <c r="J15" s="16">
        <f t="shared" si="1"/>
        <v>45.829944547134929</v>
      </c>
      <c r="K15" s="7">
        <f>HOTEL!EE17</f>
        <v>0</v>
      </c>
      <c r="L15" s="18"/>
      <c r="N15" s="7">
        <f>HOTEL!Y17/25</f>
        <v>10.666666666666664</v>
      </c>
      <c r="O15" s="7">
        <f t="shared" si="0"/>
        <v>26666.666666666661</v>
      </c>
      <c r="P15" s="8">
        <f>IFERROR(((((HOTEL!V17*34))+(N15*2500))/(I15+N15*25)),0)</f>
        <v>45.829944547134929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3217.2000000000003</v>
      </c>
      <c r="U15" s="8">
        <f t="shared" si="4"/>
        <v>20837.348120764014</v>
      </c>
    </row>
    <row r="16" spans="1:21" x14ac:dyDescent="0.2">
      <c r="A16" s="2" t="s">
        <v>19</v>
      </c>
      <c r="B16" s="7">
        <f t="shared" si="5"/>
        <v>15</v>
      </c>
      <c r="C16" s="7">
        <v>11</v>
      </c>
      <c r="D16" s="7">
        <v>2021</v>
      </c>
      <c r="E16" s="8">
        <f>HOTEL!E18</f>
        <v>16829</v>
      </c>
      <c r="F16" s="16">
        <v>6.21</v>
      </c>
      <c r="G16" s="8">
        <f>HOTEL!CK18</f>
        <v>86</v>
      </c>
      <c r="H16" s="16">
        <v>57.45</v>
      </c>
      <c r="I16" s="8">
        <f>HOTEL!V18+HOTEL!Y18</f>
        <v>478.66666666666663</v>
      </c>
      <c r="J16" s="16">
        <f t="shared" si="1"/>
        <v>45.449016100178881</v>
      </c>
      <c r="K16" s="7">
        <f>HOTEL!EE18</f>
        <v>0</v>
      </c>
      <c r="L16" s="18"/>
      <c r="N16" s="7">
        <f>HOTEL!Y18/25</f>
        <v>10.666666666666664</v>
      </c>
      <c r="O16" s="7">
        <f t="shared" si="0"/>
        <v>26666.666666666661</v>
      </c>
      <c r="P16" s="8">
        <f>IFERROR(((((HOTEL!V18*34))+(N16*2500))/(I16+N16*25)),0)</f>
        <v>45.449016100178881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4940.7</v>
      </c>
      <c r="U16" s="8">
        <f t="shared" si="4"/>
        <v>21754.929039952291</v>
      </c>
    </row>
    <row r="17" spans="1:21" x14ac:dyDescent="0.2">
      <c r="A17" s="2" t="s">
        <v>19</v>
      </c>
      <c r="B17" s="7">
        <f t="shared" si="5"/>
        <v>16</v>
      </c>
      <c r="C17" s="7">
        <v>11</v>
      </c>
      <c r="D17" s="7">
        <v>2021</v>
      </c>
      <c r="E17" s="8">
        <f>HOTEL!E19</f>
        <v>28884</v>
      </c>
      <c r="F17" s="16">
        <v>6.21</v>
      </c>
      <c r="G17" s="8">
        <f>HOTEL!CK19</f>
        <v>83</v>
      </c>
      <c r="H17" s="16">
        <v>57.45</v>
      </c>
      <c r="I17" s="8">
        <f>HOTEL!V19+HOTEL!Y19</f>
        <v>523.11111111111109</v>
      </c>
      <c r="J17" s="16">
        <f t="shared" si="1"/>
        <v>45.933937133724037</v>
      </c>
      <c r="K17" s="7">
        <f>HOTEL!EE19</f>
        <v>0</v>
      </c>
      <c r="L17" s="18"/>
      <c r="N17" s="7">
        <f>HOTEL!Y19/25</f>
        <v>12.444444444444446</v>
      </c>
      <c r="O17" s="7">
        <f t="shared" si="0"/>
        <v>31111.111111111117</v>
      </c>
      <c r="P17" s="8">
        <f>IFERROR(((((HOTEL!V19*34))+(N17*2500))/(I17+N17*25)),0)</f>
        <v>45.933937133724037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4768.3500000000004</v>
      </c>
      <c r="U17" s="8">
        <f t="shared" si="4"/>
        <v>24028.552891730305</v>
      </c>
    </row>
    <row r="18" spans="1:21" x14ac:dyDescent="0.2">
      <c r="A18" s="2" t="s">
        <v>19</v>
      </c>
      <c r="B18" s="7">
        <f t="shared" si="5"/>
        <v>17</v>
      </c>
      <c r="C18" s="7">
        <v>11</v>
      </c>
      <c r="D18" s="7">
        <v>2021</v>
      </c>
      <c r="E18" s="8">
        <f>HOTEL!E20</f>
        <v>24117</v>
      </c>
      <c r="F18" s="16">
        <v>6.21</v>
      </c>
      <c r="G18" s="8">
        <f>HOTEL!CK20</f>
        <v>79</v>
      </c>
      <c r="H18" s="16">
        <v>57.45</v>
      </c>
      <c r="I18" s="8">
        <f>HOTEL!V20+HOTEL!Y20</f>
        <v>549.11111111111109</v>
      </c>
      <c r="J18" s="16">
        <f t="shared" si="1"/>
        <v>45.573236889692595</v>
      </c>
      <c r="K18" s="7">
        <f>HOTEL!EE20</f>
        <v>0</v>
      </c>
      <c r="L18" s="18"/>
      <c r="N18" s="7">
        <f>HOTEL!Y20/25</f>
        <v>12.444444444444446</v>
      </c>
      <c r="O18" s="7">
        <f t="shared" si="0"/>
        <v>31111.111111111117</v>
      </c>
      <c r="P18" s="8">
        <f>IFERROR(((((HOTEL!V20*34))+(N18*2500))/(I18+N18*25)),0)</f>
        <v>45.573236889692595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4538.55</v>
      </c>
      <c r="U18" s="8">
        <f t="shared" si="4"/>
        <v>25024.770745428978</v>
      </c>
    </row>
    <row r="19" spans="1:21" x14ac:dyDescent="0.2">
      <c r="A19" s="2" t="s">
        <v>19</v>
      </c>
      <c r="B19" s="7">
        <f t="shared" si="5"/>
        <v>18</v>
      </c>
      <c r="C19" s="7">
        <v>11</v>
      </c>
      <c r="D19" s="7">
        <v>2021</v>
      </c>
      <c r="E19" s="8">
        <f>HOTEL!E21</f>
        <v>21672</v>
      </c>
      <c r="F19" s="16">
        <v>6.21</v>
      </c>
      <c r="G19" s="8">
        <f>HOTEL!CK21</f>
        <v>77</v>
      </c>
      <c r="H19" s="16">
        <v>57.45</v>
      </c>
      <c r="I19" s="8">
        <f>HOTEL!V21+HOTEL!Y21</f>
        <v>522</v>
      </c>
      <c r="J19" s="16">
        <f t="shared" si="1"/>
        <v>45.87469879518072</v>
      </c>
      <c r="K19" s="7">
        <f>HOTEL!EE21</f>
        <v>0</v>
      </c>
      <c r="L19" s="18"/>
      <c r="N19" s="7">
        <f>HOTEL!Y21/25</f>
        <v>12.32</v>
      </c>
      <c r="O19" s="7">
        <f t="shared" si="0"/>
        <v>30800</v>
      </c>
      <c r="P19" s="8">
        <f>IFERROR(((((HOTEL!V21*34))+(N19*2500))/(I19+N19*25)),0)</f>
        <v>45.87469879518072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4423.6500000000005</v>
      </c>
      <c r="U19" s="8">
        <f t="shared" si="4"/>
        <v>23946.592771084335</v>
      </c>
    </row>
    <row r="20" spans="1:21" x14ac:dyDescent="0.2">
      <c r="A20" s="2" t="s">
        <v>19</v>
      </c>
      <c r="B20" s="7">
        <f t="shared" si="5"/>
        <v>19</v>
      </c>
      <c r="C20" s="7">
        <v>11</v>
      </c>
      <c r="D20" s="7">
        <v>2021</v>
      </c>
      <c r="E20" s="8">
        <f>HOTEL!E22</f>
        <v>19758</v>
      </c>
      <c r="F20" s="16">
        <v>6.21</v>
      </c>
      <c r="G20" s="8">
        <f>HOTEL!CK22</f>
        <v>75</v>
      </c>
      <c r="H20" s="16">
        <v>57.45</v>
      </c>
      <c r="I20" s="8">
        <f>HOTEL!V22+HOTEL!Y22</f>
        <v>426.22222222222223</v>
      </c>
      <c r="J20" s="16">
        <f t="shared" si="1"/>
        <v>44.966415352981493</v>
      </c>
      <c r="K20" s="7">
        <f>HOTEL!EE22</f>
        <v>0</v>
      </c>
      <c r="L20" s="18"/>
      <c r="N20" s="7">
        <f>HOTEL!Y22/25</f>
        <v>8.8888888888888893</v>
      </c>
      <c r="O20" s="7">
        <f>N20*2500</f>
        <v>22222.222222222223</v>
      </c>
      <c r="P20" s="8">
        <f>IFERROR(((((HOTEL!V22*34))+(N20*2500))/(I20+N20*25)),0)</f>
        <v>44.966415352981493</v>
      </c>
      <c r="Q20" s="7">
        <v>6.21</v>
      </c>
      <c r="R20" s="16">
        <f t="shared" si="2"/>
        <v>57.45</v>
      </c>
      <c r="S20" s="7">
        <v>33.93</v>
      </c>
      <c r="T20" s="8">
        <f>G20*H20</f>
        <v>4308.75</v>
      </c>
      <c r="U20" s="8">
        <f t="shared" si="4"/>
        <v>19165.685477115225</v>
      </c>
    </row>
    <row r="21" spans="1:21" x14ac:dyDescent="0.2">
      <c r="A21" s="2" t="s">
        <v>19</v>
      </c>
      <c r="B21" s="7">
        <f t="shared" si="5"/>
        <v>20</v>
      </c>
      <c r="C21" s="7">
        <v>11</v>
      </c>
      <c r="D21" s="7">
        <v>2021</v>
      </c>
      <c r="E21" s="8">
        <f>HOTEL!E23</f>
        <v>23858</v>
      </c>
      <c r="F21" s="16">
        <v>6.21</v>
      </c>
      <c r="G21" s="8">
        <f>HOTEL!CK23</f>
        <v>70</v>
      </c>
      <c r="H21" s="16">
        <v>57.45</v>
      </c>
      <c r="I21" s="8">
        <f>HOTEL!V23+HOTEL!Y23</f>
        <v>739.55555555555554</v>
      </c>
      <c r="J21" s="16">
        <f t="shared" si="1"/>
        <v>44.38961038961039</v>
      </c>
      <c r="K21" s="7">
        <f>HOTEL!EE23</f>
        <v>0</v>
      </c>
      <c r="L21" s="18"/>
      <c r="N21" s="7">
        <f>HOTEL!Y23/25</f>
        <v>14.222222222222221</v>
      </c>
      <c r="O21" s="7">
        <f>N21*2500</f>
        <v>35555.555555555555</v>
      </c>
      <c r="P21" s="8">
        <f>IFERROR(((((HOTEL!V23*34))+(N21*2500))/(I21+N21*25)),0)</f>
        <v>44.38961038961039</v>
      </c>
      <c r="Q21" s="7">
        <v>6.21</v>
      </c>
      <c r="R21" s="16">
        <f t="shared" si="2"/>
        <v>57.45</v>
      </c>
      <c r="S21" s="7">
        <v>33.93</v>
      </c>
      <c r="T21" s="8">
        <f>G21*H21</f>
        <v>4021.5</v>
      </c>
      <c r="U21" s="8">
        <f t="shared" si="4"/>
        <v>32828.582972582975</v>
      </c>
    </row>
    <row r="22" spans="1:21" x14ac:dyDescent="0.2">
      <c r="A22" s="2" t="s">
        <v>19</v>
      </c>
      <c r="B22" s="7">
        <f t="shared" si="5"/>
        <v>21</v>
      </c>
      <c r="C22" s="7">
        <v>11</v>
      </c>
      <c r="D22" s="7">
        <v>2021</v>
      </c>
      <c r="E22" s="8">
        <f>HOTEL!E24</f>
        <v>24373</v>
      </c>
      <c r="F22" s="16">
        <v>6.21</v>
      </c>
      <c r="G22" s="8">
        <f>HOTEL!CK24</f>
        <v>69</v>
      </c>
      <c r="H22" s="16">
        <v>57.45</v>
      </c>
      <c r="I22" s="8">
        <f>HOTEL!V24+HOTEL!Y24</f>
        <v>551.11111111111109</v>
      </c>
      <c r="J22" s="16">
        <f t="shared" si="1"/>
        <v>45.546391752577328</v>
      </c>
      <c r="K22" s="7">
        <f>HOTEL!EE24</f>
        <v>0</v>
      </c>
      <c r="L22" s="18"/>
      <c r="N22" s="7">
        <f>HOTEL!Y24/25</f>
        <v>12.444444444444446</v>
      </c>
      <c r="O22" s="7">
        <f t="shared" ref="O22:O31" si="6">N22*2500</f>
        <v>31111.111111111117</v>
      </c>
      <c r="P22" s="8">
        <f>IFERROR(((((HOTEL!V24*34))+(N22*2500))/(I22+N22*25)),0)</f>
        <v>45.546391752577328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3964.05</v>
      </c>
      <c r="U22" s="8">
        <f t="shared" si="4"/>
        <v>25101.122565864836</v>
      </c>
    </row>
    <row r="23" spans="1:21" x14ac:dyDescent="0.2">
      <c r="A23" s="2" t="s">
        <v>19</v>
      </c>
      <c r="B23" s="7">
        <f t="shared" si="5"/>
        <v>22</v>
      </c>
      <c r="C23" s="7">
        <v>11</v>
      </c>
      <c r="D23" s="7">
        <v>2021</v>
      </c>
      <c r="E23" s="8">
        <f>HOTEL!E25</f>
        <v>22117</v>
      </c>
      <c r="F23" s="16">
        <v>6.21</v>
      </c>
      <c r="G23" s="8">
        <f>HOTEL!CK25</f>
        <v>65</v>
      </c>
      <c r="H23" s="16">
        <v>57.45</v>
      </c>
      <c r="I23" s="8">
        <f>HOTEL!V25+HOTEL!Y25</f>
        <v>429.66666666666663</v>
      </c>
      <c r="J23" s="16">
        <f t="shared" si="1"/>
        <v>46.254667304930585</v>
      </c>
      <c r="K23" s="7">
        <f>HOTEL!EE25</f>
        <v>0</v>
      </c>
      <c r="L23" s="18"/>
      <c r="N23" s="7">
        <f>HOTEL!Y25/25</f>
        <v>10.666666666666664</v>
      </c>
      <c r="O23" s="7">
        <f t="shared" si="6"/>
        <v>26666.666666666661</v>
      </c>
      <c r="P23" s="8">
        <f>IFERROR(((((HOTEL!V25*34))+(N23*2500))/(I23+N23*25)),0)</f>
        <v>46.254667304930585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3734.25</v>
      </c>
      <c r="U23" s="8">
        <f t="shared" si="4"/>
        <v>19874.088718685172</v>
      </c>
    </row>
    <row r="24" spans="1:21" x14ac:dyDescent="0.2">
      <c r="A24" s="2" t="s">
        <v>19</v>
      </c>
      <c r="B24" s="7">
        <f t="shared" si="5"/>
        <v>23</v>
      </c>
      <c r="C24" s="7">
        <v>11</v>
      </c>
      <c r="D24" s="7">
        <v>2021</v>
      </c>
      <c r="E24" s="8">
        <f>HOTEL!E26</f>
        <v>22520</v>
      </c>
      <c r="F24" s="16">
        <v>6.21</v>
      </c>
      <c r="G24" s="8">
        <f>HOTEL!CK26</f>
        <v>85</v>
      </c>
      <c r="H24" s="16">
        <v>57.45</v>
      </c>
      <c r="I24" s="8">
        <f>HOTEL!V26+HOTEL!Y26</f>
        <v>741.55555555555554</v>
      </c>
      <c r="J24" s="16">
        <f t="shared" si="1"/>
        <v>44.370670447640265</v>
      </c>
      <c r="K24" s="7">
        <f>HOTEL!EE26</f>
        <v>0</v>
      </c>
      <c r="L24" s="18"/>
      <c r="N24" s="7">
        <f>HOTEL!Y26/25</f>
        <v>14.222222222222221</v>
      </c>
      <c r="O24" s="7">
        <f t="shared" si="6"/>
        <v>35555.555555555555</v>
      </c>
      <c r="P24" s="8">
        <f>IFERROR(((((HOTEL!V26*34))+(N24*2500))/(I24+N24*25)),0)</f>
        <v>44.370670447640265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4883.25</v>
      </c>
      <c r="U24" s="8">
        <f t="shared" si="4"/>
        <v>32903.317174172349</v>
      </c>
    </row>
    <row r="25" spans="1:21" x14ac:dyDescent="0.2">
      <c r="A25" s="2" t="s">
        <v>19</v>
      </c>
      <c r="B25" s="7">
        <f t="shared" si="5"/>
        <v>24</v>
      </c>
      <c r="C25" s="7">
        <v>11</v>
      </c>
      <c r="D25" s="7">
        <v>2021</v>
      </c>
      <c r="E25" s="8">
        <f>HOTEL!E27</f>
        <v>25123</v>
      </c>
      <c r="F25" s="16">
        <v>6.21</v>
      </c>
      <c r="G25" s="8">
        <f>HOTEL!CK27</f>
        <v>83</v>
      </c>
      <c r="H25" s="16">
        <v>57.45</v>
      </c>
      <c r="I25" s="8">
        <f>HOTEL!V27+HOTEL!Y27</f>
        <v>547.66666666666663</v>
      </c>
      <c r="J25" s="16">
        <f t="shared" si="1"/>
        <v>44.478919361440845</v>
      </c>
      <c r="K25" s="7">
        <f>HOTEL!EE27</f>
        <v>0</v>
      </c>
      <c r="L25" s="18"/>
      <c r="N25" s="7">
        <f>HOTEL!Y27/25</f>
        <v>10.666666666666664</v>
      </c>
      <c r="O25" s="7">
        <f t="shared" si="6"/>
        <v>26666.666666666661</v>
      </c>
      <c r="P25" s="8">
        <f>IFERROR(((((HOTEL!V27*34))+(N25*2500))/(I25+N25*25)),0)</f>
        <v>44.478919361440845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4768.3500000000004</v>
      </c>
      <c r="U25" s="8">
        <f t="shared" si="4"/>
        <v>24359.621503615766</v>
      </c>
    </row>
    <row r="26" spans="1:21" x14ac:dyDescent="0.2">
      <c r="A26" s="2" t="s">
        <v>19</v>
      </c>
      <c r="B26" s="7">
        <f>B25+1</f>
        <v>25</v>
      </c>
      <c r="C26" s="7">
        <v>11</v>
      </c>
      <c r="D26" s="7">
        <v>2021</v>
      </c>
      <c r="E26" s="8">
        <f>HOTEL!E28</f>
        <v>23771</v>
      </c>
      <c r="F26" s="16">
        <v>6.21</v>
      </c>
      <c r="G26" s="8">
        <f>HOTEL!CK28</f>
        <v>80</v>
      </c>
      <c r="H26" s="16">
        <v>57.45</v>
      </c>
      <c r="I26" s="8">
        <f>HOTEL!V28+HOTEL!Y28</f>
        <v>511.11111111111114</v>
      </c>
      <c r="J26" s="16">
        <f t="shared" si="1"/>
        <v>13.304347826086955</v>
      </c>
      <c r="K26" s="7">
        <f>HOTEL!EE28</f>
        <v>0</v>
      </c>
      <c r="L26" s="18"/>
      <c r="N26" s="7">
        <f>HOTEL!X35</f>
        <v>0</v>
      </c>
      <c r="O26" s="7">
        <f t="shared" si="6"/>
        <v>0</v>
      </c>
      <c r="P26" s="8">
        <f>IFERROR(((((HOTEL!V28*34))+(N26*2500))/(I26+N26*25)),0)</f>
        <v>13.304347826086955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4596</v>
      </c>
      <c r="U26" s="8">
        <f t="shared" si="4"/>
        <v>6800</v>
      </c>
    </row>
    <row r="27" spans="1:21" x14ac:dyDescent="0.2">
      <c r="A27" s="2" t="s">
        <v>19</v>
      </c>
      <c r="B27" s="7">
        <f t="shared" si="5"/>
        <v>26</v>
      </c>
      <c r="C27" s="7">
        <v>11</v>
      </c>
      <c r="D27" s="7">
        <v>2021</v>
      </c>
      <c r="E27" s="8">
        <f>HOTEL!E29</f>
        <v>23330</v>
      </c>
      <c r="F27" s="16">
        <v>6.21</v>
      </c>
      <c r="G27" s="8">
        <f>HOTEL!CK29</f>
        <v>76</v>
      </c>
      <c r="H27" s="16">
        <v>57.45</v>
      </c>
      <c r="I27" s="8">
        <f>HOTEL!V29+HOTEL!Y29</f>
        <v>378.66666666666663</v>
      </c>
      <c r="J27" s="16">
        <f t="shared" si="1"/>
        <v>10.056338028169016</v>
      </c>
      <c r="K27" s="7">
        <f>HOTEL!EE29</f>
        <v>0</v>
      </c>
      <c r="L27" s="18"/>
      <c r="N27" s="7">
        <f>HOTEL!X36</f>
        <v>0</v>
      </c>
      <c r="O27" s="7">
        <f t="shared" si="6"/>
        <v>0</v>
      </c>
      <c r="P27" s="8">
        <f>IFERROR(((((HOTEL!V29*34))+(N27*2500))/(I27+N27*25)),0)</f>
        <v>10.056338028169016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4366.2</v>
      </c>
      <c r="U27" s="8">
        <f t="shared" si="4"/>
        <v>3808.0000000000005</v>
      </c>
    </row>
    <row r="28" spans="1:21" x14ac:dyDescent="0.2">
      <c r="A28" s="2" t="s">
        <v>19</v>
      </c>
      <c r="B28" s="7">
        <f t="shared" si="5"/>
        <v>27</v>
      </c>
      <c r="C28" s="7">
        <v>11</v>
      </c>
      <c r="D28" s="7">
        <v>2021</v>
      </c>
      <c r="E28" s="8">
        <f>HOTEL!E30</f>
        <v>23976</v>
      </c>
      <c r="F28" s="16">
        <v>6.21</v>
      </c>
      <c r="G28" s="8">
        <f>HOTEL!CK30</f>
        <v>75</v>
      </c>
      <c r="H28" s="16">
        <v>57.45</v>
      </c>
      <c r="I28" s="8">
        <f>HOTEL!V30+HOTEL!Y30</f>
        <v>742.55555555555554</v>
      </c>
      <c r="J28" s="16">
        <f t="shared" si="1"/>
        <v>17.719886278617388</v>
      </c>
      <c r="K28" s="7">
        <f>HOTEL!EE30</f>
        <v>0</v>
      </c>
      <c r="L28" s="18"/>
      <c r="N28" s="7">
        <f>HOTEL!X37</f>
        <v>0</v>
      </c>
      <c r="O28" s="7">
        <f t="shared" si="6"/>
        <v>0</v>
      </c>
      <c r="P28" s="8">
        <f>IFERROR(((((HOTEL!V30*34))+(N28*2500))/(I28+N28*25)),0)</f>
        <v>17.719886278617388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4308.75</v>
      </c>
      <c r="U28" s="8">
        <f t="shared" si="4"/>
        <v>13158</v>
      </c>
    </row>
    <row r="29" spans="1:21" x14ac:dyDescent="0.2">
      <c r="A29" s="2" t="s">
        <v>19</v>
      </c>
      <c r="B29" s="7">
        <f t="shared" si="5"/>
        <v>28</v>
      </c>
      <c r="C29" s="7">
        <v>11</v>
      </c>
      <c r="D29" s="7">
        <v>2021</v>
      </c>
      <c r="E29" s="8">
        <f>HOTEL!E31</f>
        <v>24774</v>
      </c>
      <c r="F29" s="16">
        <v>6.21</v>
      </c>
      <c r="G29" s="8">
        <f>HOTEL!CK31</f>
        <v>70</v>
      </c>
      <c r="H29" s="16">
        <v>57.45</v>
      </c>
      <c r="I29" s="8">
        <f>HOTEL!V31+HOTEL!Y31</f>
        <v>778.66666666666674</v>
      </c>
      <c r="J29" s="16">
        <f t="shared" si="1"/>
        <v>13.623287671232875</v>
      </c>
      <c r="K29" s="7">
        <f>HOTEL!EE31</f>
        <v>0</v>
      </c>
      <c r="L29" s="18"/>
      <c r="N29" s="7">
        <f>HOTEL!X38</f>
        <v>0</v>
      </c>
      <c r="O29" s="7">
        <f t="shared" si="6"/>
        <v>0</v>
      </c>
      <c r="P29" s="8">
        <f>IFERROR(((((HOTEL!V31*34))+(N29*2500))/(I29+N29*25)),0)</f>
        <v>13.623287671232875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4021.5</v>
      </c>
      <c r="U29" s="8">
        <f t="shared" si="4"/>
        <v>10608</v>
      </c>
    </row>
    <row r="30" spans="1:21" x14ac:dyDescent="0.2">
      <c r="A30" s="2" t="s">
        <v>19</v>
      </c>
      <c r="B30" s="7">
        <f t="shared" si="5"/>
        <v>29</v>
      </c>
      <c r="C30" s="7">
        <v>11</v>
      </c>
      <c r="D30" s="7">
        <v>2021</v>
      </c>
      <c r="E30" s="8">
        <f>HOTEL!E32</f>
        <v>25054</v>
      </c>
      <c r="F30" s="16">
        <v>6.21</v>
      </c>
      <c r="G30" s="8">
        <f>HOTEL!CK32</f>
        <v>68</v>
      </c>
      <c r="H30" s="16">
        <v>57.45</v>
      </c>
      <c r="I30" s="8">
        <f>HOTEL!V32+HOTEL!Y32</f>
        <v>623.11111111111109</v>
      </c>
      <c r="J30" s="16">
        <f t="shared" si="1"/>
        <v>17.024251069900142</v>
      </c>
      <c r="K30" s="7">
        <f>HOTEL!EE32</f>
        <v>0</v>
      </c>
      <c r="L30" s="18"/>
      <c r="N30" s="7">
        <f>HOTEL!X39</f>
        <v>0</v>
      </c>
      <c r="O30" s="7">
        <f t="shared" si="6"/>
        <v>0</v>
      </c>
      <c r="P30" s="8">
        <f>IFERROR(((((HOTEL!V32*34))+(N30*2500))/(I30+N30*25)),0)</f>
        <v>17.024251069900142</v>
      </c>
      <c r="Q30" s="7">
        <v>6.21</v>
      </c>
      <c r="R30" s="16">
        <f t="shared" si="2"/>
        <v>57.45</v>
      </c>
      <c r="T30" s="8">
        <f t="shared" si="7"/>
        <v>3906.6000000000004</v>
      </c>
      <c r="U30" s="8">
        <f t="shared" si="4"/>
        <v>10608</v>
      </c>
    </row>
    <row r="31" spans="1:21" x14ac:dyDescent="0.2">
      <c r="A31" s="2" t="s">
        <v>19</v>
      </c>
      <c r="B31" s="7">
        <f>B30+1</f>
        <v>30</v>
      </c>
      <c r="C31" s="7">
        <v>11</v>
      </c>
      <c r="D31" s="7">
        <v>2021</v>
      </c>
      <c r="E31" s="8">
        <f>HOTEL!E33</f>
        <v>22951</v>
      </c>
      <c r="F31" s="16">
        <v>6.21</v>
      </c>
      <c r="G31" s="8">
        <f>HOTEL!CK33</f>
        <v>65</v>
      </c>
      <c r="H31" s="16">
        <v>57.45</v>
      </c>
      <c r="I31" s="8">
        <f>HOTEL!V33+HOTEL!Y33</f>
        <v>470.22222222222223</v>
      </c>
      <c r="J31" s="16">
        <f t="shared" si="1"/>
        <v>17.931947069943288</v>
      </c>
      <c r="K31" s="7">
        <f>HOTEL!EE33</f>
        <v>0</v>
      </c>
      <c r="L31" s="18"/>
      <c r="N31" s="7">
        <f>HOTEL!X40</f>
        <v>0</v>
      </c>
      <c r="O31" s="7">
        <f t="shared" si="6"/>
        <v>0</v>
      </c>
      <c r="P31" s="8">
        <f>IFERROR(((((HOTEL!V33*34))+(N31*2500))/(I31+N31*25)),0)</f>
        <v>17.931947069943288</v>
      </c>
      <c r="Q31" s="7">
        <v>6.21</v>
      </c>
      <c r="R31" s="16">
        <f t="shared" si="2"/>
        <v>57.45</v>
      </c>
      <c r="T31" s="8">
        <f t="shared" si="7"/>
        <v>3734.25</v>
      </c>
      <c r="U31" s="8">
        <f t="shared" si="4"/>
        <v>8432</v>
      </c>
    </row>
    <row r="32" spans="1:21" x14ac:dyDescent="0.2">
      <c r="A32" s="2"/>
      <c r="E32" s="8"/>
      <c r="F32" s="16"/>
      <c r="G32" s="8"/>
      <c r="H32" s="16"/>
      <c r="I32" s="8"/>
      <c r="J32" s="16"/>
      <c r="L32" s="18"/>
      <c r="P32" s="8"/>
      <c r="R32" s="16"/>
      <c r="T32" s="8"/>
      <c r="U32" s="8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topLeftCell="A13" workbookViewId="0">
      <selection activeCell="C41" sqref="C41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 x14ac:dyDescent="0.25">
      <c r="A2" s="2" t="s">
        <v>19</v>
      </c>
      <c r="B2" s="7">
        <f>TOTAL!B2</f>
        <v>1</v>
      </c>
      <c r="C2" s="97">
        <f>TOTAL!C2</f>
        <v>11</v>
      </c>
      <c r="D2" s="7">
        <v>2021</v>
      </c>
      <c r="E2" s="7">
        <f>TOTAL!E2</f>
        <v>20103</v>
      </c>
      <c r="F2" s="7">
        <f>HOTEL!R4</f>
        <v>1286</v>
      </c>
      <c r="G2" s="7">
        <f>HOTEL!T4</f>
        <v>446</v>
      </c>
      <c r="H2" s="8">
        <f>HOTEL!DX4</f>
        <v>7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352</v>
      </c>
      <c r="M2" s="7">
        <f>HOTEL!AE4</f>
        <v>1153</v>
      </c>
      <c r="N2" s="7">
        <f>HOTEL!AI4</f>
        <v>0</v>
      </c>
      <c r="O2" s="7">
        <f>HOTEL!AM4</f>
        <v>1333</v>
      </c>
      <c r="P2" s="7">
        <f>HOTEL!AO4</f>
        <v>53345</v>
      </c>
      <c r="Q2" s="7">
        <f>HOTEL!AQ4</f>
        <v>9005</v>
      </c>
      <c r="R2" s="7">
        <f>HOTEL!AS4</f>
        <v>10684</v>
      </c>
      <c r="S2" s="7">
        <f>HOTEL!AU4</f>
        <v>15197</v>
      </c>
      <c r="T2" s="7">
        <f>HOTEL!AW4</f>
        <v>19580</v>
      </c>
      <c r="U2" s="7">
        <f>HOTEL!AY4</f>
        <v>20766</v>
      </c>
      <c r="V2" s="7">
        <f>HOTEL!BA4</f>
        <v>13975</v>
      </c>
      <c r="W2" s="7">
        <f>HOTEL!BM4</f>
        <v>22</v>
      </c>
      <c r="X2" s="7">
        <f>HOTEL!BT4</f>
        <v>330</v>
      </c>
      <c r="Y2" s="7">
        <f>HOTEL!CO4</f>
        <v>0</v>
      </c>
      <c r="Z2" s="7" t="e">
        <f>HOTEL!CR3</f>
        <v>#VALUE!</v>
      </c>
      <c r="AA2" s="7">
        <f>HOTEL!CU4</f>
        <v>14.64</v>
      </c>
      <c r="AB2" s="8">
        <f>HOTEL!CX4</f>
        <v>53.68</v>
      </c>
      <c r="AC2" s="7">
        <f>HOTEL!DA4</f>
        <v>2037443.92</v>
      </c>
      <c r="AD2" s="8">
        <f>HOTEL!DD4</f>
        <v>23.900000000000002</v>
      </c>
      <c r="AE2" s="7" t="str">
        <f>HOTEL!DG4</f>
        <v>0</v>
      </c>
      <c r="AF2" s="7" t="str">
        <f>HOTEL!DJ4</f>
        <v>0</v>
      </c>
      <c r="AG2" s="7" t="str">
        <f>HOTEL!DM4</f>
        <v>0</v>
      </c>
      <c r="AH2" s="7" t="str">
        <f>HOTEL!DP4</f>
        <v>0</v>
      </c>
      <c r="AI2" s="7" t="str">
        <f>HOTEL!DS4</f>
        <v>0</v>
      </c>
      <c r="AJ2" s="7" t="str">
        <f>HOTEL!DV4</f>
        <v>0</v>
      </c>
      <c r="AK2" s="7">
        <f>TOTAL!K2</f>
        <v>0</v>
      </c>
    </row>
    <row r="3" spans="1:38" ht="15" x14ac:dyDescent="0.25">
      <c r="A3" s="2" t="s">
        <v>19</v>
      </c>
      <c r="B3" s="7">
        <f>TOTAL!B3</f>
        <v>2</v>
      </c>
      <c r="C3" s="97">
        <f>TOTAL!C3</f>
        <v>11</v>
      </c>
      <c r="D3" s="7">
        <v>2021</v>
      </c>
      <c r="E3" s="7">
        <f>TOTAL!E3</f>
        <v>20249</v>
      </c>
      <c r="F3" s="7">
        <f>HOTEL!R5</f>
        <v>1016</v>
      </c>
      <c r="G3" s="7">
        <f>HOTEL!T5</f>
        <v>476</v>
      </c>
      <c r="H3" s="8">
        <f>HOTEL!DX5</f>
        <v>6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299</v>
      </c>
      <c r="M3" s="7">
        <f>HOTEL!AE5</f>
        <v>1152</v>
      </c>
      <c r="N3" s="7">
        <f>HOTEL!AI5</f>
        <v>0</v>
      </c>
      <c r="O3" s="7">
        <f>HOTEL!AM5</f>
        <v>1334</v>
      </c>
      <c r="P3" s="7">
        <f>HOTEL!AO5</f>
        <v>53364</v>
      </c>
      <c r="Q3" s="7">
        <f>HOTEL!AQ5</f>
        <v>9006</v>
      </c>
      <c r="R3" s="7">
        <f>HOTEL!AS5</f>
        <v>10688</v>
      </c>
      <c r="S3" s="7">
        <f>HOTEL!AU5</f>
        <v>15212</v>
      </c>
      <c r="T3" s="7">
        <f>HOTEL!AW5</f>
        <v>19598</v>
      </c>
      <c r="U3" s="7">
        <f>HOTEL!AY5</f>
        <v>20767</v>
      </c>
      <c r="V3" s="7">
        <f>HOTEL!BA5</f>
        <v>13978</v>
      </c>
      <c r="W3" s="7">
        <f>HOTEL!BM5</f>
        <v>19</v>
      </c>
      <c r="X3" s="7">
        <f>HOTEL!BT5</f>
        <v>280</v>
      </c>
      <c r="Y3" s="7">
        <f>HOTEL!CO5</f>
        <v>0</v>
      </c>
      <c r="Z3" s="7">
        <f>HOTEL!CR4</f>
        <v>104.92</v>
      </c>
      <c r="AA3" s="7">
        <f>HOTEL!CU5</f>
        <v>14.64</v>
      </c>
      <c r="AB3" s="8">
        <f>HOTEL!CX5</f>
        <v>58.56</v>
      </c>
      <c r="AC3" s="7">
        <f>HOTEL!DA5</f>
        <v>375.76</v>
      </c>
      <c r="AD3" s="8">
        <f>HOTEL!DD5</f>
        <v>19.12</v>
      </c>
      <c r="AE3" s="7">
        <f>HOTEL!DG5</f>
        <v>0</v>
      </c>
      <c r="AF3" s="7" t="str">
        <f>HOTEL!DJ5</f>
        <v>0</v>
      </c>
      <c r="AG3" s="7">
        <f>HOTEL!DM5</f>
        <v>0</v>
      </c>
      <c r="AH3" s="7" t="str">
        <f>HOTEL!DP5</f>
        <v>0</v>
      </c>
      <c r="AI3" s="7">
        <f>HOTEL!DS5</f>
        <v>4</v>
      </c>
      <c r="AJ3" s="7" t="str">
        <f>HOTEL!DV5</f>
        <v>0</v>
      </c>
      <c r="AK3" s="7">
        <f>TOTAL!K3</f>
        <v>0</v>
      </c>
    </row>
    <row r="4" spans="1:38" ht="15" x14ac:dyDescent="0.25">
      <c r="A4" s="2" t="s">
        <v>19</v>
      </c>
      <c r="B4" s="7">
        <f>TOTAL!B4</f>
        <v>3</v>
      </c>
      <c r="C4" s="97">
        <f>TOTAL!C4</f>
        <v>11</v>
      </c>
      <c r="D4" s="7">
        <v>2021</v>
      </c>
      <c r="E4" s="7">
        <f>TOTAL!E4</f>
        <v>21582</v>
      </c>
      <c r="F4" s="7">
        <f>HOTEL!R6</f>
        <v>863</v>
      </c>
      <c r="G4" s="7">
        <f>HOTEL!T6</f>
        <v>476</v>
      </c>
      <c r="H4" s="8">
        <f>HOTEL!DX6</f>
        <v>7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253</v>
      </c>
      <c r="M4" s="7">
        <f>HOTEL!AE6</f>
        <v>1153</v>
      </c>
      <c r="N4" s="7">
        <f>HOTEL!AI6</f>
        <v>0</v>
      </c>
      <c r="O4" s="7">
        <f>HOTEL!AM6</f>
        <v>1335</v>
      </c>
      <c r="P4" s="7">
        <f>HOTEL!AO6</f>
        <v>53383</v>
      </c>
      <c r="Q4" s="7">
        <f>HOTEL!AQ6</f>
        <v>9007</v>
      </c>
      <c r="R4" s="7">
        <f>HOTEL!AS6</f>
        <v>10690</v>
      </c>
      <c r="S4" s="7">
        <f>HOTEL!AU6</f>
        <v>15228</v>
      </c>
      <c r="T4" s="7">
        <f>HOTEL!AW6</f>
        <v>19598</v>
      </c>
      <c r="U4" s="7">
        <f>HOTEL!AY6</f>
        <v>20770</v>
      </c>
      <c r="V4" s="7">
        <f>HOTEL!BA6</f>
        <v>13982</v>
      </c>
      <c r="W4" s="7">
        <f>HOTEL!BM6</f>
        <v>23</v>
      </c>
      <c r="X4" s="7">
        <f>HOTEL!BT6</f>
        <v>230</v>
      </c>
      <c r="Y4" s="7">
        <f>HOTEL!CO6</f>
        <v>0</v>
      </c>
      <c r="Z4" s="7">
        <f>HOTEL!CR5</f>
        <v>97.6</v>
      </c>
      <c r="AA4" s="7">
        <f>HOTEL!CU6</f>
        <v>19.52</v>
      </c>
      <c r="AB4" s="8">
        <f>HOTEL!CX6</f>
        <v>73.2</v>
      </c>
      <c r="AC4" s="7">
        <f>HOTEL!DA6</f>
        <v>375.76</v>
      </c>
      <c r="AD4" s="8">
        <f>HOTEL!DD6</f>
        <v>19.12</v>
      </c>
      <c r="AE4" s="7">
        <f>HOTEL!DG6</f>
        <v>0</v>
      </c>
      <c r="AF4" s="7">
        <f>HOTEL!DJ6</f>
        <v>0</v>
      </c>
      <c r="AG4" s="7">
        <f>HOTEL!DM6</f>
        <v>1</v>
      </c>
      <c r="AH4" s="7" t="str">
        <f>HOTEL!DP6</f>
        <v>0</v>
      </c>
      <c r="AI4" s="7" t="str">
        <f>HOTEL!DS6</f>
        <v>0</v>
      </c>
      <c r="AJ4" s="7">
        <f>HOTEL!DV6</f>
        <v>0</v>
      </c>
      <c r="AK4" s="7">
        <f>TOTAL!K4</f>
        <v>0</v>
      </c>
    </row>
    <row r="5" spans="1:38" ht="15" x14ac:dyDescent="0.25">
      <c r="A5" s="2" t="s">
        <v>19</v>
      </c>
      <c r="B5" s="7">
        <f>TOTAL!B5</f>
        <v>4</v>
      </c>
      <c r="C5" s="97">
        <f>TOTAL!C5</f>
        <v>11</v>
      </c>
      <c r="D5" s="7">
        <v>2021</v>
      </c>
      <c r="E5" s="7">
        <f>TOTAL!E5</f>
        <v>21582</v>
      </c>
      <c r="F5" s="7">
        <f>HOTEL!R7</f>
        <v>863</v>
      </c>
      <c r="G5" s="7">
        <f>HOTEL!T7</f>
        <v>468</v>
      </c>
      <c r="H5" s="8">
        <f>HOTEL!DX7</f>
        <v>6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249</v>
      </c>
      <c r="M5" s="7">
        <f>HOTEL!AE7</f>
        <v>1153</v>
      </c>
      <c r="N5" s="7">
        <f>HOTEL!AI7</f>
        <v>0</v>
      </c>
      <c r="O5" s="7">
        <f>HOTEL!AM7</f>
        <v>1336</v>
      </c>
      <c r="P5" s="7">
        <f>HOTEL!AO7</f>
        <v>53402</v>
      </c>
      <c r="Q5" s="7">
        <f>HOTEL!AQ7</f>
        <v>9007</v>
      </c>
      <c r="R5" s="7">
        <f>HOTEL!AS7</f>
        <v>10693</v>
      </c>
      <c r="S5" s="7">
        <f>HOTEL!AU7</f>
        <v>15244</v>
      </c>
      <c r="T5" s="7">
        <f>HOTEL!AW7</f>
        <v>19606</v>
      </c>
      <c r="U5" s="7">
        <f>HOTEL!AY7</f>
        <v>20771</v>
      </c>
      <c r="V5" s="7">
        <f>HOTEL!BA7</f>
        <v>13984</v>
      </c>
      <c r="W5" s="7">
        <f>HOTEL!BM7</f>
        <v>19</v>
      </c>
      <c r="X5" s="7">
        <f>HOTEL!BT7</f>
        <v>230</v>
      </c>
      <c r="Y5" s="7">
        <f>HOTEL!CO7</f>
        <v>0</v>
      </c>
      <c r="Z5" s="7">
        <f>HOTEL!CR6</f>
        <v>124.44</v>
      </c>
      <c r="AA5" s="7">
        <f>HOTEL!CU7</f>
        <v>14.64</v>
      </c>
      <c r="AB5" s="8">
        <f>HOTEL!CX7</f>
        <v>0</v>
      </c>
      <c r="AC5" s="7">
        <f>HOTEL!DA7</f>
        <v>0</v>
      </c>
      <c r="AD5" s="8">
        <f>HOTEL!DD7</f>
        <v>21.51</v>
      </c>
      <c r="AE5" s="7">
        <f>HOTEL!DG7</f>
        <v>1</v>
      </c>
      <c r="AF5" s="7">
        <f>HOTEL!DJ7</f>
        <v>1</v>
      </c>
      <c r="AG5" s="7" t="str">
        <f>HOTEL!DM7</f>
        <v>0</v>
      </c>
      <c r="AH5" s="7">
        <f>HOTEL!DP7</f>
        <v>1</v>
      </c>
      <c r="AI5" s="7">
        <f>HOTEL!DS7</f>
        <v>0</v>
      </c>
      <c r="AJ5" s="7">
        <f>HOTEL!DV7</f>
        <v>1</v>
      </c>
      <c r="AK5" s="7">
        <f>TOTAL!K5</f>
        <v>0</v>
      </c>
    </row>
    <row r="6" spans="1:38" ht="15" x14ac:dyDescent="0.25">
      <c r="A6" s="2" t="s">
        <v>19</v>
      </c>
      <c r="B6" s="7">
        <f>TOTAL!B6</f>
        <v>5</v>
      </c>
      <c r="C6" s="97">
        <f>TOTAL!C6</f>
        <v>11</v>
      </c>
      <c r="D6" s="7">
        <v>2021</v>
      </c>
      <c r="E6" s="7">
        <f>TOTAL!E6</f>
        <v>22314</v>
      </c>
      <c r="F6" s="7">
        <f>HOTEL!R8</f>
        <v>3669</v>
      </c>
      <c r="G6" s="7">
        <f>HOTEL!T8</f>
        <v>501</v>
      </c>
      <c r="H6" s="8">
        <f>HOTEL!DX8</f>
        <v>6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261</v>
      </c>
      <c r="M6" s="7">
        <f>HOTEL!AE8</f>
        <v>1153</v>
      </c>
      <c r="N6" s="7">
        <f>HOTEL!AI8</f>
        <v>0</v>
      </c>
      <c r="O6" s="7">
        <f>HOTEL!AM8</f>
        <v>1337</v>
      </c>
      <c r="P6" s="7">
        <f>HOTEL!AO8</f>
        <v>53420</v>
      </c>
      <c r="Q6" s="7">
        <f>HOTEL!AQ8</f>
        <v>9007</v>
      </c>
      <c r="R6" s="7">
        <f>HOTEL!AS8</f>
        <v>10695</v>
      </c>
      <c r="S6" s="7">
        <f>HOTEL!AU8</f>
        <v>15260</v>
      </c>
      <c r="T6" s="7">
        <f>HOTEL!AW8</f>
        <v>19617</v>
      </c>
      <c r="U6" s="7">
        <f>HOTEL!AY8</f>
        <v>20773</v>
      </c>
      <c r="V6" s="7">
        <f>HOTEL!BA8</f>
        <v>13987</v>
      </c>
      <c r="W6" s="7">
        <f>HOTEL!BM8</f>
        <v>21</v>
      </c>
      <c r="X6" s="7">
        <f>HOTEL!BT8</f>
        <v>240</v>
      </c>
      <c r="Y6" s="7">
        <f>HOTEL!CO8</f>
        <v>6476</v>
      </c>
      <c r="Z6" s="7">
        <f>HOTEL!CR7</f>
        <v>90.28</v>
      </c>
      <c r="AA6" s="7">
        <f>HOTEL!CU8</f>
        <v>17.079999999999998</v>
      </c>
      <c r="AB6" s="8">
        <f>HOTEL!CX8</f>
        <v>0</v>
      </c>
      <c r="AC6" s="7">
        <f>HOTEL!DA8</f>
        <v>24568.36</v>
      </c>
      <c r="AD6" s="8">
        <f>HOTEL!DD8</f>
        <v>19.12</v>
      </c>
      <c r="AE6" s="7" t="str">
        <f>HOTEL!DG8</f>
        <v>0</v>
      </c>
      <c r="AF6" s="7" t="str">
        <f>HOTEL!DJ8</f>
        <v>0</v>
      </c>
      <c r="AG6" s="7">
        <f>HOTEL!DM8</f>
        <v>0</v>
      </c>
      <c r="AH6" s="7" t="str">
        <f>HOTEL!DP8</f>
        <v>0</v>
      </c>
      <c r="AI6" s="7">
        <f>HOTEL!DS8</f>
        <v>2</v>
      </c>
      <c r="AJ6" s="7" t="str">
        <f>HOTEL!DV8</f>
        <v>0</v>
      </c>
      <c r="AK6" s="7">
        <f>TOTAL!K6</f>
        <v>0</v>
      </c>
    </row>
    <row r="7" spans="1:38" ht="15" x14ac:dyDescent="0.25">
      <c r="A7" s="2" t="s">
        <v>19</v>
      </c>
      <c r="B7" s="7">
        <f>TOTAL!B7</f>
        <v>6</v>
      </c>
      <c r="C7" s="97">
        <f>TOTAL!C7</f>
        <v>11</v>
      </c>
      <c r="D7" s="7">
        <v>2021</v>
      </c>
      <c r="E7" s="7">
        <f>TOTAL!E7</f>
        <v>21744</v>
      </c>
      <c r="F7" s="7">
        <f>HOTEL!R9</f>
        <v>1198</v>
      </c>
      <c r="G7" s="7">
        <f>HOTEL!T9</f>
        <v>438</v>
      </c>
      <c r="H7" s="8">
        <f>HOTEL!DX9</f>
        <v>6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321</v>
      </c>
      <c r="M7" s="7">
        <f>HOTEL!AE9</f>
        <v>1153</v>
      </c>
      <c r="N7" s="7">
        <f>HOTEL!AI9</f>
        <v>0</v>
      </c>
      <c r="O7" s="7">
        <f>HOTEL!AM9</f>
        <v>1339</v>
      </c>
      <c r="P7" s="7">
        <f>HOTEL!AO9</f>
        <v>53438</v>
      </c>
      <c r="Q7" s="7">
        <f>HOTEL!AQ9</f>
        <v>9008</v>
      </c>
      <c r="R7" s="7">
        <f>HOTEL!AS9</f>
        <v>10697</v>
      </c>
      <c r="S7" s="7">
        <f>HOTEL!AU9</f>
        <v>15275</v>
      </c>
      <c r="T7" s="7">
        <f>HOTEL!AW9</f>
        <v>19621</v>
      </c>
      <c r="U7" s="7">
        <f>HOTEL!AY9</f>
        <v>20775</v>
      </c>
      <c r="V7" s="7">
        <f>HOTEL!BA9</f>
        <v>13991</v>
      </c>
      <c r="W7" s="7">
        <f>HOTEL!BM9</f>
        <v>21</v>
      </c>
      <c r="X7" s="7">
        <f>HOTEL!BT9</f>
        <v>300</v>
      </c>
      <c r="Y7" s="7">
        <f>HOTEL!CO9</f>
        <v>0</v>
      </c>
      <c r="Z7" s="7">
        <f>HOTEL!CR8</f>
        <v>114.67999999999999</v>
      </c>
      <c r="AA7" s="7">
        <f>HOTEL!CU9</f>
        <v>14.64</v>
      </c>
      <c r="AB7" s="8">
        <f>HOTEL!CX9</f>
        <v>56.12</v>
      </c>
      <c r="AC7" s="7">
        <f>HOTEL!DA9</f>
        <v>151.28</v>
      </c>
      <c r="AD7" s="8">
        <f>HOTEL!DD9</f>
        <v>16.73</v>
      </c>
      <c r="AE7" s="7" t="str">
        <f>HOTEL!DG9</f>
        <v>0</v>
      </c>
      <c r="AF7" s="7">
        <f>HOTEL!DJ9</f>
        <v>0</v>
      </c>
      <c r="AG7" s="7">
        <f>HOTEL!DM9</f>
        <v>0</v>
      </c>
      <c r="AH7" s="7">
        <f>HOTEL!DP9</f>
        <v>0</v>
      </c>
      <c r="AI7" s="7" t="str">
        <f>HOTEL!DS9</f>
        <v>0</v>
      </c>
      <c r="AJ7" s="7">
        <f>HOTEL!DV9</f>
        <v>1</v>
      </c>
      <c r="AK7" s="7">
        <f>TOTAL!K7</f>
        <v>0</v>
      </c>
    </row>
    <row r="8" spans="1:38" ht="15" x14ac:dyDescent="0.25">
      <c r="A8" s="2" t="s">
        <v>19</v>
      </c>
      <c r="B8" s="7">
        <f>TOTAL!B8</f>
        <v>7</v>
      </c>
      <c r="C8" s="97">
        <f>TOTAL!C8</f>
        <v>11</v>
      </c>
      <c r="D8" s="7">
        <v>2021</v>
      </c>
      <c r="E8" s="7">
        <f>TOTAL!E8</f>
        <v>19925</v>
      </c>
      <c r="F8" s="7">
        <f>HOTEL!R10</f>
        <v>960</v>
      </c>
      <c r="G8" s="7">
        <f>HOTEL!T10</f>
        <v>436</v>
      </c>
      <c r="H8" s="8">
        <f>HOTEL!DX10</f>
        <v>6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288</v>
      </c>
      <c r="M8" s="7">
        <f>HOTEL!AE10</f>
        <v>1153</v>
      </c>
      <c r="N8" s="7">
        <f>HOTEL!AI10</f>
        <v>0</v>
      </c>
      <c r="O8" s="7">
        <f>HOTEL!AM10</f>
        <v>1339</v>
      </c>
      <c r="P8" s="7">
        <f>HOTEL!AO10</f>
        <v>53452</v>
      </c>
      <c r="Q8" s="7">
        <f>HOTEL!AQ10</f>
        <v>9011</v>
      </c>
      <c r="R8" s="7">
        <f>HOTEL!AS10</f>
        <v>10699</v>
      </c>
      <c r="S8" s="7">
        <f>HOTEL!AU10</f>
        <v>15288</v>
      </c>
      <c r="T8" s="7">
        <f>HOTEL!AW10</f>
        <v>19627</v>
      </c>
      <c r="U8" s="7">
        <f>HOTEL!AY10</f>
        <v>20777</v>
      </c>
      <c r="V8" s="7">
        <f>HOTEL!BA10</f>
        <v>13994</v>
      </c>
      <c r="W8" s="7">
        <f>HOTEL!BM10</f>
        <v>18</v>
      </c>
      <c r="X8" s="7">
        <f>HOTEL!BT10</f>
        <v>270</v>
      </c>
      <c r="Y8" s="7">
        <f>HOTEL!CO10</f>
        <v>0</v>
      </c>
      <c r="Z8" s="7">
        <f>HOTEL!CR9</f>
        <v>97.6</v>
      </c>
      <c r="AA8" s="7">
        <f>HOTEL!CU10</f>
        <v>14.64</v>
      </c>
      <c r="AB8" s="8">
        <f>HOTEL!CX10</f>
        <v>56.12</v>
      </c>
      <c r="AC8" s="7">
        <f>HOTEL!DA10</f>
        <v>129.32</v>
      </c>
      <c r="AD8" s="8">
        <f>HOTEL!DD10</f>
        <v>19.12</v>
      </c>
      <c r="AE8" s="7">
        <f>HOTEL!DG10</f>
        <v>0</v>
      </c>
      <c r="AF8" s="7">
        <f>HOTEL!DJ10</f>
        <v>0</v>
      </c>
      <c r="AG8" s="7">
        <f>HOTEL!DM10</f>
        <v>0</v>
      </c>
      <c r="AH8" s="7" t="str">
        <f>HOTEL!DP10</f>
        <v>0</v>
      </c>
      <c r="AI8" s="7">
        <f>HOTEL!DS10</f>
        <v>2</v>
      </c>
      <c r="AJ8" s="7" t="str">
        <f>HOTEL!DV10</f>
        <v>0</v>
      </c>
      <c r="AK8" s="7">
        <f>TOTAL!K8</f>
        <v>0</v>
      </c>
    </row>
    <row r="9" spans="1:38" ht="15" x14ac:dyDescent="0.25">
      <c r="A9" s="2" t="s">
        <v>19</v>
      </c>
      <c r="B9" s="7">
        <f>TOTAL!B9</f>
        <v>8</v>
      </c>
      <c r="C9" s="97">
        <f>TOTAL!C9</f>
        <v>11</v>
      </c>
      <c r="D9" s="7">
        <v>2021</v>
      </c>
      <c r="E9" s="7">
        <f>TOTAL!E9</f>
        <v>25533</v>
      </c>
      <c r="F9" s="7">
        <f>HOTEL!R11</f>
        <v>2295</v>
      </c>
      <c r="G9" s="7">
        <f>HOTEL!T11</f>
        <v>462</v>
      </c>
      <c r="H9" s="8">
        <f>HOTEL!DX11</f>
        <v>6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245</v>
      </c>
      <c r="M9" s="7">
        <f>HOTEL!AE11</f>
        <v>1153</v>
      </c>
      <c r="N9" s="7">
        <f>HOTEL!AI11</f>
        <v>0</v>
      </c>
      <c r="O9" s="7">
        <f>HOTEL!AM11</f>
        <v>1319</v>
      </c>
      <c r="P9" s="7">
        <f>HOTEL!AO11</f>
        <v>53476</v>
      </c>
      <c r="Q9" s="7">
        <f>HOTEL!AQ11</f>
        <v>9012</v>
      </c>
      <c r="R9" s="7">
        <f>HOTEL!AS11</f>
        <v>10700</v>
      </c>
      <c r="S9" s="7">
        <f>HOTEL!AU11</f>
        <v>15298</v>
      </c>
      <c r="T9" s="7">
        <f>HOTEL!AW11</f>
        <v>19633</v>
      </c>
      <c r="U9" s="7">
        <f>HOTEL!AY11</f>
        <v>20779</v>
      </c>
      <c r="V9" s="7">
        <f>HOTEL!BA11</f>
        <v>13997</v>
      </c>
      <c r="W9" s="7">
        <f>HOTEL!BM11</f>
        <v>15</v>
      </c>
      <c r="X9" s="7">
        <f>HOTEL!BT11</f>
        <v>230</v>
      </c>
      <c r="Y9" s="7">
        <f>HOTEL!CO11</f>
        <v>0</v>
      </c>
      <c r="Z9" s="7">
        <f>HOTEL!CR10</f>
        <v>102.48</v>
      </c>
      <c r="AA9" s="7">
        <f>HOTEL!CU11</f>
        <v>19.52</v>
      </c>
      <c r="AB9" s="8">
        <f>HOTEL!CX11</f>
        <v>48.8</v>
      </c>
      <c r="AC9" s="7">
        <f>HOTEL!DA11</f>
        <v>158.6</v>
      </c>
      <c r="AD9" s="8">
        <f>HOTEL!DD11</f>
        <v>21.51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1</v>
      </c>
      <c r="AI9" s="7">
        <f>HOTEL!DS11</f>
        <v>2</v>
      </c>
      <c r="AJ9" s="7">
        <f>HOTEL!DV11</f>
        <v>0</v>
      </c>
      <c r="AK9" s="7">
        <f>TOTAL!K9</f>
        <v>0</v>
      </c>
    </row>
    <row r="10" spans="1:38" ht="15" x14ac:dyDescent="0.25">
      <c r="A10" s="2" t="s">
        <v>19</v>
      </c>
      <c r="B10" s="7">
        <f>TOTAL!B10</f>
        <v>9</v>
      </c>
      <c r="C10" s="97">
        <f>TOTAL!C10</f>
        <v>11</v>
      </c>
      <c r="D10" s="7">
        <v>2021</v>
      </c>
      <c r="E10" s="7">
        <f>TOTAL!E10</f>
        <v>21694</v>
      </c>
      <c r="F10" s="7">
        <f>HOTEL!R12</f>
        <v>1053</v>
      </c>
      <c r="G10" s="7">
        <f>HOTEL!T12</f>
        <v>436</v>
      </c>
      <c r="H10" s="8">
        <f>HOTEL!DX12</f>
        <v>7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238</v>
      </c>
      <c r="M10" s="7">
        <f>HOTEL!AE12</f>
        <v>1153</v>
      </c>
      <c r="N10" s="7">
        <f>HOTEL!AI12</f>
        <v>0</v>
      </c>
      <c r="O10" s="7">
        <f>HOTEL!AM12</f>
        <v>1343</v>
      </c>
      <c r="P10" s="7">
        <f>HOTEL!AO12</f>
        <v>53496</v>
      </c>
      <c r="Q10" s="7">
        <f>HOTEL!AQ12</f>
        <v>9013</v>
      </c>
      <c r="R10" s="7">
        <f>HOTEL!AS12</f>
        <v>10702</v>
      </c>
      <c r="S10" s="7">
        <f>HOTEL!AU12</f>
        <v>15311</v>
      </c>
      <c r="T10" s="7">
        <f>HOTEL!AW12</f>
        <v>19639</v>
      </c>
      <c r="U10" s="7">
        <f>HOTEL!AY12</f>
        <v>20781</v>
      </c>
      <c r="V10" s="7">
        <f>HOTEL!BA12</f>
        <v>14000</v>
      </c>
      <c r="W10" s="7">
        <f>HOTEL!BM12</f>
        <v>18</v>
      </c>
      <c r="X10" s="7">
        <f>HOTEL!BT12</f>
        <v>220</v>
      </c>
      <c r="Y10" s="7">
        <f>HOTEL!CO12</f>
        <v>0</v>
      </c>
      <c r="Z10" s="7">
        <f>HOTEL!CR11</f>
        <v>107.36</v>
      </c>
      <c r="AA10" s="7">
        <f>HOTEL!CU12</f>
        <v>12.2</v>
      </c>
      <c r="AB10" s="8">
        <f>HOTEL!CX12</f>
        <v>48.8</v>
      </c>
      <c r="AC10" s="7">
        <f>HOTEL!DA12</f>
        <v>134.19999999999999</v>
      </c>
      <c r="AD10" s="8">
        <f>HOTEL!DD12</f>
        <v>19.12</v>
      </c>
      <c r="AE10" s="7">
        <f>HOTEL!DG12</f>
        <v>0</v>
      </c>
      <c r="AF10" s="7" t="str">
        <f>HOTEL!DJ12</f>
        <v>0</v>
      </c>
      <c r="AG10" s="7">
        <f>HOTEL!DM12</f>
        <v>0</v>
      </c>
      <c r="AH10" s="7" t="str">
        <f>HOTEL!DP12</f>
        <v>0</v>
      </c>
      <c r="AI10" s="7" t="str">
        <f>HOTEL!DS12</f>
        <v>0</v>
      </c>
      <c r="AJ10" s="7">
        <f>HOTEL!DV12</f>
        <v>0</v>
      </c>
      <c r="AK10" s="7">
        <f>TOTAL!K10</f>
        <v>0</v>
      </c>
    </row>
    <row r="11" spans="1:38" ht="15" x14ac:dyDescent="0.25">
      <c r="A11" s="2" t="s">
        <v>19</v>
      </c>
      <c r="B11" s="7">
        <f>TOTAL!B11</f>
        <v>10</v>
      </c>
      <c r="C11" s="97">
        <f>TOTAL!C11</f>
        <v>11</v>
      </c>
      <c r="D11" s="7">
        <v>2021</v>
      </c>
      <c r="E11" s="7">
        <f>TOTAL!E11</f>
        <v>21141</v>
      </c>
      <c r="F11" s="7">
        <f>HOTEL!R13</f>
        <v>892</v>
      </c>
      <c r="G11" s="7">
        <f>HOTEL!T13</f>
        <v>462</v>
      </c>
      <c r="H11" s="8">
        <f>HOTEL!DX13</f>
        <v>6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1">N11+W11+X11</f>
        <v>258</v>
      </c>
      <c r="M11" s="7">
        <f>HOTEL!AE13</f>
        <v>1153</v>
      </c>
      <c r="N11" s="7">
        <f>HOTEL!AI13</f>
        <v>0</v>
      </c>
      <c r="O11" s="7">
        <f>HOTEL!AM13</f>
        <v>1345</v>
      </c>
      <c r="P11" s="7">
        <f>HOTEL!AO13</f>
        <v>53513</v>
      </c>
      <c r="Q11" s="7">
        <f>HOTEL!AQ13</f>
        <v>9016</v>
      </c>
      <c r="R11" s="7">
        <f>HOTEL!AS13</f>
        <v>10704</v>
      </c>
      <c r="S11" s="7">
        <f>HOTEL!AU13</f>
        <v>15324</v>
      </c>
      <c r="T11" s="7">
        <f>HOTEL!AW13</f>
        <v>19644</v>
      </c>
      <c r="U11" s="7">
        <f>HOTEL!AY13</f>
        <v>20783</v>
      </c>
      <c r="V11" s="7">
        <f>HOTEL!BA13</f>
        <v>14003</v>
      </c>
      <c r="W11" s="7">
        <f>HOTEL!BM13</f>
        <v>18</v>
      </c>
      <c r="X11" s="7">
        <f>HOTEL!BT13</f>
        <v>240</v>
      </c>
      <c r="Y11" s="7">
        <f>HOTEL!CO13</f>
        <v>0</v>
      </c>
      <c r="Z11" s="7">
        <f>HOTEL!CR12</f>
        <v>100.03999999999999</v>
      </c>
      <c r="AA11" s="7">
        <f>HOTEL!CU13</f>
        <v>14.64</v>
      </c>
      <c r="AB11" s="8">
        <f>HOTEL!CX13</f>
        <v>46.36</v>
      </c>
      <c r="AC11" s="7">
        <f>HOTEL!DA13</f>
        <v>0</v>
      </c>
      <c r="AD11" s="8">
        <f>HOTEL!DD13</f>
        <v>19.12</v>
      </c>
      <c r="AE11" s="7">
        <f>HOTEL!DG13</f>
        <v>0</v>
      </c>
      <c r="AF11" s="7">
        <f>HOTEL!DJ13</f>
        <v>1</v>
      </c>
      <c r="AG11" s="7">
        <f>HOTEL!DM13</f>
        <v>0</v>
      </c>
      <c r="AH11" s="7">
        <f>HOTEL!DP13</f>
        <v>1</v>
      </c>
      <c r="AI11" s="7">
        <f>HOTEL!DS13</f>
        <v>2</v>
      </c>
      <c r="AJ11" s="7" t="str">
        <f>HOTEL!DV13</f>
        <v>0</v>
      </c>
      <c r="AK11" s="7">
        <f>TOTAL!K11</f>
        <v>0</v>
      </c>
    </row>
    <row r="12" spans="1:38" ht="15" x14ac:dyDescent="0.25">
      <c r="A12" s="2" t="s">
        <v>19</v>
      </c>
      <c r="B12" s="7">
        <f>TOTAL!B12</f>
        <v>11</v>
      </c>
      <c r="C12" s="97">
        <f>TOTAL!C12</f>
        <v>11</v>
      </c>
      <c r="D12" s="7">
        <v>2021</v>
      </c>
      <c r="E12" s="7">
        <f>TOTAL!E12</f>
        <v>21174</v>
      </c>
      <c r="F12" s="7">
        <f>HOTEL!R14</f>
        <v>975</v>
      </c>
      <c r="G12" s="7">
        <f>HOTEL!T14</f>
        <v>432</v>
      </c>
      <c r="H12" s="8">
        <f>HOTEL!DX14</f>
        <v>5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1"/>
        <v>257</v>
      </c>
      <c r="M12" s="7">
        <f>HOTEL!AE14</f>
        <v>1153</v>
      </c>
      <c r="N12" s="7">
        <f>HOTEL!AI14</f>
        <v>0</v>
      </c>
      <c r="O12" s="7">
        <f>HOTEL!AM14</f>
        <v>1347</v>
      </c>
      <c r="P12" s="7">
        <f>HOTEL!AO14</f>
        <v>53533</v>
      </c>
      <c r="Q12" s="7">
        <f>HOTEL!AQ14</f>
        <v>9018</v>
      </c>
      <c r="R12" s="7">
        <f>HOTEL!AS14</f>
        <v>10705</v>
      </c>
      <c r="S12" s="7">
        <f>HOTEL!AU14</f>
        <v>15336</v>
      </c>
      <c r="T12" s="7">
        <f>HOTEL!AW14</f>
        <v>19649</v>
      </c>
      <c r="U12" s="7">
        <f>HOTEL!AY14</f>
        <v>20785</v>
      </c>
      <c r="V12" s="7">
        <f>HOTEL!BA14</f>
        <v>14006</v>
      </c>
      <c r="W12" s="7">
        <f>HOTEL!BM14</f>
        <v>17</v>
      </c>
      <c r="X12" s="7">
        <f>HOTEL!BT14</f>
        <v>240</v>
      </c>
      <c r="Y12" s="7">
        <f>HOTEL!CO14</f>
        <v>0</v>
      </c>
      <c r="Z12" s="7">
        <f>HOTEL!CR13</f>
        <v>104.92</v>
      </c>
      <c r="AA12" s="7">
        <f>HOTEL!CU14</f>
        <v>12.2</v>
      </c>
      <c r="AB12" s="8">
        <f>HOTEL!CX14</f>
        <v>48.8</v>
      </c>
      <c r="AC12" s="7">
        <f>HOTEL!DA14</f>
        <v>422.12</v>
      </c>
      <c r="AD12" s="8">
        <f>HOTEL!DD14</f>
        <v>19.12</v>
      </c>
      <c r="AE12" s="7">
        <f>HOTEL!DG14</f>
        <v>1</v>
      </c>
      <c r="AF12" s="7">
        <f>HOTEL!DJ14</f>
        <v>0</v>
      </c>
      <c r="AG12" s="7">
        <f>HOTEL!DM14</f>
        <v>0</v>
      </c>
      <c r="AH12" s="7" t="str">
        <f>HOTEL!DP14</f>
        <v>0</v>
      </c>
      <c r="AI12" s="7">
        <f>HOTEL!DS14</f>
        <v>0</v>
      </c>
      <c r="AJ12" s="7">
        <f>HOTEL!DV14</f>
        <v>1</v>
      </c>
      <c r="AK12" s="7">
        <f>TOTAL!K12</f>
        <v>0</v>
      </c>
    </row>
    <row r="13" spans="1:38" ht="15" x14ac:dyDescent="0.25">
      <c r="A13" s="2" t="s">
        <v>19</v>
      </c>
      <c r="B13" s="7">
        <f>TOTAL!B13</f>
        <v>12</v>
      </c>
      <c r="C13" s="97">
        <f>TOTAL!C13</f>
        <v>11</v>
      </c>
      <c r="D13" s="7">
        <v>2021</v>
      </c>
      <c r="E13" s="7">
        <f>TOTAL!E13</f>
        <v>25715</v>
      </c>
      <c r="F13" s="7">
        <f>HOTEL!R15</f>
        <v>1781</v>
      </c>
      <c r="G13" s="7">
        <f>HOTEL!T15</f>
        <v>415</v>
      </c>
      <c r="H13" s="8">
        <f>HOTEL!DX15</f>
        <v>7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1"/>
        <v>328</v>
      </c>
      <c r="M13" s="7">
        <f>HOTEL!AE15</f>
        <v>1153</v>
      </c>
      <c r="N13" s="7">
        <f>HOTEL!AI15</f>
        <v>0</v>
      </c>
      <c r="O13" s="7">
        <f>HOTEL!AM15</f>
        <v>1348</v>
      </c>
      <c r="P13" s="7">
        <f>HOTEL!AO15</f>
        <v>53551</v>
      </c>
      <c r="Q13" s="7">
        <f>HOTEL!AQ15</f>
        <v>9021</v>
      </c>
      <c r="R13" s="7">
        <f>HOTEL!AS15</f>
        <v>10707</v>
      </c>
      <c r="S13" s="7">
        <f>HOTEL!AU15</f>
        <v>15349</v>
      </c>
      <c r="T13" s="7">
        <f>HOTEL!AW15</f>
        <v>19658</v>
      </c>
      <c r="U13" s="7">
        <f>HOTEL!AY15</f>
        <v>20787</v>
      </c>
      <c r="V13" s="7">
        <f>HOTEL!BA15</f>
        <v>14009</v>
      </c>
      <c r="W13" s="7">
        <f>HOTEL!BM15</f>
        <v>18</v>
      </c>
      <c r="X13" s="7">
        <f>HOTEL!BT15</f>
        <v>310</v>
      </c>
      <c r="Y13" s="7">
        <f>HOTEL!CO15</f>
        <v>0</v>
      </c>
      <c r="Z13" s="7">
        <f>HOTEL!CR14</f>
        <v>126.88</v>
      </c>
      <c r="AA13" s="7">
        <f>HOTEL!CU15</f>
        <v>17.079999999999998</v>
      </c>
      <c r="AB13" s="8">
        <f>HOTEL!CX15</f>
        <v>51.24</v>
      </c>
      <c r="AC13" s="7">
        <f>HOTEL!DA15</f>
        <v>0</v>
      </c>
      <c r="AD13" s="8">
        <f>HOTEL!DD15</f>
        <v>21.51</v>
      </c>
      <c r="AE13" s="7" t="str">
        <f>HOTEL!DG15</f>
        <v>0</v>
      </c>
      <c r="AF13" s="7">
        <f>HOTEL!DJ15</f>
        <v>0</v>
      </c>
      <c r="AG13" s="7">
        <f>HOTEL!DM15</f>
        <v>0</v>
      </c>
      <c r="AH13" s="7">
        <f>HOTEL!DP15</f>
        <v>1</v>
      </c>
      <c r="AI13" s="7">
        <f>HOTEL!DS15</f>
        <v>0</v>
      </c>
      <c r="AJ13" s="7">
        <f>HOTEL!DV15</f>
        <v>0</v>
      </c>
      <c r="AK13" s="7">
        <f>TOTAL!K13</f>
        <v>0</v>
      </c>
    </row>
    <row r="14" spans="1:38" ht="15" x14ac:dyDescent="0.25">
      <c r="A14" s="2" t="s">
        <v>19</v>
      </c>
      <c r="B14" s="7">
        <f>TOTAL!B14</f>
        <v>13</v>
      </c>
      <c r="C14" s="97">
        <f>TOTAL!C14</f>
        <v>11</v>
      </c>
      <c r="D14" s="7">
        <v>2021</v>
      </c>
      <c r="E14" s="7">
        <f>TOTAL!E14</f>
        <v>22601</v>
      </c>
      <c r="F14" s="7">
        <f>HOTEL!R16</f>
        <v>1142</v>
      </c>
      <c r="G14" s="7">
        <f>HOTEL!T16</f>
        <v>416</v>
      </c>
      <c r="H14" s="8">
        <f>HOTEL!DX16</f>
        <v>6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1"/>
        <v>329</v>
      </c>
      <c r="M14" s="7">
        <f>HOTEL!AE16</f>
        <v>1153</v>
      </c>
      <c r="N14" s="7">
        <f>HOTEL!AI16</f>
        <v>0</v>
      </c>
      <c r="O14" s="7">
        <f>HOTEL!AM16</f>
        <v>1353</v>
      </c>
      <c r="P14" s="7">
        <f>HOTEL!AO16</f>
        <v>53570</v>
      </c>
      <c r="Q14" s="7">
        <f>HOTEL!AQ16</f>
        <v>9023</v>
      </c>
      <c r="R14" s="7">
        <f>HOTEL!AS16</f>
        <v>10709</v>
      </c>
      <c r="S14" s="7">
        <f>HOTEL!AU16</f>
        <v>15363</v>
      </c>
      <c r="T14" s="7">
        <f>HOTEL!AW16</f>
        <v>19664</v>
      </c>
      <c r="U14" s="7">
        <f>HOTEL!AY16</f>
        <v>20789</v>
      </c>
      <c r="V14" s="7">
        <f>HOTEL!BA16</f>
        <v>14012</v>
      </c>
      <c r="W14" s="7">
        <f>HOTEL!BM16</f>
        <v>19</v>
      </c>
      <c r="X14" s="7">
        <f>HOTEL!BT16</f>
        <v>310</v>
      </c>
      <c r="Y14" s="7">
        <f>HOTEL!CO16</f>
        <v>0</v>
      </c>
      <c r="Z14" s="7">
        <f>HOTEL!CR15</f>
        <v>107.36</v>
      </c>
      <c r="AA14" s="7">
        <f>HOTEL!CU16</f>
        <v>17.079999999999998</v>
      </c>
      <c r="AB14" s="8">
        <f>HOTEL!CX16</f>
        <v>51.24</v>
      </c>
      <c r="AC14" s="7">
        <f>HOTEL!DA16</f>
        <v>392.84</v>
      </c>
      <c r="AD14" s="8">
        <f>HOTEL!DD16</f>
        <v>19.12</v>
      </c>
      <c r="AE14" s="7">
        <f>HOTEL!DG16</f>
        <v>0</v>
      </c>
      <c r="AF14" s="7">
        <f>HOTEL!DJ16</f>
        <v>1</v>
      </c>
      <c r="AG14" s="7">
        <f>HOTEL!DM16</f>
        <v>0</v>
      </c>
      <c r="AH14" s="7">
        <f>HOTEL!DP16</f>
        <v>0</v>
      </c>
      <c r="AI14" s="7">
        <f>HOTEL!DS16</f>
        <v>1</v>
      </c>
      <c r="AJ14" s="7" t="str">
        <f>HOTEL!DV16</f>
        <v>0</v>
      </c>
      <c r="AK14" s="7">
        <f>TOTAL!K14</f>
        <v>0</v>
      </c>
    </row>
    <row r="15" spans="1:38" ht="15" x14ac:dyDescent="0.25">
      <c r="A15" s="2" t="s">
        <v>19</v>
      </c>
      <c r="B15" s="7">
        <f>TOTAL!B15</f>
        <v>14</v>
      </c>
      <c r="C15" s="97">
        <f>TOTAL!C15</f>
        <v>11</v>
      </c>
      <c r="D15" s="7">
        <v>2021</v>
      </c>
      <c r="E15" s="8">
        <f>TOTAL!E15</f>
        <v>21467</v>
      </c>
      <c r="F15" s="7">
        <f>HOTEL!R17</f>
        <v>743</v>
      </c>
      <c r="G15" s="7">
        <f>HOTEL!T17</f>
        <v>424</v>
      </c>
      <c r="H15" s="8">
        <f>HOTEL!DX17</f>
        <v>5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1"/>
        <v>297</v>
      </c>
      <c r="M15" s="7">
        <f>HOTEL!AE17</f>
        <v>1153</v>
      </c>
      <c r="N15" s="7">
        <f>HOTEL!AI17</f>
        <v>0</v>
      </c>
      <c r="O15" s="7">
        <f>HOTEL!AM17</f>
        <v>1354</v>
      </c>
      <c r="P15" s="7">
        <f>HOTEL!AO17</f>
        <v>53587</v>
      </c>
      <c r="Q15" s="7">
        <f>HOTEL!AQ17</f>
        <v>9025</v>
      </c>
      <c r="R15" s="7">
        <f>HOTEL!AS17</f>
        <v>10711</v>
      </c>
      <c r="S15" s="7">
        <f>HOTEL!AU17</f>
        <v>15376</v>
      </c>
      <c r="T15" s="7">
        <f>HOTEL!AW17</f>
        <v>19670</v>
      </c>
      <c r="U15" s="7">
        <f>HOTEL!AY17</f>
        <v>20790</v>
      </c>
      <c r="V15" s="7">
        <f>HOTEL!BA17</f>
        <v>14015</v>
      </c>
      <c r="W15" s="7">
        <f>HOTEL!BM17</f>
        <v>17</v>
      </c>
      <c r="X15" s="7">
        <f>HOTEL!BT17</f>
        <v>280</v>
      </c>
      <c r="Y15" s="7">
        <f>HOTEL!CO17</f>
        <v>0</v>
      </c>
      <c r="Z15" s="7">
        <f>HOTEL!CR16</f>
        <v>100.03999999999999</v>
      </c>
      <c r="AA15" s="7">
        <f>HOTEL!CU17</f>
        <v>12.2</v>
      </c>
      <c r="AB15" s="8">
        <f>HOTEL!CX17</f>
        <v>41.48</v>
      </c>
      <c r="AC15" s="7">
        <f>HOTEL!DA17</f>
        <v>151.28</v>
      </c>
      <c r="AD15" s="8">
        <f>HOTEL!DD17</f>
        <v>19.12</v>
      </c>
      <c r="AE15" s="7">
        <f>HOTEL!DG17</f>
        <v>0</v>
      </c>
      <c r="AF15" s="7" t="str">
        <f>HOTEL!DJ17</f>
        <v>0</v>
      </c>
      <c r="AG15" s="7" t="str">
        <f>HOTEL!DM17</f>
        <v>0</v>
      </c>
      <c r="AH15" s="7" t="str">
        <f>HOTEL!DP17</f>
        <v>0</v>
      </c>
      <c r="AI15" s="7" t="str">
        <f>HOTEL!DS17</f>
        <v>0</v>
      </c>
      <c r="AJ15" s="7">
        <f>HOTEL!DV17</f>
        <v>2</v>
      </c>
      <c r="AK15" s="7">
        <f>TOTAL!K15</f>
        <v>0</v>
      </c>
    </row>
    <row r="16" spans="1:38" ht="15" x14ac:dyDescent="0.25">
      <c r="A16" s="2" t="s">
        <v>19</v>
      </c>
      <c r="B16" s="7">
        <f>TOTAL!B16</f>
        <v>15</v>
      </c>
      <c r="C16" s="97">
        <f>TOTAL!C16</f>
        <v>11</v>
      </c>
      <c r="D16" s="7">
        <v>2021</v>
      </c>
      <c r="E16" s="7">
        <f>TOTAL!E16</f>
        <v>16829</v>
      </c>
      <c r="F16" s="7">
        <f>HOTEL!R18</f>
        <v>1076</v>
      </c>
      <c r="G16" s="7">
        <f>HOTEL!T18</f>
        <v>414</v>
      </c>
      <c r="H16" s="8">
        <f>HOTEL!DX18</f>
        <v>6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1"/>
        <v>247</v>
      </c>
      <c r="M16" s="7">
        <f>HOTEL!AE18</f>
        <v>1154</v>
      </c>
      <c r="N16" s="7">
        <f>HOTEL!AI18</f>
        <v>0</v>
      </c>
      <c r="O16" s="7">
        <f>HOTEL!AM18</f>
        <v>1355</v>
      </c>
      <c r="P16" s="7">
        <f>HOTEL!AO18</f>
        <v>53602</v>
      </c>
      <c r="Q16" s="7">
        <f>HOTEL!AQ18</f>
        <v>9027</v>
      </c>
      <c r="R16" s="7">
        <f>HOTEL!AS18</f>
        <v>10712</v>
      </c>
      <c r="S16" s="7">
        <f>HOTEL!AU18</f>
        <v>15388</v>
      </c>
      <c r="T16" s="7">
        <f>HOTEL!AW18</f>
        <v>19677</v>
      </c>
      <c r="U16" s="7">
        <f>HOTEL!AY18</f>
        <v>20792</v>
      </c>
      <c r="V16" s="7">
        <f>HOTEL!BA18</f>
        <v>14018</v>
      </c>
      <c r="W16" s="7">
        <f>HOTEL!BM18</f>
        <v>17</v>
      </c>
      <c r="X16" s="7">
        <f>HOTEL!BT18</f>
        <v>230</v>
      </c>
      <c r="Y16" s="7">
        <f>HOTEL!CO18</f>
        <v>7043</v>
      </c>
      <c r="Z16" s="7">
        <f>HOTEL!CR17</f>
        <v>107.36</v>
      </c>
      <c r="AA16" s="7">
        <f>HOTEL!CU18</f>
        <v>19.52</v>
      </c>
      <c r="AB16" s="8">
        <f>HOTEL!CX18</f>
        <v>46.36</v>
      </c>
      <c r="AC16" s="7">
        <f>HOTEL!DA18</f>
        <v>0</v>
      </c>
      <c r="AD16" s="8">
        <f>HOTEL!DD18</f>
        <v>16.73</v>
      </c>
      <c r="AE16" s="7">
        <f>HOTEL!DG18</f>
        <v>1</v>
      </c>
      <c r="AF16" s="7">
        <f>HOTEL!DJ18</f>
        <v>2</v>
      </c>
      <c r="AG16" s="7">
        <f>HOTEL!DM18</f>
        <v>1</v>
      </c>
      <c r="AH16" s="7">
        <f>HOTEL!DP18</f>
        <v>1</v>
      </c>
      <c r="AI16" s="7" t="str">
        <f>HOTEL!DS18</f>
        <v>0</v>
      </c>
      <c r="AJ16" s="7" t="str">
        <f>HOTEL!DV18</f>
        <v>0</v>
      </c>
      <c r="AK16" s="7">
        <f>TOTAL!K16</f>
        <v>0</v>
      </c>
    </row>
    <row r="17" spans="1:37" ht="15" x14ac:dyDescent="0.25">
      <c r="A17" s="2" t="s">
        <v>19</v>
      </c>
      <c r="B17" s="7">
        <f>TOTAL!B17</f>
        <v>16</v>
      </c>
      <c r="C17" s="97">
        <f>TOTAL!C17</f>
        <v>11</v>
      </c>
      <c r="D17" s="7">
        <v>2021</v>
      </c>
      <c r="E17" s="7">
        <f>TOTAL!E17</f>
        <v>28884</v>
      </c>
      <c r="F17" s="7">
        <f>HOTEL!R19</f>
        <v>1616</v>
      </c>
      <c r="G17" s="7">
        <f>HOTEL!T19</f>
        <v>412</v>
      </c>
      <c r="H17" s="8">
        <f>HOTEL!DX19</f>
        <v>3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1"/>
        <v>256</v>
      </c>
      <c r="M17" s="7">
        <f>HOTEL!AE19</f>
        <v>1156</v>
      </c>
      <c r="N17" s="7">
        <f>HOTEL!AI19</f>
        <v>0</v>
      </c>
      <c r="O17" s="7">
        <f>HOTEL!AM19</f>
        <v>1356</v>
      </c>
      <c r="P17" s="7">
        <f>HOTEL!AO19</f>
        <v>53622</v>
      </c>
      <c r="Q17" s="7">
        <f>HOTEL!AQ19</f>
        <v>9030</v>
      </c>
      <c r="R17" s="7">
        <f>HOTEL!AS19</f>
        <v>10714</v>
      </c>
      <c r="S17" s="7">
        <f>HOTEL!AU19</f>
        <v>15400</v>
      </c>
      <c r="T17" s="7">
        <f>HOTEL!AW19</f>
        <v>19683</v>
      </c>
      <c r="U17" s="7">
        <f>HOTEL!AY19</f>
        <v>20793</v>
      </c>
      <c r="V17" s="7">
        <f>HOTEL!BA19</f>
        <v>14021</v>
      </c>
      <c r="W17" s="7">
        <f>HOTEL!BM19</f>
        <v>16</v>
      </c>
      <c r="X17" s="7">
        <f>HOTEL!BT19</f>
        <v>240</v>
      </c>
      <c r="Y17" s="7">
        <f>HOTEL!CO19</f>
        <v>0</v>
      </c>
      <c r="Z17" s="7">
        <f>HOTEL!CR18</f>
        <v>112.24</v>
      </c>
      <c r="AA17" s="7">
        <f>HOTEL!CU19</f>
        <v>17.079999999999998</v>
      </c>
      <c r="AB17" s="8">
        <f>HOTEL!CX19</f>
        <v>51.24</v>
      </c>
      <c r="AC17" s="7">
        <f>HOTEL!DA19</f>
        <v>373.32</v>
      </c>
      <c r="AD17" s="8">
        <f>HOTEL!DD19</f>
        <v>19.12</v>
      </c>
      <c r="AE17" s="7" t="str">
        <f>HOTEL!DG19</f>
        <v>0</v>
      </c>
      <c r="AF17" s="7" t="str">
        <f>HOTEL!DJ19</f>
        <v>0</v>
      </c>
      <c r="AG17" s="7">
        <f>HOTEL!DM19</f>
        <v>0</v>
      </c>
      <c r="AH17" s="7" t="str">
        <f>HOTEL!DP19</f>
        <v>0</v>
      </c>
      <c r="AI17" s="7">
        <f>HOTEL!DS19</f>
        <v>1</v>
      </c>
      <c r="AJ17" s="7">
        <f>HOTEL!DV19</f>
        <v>0</v>
      </c>
      <c r="AK17" s="7">
        <f>TOTAL!K17</f>
        <v>0</v>
      </c>
    </row>
    <row r="18" spans="1:37" ht="15" x14ac:dyDescent="0.25">
      <c r="A18" s="2" t="s">
        <v>19</v>
      </c>
      <c r="B18" s="7">
        <f>TOTAL!B18</f>
        <v>17</v>
      </c>
      <c r="C18" s="97">
        <f>TOTAL!C18</f>
        <v>11</v>
      </c>
      <c r="D18" s="7">
        <v>2021</v>
      </c>
      <c r="E18" s="7">
        <f>TOTAL!E18</f>
        <v>24117</v>
      </c>
      <c r="F18" s="7">
        <f>HOTEL!R20</f>
        <v>2568</v>
      </c>
      <c r="G18" s="7">
        <f>HOTEL!T20</f>
        <v>430</v>
      </c>
      <c r="H18" s="8">
        <f>HOTEL!DX20</f>
        <v>6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1"/>
        <v>263</v>
      </c>
      <c r="M18" s="7">
        <f>HOTEL!AE20</f>
        <v>1156</v>
      </c>
      <c r="N18" s="7">
        <f>HOTEL!AI20</f>
        <v>0</v>
      </c>
      <c r="O18" s="7">
        <f>HOTEL!AM20</f>
        <v>1357</v>
      </c>
      <c r="P18" s="7">
        <f>HOTEL!AO20</f>
        <v>53640</v>
      </c>
      <c r="Q18" s="7">
        <f>HOTEL!AQ20</f>
        <v>9032</v>
      </c>
      <c r="R18" s="7">
        <f>HOTEL!AS20</f>
        <v>10716</v>
      </c>
      <c r="S18" s="7">
        <f>HOTEL!AU20</f>
        <v>15416</v>
      </c>
      <c r="T18" s="7">
        <f>HOTEL!AW20</f>
        <v>19690</v>
      </c>
      <c r="U18" s="7">
        <f>HOTEL!AY20</f>
        <v>20796</v>
      </c>
      <c r="V18" s="7">
        <f>HOTEL!BA20</f>
        <v>14025</v>
      </c>
      <c r="W18" s="7">
        <f>HOTEL!BM20</f>
        <v>23</v>
      </c>
      <c r="X18" s="7">
        <f>HOTEL!BT20</f>
        <v>240</v>
      </c>
      <c r="Y18" s="7">
        <f>HOTEL!CO20</f>
        <v>0</v>
      </c>
      <c r="Z18" s="7">
        <f>HOTEL!CR19</f>
        <v>112.24</v>
      </c>
      <c r="AA18" s="7">
        <f>HOTEL!CU20</f>
        <v>17.079999999999998</v>
      </c>
      <c r="AB18" s="8">
        <f>HOTEL!CX20</f>
        <v>46.36</v>
      </c>
      <c r="AC18" s="7">
        <f>HOTEL!DA20</f>
        <v>129.32</v>
      </c>
      <c r="AD18" s="8">
        <f>HOTEL!DD20</f>
        <v>19.12</v>
      </c>
      <c r="AE18" s="7">
        <f>HOTEL!DG20</f>
        <v>1</v>
      </c>
      <c r="AF18" s="7">
        <f>HOTEL!DJ20</f>
        <v>1</v>
      </c>
      <c r="AG18" s="7">
        <f>HOTEL!DM20</f>
        <v>0</v>
      </c>
      <c r="AH18" s="7">
        <f>HOTEL!DP20</f>
        <v>1</v>
      </c>
      <c r="AI18" s="7">
        <f>HOTEL!DS20</f>
        <v>0</v>
      </c>
      <c r="AJ18" s="7">
        <f>HOTEL!DV20</f>
        <v>0</v>
      </c>
      <c r="AK18" s="7">
        <f>TOTAL!K18</f>
        <v>0</v>
      </c>
    </row>
    <row r="19" spans="1:37" ht="15" x14ac:dyDescent="0.25">
      <c r="A19" s="2" t="s">
        <v>19</v>
      </c>
      <c r="B19" s="7">
        <f>TOTAL!B19</f>
        <v>18</v>
      </c>
      <c r="C19" s="97">
        <f>TOTAL!C19</f>
        <v>11</v>
      </c>
      <c r="D19" s="7">
        <v>2021</v>
      </c>
      <c r="E19" s="7">
        <f>TOTAL!E19</f>
        <v>21672</v>
      </c>
      <c r="F19" s="7">
        <f>HOTEL!R21</f>
        <v>1654</v>
      </c>
      <c r="G19" s="7">
        <f>HOTEL!T21</f>
        <v>510</v>
      </c>
      <c r="H19" s="8">
        <f>HOTEL!DX21</f>
        <v>6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1"/>
        <v>264</v>
      </c>
      <c r="M19" s="7">
        <f>HOTEL!AE21</f>
        <v>1156</v>
      </c>
      <c r="N19" s="7">
        <f>HOTEL!AI21</f>
        <v>0</v>
      </c>
      <c r="O19" s="7">
        <f>HOTEL!AM21</f>
        <v>1360</v>
      </c>
      <c r="P19" s="7">
        <f>HOTEL!AO21</f>
        <v>53658</v>
      </c>
      <c r="Q19" s="7">
        <f>HOTEL!AQ21</f>
        <v>9035</v>
      </c>
      <c r="R19" s="7">
        <f>HOTEL!AS21</f>
        <v>10717</v>
      </c>
      <c r="S19" s="7">
        <f>HOTEL!AU21</f>
        <v>15425</v>
      </c>
      <c r="T19" s="7">
        <f>HOTEL!AW21</f>
        <v>19697</v>
      </c>
      <c r="U19" s="7">
        <f>HOTEL!AY21</f>
        <v>20798</v>
      </c>
      <c r="V19" s="7">
        <f>HOTEL!BA21</f>
        <v>14028</v>
      </c>
      <c r="W19" s="7">
        <f>HOTEL!BM21</f>
        <v>14</v>
      </c>
      <c r="X19" s="7">
        <f>HOTEL!BT21</f>
        <v>250</v>
      </c>
      <c r="Y19" s="7">
        <f>HOTEL!CO21</f>
        <v>0</v>
      </c>
      <c r="Z19" s="7">
        <f>HOTEL!CR20</f>
        <v>109.8</v>
      </c>
      <c r="AA19" s="7">
        <f>HOTEL!CU21</f>
        <v>17.079999999999998</v>
      </c>
      <c r="AB19" s="8">
        <f>HOTEL!CX21</f>
        <v>53.68</v>
      </c>
      <c r="AC19" s="7">
        <f>HOTEL!DA21</f>
        <v>122</v>
      </c>
      <c r="AD19" s="8">
        <f>HOTEL!DD21</f>
        <v>16.73</v>
      </c>
      <c r="AE19" s="7">
        <f>HOTEL!DG21</f>
        <v>1</v>
      </c>
      <c r="AF19" s="7">
        <f>HOTEL!DJ21</f>
        <v>0</v>
      </c>
      <c r="AG19" s="7">
        <f>HOTEL!DM21</f>
        <v>0</v>
      </c>
      <c r="AH19" s="7" t="str">
        <f>HOTEL!DP21</f>
        <v>0</v>
      </c>
      <c r="AI19" s="7">
        <f>HOTEL!DS21</f>
        <v>0</v>
      </c>
      <c r="AJ19" s="7">
        <f>HOTEL!DV21</f>
        <v>0</v>
      </c>
      <c r="AK19" s="7">
        <f>TOTAL!K19</f>
        <v>0</v>
      </c>
    </row>
    <row r="20" spans="1:37" ht="15" x14ac:dyDescent="0.25">
      <c r="A20" s="2" t="s">
        <v>19</v>
      </c>
      <c r="B20" s="7">
        <f>TOTAL!B20</f>
        <v>19</v>
      </c>
      <c r="C20" s="97">
        <f>TOTAL!C20</f>
        <v>11</v>
      </c>
      <c r="D20" s="7">
        <v>2021</v>
      </c>
      <c r="E20" s="7">
        <f>TOTAL!E20</f>
        <v>19758</v>
      </c>
      <c r="F20" s="7">
        <f>HOTEL!R22</f>
        <v>738</v>
      </c>
      <c r="G20" s="7">
        <f>HOTEL!T22</f>
        <v>305</v>
      </c>
      <c r="H20" s="8">
        <f>HOTEL!DX22</f>
        <v>5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1"/>
        <v>275</v>
      </c>
      <c r="M20" s="7">
        <f>HOTEL!AE22</f>
        <v>1156</v>
      </c>
      <c r="N20" s="7">
        <f>HOTEL!AI22</f>
        <v>0</v>
      </c>
      <c r="O20" s="7">
        <f>HOTEL!AM22</f>
        <v>1373</v>
      </c>
      <c r="P20" s="7">
        <f>HOTEL!AO22</f>
        <v>53674</v>
      </c>
      <c r="Q20" s="7">
        <f>HOTEL!AQ22</f>
        <v>9038</v>
      </c>
      <c r="R20" s="7">
        <f>HOTEL!AS22</f>
        <v>10718</v>
      </c>
      <c r="S20" s="7">
        <f>HOTEL!AU22</f>
        <v>15435</v>
      </c>
      <c r="T20" s="7">
        <f>HOTEL!AW22</f>
        <v>19703</v>
      </c>
      <c r="U20" s="7">
        <f>HOTEL!AY22</f>
        <v>20800</v>
      </c>
      <c r="V20" s="7">
        <f>HOTEL!BA22</f>
        <v>14031</v>
      </c>
      <c r="W20" s="7">
        <f>HOTEL!BM22</f>
        <v>15</v>
      </c>
      <c r="X20" s="7">
        <f>HOTEL!BT22</f>
        <v>260</v>
      </c>
      <c r="Y20" s="7">
        <f>HOTEL!CO22</f>
        <v>0</v>
      </c>
      <c r="Z20" s="7">
        <f>HOTEL!CR21</f>
        <v>104.92</v>
      </c>
      <c r="AA20" s="7">
        <f>HOTEL!CU22</f>
        <v>12.2</v>
      </c>
      <c r="AB20" s="8">
        <f>HOTEL!CX22</f>
        <v>51.24</v>
      </c>
      <c r="AC20" s="7">
        <f>HOTEL!DA22</f>
        <v>109.8</v>
      </c>
      <c r="AD20" s="8">
        <f>HOTEL!DD22</f>
        <v>16.73</v>
      </c>
      <c r="AE20" s="7" t="str">
        <f>HOTEL!DG22</f>
        <v>0</v>
      </c>
      <c r="AF20" s="7" t="str">
        <f>HOTEL!DJ22</f>
        <v>0</v>
      </c>
      <c r="AG20" s="7">
        <f>HOTEL!DM22</f>
        <v>0</v>
      </c>
      <c r="AH20" s="7">
        <f>HOTEL!DP22</f>
        <v>0</v>
      </c>
      <c r="AI20" s="7" t="str">
        <f>HOTEL!DS22</f>
        <v>0</v>
      </c>
      <c r="AJ20" s="7" t="str">
        <f>HOTEL!DV22</f>
        <v>0</v>
      </c>
      <c r="AK20" s="7">
        <f>TOTAL!K20</f>
        <v>0</v>
      </c>
    </row>
    <row r="21" spans="1:37" ht="15" x14ac:dyDescent="0.25">
      <c r="A21" s="2" t="s">
        <v>19</v>
      </c>
      <c r="B21" s="7">
        <f>TOTAL!B21</f>
        <v>20</v>
      </c>
      <c r="C21" s="97">
        <f>TOTAL!C21</f>
        <v>11</v>
      </c>
      <c r="D21" s="7">
        <v>2021</v>
      </c>
      <c r="E21" s="7">
        <f>TOTAL!E21</f>
        <v>23858</v>
      </c>
      <c r="F21" s="7">
        <f>HOTEL!R23</f>
        <v>1080</v>
      </c>
      <c r="G21" s="7">
        <f>HOTEL!T23</f>
        <v>454</v>
      </c>
      <c r="H21" s="8">
        <f>HOTEL!DX23</f>
        <v>6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1"/>
        <v>289</v>
      </c>
      <c r="M21" s="7">
        <f>HOTEL!AE23</f>
        <v>1156</v>
      </c>
      <c r="N21" s="7">
        <f>HOTEL!AI23</f>
        <v>0</v>
      </c>
      <c r="O21" s="7">
        <f>HOTEL!AM23</f>
        <v>1381</v>
      </c>
      <c r="P21" s="7">
        <f>HOTEL!AO23</f>
        <v>53698</v>
      </c>
      <c r="Q21" s="7">
        <f>HOTEL!AQ23</f>
        <v>9041</v>
      </c>
      <c r="R21" s="7">
        <f>HOTEL!AS23</f>
        <v>10720</v>
      </c>
      <c r="S21" s="7">
        <f>HOTEL!AU23</f>
        <v>15449</v>
      </c>
      <c r="T21" s="7">
        <f>HOTEL!AW23</f>
        <v>19710</v>
      </c>
      <c r="U21" s="7">
        <f>HOTEL!AY23</f>
        <v>20802</v>
      </c>
      <c r="V21" s="7">
        <f>HOTEL!BA23</f>
        <v>14034</v>
      </c>
      <c r="W21" s="7">
        <f>HOTEL!BM23</f>
        <v>19</v>
      </c>
      <c r="X21" s="7">
        <f>HOTEL!BT23</f>
        <v>270</v>
      </c>
      <c r="Y21" s="7">
        <f>HOTEL!CO23</f>
        <v>0</v>
      </c>
      <c r="Z21" s="7">
        <f>HOTEL!CR22</f>
        <v>97.6</v>
      </c>
      <c r="AA21" s="7">
        <f>HOTEL!CU23</f>
        <v>14.64</v>
      </c>
      <c r="AB21" s="8">
        <f>HOTEL!CX23</f>
        <v>61</v>
      </c>
      <c r="AC21" s="7">
        <f>HOTEL!DA23</f>
        <v>124.44</v>
      </c>
      <c r="AD21" s="8">
        <f>HOTEL!DD23</f>
        <v>19.12</v>
      </c>
      <c r="AE21" s="7">
        <f>HOTEL!DG23</f>
        <v>1</v>
      </c>
      <c r="AF21" s="7">
        <f>HOTEL!DJ23</f>
        <v>1</v>
      </c>
      <c r="AG21" s="7">
        <f>HOTEL!DM23</f>
        <v>0</v>
      </c>
      <c r="AH21" s="7">
        <f>HOTEL!DP23</f>
        <v>0</v>
      </c>
      <c r="AI21" s="7">
        <f>HOTEL!DS23</f>
        <v>1</v>
      </c>
      <c r="AJ21" s="7">
        <f>HOTEL!DV23</f>
        <v>0</v>
      </c>
      <c r="AK21" s="7">
        <f>TOTAL!K21</f>
        <v>0</v>
      </c>
    </row>
    <row r="22" spans="1:37" ht="15" x14ac:dyDescent="0.25">
      <c r="A22" s="2" t="s">
        <v>19</v>
      </c>
      <c r="B22" s="7">
        <f>TOTAL!B22</f>
        <v>21</v>
      </c>
      <c r="C22" s="97">
        <f>TOTAL!C22</f>
        <v>11</v>
      </c>
      <c r="D22" s="7">
        <v>2021</v>
      </c>
      <c r="E22" s="7">
        <f>TOTAL!E22</f>
        <v>24373</v>
      </c>
      <c r="F22" s="7">
        <f>HOTEL!R24</f>
        <v>902</v>
      </c>
      <c r="G22" s="7">
        <f>HOTEL!T24</f>
        <v>422</v>
      </c>
      <c r="H22" s="8">
        <f>HOTEL!DX24</f>
        <v>7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1"/>
        <v>284</v>
      </c>
      <c r="M22" s="7">
        <f>HOTEL!AE24</f>
        <v>1156</v>
      </c>
      <c r="N22" s="7">
        <f>HOTEL!AI24</f>
        <v>0</v>
      </c>
      <c r="O22" s="7">
        <f>HOTEL!AM24</f>
        <v>1384</v>
      </c>
      <c r="P22" s="7">
        <f>HOTEL!AO24</f>
        <v>53710</v>
      </c>
      <c r="Q22" s="7">
        <f>HOTEL!AQ24</f>
        <v>9043</v>
      </c>
      <c r="R22" s="7">
        <f>HOTEL!AS24</f>
        <v>10725</v>
      </c>
      <c r="S22" s="7">
        <f>HOTEL!AU24</f>
        <v>15467</v>
      </c>
      <c r="T22" s="7">
        <f>HOTEL!AW24</f>
        <v>19719</v>
      </c>
      <c r="U22" s="7">
        <f>HOTEL!AY24</f>
        <v>20805</v>
      </c>
      <c r="V22" s="7">
        <f>HOTEL!BA24</f>
        <v>14037</v>
      </c>
      <c r="W22" s="7">
        <f>HOTEL!BM24</f>
        <v>24</v>
      </c>
      <c r="X22" s="7">
        <f>HOTEL!BT24</f>
        <v>260</v>
      </c>
      <c r="Y22" s="7">
        <f>HOTEL!CO24</f>
        <v>0</v>
      </c>
      <c r="Z22" s="7">
        <f>HOTEL!CR23</f>
        <v>75.64</v>
      </c>
      <c r="AA22" s="7">
        <f>HOTEL!CU24</f>
        <v>17.079999999999998</v>
      </c>
      <c r="AB22" s="8">
        <f>HOTEL!CX24</f>
        <v>48.8</v>
      </c>
      <c r="AC22" s="7">
        <f>HOTEL!DA24</f>
        <v>851.56</v>
      </c>
      <c r="AD22" s="8">
        <f>HOTEL!DD24</f>
        <v>21.51</v>
      </c>
      <c r="AE22" s="7">
        <f>HOTEL!DG24</f>
        <v>3</v>
      </c>
      <c r="AF22" s="7">
        <f>HOTEL!DJ24</f>
        <v>2</v>
      </c>
      <c r="AG22" s="7">
        <f>HOTEL!DM24</f>
        <v>0</v>
      </c>
      <c r="AH22" s="7">
        <f>HOTEL!DP24</f>
        <v>3</v>
      </c>
      <c r="AI22" s="7">
        <f>HOTEL!DS24</f>
        <v>2</v>
      </c>
      <c r="AJ22" s="7">
        <f>HOTEL!DV24</f>
        <v>3</v>
      </c>
      <c r="AK22" s="7">
        <f>TOTAL!K22</f>
        <v>0</v>
      </c>
    </row>
    <row r="23" spans="1:37" ht="15" x14ac:dyDescent="0.25">
      <c r="A23" s="2" t="s">
        <v>19</v>
      </c>
      <c r="B23" s="7">
        <f>TOTAL!B23</f>
        <v>22</v>
      </c>
      <c r="C23" s="97">
        <f>TOTAL!C23</f>
        <v>11</v>
      </c>
      <c r="D23" s="7">
        <v>2021</v>
      </c>
      <c r="E23" s="7">
        <f>TOTAL!E23</f>
        <v>22117</v>
      </c>
      <c r="F23" s="7">
        <f>HOTEL!R25</f>
        <v>1036</v>
      </c>
      <c r="G23" s="7">
        <f>HOTEL!T25</f>
        <v>436</v>
      </c>
      <c r="H23" s="8">
        <f>HOTEL!DX25</f>
        <v>5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1"/>
        <v>269</v>
      </c>
      <c r="M23" s="7">
        <f>HOTEL!AE25</f>
        <v>1156</v>
      </c>
      <c r="N23" s="7">
        <f>HOTEL!AI25</f>
        <v>0</v>
      </c>
      <c r="O23" s="7">
        <f>HOTEL!AM25</f>
        <v>1385</v>
      </c>
      <c r="P23" s="7">
        <f>HOTEL!AO25</f>
        <v>53729</v>
      </c>
      <c r="Q23" s="7">
        <f>HOTEL!AQ25</f>
        <v>9046</v>
      </c>
      <c r="R23" s="7">
        <f>HOTEL!AS25</f>
        <v>10733</v>
      </c>
      <c r="S23" s="7">
        <f>HOTEL!AU25</f>
        <v>15481</v>
      </c>
      <c r="T23" s="7">
        <f>HOTEL!AW25</f>
        <v>19727</v>
      </c>
      <c r="U23" s="7">
        <f>HOTEL!AY25</f>
        <v>20807</v>
      </c>
      <c r="V23" s="7">
        <f>HOTEL!BA25</f>
        <v>14040</v>
      </c>
      <c r="W23" s="7">
        <f>HOTEL!BM25</f>
        <v>19</v>
      </c>
      <c r="X23" s="7">
        <f>HOTEL!BT25</f>
        <v>250</v>
      </c>
      <c r="Y23" s="7">
        <f>HOTEL!CO25</f>
        <v>0</v>
      </c>
      <c r="Z23" s="7">
        <f>HOTEL!CR24</f>
        <v>131.76</v>
      </c>
      <c r="AA23" s="7">
        <f>HOTEL!CU25</f>
        <v>19.52</v>
      </c>
      <c r="AB23" s="8">
        <f>HOTEL!CX25</f>
        <v>53.68</v>
      </c>
      <c r="AC23" s="7">
        <f>HOTEL!DA25</f>
        <v>851.56</v>
      </c>
      <c r="AD23" s="8">
        <f>HOTEL!DD25</f>
        <v>16.73</v>
      </c>
      <c r="AE23" s="7" t="str">
        <f>HOTEL!DG25</f>
        <v>0</v>
      </c>
      <c r="AF23" s="7">
        <f>HOTEL!DJ25</f>
        <v>1</v>
      </c>
      <c r="AG23" s="7">
        <f>HOTEL!DM25</f>
        <v>0</v>
      </c>
      <c r="AH23" s="7" t="str">
        <f>HOTEL!DP25</f>
        <v>0</v>
      </c>
      <c r="AI23" s="7" t="str">
        <f>HOTEL!DS25</f>
        <v>0</v>
      </c>
      <c r="AJ23" s="7" t="str">
        <f>HOTEL!DV25</f>
        <v>0</v>
      </c>
      <c r="AK23" s="7">
        <f>TOTAL!K23</f>
        <v>0</v>
      </c>
    </row>
    <row r="24" spans="1:37" ht="15" x14ac:dyDescent="0.25">
      <c r="A24" s="2" t="s">
        <v>19</v>
      </c>
      <c r="B24" s="7">
        <f>TOTAL!B24</f>
        <v>23</v>
      </c>
      <c r="C24" s="97">
        <f>TOTAL!C24</f>
        <v>11</v>
      </c>
      <c r="D24" s="7">
        <v>2021</v>
      </c>
      <c r="E24" s="7">
        <f>TOTAL!E24</f>
        <v>22520</v>
      </c>
      <c r="F24" s="7">
        <f>HOTEL!R26</f>
        <v>1211</v>
      </c>
      <c r="G24" s="7">
        <f>HOTEL!T26</f>
        <v>439</v>
      </c>
      <c r="H24" s="8">
        <f>HOTEL!DX26</f>
        <v>6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1"/>
        <v>240</v>
      </c>
      <c r="M24" s="7">
        <f>HOTEL!AE26</f>
        <v>1156</v>
      </c>
      <c r="N24" s="7">
        <f>HOTEL!AI26</f>
        <v>0</v>
      </c>
      <c r="O24" s="7">
        <f>HOTEL!AM26</f>
        <v>1386</v>
      </c>
      <c r="P24" s="7">
        <f>HOTEL!AO26</f>
        <v>53750</v>
      </c>
      <c r="Q24" s="7">
        <f>HOTEL!AQ26</f>
        <v>9048</v>
      </c>
      <c r="R24" s="7">
        <f>HOTEL!AS26</f>
        <v>10735</v>
      </c>
      <c r="S24" s="7">
        <f>HOTEL!AU26</f>
        <v>15495</v>
      </c>
      <c r="T24" s="7">
        <f>HOTEL!AW26</f>
        <v>19734</v>
      </c>
      <c r="U24" s="7">
        <f>HOTEL!AY26</f>
        <v>20810</v>
      </c>
      <c r="V24" s="7">
        <f>HOTEL!BA26</f>
        <v>14043</v>
      </c>
      <c r="W24" s="7">
        <f>HOTEL!BM26</f>
        <v>20</v>
      </c>
      <c r="X24" s="7">
        <f>HOTEL!BT26</f>
        <v>220</v>
      </c>
      <c r="Y24" s="7">
        <f>HOTEL!CO26</f>
        <v>7608</v>
      </c>
      <c r="Z24" s="7">
        <f>HOTEL!CR25</f>
        <v>102.48</v>
      </c>
      <c r="AA24" s="7">
        <f>HOTEL!CU26</f>
        <v>14.64</v>
      </c>
      <c r="AB24" s="8">
        <f>HOTEL!CX26</f>
        <v>53.68</v>
      </c>
      <c r="AC24" s="7">
        <f>HOTEL!DA26</f>
        <v>6012.16</v>
      </c>
      <c r="AD24" s="8">
        <f>HOTEL!DD26</f>
        <v>19.12</v>
      </c>
      <c r="AE24" s="7">
        <f>HOTEL!DG26</f>
        <v>1</v>
      </c>
      <c r="AF24" s="7" t="str">
        <f>HOTEL!DJ26</f>
        <v>0</v>
      </c>
      <c r="AG24" s="7">
        <f>HOTEL!DM26</f>
        <v>0</v>
      </c>
      <c r="AH24" s="7">
        <f>HOTEL!DP26</f>
        <v>1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 ht="15" x14ac:dyDescent="0.25">
      <c r="A25" s="2" t="s">
        <v>19</v>
      </c>
      <c r="B25" s="7">
        <f>TOTAL!B25</f>
        <v>24</v>
      </c>
      <c r="C25" s="97">
        <f>TOTAL!C25</f>
        <v>11</v>
      </c>
      <c r="D25" s="7">
        <v>2021</v>
      </c>
      <c r="E25" s="7">
        <f>TOTAL!E25</f>
        <v>25123</v>
      </c>
      <c r="F25" s="7">
        <f>HOTEL!R27</f>
        <v>986</v>
      </c>
      <c r="G25" s="7">
        <f>HOTEL!T27</f>
        <v>433</v>
      </c>
      <c r="H25" s="8">
        <f>HOTEL!DX27</f>
        <v>6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1"/>
        <v>298</v>
      </c>
      <c r="M25" s="7">
        <f>HOTEL!AE27</f>
        <v>1156</v>
      </c>
      <c r="N25" s="7">
        <f>HOTEL!AI27</f>
        <v>0</v>
      </c>
      <c r="O25" s="7">
        <f>HOTEL!AM27</f>
        <v>1386</v>
      </c>
      <c r="P25" s="7">
        <f>HOTEL!AO27</f>
        <v>53772</v>
      </c>
      <c r="Q25" s="7">
        <f>HOTEL!AQ27</f>
        <v>9051</v>
      </c>
      <c r="R25" s="7">
        <f>HOTEL!AS27</f>
        <v>10736</v>
      </c>
      <c r="S25" s="7">
        <f>HOTEL!AU27</f>
        <v>15509</v>
      </c>
      <c r="T25" s="7">
        <f>HOTEL!AW27</f>
        <v>19740</v>
      </c>
      <c r="U25" s="7">
        <f>HOTEL!AY27</f>
        <v>20812</v>
      </c>
      <c r="V25" s="7">
        <f>HOTEL!BA27</f>
        <v>14045</v>
      </c>
      <c r="W25" s="7">
        <f>HOTEL!BM27</f>
        <v>18</v>
      </c>
      <c r="X25" s="7">
        <f>HOTEL!BT27</f>
        <v>280</v>
      </c>
      <c r="Y25" s="7">
        <f>HOTEL!CO27</f>
        <v>0</v>
      </c>
      <c r="Z25" s="7">
        <f>HOTEL!CR26</f>
        <v>114.67999999999999</v>
      </c>
      <c r="AA25" s="7">
        <f>HOTEL!CU27</f>
        <v>17.079999999999998</v>
      </c>
      <c r="AB25" s="8">
        <f>HOTEL!CX27</f>
        <v>53.68</v>
      </c>
      <c r="AC25" s="7">
        <f>HOTEL!DA27</f>
        <v>0</v>
      </c>
      <c r="AD25" s="8">
        <f>HOTEL!DD27</f>
        <v>21.51</v>
      </c>
      <c r="AE25" s="7">
        <f>HOTEL!DG27</f>
        <v>0</v>
      </c>
      <c r="AF25" s="7">
        <f>HOTEL!DJ27</f>
        <v>40</v>
      </c>
      <c r="AG25" s="7">
        <f>HOTEL!DM27</f>
        <v>0</v>
      </c>
      <c r="AH25" s="7">
        <f>HOTEL!DP27</f>
        <v>0</v>
      </c>
      <c r="AI25" s="7" t="str">
        <f>HOTEL!DS27</f>
        <v>0</v>
      </c>
      <c r="AJ25" s="7" t="str">
        <f>HOTEL!DV27</f>
        <v>0</v>
      </c>
      <c r="AK25" s="7">
        <f>TOTAL!K25</f>
        <v>0</v>
      </c>
    </row>
    <row r="26" spans="1:37" ht="15" x14ac:dyDescent="0.25">
      <c r="A26" s="2" t="s">
        <v>19</v>
      </c>
      <c r="B26" s="7">
        <f>TOTAL!B26</f>
        <v>25</v>
      </c>
      <c r="C26" s="97">
        <f>TOTAL!C26</f>
        <v>11</v>
      </c>
      <c r="D26" s="7">
        <v>2021</v>
      </c>
      <c r="E26" s="7">
        <f>TOTAL!E26</f>
        <v>23771</v>
      </c>
      <c r="F26" s="7">
        <f>HOTEL!R28</f>
        <v>927</v>
      </c>
      <c r="G26" s="7">
        <f>HOTEL!T28</f>
        <v>452</v>
      </c>
      <c r="H26" s="8">
        <f>HOTEL!DX28</f>
        <v>6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1"/>
        <v>276</v>
      </c>
      <c r="M26" s="7">
        <f>HOTEL!AE28</f>
        <v>1157</v>
      </c>
      <c r="N26" s="7">
        <f>HOTEL!AI28</f>
        <v>0</v>
      </c>
      <c r="O26" s="7">
        <f>HOTEL!AM28</f>
        <v>1387</v>
      </c>
      <c r="P26" s="7">
        <f>HOTEL!AO28</f>
        <v>53794</v>
      </c>
      <c r="Q26" s="7">
        <f>HOTEL!AQ28</f>
        <v>9053</v>
      </c>
      <c r="R26" s="7">
        <f>HOTEL!AS28</f>
        <v>10738</v>
      </c>
      <c r="S26" s="7">
        <f>HOTEL!AU28</f>
        <v>15522</v>
      </c>
      <c r="T26" s="7">
        <f>HOTEL!AW28</f>
        <v>19751</v>
      </c>
      <c r="U26" s="7">
        <f>HOTEL!AY28</f>
        <v>20812</v>
      </c>
      <c r="V26" s="7">
        <f>HOTEL!BA28</f>
        <v>14048</v>
      </c>
      <c r="W26" s="7">
        <f>HOTEL!BM28</f>
        <v>16</v>
      </c>
      <c r="X26" s="7">
        <f>HOTEL!BT28</f>
        <v>260</v>
      </c>
      <c r="Y26" s="7">
        <f>HOTEL!CO28</f>
        <v>0</v>
      </c>
      <c r="Z26" s="7">
        <f>HOTEL!CR27</f>
        <v>124.44</v>
      </c>
      <c r="AA26" s="7">
        <f>HOTEL!CU28</f>
        <v>17.079999999999998</v>
      </c>
      <c r="AB26" s="8">
        <f>HOTEL!CX28</f>
        <v>51.24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40</v>
      </c>
      <c r="AG26" s="7" t="str">
        <f>HOTEL!DM28</f>
        <v>0</v>
      </c>
      <c r="AH26" s="7">
        <f>HOTEL!DP28</f>
        <v>1</v>
      </c>
      <c r="AI26" s="7" t="str">
        <f>HOTEL!DS28</f>
        <v>0</v>
      </c>
      <c r="AJ26" s="7" t="str">
        <f>HOTEL!DV28</f>
        <v>0</v>
      </c>
      <c r="AK26" s="7">
        <f>TOTAL!K26</f>
        <v>0</v>
      </c>
    </row>
    <row r="27" spans="1:37" ht="15" x14ac:dyDescent="0.25">
      <c r="A27" s="2" t="s">
        <v>19</v>
      </c>
      <c r="B27" s="7">
        <f>TOTAL!B27</f>
        <v>26</v>
      </c>
      <c r="C27" s="97">
        <f>TOTAL!C27</f>
        <v>11</v>
      </c>
      <c r="D27" s="7">
        <v>2021</v>
      </c>
      <c r="E27" s="7">
        <f>TOTAL!E27</f>
        <v>23330</v>
      </c>
      <c r="F27" s="7">
        <f>HOTEL!R29</f>
        <v>1253</v>
      </c>
      <c r="G27" s="7">
        <f>HOTEL!T29</f>
        <v>414</v>
      </c>
      <c r="H27" s="8">
        <f>HOTEL!DX29</f>
        <v>5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249</v>
      </c>
      <c r="M27" s="7">
        <f>HOTEL!AE29</f>
        <v>1157</v>
      </c>
      <c r="N27" s="7">
        <f>HOTEL!AI29</f>
        <v>0</v>
      </c>
      <c r="O27" s="7">
        <f>HOTEL!AM29</f>
        <v>1389</v>
      </c>
      <c r="P27" s="7">
        <f>HOTEL!AO29</f>
        <v>53814</v>
      </c>
      <c r="Q27" s="7">
        <f>HOTEL!AQ29</f>
        <v>9055</v>
      </c>
      <c r="R27" s="7">
        <f>HOTEL!AS29</f>
        <v>10739</v>
      </c>
      <c r="S27" s="7">
        <f>HOTEL!AU29</f>
        <v>15537</v>
      </c>
      <c r="T27" s="7">
        <f>HOTEL!AW29</f>
        <v>19759</v>
      </c>
      <c r="U27" s="7">
        <f>HOTEL!AY29</f>
        <v>20818</v>
      </c>
      <c r="V27" s="7">
        <f>HOTEL!BA29</f>
        <v>14052</v>
      </c>
      <c r="W27" s="7">
        <f>HOTEL!BM29</f>
        <v>19</v>
      </c>
      <c r="X27" s="7">
        <f>HOTEL!BT29</f>
        <v>230</v>
      </c>
      <c r="Y27" s="7">
        <f>HOTEL!CO29</f>
        <v>0</v>
      </c>
      <c r="Z27" s="7">
        <f>HOTEL!CR28</f>
        <v>112.24</v>
      </c>
      <c r="AA27" s="7">
        <f>HOTEL!CU29</f>
        <v>17.079999999999998</v>
      </c>
      <c r="AB27" s="8">
        <f>HOTEL!CX29</f>
        <v>53.68</v>
      </c>
      <c r="AC27" s="7">
        <f>HOTEL!DA29</f>
        <v>370.88</v>
      </c>
      <c r="AD27" s="8">
        <f>HOTEL!DD29</f>
        <v>1092.23</v>
      </c>
      <c r="AE27" s="7">
        <f>HOTEL!DG29</f>
        <v>0</v>
      </c>
      <c r="AF27" s="7">
        <f>HOTEL!DJ29</f>
        <v>1</v>
      </c>
      <c r="AG27" s="7">
        <f>HOTEL!DM29</f>
        <v>1</v>
      </c>
      <c r="AH27" s="7" t="str">
        <f>HOTEL!DP29</f>
        <v>0</v>
      </c>
      <c r="AI27" s="7">
        <f>HOTEL!DS29</f>
        <v>1</v>
      </c>
      <c r="AJ27" s="7">
        <f>HOTEL!DV29</f>
        <v>6</v>
      </c>
      <c r="AK27" s="7">
        <f>TOTAL!K27</f>
        <v>0</v>
      </c>
    </row>
    <row r="28" spans="1:37" ht="15" x14ac:dyDescent="0.25">
      <c r="A28" s="2" t="s">
        <v>19</v>
      </c>
      <c r="B28" s="7">
        <f>TOTAL!B28</f>
        <v>27</v>
      </c>
      <c r="C28" s="97">
        <f>TOTAL!C28</f>
        <v>11</v>
      </c>
      <c r="D28" s="7">
        <v>2021</v>
      </c>
      <c r="E28" s="7">
        <f>TOTAL!E28</f>
        <v>23976</v>
      </c>
      <c r="F28" s="7">
        <f>HOTEL!R30</f>
        <v>1951</v>
      </c>
      <c r="G28" s="7">
        <f>HOTEL!T30</f>
        <v>403</v>
      </c>
      <c r="H28" s="8">
        <f>HOTEL!DX30</f>
        <v>6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1"/>
        <v>248</v>
      </c>
      <c r="M28" s="7">
        <f>HOTEL!AE30</f>
        <v>1157</v>
      </c>
      <c r="N28" s="7">
        <f>HOTEL!AI30</f>
        <v>0</v>
      </c>
      <c r="O28" s="7">
        <f>HOTEL!AM30</f>
        <v>1393</v>
      </c>
      <c r="P28" s="7">
        <f>HOTEL!AO30</f>
        <v>53833</v>
      </c>
      <c r="Q28" s="7">
        <f>HOTEL!AQ30</f>
        <v>9059</v>
      </c>
      <c r="R28" s="7">
        <f>HOTEL!AS30</f>
        <v>10741</v>
      </c>
      <c r="S28" s="7">
        <f>HOTEL!AU30</f>
        <v>15549</v>
      </c>
      <c r="T28" s="7">
        <f>HOTEL!AW30</f>
        <v>19765</v>
      </c>
      <c r="U28" s="7">
        <f>HOTEL!AY30</f>
        <v>20821</v>
      </c>
      <c r="V28" s="7">
        <f>HOTEL!BA30</f>
        <v>14055</v>
      </c>
      <c r="W28" s="7">
        <f>HOTEL!BM30</f>
        <v>18</v>
      </c>
      <c r="X28" s="7">
        <f>HOTEL!BT30</f>
        <v>230</v>
      </c>
      <c r="Y28" s="7">
        <f>HOTEL!CO30</f>
        <v>0</v>
      </c>
      <c r="Z28" s="7">
        <f>HOTEL!CR29</f>
        <v>114.67999999999999</v>
      </c>
      <c r="AA28" s="7">
        <f>HOTEL!CU30</f>
        <v>19.52</v>
      </c>
      <c r="AB28" s="8">
        <f>HOTEL!CX30</f>
        <v>56.12</v>
      </c>
      <c r="AC28" s="7">
        <f>HOTEL!DA30</f>
        <v>102.48</v>
      </c>
      <c r="AD28" s="8">
        <f>HOTEL!DD30</f>
        <v>19.12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 t="str">
        <f>HOTEL!DV30</f>
        <v>0</v>
      </c>
      <c r="AK28" s="7">
        <f>TOTAL!K28</f>
        <v>0</v>
      </c>
    </row>
    <row r="29" spans="1:37" ht="15" x14ac:dyDescent="0.25">
      <c r="A29" s="2" t="s">
        <v>19</v>
      </c>
      <c r="B29" s="7">
        <f>TOTAL!B29</f>
        <v>28</v>
      </c>
      <c r="C29" s="97">
        <f>TOTAL!C29</f>
        <v>11</v>
      </c>
      <c r="D29" s="7">
        <v>2021</v>
      </c>
      <c r="E29" s="7">
        <f>TOTAL!E29</f>
        <v>24774</v>
      </c>
      <c r="F29" s="7">
        <f>HOTEL!R31</f>
        <v>2482</v>
      </c>
      <c r="G29" s="7">
        <f>HOTEL!T31</f>
        <v>447</v>
      </c>
      <c r="H29" s="8">
        <f>HOTEL!DX31</f>
        <v>6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1"/>
        <v>258</v>
      </c>
      <c r="M29" s="7">
        <f>HOTEL!AE31</f>
        <v>1157</v>
      </c>
      <c r="N29" s="7">
        <f>HOTEL!AI31</f>
        <v>0</v>
      </c>
      <c r="O29" s="7">
        <f>HOTEL!AM31</f>
        <v>1394</v>
      </c>
      <c r="P29" s="7">
        <f>HOTEL!AO31</f>
        <v>53854</v>
      </c>
      <c r="Q29" s="7">
        <f>HOTEL!AQ31</f>
        <v>9063</v>
      </c>
      <c r="R29" s="7">
        <f>HOTEL!AS31</f>
        <v>10742</v>
      </c>
      <c r="S29" s="7">
        <f>HOTEL!AU31</f>
        <v>15562</v>
      </c>
      <c r="T29" s="7">
        <f>HOTEL!AW31</f>
        <v>19773</v>
      </c>
      <c r="U29" s="7">
        <f>HOTEL!AY31</f>
        <v>20823</v>
      </c>
      <c r="V29" s="7">
        <f>HOTEL!BA31</f>
        <v>14058</v>
      </c>
      <c r="W29" s="7">
        <f>HOTEL!BM31</f>
        <v>18</v>
      </c>
      <c r="X29" s="7">
        <f>HOTEL!BT31</f>
        <v>240</v>
      </c>
      <c r="Y29" s="7">
        <f>HOTEL!CO31</f>
        <v>0</v>
      </c>
      <c r="Z29" s="7">
        <f>HOTEL!CR30</f>
        <v>119.56</v>
      </c>
      <c r="AA29" s="7">
        <f>HOTEL!CU31</f>
        <v>17.079999999999998</v>
      </c>
      <c r="AB29" s="8">
        <f>HOTEL!CX31</f>
        <v>56.12</v>
      </c>
      <c r="AC29" s="7">
        <f>HOTEL!DA31</f>
        <v>102.48</v>
      </c>
      <c r="AD29" s="8">
        <f>HOTEL!DD31</f>
        <v>19.12</v>
      </c>
      <c r="AE29" s="7">
        <f>HOTEL!DG31</f>
        <v>0</v>
      </c>
      <c r="AF29" s="7">
        <f>HOTEL!DJ31</f>
        <v>1</v>
      </c>
      <c r="AG29" s="7">
        <f>HOTEL!DM31</f>
        <v>0</v>
      </c>
      <c r="AH29" s="7">
        <f>HOTEL!DP31</f>
        <v>0</v>
      </c>
      <c r="AI29" s="7" t="str">
        <f>HOTEL!DS31</f>
        <v>0</v>
      </c>
      <c r="AJ29" s="7">
        <f>HOTEL!DV31</f>
        <v>0</v>
      </c>
      <c r="AK29" s="7">
        <f>TOTAL!K29</f>
        <v>0</v>
      </c>
    </row>
    <row r="30" spans="1:37" ht="15" x14ac:dyDescent="0.25">
      <c r="A30" s="2" t="s">
        <v>19</v>
      </c>
      <c r="B30" s="7">
        <f>TOTAL!B30</f>
        <v>29</v>
      </c>
      <c r="C30" s="97">
        <f>TOTAL!C30</f>
        <v>11</v>
      </c>
      <c r="D30" s="7">
        <v>2021</v>
      </c>
      <c r="E30" s="7">
        <f>TOTAL!E30</f>
        <v>25054</v>
      </c>
      <c r="F30" s="7">
        <f>HOTEL!R32</f>
        <v>1950</v>
      </c>
      <c r="G30" s="7">
        <f>HOTEL!T32</f>
        <v>450</v>
      </c>
      <c r="H30" s="8">
        <f>HOTEL!DX32</f>
        <v>6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267</v>
      </c>
      <c r="M30" s="7">
        <f>HOTEL!AE32</f>
        <v>1157</v>
      </c>
      <c r="N30" s="7">
        <f>HOTEL!AI32</f>
        <v>0</v>
      </c>
      <c r="O30" s="7">
        <f>HOTEL!AM32</f>
        <v>1396</v>
      </c>
      <c r="P30" s="7">
        <f>HOTEL!AO32</f>
        <v>53874</v>
      </c>
      <c r="Q30" s="7">
        <f>HOTEL!AQ32</f>
        <v>9067</v>
      </c>
      <c r="R30" s="7">
        <f>HOTEL!AS32</f>
        <v>10743</v>
      </c>
      <c r="S30" s="7">
        <f>HOTEL!AU32</f>
        <v>15574</v>
      </c>
      <c r="T30" s="7">
        <f>HOTEL!AW32</f>
        <v>19779</v>
      </c>
      <c r="U30" s="7">
        <f>HOTEL!AY32</f>
        <v>20825</v>
      </c>
      <c r="V30" s="7">
        <f>HOTEL!BA32</f>
        <v>14061</v>
      </c>
      <c r="W30" s="7">
        <f>HOTEL!BM32</f>
        <v>17</v>
      </c>
      <c r="X30" s="7">
        <f>HOTEL!BT32</f>
        <v>250</v>
      </c>
      <c r="Y30" s="7">
        <f>HOTEL!CO32</f>
        <v>0</v>
      </c>
      <c r="Z30" s="7">
        <f>HOTEL!CR31</f>
        <v>95.16</v>
      </c>
      <c r="AA30" s="7">
        <f>HOTEL!CU32</f>
        <v>17.079999999999998</v>
      </c>
      <c r="AB30" s="8">
        <f>HOTEL!CX32</f>
        <v>58.56</v>
      </c>
      <c r="AC30" s="7">
        <f>HOTEL!DA32</f>
        <v>202.51999999999998</v>
      </c>
      <c r="AD30" s="8">
        <f>HOTEL!DD32</f>
        <v>19.12</v>
      </c>
      <c r="AE30" s="7">
        <f>HOTEL!DG32</f>
        <v>0</v>
      </c>
      <c r="AF30" s="7">
        <f>HOTEL!DJ32</f>
        <v>1</v>
      </c>
      <c r="AG30" s="7">
        <f>HOTEL!DM32</f>
        <v>0</v>
      </c>
      <c r="AH30" s="7" t="str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 x14ac:dyDescent="0.25">
      <c r="A31" s="2" t="s">
        <v>19</v>
      </c>
      <c r="B31" s="7">
        <f>TOTAL!B31</f>
        <v>30</v>
      </c>
      <c r="C31" s="97">
        <f>TOTAL!C31</f>
        <v>11</v>
      </c>
      <c r="D31" s="7">
        <v>2021</v>
      </c>
      <c r="E31" s="7">
        <f>TOTAL!E31</f>
        <v>22951</v>
      </c>
      <c r="F31" s="7">
        <f>HOTEL!R33</f>
        <v>1501</v>
      </c>
      <c r="G31" s="7">
        <f>HOTEL!T33</f>
        <v>460</v>
      </c>
      <c r="H31" s="8">
        <f>HOTEL!DX33</f>
        <v>6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1"/>
        <v>385</v>
      </c>
      <c r="M31" s="7">
        <f>HOTEL!AE33</f>
        <v>1157</v>
      </c>
      <c r="N31" s="7">
        <f>HOTEL!AI33</f>
        <v>0</v>
      </c>
      <c r="O31" s="7">
        <f>HOTEL!AM33</f>
        <v>1398</v>
      </c>
      <c r="P31" s="7">
        <f>HOTEL!AO33</f>
        <v>53897</v>
      </c>
      <c r="Q31" s="7">
        <f>HOTEL!AQ33</f>
        <v>9069</v>
      </c>
      <c r="R31" s="7">
        <f>HOTEL!AS33</f>
        <v>10744</v>
      </c>
      <c r="S31" s="7">
        <f>HOTEL!AU33</f>
        <v>15587</v>
      </c>
      <c r="T31" s="7">
        <f>HOTEL!AW33</f>
        <v>19786</v>
      </c>
      <c r="U31" s="7">
        <f>HOTEL!AY33</f>
        <v>20821</v>
      </c>
      <c r="V31" s="7">
        <f>HOTEL!BA33</f>
        <v>14063</v>
      </c>
      <c r="W31" s="7">
        <f>HOTEL!BM33</f>
        <v>15</v>
      </c>
      <c r="X31" s="7">
        <f>HOTEL!BT33</f>
        <v>370</v>
      </c>
      <c r="Y31" s="7">
        <f>HOTEL!CO33</f>
        <v>0</v>
      </c>
      <c r="Z31" s="7">
        <f>HOTEL!CR32</f>
        <v>122</v>
      </c>
      <c r="AA31" s="7">
        <f>HOTEL!CU33</f>
        <v>14.64</v>
      </c>
      <c r="AB31" s="8">
        <f>HOTEL!CX33</f>
        <v>51.24</v>
      </c>
      <c r="AC31" s="7">
        <f>HOTEL!DA33</f>
        <v>139.07999999999998</v>
      </c>
      <c r="AD31" s="8">
        <f>HOTEL!DD33</f>
        <v>21.51</v>
      </c>
      <c r="AE31" s="7">
        <f>HOTEL!DG33</f>
        <v>2</v>
      </c>
      <c r="AF31" s="7">
        <f>HOTEL!DJ33</f>
        <v>1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ht="15" x14ac:dyDescent="0.25">
      <c r="A32" s="2" t="s">
        <v>19</v>
      </c>
      <c r="B32" s="7">
        <f>TOTAL!B32</f>
        <v>0</v>
      </c>
      <c r="C32" s="97">
        <f>TOTAL!C32</f>
        <v>0</v>
      </c>
      <c r="D32" s="7">
        <v>2021</v>
      </c>
      <c r="E32" s="7">
        <f>TOTAL!E32</f>
        <v>0</v>
      </c>
      <c r="F32" s="7" t="e">
        <f>HOTEL!#REF!</f>
        <v>#REF!</v>
      </c>
      <c r="G32" s="7" t="e">
        <f>HOTEL!#REF!</f>
        <v>#REF!</v>
      </c>
      <c r="H32" s="8" t="e">
        <f>HOTEL!#REF!</f>
        <v>#REF!</v>
      </c>
      <c r="I32" s="8" t="e">
        <f>HOTEL!#REF!</f>
        <v>#REF!</v>
      </c>
      <c r="J32" s="8" t="e">
        <f>HOTEL!#REF!</f>
        <v>#REF!</v>
      </c>
      <c r="K32" s="8" t="e">
        <f>HOTEL!#REF!</f>
        <v>#REF!</v>
      </c>
      <c r="L32" s="7" t="e">
        <f t="shared" ref="L32" si="2">N32+W32+X32</f>
        <v>#REF!</v>
      </c>
      <c r="M32" s="7" t="e">
        <f>HOTEL!#REF!</f>
        <v>#REF!</v>
      </c>
      <c r="N32" s="7" t="e">
        <f>HOTEL!#REF!</f>
        <v>#REF!</v>
      </c>
      <c r="O32" s="7" t="e">
        <f>HOTEL!#REF!</f>
        <v>#REF!</v>
      </c>
      <c r="P32" s="7" t="e">
        <f>HOTEL!#REF!</f>
        <v>#REF!</v>
      </c>
      <c r="Q32" s="7" t="e">
        <f>HOTEL!#REF!</f>
        <v>#REF!</v>
      </c>
      <c r="R32" s="7" t="e">
        <f>HOTEL!#REF!</f>
        <v>#REF!</v>
      </c>
      <c r="S32" s="7" t="e">
        <f>HOTEL!#REF!</f>
        <v>#REF!</v>
      </c>
      <c r="T32" s="7" t="e">
        <f>HOTEL!#REF!</f>
        <v>#REF!</v>
      </c>
      <c r="U32" s="7" t="e">
        <f>HOTEL!#REF!</f>
        <v>#REF!</v>
      </c>
      <c r="V32" s="7" t="e">
        <f>HOTEL!#REF!</f>
        <v>#REF!</v>
      </c>
      <c r="W32" s="7" t="e">
        <f>HOTEL!#REF!</f>
        <v>#REF!</v>
      </c>
      <c r="X32" s="7" t="e">
        <f>HOTEL!#REF!</f>
        <v>#REF!</v>
      </c>
      <c r="Y32" s="7" t="e">
        <f>HOTEL!#REF!</f>
        <v>#REF!</v>
      </c>
      <c r="Z32" s="7">
        <f>HOTEL!CR33</f>
        <v>117.12</v>
      </c>
      <c r="AA32" s="7" t="e">
        <f>HOTEL!#REF!</f>
        <v>#REF!</v>
      </c>
      <c r="AB32" s="8" t="e">
        <f>HOTEL!#REF!</f>
        <v>#REF!</v>
      </c>
      <c r="AC32" s="7" t="e">
        <f>HOTEL!#REF!</f>
        <v>#REF!</v>
      </c>
      <c r="AD32" s="8" t="e">
        <f>HOTEL!#REF!</f>
        <v>#REF!</v>
      </c>
      <c r="AE32" s="7" t="e">
        <f>HOTEL!#REF!</f>
        <v>#REF!</v>
      </c>
      <c r="AF32" s="7" t="e">
        <f>HOTEL!#REF!</f>
        <v>#REF!</v>
      </c>
      <c r="AG32" s="7" t="e">
        <f>HOTEL!#REF!</f>
        <v>#REF!</v>
      </c>
      <c r="AH32" s="7" t="e">
        <f>HOTEL!#REF!</f>
        <v>#REF!</v>
      </c>
      <c r="AI32" s="7" t="e">
        <f>HOTEL!#REF!</f>
        <v>#REF!</v>
      </c>
      <c r="AJ32" s="7" t="e">
        <f>HOTEL!#REF!</f>
        <v>#REF!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R54"/>
  <sheetViews>
    <sheetView zoomScale="85" zoomScaleNormal="85" workbookViewId="0">
      <pane xSplit="1" ySplit="2" topLeftCell="P12" activePane="bottomRight" state="frozen"/>
      <selection pane="topRight" activeCell="B1" sqref="B1"/>
      <selection pane="bottomLeft" activeCell="A3" sqref="A3"/>
      <selection pane="bottomRight" activeCell="A3" sqref="A3:XFD33"/>
    </sheetView>
  </sheetViews>
  <sheetFormatPr defaultRowHeight="12.75" x14ac:dyDescent="0.2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9.140625" style="7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6" s="25" customFormat="1" ht="39.75" customHeight="1" x14ac:dyDescent="0.25">
      <c r="B1" s="106" t="s">
        <v>52</v>
      </c>
      <c r="C1" s="107"/>
      <c r="D1" s="107"/>
      <c r="E1" s="107"/>
      <c r="F1" s="107"/>
      <c r="G1" s="107"/>
      <c r="H1" s="107"/>
      <c r="I1" s="108" t="s">
        <v>53</v>
      </c>
      <c r="J1" s="108"/>
      <c r="K1" s="108"/>
      <c r="L1" s="108"/>
      <c r="M1" s="108" t="s">
        <v>54</v>
      </c>
      <c r="N1" s="108"/>
      <c r="O1" s="108"/>
      <c r="P1" s="108"/>
      <c r="Q1" s="26" t="s">
        <v>55</v>
      </c>
      <c r="R1" s="100" t="s">
        <v>56</v>
      </c>
      <c r="S1" s="27" t="s">
        <v>22</v>
      </c>
      <c r="T1" s="28" t="s">
        <v>56</v>
      </c>
      <c r="U1" s="106" t="s">
        <v>57</v>
      </c>
      <c r="V1" s="109"/>
      <c r="W1" s="29" t="s">
        <v>58</v>
      </c>
      <c r="X1" s="29"/>
      <c r="Y1" s="29"/>
      <c r="Z1" s="30"/>
      <c r="AA1" s="30"/>
      <c r="AB1" s="110" t="s">
        <v>59</v>
      </c>
      <c r="AC1" s="110"/>
      <c r="AD1" s="101" t="s">
        <v>60</v>
      </c>
      <c r="AE1" s="101"/>
      <c r="AF1" s="29" t="s">
        <v>61</v>
      </c>
      <c r="AG1" s="101" t="s">
        <v>56</v>
      </c>
      <c r="AH1" s="111" t="s">
        <v>62</v>
      </c>
      <c r="AI1" s="112"/>
      <c r="AJ1" s="111" t="s">
        <v>63</v>
      </c>
      <c r="AK1" s="112"/>
      <c r="AL1" s="106" t="s">
        <v>64</v>
      </c>
      <c r="AM1" s="109"/>
      <c r="AN1" s="106" t="s">
        <v>65</v>
      </c>
      <c r="AO1" s="109"/>
      <c r="AP1" s="106" t="s">
        <v>66</v>
      </c>
      <c r="AQ1" s="109"/>
      <c r="AR1" s="106" t="s">
        <v>67</v>
      </c>
      <c r="AS1" s="109"/>
      <c r="AT1" s="106" t="s">
        <v>68</v>
      </c>
      <c r="AU1" s="109"/>
      <c r="AV1" s="106" t="s">
        <v>69</v>
      </c>
      <c r="AW1" s="109"/>
      <c r="AX1" s="106" t="s">
        <v>70</v>
      </c>
      <c r="AY1" s="109"/>
      <c r="AZ1" s="106" t="s">
        <v>71</v>
      </c>
      <c r="BA1" s="109"/>
      <c r="BB1" s="31"/>
      <c r="BC1" s="31"/>
      <c r="BD1" s="31"/>
      <c r="BE1" s="31"/>
      <c r="BF1" s="31"/>
      <c r="BG1" s="31"/>
      <c r="BH1" s="101"/>
      <c r="BI1" s="101"/>
      <c r="BJ1" s="101"/>
      <c r="BK1" s="101"/>
      <c r="BL1" s="111" t="s">
        <v>72</v>
      </c>
      <c r="BM1" s="112"/>
      <c r="BN1" s="111" t="s">
        <v>73</v>
      </c>
      <c r="BO1" s="112"/>
      <c r="BP1" s="106" t="s">
        <v>74</v>
      </c>
      <c r="BQ1" s="109"/>
      <c r="BR1" s="111" t="s">
        <v>75</v>
      </c>
      <c r="BS1" s="112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02" t="s">
        <v>78</v>
      </c>
      <c r="CW1" s="103"/>
      <c r="CX1" s="104"/>
      <c r="CY1" s="106" t="s">
        <v>64</v>
      </c>
      <c r="CZ1" s="107"/>
      <c r="DA1" s="109"/>
      <c r="DB1" s="102" t="s">
        <v>65</v>
      </c>
      <c r="DC1" s="103"/>
      <c r="DD1" s="104"/>
      <c r="DE1" s="102" t="s">
        <v>66</v>
      </c>
      <c r="DF1" s="103"/>
      <c r="DG1" s="104"/>
      <c r="DH1" s="102" t="s">
        <v>67</v>
      </c>
      <c r="DI1" s="103"/>
      <c r="DJ1" s="104"/>
      <c r="DK1" s="102" t="s">
        <v>68</v>
      </c>
      <c r="DL1" s="103"/>
      <c r="DM1" s="104"/>
      <c r="DN1" s="102" t="s">
        <v>69</v>
      </c>
      <c r="DO1" s="103"/>
      <c r="DP1" s="104"/>
      <c r="DQ1" s="102" t="s">
        <v>70</v>
      </c>
      <c r="DR1" s="103"/>
      <c r="DS1" s="104"/>
      <c r="DT1" s="102" t="s">
        <v>71</v>
      </c>
      <c r="DU1" s="103"/>
      <c r="DV1" s="104"/>
      <c r="DW1" s="36"/>
      <c r="DX1" s="36"/>
      <c r="DY1" s="36"/>
      <c r="DZ1" s="36"/>
      <c r="EH1" s="105" t="s">
        <v>79</v>
      </c>
      <c r="EI1" s="105"/>
      <c r="EJ1" s="105"/>
    </row>
    <row r="2" spans="1:146" customFormat="1" ht="39" thickBot="1" x14ac:dyDescent="0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6" customFormat="1" ht="15.75" thickBot="1" x14ac:dyDescent="0.25">
      <c r="A3" s="61">
        <v>44500</v>
      </c>
      <c r="B3" s="62">
        <v>8370481</v>
      </c>
      <c r="C3" s="63"/>
      <c r="D3" s="62">
        <v>7537272</v>
      </c>
      <c r="E3" s="63"/>
      <c r="F3" s="113"/>
      <c r="G3" s="64">
        <v>552</v>
      </c>
      <c r="H3" s="64">
        <v>1022</v>
      </c>
      <c r="I3" s="114">
        <v>289262</v>
      </c>
      <c r="J3" s="66"/>
      <c r="K3" s="67">
        <v>794</v>
      </c>
      <c r="L3" s="63">
        <v>0</v>
      </c>
      <c r="M3" s="68">
        <v>636988</v>
      </c>
      <c r="N3" s="63">
        <v>0</v>
      </c>
      <c r="O3" s="68">
        <v>1015</v>
      </c>
      <c r="P3" s="66"/>
      <c r="Q3" s="62">
        <v>2603482</v>
      </c>
      <c r="R3" s="66"/>
      <c r="S3" s="62">
        <v>2210856</v>
      </c>
      <c r="T3" s="66"/>
      <c r="U3" s="62">
        <v>130940</v>
      </c>
      <c r="V3" s="66"/>
      <c r="W3" s="115"/>
      <c r="X3" s="116">
        <v>0.55555555555555558</v>
      </c>
      <c r="Y3" s="70">
        <v>222.22222222222223</v>
      </c>
      <c r="Z3" s="117"/>
      <c r="AA3" s="62"/>
      <c r="AB3" s="77"/>
      <c r="AC3" s="62">
        <v>429580</v>
      </c>
      <c r="AD3" s="71" t="e">
        <v>#VALUE!</v>
      </c>
      <c r="AE3" s="68">
        <v>1153</v>
      </c>
      <c r="AF3" s="72" t="e">
        <v>#VALUE!</v>
      </c>
      <c r="AG3" s="68">
        <v>4764</v>
      </c>
      <c r="AH3" s="73">
        <v>4764</v>
      </c>
      <c r="AI3" s="20"/>
      <c r="AJ3" s="20"/>
      <c r="AK3" s="62">
        <v>593450</v>
      </c>
      <c r="AL3" s="66"/>
      <c r="AM3" s="118">
        <v>1332</v>
      </c>
      <c r="AN3" s="63">
        <v>1332</v>
      </c>
      <c r="AO3" s="62">
        <v>53323</v>
      </c>
      <c r="AP3" s="77" t="e">
        <v>#VALUE!</v>
      </c>
      <c r="AQ3" s="62">
        <v>9004</v>
      </c>
      <c r="AR3" s="63" t="e">
        <v>#VALUE!</v>
      </c>
      <c r="AS3" s="68">
        <v>10683</v>
      </c>
      <c r="AT3" s="63" t="e">
        <v>#VALUE!</v>
      </c>
      <c r="AU3" s="114">
        <v>15180</v>
      </c>
      <c r="AV3" s="63" t="e">
        <v>#VALUE!</v>
      </c>
      <c r="AW3" s="68">
        <v>19562</v>
      </c>
      <c r="AX3" s="66" t="e">
        <v>#VALUE!</v>
      </c>
      <c r="AY3" s="62">
        <v>20763</v>
      </c>
      <c r="AZ3" s="71" t="e">
        <v>#VALUE!</v>
      </c>
      <c r="BA3" s="62">
        <v>13973</v>
      </c>
      <c r="BB3" s="63" t="e">
        <v>#VALUE!</v>
      </c>
      <c r="BC3" s="62">
        <v>6317</v>
      </c>
      <c r="BD3" s="63" t="e">
        <v>#VALUE!</v>
      </c>
      <c r="BE3" s="62">
        <v>26863</v>
      </c>
      <c r="BF3" s="63" t="e">
        <v>#VALUE!</v>
      </c>
      <c r="BG3" s="114">
        <v>4529</v>
      </c>
      <c r="BH3" s="63" t="e">
        <v>#VALUE!</v>
      </c>
      <c r="BI3">
        <v>13927</v>
      </c>
      <c r="BJ3" s="63" t="e">
        <v>#VALUE!</v>
      </c>
      <c r="BK3" s="68">
        <v>3636</v>
      </c>
      <c r="BL3" s="63" t="e">
        <v>#VALUE!</v>
      </c>
      <c r="BM3" s="71"/>
      <c r="BN3" s="71"/>
      <c r="BO3" s="62">
        <v>612970</v>
      </c>
      <c r="BP3" s="71"/>
      <c r="BQ3" s="119">
        <v>1195</v>
      </c>
      <c r="BR3" s="63">
        <v>1195</v>
      </c>
      <c r="BS3" s="62">
        <v>798740</v>
      </c>
      <c r="BT3" s="71"/>
      <c r="BU3" s="120">
        <v>1127</v>
      </c>
      <c r="BV3" s="71">
        <v>1127</v>
      </c>
      <c r="BW3" s="81"/>
      <c r="BX3" s="71"/>
      <c r="BY3" s="83"/>
      <c r="BZ3" s="62">
        <v>110</v>
      </c>
      <c r="CA3" s="84">
        <v>13257.678020880703</v>
      </c>
      <c r="CB3" s="121"/>
      <c r="CC3" s="73"/>
      <c r="CD3" s="114">
        <v>215042</v>
      </c>
      <c r="CE3" s="71"/>
      <c r="CF3" s="81"/>
      <c r="CG3" s="114">
        <v>81</v>
      </c>
      <c r="CH3" s="87">
        <v>8727.75</v>
      </c>
      <c r="CI3" s="114">
        <v>82</v>
      </c>
      <c r="CJ3" s="88">
        <v>8835.5</v>
      </c>
      <c r="CK3" s="114">
        <v>80</v>
      </c>
      <c r="CL3" s="89">
        <v>8620</v>
      </c>
      <c r="CM3" s="90">
        <v>26183.25</v>
      </c>
      <c r="CN3" s="91" t="e">
        <v>#VALUE!</v>
      </c>
      <c r="CO3" s="122"/>
      <c r="CP3" s="62">
        <v>36291</v>
      </c>
      <c r="CQ3" s="71" t="e">
        <v>#VALUE!</v>
      </c>
      <c r="CR3" s="81" t="e">
        <v>#VALUE!</v>
      </c>
      <c r="CS3" s="62">
        <v>34550</v>
      </c>
      <c r="CT3" s="71" t="e">
        <v>#VALUE!</v>
      </c>
      <c r="CU3" s="81" t="e">
        <v>#VALUE!</v>
      </c>
      <c r="CV3" s="122">
        <v>10828</v>
      </c>
      <c r="CW3" s="71" t="e">
        <v>#VALUE!</v>
      </c>
      <c r="CX3" s="81" t="e">
        <v>#VALUE!</v>
      </c>
      <c r="CY3" s="62">
        <v>834864</v>
      </c>
      <c r="CZ3" s="62">
        <v>834864</v>
      </c>
      <c r="DA3" s="81">
        <v>2037068.16</v>
      </c>
      <c r="DB3" s="62">
        <v>6631</v>
      </c>
      <c r="DC3" s="71">
        <v>6631</v>
      </c>
      <c r="DD3" s="81">
        <v>15848.09</v>
      </c>
      <c r="DE3" s="62">
        <v>7984</v>
      </c>
      <c r="DF3" s="71">
        <v>7984</v>
      </c>
      <c r="DG3" s="71" t="e">
        <v>#VALUE!</v>
      </c>
      <c r="DH3" s="62">
        <v>4671</v>
      </c>
      <c r="DI3" s="71">
        <v>4671</v>
      </c>
      <c r="DJ3" s="71">
        <v>2</v>
      </c>
      <c r="DK3" s="62">
        <v>1917</v>
      </c>
      <c r="DL3" s="71">
        <v>1917</v>
      </c>
      <c r="DM3" s="71">
        <v>1</v>
      </c>
      <c r="DN3" s="62">
        <v>5348</v>
      </c>
      <c r="DO3" s="71">
        <v>5348</v>
      </c>
      <c r="DP3" s="71">
        <v>1</v>
      </c>
      <c r="DQ3" s="62">
        <v>4909</v>
      </c>
      <c r="DR3" s="71">
        <v>4909</v>
      </c>
      <c r="DS3" s="71">
        <v>1</v>
      </c>
      <c r="DT3" s="62">
        <v>5681</v>
      </c>
      <c r="DU3" s="71">
        <v>5681</v>
      </c>
      <c r="DV3" s="71"/>
      <c r="DW3" s="62">
        <v>5624</v>
      </c>
      <c r="DX3" s="71">
        <v>5624</v>
      </c>
      <c r="DY3" s="81">
        <v>13441.36</v>
      </c>
      <c r="DZ3" s="121"/>
      <c r="EA3" s="123"/>
      <c r="EB3" s="121"/>
      <c r="EC3" s="123"/>
      <c r="ED3" s="62"/>
      <c r="EE3" s="123"/>
      <c r="EF3" s="62"/>
      <c r="EG3" s="123"/>
      <c r="EH3" s="62">
        <v>111</v>
      </c>
      <c r="EI3" s="62">
        <v>322</v>
      </c>
      <c r="EJ3" s="124">
        <v>0.83</v>
      </c>
      <c r="EK3" s="62"/>
      <c r="EL3" s="62"/>
      <c r="EM3" s="62"/>
      <c r="EN3" s="20"/>
      <c r="EO3" s="20"/>
      <c r="EP3" s="20"/>
    </row>
    <row r="4" spans="1:146" ht="15.75" thickBot="1" x14ac:dyDescent="0.25">
      <c r="A4" s="61">
        <v>44501</v>
      </c>
      <c r="B4" s="69">
        <v>8390785</v>
      </c>
      <c r="C4" s="63">
        <v>20304</v>
      </c>
      <c r="D4" s="64">
        <v>7557375</v>
      </c>
      <c r="E4" s="63">
        <v>20103</v>
      </c>
      <c r="F4" s="113">
        <v>0.99010047281323876</v>
      </c>
      <c r="G4" s="64">
        <v>970</v>
      </c>
      <c r="H4" s="64">
        <v>1022</v>
      </c>
      <c r="I4" s="114">
        <v>289262</v>
      </c>
      <c r="J4" s="66">
        <v>0</v>
      </c>
      <c r="K4" s="67">
        <v>794</v>
      </c>
      <c r="L4" s="66">
        <v>0</v>
      </c>
      <c r="M4" s="68">
        <v>636988</v>
      </c>
      <c r="N4" s="66">
        <v>0</v>
      </c>
      <c r="O4" s="68">
        <v>1015</v>
      </c>
      <c r="P4" s="66">
        <v>0</v>
      </c>
      <c r="Q4" s="68">
        <v>2604768</v>
      </c>
      <c r="R4" s="66">
        <v>1286</v>
      </c>
      <c r="S4" s="68">
        <v>2211302</v>
      </c>
      <c r="T4" s="66">
        <v>446</v>
      </c>
      <c r="U4" s="64">
        <v>131305</v>
      </c>
      <c r="V4" s="66">
        <v>365</v>
      </c>
      <c r="W4" s="125"/>
      <c r="X4" s="116">
        <v>0.4</v>
      </c>
      <c r="Y4" s="70">
        <v>160</v>
      </c>
      <c r="Z4" s="67">
        <v>6</v>
      </c>
      <c r="AA4" s="68">
        <v>1580738</v>
      </c>
      <c r="AB4" s="63">
        <v>1580738</v>
      </c>
      <c r="AC4" s="68">
        <v>430006</v>
      </c>
      <c r="AD4" s="71">
        <v>426</v>
      </c>
      <c r="AE4" s="74">
        <v>1153</v>
      </c>
      <c r="AF4" s="72">
        <v>0</v>
      </c>
      <c r="AG4" s="67">
        <v>4764</v>
      </c>
      <c r="AH4" s="73">
        <v>0</v>
      </c>
      <c r="AI4" s="22"/>
      <c r="AJ4" s="22"/>
      <c r="AK4" s="68">
        <v>593600</v>
      </c>
      <c r="AL4" s="66">
        <v>150</v>
      </c>
      <c r="AM4" s="78">
        <v>1333</v>
      </c>
      <c r="AN4" s="63">
        <v>1</v>
      </c>
      <c r="AO4" s="76">
        <v>53345</v>
      </c>
      <c r="AP4" s="77">
        <v>22</v>
      </c>
      <c r="AQ4" s="67">
        <v>9005</v>
      </c>
      <c r="AR4" s="63">
        <v>1</v>
      </c>
      <c r="AS4" s="68">
        <v>10684</v>
      </c>
      <c r="AT4" s="63">
        <v>1</v>
      </c>
      <c r="AU4" s="68">
        <v>15197</v>
      </c>
      <c r="AV4" s="63">
        <v>17</v>
      </c>
      <c r="AW4" s="68">
        <v>19580</v>
      </c>
      <c r="AX4" s="63">
        <v>18</v>
      </c>
      <c r="AY4" s="62">
        <v>20766</v>
      </c>
      <c r="AZ4" s="71">
        <v>3</v>
      </c>
      <c r="BA4" s="68">
        <v>13975</v>
      </c>
      <c r="BB4" s="63">
        <v>2</v>
      </c>
      <c r="BC4" s="62">
        <v>6319</v>
      </c>
      <c r="BD4" s="63">
        <v>2</v>
      </c>
      <c r="BE4" s="68">
        <v>26866</v>
      </c>
      <c r="BF4" s="63">
        <v>3</v>
      </c>
      <c r="BG4" s="68">
        <v>4535</v>
      </c>
      <c r="BH4" s="63">
        <v>6</v>
      </c>
      <c r="BI4">
        <v>14026</v>
      </c>
      <c r="BJ4" s="63">
        <v>99</v>
      </c>
      <c r="BK4" s="68">
        <v>3636</v>
      </c>
      <c r="BL4" s="63">
        <v>0</v>
      </c>
      <c r="BM4" s="71">
        <v>22</v>
      </c>
      <c r="BN4" s="71">
        <v>128</v>
      </c>
      <c r="BO4" s="68">
        <v>613110</v>
      </c>
      <c r="BP4" s="71">
        <v>140</v>
      </c>
      <c r="BQ4" s="82">
        <v>1215</v>
      </c>
      <c r="BR4" s="63">
        <v>20</v>
      </c>
      <c r="BS4" s="68">
        <v>799070</v>
      </c>
      <c r="BT4" s="71">
        <v>330</v>
      </c>
      <c r="BU4" s="82">
        <v>1141</v>
      </c>
      <c r="BV4" s="71">
        <v>14</v>
      </c>
      <c r="BW4" s="81">
        <v>180</v>
      </c>
      <c r="BX4" s="71">
        <v>470</v>
      </c>
      <c r="BY4" s="83">
        <v>72</v>
      </c>
      <c r="BZ4" s="62">
        <v>110</v>
      </c>
      <c r="CA4" s="84">
        <v>13257.678020880703</v>
      </c>
      <c r="CB4" s="85"/>
      <c r="CC4" s="126">
        <v>0</v>
      </c>
      <c r="CD4" s="65">
        <v>215220</v>
      </c>
      <c r="CE4" s="71">
        <v>178</v>
      </c>
      <c r="CF4" s="81">
        <v>1016.38</v>
      </c>
      <c r="CG4" s="74">
        <v>78</v>
      </c>
      <c r="CH4" s="87">
        <v>8404.5</v>
      </c>
      <c r="CI4" s="65">
        <v>78</v>
      </c>
      <c r="CJ4" s="88">
        <v>8404.5</v>
      </c>
      <c r="CK4" s="74">
        <v>80</v>
      </c>
      <c r="CL4" s="89">
        <v>8620</v>
      </c>
      <c r="CM4" s="90">
        <v>25429</v>
      </c>
      <c r="CN4" s="91">
        <v>754.25</v>
      </c>
      <c r="CO4" s="68"/>
      <c r="CP4" s="68">
        <v>36334</v>
      </c>
      <c r="CQ4" s="71">
        <v>43</v>
      </c>
      <c r="CR4" s="81">
        <v>104.92</v>
      </c>
      <c r="CS4" s="62">
        <v>34556</v>
      </c>
      <c r="CT4" s="71">
        <v>6</v>
      </c>
      <c r="CU4" s="81">
        <v>14.64</v>
      </c>
      <c r="CV4" s="68">
        <v>10850</v>
      </c>
      <c r="CW4" s="71">
        <v>22</v>
      </c>
      <c r="CX4" s="81">
        <v>53.68</v>
      </c>
      <c r="CY4" s="68">
        <v>835018</v>
      </c>
      <c r="CZ4" s="68">
        <v>835018</v>
      </c>
      <c r="DA4" s="81">
        <v>2037443.92</v>
      </c>
      <c r="DB4" s="67">
        <v>6641</v>
      </c>
      <c r="DC4" s="71">
        <v>10</v>
      </c>
      <c r="DD4" s="81">
        <v>23.900000000000002</v>
      </c>
      <c r="DE4" s="68">
        <v>7994</v>
      </c>
      <c r="DF4" s="71">
        <v>10</v>
      </c>
      <c r="DG4" s="71" t="s">
        <v>127</v>
      </c>
      <c r="DH4" s="68">
        <v>4679</v>
      </c>
      <c r="DI4" s="71">
        <v>8</v>
      </c>
      <c r="DJ4" s="71" t="s">
        <v>127</v>
      </c>
      <c r="DK4" s="68">
        <v>1918</v>
      </c>
      <c r="DL4" s="71">
        <v>1</v>
      </c>
      <c r="DM4" s="71" t="s">
        <v>127</v>
      </c>
      <c r="DN4" s="68">
        <v>5359</v>
      </c>
      <c r="DO4" s="71">
        <v>11</v>
      </c>
      <c r="DP4" s="71" t="s">
        <v>127</v>
      </c>
      <c r="DQ4" s="68">
        <v>4917</v>
      </c>
      <c r="DR4" s="71">
        <v>8</v>
      </c>
      <c r="DS4" s="71" t="s">
        <v>127</v>
      </c>
      <c r="DT4" s="68">
        <v>5692</v>
      </c>
      <c r="DU4" s="71">
        <v>11</v>
      </c>
      <c r="DV4" s="71" t="s">
        <v>127</v>
      </c>
      <c r="DW4" s="68">
        <v>5631</v>
      </c>
      <c r="DX4" s="71">
        <v>7</v>
      </c>
      <c r="DY4" s="81">
        <v>16.73</v>
      </c>
      <c r="DZ4" s="85"/>
      <c r="EA4" s="81">
        <v>0</v>
      </c>
      <c r="EB4" s="85"/>
      <c r="EC4" s="81">
        <v>0</v>
      </c>
      <c r="ED4" s="94"/>
      <c r="EE4" s="81">
        <v>0</v>
      </c>
      <c r="EF4" s="62"/>
      <c r="EG4" s="81">
        <v>0</v>
      </c>
      <c r="EH4" s="94">
        <v>110</v>
      </c>
      <c r="EI4" s="95">
        <v>317</v>
      </c>
      <c r="EJ4" s="93">
        <v>0.83</v>
      </c>
      <c r="EK4" s="127"/>
      <c r="EL4" s="128"/>
      <c r="EM4" s="129"/>
      <c r="EN4" s="130"/>
      <c r="EO4" s="130"/>
      <c r="EP4" s="130"/>
    </row>
    <row r="5" spans="1:146" ht="15.75" thickBot="1" x14ac:dyDescent="0.25">
      <c r="A5" s="61">
        <v>44502</v>
      </c>
      <c r="B5" s="64">
        <v>8411223</v>
      </c>
      <c r="C5" s="63">
        <v>20438</v>
      </c>
      <c r="D5" s="64">
        <v>7577624</v>
      </c>
      <c r="E5" s="63">
        <v>20249</v>
      </c>
      <c r="F5" s="113">
        <v>0.99075251981602896</v>
      </c>
      <c r="G5" s="64">
        <v>984</v>
      </c>
      <c r="H5" s="64">
        <v>1022</v>
      </c>
      <c r="I5" s="114">
        <v>289262</v>
      </c>
      <c r="J5" s="66">
        <v>0</v>
      </c>
      <c r="K5" s="67">
        <v>794</v>
      </c>
      <c r="L5" s="66">
        <v>0</v>
      </c>
      <c r="M5" s="68">
        <v>636988</v>
      </c>
      <c r="N5" s="66">
        <v>0</v>
      </c>
      <c r="O5" s="68">
        <v>1015</v>
      </c>
      <c r="P5" s="66">
        <v>0</v>
      </c>
      <c r="Q5" s="68">
        <v>2605784</v>
      </c>
      <c r="R5" s="66">
        <v>1016</v>
      </c>
      <c r="S5" s="68">
        <v>2211778</v>
      </c>
      <c r="T5" s="66">
        <v>476</v>
      </c>
      <c r="U5" s="68">
        <v>131627</v>
      </c>
      <c r="V5" s="66">
        <v>322</v>
      </c>
      <c r="W5" s="131"/>
      <c r="X5" s="116">
        <v>0.55000000000000004</v>
      </c>
      <c r="Y5" s="70">
        <v>220.00000000000003</v>
      </c>
      <c r="Z5" s="67">
        <v>0</v>
      </c>
      <c r="AA5" s="68">
        <v>1582330</v>
      </c>
      <c r="AB5" s="63">
        <v>1592</v>
      </c>
      <c r="AC5" s="75">
        <v>430490</v>
      </c>
      <c r="AD5" s="71">
        <v>484</v>
      </c>
      <c r="AE5" s="76">
        <v>1152</v>
      </c>
      <c r="AF5" s="72" t="s">
        <v>127</v>
      </c>
      <c r="AG5" s="68">
        <v>4764</v>
      </c>
      <c r="AH5" s="73">
        <v>0</v>
      </c>
      <c r="AI5" s="22"/>
      <c r="AJ5" s="22"/>
      <c r="AK5" s="64">
        <v>593720</v>
      </c>
      <c r="AL5" s="66">
        <v>120</v>
      </c>
      <c r="AM5" s="118">
        <v>1334</v>
      </c>
      <c r="AN5" s="63">
        <v>1</v>
      </c>
      <c r="AO5" s="74">
        <v>53364</v>
      </c>
      <c r="AP5" s="77">
        <v>19</v>
      </c>
      <c r="AQ5" s="65">
        <v>9006</v>
      </c>
      <c r="AR5" s="63">
        <v>1</v>
      </c>
      <c r="AS5" s="64">
        <v>10688</v>
      </c>
      <c r="AT5" s="63">
        <v>4</v>
      </c>
      <c r="AU5" s="64">
        <v>15212</v>
      </c>
      <c r="AV5" s="63">
        <v>15</v>
      </c>
      <c r="AW5" s="68">
        <v>19598</v>
      </c>
      <c r="AX5" s="63">
        <v>18</v>
      </c>
      <c r="AY5" s="62">
        <v>20767</v>
      </c>
      <c r="AZ5" s="71">
        <v>1</v>
      </c>
      <c r="BA5" s="68">
        <v>13978</v>
      </c>
      <c r="BB5" s="63">
        <v>3</v>
      </c>
      <c r="BC5" s="62">
        <v>6321</v>
      </c>
      <c r="BD5" s="63">
        <v>2</v>
      </c>
      <c r="BE5" s="64">
        <v>26869</v>
      </c>
      <c r="BF5" s="63">
        <v>3</v>
      </c>
      <c r="BG5" s="64">
        <v>4541</v>
      </c>
      <c r="BH5" s="63">
        <v>6</v>
      </c>
      <c r="BI5">
        <v>14118</v>
      </c>
      <c r="BJ5" s="63">
        <v>92</v>
      </c>
      <c r="BK5" s="68">
        <v>3636</v>
      </c>
      <c r="BL5" s="63">
        <v>0</v>
      </c>
      <c r="BM5" s="71">
        <v>19</v>
      </c>
      <c r="BN5" s="71">
        <v>101</v>
      </c>
      <c r="BO5" s="64">
        <v>613240</v>
      </c>
      <c r="BP5" s="71">
        <v>130</v>
      </c>
      <c r="BQ5" s="119">
        <v>1235</v>
      </c>
      <c r="BR5" s="63">
        <v>20</v>
      </c>
      <c r="BS5" s="62">
        <v>799350</v>
      </c>
      <c r="BT5" s="71">
        <v>280</v>
      </c>
      <c r="BU5" s="78">
        <v>1231</v>
      </c>
      <c r="BV5" s="71">
        <v>90</v>
      </c>
      <c r="BW5" s="81">
        <v>160</v>
      </c>
      <c r="BX5" s="71">
        <v>410</v>
      </c>
      <c r="BY5" s="83">
        <v>69</v>
      </c>
      <c r="BZ5" s="62">
        <v>110</v>
      </c>
      <c r="CA5" s="84">
        <v>13257.678020880703</v>
      </c>
      <c r="CB5" s="86"/>
      <c r="CC5" s="126">
        <v>0</v>
      </c>
      <c r="CD5" s="64">
        <v>215394</v>
      </c>
      <c r="CE5" s="71">
        <v>174</v>
      </c>
      <c r="CF5" s="81">
        <v>993.54</v>
      </c>
      <c r="CG5" s="74">
        <v>75</v>
      </c>
      <c r="CH5" s="87">
        <v>8081.25</v>
      </c>
      <c r="CI5" s="65">
        <v>70</v>
      </c>
      <c r="CJ5" s="88">
        <v>7542.5</v>
      </c>
      <c r="CK5" s="74">
        <v>75</v>
      </c>
      <c r="CL5" s="89">
        <v>8081.25</v>
      </c>
      <c r="CM5" s="90">
        <v>23705</v>
      </c>
      <c r="CN5" s="91">
        <v>1724</v>
      </c>
      <c r="CO5" s="68"/>
      <c r="CP5" s="64">
        <v>36374</v>
      </c>
      <c r="CQ5" s="71">
        <v>40</v>
      </c>
      <c r="CR5" s="81">
        <v>97.6</v>
      </c>
      <c r="CS5" s="62">
        <v>34562</v>
      </c>
      <c r="CT5" s="71">
        <v>6</v>
      </c>
      <c r="CU5" s="81">
        <v>14.64</v>
      </c>
      <c r="CV5" s="68">
        <v>10874</v>
      </c>
      <c r="CW5" s="71">
        <v>24</v>
      </c>
      <c r="CX5" s="81">
        <v>58.56</v>
      </c>
      <c r="CY5" s="62">
        <v>835172</v>
      </c>
      <c r="CZ5" s="71">
        <v>154</v>
      </c>
      <c r="DA5" s="81">
        <v>375.76</v>
      </c>
      <c r="DB5" s="68">
        <v>6649</v>
      </c>
      <c r="DC5" s="71">
        <v>8</v>
      </c>
      <c r="DD5" s="81">
        <v>19.12</v>
      </c>
      <c r="DE5" s="132">
        <v>8004</v>
      </c>
      <c r="DF5" s="71">
        <v>10</v>
      </c>
      <c r="DG5" s="71">
        <v>0</v>
      </c>
      <c r="DH5" s="132">
        <v>4686</v>
      </c>
      <c r="DI5" s="71">
        <v>7</v>
      </c>
      <c r="DJ5" s="71" t="s">
        <v>127</v>
      </c>
      <c r="DK5" s="68">
        <v>1919</v>
      </c>
      <c r="DL5" s="71">
        <v>1</v>
      </c>
      <c r="DM5" s="71">
        <v>0</v>
      </c>
      <c r="DN5" s="68">
        <v>5369</v>
      </c>
      <c r="DO5" s="71">
        <v>10</v>
      </c>
      <c r="DP5" s="71" t="s">
        <v>127</v>
      </c>
      <c r="DQ5" s="68">
        <v>4929</v>
      </c>
      <c r="DR5" s="71">
        <v>12</v>
      </c>
      <c r="DS5" s="71">
        <v>4</v>
      </c>
      <c r="DT5" s="68">
        <v>5701</v>
      </c>
      <c r="DU5" s="71">
        <v>9</v>
      </c>
      <c r="DV5" s="71" t="s">
        <v>127</v>
      </c>
      <c r="DW5" s="68">
        <v>5637</v>
      </c>
      <c r="DX5" s="71">
        <v>6</v>
      </c>
      <c r="DY5" s="81">
        <v>14.34</v>
      </c>
      <c r="DZ5" s="85"/>
      <c r="EA5" s="81">
        <v>0</v>
      </c>
      <c r="EB5" s="85"/>
      <c r="EC5" s="81">
        <v>0</v>
      </c>
      <c r="ED5" s="94"/>
      <c r="EE5" s="81">
        <v>0</v>
      </c>
      <c r="EF5" s="62"/>
      <c r="EG5" s="81">
        <v>0</v>
      </c>
      <c r="EH5" s="94">
        <v>108</v>
      </c>
      <c r="EI5" s="95">
        <v>311</v>
      </c>
      <c r="EJ5" s="93">
        <v>0.81</v>
      </c>
      <c r="EK5" s="127"/>
      <c r="EL5" s="128"/>
      <c r="EM5" s="129"/>
      <c r="EN5" s="130"/>
      <c r="EO5" s="130"/>
      <c r="EP5" s="130"/>
    </row>
    <row r="6" spans="1:146" s="20" customFormat="1" ht="15.75" thickBot="1" x14ac:dyDescent="0.25">
      <c r="A6" s="61">
        <v>44503</v>
      </c>
      <c r="B6" s="64">
        <v>8433068</v>
      </c>
      <c r="C6" s="63">
        <v>21845</v>
      </c>
      <c r="D6" s="64">
        <v>7599206</v>
      </c>
      <c r="E6" s="63">
        <v>21582</v>
      </c>
      <c r="F6" s="113">
        <v>0.98796063172350657</v>
      </c>
      <c r="G6" s="64">
        <v>1058</v>
      </c>
      <c r="H6" s="67">
        <v>1022</v>
      </c>
      <c r="I6" s="67">
        <v>289262</v>
      </c>
      <c r="J6" s="66">
        <v>0</v>
      </c>
      <c r="K6" s="67">
        <v>794</v>
      </c>
      <c r="L6" s="66">
        <v>0</v>
      </c>
      <c r="M6" s="68">
        <v>636988</v>
      </c>
      <c r="N6" s="66">
        <v>0</v>
      </c>
      <c r="O6" s="68">
        <v>1015</v>
      </c>
      <c r="P6" s="66">
        <v>0</v>
      </c>
      <c r="Q6" s="68">
        <v>2606647</v>
      </c>
      <c r="R6" s="66">
        <v>863</v>
      </c>
      <c r="S6" s="68">
        <v>2212254</v>
      </c>
      <c r="T6" s="66">
        <v>476</v>
      </c>
      <c r="U6" s="64">
        <v>131949</v>
      </c>
      <c r="V6" s="66">
        <v>322</v>
      </c>
      <c r="W6" s="131"/>
      <c r="X6" s="116">
        <v>0.7</v>
      </c>
      <c r="Y6" s="70">
        <v>280</v>
      </c>
      <c r="Z6" s="67">
        <v>8</v>
      </c>
      <c r="AA6" s="68">
        <v>1585090</v>
      </c>
      <c r="AB6" s="63">
        <v>2760</v>
      </c>
      <c r="AC6" s="75">
        <v>430890</v>
      </c>
      <c r="AD6" s="71">
        <v>400</v>
      </c>
      <c r="AE6" s="76">
        <v>1153</v>
      </c>
      <c r="AF6" s="72">
        <v>1</v>
      </c>
      <c r="AG6" s="65">
        <v>4770</v>
      </c>
      <c r="AH6" s="73">
        <v>6</v>
      </c>
      <c r="AI6" s="22"/>
      <c r="AJ6" s="22"/>
      <c r="AK6" s="64">
        <v>593910</v>
      </c>
      <c r="AL6" s="66">
        <v>190</v>
      </c>
      <c r="AM6" s="78">
        <v>1335</v>
      </c>
      <c r="AN6" s="63">
        <v>1</v>
      </c>
      <c r="AO6" s="64">
        <v>53383</v>
      </c>
      <c r="AP6" s="77">
        <v>19</v>
      </c>
      <c r="AQ6" s="64">
        <v>9007</v>
      </c>
      <c r="AR6" s="63">
        <v>1</v>
      </c>
      <c r="AS6" s="64">
        <v>10690</v>
      </c>
      <c r="AT6" s="63">
        <v>2</v>
      </c>
      <c r="AU6" s="64">
        <v>15228</v>
      </c>
      <c r="AV6" s="63">
        <v>16</v>
      </c>
      <c r="AW6" s="68">
        <v>19598</v>
      </c>
      <c r="AX6" s="63">
        <v>0</v>
      </c>
      <c r="AY6" s="62">
        <v>20770</v>
      </c>
      <c r="AZ6" s="71">
        <v>3</v>
      </c>
      <c r="BA6" s="68">
        <v>13982</v>
      </c>
      <c r="BB6" s="63">
        <v>4</v>
      </c>
      <c r="BC6" s="62">
        <v>6324</v>
      </c>
      <c r="BD6" s="63">
        <v>3</v>
      </c>
      <c r="BE6" s="64">
        <v>26874</v>
      </c>
      <c r="BF6" s="63">
        <v>5</v>
      </c>
      <c r="BG6" s="64">
        <v>4546</v>
      </c>
      <c r="BH6" s="63">
        <v>5</v>
      </c>
      <c r="BI6">
        <v>14210</v>
      </c>
      <c r="BJ6" s="63">
        <v>92</v>
      </c>
      <c r="BK6" s="68">
        <v>3636</v>
      </c>
      <c r="BL6" s="63">
        <v>0</v>
      </c>
      <c r="BM6" s="71">
        <v>23</v>
      </c>
      <c r="BN6" s="71">
        <v>167</v>
      </c>
      <c r="BO6" s="64">
        <v>613390</v>
      </c>
      <c r="BP6" s="71">
        <v>150</v>
      </c>
      <c r="BQ6" s="78">
        <v>1250</v>
      </c>
      <c r="BR6" s="63">
        <v>15</v>
      </c>
      <c r="BS6" s="68">
        <v>799580</v>
      </c>
      <c r="BT6" s="71">
        <v>230</v>
      </c>
      <c r="BU6" s="82">
        <v>1152</v>
      </c>
      <c r="BV6" s="71" t="s">
        <v>127</v>
      </c>
      <c r="BW6" s="81">
        <v>40</v>
      </c>
      <c r="BX6" s="71">
        <v>380</v>
      </c>
      <c r="BY6" s="83">
        <v>53</v>
      </c>
      <c r="BZ6" s="62">
        <v>110</v>
      </c>
      <c r="CA6" s="84">
        <v>13257.678020880703</v>
      </c>
      <c r="CB6" s="86"/>
      <c r="CC6" s="126">
        <v>0</v>
      </c>
      <c r="CD6" s="64">
        <v>215577</v>
      </c>
      <c r="CE6" s="71">
        <v>183</v>
      </c>
      <c r="CF6" s="81">
        <v>1044.93</v>
      </c>
      <c r="CG6" s="74">
        <v>71</v>
      </c>
      <c r="CH6" s="87">
        <v>7650.25</v>
      </c>
      <c r="CI6" s="65">
        <v>74</v>
      </c>
      <c r="CJ6" s="88">
        <v>7973.5</v>
      </c>
      <c r="CK6" s="74">
        <v>71</v>
      </c>
      <c r="CL6" s="89">
        <v>7650.25</v>
      </c>
      <c r="CM6" s="90">
        <v>23274</v>
      </c>
      <c r="CN6" s="91">
        <v>431</v>
      </c>
      <c r="CP6" s="64">
        <v>36425</v>
      </c>
      <c r="CQ6" s="71">
        <v>51</v>
      </c>
      <c r="CR6" s="81">
        <v>124.44</v>
      </c>
      <c r="CS6" s="68">
        <v>34570</v>
      </c>
      <c r="CT6" s="71">
        <v>8</v>
      </c>
      <c r="CU6" s="81">
        <v>19.52</v>
      </c>
      <c r="CV6" s="68">
        <v>10892</v>
      </c>
      <c r="CW6" s="71">
        <v>30</v>
      </c>
      <c r="CX6" s="81">
        <v>73.2</v>
      </c>
      <c r="CY6" s="68">
        <v>835326</v>
      </c>
      <c r="CZ6" s="71">
        <v>154</v>
      </c>
      <c r="DA6" s="81">
        <v>375.76</v>
      </c>
      <c r="DB6" s="68">
        <v>6657</v>
      </c>
      <c r="DC6" s="71">
        <v>8</v>
      </c>
      <c r="DD6" s="81">
        <v>19.12</v>
      </c>
      <c r="DE6" s="64">
        <v>8014</v>
      </c>
      <c r="DF6" s="71">
        <v>10</v>
      </c>
      <c r="DG6" s="71">
        <v>0</v>
      </c>
      <c r="DH6" s="64">
        <v>4693</v>
      </c>
      <c r="DI6" s="71">
        <v>7</v>
      </c>
      <c r="DJ6" s="71">
        <v>0</v>
      </c>
      <c r="DK6" s="68">
        <v>1921</v>
      </c>
      <c r="DL6" s="71">
        <v>2</v>
      </c>
      <c r="DM6" s="71">
        <v>1</v>
      </c>
      <c r="DN6" s="68">
        <v>5378</v>
      </c>
      <c r="DO6" s="71">
        <v>9</v>
      </c>
      <c r="DP6" s="71" t="s">
        <v>127</v>
      </c>
      <c r="DQ6" s="68">
        <v>4939</v>
      </c>
      <c r="DR6" s="71">
        <v>10</v>
      </c>
      <c r="DS6" s="71" t="s">
        <v>127</v>
      </c>
      <c r="DT6" s="68">
        <v>5710</v>
      </c>
      <c r="DU6" s="71">
        <v>9</v>
      </c>
      <c r="DV6" s="71">
        <v>0</v>
      </c>
      <c r="DW6" s="68">
        <v>5644</v>
      </c>
      <c r="DX6" s="71">
        <v>7</v>
      </c>
      <c r="DY6" s="81">
        <v>16.73</v>
      </c>
      <c r="DZ6" s="85"/>
      <c r="EA6" s="81">
        <v>0</v>
      </c>
      <c r="EB6" s="85"/>
      <c r="EC6" s="81">
        <v>0</v>
      </c>
      <c r="ED6" s="94"/>
      <c r="EE6" s="81">
        <v>0</v>
      </c>
      <c r="EF6" s="94"/>
      <c r="EG6" s="81">
        <v>0</v>
      </c>
      <c r="EH6" s="94">
        <v>107</v>
      </c>
      <c r="EI6" s="95">
        <v>312</v>
      </c>
      <c r="EJ6" s="93">
        <v>0.8</v>
      </c>
      <c r="EK6" s="96"/>
      <c r="EL6" s="94"/>
      <c r="EM6" s="95"/>
      <c r="EN6" s="98"/>
      <c r="EO6" s="98"/>
      <c r="EP6" s="98"/>
    </row>
    <row r="7" spans="1:146" s="20" customFormat="1" ht="15.75" thickBot="1" x14ac:dyDescent="0.25">
      <c r="A7" s="61">
        <v>44504</v>
      </c>
      <c r="B7" s="68">
        <v>8455185</v>
      </c>
      <c r="C7" s="63">
        <v>22117</v>
      </c>
      <c r="D7" s="64">
        <v>7620788</v>
      </c>
      <c r="E7" s="63">
        <v>21582</v>
      </c>
      <c r="F7" s="113">
        <v>0.97581046254012749</v>
      </c>
      <c r="G7" s="64">
        <v>1058</v>
      </c>
      <c r="H7" s="64">
        <v>1022</v>
      </c>
      <c r="I7" s="67">
        <v>289262</v>
      </c>
      <c r="J7" s="66">
        <v>0</v>
      </c>
      <c r="K7" s="67">
        <v>794</v>
      </c>
      <c r="L7" s="63">
        <v>0</v>
      </c>
      <c r="M7" s="68">
        <v>636988</v>
      </c>
      <c r="N7" s="66">
        <v>0</v>
      </c>
      <c r="O7" s="68">
        <v>1015</v>
      </c>
      <c r="P7" s="66">
        <v>0</v>
      </c>
      <c r="Q7" s="68">
        <v>2607510</v>
      </c>
      <c r="R7" s="66">
        <v>863</v>
      </c>
      <c r="S7" s="68">
        <v>2212722</v>
      </c>
      <c r="T7" s="66">
        <v>468</v>
      </c>
      <c r="U7" s="68">
        <v>132153</v>
      </c>
      <c r="V7" s="66">
        <v>204</v>
      </c>
      <c r="W7" s="131"/>
      <c r="X7" s="116">
        <v>1</v>
      </c>
      <c r="Y7" s="70">
        <v>400</v>
      </c>
      <c r="Z7" s="67">
        <v>0</v>
      </c>
      <c r="AA7" s="68">
        <v>1585980</v>
      </c>
      <c r="AB7" s="63">
        <v>890</v>
      </c>
      <c r="AC7" s="75">
        <v>431290</v>
      </c>
      <c r="AD7" s="71">
        <v>400</v>
      </c>
      <c r="AE7" s="68">
        <v>1153</v>
      </c>
      <c r="AF7" s="72">
        <v>0</v>
      </c>
      <c r="AG7" s="64">
        <v>4774</v>
      </c>
      <c r="AH7" s="73">
        <v>4</v>
      </c>
      <c r="AI7" s="19"/>
      <c r="AJ7" s="19"/>
      <c r="AK7" s="64">
        <v>594070</v>
      </c>
      <c r="AL7" s="66">
        <v>160</v>
      </c>
      <c r="AM7" s="78">
        <v>1336</v>
      </c>
      <c r="AN7" s="63">
        <v>1</v>
      </c>
      <c r="AO7" s="74">
        <v>53402</v>
      </c>
      <c r="AP7" s="77">
        <v>19</v>
      </c>
      <c r="AQ7" s="64">
        <v>9007</v>
      </c>
      <c r="AR7" s="63">
        <v>0</v>
      </c>
      <c r="AS7" s="68">
        <v>10693</v>
      </c>
      <c r="AT7" s="63">
        <v>3</v>
      </c>
      <c r="AU7" s="64">
        <v>15244</v>
      </c>
      <c r="AV7" s="63">
        <v>16</v>
      </c>
      <c r="AW7" s="68">
        <v>19606</v>
      </c>
      <c r="AX7" s="63">
        <v>8</v>
      </c>
      <c r="AY7" s="62">
        <v>20771</v>
      </c>
      <c r="AZ7" s="71">
        <v>1</v>
      </c>
      <c r="BA7" s="68">
        <v>13984</v>
      </c>
      <c r="BB7" s="63">
        <v>2</v>
      </c>
      <c r="BC7" s="62">
        <v>6326</v>
      </c>
      <c r="BD7" s="63">
        <v>2</v>
      </c>
      <c r="BE7" s="64">
        <v>26878</v>
      </c>
      <c r="BF7" s="63">
        <v>4</v>
      </c>
      <c r="BG7" s="64">
        <v>4552</v>
      </c>
      <c r="BH7" s="63">
        <v>6</v>
      </c>
      <c r="BI7">
        <v>14304</v>
      </c>
      <c r="BJ7" s="63">
        <v>94</v>
      </c>
      <c r="BK7" s="68">
        <v>3636</v>
      </c>
      <c r="BL7" s="63">
        <v>0</v>
      </c>
      <c r="BM7" s="71">
        <v>19</v>
      </c>
      <c r="BN7" s="71">
        <v>141</v>
      </c>
      <c r="BO7" s="64">
        <v>613520</v>
      </c>
      <c r="BP7" s="71">
        <v>130</v>
      </c>
      <c r="BQ7" s="119">
        <v>1265</v>
      </c>
      <c r="BR7" s="63">
        <v>15</v>
      </c>
      <c r="BS7" s="62">
        <v>799810</v>
      </c>
      <c r="BT7" s="71">
        <v>230</v>
      </c>
      <c r="BU7" s="78">
        <v>1157</v>
      </c>
      <c r="BV7" s="71">
        <v>5</v>
      </c>
      <c r="BW7" s="81">
        <v>70</v>
      </c>
      <c r="BX7" s="71">
        <v>360</v>
      </c>
      <c r="BY7" s="83">
        <v>57</v>
      </c>
      <c r="BZ7" s="62">
        <v>110</v>
      </c>
      <c r="CA7" s="84">
        <v>13257.678020880703</v>
      </c>
      <c r="CB7" s="68"/>
      <c r="CC7" s="126">
        <v>0</v>
      </c>
      <c r="CD7" s="64">
        <v>215770</v>
      </c>
      <c r="CE7" s="71">
        <v>193</v>
      </c>
      <c r="CF7" s="81">
        <v>1102.03</v>
      </c>
      <c r="CG7" s="64">
        <v>68</v>
      </c>
      <c r="CH7" s="87">
        <v>7327</v>
      </c>
      <c r="CI7" s="64">
        <v>70</v>
      </c>
      <c r="CJ7" s="88">
        <v>7542.5</v>
      </c>
      <c r="CK7" s="68">
        <v>67</v>
      </c>
      <c r="CL7" s="89">
        <v>7219.25</v>
      </c>
      <c r="CM7" s="90">
        <v>22088.75</v>
      </c>
      <c r="CN7" s="91">
        <v>1185.25</v>
      </c>
      <c r="CO7" s="68"/>
      <c r="CP7" s="68">
        <v>36462</v>
      </c>
      <c r="CQ7" s="71">
        <v>37</v>
      </c>
      <c r="CR7" s="81">
        <v>90.28</v>
      </c>
      <c r="CS7" s="68">
        <v>34576</v>
      </c>
      <c r="CT7" s="71">
        <v>6</v>
      </c>
      <c r="CU7" s="81">
        <v>14.64</v>
      </c>
      <c r="CV7" s="68">
        <v>10911</v>
      </c>
      <c r="CW7" s="71">
        <v>0</v>
      </c>
      <c r="CX7" s="81">
        <v>0</v>
      </c>
      <c r="CY7" s="68">
        <v>825210</v>
      </c>
      <c r="CZ7" s="71" t="s">
        <v>127</v>
      </c>
      <c r="DA7" s="81">
        <v>0</v>
      </c>
      <c r="DB7" s="68">
        <v>6666</v>
      </c>
      <c r="DC7" s="71">
        <v>9</v>
      </c>
      <c r="DD7" s="81">
        <v>21.51</v>
      </c>
      <c r="DE7" s="68">
        <v>8025</v>
      </c>
      <c r="DF7" s="71">
        <v>11</v>
      </c>
      <c r="DG7" s="71">
        <v>1</v>
      </c>
      <c r="DH7" s="64">
        <v>4701</v>
      </c>
      <c r="DI7" s="71">
        <v>8</v>
      </c>
      <c r="DJ7" s="71">
        <v>1</v>
      </c>
      <c r="DK7" s="68">
        <v>1922</v>
      </c>
      <c r="DL7" s="71">
        <v>1</v>
      </c>
      <c r="DM7" s="71" t="s">
        <v>127</v>
      </c>
      <c r="DN7" s="68">
        <v>5388</v>
      </c>
      <c r="DO7" s="71">
        <v>10</v>
      </c>
      <c r="DP7" s="71">
        <v>1</v>
      </c>
      <c r="DQ7" s="68">
        <v>4949</v>
      </c>
      <c r="DR7" s="71">
        <v>10</v>
      </c>
      <c r="DS7" s="71">
        <v>0</v>
      </c>
      <c r="DT7" s="68">
        <v>5720</v>
      </c>
      <c r="DU7" s="71">
        <v>10</v>
      </c>
      <c r="DV7" s="71">
        <v>1</v>
      </c>
      <c r="DW7" s="68">
        <v>5650</v>
      </c>
      <c r="DX7" s="71">
        <v>6</v>
      </c>
      <c r="DY7" s="81">
        <v>14.34</v>
      </c>
      <c r="DZ7" s="85"/>
      <c r="EA7" s="81">
        <v>0</v>
      </c>
      <c r="EB7" s="85"/>
      <c r="EC7" s="81">
        <v>0</v>
      </c>
      <c r="ED7" s="94"/>
      <c r="EE7" s="81">
        <v>0</v>
      </c>
      <c r="EF7" s="94"/>
      <c r="EG7" s="81">
        <v>0</v>
      </c>
      <c r="EH7" s="94">
        <v>104</v>
      </c>
      <c r="EI7" s="95">
        <v>292</v>
      </c>
      <c r="EJ7" s="93">
        <v>0.78</v>
      </c>
      <c r="EK7" s="96"/>
      <c r="EL7" s="94"/>
      <c r="EM7" s="95"/>
      <c r="EN7" s="98"/>
      <c r="EO7" s="98"/>
      <c r="EP7" s="98"/>
    </row>
    <row r="8" spans="1:146" s="20" customFormat="1" ht="15.75" thickBot="1" x14ac:dyDescent="0.25">
      <c r="A8" s="61">
        <v>44505</v>
      </c>
      <c r="B8" s="68">
        <v>8477456</v>
      </c>
      <c r="C8" s="63">
        <v>22271</v>
      </c>
      <c r="D8" s="68">
        <v>7643102</v>
      </c>
      <c r="E8" s="63">
        <v>22314</v>
      </c>
      <c r="F8" s="113">
        <v>1.0019307619774596</v>
      </c>
      <c r="G8" s="64">
        <v>1082</v>
      </c>
      <c r="H8" s="64">
        <v>1022</v>
      </c>
      <c r="I8" s="65">
        <v>289262</v>
      </c>
      <c r="J8" s="66">
        <v>0</v>
      </c>
      <c r="K8" s="67">
        <v>794</v>
      </c>
      <c r="L8" s="63">
        <v>0</v>
      </c>
      <c r="M8" s="68">
        <v>636988</v>
      </c>
      <c r="N8" s="66">
        <v>0</v>
      </c>
      <c r="O8" s="68">
        <v>1015</v>
      </c>
      <c r="P8" s="66">
        <v>0</v>
      </c>
      <c r="Q8" s="68">
        <v>2611179</v>
      </c>
      <c r="R8" s="66">
        <v>3669</v>
      </c>
      <c r="S8" s="68">
        <v>2213223</v>
      </c>
      <c r="T8" s="66">
        <v>501</v>
      </c>
      <c r="U8" s="68">
        <v>132228</v>
      </c>
      <c r="V8" s="66">
        <v>75</v>
      </c>
      <c r="W8" s="131"/>
      <c r="X8" s="116">
        <v>0.9</v>
      </c>
      <c r="Y8" s="70">
        <v>360</v>
      </c>
      <c r="Z8" s="67">
        <v>0</v>
      </c>
      <c r="AA8" s="68">
        <v>1585980</v>
      </c>
      <c r="AB8" s="63">
        <v>0</v>
      </c>
      <c r="AC8" s="75">
        <v>431660</v>
      </c>
      <c r="AD8" s="71">
        <v>370</v>
      </c>
      <c r="AE8" s="68">
        <v>1153</v>
      </c>
      <c r="AF8" s="72">
        <v>0</v>
      </c>
      <c r="AG8" s="64">
        <v>4780</v>
      </c>
      <c r="AH8" s="73">
        <v>6</v>
      </c>
      <c r="AI8" s="19"/>
      <c r="AJ8" s="19"/>
      <c r="AK8" s="64">
        <v>594250</v>
      </c>
      <c r="AL8" s="66">
        <v>180</v>
      </c>
      <c r="AM8" s="78">
        <v>1337</v>
      </c>
      <c r="AN8" s="63">
        <v>1</v>
      </c>
      <c r="AO8" s="68">
        <v>53420</v>
      </c>
      <c r="AP8" s="77">
        <v>18</v>
      </c>
      <c r="AQ8" s="64">
        <v>9007</v>
      </c>
      <c r="AR8" s="63">
        <v>0</v>
      </c>
      <c r="AS8" s="68">
        <v>10695</v>
      </c>
      <c r="AT8" s="63">
        <v>2</v>
      </c>
      <c r="AU8" s="64">
        <v>15260</v>
      </c>
      <c r="AV8" s="63">
        <v>16</v>
      </c>
      <c r="AW8" s="68">
        <v>19617</v>
      </c>
      <c r="AX8" s="63">
        <v>11</v>
      </c>
      <c r="AY8" s="62">
        <v>20773</v>
      </c>
      <c r="AZ8" s="71">
        <v>2</v>
      </c>
      <c r="BA8" s="68">
        <v>13987</v>
      </c>
      <c r="BB8" s="63">
        <v>3</v>
      </c>
      <c r="BC8" s="62">
        <v>6328</v>
      </c>
      <c r="BD8" s="63">
        <v>2</v>
      </c>
      <c r="BE8" s="68">
        <v>26883</v>
      </c>
      <c r="BF8" s="63">
        <v>5</v>
      </c>
      <c r="BG8" s="64">
        <v>4558</v>
      </c>
      <c r="BH8" s="63">
        <v>6</v>
      </c>
      <c r="BI8">
        <v>14399</v>
      </c>
      <c r="BJ8" s="63">
        <v>95</v>
      </c>
      <c r="BK8" s="68">
        <v>3636</v>
      </c>
      <c r="BL8" s="63">
        <v>0</v>
      </c>
      <c r="BM8" s="71">
        <v>21</v>
      </c>
      <c r="BN8" s="71">
        <v>159</v>
      </c>
      <c r="BO8" s="64">
        <v>613670</v>
      </c>
      <c r="BP8" s="71">
        <v>150</v>
      </c>
      <c r="BQ8" s="78">
        <v>1280</v>
      </c>
      <c r="BR8" s="63">
        <v>15</v>
      </c>
      <c r="BS8" s="68">
        <v>800050</v>
      </c>
      <c r="BT8" s="71">
        <v>240</v>
      </c>
      <c r="BU8" s="78">
        <v>1190</v>
      </c>
      <c r="BV8" s="71">
        <v>33</v>
      </c>
      <c r="BW8" s="81">
        <v>60</v>
      </c>
      <c r="BX8" s="71">
        <v>390</v>
      </c>
      <c r="BY8" s="83">
        <v>60</v>
      </c>
      <c r="BZ8" s="62">
        <v>110</v>
      </c>
      <c r="CA8" s="84">
        <v>13257.678020880703</v>
      </c>
      <c r="CB8" s="68"/>
      <c r="CC8" s="126">
        <v>0</v>
      </c>
      <c r="CD8" s="68">
        <v>215963</v>
      </c>
      <c r="CE8" s="71">
        <v>193</v>
      </c>
      <c r="CF8" s="81">
        <v>1102.03</v>
      </c>
      <c r="CG8" s="64">
        <v>83</v>
      </c>
      <c r="CH8" s="87">
        <v>8943.25</v>
      </c>
      <c r="CI8" s="68">
        <v>82</v>
      </c>
      <c r="CJ8" s="88">
        <v>8835.5</v>
      </c>
      <c r="CK8" s="68">
        <v>85</v>
      </c>
      <c r="CL8" s="89">
        <v>9158.75</v>
      </c>
      <c r="CM8" s="90">
        <v>26937.5</v>
      </c>
      <c r="CN8" s="91">
        <v>-4848.75</v>
      </c>
      <c r="CO8" s="68">
        <v>6476</v>
      </c>
      <c r="CP8" s="68">
        <v>36509</v>
      </c>
      <c r="CQ8" s="71">
        <v>47</v>
      </c>
      <c r="CR8" s="81">
        <v>114.67999999999999</v>
      </c>
      <c r="CS8" s="68">
        <v>34583</v>
      </c>
      <c r="CT8" s="71">
        <v>7</v>
      </c>
      <c r="CU8" s="81">
        <v>17.079999999999998</v>
      </c>
      <c r="CV8" s="68">
        <v>10933</v>
      </c>
      <c r="CW8" s="71">
        <v>0</v>
      </c>
      <c r="CX8" s="81">
        <v>0</v>
      </c>
      <c r="CY8" s="68">
        <v>835279</v>
      </c>
      <c r="CZ8" s="71">
        <v>10069</v>
      </c>
      <c r="DA8" s="81">
        <v>24568.36</v>
      </c>
      <c r="DB8" s="68">
        <v>6674</v>
      </c>
      <c r="DC8" s="71">
        <v>8</v>
      </c>
      <c r="DD8" s="81">
        <v>19.12</v>
      </c>
      <c r="DE8" s="68">
        <v>8035</v>
      </c>
      <c r="DF8" s="71">
        <v>10</v>
      </c>
      <c r="DG8" s="71" t="s">
        <v>127</v>
      </c>
      <c r="DH8" s="68">
        <v>4708</v>
      </c>
      <c r="DI8" s="71">
        <v>7</v>
      </c>
      <c r="DJ8" s="71" t="s">
        <v>127</v>
      </c>
      <c r="DK8" s="68">
        <v>1923</v>
      </c>
      <c r="DL8" s="71">
        <v>1</v>
      </c>
      <c r="DM8" s="71">
        <v>0</v>
      </c>
      <c r="DN8" s="68">
        <v>5397</v>
      </c>
      <c r="DO8" s="71">
        <v>9</v>
      </c>
      <c r="DP8" s="71" t="s">
        <v>127</v>
      </c>
      <c r="DQ8" s="68">
        <v>4961</v>
      </c>
      <c r="DR8" s="71">
        <v>12</v>
      </c>
      <c r="DS8" s="71">
        <v>2</v>
      </c>
      <c r="DT8" s="68">
        <v>5729</v>
      </c>
      <c r="DU8" s="71">
        <v>9</v>
      </c>
      <c r="DV8" s="71" t="s">
        <v>127</v>
      </c>
      <c r="DW8" s="68">
        <v>5656</v>
      </c>
      <c r="DX8" s="71">
        <v>6</v>
      </c>
      <c r="DY8" s="81">
        <v>14.34</v>
      </c>
      <c r="DZ8" s="85"/>
      <c r="EA8" s="81">
        <v>0</v>
      </c>
      <c r="EB8" s="85"/>
      <c r="EC8" s="81">
        <v>0</v>
      </c>
      <c r="ED8" s="94"/>
      <c r="EE8" s="81">
        <v>0</v>
      </c>
      <c r="EF8" s="94"/>
      <c r="EG8" s="81">
        <v>0</v>
      </c>
      <c r="EH8" s="94">
        <v>95</v>
      </c>
      <c r="EI8" s="95">
        <v>261</v>
      </c>
      <c r="EJ8" s="93">
        <v>0.71</v>
      </c>
      <c r="EK8" s="96"/>
      <c r="EL8" s="94"/>
      <c r="EM8" s="95"/>
      <c r="EN8" s="98"/>
      <c r="EO8" s="98"/>
      <c r="EP8" s="98"/>
    </row>
    <row r="9" spans="1:146" s="20" customFormat="1" ht="15.75" thickBot="1" x14ac:dyDescent="0.25">
      <c r="A9" s="61">
        <v>44506</v>
      </c>
      <c r="B9" s="68">
        <v>8499859</v>
      </c>
      <c r="C9" s="63">
        <v>22403</v>
      </c>
      <c r="D9" s="68">
        <v>7664846</v>
      </c>
      <c r="E9" s="63">
        <v>21744</v>
      </c>
      <c r="F9" s="113">
        <v>0.97058429674597158</v>
      </c>
      <c r="G9" s="64">
        <v>1082</v>
      </c>
      <c r="H9" s="64">
        <v>1022</v>
      </c>
      <c r="I9" s="65">
        <v>289262</v>
      </c>
      <c r="J9" s="66">
        <v>0</v>
      </c>
      <c r="K9" s="67">
        <v>794</v>
      </c>
      <c r="L9" s="63">
        <v>0</v>
      </c>
      <c r="M9" s="68">
        <v>636988</v>
      </c>
      <c r="N9" s="66">
        <v>0</v>
      </c>
      <c r="O9" s="68">
        <v>1015</v>
      </c>
      <c r="P9" s="66">
        <v>0</v>
      </c>
      <c r="Q9" s="68">
        <v>2612377</v>
      </c>
      <c r="R9" s="66">
        <v>1198</v>
      </c>
      <c r="S9" s="68">
        <v>2213661</v>
      </c>
      <c r="T9" s="66">
        <v>438</v>
      </c>
      <c r="U9" s="68">
        <v>132286</v>
      </c>
      <c r="V9" s="66">
        <v>58</v>
      </c>
      <c r="W9" s="131"/>
      <c r="X9" s="116">
        <v>0.6</v>
      </c>
      <c r="Y9" s="70">
        <v>240</v>
      </c>
      <c r="Z9" s="67">
        <v>11</v>
      </c>
      <c r="AA9" s="68">
        <v>1588090</v>
      </c>
      <c r="AB9" s="63">
        <v>2110</v>
      </c>
      <c r="AC9" s="75">
        <v>432090</v>
      </c>
      <c r="AD9" s="71">
        <v>430</v>
      </c>
      <c r="AE9" s="68">
        <v>1153</v>
      </c>
      <c r="AF9" s="72">
        <v>0</v>
      </c>
      <c r="AG9" s="64">
        <v>4780</v>
      </c>
      <c r="AH9" s="73">
        <v>0</v>
      </c>
      <c r="AI9" s="19"/>
      <c r="AJ9" s="19"/>
      <c r="AK9" s="64">
        <v>594480</v>
      </c>
      <c r="AL9" s="66">
        <v>230</v>
      </c>
      <c r="AM9" s="78">
        <v>1339</v>
      </c>
      <c r="AN9" s="63">
        <v>2</v>
      </c>
      <c r="AO9" s="64">
        <v>53438</v>
      </c>
      <c r="AP9" s="77">
        <v>18</v>
      </c>
      <c r="AQ9" s="64">
        <v>9008</v>
      </c>
      <c r="AR9" s="63">
        <v>1</v>
      </c>
      <c r="AS9" s="68">
        <v>10697</v>
      </c>
      <c r="AT9" s="63">
        <v>2</v>
      </c>
      <c r="AU9" s="64">
        <v>15275</v>
      </c>
      <c r="AV9" s="63">
        <v>15</v>
      </c>
      <c r="AW9" s="68">
        <v>19621</v>
      </c>
      <c r="AX9" s="63">
        <v>4</v>
      </c>
      <c r="AY9" s="62">
        <v>20775</v>
      </c>
      <c r="AZ9" s="71">
        <v>2</v>
      </c>
      <c r="BA9" s="68">
        <v>13991</v>
      </c>
      <c r="BB9" s="63">
        <v>4</v>
      </c>
      <c r="BC9" s="62">
        <v>6329</v>
      </c>
      <c r="BD9" s="63">
        <v>1</v>
      </c>
      <c r="BE9" s="64">
        <v>26886</v>
      </c>
      <c r="BF9" s="63">
        <v>3</v>
      </c>
      <c r="BG9" s="64">
        <v>4564</v>
      </c>
      <c r="BH9" s="63">
        <v>6</v>
      </c>
      <c r="BI9">
        <v>14491</v>
      </c>
      <c r="BJ9" s="63">
        <v>92</v>
      </c>
      <c r="BK9" s="68">
        <v>3636</v>
      </c>
      <c r="BL9" s="63">
        <v>0</v>
      </c>
      <c r="BM9" s="71">
        <v>21</v>
      </c>
      <c r="BN9" s="71">
        <v>209</v>
      </c>
      <c r="BO9" s="64">
        <v>613790</v>
      </c>
      <c r="BP9" s="71">
        <v>120</v>
      </c>
      <c r="BQ9" s="78">
        <v>1298</v>
      </c>
      <c r="BR9" s="63">
        <v>18</v>
      </c>
      <c r="BS9" s="68">
        <v>800350</v>
      </c>
      <c r="BT9" s="71">
        <v>300</v>
      </c>
      <c r="BU9" s="78">
        <v>1164</v>
      </c>
      <c r="BV9" s="71" t="s">
        <v>127</v>
      </c>
      <c r="BW9" s="81">
        <v>70</v>
      </c>
      <c r="BX9" s="71">
        <v>420</v>
      </c>
      <c r="BY9" s="83">
        <v>53</v>
      </c>
      <c r="BZ9" s="62">
        <v>110</v>
      </c>
      <c r="CA9" s="84">
        <v>13257.678020880703</v>
      </c>
      <c r="CB9" s="68"/>
      <c r="CC9" s="126">
        <v>0</v>
      </c>
      <c r="CD9" s="68">
        <v>216123</v>
      </c>
      <c r="CE9" s="71">
        <v>160</v>
      </c>
      <c r="CF9" s="81">
        <v>913.6</v>
      </c>
      <c r="CG9" s="68">
        <v>80</v>
      </c>
      <c r="CH9" s="87">
        <v>8620</v>
      </c>
      <c r="CI9" s="68">
        <v>80</v>
      </c>
      <c r="CJ9" s="88">
        <v>8620</v>
      </c>
      <c r="CK9" s="68">
        <v>80</v>
      </c>
      <c r="CL9" s="89">
        <v>8620</v>
      </c>
      <c r="CM9" s="90">
        <v>25860</v>
      </c>
      <c r="CN9" s="91">
        <v>7553.5</v>
      </c>
      <c r="CO9" s="68"/>
      <c r="CP9" s="68">
        <v>36549</v>
      </c>
      <c r="CQ9" s="71">
        <v>40</v>
      </c>
      <c r="CR9" s="81">
        <v>97.6</v>
      </c>
      <c r="CS9" s="68">
        <v>34589</v>
      </c>
      <c r="CT9" s="71">
        <v>6</v>
      </c>
      <c r="CU9" s="81">
        <v>14.64</v>
      </c>
      <c r="CV9" s="64">
        <v>10956</v>
      </c>
      <c r="CW9" s="71">
        <v>23</v>
      </c>
      <c r="CX9" s="81">
        <v>56.12</v>
      </c>
      <c r="CY9" s="68">
        <v>835341</v>
      </c>
      <c r="CZ9" s="71">
        <v>62</v>
      </c>
      <c r="DA9" s="81">
        <v>151.28</v>
      </c>
      <c r="DB9" s="68">
        <v>6681</v>
      </c>
      <c r="DC9" s="71">
        <v>7</v>
      </c>
      <c r="DD9" s="81">
        <v>16.73</v>
      </c>
      <c r="DE9" s="68">
        <v>8043</v>
      </c>
      <c r="DF9" s="71">
        <v>8</v>
      </c>
      <c r="DG9" s="71" t="s">
        <v>127</v>
      </c>
      <c r="DH9" s="68">
        <v>4715</v>
      </c>
      <c r="DI9" s="71">
        <v>7</v>
      </c>
      <c r="DJ9" s="71">
        <v>0</v>
      </c>
      <c r="DK9" s="68">
        <v>1924</v>
      </c>
      <c r="DL9" s="71">
        <v>1</v>
      </c>
      <c r="DM9" s="71">
        <v>0</v>
      </c>
      <c r="DN9" s="68">
        <v>5406</v>
      </c>
      <c r="DO9" s="71">
        <v>9</v>
      </c>
      <c r="DP9" s="71">
        <v>0</v>
      </c>
      <c r="DQ9" s="68">
        <v>4969</v>
      </c>
      <c r="DR9" s="71">
        <v>8</v>
      </c>
      <c r="DS9" s="71" t="s">
        <v>127</v>
      </c>
      <c r="DT9" s="68">
        <v>5739</v>
      </c>
      <c r="DU9" s="71">
        <v>10</v>
      </c>
      <c r="DV9" s="71">
        <v>1</v>
      </c>
      <c r="DW9" s="68">
        <v>5662</v>
      </c>
      <c r="DX9" s="71">
        <v>6</v>
      </c>
      <c r="DY9" s="81">
        <v>14.34</v>
      </c>
      <c r="DZ9" s="85"/>
      <c r="EA9" s="81">
        <v>0</v>
      </c>
      <c r="EB9" s="85"/>
      <c r="EC9" s="81">
        <v>0</v>
      </c>
      <c r="ED9" s="94"/>
      <c r="EE9" s="81">
        <v>0</v>
      </c>
      <c r="EF9" s="94"/>
      <c r="EG9" s="81">
        <v>0</v>
      </c>
      <c r="EH9" s="94"/>
      <c r="EI9" s="95"/>
      <c r="EJ9" s="93"/>
      <c r="EK9" s="96"/>
      <c r="EL9" s="94"/>
      <c r="EM9" s="95"/>
      <c r="EN9" s="98"/>
      <c r="EO9" s="98"/>
      <c r="EP9" s="98"/>
    </row>
    <row r="10" spans="1:146" s="20" customFormat="1" ht="15.75" thickBot="1" x14ac:dyDescent="0.25">
      <c r="A10" s="61">
        <v>44507</v>
      </c>
      <c r="B10" s="68">
        <v>8522337</v>
      </c>
      <c r="C10" s="63">
        <v>22478</v>
      </c>
      <c r="D10" s="68">
        <v>7684771</v>
      </c>
      <c r="E10" s="63">
        <v>19925</v>
      </c>
      <c r="F10" s="113">
        <v>0.88642227956223862</v>
      </c>
      <c r="G10" s="64">
        <v>1082</v>
      </c>
      <c r="H10" s="64">
        <v>1022</v>
      </c>
      <c r="I10" s="65">
        <v>289262</v>
      </c>
      <c r="J10" s="66">
        <v>0</v>
      </c>
      <c r="K10" s="67">
        <v>794</v>
      </c>
      <c r="L10" s="63">
        <v>0</v>
      </c>
      <c r="M10" s="68">
        <v>636988</v>
      </c>
      <c r="N10" s="66">
        <v>0</v>
      </c>
      <c r="O10" s="68">
        <v>1015</v>
      </c>
      <c r="P10" s="66">
        <v>0</v>
      </c>
      <c r="Q10" s="68">
        <v>2613337</v>
      </c>
      <c r="R10" s="66">
        <v>960</v>
      </c>
      <c r="S10" s="68">
        <v>2214097</v>
      </c>
      <c r="T10" s="66">
        <v>436</v>
      </c>
      <c r="U10" s="68">
        <v>132496</v>
      </c>
      <c r="V10" s="66">
        <v>210</v>
      </c>
      <c r="W10" s="131"/>
      <c r="X10" s="116">
        <v>0.7</v>
      </c>
      <c r="Y10" s="70">
        <v>280</v>
      </c>
      <c r="Z10" s="67">
        <v>0</v>
      </c>
      <c r="AA10" s="68">
        <v>1591950</v>
      </c>
      <c r="AB10" s="63">
        <v>3860</v>
      </c>
      <c r="AC10" s="75">
        <v>432530</v>
      </c>
      <c r="AD10" s="71">
        <v>440</v>
      </c>
      <c r="AE10" s="68">
        <v>1153</v>
      </c>
      <c r="AF10" s="72">
        <v>0</v>
      </c>
      <c r="AG10" s="64">
        <v>4780</v>
      </c>
      <c r="AH10" s="73">
        <v>0</v>
      </c>
      <c r="AI10" s="19"/>
      <c r="AJ10" s="19"/>
      <c r="AK10" s="64">
        <v>594690</v>
      </c>
      <c r="AL10" s="66">
        <v>210</v>
      </c>
      <c r="AM10" s="78">
        <v>1339</v>
      </c>
      <c r="AN10" s="63">
        <v>0</v>
      </c>
      <c r="AO10" s="64">
        <v>53452</v>
      </c>
      <c r="AP10" s="77">
        <v>14</v>
      </c>
      <c r="AQ10" s="64">
        <v>9011</v>
      </c>
      <c r="AR10" s="63">
        <v>3</v>
      </c>
      <c r="AS10" s="68">
        <v>10699</v>
      </c>
      <c r="AT10" s="63">
        <v>2</v>
      </c>
      <c r="AU10" s="64">
        <v>15288</v>
      </c>
      <c r="AV10" s="63">
        <v>13</v>
      </c>
      <c r="AW10" s="68">
        <v>19627</v>
      </c>
      <c r="AX10" s="63">
        <v>6</v>
      </c>
      <c r="AY10" s="62">
        <v>20777</v>
      </c>
      <c r="AZ10" s="71">
        <v>2</v>
      </c>
      <c r="BA10" s="68">
        <v>13994</v>
      </c>
      <c r="BB10" s="63">
        <v>3</v>
      </c>
      <c r="BC10" s="62">
        <v>6332</v>
      </c>
      <c r="BD10" s="63">
        <v>3</v>
      </c>
      <c r="BE10" s="64">
        <v>26891</v>
      </c>
      <c r="BF10" s="63">
        <v>5</v>
      </c>
      <c r="BG10" s="64">
        <v>4568</v>
      </c>
      <c r="BH10" s="63">
        <v>4</v>
      </c>
      <c r="BI10">
        <v>14584</v>
      </c>
      <c r="BJ10" s="63">
        <v>93</v>
      </c>
      <c r="BK10" s="68">
        <v>3636</v>
      </c>
      <c r="BL10" s="63">
        <v>0</v>
      </c>
      <c r="BM10" s="71">
        <v>18</v>
      </c>
      <c r="BN10" s="71">
        <v>192</v>
      </c>
      <c r="BO10" s="64">
        <v>613930</v>
      </c>
      <c r="BP10" s="71">
        <v>140</v>
      </c>
      <c r="BQ10" s="78">
        <v>1305</v>
      </c>
      <c r="BR10" s="63">
        <v>7</v>
      </c>
      <c r="BS10" s="64">
        <v>800620</v>
      </c>
      <c r="BT10" s="71">
        <v>270</v>
      </c>
      <c r="BU10" s="78">
        <v>1168</v>
      </c>
      <c r="BV10" s="71">
        <v>4</v>
      </c>
      <c r="BW10" s="81">
        <v>60</v>
      </c>
      <c r="BX10" s="71">
        <v>410</v>
      </c>
      <c r="BY10" s="83">
        <v>50</v>
      </c>
      <c r="BZ10" s="62">
        <v>110</v>
      </c>
      <c r="CA10" s="84">
        <v>13257.678020880703</v>
      </c>
      <c r="CB10" s="68"/>
      <c r="CC10" s="126">
        <v>0</v>
      </c>
      <c r="CD10" s="68">
        <v>216282</v>
      </c>
      <c r="CE10" s="71">
        <v>159</v>
      </c>
      <c r="CF10" s="81">
        <v>907.89</v>
      </c>
      <c r="CG10" s="68">
        <v>80</v>
      </c>
      <c r="CH10" s="87">
        <v>8620</v>
      </c>
      <c r="CI10" s="68">
        <v>80</v>
      </c>
      <c r="CJ10" s="88">
        <v>8620</v>
      </c>
      <c r="CK10" s="68">
        <v>80</v>
      </c>
      <c r="CL10" s="89">
        <v>8620</v>
      </c>
      <c r="CM10" s="90">
        <v>25860</v>
      </c>
      <c r="CN10" s="91">
        <v>0</v>
      </c>
      <c r="CO10" s="68"/>
      <c r="CP10" s="68">
        <v>36591</v>
      </c>
      <c r="CQ10" s="71">
        <v>42</v>
      </c>
      <c r="CR10" s="81">
        <v>102.48</v>
      </c>
      <c r="CS10" s="68">
        <v>34595</v>
      </c>
      <c r="CT10" s="71">
        <v>6</v>
      </c>
      <c r="CU10" s="81">
        <v>14.64</v>
      </c>
      <c r="CV10" s="68">
        <v>10979</v>
      </c>
      <c r="CW10" s="71">
        <v>23</v>
      </c>
      <c r="CX10" s="81">
        <v>56.12</v>
      </c>
      <c r="CY10" s="68">
        <v>835394</v>
      </c>
      <c r="CZ10" s="71">
        <v>53</v>
      </c>
      <c r="DA10" s="81">
        <v>129.32</v>
      </c>
      <c r="DB10" s="68">
        <v>6689</v>
      </c>
      <c r="DC10" s="71">
        <v>8</v>
      </c>
      <c r="DD10" s="81">
        <v>19.12</v>
      </c>
      <c r="DE10" s="68">
        <v>8051</v>
      </c>
      <c r="DF10" s="71">
        <v>8</v>
      </c>
      <c r="DG10" s="71">
        <v>0</v>
      </c>
      <c r="DH10" s="68">
        <v>4722</v>
      </c>
      <c r="DI10" s="71">
        <v>7</v>
      </c>
      <c r="DJ10" s="71">
        <v>0</v>
      </c>
      <c r="DK10" s="68">
        <v>1925</v>
      </c>
      <c r="DL10" s="71">
        <v>1</v>
      </c>
      <c r="DM10" s="71">
        <v>0</v>
      </c>
      <c r="DN10" s="68">
        <v>5414</v>
      </c>
      <c r="DO10" s="71">
        <v>8</v>
      </c>
      <c r="DP10" s="71" t="s">
        <v>127</v>
      </c>
      <c r="DQ10" s="68">
        <v>4979</v>
      </c>
      <c r="DR10" s="71">
        <v>10</v>
      </c>
      <c r="DS10" s="71">
        <v>2</v>
      </c>
      <c r="DT10" s="68">
        <v>5748</v>
      </c>
      <c r="DU10" s="71">
        <v>9</v>
      </c>
      <c r="DV10" s="71" t="s">
        <v>127</v>
      </c>
      <c r="DW10" s="68">
        <v>5668</v>
      </c>
      <c r="DX10" s="71">
        <v>6</v>
      </c>
      <c r="DY10" s="81">
        <v>14.34</v>
      </c>
      <c r="DZ10" s="85"/>
      <c r="EA10" s="81">
        <v>0</v>
      </c>
      <c r="EB10" s="85"/>
      <c r="EC10" s="81">
        <v>0</v>
      </c>
      <c r="ED10" s="94"/>
      <c r="EE10" s="81">
        <v>0</v>
      </c>
      <c r="EF10" s="94"/>
      <c r="EG10" s="81">
        <v>0</v>
      </c>
      <c r="EH10" s="94">
        <v>106</v>
      </c>
      <c r="EI10" s="95">
        <v>267</v>
      </c>
      <c r="EJ10" s="93">
        <v>0.8</v>
      </c>
      <c r="EK10" s="96"/>
      <c r="EL10" s="94"/>
      <c r="EM10" s="95"/>
      <c r="EN10" s="98"/>
      <c r="EO10" s="98"/>
      <c r="EP10" s="98"/>
    </row>
    <row r="11" spans="1:146" s="20" customFormat="1" ht="15.75" thickBot="1" x14ac:dyDescent="0.25">
      <c r="A11" s="61">
        <v>44508</v>
      </c>
      <c r="B11" s="68">
        <v>8544580</v>
      </c>
      <c r="C11" s="63">
        <v>22243</v>
      </c>
      <c r="D11" s="68">
        <v>7710304</v>
      </c>
      <c r="E11" s="63">
        <v>25533</v>
      </c>
      <c r="F11" s="113">
        <v>1.1479117025581083</v>
      </c>
      <c r="G11" s="64">
        <v>1082</v>
      </c>
      <c r="H11" s="64">
        <v>1022</v>
      </c>
      <c r="I11" s="65">
        <v>289262</v>
      </c>
      <c r="J11" s="66">
        <v>0</v>
      </c>
      <c r="K11" s="67">
        <v>794</v>
      </c>
      <c r="L11" s="63">
        <v>0</v>
      </c>
      <c r="M11" s="68">
        <v>636988</v>
      </c>
      <c r="N11" s="66">
        <v>0</v>
      </c>
      <c r="O11" s="68">
        <v>1015</v>
      </c>
      <c r="P11" s="66">
        <v>0</v>
      </c>
      <c r="Q11" s="68">
        <v>2615632</v>
      </c>
      <c r="R11" s="66">
        <v>2295</v>
      </c>
      <c r="S11" s="68">
        <v>2214559</v>
      </c>
      <c r="T11" s="66">
        <v>462</v>
      </c>
      <c r="U11" s="68">
        <v>132706</v>
      </c>
      <c r="V11" s="66">
        <v>210</v>
      </c>
      <c r="W11" s="131"/>
      <c r="X11" s="116">
        <v>1</v>
      </c>
      <c r="Y11" s="70">
        <v>400</v>
      </c>
      <c r="Z11" s="67">
        <v>12</v>
      </c>
      <c r="AA11" s="68">
        <v>1594830</v>
      </c>
      <c r="AB11" s="63">
        <v>2880</v>
      </c>
      <c r="AC11" s="75">
        <v>432920</v>
      </c>
      <c r="AD11" s="71">
        <v>390</v>
      </c>
      <c r="AE11" s="68">
        <v>1153</v>
      </c>
      <c r="AF11" s="72">
        <v>0</v>
      </c>
      <c r="AG11" s="64">
        <v>4780</v>
      </c>
      <c r="AH11" s="73">
        <v>0</v>
      </c>
      <c r="AI11" s="19"/>
      <c r="AJ11" s="19"/>
      <c r="AK11" s="64">
        <v>594870</v>
      </c>
      <c r="AL11" s="66">
        <v>180</v>
      </c>
      <c r="AM11" s="78">
        <v>1319</v>
      </c>
      <c r="AN11" s="63">
        <v>-20</v>
      </c>
      <c r="AO11" s="64">
        <v>53476</v>
      </c>
      <c r="AP11" s="77">
        <v>24</v>
      </c>
      <c r="AQ11" s="64">
        <v>9012</v>
      </c>
      <c r="AR11" s="63">
        <v>1</v>
      </c>
      <c r="AS11" s="68">
        <v>10700</v>
      </c>
      <c r="AT11" s="63">
        <v>1</v>
      </c>
      <c r="AU11" s="64">
        <v>15298</v>
      </c>
      <c r="AV11" s="63">
        <v>10</v>
      </c>
      <c r="AW11" s="68">
        <v>19633</v>
      </c>
      <c r="AX11" s="63">
        <v>6</v>
      </c>
      <c r="AY11" s="62">
        <v>20779</v>
      </c>
      <c r="AZ11" s="71">
        <v>2</v>
      </c>
      <c r="BA11" s="68">
        <v>13997</v>
      </c>
      <c r="BB11" s="63">
        <v>3</v>
      </c>
      <c r="BC11" s="62">
        <v>6333</v>
      </c>
      <c r="BD11" s="63">
        <v>1</v>
      </c>
      <c r="BE11" s="64">
        <v>26895</v>
      </c>
      <c r="BF11" s="63">
        <v>4</v>
      </c>
      <c r="BG11" s="64">
        <v>4574</v>
      </c>
      <c r="BH11" s="63">
        <v>6</v>
      </c>
      <c r="BI11">
        <v>14675</v>
      </c>
      <c r="BJ11" s="63">
        <v>91</v>
      </c>
      <c r="BK11" s="68">
        <v>3636</v>
      </c>
      <c r="BL11" s="63">
        <v>0</v>
      </c>
      <c r="BM11" s="71">
        <v>15</v>
      </c>
      <c r="BN11" s="71">
        <v>165</v>
      </c>
      <c r="BO11" s="64">
        <v>614080</v>
      </c>
      <c r="BP11" s="71">
        <v>150</v>
      </c>
      <c r="BQ11" s="78">
        <v>1343</v>
      </c>
      <c r="BR11" s="63">
        <v>38</v>
      </c>
      <c r="BS11" s="64">
        <v>800850</v>
      </c>
      <c r="BT11" s="71">
        <v>230</v>
      </c>
      <c r="BU11" s="78">
        <v>1172</v>
      </c>
      <c r="BV11" s="71">
        <v>4</v>
      </c>
      <c r="BW11" s="81">
        <v>50</v>
      </c>
      <c r="BX11" s="71">
        <v>380</v>
      </c>
      <c r="BY11" s="83">
        <v>54</v>
      </c>
      <c r="BZ11" s="62">
        <v>110</v>
      </c>
      <c r="CA11" s="84">
        <v>13257.678020880703</v>
      </c>
      <c r="CB11" s="68"/>
      <c r="CC11" s="126">
        <v>0</v>
      </c>
      <c r="CD11" s="68">
        <v>216452</v>
      </c>
      <c r="CE11" s="71">
        <v>170</v>
      </c>
      <c r="CF11" s="81">
        <v>970.7</v>
      </c>
      <c r="CG11" s="68">
        <v>75</v>
      </c>
      <c r="CH11" s="87">
        <v>8081.25</v>
      </c>
      <c r="CI11" s="68">
        <v>76</v>
      </c>
      <c r="CJ11" s="88">
        <v>8189</v>
      </c>
      <c r="CK11" s="68">
        <v>75</v>
      </c>
      <c r="CL11" s="89">
        <v>8081.25</v>
      </c>
      <c r="CM11" s="90">
        <v>24351.5</v>
      </c>
      <c r="CN11" s="91">
        <v>1508.5</v>
      </c>
      <c r="CO11" s="68"/>
      <c r="CP11" s="68">
        <v>36635</v>
      </c>
      <c r="CQ11" s="71">
        <v>44</v>
      </c>
      <c r="CR11" s="81">
        <v>107.36</v>
      </c>
      <c r="CS11" s="68">
        <v>34603</v>
      </c>
      <c r="CT11" s="71">
        <v>8</v>
      </c>
      <c r="CU11" s="81">
        <v>19.52</v>
      </c>
      <c r="CV11" s="68">
        <v>10999</v>
      </c>
      <c r="CW11" s="71">
        <v>20</v>
      </c>
      <c r="CX11" s="81">
        <v>48.8</v>
      </c>
      <c r="CY11" s="68">
        <v>835459</v>
      </c>
      <c r="CZ11" s="71">
        <v>65</v>
      </c>
      <c r="DA11" s="81">
        <v>158.6</v>
      </c>
      <c r="DB11" s="68">
        <v>6698</v>
      </c>
      <c r="DC11" s="71">
        <v>9</v>
      </c>
      <c r="DD11" s="81">
        <v>21.51</v>
      </c>
      <c r="DE11" s="68">
        <v>8059</v>
      </c>
      <c r="DF11" s="71">
        <v>8</v>
      </c>
      <c r="DG11" s="71">
        <v>0</v>
      </c>
      <c r="DH11" s="68">
        <v>4729</v>
      </c>
      <c r="DI11" s="71">
        <v>7</v>
      </c>
      <c r="DJ11" s="71">
        <v>0</v>
      </c>
      <c r="DK11" s="68">
        <v>1926</v>
      </c>
      <c r="DL11" s="71">
        <v>1</v>
      </c>
      <c r="DM11" s="71">
        <v>0</v>
      </c>
      <c r="DN11" s="68">
        <v>5423</v>
      </c>
      <c r="DO11" s="71">
        <v>9</v>
      </c>
      <c r="DP11" s="71">
        <v>1</v>
      </c>
      <c r="DQ11" s="68">
        <v>4991</v>
      </c>
      <c r="DR11" s="71">
        <v>12</v>
      </c>
      <c r="DS11" s="71">
        <v>2</v>
      </c>
      <c r="DT11" s="68">
        <v>5757</v>
      </c>
      <c r="DU11" s="71">
        <v>9</v>
      </c>
      <c r="DV11" s="71">
        <v>0</v>
      </c>
      <c r="DW11" s="68">
        <v>5674</v>
      </c>
      <c r="DX11" s="71">
        <v>6</v>
      </c>
      <c r="DY11" s="81">
        <v>14.34</v>
      </c>
      <c r="DZ11" s="85"/>
      <c r="EA11" s="81">
        <v>0</v>
      </c>
      <c r="EB11" s="85"/>
      <c r="EC11" s="81">
        <v>0</v>
      </c>
      <c r="ED11" s="94"/>
      <c r="EE11" s="81">
        <v>0</v>
      </c>
      <c r="EF11" s="94"/>
      <c r="EG11" s="81">
        <v>0</v>
      </c>
      <c r="EH11" s="94">
        <v>98</v>
      </c>
      <c r="EI11" s="95">
        <v>217</v>
      </c>
      <c r="EJ11" s="93">
        <v>0.74</v>
      </c>
      <c r="EK11" s="96"/>
      <c r="EL11" s="94"/>
      <c r="EM11" s="95"/>
      <c r="EN11" s="98"/>
      <c r="EO11" s="98"/>
      <c r="EP11" s="98"/>
    </row>
    <row r="12" spans="1:146" s="20" customFormat="1" ht="15.75" thickBot="1" x14ac:dyDescent="0.25">
      <c r="A12" s="61">
        <v>44509</v>
      </c>
      <c r="B12" s="68">
        <v>8567390</v>
      </c>
      <c r="C12" s="63">
        <v>22810</v>
      </c>
      <c r="D12" s="68">
        <v>7731998</v>
      </c>
      <c r="E12" s="63">
        <v>21694</v>
      </c>
      <c r="F12" s="113">
        <v>0.951074090311267</v>
      </c>
      <c r="G12" s="64">
        <v>1114</v>
      </c>
      <c r="H12" s="64">
        <v>1022</v>
      </c>
      <c r="I12" s="65">
        <v>289262</v>
      </c>
      <c r="J12" s="66">
        <v>0</v>
      </c>
      <c r="K12" s="67">
        <v>794</v>
      </c>
      <c r="L12" s="63">
        <v>0</v>
      </c>
      <c r="M12" s="68">
        <v>636988</v>
      </c>
      <c r="N12" s="66">
        <v>0</v>
      </c>
      <c r="O12" s="68">
        <v>1015</v>
      </c>
      <c r="P12" s="66">
        <v>0</v>
      </c>
      <c r="Q12" s="68">
        <v>2616685</v>
      </c>
      <c r="R12" s="66">
        <v>1053</v>
      </c>
      <c r="S12" s="68">
        <v>2214995</v>
      </c>
      <c r="T12" s="66">
        <v>436</v>
      </c>
      <c r="U12" s="68">
        <v>132916</v>
      </c>
      <c r="V12" s="66">
        <v>210</v>
      </c>
      <c r="W12" s="131"/>
      <c r="X12" s="116">
        <v>0.88888888888888884</v>
      </c>
      <c r="Y12" s="70">
        <v>355.55555555555554</v>
      </c>
      <c r="Z12" s="67">
        <v>0</v>
      </c>
      <c r="AA12" s="68">
        <v>1595250</v>
      </c>
      <c r="AB12" s="63">
        <v>420</v>
      </c>
      <c r="AC12" s="75">
        <v>433280</v>
      </c>
      <c r="AD12" s="71">
        <v>360</v>
      </c>
      <c r="AE12" s="68">
        <v>1153</v>
      </c>
      <c r="AF12" s="72">
        <v>0</v>
      </c>
      <c r="AG12" s="64">
        <v>4786</v>
      </c>
      <c r="AH12" s="73">
        <v>6</v>
      </c>
      <c r="AI12" s="19"/>
      <c r="AJ12" s="19"/>
      <c r="AK12" s="64">
        <v>595030</v>
      </c>
      <c r="AL12" s="66">
        <v>160</v>
      </c>
      <c r="AM12" s="78">
        <v>1343</v>
      </c>
      <c r="AN12" s="63">
        <v>24</v>
      </c>
      <c r="AO12" s="64">
        <v>53496</v>
      </c>
      <c r="AP12" s="77">
        <v>20</v>
      </c>
      <c r="AQ12" s="64">
        <v>9013</v>
      </c>
      <c r="AR12" s="63">
        <v>1</v>
      </c>
      <c r="AS12" s="68">
        <v>10702</v>
      </c>
      <c r="AT12" s="63">
        <v>2</v>
      </c>
      <c r="AU12" s="64">
        <v>15311</v>
      </c>
      <c r="AV12" s="63">
        <v>13</v>
      </c>
      <c r="AW12" s="68">
        <v>19639</v>
      </c>
      <c r="AX12" s="63">
        <v>6</v>
      </c>
      <c r="AY12" s="62">
        <v>20781</v>
      </c>
      <c r="AZ12" s="71">
        <v>2</v>
      </c>
      <c r="BA12" s="68">
        <v>14000</v>
      </c>
      <c r="BB12" s="63">
        <v>3</v>
      </c>
      <c r="BC12" s="62">
        <v>6334</v>
      </c>
      <c r="BD12" s="63">
        <v>1</v>
      </c>
      <c r="BE12" s="64">
        <v>26899</v>
      </c>
      <c r="BF12" s="63">
        <v>4</v>
      </c>
      <c r="BG12" s="64">
        <v>4579</v>
      </c>
      <c r="BH12" s="63">
        <v>5</v>
      </c>
      <c r="BI12">
        <v>14762</v>
      </c>
      <c r="BJ12" s="63">
        <v>87</v>
      </c>
      <c r="BK12" s="68">
        <v>3636</v>
      </c>
      <c r="BL12" s="63">
        <v>0</v>
      </c>
      <c r="BM12" s="71">
        <v>18</v>
      </c>
      <c r="BN12" s="71">
        <v>142</v>
      </c>
      <c r="BO12" s="68">
        <v>614210</v>
      </c>
      <c r="BP12" s="71">
        <v>130</v>
      </c>
      <c r="BQ12" s="78">
        <v>1329</v>
      </c>
      <c r="BR12" s="63">
        <v>-14</v>
      </c>
      <c r="BS12" s="64">
        <v>801070</v>
      </c>
      <c r="BT12" s="71">
        <v>220</v>
      </c>
      <c r="BU12" s="78">
        <v>1175</v>
      </c>
      <c r="BV12" s="71">
        <v>3</v>
      </c>
      <c r="BW12" s="81">
        <v>60</v>
      </c>
      <c r="BX12" s="71">
        <v>350</v>
      </c>
      <c r="BY12" s="83">
        <v>53</v>
      </c>
      <c r="BZ12" s="62">
        <v>110</v>
      </c>
      <c r="CA12" s="84">
        <v>13257.678020880703</v>
      </c>
      <c r="CB12" s="68"/>
      <c r="CC12" s="126">
        <v>0</v>
      </c>
      <c r="CD12" s="68">
        <v>216617</v>
      </c>
      <c r="CE12" s="71">
        <v>165</v>
      </c>
      <c r="CF12" s="81">
        <v>942.15</v>
      </c>
      <c r="CG12" s="68">
        <v>74</v>
      </c>
      <c r="CH12" s="87">
        <v>7973.5</v>
      </c>
      <c r="CI12" s="68">
        <v>75</v>
      </c>
      <c r="CJ12" s="88">
        <v>8081.25</v>
      </c>
      <c r="CK12" s="68">
        <v>70</v>
      </c>
      <c r="CL12" s="89">
        <v>7542.5</v>
      </c>
      <c r="CM12" s="90">
        <v>23597.25</v>
      </c>
      <c r="CN12" s="91">
        <v>754.25</v>
      </c>
      <c r="CO12" s="68"/>
      <c r="CP12" s="68">
        <v>36676</v>
      </c>
      <c r="CQ12" s="71">
        <v>41</v>
      </c>
      <c r="CR12" s="81">
        <v>100.03999999999999</v>
      </c>
      <c r="CS12" s="68">
        <v>34608</v>
      </c>
      <c r="CT12" s="71">
        <v>5</v>
      </c>
      <c r="CU12" s="81">
        <v>12.2</v>
      </c>
      <c r="CV12" s="68">
        <v>11019</v>
      </c>
      <c r="CW12" s="71">
        <v>20</v>
      </c>
      <c r="CX12" s="81">
        <v>48.8</v>
      </c>
      <c r="CY12" s="68">
        <v>835514</v>
      </c>
      <c r="CZ12" s="71">
        <v>55</v>
      </c>
      <c r="DA12" s="81">
        <v>134.19999999999999</v>
      </c>
      <c r="DB12" s="68">
        <v>6706</v>
      </c>
      <c r="DC12" s="71">
        <v>8</v>
      </c>
      <c r="DD12" s="81">
        <v>19.12</v>
      </c>
      <c r="DE12" s="68">
        <v>8067</v>
      </c>
      <c r="DF12" s="71">
        <v>8</v>
      </c>
      <c r="DG12" s="71">
        <v>0</v>
      </c>
      <c r="DH12" s="68">
        <v>4735</v>
      </c>
      <c r="DI12" s="71">
        <v>6</v>
      </c>
      <c r="DJ12" s="71" t="s">
        <v>127</v>
      </c>
      <c r="DK12" s="68">
        <v>1927</v>
      </c>
      <c r="DL12" s="71">
        <v>1</v>
      </c>
      <c r="DM12" s="71">
        <v>0</v>
      </c>
      <c r="DN12" s="68">
        <v>5431</v>
      </c>
      <c r="DO12" s="71">
        <v>8</v>
      </c>
      <c r="DP12" s="71" t="s">
        <v>127</v>
      </c>
      <c r="DQ12" s="68">
        <v>4999</v>
      </c>
      <c r="DR12" s="71">
        <v>8</v>
      </c>
      <c r="DS12" s="71" t="s">
        <v>127</v>
      </c>
      <c r="DT12" s="68">
        <v>5766</v>
      </c>
      <c r="DU12" s="71">
        <v>9</v>
      </c>
      <c r="DV12" s="71">
        <v>0</v>
      </c>
      <c r="DW12" s="68">
        <v>5681</v>
      </c>
      <c r="DX12" s="71">
        <v>7</v>
      </c>
      <c r="DY12" s="81">
        <v>16.73</v>
      </c>
      <c r="DZ12" s="85"/>
      <c r="EA12" s="81">
        <v>0</v>
      </c>
      <c r="EB12" s="85"/>
      <c r="EC12" s="81">
        <v>0</v>
      </c>
      <c r="ED12" s="94"/>
      <c r="EE12" s="81">
        <v>0</v>
      </c>
      <c r="EF12" s="94"/>
      <c r="EG12" s="81">
        <v>0</v>
      </c>
      <c r="EH12" s="94">
        <v>100</v>
      </c>
      <c r="EI12" s="95">
        <v>225</v>
      </c>
      <c r="EJ12" s="93">
        <v>0.75</v>
      </c>
      <c r="EK12" s="96"/>
      <c r="EL12" s="94"/>
      <c r="EM12" s="95"/>
      <c r="EN12" s="98"/>
      <c r="EO12" s="98"/>
      <c r="EP12" s="98"/>
    </row>
    <row r="13" spans="1:146" s="20" customFormat="1" ht="15.75" thickBot="1" x14ac:dyDescent="0.25">
      <c r="A13" s="61">
        <v>44510</v>
      </c>
      <c r="B13" s="68">
        <v>8588801</v>
      </c>
      <c r="C13" s="63">
        <v>21411</v>
      </c>
      <c r="D13" s="68">
        <v>7753139</v>
      </c>
      <c r="E13" s="63">
        <v>21141</v>
      </c>
      <c r="F13" s="113">
        <v>0.98738965952080704</v>
      </c>
      <c r="G13" s="64">
        <v>1114</v>
      </c>
      <c r="H13" s="64">
        <v>1022</v>
      </c>
      <c r="I13" s="65">
        <v>289262</v>
      </c>
      <c r="J13" s="66">
        <v>0</v>
      </c>
      <c r="K13" s="67">
        <v>794</v>
      </c>
      <c r="L13" s="63">
        <v>0</v>
      </c>
      <c r="M13" s="68">
        <v>636988</v>
      </c>
      <c r="N13" s="66">
        <v>0</v>
      </c>
      <c r="O13" s="68">
        <v>1015</v>
      </c>
      <c r="P13" s="66">
        <v>0</v>
      </c>
      <c r="Q13" s="68">
        <v>2617577</v>
      </c>
      <c r="R13" s="66">
        <v>892</v>
      </c>
      <c r="S13" s="68">
        <v>2215457</v>
      </c>
      <c r="T13" s="66">
        <v>462</v>
      </c>
      <c r="U13" s="68">
        <v>133178</v>
      </c>
      <c r="V13" s="66">
        <v>262</v>
      </c>
      <c r="W13" s="131"/>
      <c r="X13" s="116">
        <v>0.6</v>
      </c>
      <c r="Y13" s="70">
        <v>240</v>
      </c>
      <c r="Z13" s="67">
        <v>0</v>
      </c>
      <c r="AA13" s="68">
        <v>1595250</v>
      </c>
      <c r="AB13" s="63">
        <v>0</v>
      </c>
      <c r="AC13" s="64">
        <v>433680</v>
      </c>
      <c r="AD13" s="71">
        <v>400</v>
      </c>
      <c r="AE13" s="68">
        <v>1153</v>
      </c>
      <c r="AF13" s="72">
        <v>0</v>
      </c>
      <c r="AG13" s="64">
        <v>4786</v>
      </c>
      <c r="AH13" s="73">
        <v>0</v>
      </c>
      <c r="AI13" s="19"/>
      <c r="AJ13" s="19"/>
      <c r="AK13" s="64">
        <v>595190</v>
      </c>
      <c r="AL13" s="66">
        <v>160</v>
      </c>
      <c r="AM13" s="78">
        <v>1345</v>
      </c>
      <c r="AN13" s="63">
        <v>2</v>
      </c>
      <c r="AO13" s="64">
        <v>53513</v>
      </c>
      <c r="AP13" s="77">
        <v>17</v>
      </c>
      <c r="AQ13" s="64">
        <v>9016</v>
      </c>
      <c r="AR13" s="63">
        <v>3</v>
      </c>
      <c r="AS13" s="68">
        <v>10704</v>
      </c>
      <c r="AT13" s="63">
        <v>2</v>
      </c>
      <c r="AU13" s="64">
        <v>15324</v>
      </c>
      <c r="AV13" s="63">
        <v>13</v>
      </c>
      <c r="AW13" s="68">
        <v>19644</v>
      </c>
      <c r="AX13" s="63">
        <v>5</v>
      </c>
      <c r="AY13" s="62">
        <v>20783</v>
      </c>
      <c r="AZ13" s="71">
        <v>2</v>
      </c>
      <c r="BA13" s="68">
        <v>14003</v>
      </c>
      <c r="BB13" s="63">
        <v>3</v>
      </c>
      <c r="BC13" s="62">
        <v>6334</v>
      </c>
      <c r="BD13" s="63">
        <v>0</v>
      </c>
      <c r="BE13" s="68">
        <v>26904</v>
      </c>
      <c r="BF13" s="63">
        <v>5</v>
      </c>
      <c r="BG13" s="64">
        <v>4584</v>
      </c>
      <c r="BH13" s="63">
        <v>5</v>
      </c>
      <c r="BI13">
        <v>14858</v>
      </c>
      <c r="BJ13" s="63">
        <v>96</v>
      </c>
      <c r="BK13" s="68">
        <v>3636</v>
      </c>
      <c r="BL13" s="63">
        <v>0</v>
      </c>
      <c r="BM13" s="71">
        <v>18</v>
      </c>
      <c r="BN13" s="71">
        <v>142</v>
      </c>
      <c r="BO13" s="68">
        <v>614350</v>
      </c>
      <c r="BP13" s="71">
        <v>140</v>
      </c>
      <c r="BQ13" s="78">
        <v>1345</v>
      </c>
      <c r="BR13" s="63">
        <v>16</v>
      </c>
      <c r="BS13" s="64">
        <v>801310</v>
      </c>
      <c r="BT13" s="71">
        <v>240</v>
      </c>
      <c r="BU13" s="78">
        <v>1182</v>
      </c>
      <c r="BV13" s="71">
        <v>7</v>
      </c>
      <c r="BW13" s="81">
        <v>80</v>
      </c>
      <c r="BX13" s="71">
        <v>380</v>
      </c>
      <c r="BY13" s="83">
        <v>50</v>
      </c>
      <c r="BZ13" s="62">
        <v>109</v>
      </c>
      <c r="CA13" s="84">
        <v>13102.02326604979</v>
      </c>
      <c r="CB13" s="86"/>
      <c r="CC13" s="126">
        <v>155.65475483091359</v>
      </c>
      <c r="CD13" s="68">
        <v>216772</v>
      </c>
      <c r="CE13" s="71">
        <v>155</v>
      </c>
      <c r="CF13" s="81">
        <v>885.05</v>
      </c>
      <c r="CG13" s="68">
        <v>70</v>
      </c>
      <c r="CH13" s="87">
        <v>7542.5</v>
      </c>
      <c r="CI13" s="68">
        <v>72</v>
      </c>
      <c r="CJ13" s="88">
        <v>7758</v>
      </c>
      <c r="CK13" s="68">
        <v>62</v>
      </c>
      <c r="CL13" s="89">
        <v>6680.5</v>
      </c>
      <c r="CM13" s="90">
        <v>21981</v>
      </c>
      <c r="CN13" s="91">
        <v>1616.25</v>
      </c>
      <c r="CO13" s="68"/>
      <c r="CP13" s="68">
        <v>36719</v>
      </c>
      <c r="CQ13" s="71">
        <v>43</v>
      </c>
      <c r="CR13" s="81">
        <v>104.92</v>
      </c>
      <c r="CS13" s="68">
        <v>34614</v>
      </c>
      <c r="CT13" s="71">
        <v>6</v>
      </c>
      <c r="CU13" s="81">
        <v>14.64</v>
      </c>
      <c r="CV13" s="68">
        <v>11038</v>
      </c>
      <c r="CW13" s="71">
        <v>19</v>
      </c>
      <c r="CX13" s="81">
        <v>46.36</v>
      </c>
      <c r="CY13" s="68">
        <v>835463</v>
      </c>
      <c r="CZ13" s="71" t="s">
        <v>127</v>
      </c>
      <c r="DA13" s="81">
        <v>0</v>
      </c>
      <c r="DB13" s="68">
        <v>6714</v>
      </c>
      <c r="DC13" s="71">
        <v>8</v>
      </c>
      <c r="DD13" s="81">
        <v>19.12</v>
      </c>
      <c r="DE13" s="68">
        <v>8075</v>
      </c>
      <c r="DF13" s="71">
        <v>8</v>
      </c>
      <c r="DG13" s="71">
        <v>0</v>
      </c>
      <c r="DH13" s="68">
        <v>4742</v>
      </c>
      <c r="DI13" s="71">
        <v>7</v>
      </c>
      <c r="DJ13" s="71">
        <v>1</v>
      </c>
      <c r="DK13" s="68">
        <v>1928</v>
      </c>
      <c r="DL13" s="71">
        <v>1</v>
      </c>
      <c r="DM13" s="71">
        <v>0</v>
      </c>
      <c r="DN13" s="68">
        <v>5440</v>
      </c>
      <c r="DO13" s="71">
        <v>9</v>
      </c>
      <c r="DP13" s="71">
        <v>1</v>
      </c>
      <c r="DQ13" s="68">
        <v>5009</v>
      </c>
      <c r="DR13" s="71">
        <v>10</v>
      </c>
      <c r="DS13" s="71">
        <v>2</v>
      </c>
      <c r="DT13" s="68">
        <v>5774</v>
      </c>
      <c r="DU13" s="71">
        <v>8</v>
      </c>
      <c r="DV13" s="71" t="s">
        <v>127</v>
      </c>
      <c r="DW13" s="68">
        <v>5687</v>
      </c>
      <c r="DX13" s="71">
        <v>6</v>
      </c>
      <c r="DY13" s="81">
        <v>14.34</v>
      </c>
      <c r="DZ13" s="85"/>
      <c r="EA13" s="81">
        <v>0</v>
      </c>
      <c r="EB13" s="85"/>
      <c r="EC13" s="81">
        <v>0</v>
      </c>
      <c r="ED13" s="94"/>
      <c r="EE13" s="81">
        <v>0</v>
      </c>
      <c r="EF13" s="94"/>
      <c r="EG13" s="81">
        <v>0</v>
      </c>
      <c r="EH13" s="94">
        <v>98</v>
      </c>
      <c r="EI13" s="95">
        <v>218</v>
      </c>
      <c r="EJ13" s="93">
        <v>0.74</v>
      </c>
      <c r="EK13" s="96"/>
      <c r="EL13" s="94"/>
      <c r="EM13" s="95"/>
      <c r="EN13" s="98"/>
      <c r="EO13" s="98"/>
      <c r="EP13" s="98"/>
    </row>
    <row r="14" spans="1:146" s="20" customFormat="1" ht="15.75" thickBot="1" x14ac:dyDescent="0.25">
      <c r="A14" s="61">
        <v>44511</v>
      </c>
      <c r="B14" s="68">
        <v>8610198</v>
      </c>
      <c r="C14" s="63">
        <v>21397</v>
      </c>
      <c r="D14" s="68">
        <v>7774313</v>
      </c>
      <c r="E14" s="63">
        <v>21174</v>
      </c>
      <c r="F14" s="113">
        <v>0.98957797822124594</v>
      </c>
      <c r="G14" s="64">
        <v>1114</v>
      </c>
      <c r="H14" s="64">
        <v>1022</v>
      </c>
      <c r="I14" s="65">
        <v>289262</v>
      </c>
      <c r="J14" s="66">
        <v>0</v>
      </c>
      <c r="K14" s="67">
        <v>794</v>
      </c>
      <c r="L14" s="63">
        <v>0</v>
      </c>
      <c r="M14" s="68">
        <v>636988</v>
      </c>
      <c r="N14" s="66">
        <v>0</v>
      </c>
      <c r="O14" s="68">
        <v>1015</v>
      </c>
      <c r="P14" s="66">
        <v>0</v>
      </c>
      <c r="Q14" s="68">
        <v>2618552</v>
      </c>
      <c r="R14" s="66">
        <v>975</v>
      </c>
      <c r="S14" s="68">
        <v>2215889</v>
      </c>
      <c r="T14" s="66">
        <v>432</v>
      </c>
      <c r="U14" s="68">
        <v>133440</v>
      </c>
      <c r="V14" s="66">
        <v>262</v>
      </c>
      <c r="W14" s="131"/>
      <c r="X14" s="116">
        <v>0.9</v>
      </c>
      <c r="Y14" s="70">
        <v>360</v>
      </c>
      <c r="Z14" s="67">
        <v>0</v>
      </c>
      <c r="AA14" s="68">
        <v>1597000</v>
      </c>
      <c r="AB14" s="63">
        <v>1750</v>
      </c>
      <c r="AC14" s="64">
        <v>434070</v>
      </c>
      <c r="AD14" s="71">
        <v>390</v>
      </c>
      <c r="AE14" s="68">
        <v>1153</v>
      </c>
      <c r="AF14" s="72">
        <v>0</v>
      </c>
      <c r="AG14" s="64">
        <v>4790</v>
      </c>
      <c r="AH14" s="73">
        <v>4</v>
      </c>
      <c r="AI14" s="19"/>
      <c r="AJ14" s="19"/>
      <c r="AK14" s="64">
        <v>595370</v>
      </c>
      <c r="AL14" s="66">
        <v>180</v>
      </c>
      <c r="AM14" s="78">
        <v>1347</v>
      </c>
      <c r="AN14" s="63">
        <v>2</v>
      </c>
      <c r="AO14" s="64">
        <v>53533</v>
      </c>
      <c r="AP14" s="77">
        <v>20</v>
      </c>
      <c r="AQ14" s="64">
        <v>9018</v>
      </c>
      <c r="AR14" s="63">
        <v>2</v>
      </c>
      <c r="AS14" s="68">
        <v>10705</v>
      </c>
      <c r="AT14" s="63">
        <v>1</v>
      </c>
      <c r="AU14" s="64">
        <v>15336</v>
      </c>
      <c r="AV14" s="63">
        <v>12</v>
      </c>
      <c r="AW14" s="68">
        <v>19649</v>
      </c>
      <c r="AX14" s="63">
        <v>5</v>
      </c>
      <c r="AY14" s="62">
        <v>20785</v>
      </c>
      <c r="AZ14" s="71">
        <v>2</v>
      </c>
      <c r="BA14" s="68">
        <v>14006</v>
      </c>
      <c r="BB14" s="63">
        <v>3</v>
      </c>
      <c r="BC14" s="62">
        <v>6337</v>
      </c>
      <c r="BD14" s="63">
        <v>3</v>
      </c>
      <c r="BE14" s="68">
        <v>26908</v>
      </c>
      <c r="BF14" s="63">
        <v>4</v>
      </c>
      <c r="BG14" s="64">
        <v>4589</v>
      </c>
      <c r="BH14" s="63">
        <v>5</v>
      </c>
      <c r="BI14">
        <v>14949</v>
      </c>
      <c r="BJ14" s="63">
        <v>91</v>
      </c>
      <c r="BK14" s="68">
        <v>3636</v>
      </c>
      <c r="BL14" s="63">
        <v>0</v>
      </c>
      <c r="BM14" s="71">
        <v>17</v>
      </c>
      <c r="BN14" s="71">
        <v>163</v>
      </c>
      <c r="BO14" s="68">
        <v>614490</v>
      </c>
      <c r="BP14" s="71">
        <v>140</v>
      </c>
      <c r="BQ14" s="78">
        <v>1347</v>
      </c>
      <c r="BR14" s="63">
        <v>2</v>
      </c>
      <c r="BS14" s="64">
        <v>801550</v>
      </c>
      <c r="BT14" s="71">
        <v>240</v>
      </c>
      <c r="BU14" s="78">
        <v>1187</v>
      </c>
      <c r="BV14" s="71">
        <v>5</v>
      </c>
      <c r="BW14" s="81">
        <v>60</v>
      </c>
      <c r="BX14" s="71">
        <v>380</v>
      </c>
      <c r="BY14" s="83">
        <v>53</v>
      </c>
      <c r="BZ14" s="62">
        <v>109</v>
      </c>
      <c r="CA14" s="84">
        <v>13102.02326604979</v>
      </c>
      <c r="CB14" s="68"/>
      <c r="CC14" s="126">
        <v>0</v>
      </c>
      <c r="CD14" s="68">
        <v>216959</v>
      </c>
      <c r="CE14" s="71">
        <v>187</v>
      </c>
      <c r="CF14" s="81">
        <v>1067.77</v>
      </c>
      <c r="CG14" s="68">
        <v>65</v>
      </c>
      <c r="CH14" s="87">
        <v>7003.75</v>
      </c>
      <c r="CI14" s="68">
        <v>69</v>
      </c>
      <c r="CJ14" s="88">
        <v>7434.75</v>
      </c>
      <c r="CK14" s="68">
        <v>66</v>
      </c>
      <c r="CL14" s="89">
        <v>7111.5</v>
      </c>
      <c r="CM14" s="90">
        <v>21550</v>
      </c>
      <c r="CN14" s="91">
        <v>431</v>
      </c>
      <c r="CO14" s="68"/>
      <c r="CP14" s="68">
        <v>36771</v>
      </c>
      <c r="CQ14" s="71">
        <v>52</v>
      </c>
      <c r="CR14" s="81">
        <v>126.88</v>
      </c>
      <c r="CS14" s="68">
        <v>34619</v>
      </c>
      <c r="CT14" s="71">
        <v>5</v>
      </c>
      <c r="CU14" s="81">
        <v>12.2</v>
      </c>
      <c r="CV14" s="68">
        <v>11058</v>
      </c>
      <c r="CW14" s="71">
        <v>20</v>
      </c>
      <c r="CX14" s="81">
        <v>48.8</v>
      </c>
      <c r="CY14" s="68">
        <v>835636</v>
      </c>
      <c r="CZ14" s="71">
        <v>173</v>
      </c>
      <c r="DA14" s="81">
        <v>422.12</v>
      </c>
      <c r="DB14" s="68">
        <v>6722</v>
      </c>
      <c r="DC14" s="71">
        <v>8</v>
      </c>
      <c r="DD14" s="81">
        <v>19.12</v>
      </c>
      <c r="DE14" s="68">
        <v>8084</v>
      </c>
      <c r="DF14" s="71">
        <v>9</v>
      </c>
      <c r="DG14" s="71">
        <v>1</v>
      </c>
      <c r="DH14" s="68">
        <v>4749</v>
      </c>
      <c r="DI14" s="71">
        <v>7</v>
      </c>
      <c r="DJ14" s="71">
        <v>0</v>
      </c>
      <c r="DK14" s="68">
        <v>1929</v>
      </c>
      <c r="DL14" s="71">
        <v>1</v>
      </c>
      <c r="DM14" s="71">
        <v>0</v>
      </c>
      <c r="DN14" s="68">
        <v>5448</v>
      </c>
      <c r="DO14" s="71">
        <v>8</v>
      </c>
      <c r="DP14" s="71" t="s">
        <v>127</v>
      </c>
      <c r="DQ14" s="68">
        <v>5019</v>
      </c>
      <c r="DR14" s="71">
        <v>10</v>
      </c>
      <c r="DS14" s="71">
        <v>0</v>
      </c>
      <c r="DT14" s="68">
        <v>5783</v>
      </c>
      <c r="DU14" s="71">
        <v>9</v>
      </c>
      <c r="DV14" s="71">
        <v>1</v>
      </c>
      <c r="DW14" s="68">
        <v>5692</v>
      </c>
      <c r="DX14" s="71">
        <v>5</v>
      </c>
      <c r="DY14" s="81">
        <v>11.950000000000001</v>
      </c>
      <c r="DZ14" s="85"/>
      <c r="EA14" s="81">
        <v>0</v>
      </c>
      <c r="EB14" s="85"/>
      <c r="EC14" s="81">
        <v>0</v>
      </c>
      <c r="ED14" s="94"/>
      <c r="EE14" s="81">
        <v>0</v>
      </c>
      <c r="EF14" s="94"/>
      <c r="EG14" s="81">
        <v>0</v>
      </c>
      <c r="EH14" s="94">
        <v>99</v>
      </c>
      <c r="EI14" s="95">
        <v>224</v>
      </c>
      <c r="EJ14" s="93">
        <v>0.74</v>
      </c>
      <c r="EK14" s="96"/>
      <c r="EL14" s="94"/>
      <c r="EM14" s="95"/>
      <c r="EN14" s="98"/>
      <c r="EO14" s="98"/>
      <c r="EP14" s="98"/>
    </row>
    <row r="15" spans="1:146" s="20" customFormat="1" ht="15.75" thickBot="1" x14ac:dyDescent="0.25">
      <c r="A15" s="61">
        <v>44512</v>
      </c>
      <c r="B15" s="68">
        <v>8636188</v>
      </c>
      <c r="C15" s="63">
        <v>25990</v>
      </c>
      <c r="D15" s="68">
        <v>7800028</v>
      </c>
      <c r="E15" s="63">
        <v>25715</v>
      </c>
      <c r="F15" s="113">
        <v>0.98941900731050403</v>
      </c>
      <c r="G15" s="64">
        <v>1114</v>
      </c>
      <c r="H15" s="64">
        <v>1022</v>
      </c>
      <c r="I15" s="65">
        <v>289262</v>
      </c>
      <c r="J15" s="66">
        <v>0</v>
      </c>
      <c r="K15" s="67">
        <v>794</v>
      </c>
      <c r="L15" s="63">
        <v>0</v>
      </c>
      <c r="M15" s="68">
        <v>636988</v>
      </c>
      <c r="N15" s="66">
        <v>0</v>
      </c>
      <c r="O15" s="68">
        <v>1015</v>
      </c>
      <c r="P15" s="66">
        <v>0</v>
      </c>
      <c r="Q15" s="68">
        <v>2620333</v>
      </c>
      <c r="R15" s="66">
        <v>1781</v>
      </c>
      <c r="S15" s="68">
        <v>2216304</v>
      </c>
      <c r="T15" s="66">
        <v>415</v>
      </c>
      <c r="U15" s="68">
        <v>133626</v>
      </c>
      <c r="V15" s="66">
        <v>186</v>
      </c>
      <c r="W15" s="131"/>
      <c r="X15" s="116">
        <v>0.55555555555555558</v>
      </c>
      <c r="Y15" s="70">
        <v>222.22222222222223</v>
      </c>
      <c r="Z15" s="67">
        <v>0</v>
      </c>
      <c r="AA15" s="68">
        <v>1598750</v>
      </c>
      <c r="AB15" s="63">
        <v>1750</v>
      </c>
      <c r="AC15" s="64">
        <v>434520</v>
      </c>
      <c r="AD15" s="71">
        <v>450</v>
      </c>
      <c r="AE15" s="68">
        <v>1153</v>
      </c>
      <c r="AF15" s="72">
        <v>0</v>
      </c>
      <c r="AG15" s="68">
        <v>4806</v>
      </c>
      <c r="AH15" s="73">
        <v>16</v>
      </c>
      <c r="AI15" s="19"/>
      <c r="AJ15" s="19"/>
      <c r="AK15" s="68">
        <v>595580</v>
      </c>
      <c r="AL15" s="66">
        <v>210</v>
      </c>
      <c r="AM15" s="78">
        <v>1348</v>
      </c>
      <c r="AN15" s="63">
        <v>1</v>
      </c>
      <c r="AO15" s="64">
        <v>53551</v>
      </c>
      <c r="AP15" s="77">
        <v>18</v>
      </c>
      <c r="AQ15" s="64">
        <v>9021</v>
      </c>
      <c r="AR15" s="63">
        <v>3</v>
      </c>
      <c r="AS15" s="68">
        <v>10707</v>
      </c>
      <c r="AT15" s="63">
        <v>2</v>
      </c>
      <c r="AU15" s="64">
        <v>15349</v>
      </c>
      <c r="AV15" s="63">
        <v>13</v>
      </c>
      <c r="AW15" s="68">
        <v>19658</v>
      </c>
      <c r="AX15" s="63">
        <v>9</v>
      </c>
      <c r="AY15" s="62">
        <v>20787</v>
      </c>
      <c r="AZ15" s="71">
        <v>2</v>
      </c>
      <c r="BA15" s="68">
        <v>14009</v>
      </c>
      <c r="BB15" s="63">
        <v>3</v>
      </c>
      <c r="BC15" s="62">
        <v>6339</v>
      </c>
      <c r="BD15" s="63">
        <v>2</v>
      </c>
      <c r="BE15" s="68">
        <v>26911</v>
      </c>
      <c r="BF15" s="63">
        <v>3</v>
      </c>
      <c r="BG15" s="64">
        <v>4594</v>
      </c>
      <c r="BH15" s="63">
        <v>5</v>
      </c>
      <c r="BI15">
        <v>15042</v>
      </c>
      <c r="BJ15" s="63">
        <v>93</v>
      </c>
      <c r="BK15" s="68">
        <v>3636</v>
      </c>
      <c r="BL15" s="63">
        <v>0</v>
      </c>
      <c r="BM15" s="71">
        <v>18</v>
      </c>
      <c r="BN15" s="71">
        <v>192</v>
      </c>
      <c r="BO15" s="68">
        <v>614620</v>
      </c>
      <c r="BP15" s="71">
        <v>130</v>
      </c>
      <c r="BQ15" s="78">
        <v>1348</v>
      </c>
      <c r="BR15" s="63">
        <v>1</v>
      </c>
      <c r="BS15" s="64">
        <v>801860</v>
      </c>
      <c r="BT15" s="71">
        <v>310</v>
      </c>
      <c r="BU15" s="78">
        <v>1190</v>
      </c>
      <c r="BV15" s="71">
        <v>3</v>
      </c>
      <c r="BW15" s="81">
        <v>100</v>
      </c>
      <c r="BX15" s="71">
        <v>440</v>
      </c>
      <c r="BY15" s="83">
        <v>57</v>
      </c>
      <c r="BZ15" s="62">
        <v>109</v>
      </c>
      <c r="CA15" s="84">
        <v>13102.02326604979</v>
      </c>
      <c r="CB15" s="68"/>
      <c r="CC15" s="126">
        <v>0</v>
      </c>
      <c r="CD15" s="68">
        <v>217134</v>
      </c>
      <c r="CE15" s="71">
        <v>175</v>
      </c>
      <c r="CF15" s="81">
        <v>999.25</v>
      </c>
      <c r="CG15" s="68">
        <v>62</v>
      </c>
      <c r="CH15" s="87">
        <v>6680.5</v>
      </c>
      <c r="CI15" s="68">
        <v>65</v>
      </c>
      <c r="CJ15" s="88">
        <v>7003.75</v>
      </c>
      <c r="CK15" s="68">
        <v>62</v>
      </c>
      <c r="CL15" s="89">
        <v>6680.5</v>
      </c>
      <c r="CM15" s="90">
        <v>20364.75</v>
      </c>
      <c r="CN15" s="91">
        <v>1185.25</v>
      </c>
      <c r="CO15" s="92"/>
      <c r="CP15" s="68">
        <v>36815</v>
      </c>
      <c r="CQ15" s="71">
        <v>44</v>
      </c>
      <c r="CR15" s="81">
        <v>107.36</v>
      </c>
      <c r="CS15" s="68">
        <v>34626</v>
      </c>
      <c r="CT15" s="71">
        <v>7</v>
      </c>
      <c r="CU15" s="81">
        <v>17.079999999999998</v>
      </c>
      <c r="CV15" s="68">
        <v>11079</v>
      </c>
      <c r="CW15" s="71">
        <v>21</v>
      </c>
      <c r="CX15" s="81">
        <v>51.24</v>
      </c>
      <c r="CY15" s="68">
        <v>835603</v>
      </c>
      <c r="CZ15" s="71" t="s">
        <v>127</v>
      </c>
      <c r="DA15" s="81">
        <v>0</v>
      </c>
      <c r="DB15" s="68">
        <v>6731</v>
      </c>
      <c r="DC15" s="71">
        <v>9</v>
      </c>
      <c r="DD15" s="81">
        <v>21.51</v>
      </c>
      <c r="DE15" s="68">
        <v>8092</v>
      </c>
      <c r="DF15" s="71">
        <v>8</v>
      </c>
      <c r="DG15" s="71" t="s">
        <v>127</v>
      </c>
      <c r="DH15" s="68">
        <v>4756</v>
      </c>
      <c r="DI15" s="71">
        <v>7</v>
      </c>
      <c r="DJ15" s="71">
        <v>0</v>
      </c>
      <c r="DK15" s="68">
        <v>1930</v>
      </c>
      <c r="DL15" s="71">
        <v>1</v>
      </c>
      <c r="DM15" s="71">
        <v>0</v>
      </c>
      <c r="DN15" s="68">
        <v>5457</v>
      </c>
      <c r="DO15" s="71">
        <v>9</v>
      </c>
      <c r="DP15" s="71">
        <v>1</v>
      </c>
      <c r="DQ15" s="68">
        <v>5029</v>
      </c>
      <c r="DR15" s="71">
        <v>10</v>
      </c>
      <c r="DS15" s="71">
        <v>0</v>
      </c>
      <c r="DT15" s="68">
        <v>5792</v>
      </c>
      <c r="DU15" s="71">
        <v>9</v>
      </c>
      <c r="DV15" s="71">
        <v>0</v>
      </c>
      <c r="DW15" s="68">
        <v>5699</v>
      </c>
      <c r="DX15" s="71">
        <v>7</v>
      </c>
      <c r="DY15" s="81">
        <v>16.73</v>
      </c>
      <c r="DZ15" s="85"/>
      <c r="EA15" s="81">
        <v>0</v>
      </c>
      <c r="EB15" s="85"/>
      <c r="EC15" s="81">
        <v>0</v>
      </c>
      <c r="ED15" s="94"/>
      <c r="EE15" s="81">
        <v>0</v>
      </c>
      <c r="EF15" s="94"/>
      <c r="EG15" s="81">
        <v>0</v>
      </c>
      <c r="EH15" s="94">
        <v>92</v>
      </c>
      <c r="EI15" s="95">
        <v>205</v>
      </c>
      <c r="EJ15" s="93">
        <v>0.69</v>
      </c>
      <c r="EK15" s="96"/>
      <c r="EL15" s="94"/>
      <c r="EM15" s="95"/>
      <c r="EN15" s="98"/>
      <c r="EO15" s="98"/>
      <c r="EP15" s="98"/>
    </row>
    <row r="16" spans="1:146" s="20" customFormat="1" ht="15.75" thickBot="1" x14ac:dyDescent="0.25">
      <c r="A16" s="61">
        <v>44513</v>
      </c>
      <c r="B16" s="68">
        <v>8658974</v>
      </c>
      <c r="C16" s="63">
        <v>22786</v>
      </c>
      <c r="D16" s="68">
        <v>7822629</v>
      </c>
      <c r="E16" s="63">
        <v>22601</v>
      </c>
      <c r="F16" s="113">
        <v>0.9918809795488458</v>
      </c>
      <c r="G16" s="64">
        <v>1114</v>
      </c>
      <c r="H16" s="64">
        <v>1022</v>
      </c>
      <c r="I16" s="65">
        <v>289262</v>
      </c>
      <c r="J16" s="66">
        <v>0</v>
      </c>
      <c r="K16" s="67">
        <v>794</v>
      </c>
      <c r="L16" s="63">
        <v>0</v>
      </c>
      <c r="M16" s="68">
        <v>636988</v>
      </c>
      <c r="N16" s="66">
        <v>0</v>
      </c>
      <c r="O16" s="68">
        <v>1015</v>
      </c>
      <c r="P16" s="66">
        <v>0</v>
      </c>
      <c r="Q16" s="68">
        <v>2621475</v>
      </c>
      <c r="R16" s="66">
        <v>1142</v>
      </c>
      <c r="S16" s="68">
        <v>2216720</v>
      </c>
      <c r="T16" s="66">
        <v>416</v>
      </c>
      <c r="U16" s="68">
        <v>133814</v>
      </c>
      <c r="V16" s="66">
        <v>188</v>
      </c>
      <c r="W16" s="133"/>
      <c r="X16" s="116">
        <v>0.55555555555555558</v>
      </c>
      <c r="Y16" s="70">
        <v>222.22222222222223</v>
      </c>
      <c r="Z16" s="67">
        <v>9</v>
      </c>
      <c r="AA16" s="68">
        <v>1599514</v>
      </c>
      <c r="AB16" s="63">
        <v>764</v>
      </c>
      <c r="AC16" s="64">
        <v>434980</v>
      </c>
      <c r="AD16" s="71">
        <v>460</v>
      </c>
      <c r="AE16" s="68">
        <v>1153</v>
      </c>
      <c r="AF16" s="72">
        <v>0</v>
      </c>
      <c r="AG16" s="68">
        <v>4808</v>
      </c>
      <c r="AH16" s="73">
        <v>2</v>
      </c>
      <c r="AI16" s="19"/>
      <c r="AJ16" s="19"/>
      <c r="AK16" s="68">
        <v>595830</v>
      </c>
      <c r="AL16" s="66">
        <v>250</v>
      </c>
      <c r="AM16" s="79">
        <v>1353</v>
      </c>
      <c r="AN16" s="63">
        <v>5</v>
      </c>
      <c r="AO16" s="64">
        <v>53570</v>
      </c>
      <c r="AP16" s="77">
        <v>19</v>
      </c>
      <c r="AQ16" s="64">
        <v>9023</v>
      </c>
      <c r="AR16" s="63">
        <v>2</v>
      </c>
      <c r="AS16" s="68">
        <v>10709</v>
      </c>
      <c r="AT16" s="63">
        <v>2</v>
      </c>
      <c r="AU16" s="64">
        <v>15363</v>
      </c>
      <c r="AV16" s="63">
        <v>14</v>
      </c>
      <c r="AW16" s="68">
        <v>19664</v>
      </c>
      <c r="AX16" s="63">
        <v>6</v>
      </c>
      <c r="AY16" s="62">
        <v>20789</v>
      </c>
      <c r="AZ16" s="71">
        <v>2</v>
      </c>
      <c r="BA16" s="68">
        <v>14012</v>
      </c>
      <c r="BB16" s="63">
        <v>3</v>
      </c>
      <c r="BC16" s="62">
        <v>6339</v>
      </c>
      <c r="BD16" s="63">
        <v>0</v>
      </c>
      <c r="BE16" s="68">
        <v>26916</v>
      </c>
      <c r="BF16" s="63">
        <v>5</v>
      </c>
      <c r="BG16" s="64">
        <v>4600</v>
      </c>
      <c r="BH16" s="63">
        <v>6</v>
      </c>
      <c r="BI16">
        <v>15136</v>
      </c>
      <c r="BJ16" s="63">
        <v>94</v>
      </c>
      <c r="BK16" s="68">
        <v>3636</v>
      </c>
      <c r="BL16" s="63">
        <v>0</v>
      </c>
      <c r="BM16" s="71">
        <v>19</v>
      </c>
      <c r="BN16" s="71">
        <v>231</v>
      </c>
      <c r="BO16" s="68">
        <v>614750</v>
      </c>
      <c r="BP16" s="71">
        <v>130</v>
      </c>
      <c r="BQ16" s="78">
        <v>1357</v>
      </c>
      <c r="BR16" s="63">
        <v>9</v>
      </c>
      <c r="BS16" s="68">
        <v>802170</v>
      </c>
      <c r="BT16" s="71">
        <v>310</v>
      </c>
      <c r="BU16" s="78">
        <v>1194</v>
      </c>
      <c r="BV16" s="71">
        <v>4</v>
      </c>
      <c r="BW16" s="81">
        <v>60</v>
      </c>
      <c r="BX16" s="71">
        <v>440</v>
      </c>
      <c r="BY16" s="83">
        <v>54</v>
      </c>
      <c r="BZ16" s="62">
        <v>109</v>
      </c>
      <c r="CA16" s="84">
        <v>13102.02326604979</v>
      </c>
      <c r="CB16" s="68"/>
      <c r="CC16" s="126">
        <v>0</v>
      </c>
      <c r="CD16" s="68">
        <v>217305</v>
      </c>
      <c r="CE16" s="71">
        <v>171</v>
      </c>
      <c r="CF16" s="81">
        <v>976.41</v>
      </c>
      <c r="CG16" s="68">
        <v>59</v>
      </c>
      <c r="CH16" s="87">
        <v>6357.25</v>
      </c>
      <c r="CI16" s="68">
        <v>64</v>
      </c>
      <c r="CJ16" s="88">
        <v>6896</v>
      </c>
      <c r="CK16" s="68">
        <v>60</v>
      </c>
      <c r="CL16" s="89">
        <v>6465</v>
      </c>
      <c r="CM16" s="90">
        <v>19718.25</v>
      </c>
      <c r="CN16" s="91">
        <v>646.5</v>
      </c>
      <c r="CO16" s="68"/>
      <c r="CP16" s="68">
        <v>36856</v>
      </c>
      <c r="CQ16" s="71">
        <v>41</v>
      </c>
      <c r="CR16" s="81">
        <v>100.03999999999999</v>
      </c>
      <c r="CS16" s="68">
        <v>34633</v>
      </c>
      <c r="CT16" s="71">
        <v>7</v>
      </c>
      <c r="CU16" s="81">
        <v>17.079999999999998</v>
      </c>
      <c r="CV16" s="68">
        <v>11100</v>
      </c>
      <c r="CW16" s="71">
        <v>21</v>
      </c>
      <c r="CX16" s="81">
        <v>51.24</v>
      </c>
      <c r="CY16" s="68">
        <v>835764</v>
      </c>
      <c r="CZ16" s="71">
        <v>161</v>
      </c>
      <c r="DA16" s="81">
        <v>392.84</v>
      </c>
      <c r="DB16" s="68">
        <v>6739</v>
      </c>
      <c r="DC16" s="71">
        <v>8</v>
      </c>
      <c r="DD16" s="81">
        <v>19.12</v>
      </c>
      <c r="DE16" s="68">
        <v>8100</v>
      </c>
      <c r="DF16" s="71">
        <v>8</v>
      </c>
      <c r="DG16" s="71">
        <v>0</v>
      </c>
      <c r="DH16" s="68">
        <v>4764</v>
      </c>
      <c r="DI16" s="71">
        <v>8</v>
      </c>
      <c r="DJ16" s="71">
        <v>1</v>
      </c>
      <c r="DK16" s="68">
        <v>1931</v>
      </c>
      <c r="DL16" s="71">
        <v>1</v>
      </c>
      <c r="DM16" s="71">
        <v>0</v>
      </c>
      <c r="DN16" s="68">
        <v>5466</v>
      </c>
      <c r="DO16" s="71">
        <v>9</v>
      </c>
      <c r="DP16" s="71">
        <v>0</v>
      </c>
      <c r="DQ16" s="68">
        <v>5040</v>
      </c>
      <c r="DR16" s="71">
        <v>11</v>
      </c>
      <c r="DS16" s="71">
        <v>1</v>
      </c>
      <c r="DT16" s="68">
        <v>5800</v>
      </c>
      <c r="DU16" s="71">
        <v>8</v>
      </c>
      <c r="DV16" s="71" t="s">
        <v>127</v>
      </c>
      <c r="DW16" s="68">
        <v>5705</v>
      </c>
      <c r="DX16" s="71">
        <v>6</v>
      </c>
      <c r="DY16" s="81">
        <v>14.34</v>
      </c>
      <c r="DZ16" s="85"/>
      <c r="EA16" s="81">
        <v>0</v>
      </c>
      <c r="EB16" s="85"/>
      <c r="EC16" s="81">
        <v>0</v>
      </c>
      <c r="ED16" s="94"/>
      <c r="EE16" s="81">
        <v>0</v>
      </c>
      <c r="EF16" s="94"/>
      <c r="EG16" s="81">
        <v>0</v>
      </c>
      <c r="EH16" s="94">
        <v>93</v>
      </c>
      <c r="EI16" s="95">
        <v>212</v>
      </c>
      <c r="EJ16" s="93">
        <v>0.7</v>
      </c>
      <c r="EK16" s="96"/>
      <c r="EL16" s="94"/>
      <c r="EM16" s="95"/>
      <c r="EN16" s="98"/>
      <c r="EO16" s="98"/>
      <c r="EP16" s="98"/>
    </row>
    <row r="17" spans="1:148" s="24" customFormat="1" ht="15.75" thickBot="1" x14ac:dyDescent="0.25">
      <c r="A17" s="61">
        <v>44514</v>
      </c>
      <c r="B17" s="68">
        <v>8680814</v>
      </c>
      <c r="C17" s="63">
        <v>21840</v>
      </c>
      <c r="D17" s="68">
        <v>7844096</v>
      </c>
      <c r="E17" s="63">
        <v>21467</v>
      </c>
      <c r="F17" s="113">
        <v>0.98292124542124537</v>
      </c>
      <c r="G17" s="64">
        <v>1114</v>
      </c>
      <c r="H17" s="64">
        <v>1022</v>
      </c>
      <c r="I17" s="65">
        <v>289262</v>
      </c>
      <c r="J17" s="66">
        <v>0</v>
      </c>
      <c r="K17" s="67">
        <v>794</v>
      </c>
      <c r="L17" s="63">
        <v>0</v>
      </c>
      <c r="M17" s="68">
        <v>636988</v>
      </c>
      <c r="N17" s="66">
        <v>0</v>
      </c>
      <c r="O17" s="68">
        <v>1015</v>
      </c>
      <c r="P17" s="66">
        <v>0</v>
      </c>
      <c r="Q17" s="68">
        <v>2622218</v>
      </c>
      <c r="R17" s="66">
        <v>743</v>
      </c>
      <c r="S17" s="68">
        <v>2217144</v>
      </c>
      <c r="T17" s="66">
        <v>424</v>
      </c>
      <c r="U17" s="68">
        <v>134002</v>
      </c>
      <c r="V17" s="66">
        <v>188</v>
      </c>
      <c r="W17" s="133"/>
      <c r="X17" s="116">
        <v>0.66666666666666663</v>
      </c>
      <c r="Y17" s="70">
        <v>266.66666666666663</v>
      </c>
      <c r="Z17" s="67">
        <v>17</v>
      </c>
      <c r="AA17" s="68">
        <v>1602483</v>
      </c>
      <c r="AB17" s="63">
        <v>2969</v>
      </c>
      <c r="AC17" s="64">
        <v>435430</v>
      </c>
      <c r="AD17" s="71">
        <v>450</v>
      </c>
      <c r="AE17" s="68">
        <v>1153</v>
      </c>
      <c r="AF17" s="72">
        <v>0</v>
      </c>
      <c r="AG17" s="68">
        <v>4825</v>
      </c>
      <c r="AH17" s="73">
        <v>17</v>
      </c>
      <c r="AI17" s="19"/>
      <c r="AJ17" s="19"/>
      <c r="AK17" s="68">
        <v>596040</v>
      </c>
      <c r="AL17" s="66">
        <v>210</v>
      </c>
      <c r="AM17" s="79">
        <v>1354</v>
      </c>
      <c r="AN17" s="63">
        <v>1</v>
      </c>
      <c r="AO17" s="64">
        <v>53587</v>
      </c>
      <c r="AP17" s="77">
        <v>17</v>
      </c>
      <c r="AQ17" s="64">
        <v>9025</v>
      </c>
      <c r="AR17" s="63">
        <v>2</v>
      </c>
      <c r="AS17" s="68">
        <v>10711</v>
      </c>
      <c r="AT17" s="63">
        <v>2</v>
      </c>
      <c r="AU17" s="64">
        <v>15376</v>
      </c>
      <c r="AV17" s="63">
        <v>13</v>
      </c>
      <c r="AW17" s="68">
        <v>19670</v>
      </c>
      <c r="AX17" s="63">
        <v>6</v>
      </c>
      <c r="AY17" s="62">
        <v>20790</v>
      </c>
      <c r="AZ17" s="71">
        <v>1</v>
      </c>
      <c r="BA17" s="68">
        <v>14015</v>
      </c>
      <c r="BB17" s="63">
        <v>3</v>
      </c>
      <c r="BC17" s="62">
        <v>6340</v>
      </c>
      <c r="BD17" s="63">
        <v>1</v>
      </c>
      <c r="BE17" s="68">
        <v>26920</v>
      </c>
      <c r="BF17" s="63">
        <v>4</v>
      </c>
      <c r="BG17" s="64">
        <v>4605</v>
      </c>
      <c r="BH17" s="63">
        <v>5</v>
      </c>
      <c r="BI17">
        <v>15225</v>
      </c>
      <c r="BJ17" s="63">
        <v>89</v>
      </c>
      <c r="BK17" s="68">
        <v>3636</v>
      </c>
      <c r="BL17" s="63">
        <v>0</v>
      </c>
      <c r="BM17" s="71">
        <v>17</v>
      </c>
      <c r="BN17" s="71">
        <v>193</v>
      </c>
      <c r="BO17" s="68">
        <v>614910</v>
      </c>
      <c r="BP17" s="71">
        <v>160</v>
      </c>
      <c r="BQ17" s="78">
        <v>1384</v>
      </c>
      <c r="BR17" s="63">
        <v>27</v>
      </c>
      <c r="BS17" s="68">
        <v>802450</v>
      </c>
      <c r="BT17" s="71">
        <v>280</v>
      </c>
      <c r="BU17" s="78">
        <v>1198</v>
      </c>
      <c r="BV17" s="71">
        <v>4</v>
      </c>
      <c r="BW17" s="81">
        <v>70</v>
      </c>
      <c r="BX17" s="71">
        <v>440</v>
      </c>
      <c r="BY17" s="83">
        <v>50</v>
      </c>
      <c r="BZ17" s="62">
        <v>109</v>
      </c>
      <c r="CA17" s="84">
        <v>13102.02326604979</v>
      </c>
      <c r="CB17" s="68"/>
      <c r="CC17" s="126">
        <v>0</v>
      </c>
      <c r="CD17" s="68">
        <v>217469</v>
      </c>
      <c r="CE17" s="71">
        <v>164</v>
      </c>
      <c r="CF17" s="81">
        <v>936.43999999999994</v>
      </c>
      <c r="CG17" s="68">
        <v>55</v>
      </c>
      <c r="CH17" s="87">
        <v>5926.25</v>
      </c>
      <c r="CI17" s="68">
        <v>60</v>
      </c>
      <c r="CJ17" s="88">
        <v>6465</v>
      </c>
      <c r="CK17" s="68">
        <v>56</v>
      </c>
      <c r="CL17" s="89">
        <v>6034</v>
      </c>
      <c r="CM17" s="90">
        <v>18425.25</v>
      </c>
      <c r="CN17" s="91">
        <v>1293</v>
      </c>
      <c r="CO17" s="68"/>
      <c r="CP17" s="68">
        <v>36900</v>
      </c>
      <c r="CQ17" s="71">
        <v>44</v>
      </c>
      <c r="CR17" s="81">
        <v>107.36</v>
      </c>
      <c r="CS17" s="68">
        <v>34638</v>
      </c>
      <c r="CT17" s="71">
        <v>5</v>
      </c>
      <c r="CU17" s="81">
        <v>12.2</v>
      </c>
      <c r="CV17" s="68">
        <v>11117</v>
      </c>
      <c r="CW17" s="71">
        <v>17</v>
      </c>
      <c r="CX17" s="81">
        <v>41.48</v>
      </c>
      <c r="CY17" s="68">
        <v>835826</v>
      </c>
      <c r="CZ17" s="71">
        <v>62</v>
      </c>
      <c r="DA17" s="81">
        <v>151.28</v>
      </c>
      <c r="DB17" s="68">
        <v>6747</v>
      </c>
      <c r="DC17" s="71">
        <v>8</v>
      </c>
      <c r="DD17" s="81">
        <v>19.12</v>
      </c>
      <c r="DE17" s="68">
        <v>8108</v>
      </c>
      <c r="DF17" s="71">
        <v>8</v>
      </c>
      <c r="DG17" s="71">
        <v>0</v>
      </c>
      <c r="DH17" s="68">
        <v>4770</v>
      </c>
      <c r="DI17" s="71">
        <v>6</v>
      </c>
      <c r="DJ17" s="71" t="s">
        <v>127</v>
      </c>
      <c r="DK17" s="68">
        <v>1931</v>
      </c>
      <c r="DL17" s="71">
        <v>0</v>
      </c>
      <c r="DM17" s="71" t="s">
        <v>127</v>
      </c>
      <c r="DN17" s="68">
        <v>5474</v>
      </c>
      <c r="DO17" s="71">
        <v>8</v>
      </c>
      <c r="DP17" s="71" t="s">
        <v>127</v>
      </c>
      <c r="DQ17" s="68">
        <v>5050</v>
      </c>
      <c r="DR17" s="71">
        <v>10</v>
      </c>
      <c r="DS17" s="71" t="s">
        <v>127</v>
      </c>
      <c r="DT17" s="68">
        <v>5810</v>
      </c>
      <c r="DU17" s="71">
        <v>10</v>
      </c>
      <c r="DV17" s="71">
        <v>2</v>
      </c>
      <c r="DW17" s="68">
        <v>5710</v>
      </c>
      <c r="DX17" s="71">
        <v>5</v>
      </c>
      <c r="DY17" s="81">
        <v>11.950000000000001</v>
      </c>
      <c r="DZ17" s="85"/>
      <c r="EA17" s="81">
        <v>0</v>
      </c>
      <c r="EB17" s="85"/>
      <c r="EC17" s="81">
        <v>0</v>
      </c>
      <c r="ED17" s="94"/>
      <c r="EE17" s="81">
        <v>0</v>
      </c>
      <c r="EF17" s="94"/>
      <c r="EG17" s="81">
        <v>0</v>
      </c>
      <c r="EH17" s="94">
        <v>86</v>
      </c>
      <c r="EI17" s="95">
        <v>189</v>
      </c>
      <c r="EJ17" s="93">
        <v>0.65</v>
      </c>
      <c r="EK17" s="134"/>
      <c r="EL17" s="135"/>
      <c r="EM17" s="136"/>
      <c r="EN17" s="137"/>
      <c r="EO17" s="137"/>
      <c r="EP17" s="137"/>
    </row>
    <row r="18" spans="1:148" s="20" customFormat="1" ht="15.75" thickBot="1" x14ac:dyDescent="0.25">
      <c r="A18" s="61">
        <v>44515</v>
      </c>
      <c r="B18" s="68">
        <v>8706369</v>
      </c>
      <c r="C18" s="63">
        <v>25555</v>
      </c>
      <c r="D18" s="68">
        <v>7860925</v>
      </c>
      <c r="E18" s="63">
        <v>16829</v>
      </c>
      <c r="F18" s="113">
        <v>0.65854040305224026</v>
      </c>
      <c r="G18" s="64">
        <v>1124</v>
      </c>
      <c r="H18" s="64">
        <v>1022</v>
      </c>
      <c r="I18" s="65">
        <v>289262</v>
      </c>
      <c r="J18" s="66">
        <v>0</v>
      </c>
      <c r="K18" s="67">
        <v>794</v>
      </c>
      <c r="L18" s="63">
        <v>0</v>
      </c>
      <c r="M18" s="68">
        <v>636988</v>
      </c>
      <c r="N18" s="66">
        <v>0</v>
      </c>
      <c r="O18" s="68">
        <v>1015</v>
      </c>
      <c r="P18" s="66">
        <v>0</v>
      </c>
      <c r="Q18" s="68">
        <v>2623294</v>
      </c>
      <c r="R18" s="66">
        <v>1076</v>
      </c>
      <c r="S18" s="68">
        <v>2217558</v>
      </c>
      <c r="T18" s="66">
        <v>414</v>
      </c>
      <c r="U18" s="68">
        <v>134214</v>
      </c>
      <c r="V18" s="66">
        <v>212</v>
      </c>
      <c r="W18" s="133"/>
      <c r="X18" s="116">
        <v>0.66666666666666663</v>
      </c>
      <c r="Y18" s="70">
        <v>266.66666666666663</v>
      </c>
      <c r="Z18" s="67">
        <v>0</v>
      </c>
      <c r="AA18" s="68">
        <v>1604570</v>
      </c>
      <c r="AB18" s="63">
        <v>2087</v>
      </c>
      <c r="AC18" s="64">
        <v>435880</v>
      </c>
      <c r="AD18" s="71">
        <v>450</v>
      </c>
      <c r="AE18" s="68">
        <v>1154</v>
      </c>
      <c r="AF18" s="72">
        <v>1</v>
      </c>
      <c r="AG18" s="68">
        <v>4828</v>
      </c>
      <c r="AH18" s="73">
        <v>3</v>
      </c>
      <c r="AI18" s="19"/>
      <c r="AJ18" s="19"/>
      <c r="AK18" s="68">
        <v>596230</v>
      </c>
      <c r="AL18" s="66">
        <v>190</v>
      </c>
      <c r="AM18" s="79">
        <v>1355</v>
      </c>
      <c r="AN18" s="63">
        <v>1</v>
      </c>
      <c r="AO18" s="64">
        <v>53602</v>
      </c>
      <c r="AP18" s="77">
        <v>15</v>
      </c>
      <c r="AQ18" s="64">
        <v>9027</v>
      </c>
      <c r="AR18" s="63">
        <v>2</v>
      </c>
      <c r="AS18" s="68">
        <v>10712</v>
      </c>
      <c r="AT18" s="63">
        <v>1</v>
      </c>
      <c r="AU18" s="64">
        <v>15388</v>
      </c>
      <c r="AV18" s="63">
        <v>12</v>
      </c>
      <c r="AW18" s="68">
        <v>19677</v>
      </c>
      <c r="AX18" s="63">
        <v>7</v>
      </c>
      <c r="AY18" s="62">
        <v>20792</v>
      </c>
      <c r="AZ18" s="71">
        <v>2</v>
      </c>
      <c r="BA18" s="68">
        <v>14018</v>
      </c>
      <c r="BB18" s="63">
        <v>3</v>
      </c>
      <c r="BC18" s="62">
        <v>6342</v>
      </c>
      <c r="BD18" s="63">
        <v>2</v>
      </c>
      <c r="BE18" s="68">
        <v>26925</v>
      </c>
      <c r="BF18" s="63">
        <v>5</v>
      </c>
      <c r="BG18" s="64">
        <v>4610</v>
      </c>
      <c r="BH18" s="63">
        <v>5</v>
      </c>
      <c r="BI18">
        <v>15320</v>
      </c>
      <c r="BJ18" s="63">
        <v>95</v>
      </c>
      <c r="BK18" s="68">
        <v>3636</v>
      </c>
      <c r="BL18" s="63">
        <v>0</v>
      </c>
      <c r="BM18" s="71">
        <v>17</v>
      </c>
      <c r="BN18" s="71">
        <v>173</v>
      </c>
      <c r="BO18" s="68">
        <v>615070</v>
      </c>
      <c r="BP18" s="71">
        <v>160</v>
      </c>
      <c r="BQ18" s="78">
        <v>1412</v>
      </c>
      <c r="BR18" s="63">
        <v>28</v>
      </c>
      <c r="BS18" s="68">
        <v>802680</v>
      </c>
      <c r="BT18" s="71">
        <v>230</v>
      </c>
      <c r="BU18" s="78">
        <v>1202</v>
      </c>
      <c r="BV18" s="71">
        <v>4</v>
      </c>
      <c r="BW18" s="81">
        <v>40</v>
      </c>
      <c r="BX18" s="71">
        <v>390</v>
      </c>
      <c r="BY18" s="83">
        <v>49</v>
      </c>
      <c r="BZ18" s="62">
        <v>109</v>
      </c>
      <c r="CA18" s="84">
        <v>13102.02326604979</v>
      </c>
      <c r="CB18" s="68"/>
      <c r="CC18" s="126">
        <v>0</v>
      </c>
      <c r="CD18" s="68">
        <v>217636</v>
      </c>
      <c r="CE18" s="71">
        <v>167</v>
      </c>
      <c r="CF18" s="81">
        <v>953.57</v>
      </c>
      <c r="CG18" s="68">
        <v>85</v>
      </c>
      <c r="CH18" s="87">
        <v>9158.75</v>
      </c>
      <c r="CI18" s="68">
        <v>86</v>
      </c>
      <c r="CJ18" s="88">
        <v>9266.5</v>
      </c>
      <c r="CK18" s="68">
        <v>86</v>
      </c>
      <c r="CL18" s="89">
        <v>9266.5</v>
      </c>
      <c r="CM18" s="90">
        <v>27691.75</v>
      </c>
      <c r="CN18" s="91">
        <v>-9266.5</v>
      </c>
      <c r="CO18" s="68">
        <v>7043</v>
      </c>
      <c r="CP18" s="68">
        <v>36946</v>
      </c>
      <c r="CQ18" s="71">
        <v>46</v>
      </c>
      <c r="CR18" s="81">
        <v>112.24</v>
      </c>
      <c r="CS18" s="68">
        <v>34646</v>
      </c>
      <c r="CT18" s="71">
        <v>8</v>
      </c>
      <c r="CU18" s="81">
        <v>19.52</v>
      </c>
      <c r="CV18" s="68">
        <v>11136</v>
      </c>
      <c r="CW18" s="71">
        <v>19</v>
      </c>
      <c r="CX18" s="81">
        <v>46.36</v>
      </c>
      <c r="CY18" s="68">
        <v>835783</v>
      </c>
      <c r="CZ18" s="71" t="s">
        <v>127</v>
      </c>
      <c r="DA18" s="81">
        <v>0</v>
      </c>
      <c r="DB18" s="68">
        <v>6754</v>
      </c>
      <c r="DC18" s="71">
        <v>7</v>
      </c>
      <c r="DD18" s="81">
        <v>16.73</v>
      </c>
      <c r="DE18" s="68">
        <v>8117</v>
      </c>
      <c r="DF18" s="71">
        <v>9</v>
      </c>
      <c r="DG18" s="71">
        <v>1</v>
      </c>
      <c r="DH18" s="68">
        <v>4778</v>
      </c>
      <c r="DI18" s="71">
        <v>8</v>
      </c>
      <c r="DJ18" s="71">
        <v>2</v>
      </c>
      <c r="DK18" s="68">
        <v>1932</v>
      </c>
      <c r="DL18" s="71">
        <v>1</v>
      </c>
      <c r="DM18" s="71">
        <v>1</v>
      </c>
      <c r="DN18" s="68">
        <v>5483</v>
      </c>
      <c r="DO18" s="71">
        <v>9</v>
      </c>
      <c r="DP18" s="71">
        <v>1</v>
      </c>
      <c r="DQ18" s="68">
        <v>5059</v>
      </c>
      <c r="DR18" s="71">
        <v>9</v>
      </c>
      <c r="DS18" s="71" t="s">
        <v>127</v>
      </c>
      <c r="DT18" s="68">
        <v>5819</v>
      </c>
      <c r="DU18" s="71">
        <v>9</v>
      </c>
      <c r="DV18" s="71" t="s">
        <v>127</v>
      </c>
      <c r="DW18" s="68">
        <v>5716</v>
      </c>
      <c r="DX18" s="71">
        <v>6</v>
      </c>
      <c r="DY18" s="81">
        <v>14.34</v>
      </c>
      <c r="DZ18" s="85"/>
      <c r="EA18" s="81">
        <v>0</v>
      </c>
      <c r="EB18" s="85"/>
      <c r="EC18" s="81">
        <v>0</v>
      </c>
      <c r="ED18" s="94"/>
      <c r="EE18" s="81">
        <v>0</v>
      </c>
      <c r="EF18" s="94"/>
      <c r="EG18" s="81">
        <v>0</v>
      </c>
      <c r="EH18" s="94">
        <v>94</v>
      </c>
      <c r="EI18" s="95">
        <v>207</v>
      </c>
      <c r="EJ18" s="93">
        <v>0.71</v>
      </c>
      <c r="EK18" s="96"/>
      <c r="EL18" s="94"/>
      <c r="EM18" s="95"/>
      <c r="EN18" s="98"/>
      <c r="EO18" s="98"/>
      <c r="EP18" s="98"/>
    </row>
    <row r="19" spans="1:148" s="20" customFormat="1" ht="15.75" thickBot="1" x14ac:dyDescent="0.25">
      <c r="A19" s="61">
        <v>44516</v>
      </c>
      <c r="B19" s="68">
        <v>8727152</v>
      </c>
      <c r="C19" s="63">
        <v>20783</v>
      </c>
      <c r="D19" s="68">
        <v>7889809</v>
      </c>
      <c r="E19" s="63">
        <v>28884</v>
      </c>
      <c r="F19" s="113">
        <v>1.3897897319924939</v>
      </c>
      <c r="G19" s="64">
        <v>1124</v>
      </c>
      <c r="H19" s="64">
        <v>1022</v>
      </c>
      <c r="I19" s="65">
        <v>289262</v>
      </c>
      <c r="J19" s="66">
        <v>0</v>
      </c>
      <c r="K19" s="67">
        <v>794</v>
      </c>
      <c r="L19" s="63">
        <v>0</v>
      </c>
      <c r="M19" s="68">
        <v>636988</v>
      </c>
      <c r="N19" s="66">
        <v>0</v>
      </c>
      <c r="O19" s="68">
        <v>1015</v>
      </c>
      <c r="P19" s="66">
        <v>0</v>
      </c>
      <c r="Q19" s="68">
        <v>2624910</v>
      </c>
      <c r="R19" s="66">
        <v>1616</v>
      </c>
      <c r="S19" s="68">
        <v>2217970</v>
      </c>
      <c r="T19" s="66">
        <v>412</v>
      </c>
      <c r="U19" s="68">
        <v>134426</v>
      </c>
      <c r="V19" s="66">
        <v>212</v>
      </c>
      <c r="W19" s="125"/>
      <c r="X19" s="116">
        <v>0.77777777777777779</v>
      </c>
      <c r="Y19" s="70">
        <v>311.11111111111114</v>
      </c>
      <c r="Z19" s="67">
        <v>0</v>
      </c>
      <c r="AA19" s="68">
        <v>1606310</v>
      </c>
      <c r="AB19" s="63">
        <v>1740</v>
      </c>
      <c r="AC19" s="64">
        <v>436220</v>
      </c>
      <c r="AD19" s="71">
        <v>340</v>
      </c>
      <c r="AE19" s="68">
        <v>1156</v>
      </c>
      <c r="AF19" s="72">
        <v>2</v>
      </c>
      <c r="AG19" s="68">
        <v>4828</v>
      </c>
      <c r="AH19" s="73">
        <v>0</v>
      </c>
      <c r="AI19" s="19"/>
      <c r="AJ19" s="19"/>
      <c r="AK19" s="68">
        <v>596390</v>
      </c>
      <c r="AL19" s="66">
        <v>160</v>
      </c>
      <c r="AM19" s="80">
        <v>1356</v>
      </c>
      <c r="AN19" s="63">
        <v>1</v>
      </c>
      <c r="AO19" s="68">
        <v>53622</v>
      </c>
      <c r="AP19" s="77">
        <v>20</v>
      </c>
      <c r="AQ19" s="64">
        <v>9030</v>
      </c>
      <c r="AR19" s="63">
        <v>3</v>
      </c>
      <c r="AS19" s="68">
        <v>10714</v>
      </c>
      <c r="AT19" s="63">
        <v>2</v>
      </c>
      <c r="AU19" s="64">
        <v>15400</v>
      </c>
      <c r="AV19" s="63">
        <v>12</v>
      </c>
      <c r="AW19" s="68">
        <v>19683</v>
      </c>
      <c r="AX19" s="63">
        <v>6</v>
      </c>
      <c r="AY19" s="62">
        <v>20793</v>
      </c>
      <c r="AZ19" s="71">
        <v>1</v>
      </c>
      <c r="BA19" s="68">
        <v>14021</v>
      </c>
      <c r="BB19" s="63">
        <v>3</v>
      </c>
      <c r="BC19" s="62">
        <v>6343</v>
      </c>
      <c r="BD19" s="63">
        <v>1</v>
      </c>
      <c r="BE19" s="68">
        <v>26931</v>
      </c>
      <c r="BF19" s="63">
        <v>6</v>
      </c>
      <c r="BG19" s="64">
        <v>4616</v>
      </c>
      <c r="BH19" s="63">
        <v>6</v>
      </c>
      <c r="BI19">
        <v>15408</v>
      </c>
      <c r="BJ19" s="63">
        <v>88</v>
      </c>
      <c r="BK19" s="68">
        <v>3636</v>
      </c>
      <c r="BL19" s="63">
        <v>0</v>
      </c>
      <c r="BM19" s="71">
        <v>16</v>
      </c>
      <c r="BN19" s="71">
        <v>144</v>
      </c>
      <c r="BO19" s="68">
        <v>615210</v>
      </c>
      <c r="BP19" s="71">
        <v>140</v>
      </c>
      <c r="BQ19" s="78">
        <v>1421</v>
      </c>
      <c r="BR19" s="63">
        <v>9</v>
      </c>
      <c r="BS19" s="68">
        <v>802920</v>
      </c>
      <c r="BT19" s="71">
        <v>240</v>
      </c>
      <c r="BU19" s="78">
        <v>1207</v>
      </c>
      <c r="BV19" s="71">
        <v>5</v>
      </c>
      <c r="BW19" s="81">
        <v>80</v>
      </c>
      <c r="BX19" s="71">
        <v>380</v>
      </c>
      <c r="BY19" s="83">
        <v>54</v>
      </c>
      <c r="BZ19" s="62">
        <v>109</v>
      </c>
      <c r="CA19" s="84">
        <v>13102.02326604979</v>
      </c>
      <c r="CB19" s="68"/>
      <c r="CC19" s="126">
        <v>0</v>
      </c>
      <c r="CD19" s="68">
        <v>217787</v>
      </c>
      <c r="CE19" s="71">
        <v>151</v>
      </c>
      <c r="CF19" s="81">
        <v>862.21</v>
      </c>
      <c r="CG19" s="68">
        <v>82</v>
      </c>
      <c r="CH19" s="87">
        <v>8835.5</v>
      </c>
      <c r="CI19" s="68">
        <v>84</v>
      </c>
      <c r="CJ19" s="88">
        <v>9051</v>
      </c>
      <c r="CK19" s="68">
        <v>83</v>
      </c>
      <c r="CL19" s="89">
        <v>8943.25</v>
      </c>
      <c r="CM19" s="90">
        <v>26829.75</v>
      </c>
      <c r="CN19" s="91">
        <v>7905</v>
      </c>
      <c r="CO19" s="68"/>
      <c r="CP19" s="68">
        <v>36992</v>
      </c>
      <c r="CQ19" s="71">
        <v>46</v>
      </c>
      <c r="CR19" s="81">
        <v>112.24</v>
      </c>
      <c r="CS19" s="68">
        <v>34653</v>
      </c>
      <c r="CT19" s="71">
        <v>7</v>
      </c>
      <c r="CU19" s="81">
        <v>17.079999999999998</v>
      </c>
      <c r="CV19" s="68">
        <v>11157</v>
      </c>
      <c r="CW19" s="71">
        <v>21</v>
      </c>
      <c r="CX19" s="81">
        <v>51.24</v>
      </c>
      <c r="CY19" s="68">
        <v>835936</v>
      </c>
      <c r="CZ19" s="71">
        <v>153</v>
      </c>
      <c r="DA19" s="81">
        <v>373.32</v>
      </c>
      <c r="DB19" s="68">
        <v>6762</v>
      </c>
      <c r="DC19" s="71">
        <v>8</v>
      </c>
      <c r="DD19" s="81">
        <v>19.12</v>
      </c>
      <c r="DE19" s="68">
        <v>8124</v>
      </c>
      <c r="DF19" s="71">
        <v>7</v>
      </c>
      <c r="DG19" s="71" t="s">
        <v>127</v>
      </c>
      <c r="DH19" s="68">
        <v>4784</v>
      </c>
      <c r="DI19" s="71">
        <v>6</v>
      </c>
      <c r="DJ19" s="71" t="s">
        <v>127</v>
      </c>
      <c r="DK19" s="68">
        <v>1933</v>
      </c>
      <c r="DL19" s="71">
        <v>1</v>
      </c>
      <c r="DM19" s="71">
        <v>0</v>
      </c>
      <c r="DN19" s="68">
        <v>5491</v>
      </c>
      <c r="DO19" s="71">
        <v>8</v>
      </c>
      <c r="DP19" s="71" t="s">
        <v>127</v>
      </c>
      <c r="DQ19" s="68">
        <v>5069</v>
      </c>
      <c r="DR19" s="71">
        <v>10</v>
      </c>
      <c r="DS19" s="71">
        <v>1</v>
      </c>
      <c r="DT19" s="68">
        <v>5828</v>
      </c>
      <c r="DU19" s="71">
        <v>9</v>
      </c>
      <c r="DV19" s="71">
        <v>0</v>
      </c>
      <c r="DW19" s="68">
        <v>5719</v>
      </c>
      <c r="DX19" s="71">
        <v>3</v>
      </c>
      <c r="DY19" s="81">
        <v>7.17</v>
      </c>
      <c r="DZ19" s="85"/>
      <c r="EA19" s="81"/>
      <c r="EB19" s="85"/>
      <c r="EC19" s="81"/>
      <c r="ED19" s="94"/>
      <c r="EE19" s="81"/>
      <c r="EF19" s="94"/>
      <c r="EG19" s="81"/>
      <c r="EH19" s="94">
        <v>89</v>
      </c>
      <c r="EI19" s="95">
        <v>199</v>
      </c>
      <c r="EJ19" s="93">
        <v>0.67</v>
      </c>
      <c r="EK19" s="96"/>
      <c r="EL19" s="94"/>
      <c r="EM19" s="95"/>
      <c r="EN19" s="98"/>
      <c r="EO19" s="98"/>
      <c r="EP19" s="98"/>
    </row>
    <row r="20" spans="1:148" s="20" customFormat="1" ht="135.75" thickBot="1" x14ac:dyDescent="0.25">
      <c r="A20" s="61">
        <v>44517</v>
      </c>
      <c r="B20" s="68">
        <v>8751665</v>
      </c>
      <c r="C20" s="63">
        <v>24513</v>
      </c>
      <c r="D20" s="68">
        <v>7913926</v>
      </c>
      <c r="E20" s="63">
        <v>24117</v>
      </c>
      <c r="F20" s="113">
        <v>0.98384530657202296</v>
      </c>
      <c r="G20" s="64">
        <v>1124</v>
      </c>
      <c r="H20" s="64">
        <v>1022</v>
      </c>
      <c r="I20" s="65">
        <v>289262</v>
      </c>
      <c r="J20" s="66">
        <v>0</v>
      </c>
      <c r="K20" s="67">
        <v>794</v>
      </c>
      <c r="L20" s="63">
        <v>0</v>
      </c>
      <c r="M20" s="68">
        <v>636988</v>
      </c>
      <c r="N20" s="66">
        <v>0</v>
      </c>
      <c r="O20" s="68">
        <v>1015</v>
      </c>
      <c r="P20" s="66">
        <v>0</v>
      </c>
      <c r="Q20" s="68">
        <v>2627478</v>
      </c>
      <c r="R20" s="66">
        <v>2568</v>
      </c>
      <c r="S20" s="68">
        <v>2218400</v>
      </c>
      <c r="T20" s="66">
        <v>430</v>
      </c>
      <c r="U20" s="68">
        <v>134664</v>
      </c>
      <c r="V20" s="66">
        <v>238</v>
      </c>
      <c r="W20" s="125"/>
      <c r="X20" s="116">
        <v>0.77777777777777779</v>
      </c>
      <c r="Y20" s="70">
        <v>311.11111111111114</v>
      </c>
      <c r="Z20" s="67">
        <v>0</v>
      </c>
      <c r="AA20" s="68">
        <v>1607792</v>
      </c>
      <c r="AB20" s="63">
        <v>1482</v>
      </c>
      <c r="AC20" s="64">
        <v>436610</v>
      </c>
      <c r="AD20" s="71">
        <v>390</v>
      </c>
      <c r="AE20" s="68">
        <v>1156</v>
      </c>
      <c r="AF20" s="72">
        <v>0</v>
      </c>
      <c r="AG20" s="68">
        <v>4828</v>
      </c>
      <c r="AH20" s="73">
        <v>0</v>
      </c>
      <c r="AI20" s="19"/>
      <c r="AJ20" s="19"/>
      <c r="AK20" s="68">
        <v>596560</v>
      </c>
      <c r="AL20" s="66">
        <v>170</v>
      </c>
      <c r="AM20" s="80">
        <v>1357</v>
      </c>
      <c r="AN20" s="63">
        <v>1</v>
      </c>
      <c r="AO20" s="68">
        <v>53640</v>
      </c>
      <c r="AP20" s="77">
        <v>18</v>
      </c>
      <c r="AQ20" s="64">
        <v>9032</v>
      </c>
      <c r="AR20" s="63">
        <v>2</v>
      </c>
      <c r="AS20" s="68">
        <v>10716</v>
      </c>
      <c r="AT20" s="63">
        <v>2</v>
      </c>
      <c r="AU20" s="64">
        <v>15416</v>
      </c>
      <c r="AV20" s="63">
        <v>16</v>
      </c>
      <c r="AW20" s="68">
        <v>19690</v>
      </c>
      <c r="AX20" s="63">
        <v>7</v>
      </c>
      <c r="AY20" s="62">
        <v>20796</v>
      </c>
      <c r="AZ20" s="71">
        <v>3</v>
      </c>
      <c r="BA20" s="68">
        <v>14025</v>
      </c>
      <c r="BB20" s="63">
        <v>4</v>
      </c>
      <c r="BC20" s="62">
        <v>6344</v>
      </c>
      <c r="BD20" s="63">
        <v>1</v>
      </c>
      <c r="BE20" s="68">
        <v>26934</v>
      </c>
      <c r="BF20" s="63">
        <v>3</v>
      </c>
      <c r="BG20" s="64">
        <v>4622</v>
      </c>
      <c r="BH20" s="63">
        <v>6</v>
      </c>
      <c r="BI20">
        <v>15496</v>
      </c>
      <c r="BJ20" s="63">
        <v>88</v>
      </c>
      <c r="BK20" s="68">
        <v>3636</v>
      </c>
      <c r="BL20" s="63" t="e">
        <v>#REF!</v>
      </c>
      <c r="BM20" s="71">
        <v>23</v>
      </c>
      <c r="BN20" s="71">
        <v>147</v>
      </c>
      <c r="BO20" s="68">
        <v>615330</v>
      </c>
      <c r="BP20" s="71">
        <v>120</v>
      </c>
      <c r="BQ20" s="78">
        <v>1423</v>
      </c>
      <c r="BR20" s="63">
        <v>2</v>
      </c>
      <c r="BS20" s="68">
        <v>803160</v>
      </c>
      <c r="BT20" s="71">
        <v>240</v>
      </c>
      <c r="BU20" s="82">
        <v>1212</v>
      </c>
      <c r="BV20" s="71">
        <v>5</v>
      </c>
      <c r="BW20" s="81">
        <v>70</v>
      </c>
      <c r="BX20" s="71">
        <v>360</v>
      </c>
      <c r="BY20" s="83">
        <v>59</v>
      </c>
      <c r="BZ20" s="62">
        <v>109</v>
      </c>
      <c r="CA20" s="84">
        <v>13102.02326604979</v>
      </c>
      <c r="CB20" s="86"/>
      <c r="CC20" s="126">
        <v>0</v>
      </c>
      <c r="CD20" s="68">
        <v>217948</v>
      </c>
      <c r="CE20" s="71">
        <v>161</v>
      </c>
      <c r="CF20" s="81">
        <v>919.31</v>
      </c>
      <c r="CG20" s="68">
        <v>80</v>
      </c>
      <c r="CH20" s="87">
        <v>8620</v>
      </c>
      <c r="CI20" s="68">
        <v>82</v>
      </c>
      <c r="CJ20" s="88">
        <v>8835.5</v>
      </c>
      <c r="CK20" s="68">
        <v>79</v>
      </c>
      <c r="CL20" s="89">
        <v>8512.25</v>
      </c>
      <c r="CM20" s="90">
        <v>25967.75</v>
      </c>
      <c r="CN20" s="91">
        <v>862</v>
      </c>
      <c r="CO20" s="68"/>
      <c r="CP20" s="68">
        <v>37037</v>
      </c>
      <c r="CQ20" s="71">
        <v>45</v>
      </c>
      <c r="CR20" s="81">
        <v>109.8</v>
      </c>
      <c r="CS20" s="68">
        <v>34660</v>
      </c>
      <c r="CT20" s="71">
        <v>7</v>
      </c>
      <c r="CU20" s="81">
        <v>17.079999999999998</v>
      </c>
      <c r="CV20" s="68">
        <v>11176</v>
      </c>
      <c r="CW20" s="71">
        <v>19</v>
      </c>
      <c r="CX20" s="81">
        <v>46.36</v>
      </c>
      <c r="CY20" s="68">
        <v>835989</v>
      </c>
      <c r="CZ20" s="71">
        <v>53</v>
      </c>
      <c r="DA20" s="81">
        <v>129.32</v>
      </c>
      <c r="DB20" s="68">
        <v>6770</v>
      </c>
      <c r="DC20" s="71">
        <v>8</v>
      </c>
      <c r="DD20" s="81">
        <v>19.12</v>
      </c>
      <c r="DE20" s="68">
        <v>8132</v>
      </c>
      <c r="DF20" s="71">
        <v>8</v>
      </c>
      <c r="DG20" s="71">
        <v>1</v>
      </c>
      <c r="DH20" s="68">
        <v>4791</v>
      </c>
      <c r="DI20" s="71">
        <v>7</v>
      </c>
      <c r="DJ20" s="71">
        <v>1</v>
      </c>
      <c r="DK20" s="68">
        <v>1934</v>
      </c>
      <c r="DL20" s="71">
        <v>1</v>
      </c>
      <c r="DM20" s="71">
        <v>0</v>
      </c>
      <c r="DN20" s="68">
        <v>5500</v>
      </c>
      <c r="DO20" s="71">
        <v>9</v>
      </c>
      <c r="DP20" s="71">
        <v>1</v>
      </c>
      <c r="DQ20" s="68">
        <v>5079</v>
      </c>
      <c r="DR20" s="71">
        <v>10</v>
      </c>
      <c r="DS20" s="71">
        <v>0</v>
      </c>
      <c r="DT20" s="68">
        <v>5837</v>
      </c>
      <c r="DU20" s="71">
        <v>9</v>
      </c>
      <c r="DV20" s="71">
        <v>0</v>
      </c>
      <c r="DW20" s="68">
        <v>5725</v>
      </c>
      <c r="DX20" s="71">
        <v>6</v>
      </c>
      <c r="DY20" s="81">
        <v>14.34</v>
      </c>
      <c r="DZ20" s="85"/>
      <c r="EA20" s="81">
        <v>0</v>
      </c>
      <c r="EB20" s="85"/>
      <c r="EC20" s="81">
        <v>0</v>
      </c>
      <c r="ED20" s="94"/>
      <c r="EE20" s="81">
        <v>0</v>
      </c>
      <c r="EF20" s="94"/>
      <c r="EG20" s="81">
        <v>0</v>
      </c>
      <c r="EH20" s="94">
        <v>89</v>
      </c>
      <c r="EI20" s="95">
        <v>197</v>
      </c>
      <c r="EJ20" s="93">
        <v>0.67</v>
      </c>
      <c r="EK20" s="96"/>
      <c r="EL20" s="94"/>
      <c r="EM20" s="95"/>
      <c r="EN20" s="98"/>
      <c r="EO20" s="98"/>
      <c r="EP20" s="98"/>
      <c r="ER20" s="138" t="s">
        <v>128</v>
      </c>
    </row>
    <row r="21" spans="1:148" s="20" customFormat="1" ht="15.75" thickBot="1" x14ac:dyDescent="0.25">
      <c r="A21" s="61">
        <v>44518</v>
      </c>
      <c r="B21" s="68">
        <v>8773680</v>
      </c>
      <c r="C21" s="63">
        <v>22015</v>
      </c>
      <c r="D21" s="68">
        <v>7935598</v>
      </c>
      <c r="E21" s="63">
        <v>21672</v>
      </c>
      <c r="F21" s="113">
        <v>0.98441971383147853</v>
      </c>
      <c r="G21" s="64">
        <v>1124</v>
      </c>
      <c r="H21" s="64">
        <v>1022</v>
      </c>
      <c r="I21" s="65">
        <v>289262</v>
      </c>
      <c r="J21" s="66">
        <v>0</v>
      </c>
      <c r="K21" s="67">
        <v>794</v>
      </c>
      <c r="L21" s="63">
        <v>0</v>
      </c>
      <c r="M21" s="68">
        <v>636988</v>
      </c>
      <c r="N21" s="66">
        <v>0</v>
      </c>
      <c r="O21" s="68">
        <v>1015</v>
      </c>
      <c r="P21" s="66" t="e">
        <v>#REF!</v>
      </c>
      <c r="Q21" s="68">
        <v>2629132</v>
      </c>
      <c r="R21" s="66">
        <v>1654</v>
      </c>
      <c r="S21" s="68">
        <v>2218910</v>
      </c>
      <c r="T21" s="66">
        <v>510</v>
      </c>
      <c r="U21" s="68">
        <v>134878</v>
      </c>
      <c r="V21" s="66">
        <v>214</v>
      </c>
      <c r="W21" s="125"/>
      <c r="X21" s="116">
        <v>0.77</v>
      </c>
      <c r="Y21" s="70">
        <v>308</v>
      </c>
      <c r="Z21" s="67">
        <v>0</v>
      </c>
      <c r="AA21" s="68">
        <v>1607793</v>
      </c>
      <c r="AB21" s="63">
        <v>1</v>
      </c>
      <c r="AC21" s="64">
        <v>437000</v>
      </c>
      <c r="AD21" s="71">
        <v>390</v>
      </c>
      <c r="AE21" s="68">
        <v>1156</v>
      </c>
      <c r="AF21" s="72">
        <v>0</v>
      </c>
      <c r="AG21" s="68">
        <v>4828</v>
      </c>
      <c r="AH21" s="73">
        <v>0</v>
      </c>
      <c r="AI21" s="19"/>
      <c r="AJ21" s="19"/>
      <c r="AK21" s="68">
        <v>596740</v>
      </c>
      <c r="AL21" s="66">
        <v>180</v>
      </c>
      <c r="AM21" s="80">
        <v>1360</v>
      </c>
      <c r="AN21" s="63">
        <v>3</v>
      </c>
      <c r="AO21" s="68">
        <v>53658</v>
      </c>
      <c r="AP21" s="77">
        <v>18</v>
      </c>
      <c r="AQ21" s="64">
        <v>9035</v>
      </c>
      <c r="AR21" s="63">
        <v>3</v>
      </c>
      <c r="AS21" s="68">
        <v>10717</v>
      </c>
      <c r="AT21" s="63">
        <v>1</v>
      </c>
      <c r="AU21" s="64">
        <v>15425</v>
      </c>
      <c r="AV21" s="63">
        <v>9</v>
      </c>
      <c r="AW21" s="68">
        <v>19697</v>
      </c>
      <c r="AX21" s="63">
        <v>7</v>
      </c>
      <c r="AY21" s="62">
        <v>20798</v>
      </c>
      <c r="AZ21" s="71">
        <v>2</v>
      </c>
      <c r="BA21" s="68">
        <v>14028</v>
      </c>
      <c r="BB21" s="63">
        <v>3</v>
      </c>
      <c r="BC21" s="62">
        <v>6345</v>
      </c>
      <c r="BD21" s="63">
        <v>1</v>
      </c>
      <c r="BE21" s="68">
        <v>26937</v>
      </c>
      <c r="BF21" s="63">
        <v>3</v>
      </c>
      <c r="BG21" s="64">
        <v>4628</v>
      </c>
      <c r="BH21" s="63">
        <v>6</v>
      </c>
      <c r="BI21">
        <v>15592</v>
      </c>
      <c r="BJ21" s="63">
        <v>96</v>
      </c>
      <c r="BK21" s="68">
        <v>3636</v>
      </c>
      <c r="BL21" s="63">
        <v>0</v>
      </c>
      <c r="BM21" s="71">
        <v>14</v>
      </c>
      <c r="BN21" s="71">
        <v>166</v>
      </c>
      <c r="BO21" s="68">
        <v>615460</v>
      </c>
      <c r="BP21" s="71">
        <v>130</v>
      </c>
      <c r="BQ21" s="78">
        <v>1435</v>
      </c>
      <c r="BR21" s="63">
        <v>12</v>
      </c>
      <c r="BS21" s="68">
        <v>803410</v>
      </c>
      <c r="BT21" s="71">
        <v>250</v>
      </c>
      <c r="BU21" s="82">
        <v>1216</v>
      </c>
      <c r="BV21" s="71">
        <v>4</v>
      </c>
      <c r="BW21" s="81">
        <v>70</v>
      </c>
      <c r="BX21" s="71">
        <v>380</v>
      </c>
      <c r="BY21" s="83">
        <v>50</v>
      </c>
      <c r="BZ21" s="62">
        <v>109</v>
      </c>
      <c r="CA21" s="84">
        <v>13102.02326604979</v>
      </c>
      <c r="CB21" s="86"/>
      <c r="CC21" s="126">
        <v>0</v>
      </c>
      <c r="CD21" s="68">
        <v>218102</v>
      </c>
      <c r="CE21" s="71">
        <v>154</v>
      </c>
      <c r="CF21" s="81">
        <v>879.34</v>
      </c>
      <c r="CG21" s="68">
        <v>76</v>
      </c>
      <c r="CH21" s="87">
        <v>8189</v>
      </c>
      <c r="CI21" s="68">
        <v>79</v>
      </c>
      <c r="CJ21" s="88">
        <v>8512.25</v>
      </c>
      <c r="CK21" s="68">
        <v>77</v>
      </c>
      <c r="CL21" s="89">
        <v>8296.75</v>
      </c>
      <c r="CM21" s="90">
        <v>24998</v>
      </c>
      <c r="CN21" s="91">
        <v>969.75</v>
      </c>
      <c r="CO21" s="68"/>
      <c r="CP21" s="68">
        <v>37080</v>
      </c>
      <c r="CQ21" s="71">
        <v>43</v>
      </c>
      <c r="CR21" s="81">
        <v>104.92</v>
      </c>
      <c r="CS21" s="68">
        <v>34667</v>
      </c>
      <c r="CT21" s="71">
        <v>7</v>
      </c>
      <c r="CU21" s="81">
        <v>17.079999999999998</v>
      </c>
      <c r="CV21" s="68">
        <v>11198</v>
      </c>
      <c r="CW21" s="71">
        <v>22</v>
      </c>
      <c r="CX21" s="81">
        <v>53.68</v>
      </c>
      <c r="CY21" s="68">
        <v>836039</v>
      </c>
      <c r="CZ21" s="71">
        <v>50</v>
      </c>
      <c r="DA21" s="81">
        <v>122</v>
      </c>
      <c r="DB21" s="68">
        <v>6777</v>
      </c>
      <c r="DC21" s="71">
        <v>7</v>
      </c>
      <c r="DD21" s="81">
        <v>16.73</v>
      </c>
      <c r="DE21" s="68">
        <v>8141</v>
      </c>
      <c r="DF21" s="71">
        <v>9</v>
      </c>
      <c r="DG21" s="71">
        <v>1</v>
      </c>
      <c r="DH21" s="68">
        <v>4798</v>
      </c>
      <c r="DI21" s="71">
        <v>7</v>
      </c>
      <c r="DJ21" s="71">
        <v>0</v>
      </c>
      <c r="DK21" s="68">
        <v>1935</v>
      </c>
      <c r="DL21" s="71">
        <v>1</v>
      </c>
      <c r="DM21" s="71">
        <v>0</v>
      </c>
      <c r="DN21" s="68">
        <v>5508</v>
      </c>
      <c r="DO21" s="71">
        <v>8</v>
      </c>
      <c r="DP21" s="71" t="s">
        <v>127</v>
      </c>
      <c r="DQ21" s="68">
        <v>5089</v>
      </c>
      <c r="DR21" s="71">
        <v>10</v>
      </c>
      <c r="DS21" s="71">
        <v>0</v>
      </c>
      <c r="DT21" s="68">
        <v>5846</v>
      </c>
      <c r="DU21" s="71">
        <v>9</v>
      </c>
      <c r="DV21" s="71">
        <v>0</v>
      </c>
      <c r="DW21" s="68">
        <v>5731</v>
      </c>
      <c r="DX21" s="71">
        <v>6</v>
      </c>
      <c r="DY21" s="81">
        <v>14.34</v>
      </c>
      <c r="DZ21" s="85"/>
      <c r="EA21" s="81">
        <v>0</v>
      </c>
      <c r="EB21" s="85"/>
      <c r="EC21" s="81">
        <v>0</v>
      </c>
      <c r="ED21" s="94"/>
      <c r="EE21" s="81">
        <v>0</v>
      </c>
      <c r="EF21" s="94"/>
      <c r="EG21" s="81">
        <v>0</v>
      </c>
      <c r="EH21" s="94">
        <v>84</v>
      </c>
      <c r="EI21" s="95">
        <v>188</v>
      </c>
      <c r="EJ21" s="93">
        <v>0.63</v>
      </c>
      <c r="EK21" s="96"/>
      <c r="EL21" s="94"/>
      <c r="EM21" s="95"/>
      <c r="EN21" s="98"/>
      <c r="EO21" s="98"/>
      <c r="EP21" s="98"/>
    </row>
    <row r="22" spans="1:148" s="20" customFormat="1" ht="15.75" thickBot="1" x14ac:dyDescent="0.25">
      <c r="A22" s="61">
        <v>44519</v>
      </c>
      <c r="B22" s="68">
        <v>8793704</v>
      </c>
      <c r="C22" s="63">
        <v>20024</v>
      </c>
      <c r="D22" s="68">
        <v>7955356</v>
      </c>
      <c r="E22" s="63">
        <v>19758</v>
      </c>
      <c r="F22" s="113">
        <v>0.98671594087095482</v>
      </c>
      <c r="G22" s="64">
        <v>1124</v>
      </c>
      <c r="H22" s="64">
        <v>1022</v>
      </c>
      <c r="I22" s="65">
        <v>289262</v>
      </c>
      <c r="J22" s="66">
        <v>0</v>
      </c>
      <c r="K22" s="67">
        <v>794</v>
      </c>
      <c r="L22" s="63">
        <v>0</v>
      </c>
      <c r="M22" s="68">
        <v>636988</v>
      </c>
      <c r="N22" s="66">
        <v>0</v>
      </c>
      <c r="O22" s="68">
        <v>1015</v>
      </c>
      <c r="P22" s="66">
        <v>0</v>
      </c>
      <c r="Q22" s="68">
        <v>2629870</v>
      </c>
      <c r="R22" s="66">
        <v>738</v>
      </c>
      <c r="S22" s="68">
        <v>2219215</v>
      </c>
      <c r="T22" s="66">
        <v>305</v>
      </c>
      <c r="U22" s="68">
        <v>135082</v>
      </c>
      <c r="V22" s="66">
        <v>204</v>
      </c>
      <c r="W22" s="125"/>
      <c r="X22" s="116">
        <v>0.55555555555555558</v>
      </c>
      <c r="Y22" s="70">
        <v>222.22222222222223</v>
      </c>
      <c r="Z22" s="67">
        <v>7</v>
      </c>
      <c r="AA22" s="68">
        <v>1608093</v>
      </c>
      <c r="AB22" s="63">
        <v>300</v>
      </c>
      <c r="AC22" s="64">
        <v>437420</v>
      </c>
      <c r="AD22" s="71">
        <v>420</v>
      </c>
      <c r="AE22" s="68">
        <v>1156</v>
      </c>
      <c r="AF22" s="72">
        <v>0</v>
      </c>
      <c r="AG22" s="68">
        <v>4847</v>
      </c>
      <c r="AH22" s="73">
        <v>19</v>
      </c>
      <c r="AI22" s="19"/>
      <c r="AJ22" s="19"/>
      <c r="AK22" s="68">
        <v>596950</v>
      </c>
      <c r="AL22" s="66">
        <v>210</v>
      </c>
      <c r="AM22" s="80">
        <v>1373</v>
      </c>
      <c r="AN22" s="63">
        <v>13</v>
      </c>
      <c r="AO22" s="68">
        <v>53674</v>
      </c>
      <c r="AP22" s="77">
        <v>16</v>
      </c>
      <c r="AQ22" s="64">
        <v>9038</v>
      </c>
      <c r="AR22" s="63">
        <v>3</v>
      </c>
      <c r="AS22" s="68">
        <v>10718</v>
      </c>
      <c r="AT22" s="63">
        <v>1</v>
      </c>
      <c r="AU22" s="64">
        <v>15435</v>
      </c>
      <c r="AV22" s="63">
        <v>10</v>
      </c>
      <c r="AW22" s="68">
        <v>19703</v>
      </c>
      <c r="AX22" s="63">
        <v>6</v>
      </c>
      <c r="AY22" s="62">
        <v>20800</v>
      </c>
      <c r="AZ22" s="71">
        <v>2</v>
      </c>
      <c r="BA22" s="68">
        <v>14031</v>
      </c>
      <c r="BB22" s="63">
        <v>3</v>
      </c>
      <c r="BC22" s="62">
        <v>6347</v>
      </c>
      <c r="BD22" s="63">
        <v>2</v>
      </c>
      <c r="BE22" s="68">
        <v>26941</v>
      </c>
      <c r="BF22" s="63">
        <v>4</v>
      </c>
      <c r="BG22" s="64">
        <v>4633</v>
      </c>
      <c r="BH22" s="63">
        <v>5</v>
      </c>
      <c r="BI22">
        <v>15673</v>
      </c>
      <c r="BJ22" s="63">
        <v>81</v>
      </c>
      <c r="BK22" s="68">
        <v>3636</v>
      </c>
      <c r="BL22" s="63">
        <v>0</v>
      </c>
      <c r="BM22" s="71">
        <v>15</v>
      </c>
      <c r="BN22" s="71">
        <v>195</v>
      </c>
      <c r="BO22" s="68">
        <v>615600</v>
      </c>
      <c r="BP22" s="71">
        <v>140</v>
      </c>
      <c r="BQ22" s="78">
        <v>1441</v>
      </c>
      <c r="BR22" s="63">
        <v>6</v>
      </c>
      <c r="BS22" s="68">
        <v>803670</v>
      </c>
      <c r="BT22" s="71">
        <v>260</v>
      </c>
      <c r="BU22" s="82">
        <v>1220</v>
      </c>
      <c r="BV22" s="71">
        <v>4</v>
      </c>
      <c r="BW22" s="81">
        <v>50</v>
      </c>
      <c r="BX22" s="71">
        <v>400</v>
      </c>
      <c r="BY22" s="83">
        <v>48</v>
      </c>
      <c r="BZ22" s="62">
        <v>109</v>
      </c>
      <c r="CA22" s="84">
        <v>13102.02326604979</v>
      </c>
      <c r="CB22" s="86"/>
      <c r="CC22" s="126">
        <v>0</v>
      </c>
      <c r="CD22" s="68">
        <v>218233</v>
      </c>
      <c r="CE22" s="71">
        <v>131</v>
      </c>
      <c r="CF22" s="81">
        <v>748.01</v>
      </c>
      <c r="CG22" s="68">
        <v>75</v>
      </c>
      <c r="CH22" s="87">
        <v>8081.25</v>
      </c>
      <c r="CI22" s="68">
        <v>77</v>
      </c>
      <c r="CJ22" s="88">
        <v>8296.75</v>
      </c>
      <c r="CK22" s="68">
        <v>75</v>
      </c>
      <c r="CL22" s="89">
        <v>8081.25</v>
      </c>
      <c r="CM22" s="90">
        <v>24459.25</v>
      </c>
      <c r="CN22" s="91">
        <v>538.75</v>
      </c>
      <c r="CO22" s="68"/>
      <c r="CP22" s="68">
        <v>37120</v>
      </c>
      <c r="CQ22" s="71">
        <v>40</v>
      </c>
      <c r="CR22" s="81">
        <v>97.6</v>
      </c>
      <c r="CS22" s="68">
        <v>34672</v>
      </c>
      <c r="CT22" s="71">
        <v>5</v>
      </c>
      <c r="CU22" s="81">
        <v>12.2</v>
      </c>
      <c r="CV22" s="68">
        <v>11219</v>
      </c>
      <c r="CW22" s="71">
        <v>21</v>
      </c>
      <c r="CX22" s="81">
        <v>51.24</v>
      </c>
      <c r="CY22" s="68">
        <v>836084</v>
      </c>
      <c r="CZ22" s="71">
        <v>45</v>
      </c>
      <c r="DA22" s="81">
        <v>109.8</v>
      </c>
      <c r="DB22" s="68">
        <v>6784</v>
      </c>
      <c r="DC22" s="71">
        <v>7</v>
      </c>
      <c r="DD22" s="81">
        <v>16.73</v>
      </c>
      <c r="DE22" s="68">
        <v>8148</v>
      </c>
      <c r="DF22" s="71">
        <v>7</v>
      </c>
      <c r="DG22" s="71" t="s">
        <v>127</v>
      </c>
      <c r="DH22" s="68">
        <v>4804</v>
      </c>
      <c r="DI22" s="71">
        <v>6</v>
      </c>
      <c r="DJ22" s="71" t="s">
        <v>127</v>
      </c>
      <c r="DK22" s="68">
        <v>1936</v>
      </c>
      <c r="DL22" s="71">
        <v>1</v>
      </c>
      <c r="DM22" s="71">
        <v>0</v>
      </c>
      <c r="DN22" s="68">
        <v>5516</v>
      </c>
      <c r="DO22" s="71">
        <v>8</v>
      </c>
      <c r="DP22" s="71">
        <v>0</v>
      </c>
      <c r="DQ22" s="68">
        <v>5098</v>
      </c>
      <c r="DR22" s="71">
        <v>9</v>
      </c>
      <c r="DS22" s="71" t="s">
        <v>127</v>
      </c>
      <c r="DT22" s="68">
        <v>5854</v>
      </c>
      <c r="DU22" s="71">
        <v>8</v>
      </c>
      <c r="DV22" s="71" t="s">
        <v>127</v>
      </c>
      <c r="DW22" s="68">
        <v>5736</v>
      </c>
      <c r="DX22" s="71">
        <v>5</v>
      </c>
      <c r="DY22" s="81">
        <v>11.950000000000001</v>
      </c>
      <c r="DZ22" s="85"/>
      <c r="EA22" s="81">
        <v>0</v>
      </c>
      <c r="EB22" s="85"/>
      <c r="EC22" s="81">
        <v>0</v>
      </c>
      <c r="ED22" s="94"/>
      <c r="EE22" s="81">
        <v>0</v>
      </c>
      <c r="EF22" s="94"/>
      <c r="EG22" s="81">
        <v>0</v>
      </c>
      <c r="EH22" s="94">
        <v>92</v>
      </c>
      <c r="EI22" s="95">
        <v>212</v>
      </c>
      <c r="EJ22" s="93">
        <v>0.69</v>
      </c>
      <c r="EK22" s="96"/>
      <c r="EL22" s="94"/>
      <c r="EM22" s="95"/>
      <c r="EN22" s="98"/>
      <c r="EO22" s="98"/>
      <c r="EP22" s="98"/>
    </row>
    <row r="23" spans="1:148" s="20" customFormat="1" ht="15.75" thickBot="1" x14ac:dyDescent="0.25">
      <c r="A23" s="61">
        <v>44520</v>
      </c>
      <c r="B23" s="68">
        <v>8817772</v>
      </c>
      <c r="C23" s="63">
        <v>24068</v>
      </c>
      <c r="D23" s="68">
        <v>7979214</v>
      </c>
      <c r="E23" s="63">
        <v>23858</v>
      </c>
      <c r="F23" s="113">
        <v>0.99127472162207075</v>
      </c>
      <c r="G23" s="64">
        <v>1124</v>
      </c>
      <c r="H23" s="64">
        <v>1022</v>
      </c>
      <c r="I23" s="65">
        <v>289262</v>
      </c>
      <c r="J23" s="66">
        <v>0</v>
      </c>
      <c r="K23" s="67">
        <v>794</v>
      </c>
      <c r="L23" s="63">
        <v>0</v>
      </c>
      <c r="M23" s="68">
        <v>636988</v>
      </c>
      <c r="N23" s="66">
        <v>0</v>
      </c>
      <c r="O23" s="68">
        <v>1015</v>
      </c>
      <c r="P23" s="66">
        <v>0</v>
      </c>
      <c r="Q23" s="68">
        <v>2630950</v>
      </c>
      <c r="R23" s="66">
        <v>1080</v>
      </c>
      <c r="S23" s="68">
        <v>2219669</v>
      </c>
      <c r="T23" s="66">
        <v>454</v>
      </c>
      <c r="U23" s="68">
        <v>135466</v>
      </c>
      <c r="V23" s="66">
        <v>384</v>
      </c>
      <c r="W23" s="125"/>
      <c r="X23" s="116">
        <v>0.88888888888888884</v>
      </c>
      <c r="Y23" s="70">
        <v>355.55555555555554</v>
      </c>
      <c r="Z23" s="67">
        <v>5</v>
      </c>
      <c r="AA23" s="68">
        <v>1608393</v>
      </c>
      <c r="AB23" s="63">
        <v>300</v>
      </c>
      <c r="AC23" s="64">
        <v>437840</v>
      </c>
      <c r="AD23" s="71">
        <v>420</v>
      </c>
      <c r="AE23" s="68">
        <v>1156</v>
      </c>
      <c r="AF23" s="72">
        <v>0</v>
      </c>
      <c r="AG23" s="68">
        <v>4849</v>
      </c>
      <c r="AH23" s="73">
        <v>2</v>
      </c>
      <c r="AI23" s="19"/>
      <c r="AJ23" s="19"/>
      <c r="AK23" s="68">
        <v>597170</v>
      </c>
      <c r="AL23" s="66">
        <v>220</v>
      </c>
      <c r="AM23" s="80">
        <v>1381</v>
      </c>
      <c r="AN23" s="63">
        <v>8</v>
      </c>
      <c r="AO23" s="68">
        <v>53698</v>
      </c>
      <c r="AP23" s="77">
        <v>24</v>
      </c>
      <c r="AQ23" s="64">
        <v>9041</v>
      </c>
      <c r="AR23" s="63">
        <v>3</v>
      </c>
      <c r="AS23" s="68">
        <v>10720</v>
      </c>
      <c r="AT23" s="63">
        <v>2</v>
      </c>
      <c r="AU23" s="64">
        <v>15449</v>
      </c>
      <c r="AV23" s="63">
        <v>14</v>
      </c>
      <c r="AW23" s="68">
        <v>19710</v>
      </c>
      <c r="AX23" s="63">
        <v>7</v>
      </c>
      <c r="AY23" s="62">
        <v>20802</v>
      </c>
      <c r="AZ23" s="71">
        <v>2</v>
      </c>
      <c r="BA23" s="68">
        <v>14034</v>
      </c>
      <c r="BB23" s="63">
        <v>3</v>
      </c>
      <c r="BC23" s="62">
        <v>6348</v>
      </c>
      <c r="BD23" s="63">
        <v>1</v>
      </c>
      <c r="BE23" s="68">
        <v>26944</v>
      </c>
      <c r="BF23" s="63">
        <v>3</v>
      </c>
      <c r="BG23" s="64">
        <v>4638</v>
      </c>
      <c r="BH23" s="63">
        <v>5</v>
      </c>
      <c r="BI23">
        <v>15768</v>
      </c>
      <c r="BJ23" s="63">
        <v>95</v>
      </c>
      <c r="BK23" s="68">
        <v>3636</v>
      </c>
      <c r="BL23" s="63">
        <v>0</v>
      </c>
      <c r="BM23" s="71">
        <v>19</v>
      </c>
      <c r="BN23" s="71">
        <v>201</v>
      </c>
      <c r="BO23" s="68">
        <v>615740</v>
      </c>
      <c r="BP23" s="71">
        <v>140</v>
      </c>
      <c r="BQ23" s="78">
        <v>1446</v>
      </c>
      <c r="BR23" s="63">
        <v>5</v>
      </c>
      <c r="BS23" s="68">
        <v>803940</v>
      </c>
      <c r="BT23" s="71">
        <v>270</v>
      </c>
      <c r="BU23" s="82">
        <v>1223</v>
      </c>
      <c r="BV23" s="71">
        <v>3</v>
      </c>
      <c r="BW23" s="81">
        <v>50</v>
      </c>
      <c r="BX23" s="71">
        <v>410</v>
      </c>
      <c r="BY23" s="83">
        <v>61</v>
      </c>
      <c r="BZ23" s="62">
        <v>109</v>
      </c>
      <c r="CA23" s="84">
        <v>13102.02326604979</v>
      </c>
      <c r="CB23" s="86"/>
      <c r="CC23" s="126">
        <v>0</v>
      </c>
      <c r="CD23" s="68">
        <v>218383</v>
      </c>
      <c r="CE23" s="71">
        <v>150</v>
      </c>
      <c r="CF23" s="81">
        <v>856.5</v>
      </c>
      <c r="CG23" s="68">
        <v>70</v>
      </c>
      <c r="CH23" s="87">
        <v>7542.5</v>
      </c>
      <c r="CI23" s="68">
        <v>75</v>
      </c>
      <c r="CJ23" s="88">
        <v>8081.25</v>
      </c>
      <c r="CK23" s="68">
        <v>70</v>
      </c>
      <c r="CL23" s="89">
        <v>7542.5</v>
      </c>
      <c r="CM23" s="90">
        <v>23166.25</v>
      </c>
      <c r="CN23" s="91">
        <v>1293</v>
      </c>
      <c r="CO23" s="68"/>
      <c r="CP23" s="68">
        <v>37151</v>
      </c>
      <c r="CQ23" s="71">
        <v>31</v>
      </c>
      <c r="CR23" s="81">
        <v>75.64</v>
      </c>
      <c r="CS23" s="68">
        <v>34678</v>
      </c>
      <c r="CT23" s="71">
        <v>6</v>
      </c>
      <c r="CU23" s="81">
        <v>14.64</v>
      </c>
      <c r="CV23" s="68">
        <v>11244</v>
      </c>
      <c r="CW23" s="71">
        <v>25</v>
      </c>
      <c r="CX23" s="81">
        <v>61</v>
      </c>
      <c r="CY23" s="68">
        <v>836135</v>
      </c>
      <c r="CZ23" s="71">
        <v>51</v>
      </c>
      <c r="DA23" s="81">
        <v>124.44</v>
      </c>
      <c r="DB23" s="68">
        <v>6792</v>
      </c>
      <c r="DC23" s="71">
        <v>8</v>
      </c>
      <c r="DD23" s="81">
        <v>19.12</v>
      </c>
      <c r="DE23" s="68">
        <v>8156</v>
      </c>
      <c r="DF23" s="71">
        <v>8</v>
      </c>
      <c r="DG23" s="71">
        <v>1</v>
      </c>
      <c r="DH23" s="68">
        <v>4811</v>
      </c>
      <c r="DI23" s="71">
        <v>7</v>
      </c>
      <c r="DJ23" s="71">
        <v>1</v>
      </c>
      <c r="DK23" s="68">
        <v>1937</v>
      </c>
      <c r="DL23" s="71">
        <v>1</v>
      </c>
      <c r="DM23" s="71">
        <v>0</v>
      </c>
      <c r="DN23" s="68">
        <v>5524</v>
      </c>
      <c r="DO23" s="71">
        <v>8</v>
      </c>
      <c r="DP23" s="71">
        <v>0</v>
      </c>
      <c r="DQ23" s="68">
        <v>5108</v>
      </c>
      <c r="DR23" s="71">
        <v>10</v>
      </c>
      <c r="DS23" s="71">
        <v>1</v>
      </c>
      <c r="DT23" s="68">
        <v>5862</v>
      </c>
      <c r="DU23" s="71">
        <v>8</v>
      </c>
      <c r="DV23" s="71">
        <v>0</v>
      </c>
      <c r="DW23" s="68">
        <v>5742</v>
      </c>
      <c r="DX23" s="71">
        <v>6</v>
      </c>
      <c r="DY23" s="81">
        <v>14.34</v>
      </c>
      <c r="DZ23" s="85"/>
      <c r="EA23" s="81">
        <v>0</v>
      </c>
      <c r="EB23" s="85"/>
      <c r="EC23" s="81">
        <v>0</v>
      </c>
      <c r="ED23" s="94"/>
      <c r="EE23" s="81">
        <v>0</v>
      </c>
      <c r="EF23" s="94"/>
      <c r="EG23" s="81">
        <v>0</v>
      </c>
      <c r="EH23" s="94">
        <v>98</v>
      </c>
      <c r="EI23" s="95">
        <v>225</v>
      </c>
      <c r="EJ23" s="93">
        <v>0.74</v>
      </c>
      <c r="EK23" s="96"/>
      <c r="EL23" s="94"/>
      <c r="EM23" s="95"/>
      <c r="EN23" s="98"/>
      <c r="EO23" s="98"/>
      <c r="EP23" s="98"/>
    </row>
    <row r="24" spans="1:148" s="20" customFormat="1" ht="15.75" thickBot="1" x14ac:dyDescent="0.25">
      <c r="A24" s="61">
        <v>44521</v>
      </c>
      <c r="B24" s="70">
        <v>8842496</v>
      </c>
      <c r="C24" s="63">
        <v>24724</v>
      </c>
      <c r="D24" s="68">
        <v>8003587</v>
      </c>
      <c r="E24" s="63">
        <v>24373</v>
      </c>
      <c r="F24" s="113">
        <v>0.98580326807959873</v>
      </c>
      <c r="G24" s="64">
        <v>1124</v>
      </c>
      <c r="H24" s="64">
        <v>1022</v>
      </c>
      <c r="I24" s="65">
        <v>289262</v>
      </c>
      <c r="J24" s="66">
        <v>0</v>
      </c>
      <c r="K24" s="67">
        <v>794</v>
      </c>
      <c r="L24" s="63">
        <v>0</v>
      </c>
      <c r="M24" s="68">
        <v>636988</v>
      </c>
      <c r="N24" s="63">
        <v>0</v>
      </c>
      <c r="O24" s="68">
        <v>1015</v>
      </c>
      <c r="P24" s="66">
        <v>0</v>
      </c>
      <c r="Q24" s="68">
        <v>2631852</v>
      </c>
      <c r="R24" s="66">
        <v>902</v>
      </c>
      <c r="S24" s="68">
        <v>2220091</v>
      </c>
      <c r="T24" s="66">
        <v>422</v>
      </c>
      <c r="U24" s="68">
        <v>135706</v>
      </c>
      <c r="V24" s="66">
        <v>240</v>
      </c>
      <c r="W24" s="125"/>
      <c r="X24" s="116">
        <v>0.77777777777777779</v>
      </c>
      <c r="Y24" s="70">
        <v>311.11111111111114</v>
      </c>
      <c r="Z24" s="67">
        <v>0</v>
      </c>
      <c r="AA24" s="68">
        <v>1611680</v>
      </c>
      <c r="AB24" s="63">
        <v>3287</v>
      </c>
      <c r="AC24" s="64">
        <v>438270</v>
      </c>
      <c r="AD24" s="71">
        <v>430</v>
      </c>
      <c r="AE24" s="68">
        <v>1156</v>
      </c>
      <c r="AF24" s="72">
        <v>0</v>
      </c>
      <c r="AG24" s="68">
        <v>4850</v>
      </c>
      <c r="AH24" s="73">
        <v>1</v>
      </c>
      <c r="AI24" s="19"/>
      <c r="AJ24" s="19"/>
      <c r="AK24" s="68">
        <v>597360</v>
      </c>
      <c r="AL24" s="66">
        <v>190</v>
      </c>
      <c r="AM24" s="80">
        <v>1384</v>
      </c>
      <c r="AN24" s="63">
        <v>3</v>
      </c>
      <c r="AO24" s="68">
        <v>53710</v>
      </c>
      <c r="AP24" s="77">
        <v>12</v>
      </c>
      <c r="AQ24" s="64">
        <v>9043</v>
      </c>
      <c r="AR24" s="63">
        <v>2</v>
      </c>
      <c r="AS24" s="68">
        <v>10725</v>
      </c>
      <c r="AT24" s="63">
        <v>5</v>
      </c>
      <c r="AU24" s="64">
        <v>15467</v>
      </c>
      <c r="AV24" s="63">
        <v>18</v>
      </c>
      <c r="AW24" s="68">
        <v>19719</v>
      </c>
      <c r="AX24" s="66">
        <v>9</v>
      </c>
      <c r="AY24" s="62">
        <v>20805</v>
      </c>
      <c r="AZ24" s="71">
        <v>3</v>
      </c>
      <c r="BA24" s="68">
        <v>14037</v>
      </c>
      <c r="BB24" s="63">
        <v>3</v>
      </c>
      <c r="BC24" s="62">
        <v>6350</v>
      </c>
      <c r="BD24" s="63">
        <v>2</v>
      </c>
      <c r="BE24" s="68">
        <v>26950</v>
      </c>
      <c r="BF24" s="63">
        <v>6</v>
      </c>
      <c r="BG24" s="64">
        <v>4646</v>
      </c>
      <c r="BH24" s="63">
        <v>8</v>
      </c>
      <c r="BI24">
        <v>15871</v>
      </c>
      <c r="BJ24" s="63">
        <v>103</v>
      </c>
      <c r="BK24" s="68">
        <v>3636</v>
      </c>
      <c r="BL24" s="63">
        <v>0</v>
      </c>
      <c r="BM24" s="71">
        <v>24</v>
      </c>
      <c r="BN24" s="71">
        <v>166</v>
      </c>
      <c r="BO24" s="68">
        <v>615870</v>
      </c>
      <c r="BP24" s="71">
        <v>130</v>
      </c>
      <c r="BQ24" s="78">
        <v>1451</v>
      </c>
      <c r="BR24" s="63">
        <v>5</v>
      </c>
      <c r="BS24" s="68">
        <v>804200</v>
      </c>
      <c r="BT24" s="71">
        <v>260</v>
      </c>
      <c r="BU24" s="82">
        <v>1228</v>
      </c>
      <c r="BV24" s="71">
        <v>5</v>
      </c>
      <c r="BW24" s="81">
        <v>70</v>
      </c>
      <c r="BX24" s="71">
        <v>390</v>
      </c>
      <c r="BY24" s="83">
        <v>62</v>
      </c>
      <c r="BZ24" s="62">
        <v>109</v>
      </c>
      <c r="CA24" s="84">
        <v>13102.02326604979</v>
      </c>
      <c r="CB24" s="86"/>
      <c r="CC24" s="126">
        <v>0</v>
      </c>
      <c r="CD24" s="68">
        <v>218563</v>
      </c>
      <c r="CE24" s="71">
        <v>180</v>
      </c>
      <c r="CF24" s="81">
        <v>1027.8</v>
      </c>
      <c r="CG24" s="68">
        <v>69</v>
      </c>
      <c r="CH24" s="87">
        <v>7434.75</v>
      </c>
      <c r="CI24" s="68">
        <v>70</v>
      </c>
      <c r="CJ24" s="88">
        <v>7542.5</v>
      </c>
      <c r="CK24" s="68">
        <v>69</v>
      </c>
      <c r="CL24" s="89">
        <v>7434.75</v>
      </c>
      <c r="CM24" s="90">
        <v>22412</v>
      </c>
      <c r="CN24" s="91">
        <v>754.25</v>
      </c>
      <c r="CO24" s="68"/>
      <c r="CP24" s="68">
        <v>37205</v>
      </c>
      <c r="CQ24" s="71">
        <v>54</v>
      </c>
      <c r="CR24" s="81">
        <v>131.76</v>
      </c>
      <c r="CS24" s="68">
        <v>34685</v>
      </c>
      <c r="CT24" s="71">
        <v>7</v>
      </c>
      <c r="CU24" s="81">
        <v>17.079999999999998</v>
      </c>
      <c r="CV24" s="68">
        <v>11264</v>
      </c>
      <c r="CW24" s="71">
        <v>20</v>
      </c>
      <c r="CX24" s="81">
        <v>48.8</v>
      </c>
      <c r="CY24" s="68">
        <v>836484</v>
      </c>
      <c r="CZ24" s="71">
        <v>349</v>
      </c>
      <c r="DA24" s="81">
        <v>851.56</v>
      </c>
      <c r="DB24" s="68">
        <v>6801</v>
      </c>
      <c r="DC24" s="71">
        <v>9</v>
      </c>
      <c r="DD24" s="81">
        <v>21.51</v>
      </c>
      <c r="DE24" s="68">
        <v>8167</v>
      </c>
      <c r="DF24" s="71">
        <v>11</v>
      </c>
      <c r="DG24" s="71">
        <v>3</v>
      </c>
      <c r="DH24" s="68">
        <v>4820</v>
      </c>
      <c r="DI24" s="71">
        <v>9</v>
      </c>
      <c r="DJ24" s="71">
        <v>2</v>
      </c>
      <c r="DK24" s="68">
        <v>1938</v>
      </c>
      <c r="DL24" s="71">
        <v>1</v>
      </c>
      <c r="DM24" s="71">
        <v>0</v>
      </c>
      <c r="DN24" s="68">
        <v>5535</v>
      </c>
      <c r="DO24" s="71">
        <v>11</v>
      </c>
      <c r="DP24" s="71">
        <v>3</v>
      </c>
      <c r="DQ24" s="68">
        <v>5120</v>
      </c>
      <c r="DR24" s="71">
        <v>12</v>
      </c>
      <c r="DS24" s="71">
        <v>2</v>
      </c>
      <c r="DT24" s="68">
        <v>5873</v>
      </c>
      <c r="DU24" s="71">
        <v>11</v>
      </c>
      <c r="DV24" s="71">
        <v>3</v>
      </c>
      <c r="DW24" s="68">
        <v>5749</v>
      </c>
      <c r="DX24" s="71">
        <v>7</v>
      </c>
      <c r="DY24" s="81">
        <v>16.73</v>
      </c>
      <c r="DZ24" s="85"/>
      <c r="EA24" s="81">
        <v>0</v>
      </c>
      <c r="EB24" s="85"/>
      <c r="EC24" s="81">
        <v>0</v>
      </c>
      <c r="ED24" s="94"/>
      <c r="EE24" s="81">
        <v>0</v>
      </c>
      <c r="EF24" s="94"/>
      <c r="EG24" s="81">
        <v>0</v>
      </c>
      <c r="EH24" s="94">
        <v>98</v>
      </c>
      <c r="EI24" s="95">
        <v>214</v>
      </c>
      <c r="EJ24" s="93">
        <v>0.72</v>
      </c>
      <c r="EK24" s="96"/>
      <c r="EL24" s="94"/>
      <c r="EM24" s="95"/>
      <c r="EN24" s="98"/>
      <c r="EO24" s="98"/>
      <c r="EP24" s="98"/>
    </row>
    <row r="25" spans="1:148" s="20" customFormat="1" ht="15.75" thickBot="1" x14ac:dyDescent="0.25">
      <c r="A25" s="61">
        <v>44522</v>
      </c>
      <c r="B25" s="68">
        <v>8864892</v>
      </c>
      <c r="C25" s="63">
        <v>22396</v>
      </c>
      <c r="D25" s="68">
        <v>8025704</v>
      </c>
      <c r="E25" s="63">
        <v>22117</v>
      </c>
      <c r="F25" s="113">
        <v>0.98754241828898015</v>
      </c>
      <c r="G25" s="64">
        <v>1124</v>
      </c>
      <c r="H25" s="64">
        <v>1022</v>
      </c>
      <c r="I25" s="65">
        <v>289262</v>
      </c>
      <c r="J25" s="66">
        <v>0</v>
      </c>
      <c r="K25" s="67">
        <v>794</v>
      </c>
      <c r="L25" s="63">
        <v>0</v>
      </c>
      <c r="M25" s="68">
        <v>636988</v>
      </c>
      <c r="N25" s="63">
        <v>0</v>
      </c>
      <c r="O25" s="68">
        <v>1015</v>
      </c>
      <c r="P25" s="66">
        <v>0</v>
      </c>
      <c r="Q25" s="68">
        <v>2632888</v>
      </c>
      <c r="R25" s="66">
        <v>1036</v>
      </c>
      <c r="S25" s="68">
        <v>2220527</v>
      </c>
      <c r="T25" s="66">
        <v>436</v>
      </c>
      <c r="U25" s="68">
        <v>135869</v>
      </c>
      <c r="V25" s="66">
        <v>163</v>
      </c>
      <c r="W25" s="125"/>
      <c r="X25" s="116">
        <v>0.66666666666666663</v>
      </c>
      <c r="Y25" s="70">
        <v>266.66666666666663</v>
      </c>
      <c r="Z25" s="67">
        <v>5</v>
      </c>
      <c r="AA25" s="68">
        <v>1619500</v>
      </c>
      <c r="AB25" s="63">
        <v>7820</v>
      </c>
      <c r="AC25" s="64">
        <v>438680</v>
      </c>
      <c r="AD25" s="71">
        <v>410</v>
      </c>
      <c r="AE25" s="68">
        <v>1156</v>
      </c>
      <c r="AF25" s="72">
        <v>0</v>
      </c>
      <c r="AG25" s="68">
        <v>4853</v>
      </c>
      <c r="AH25" s="73">
        <v>3</v>
      </c>
      <c r="AI25" s="19"/>
      <c r="AJ25" s="19"/>
      <c r="AK25" s="68">
        <v>597550</v>
      </c>
      <c r="AL25" s="66">
        <v>190</v>
      </c>
      <c r="AM25" s="80">
        <v>1385</v>
      </c>
      <c r="AN25" s="63">
        <v>1</v>
      </c>
      <c r="AO25" s="68">
        <v>53729</v>
      </c>
      <c r="AP25" s="77">
        <v>19</v>
      </c>
      <c r="AQ25" s="64">
        <v>9046</v>
      </c>
      <c r="AR25" s="63">
        <v>3</v>
      </c>
      <c r="AS25" s="68">
        <v>10733</v>
      </c>
      <c r="AT25" s="63">
        <v>8</v>
      </c>
      <c r="AU25" s="64">
        <v>15481</v>
      </c>
      <c r="AV25" s="63">
        <v>14</v>
      </c>
      <c r="AW25" s="68">
        <v>19727</v>
      </c>
      <c r="AX25" s="66">
        <v>8</v>
      </c>
      <c r="AY25" s="62">
        <v>20807</v>
      </c>
      <c r="AZ25" s="71">
        <v>2</v>
      </c>
      <c r="BA25" s="68">
        <v>14040</v>
      </c>
      <c r="BB25" s="63">
        <v>3</v>
      </c>
      <c r="BC25" s="62">
        <v>6351</v>
      </c>
      <c r="BD25" s="63">
        <v>1</v>
      </c>
      <c r="BE25" s="68">
        <v>26955</v>
      </c>
      <c r="BF25" s="63">
        <v>5</v>
      </c>
      <c r="BG25" s="64">
        <v>4653</v>
      </c>
      <c r="BH25" s="63">
        <v>7</v>
      </c>
      <c r="BI25">
        <v>15958</v>
      </c>
      <c r="BJ25" s="63">
        <v>87</v>
      </c>
      <c r="BK25" s="68">
        <v>3636</v>
      </c>
      <c r="BL25" s="63">
        <v>0</v>
      </c>
      <c r="BM25" s="71">
        <v>19</v>
      </c>
      <c r="BN25" s="71">
        <v>171</v>
      </c>
      <c r="BO25" s="68">
        <v>616030</v>
      </c>
      <c r="BP25" s="71">
        <v>160</v>
      </c>
      <c r="BQ25" s="78">
        <v>1465</v>
      </c>
      <c r="BR25" s="63">
        <v>14</v>
      </c>
      <c r="BS25" s="68">
        <v>804450</v>
      </c>
      <c r="BT25" s="71">
        <v>250</v>
      </c>
      <c r="BU25" s="82">
        <v>1232</v>
      </c>
      <c r="BV25" s="71">
        <v>4</v>
      </c>
      <c r="BW25" s="81">
        <v>60</v>
      </c>
      <c r="BX25" s="71">
        <v>410</v>
      </c>
      <c r="BY25" s="83">
        <v>65</v>
      </c>
      <c r="BZ25" s="62">
        <v>109</v>
      </c>
      <c r="CA25" s="84">
        <v>13102.02326604979</v>
      </c>
      <c r="CB25" s="86"/>
      <c r="CC25" s="126">
        <v>0</v>
      </c>
      <c r="CD25" s="68">
        <v>218720</v>
      </c>
      <c r="CE25" s="71">
        <v>157</v>
      </c>
      <c r="CF25" s="81">
        <v>896.47</v>
      </c>
      <c r="CG25" s="68">
        <v>65</v>
      </c>
      <c r="CH25" s="87">
        <v>7003.75</v>
      </c>
      <c r="CI25" s="68">
        <v>69</v>
      </c>
      <c r="CJ25" s="88">
        <v>7434.75</v>
      </c>
      <c r="CK25" s="68">
        <v>65</v>
      </c>
      <c r="CL25" s="89">
        <v>7003.75</v>
      </c>
      <c r="CM25" s="90">
        <v>21442.25</v>
      </c>
      <c r="CN25" s="91">
        <v>969.75</v>
      </c>
      <c r="CO25" s="68"/>
      <c r="CP25" s="68">
        <v>37247</v>
      </c>
      <c r="CQ25" s="71">
        <v>42</v>
      </c>
      <c r="CR25" s="81">
        <v>102.48</v>
      </c>
      <c r="CS25" s="68">
        <v>34693</v>
      </c>
      <c r="CT25" s="71">
        <v>8</v>
      </c>
      <c r="CU25" s="81">
        <v>19.52</v>
      </c>
      <c r="CV25" s="68">
        <v>11286</v>
      </c>
      <c r="CW25" s="71">
        <v>22</v>
      </c>
      <c r="CX25" s="81">
        <v>53.68</v>
      </c>
      <c r="CY25" s="68">
        <v>836833</v>
      </c>
      <c r="CZ25" s="71">
        <v>349</v>
      </c>
      <c r="DA25" s="81">
        <v>851.56</v>
      </c>
      <c r="DB25" s="68">
        <v>6808</v>
      </c>
      <c r="DC25" s="71">
        <v>7</v>
      </c>
      <c r="DD25" s="81">
        <v>16.73</v>
      </c>
      <c r="DE25" s="68">
        <v>8175</v>
      </c>
      <c r="DF25" s="71">
        <v>8</v>
      </c>
      <c r="DG25" s="71" t="s">
        <v>127</v>
      </c>
      <c r="DH25" s="68">
        <v>4830</v>
      </c>
      <c r="DI25" s="71">
        <v>10</v>
      </c>
      <c r="DJ25" s="71">
        <v>1</v>
      </c>
      <c r="DK25" s="68">
        <v>1939</v>
      </c>
      <c r="DL25" s="71">
        <v>1</v>
      </c>
      <c r="DM25" s="71">
        <v>0</v>
      </c>
      <c r="DN25" s="68">
        <v>5543</v>
      </c>
      <c r="DO25" s="71">
        <v>8</v>
      </c>
      <c r="DP25" s="71" t="s">
        <v>127</v>
      </c>
      <c r="DQ25" s="68">
        <v>5130</v>
      </c>
      <c r="DR25" s="71">
        <v>10</v>
      </c>
      <c r="DS25" s="71" t="s">
        <v>127</v>
      </c>
      <c r="DT25" s="68">
        <v>5882</v>
      </c>
      <c r="DU25" s="71">
        <v>9</v>
      </c>
      <c r="DV25" s="71" t="s">
        <v>127</v>
      </c>
      <c r="DW25" s="68">
        <v>5754</v>
      </c>
      <c r="DX25" s="71">
        <v>5</v>
      </c>
      <c r="DY25" s="81">
        <v>11.950000000000001</v>
      </c>
      <c r="DZ25" s="85"/>
      <c r="EA25" s="81">
        <v>0</v>
      </c>
      <c r="EB25" s="85"/>
      <c r="EC25" s="81">
        <v>0</v>
      </c>
      <c r="ED25" s="94"/>
      <c r="EE25" s="81">
        <v>0</v>
      </c>
      <c r="EF25" s="94"/>
      <c r="EG25" s="81">
        <v>0</v>
      </c>
      <c r="EH25" s="94">
        <v>101</v>
      </c>
      <c r="EI25" s="95">
        <v>214</v>
      </c>
      <c r="EJ25" s="93">
        <v>0.76</v>
      </c>
      <c r="EK25" s="96"/>
      <c r="EL25" s="94"/>
      <c r="EM25" s="95"/>
      <c r="EN25" s="98"/>
      <c r="EO25" s="98"/>
      <c r="EP25" s="98"/>
    </row>
    <row r="26" spans="1:148" s="20" customFormat="1" ht="15.75" thickBot="1" x14ac:dyDescent="0.25">
      <c r="A26" s="61">
        <v>44523</v>
      </c>
      <c r="B26" s="68">
        <v>8887752</v>
      </c>
      <c r="C26" s="63">
        <v>22860</v>
      </c>
      <c r="D26" s="68">
        <v>8048224</v>
      </c>
      <c r="E26" s="63">
        <v>22520</v>
      </c>
      <c r="F26" s="113">
        <v>0.98512685914260723</v>
      </c>
      <c r="G26" s="64">
        <v>1124</v>
      </c>
      <c r="H26" s="64">
        <v>1022</v>
      </c>
      <c r="I26" s="65">
        <v>289262</v>
      </c>
      <c r="J26" s="66">
        <v>0</v>
      </c>
      <c r="K26" s="67">
        <v>794</v>
      </c>
      <c r="L26" s="63">
        <v>0</v>
      </c>
      <c r="M26" s="68">
        <v>636988</v>
      </c>
      <c r="N26" s="63">
        <v>0</v>
      </c>
      <c r="O26" s="68">
        <v>1015</v>
      </c>
      <c r="P26" s="66">
        <v>0</v>
      </c>
      <c r="Q26" s="68">
        <v>2634099</v>
      </c>
      <c r="R26" s="66">
        <v>1211</v>
      </c>
      <c r="S26" s="68">
        <v>2220966</v>
      </c>
      <c r="T26" s="66">
        <v>439</v>
      </c>
      <c r="U26" s="68">
        <v>136255</v>
      </c>
      <c r="V26" s="66">
        <v>386</v>
      </c>
      <c r="W26" s="125"/>
      <c r="X26" s="116">
        <v>0.88888888888888884</v>
      </c>
      <c r="Y26" s="70">
        <v>355.55555555555554</v>
      </c>
      <c r="Z26" s="67">
        <v>3</v>
      </c>
      <c r="AA26" s="68">
        <v>1627320</v>
      </c>
      <c r="AB26" s="63">
        <v>7820</v>
      </c>
      <c r="AC26" s="64">
        <v>439050</v>
      </c>
      <c r="AD26" s="71">
        <v>370</v>
      </c>
      <c r="AE26" s="68">
        <v>1156</v>
      </c>
      <c r="AF26" s="72">
        <v>0</v>
      </c>
      <c r="AG26" s="68">
        <v>4854</v>
      </c>
      <c r="AH26" s="73">
        <v>1</v>
      </c>
      <c r="AI26" s="19"/>
      <c r="AJ26" s="19"/>
      <c r="AK26" s="68">
        <v>597720</v>
      </c>
      <c r="AL26" s="66">
        <v>170</v>
      </c>
      <c r="AM26" s="80">
        <v>1386</v>
      </c>
      <c r="AN26" s="63">
        <v>1</v>
      </c>
      <c r="AO26" s="68">
        <v>53750</v>
      </c>
      <c r="AP26" s="77">
        <v>21</v>
      </c>
      <c r="AQ26" s="64">
        <v>9048</v>
      </c>
      <c r="AR26" s="63">
        <v>2</v>
      </c>
      <c r="AS26" s="68">
        <v>10735</v>
      </c>
      <c r="AT26" s="63">
        <v>2</v>
      </c>
      <c r="AU26" s="64">
        <v>15495</v>
      </c>
      <c r="AV26" s="63">
        <v>14</v>
      </c>
      <c r="AW26" s="68">
        <v>19734</v>
      </c>
      <c r="AX26" s="66">
        <v>7</v>
      </c>
      <c r="AY26" s="62">
        <v>20810</v>
      </c>
      <c r="AZ26" s="71">
        <v>3</v>
      </c>
      <c r="BA26" s="68">
        <v>14043</v>
      </c>
      <c r="BB26" s="63">
        <v>3</v>
      </c>
      <c r="BC26" s="62">
        <v>6353</v>
      </c>
      <c r="BD26" s="63">
        <v>2</v>
      </c>
      <c r="BE26" s="68">
        <v>26960</v>
      </c>
      <c r="BF26" s="63">
        <v>5</v>
      </c>
      <c r="BG26" s="64">
        <v>4659</v>
      </c>
      <c r="BH26" s="63">
        <v>6</v>
      </c>
      <c r="BI26">
        <v>16047</v>
      </c>
      <c r="BJ26" s="63">
        <v>89</v>
      </c>
      <c r="BK26" s="68">
        <v>3636</v>
      </c>
      <c r="BL26" s="63">
        <v>0</v>
      </c>
      <c r="BM26" s="71">
        <v>20</v>
      </c>
      <c r="BN26" s="71">
        <v>150</v>
      </c>
      <c r="BO26" s="68">
        <v>616180</v>
      </c>
      <c r="BP26" s="71">
        <v>150</v>
      </c>
      <c r="BQ26" s="78">
        <v>1472</v>
      </c>
      <c r="BR26" s="63">
        <v>7</v>
      </c>
      <c r="BS26" s="68">
        <v>804670</v>
      </c>
      <c r="BT26" s="71">
        <v>220</v>
      </c>
      <c r="BU26" s="82">
        <v>1236</v>
      </c>
      <c r="BV26" s="71">
        <v>4</v>
      </c>
      <c r="BW26" s="81">
        <v>50</v>
      </c>
      <c r="BX26" s="71">
        <v>370</v>
      </c>
      <c r="BY26" s="83">
        <v>60</v>
      </c>
      <c r="BZ26" s="62">
        <v>109</v>
      </c>
      <c r="CA26" s="84">
        <v>13102.02326604979</v>
      </c>
      <c r="CB26" s="86"/>
      <c r="CC26" s="126">
        <v>0</v>
      </c>
      <c r="CD26" s="68">
        <v>218897</v>
      </c>
      <c r="CE26" s="71">
        <v>177</v>
      </c>
      <c r="CF26" s="81">
        <v>1010.67</v>
      </c>
      <c r="CG26" s="68">
        <v>85</v>
      </c>
      <c r="CH26" s="87">
        <v>9158.75</v>
      </c>
      <c r="CI26" s="68">
        <v>85</v>
      </c>
      <c r="CJ26" s="88">
        <v>9158.75</v>
      </c>
      <c r="CK26" s="68">
        <v>85</v>
      </c>
      <c r="CL26" s="89">
        <v>9158.75</v>
      </c>
      <c r="CM26" s="90">
        <v>27476.25</v>
      </c>
      <c r="CN26" s="91">
        <v>-6034</v>
      </c>
      <c r="CO26" s="68">
        <v>7608</v>
      </c>
      <c r="CP26" s="68">
        <v>37294</v>
      </c>
      <c r="CQ26" s="71">
        <v>47</v>
      </c>
      <c r="CR26" s="81">
        <v>114.67999999999999</v>
      </c>
      <c r="CS26" s="68">
        <v>34699</v>
      </c>
      <c r="CT26" s="71">
        <v>6</v>
      </c>
      <c r="CU26" s="81">
        <v>14.64</v>
      </c>
      <c r="CV26" s="68">
        <v>11308</v>
      </c>
      <c r="CW26" s="71">
        <v>22</v>
      </c>
      <c r="CX26" s="81">
        <v>53.68</v>
      </c>
      <c r="CY26" s="68">
        <v>839297</v>
      </c>
      <c r="CZ26" s="71">
        <v>2464</v>
      </c>
      <c r="DA26" s="81">
        <v>6012.16</v>
      </c>
      <c r="DB26" s="68">
        <v>6816</v>
      </c>
      <c r="DC26" s="71">
        <v>8</v>
      </c>
      <c r="DD26" s="81">
        <v>19.12</v>
      </c>
      <c r="DE26" s="68">
        <v>8184</v>
      </c>
      <c r="DF26" s="71">
        <v>9</v>
      </c>
      <c r="DG26" s="71">
        <v>1</v>
      </c>
      <c r="DH26" s="68">
        <v>4837</v>
      </c>
      <c r="DI26" s="71">
        <v>7</v>
      </c>
      <c r="DJ26" s="71" t="s">
        <v>127</v>
      </c>
      <c r="DK26" s="68">
        <v>1940</v>
      </c>
      <c r="DL26" s="71">
        <v>1</v>
      </c>
      <c r="DM26" s="71">
        <v>0</v>
      </c>
      <c r="DN26" s="68">
        <v>5552</v>
      </c>
      <c r="DO26" s="71">
        <v>9</v>
      </c>
      <c r="DP26" s="71">
        <v>1</v>
      </c>
      <c r="DQ26" s="68">
        <v>5140</v>
      </c>
      <c r="DR26" s="71">
        <v>10</v>
      </c>
      <c r="DS26" s="71">
        <v>0</v>
      </c>
      <c r="DT26" s="68">
        <v>5891</v>
      </c>
      <c r="DU26" s="71">
        <v>9</v>
      </c>
      <c r="DV26" s="71">
        <v>0</v>
      </c>
      <c r="DW26" s="68">
        <v>5760</v>
      </c>
      <c r="DX26" s="71">
        <v>6</v>
      </c>
      <c r="DY26" s="81">
        <v>14.34</v>
      </c>
      <c r="DZ26" s="85"/>
      <c r="EA26" s="81">
        <v>0</v>
      </c>
      <c r="EB26" s="85"/>
      <c r="EC26" s="81">
        <v>0</v>
      </c>
      <c r="ED26" s="94"/>
      <c r="EE26" s="81">
        <v>0</v>
      </c>
      <c r="EF26" s="94"/>
      <c r="EG26" s="81">
        <v>0</v>
      </c>
      <c r="EH26" s="94">
        <v>100</v>
      </c>
      <c r="EI26" s="95">
        <v>228</v>
      </c>
      <c r="EJ26" s="93">
        <v>0.75</v>
      </c>
      <c r="EK26" s="96"/>
      <c r="EL26" s="94"/>
      <c r="EM26" s="95"/>
      <c r="EN26" s="98"/>
      <c r="EO26" s="98"/>
      <c r="EP26" s="98"/>
    </row>
    <row r="27" spans="1:148" s="20" customFormat="1" ht="15.75" thickBot="1" x14ac:dyDescent="0.25">
      <c r="A27" s="61">
        <v>44524</v>
      </c>
      <c r="B27" s="68">
        <v>8913489</v>
      </c>
      <c r="C27" s="63">
        <v>25737</v>
      </c>
      <c r="D27" s="68">
        <v>8073347</v>
      </c>
      <c r="E27" s="63">
        <v>25123</v>
      </c>
      <c r="F27" s="113">
        <v>0.97614329564440305</v>
      </c>
      <c r="G27" s="64">
        <v>1340</v>
      </c>
      <c r="H27" s="64">
        <v>1022</v>
      </c>
      <c r="I27" s="65">
        <v>289295</v>
      </c>
      <c r="J27" s="66">
        <v>33</v>
      </c>
      <c r="K27" s="67">
        <v>794</v>
      </c>
      <c r="L27" s="63">
        <v>0</v>
      </c>
      <c r="M27" s="68">
        <v>637064</v>
      </c>
      <c r="N27" s="63">
        <v>76</v>
      </c>
      <c r="O27" s="68">
        <v>1015</v>
      </c>
      <c r="P27" s="66">
        <v>0</v>
      </c>
      <c r="Q27" s="68">
        <v>2635085</v>
      </c>
      <c r="R27" s="66">
        <v>986</v>
      </c>
      <c r="S27" s="68">
        <v>2221399</v>
      </c>
      <c r="T27" s="66">
        <v>433</v>
      </c>
      <c r="U27" s="68">
        <v>136536</v>
      </c>
      <c r="V27" s="66">
        <v>281</v>
      </c>
      <c r="W27" s="125"/>
      <c r="X27" s="116">
        <v>0.66666666666666663</v>
      </c>
      <c r="Y27" s="70">
        <v>266.66666666666663</v>
      </c>
      <c r="Z27" s="99">
        <v>0</v>
      </c>
      <c r="AA27" s="68">
        <v>1614040</v>
      </c>
      <c r="AB27" s="63">
        <v>-13280</v>
      </c>
      <c r="AC27" s="64">
        <v>439210</v>
      </c>
      <c r="AD27" s="71">
        <v>160</v>
      </c>
      <c r="AE27" s="68">
        <v>1156</v>
      </c>
      <c r="AF27" s="72">
        <v>0</v>
      </c>
      <c r="AG27" s="68">
        <v>4890</v>
      </c>
      <c r="AH27" s="73">
        <v>36</v>
      </c>
      <c r="AI27" s="19"/>
      <c r="AJ27" s="19"/>
      <c r="AK27" s="68">
        <v>597940</v>
      </c>
      <c r="AL27" s="66">
        <v>220</v>
      </c>
      <c r="AM27" s="80">
        <v>1386</v>
      </c>
      <c r="AN27" s="63">
        <v>0</v>
      </c>
      <c r="AO27" s="68">
        <v>53772</v>
      </c>
      <c r="AP27" s="77">
        <v>22</v>
      </c>
      <c r="AQ27" s="64">
        <v>9051</v>
      </c>
      <c r="AR27" s="63">
        <v>3</v>
      </c>
      <c r="AS27" s="68">
        <v>10736</v>
      </c>
      <c r="AT27" s="63">
        <v>1</v>
      </c>
      <c r="AU27" s="64">
        <v>15509</v>
      </c>
      <c r="AV27" s="63">
        <v>14</v>
      </c>
      <c r="AW27" s="68">
        <v>19740</v>
      </c>
      <c r="AX27" s="66">
        <v>6</v>
      </c>
      <c r="AY27" s="62">
        <v>20812</v>
      </c>
      <c r="AZ27" s="71">
        <v>2</v>
      </c>
      <c r="BA27" s="68">
        <v>14045</v>
      </c>
      <c r="BB27" s="63">
        <v>2</v>
      </c>
      <c r="BC27" s="62">
        <v>6354</v>
      </c>
      <c r="BD27" s="63">
        <v>1</v>
      </c>
      <c r="BE27" s="68">
        <v>26963</v>
      </c>
      <c r="BF27" s="63">
        <v>3</v>
      </c>
      <c r="BG27" s="64">
        <v>4664</v>
      </c>
      <c r="BH27" s="63">
        <v>5</v>
      </c>
      <c r="BI27">
        <v>16153</v>
      </c>
      <c r="BJ27" s="63">
        <v>106</v>
      </c>
      <c r="BK27" s="68">
        <v>3636</v>
      </c>
      <c r="BL27" s="63"/>
      <c r="BM27" s="71">
        <v>18</v>
      </c>
      <c r="BN27" s="71">
        <v>202</v>
      </c>
      <c r="BO27" s="68">
        <v>616310</v>
      </c>
      <c r="BP27" s="71">
        <v>130</v>
      </c>
      <c r="BQ27" s="78">
        <v>1475</v>
      </c>
      <c r="BR27" s="63">
        <v>3</v>
      </c>
      <c r="BS27" s="68">
        <v>804950</v>
      </c>
      <c r="BT27" s="71">
        <v>280</v>
      </c>
      <c r="BU27" s="82">
        <v>1240</v>
      </c>
      <c r="BV27" s="71">
        <v>4</v>
      </c>
      <c r="BW27" s="81">
        <v>60</v>
      </c>
      <c r="BX27" s="71">
        <v>410</v>
      </c>
      <c r="BY27" s="83">
        <v>56</v>
      </c>
      <c r="BZ27" s="62">
        <v>109</v>
      </c>
      <c r="CA27" s="84">
        <v>13102.02326604979</v>
      </c>
      <c r="CB27" s="86"/>
      <c r="CC27" s="126">
        <v>0</v>
      </c>
      <c r="CD27" s="68">
        <v>219062</v>
      </c>
      <c r="CE27" s="71">
        <v>165</v>
      </c>
      <c r="CF27" s="81">
        <v>942.15</v>
      </c>
      <c r="CG27" s="68">
        <v>83</v>
      </c>
      <c r="CH27" s="87">
        <v>8943.25</v>
      </c>
      <c r="CI27" s="68">
        <v>83</v>
      </c>
      <c r="CJ27" s="88">
        <v>8943.25</v>
      </c>
      <c r="CK27" s="68">
        <v>83</v>
      </c>
      <c r="CL27" s="89">
        <v>8943.25</v>
      </c>
      <c r="CM27" s="90">
        <v>26829.75</v>
      </c>
      <c r="CN27" s="91">
        <v>8254.5</v>
      </c>
      <c r="CO27" s="68"/>
      <c r="CP27" s="68">
        <v>37345</v>
      </c>
      <c r="CQ27" s="71">
        <v>51</v>
      </c>
      <c r="CR27" s="81">
        <v>124.44</v>
      </c>
      <c r="CS27" s="68">
        <v>34706</v>
      </c>
      <c r="CT27" s="71">
        <v>7</v>
      </c>
      <c r="CU27" s="81">
        <v>17.079999999999998</v>
      </c>
      <c r="CV27" s="68">
        <v>11330</v>
      </c>
      <c r="CW27" s="71">
        <v>22</v>
      </c>
      <c r="CX27" s="81">
        <v>53.68</v>
      </c>
      <c r="CY27" s="68">
        <v>836358</v>
      </c>
      <c r="CZ27" s="71" t="s">
        <v>127</v>
      </c>
      <c r="DA27" s="81">
        <v>0</v>
      </c>
      <c r="DB27" s="68">
        <v>6825</v>
      </c>
      <c r="DC27" s="71">
        <v>9</v>
      </c>
      <c r="DD27" s="81">
        <v>21.51</v>
      </c>
      <c r="DE27" s="68">
        <v>8193</v>
      </c>
      <c r="DF27" s="71">
        <v>9</v>
      </c>
      <c r="DG27" s="71">
        <v>0</v>
      </c>
      <c r="DH27" s="68">
        <v>4844</v>
      </c>
      <c r="DI27" s="71">
        <v>7</v>
      </c>
      <c r="DJ27" s="71">
        <v>40</v>
      </c>
      <c r="DK27" s="68">
        <v>1941</v>
      </c>
      <c r="DL27" s="71">
        <v>1</v>
      </c>
      <c r="DM27" s="71">
        <v>0</v>
      </c>
      <c r="DN27" s="68">
        <v>5561</v>
      </c>
      <c r="DO27" s="71">
        <v>9</v>
      </c>
      <c r="DP27" s="71">
        <v>0</v>
      </c>
      <c r="DQ27" s="68">
        <v>5149</v>
      </c>
      <c r="DR27" s="71">
        <v>9</v>
      </c>
      <c r="DS27" s="71" t="s">
        <v>127</v>
      </c>
      <c r="DT27" s="68">
        <v>5899</v>
      </c>
      <c r="DU27" s="71">
        <v>8</v>
      </c>
      <c r="DV27" s="71" t="s">
        <v>127</v>
      </c>
      <c r="DW27" s="68">
        <v>5766</v>
      </c>
      <c r="DX27" s="71">
        <v>6</v>
      </c>
      <c r="DY27" s="81">
        <v>14.34</v>
      </c>
      <c r="DZ27" s="85"/>
      <c r="EA27" s="81">
        <v>0</v>
      </c>
      <c r="EB27" s="85"/>
      <c r="EC27" s="81">
        <v>0</v>
      </c>
      <c r="ED27" s="94"/>
      <c r="EE27" s="81">
        <v>0</v>
      </c>
      <c r="EF27" s="94"/>
      <c r="EG27" s="81">
        <v>0</v>
      </c>
      <c r="EH27" s="94">
        <v>101</v>
      </c>
      <c r="EI27" s="95">
        <v>231</v>
      </c>
      <c r="EJ27" s="93">
        <v>0.76</v>
      </c>
      <c r="EK27" s="96"/>
      <c r="EL27" s="94"/>
      <c r="EM27" s="95"/>
      <c r="EN27" s="98"/>
      <c r="EO27" s="98"/>
      <c r="EP27" s="98"/>
    </row>
    <row r="28" spans="1:148" s="20" customFormat="1" ht="15.75" thickBot="1" x14ac:dyDescent="0.25">
      <c r="A28" s="61">
        <v>44525</v>
      </c>
      <c r="B28" s="68">
        <v>8937729</v>
      </c>
      <c r="C28" s="63">
        <v>24240</v>
      </c>
      <c r="D28" s="68">
        <v>8097118</v>
      </c>
      <c r="E28" s="63">
        <v>23771</v>
      </c>
      <c r="F28" s="113">
        <v>0.98065181518151812</v>
      </c>
      <c r="G28" s="64">
        <v>1340</v>
      </c>
      <c r="H28" s="64">
        <v>1022</v>
      </c>
      <c r="I28" s="65">
        <v>289295</v>
      </c>
      <c r="J28" s="66">
        <v>0</v>
      </c>
      <c r="K28" s="67">
        <v>794</v>
      </c>
      <c r="L28" s="63">
        <v>0</v>
      </c>
      <c r="M28" s="68">
        <v>637064</v>
      </c>
      <c r="N28" s="63">
        <v>0</v>
      </c>
      <c r="O28" s="68">
        <v>1015</v>
      </c>
      <c r="P28" s="66">
        <v>0</v>
      </c>
      <c r="Q28" s="68">
        <v>2636012</v>
      </c>
      <c r="R28" s="66">
        <v>927</v>
      </c>
      <c r="S28" s="68">
        <v>2221851</v>
      </c>
      <c r="T28" s="66">
        <v>452</v>
      </c>
      <c r="U28" s="68">
        <v>136736</v>
      </c>
      <c r="V28" s="66">
        <v>200</v>
      </c>
      <c r="W28" s="125"/>
      <c r="X28" s="116">
        <v>0.77777777777777779</v>
      </c>
      <c r="Y28" s="70">
        <v>311.11111111111114</v>
      </c>
      <c r="Z28" s="67">
        <v>0</v>
      </c>
      <c r="AA28" s="68">
        <v>1615460</v>
      </c>
      <c r="AB28" s="63">
        <v>1420</v>
      </c>
      <c r="AC28" s="64">
        <v>439950</v>
      </c>
      <c r="AD28" s="71">
        <v>740</v>
      </c>
      <c r="AE28" s="68">
        <v>1157</v>
      </c>
      <c r="AF28" s="72">
        <v>0</v>
      </c>
      <c r="AG28" s="68">
        <v>4891</v>
      </c>
      <c r="AH28" s="73">
        <v>1</v>
      </c>
      <c r="AI28" s="19"/>
      <c r="AJ28" s="19"/>
      <c r="AK28" s="68">
        <v>598120</v>
      </c>
      <c r="AL28" s="66">
        <v>180</v>
      </c>
      <c r="AM28" s="80">
        <v>1387</v>
      </c>
      <c r="AN28" s="63">
        <v>1</v>
      </c>
      <c r="AO28" s="68">
        <v>53794</v>
      </c>
      <c r="AP28" s="77">
        <v>22</v>
      </c>
      <c r="AQ28" s="64">
        <v>9053</v>
      </c>
      <c r="AR28" s="63">
        <v>2</v>
      </c>
      <c r="AS28" s="68">
        <v>10738</v>
      </c>
      <c r="AT28" s="63">
        <v>2</v>
      </c>
      <c r="AU28" s="64">
        <v>15522</v>
      </c>
      <c r="AV28" s="63">
        <v>13</v>
      </c>
      <c r="AW28" s="68">
        <v>19751</v>
      </c>
      <c r="AX28" s="66">
        <v>11</v>
      </c>
      <c r="AY28" s="62">
        <v>20812</v>
      </c>
      <c r="AZ28" s="71">
        <v>0</v>
      </c>
      <c r="BA28" s="68">
        <v>14048</v>
      </c>
      <c r="BB28" s="63">
        <v>3</v>
      </c>
      <c r="BC28" s="62">
        <v>6356</v>
      </c>
      <c r="BD28" s="63">
        <v>2</v>
      </c>
      <c r="BE28" s="68">
        <v>26967</v>
      </c>
      <c r="BF28" s="63">
        <v>4</v>
      </c>
      <c r="BG28" s="64">
        <v>4671</v>
      </c>
      <c r="BH28" s="63">
        <v>7</v>
      </c>
      <c r="BI28">
        <v>16233</v>
      </c>
      <c r="BJ28" s="63">
        <v>80</v>
      </c>
      <c r="BK28" s="68">
        <v>3636</v>
      </c>
      <c r="BL28" s="63">
        <v>0</v>
      </c>
      <c r="BM28" s="71">
        <v>16</v>
      </c>
      <c r="BN28" s="71">
        <v>164</v>
      </c>
      <c r="BO28" s="68">
        <v>616510</v>
      </c>
      <c r="BP28" s="71">
        <v>200</v>
      </c>
      <c r="BQ28" s="78">
        <v>1487</v>
      </c>
      <c r="BR28" s="63">
        <v>12</v>
      </c>
      <c r="BS28" s="68">
        <v>805210</v>
      </c>
      <c r="BT28" s="71">
        <v>260</v>
      </c>
      <c r="BU28" s="82">
        <v>1244</v>
      </c>
      <c r="BV28" s="71">
        <v>4</v>
      </c>
      <c r="BW28" s="81">
        <v>80</v>
      </c>
      <c r="BX28" s="71">
        <v>460</v>
      </c>
      <c r="BY28" s="83">
        <v>62</v>
      </c>
      <c r="BZ28" s="62">
        <v>109</v>
      </c>
      <c r="CA28" s="84">
        <v>13102.02326604979</v>
      </c>
      <c r="CB28" s="86"/>
      <c r="CC28" s="126">
        <v>0</v>
      </c>
      <c r="CD28" s="68">
        <v>219227</v>
      </c>
      <c r="CE28" s="71">
        <v>165</v>
      </c>
      <c r="CF28" s="81">
        <v>942.15</v>
      </c>
      <c r="CG28" s="68">
        <v>80</v>
      </c>
      <c r="CH28" s="87">
        <v>8620</v>
      </c>
      <c r="CI28" s="68">
        <v>80</v>
      </c>
      <c r="CJ28" s="88">
        <v>8620</v>
      </c>
      <c r="CK28" s="68">
        <v>80</v>
      </c>
      <c r="CL28" s="89">
        <v>8620</v>
      </c>
      <c r="CM28" s="90">
        <v>25860</v>
      </c>
      <c r="CN28" s="91">
        <v>969.75</v>
      </c>
      <c r="CO28" s="68"/>
      <c r="CP28" s="68">
        <v>37391</v>
      </c>
      <c r="CQ28" s="71">
        <v>46</v>
      </c>
      <c r="CR28" s="81">
        <v>112.24</v>
      </c>
      <c r="CS28" s="68">
        <v>34713</v>
      </c>
      <c r="CT28" s="71">
        <v>7</v>
      </c>
      <c r="CU28" s="81">
        <v>17.079999999999998</v>
      </c>
      <c r="CV28" s="68">
        <v>11351</v>
      </c>
      <c r="CW28" s="71">
        <v>21</v>
      </c>
      <c r="CX28" s="81">
        <v>51.24</v>
      </c>
      <c r="CY28" s="68">
        <v>836316</v>
      </c>
      <c r="CZ28" s="71" t="s">
        <v>127</v>
      </c>
      <c r="DA28" s="81">
        <v>0</v>
      </c>
      <c r="DB28" s="68">
        <v>6384</v>
      </c>
      <c r="DC28" s="71" t="s">
        <v>127</v>
      </c>
      <c r="DD28" s="81">
        <v>0</v>
      </c>
      <c r="DE28" s="68">
        <v>8202</v>
      </c>
      <c r="DF28" s="71">
        <v>9</v>
      </c>
      <c r="DG28" s="71">
        <v>0</v>
      </c>
      <c r="DH28" s="68">
        <v>4850</v>
      </c>
      <c r="DI28" s="71">
        <v>6</v>
      </c>
      <c r="DJ28" s="71">
        <v>40</v>
      </c>
      <c r="DK28" s="68">
        <v>1941</v>
      </c>
      <c r="DL28" s="71">
        <v>0</v>
      </c>
      <c r="DM28" s="71" t="s">
        <v>127</v>
      </c>
      <c r="DN28" s="68">
        <v>5571</v>
      </c>
      <c r="DO28" s="71">
        <v>10</v>
      </c>
      <c r="DP28" s="71">
        <v>1</v>
      </c>
      <c r="DQ28" s="68">
        <v>5156</v>
      </c>
      <c r="DR28" s="71">
        <v>7</v>
      </c>
      <c r="DS28" s="71" t="s">
        <v>127</v>
      </c>
      <c r="DT28" s="68">
        <v>5905</v>
      </c>
      <c r="DU28" s="71">
        <v>6</v>
      </c>
      <c r="DV28" s="71" t="s">
        <v>127</v>
      </c>
      <c r="DW28" s="68">
        <v>5772</v>
      </c>
      <c r="DX28" s="71">
        <v>6</v>
      </c>
      <c r="DY28" s="81">
        <v>14.34</v>
      </c>
      <c r="DZ28" s="85"/>
      <c r="EA28" s="81">
        <v>0</v>
      </c>
      <c r="EB28" s="85"/>
      <c r="EC28" s="81">
        <v>0</v>
      </c>
      <c r="ED28" s="94"/>
      <c r="EE28" s="81">
        <v>0</v>
      </c>
      <c r="EF28" s="94"/>
      <c r="EG28" s="81">
        <v>0</v>
      </c>
      <c r="EH28" s="94">
        <v>98</v>
      </c>
      <c r="EI28" s="95">
        <v>230</v>
      </c>
      <c r="EJ28" s="93">
        <v>0.74</v>
      </c>
      <c r="EK28" s="93"/>
      <c r="EL28" s="94"/>
      <c r="EM28" s="95"/>
      <c r="EN28" s="98"/>
      <c r="EO28" s="98"/>
      <c r="EP28" s="98"/>
    </row>
    <row r="29" spans="1:148" s="20" customFormat="1" ht="15.75" thickBot="1" x14ac:dyDescent="0.25">
      <c r="A29" s="61">
        <v>44526</v>
      </c>
      <c r="B29" s="68">
        <v>8961297</v>
      </c>
      <c r="C29" s="63">
        <v>23568</v>
      </c>
      <c r="D29" s="68">
        <v>8120448</v>
      </c>
      <c r="E29" s="63">
        <v>23330</v>
      </c>
      <c r="F29" s="113">
        <v>0.98990156143923969</v>
      </c>
      <c r="G29" s="64">
        <v>1340</v>
      </c>
      <c r="H29" s="64">
        <v>1022</v>
      </c>
      <c r="I29" s="65">
        <v>289295</v>
      </c>
      <c r="J29" s="66">
        <v>0</v>
      </c>
      <c r="K29" s="67">
        <v>794</v>
      </c>
      <c r="L29" s="63">
        <v>0</v>
      </c>
      <c r="M29" s="68">
        <v>637064</v>
      </c>
      <c r="N29" s="63">
        <v>0</v>
      </c>
      <c r="O29" s="68">
        <v>1015</v>
      </c>
      <c r="P29" s="66">
        <v>0</v>
      </c>
      <c r="Q29" s="68">
        <v>2637265</v>
      </c>
      <c r="R29" s="66">
        <v>1253</v>
      </c>
      <c r="S29" s="68">
        <v>2222265</v>
      </c>
      <c r="T29" s="66">
        <v>414</v>
      </c>
      <c r="U29" s="68">
        <v>136848</v>
      </c>
      <c r="V29" s="66">
        <v>112</v>
      </c>
      <c r="W29" s="125"/>
      <c r="X29" s="116">
        <v>0.66666666666666663</v>
      </c>
      <c r="Y29" s="70">
        <v>266.66666666666663</v>
      </c>
      <c r="Z29" s="67">
        <v>8</v>
      </c>
      <c r="AA29" s="68">
        <v>1617050</v>
      </c>
      <c r="AB29" s="63">
        <v>1590</v>
      </c>
      <c r="AC29" s="64">
        <v>440340</v>
      </c>
      <c r="AD29" s="71">
        <v>390</v>
      </c>
      <c r="AE29" s="68">
        <v>1157</v>
      </c>
      <c r="AF29" s="72">
        <v>0</v>
      </c>
      <c r="AG29" s="68">
        <v>4892</v>
      </c>
      <c r="AH29" s="73">
        <v>1</v>
      </c>
      <c r="AI29" s="19"/>
      <c r="AJ29" s="19"/>
      <c r="AK29" s="68">
        <v>598290</v>
      </c>
      <c r="AL29" s="66">
        <v>170</v>
      </c>
      <c r="AM29" s="80">
        <v>1389</v>
      </c>
      <c r="AN29" s="63">
        <v>2</v>
      </c>
      <c r="AO29" s="68">
        <v>53814</v>
      </c>
      <c r="AP29" s="77">
        <v>20</v>
      </c>
      <c r="AQ29" s="64">
        <v>9055</v>
      </c>
      <c r="AR29" s="63">
        <v>2</v>
      </c>
      <c r="AS29" s="68">
        <v>10739</v>
      </c>
      <c r="AT29" s="63">
        <v>1</v>
      </c>
      <c r="AU29" s="64">
        <v>15537</v>
      </c>
      <c r="AV29" s="63">
        <v>15</v>
      </c>
      <c r="AW29" s="68">
        <v>19759</v>
      </c>
      <c r="AX29" s="66">
        <v>8</v>
      </c>
      <c r="AY29" s="62">
        <v>20818</v>
      </c>
      <c r="AZ29" s="71"/>
      <c r="BA29" s="68">
        <v>14052</v>
      </c>
      <c r="BB29" s="63">
        <v>4</v>
      </c>
      <c r="BC29" s="62">
        <v>6357</v>
      </c>
      <c r="BD29" s="63">
        <v>1</v>
      </c>
      <c r="BE29" s="68">
        <v>26971</v>
      </c>
      <c r="BF29" s="63">
        <v>4</v>
      </c>
      <c r="BG29" s="64">
        <v>4677</v>
      </c>
      <c r="BH29" s="63">
        <v>6</v>
      </c>
      <c r="BI29">
        <v>16331</v>
      </c>
      <c r="BJ29" s="63">
        <v>98</v>
      </c>
      <c r="BK29" s="68">
        <v>3636</v>
      </c>
      <c r="BL29" s="63">
        <v>0</v>
      </c>
      <c r="BM29" s="71">
        <v>19</v>
      </c>
      <c r="BN29" s="71">
        <v>151</v>
      </c>
      <c r="BO29" s="68">
        <v>616660</v>
      </c>
      <c r="BP29" s="71">
        <v>150</v>
      </c>
      <c r="BQ29" s="82">
        <v>1502</v>
      </c>
      <c r="BR29" s="63">
        <v>15</v>
      </c>
      <c r="BS29" s="68">
        <v>805440</v>
      </c>
      <c r="BT29" s="71">
        <v>230</v>
      </c>
      <c r="BU29" s="82">
        <v>1248</v>
      </c>
      <c r="BV29" s="71">
        <v>4</v>
      </c>
      <c r="BW29" s="81">
        <v>60</v>
      </c>
      <c r="BX29" s="71">
        <v>380</v>
      </c>
      <c r="BY29" s="83">
        <v>57</v>
      </c>
      <c r="BZ29" s="62">
        <v>109</v>
      </c>
      <c r="CA29" s="84">
        <v>13102.02326604979</v>
      </c>
      <c r="CB29" s="86"/>
      <c r="CC29" s="126">
        <v>0</v>
      </c>
      <c r="CD29" s="68">
        <v>219386</v>
      </c>
      <c r="CE29" s="71">
        <v>159</v>
      </c>
      <c r="CF29" s="81">
        <v>907.89</v>
      </c>
      <c r="CG29" s="68">
        <v>76</v>
      </c>
      <c r="CH29" s="87">
        <v>8189</v>
      </c>
      <c r="CI29" s="68">
        <v>78</v>
      </c>
      <c r="CJ29" s="88">
        <v>8404.5</v>
      </c>
      <c r="CK29" s="68">
        <v>76</v>
      </c>
      <c r="CL29" s="89">
        <v>8189</v>
      </c>
      <c r="CM29" s="90">
        <v>24782.5</v>
      </c>
      <c r="CN29" s="91">
        <v>1077.5</v>
      </c>
      <c r="CO29" s="68"/>
      <c r="CP29" s="68">
        <v>37438</v>
      </c>
      <c r="CQ29" s="71">
        <v>47</v>
      </c>
      <c r="CR29" s="81">
        <v>114.67999999999999</v>
      </c>
      <c r="CS29" s="68">
        <v>34720</v>
      </c>
      <c r="CT29" s="71">
        <v>7</v>
      </c>
      <c r="CU29" s="81">
        <v>17.079999999999998</v>
      </c>
      <c r="CV29" s="68">
        <v>11373</v>
      </c>
      <c r="CW29" s="71">
        <v>22</v>
      </c>
      <c r="CX29" s="81">
        <v>53.68</v>
      </c>
      <c r="CY29" s="68">
        <v>836468</v>
      </c>
      <c r="CZ29" s="71">
        <v>152</v>
      </c>
      <c r="DA29" s="81">
        <v>370.88</v>
      </c>
      <c r="DB29" s="68">
        <v>6841</v>
      </c>
      <c r="DC29" s="71">
        <v>457</v>
      </c>
      <c r="DD29" s="81">
        <v>1092.23</v>
      </c>
      <c r="DE29" s="68">
        <v>8211</v>
      </c>
      <c r="DF29" s="71">
        <v>9</v>
      </c>
      <c r="DG29" s="71">
        <v>0</v>
      </c>
      <c r="DH29" s="68">
        <v>4857</v>
      </c>
      <c r="DI29" s="71">
        <v>7</v>
      </c>
      <c r="DJ29" s="71">
        <v>1</v>
      </c>
      <c r="DK29" s="68">
        <v>1942</v>
      </c>
      <c r="DL29" s="71">
        <v>1</v>
      </c>
      <c r="DM29" s="71">
        <v>1</v>
      </c>
      <c r="DN29" s="68">
        <v>5580</v>
      </c>
      <c r="DO29" s="71">
        <v>9</v>
      </c>
      <c r="DP29" s="71" t="s">
        <v>127</v>
      </c>
      <c r="DQ29" s="68">
        <v>5164</v>
      </c>
      <c r="DR29" s="71">
        <v>8</v>
      </c>
      <c r="DS29" s="71">
        <v>1</v>
      </c>
      <c r="DT29" s="68">
        <v>5917</v>
      </c>
      <c r="DU29" s="71">
        <v>12</v>
      </c>
      <c r="DV29" s="71">
        <v>6</v>
      </c>
      <c r="DW29" s="68">
        <v>5777</v>
      </c>
      <c r="DX29" s="71">
        <v>5</v>
      </c>
      <c r="DY29" s="81">
        <v>11.950000000000001</v>
      </c>
      <c r="DZ29" s="85"/>
      <c r="EA29" s="81">
        <v>0</v>
      </c>
      <c r="EB29" s="85"/>
      <c r="EC29" s="81">
        <v>0</v>
      </c>
      <c r="ED29" s="94"/>
      <c r="EE29" s="81">
        <v>0</v>
      </c>
      <c r="EF29" s="94"/>
      <c r="EG29" s="81">
        <v>0</v>
      </c>
      <c r="EH29" s="94">
        <v>103</v>
      </c>
      <c r="EI29" s="95">
        <v>244</v>
      </c>
      <c r="EJ29" s="93">
        <v>0.87</v>
      </c>
      <c r="EK29" s="96"/>
      <c r="EL29" s="94"/>
      <c r="EM29" s="95"/>
      <c r="EN29" s="98"/>
      <c r="EO29" s="98"/>
      <c r="EP29" s="98"/>
    </row>
    <row r="30" spans="1:148" s="20" customFormat="1" ht="15.75" thickBot="1" x14ac:dyDescent="0.25">
      <c r="A30" s="61">
        <v>44527</v>
      </c>
      <c r="B30" s="68">
        <v>8985702</v>
      </c>
      <c r="C30" s="63">
        <v>24405</v>
      </c>
      <c r="D30" s="68">
        <v>8144424</v>
      </c>
      <c r="E30" s="63">
        <v>23976</v>
      </c>
      <c r="F30" s="113">
        <v>0.98242163491087897</v>
      </c>
      <c r="G30" s="64">
        <v>1340</v>
      </c>
      <c r="H30" s="64">
        <v>1022</v>
      </c>
      <c r="I30" s="65">
        <v>289295</v>
      </c>
      <c r="J30" s="66">
        <v>0</v>
      </c>
      <c r="K30" s="67">
        <v>794</v>
      </c>
      <c r="L30" s="63">
        <v>0</v>
      </c>
      <c r="M30" s="68">
        <v>637064</v>
      </c>
      <c r="N30" s="63">
        <v>0</v>
      </c>
      <c r="O30" s="68">
        <v>1015</v>
      </c>
      <c r="P30" s="66">
        <v>0</v>
      </c>
      <c r="Q30" s="68">
        <v>2639216</v>
      </c>
      <c r="R30" s="66">
        <v>1951</v>
      </c>
      <c r="S30" s="68">
        <v>2222668</v>
      </c>
      <c r="T30" s="66">
        <v>403</v>
      </c>
      <c r="U30" s="68">
        <v>137235</v>
      </c>
      <c r="V30" s="66">
        <v>387</v>
      </c>
      <c r="W30" s="125"/>
      <c r="X30" s="116">
        <v>0.88888888888888884</v>
      </c>
      <c r="Y30" s="70">
        <v>355.55555555555554</v>
      </c>
      <c r="Z30" s="67">
        <v>0</v>
      </c>
      <c r="AA30" s="68">
        <v>1618856</v>
      </c>
      <c r="AB30" s="63">
        <v>1806</v>
      </c>
      <c r="AC30" s="68">
        <v>440740</v>
      </c>
      <c r="AD30" s="71">
        <v>400</v>
      </c>
      <c r="AE30" s="68">
        <v>1157</v>
      </c>
      <c r="AF30" s="72">
        <v>0</v>
      </c>
      <c r="AG30" s="68">
        <v>4893</v>
      </c>
      <c r="AH30" s="73">
        <v>1</v>
      </c>
      <c r="AI30" s="19"/>
      <c r="AJ30" s="19"/>
      <c r="AK30" s="68">
        <v>598460</v>
      </c>
      <c r="AL30" s="66">
        <v>170</v>
      </c>
      <c r="AM30" s="80">
        <v>1393</v>
      </c>
      <c r="AN30" s="63">
        <v>4</v>
      </c>
      <c r="AO30" s="68">
        <v>53833</v>
      </c>
      <c r="AP30" s="77">
        <v>19</v>
      </c>
      <c r="AQ30" s="62">
        <v>9059</v>
      </c>
      <c r="AR30" s="63">
        <v>4</v>
      </c>
      <c r="AS30" s="68">
        <v>10741</v>
      </c>
      <c r="AT30" s="63">
        <v>2</v>
      </c>
      <c r="AU30" s="64">
        <v>15549</v>
      </c>
      <c r="AV30" s="63">
        <v>12</v>
      </c>
      <c r="AW30" s="68">
        <v>19765</v>
      </c>
      <c r="AX30" s="66">
        <v>6</v>
      </c>
      <c r="AY30" s="62">
        <v>20821</v>
      </c>
      <c r="AZ30" s="71">
        <v>3</v>
      </c>
      <c r="BA30" s="68">
        <v>14055</v>
      </c>
      <c r="BB30" s="63">
        <v>3</v>
      </c>
      <c r="BC30" s="62">
        <v>6360</v>
      </c>
      <c r="BD30" s="63">
        <v>3</v>
      </c>
      <c r="BE30" s="68">
        <v>26975</v>
      </c>
      <c r="BF30" s="63">
        <v>4</v>
      </c>
      <c r="BG30" s="64">
        <v>4683</v>
      </c>
      <c r="BH30" s="63">
        <v>6</v>
      </c>
      <c r="BI30">
        <v>16422</v>
      </c>
      <c r="BJ30" s="63">
        <v>91</v>
      </c>
      <c r="BK30" s="68">
        <v>3636</v>
      </c>
      <c r="BL30" s="63">
        <v>0</v>
      </c>
      <c r="BM30" s="71">
        <v>18</v>
      </c>
      <c r="BN30" s="71">
        <v>152</v>
      </c>
      <c r="BO30" s="68">
        <v>616820</v>
      </c>
      <c r="BP30" s="71">
        <v>160</v>
      </c>
      <c r="BQ30" s="82">
        <v>1513</v>
      </c>
      <c r="BR30" s="63">
        <v>11</v>
      </c>
      <c r="BS30" s="68">
        <v>805670</v>
      </c>
      <c r="BT30" s="71">
        <v>230</v>
      </c>
      <c r="BU30" s="82">
        <v>1253</v>
      </c>
      <c r="BV30" s="71">
        <v>5</v>
      </c>
      <c r="BW30" s="81">
        <v>60</v>
      </c>
      <c r="BX30" s="71">
        <v>390</v>
      </c>
      <c r="BY30" s="83">
        <v>58</v>
      </c>
      <c r="BZ30" s="62">
        <v>109</v>
      </c>
      <c r="CA30" s="84">
        <v>13102.02326604979</v>
      </c>
      <c r="CB30" s="86"/>
      <c r="CC30" s="126">
        <v>0</v>
      </c>
      <c r="CD30" s="70">
        <v>219531</v>
      </c>
      <c r="CE30" s="71">
        <v>145</v>
      </c>
      <c r="CF30" s="81">
        <v>827.95</v>
      </c>
      <c r="CG30" s="64">
        <v>74</v>
      </c>
      <c r="CH30" s="87">
        <v>7973.5</v>
      </c>
      <c r="CI30" s="64">
        <v>75</v>
      </c>
      <c r="CJ30" s="88">
        <v>8081.25</v>
      </c>
      <c r="CK30" s="64">
        <v>75</v>
      </c>
      <c r="CL30" s="89">
        <v>8081.25</v>
      </c>
      <c r="CM30" s="90">
        <v>24136</v>
      </c>
      <c r="CN30" s="91">
        <v>646.5</v>
      </c>
      <c r="CO30" s="68"/>
      <c r="CP30" s="68">
        <v>37487</v>
      </c>
      <c r="CQ30" s="71">
        <v>49</v>
      </c>
      <c r="CR30" s="81">
        <v>119.56</v>
      </c>
      <c r="CS30" s="68">
        <v>34728</v>
      </c>
      <c r="CT30" s="71">
        <v>8</v>
      </c>
      <c r="CU30" s="81">
        <v>19.52</v>
      </c>
      <c r="CV30" s="68">
        <v>11396</v>
      </c>
      <c r="CW30" s="71">
        <v>23</v>
      </c>
      <c r="CX30" s="81">
        <v>56.12</v>
      </c>
      <c r="CY30" s="68">
        <v>836510</v>
      </c>
      <c r="CZ30" s="71">
        <v>42</v>
      </c>
      <c r="DA30" s="81">
        <v>102.48</v>
      </c>
      <c r="DB30" s="68">
        <v>6849</v>
      </c>
      <c r="DC30" s="71">
        <v>8</v>
      </c>
      <c r="DD30" s="81">
        <v>19.12</v>
      </c>
      <c r="DE30" s="68">
        <v>8220</v>
      </c>
      <c r="DF30" s="71">
        <v>9</v>
      </c>
      <c r="DG30" s="71">
        <v>0</v>
      </c>
      <c r="DH30" s="68">
        <v>4864</v>
      </c>
      <c r="DI30" s="71">
        <v>7</v>
      </c>
      <c r="DJ30" s="71"/>
      <c r="DK30" s="68">
        <v>1943</v>
      </c>
      <c r="DL30" s="71">
        <v>1</v>
      </c>
      <c r="DM30" s="71">
        <v>0</v>
      </c>
      <c r="DN30" s="68">
        <v>5589</v>
      </c>
      <c r="DO30" s="71">
        <v>9</v>
      </c>
      <c r="DP30" s="71">
        <v>0</v>
      </c>
      <c r="DQ30" s="68">
        <v>5172</v>
      </c>
      <c r="DR30" s="71">
        <v>8</v>
      </c>
      <c r="DS30" s="71">
        <v>0</v>
      </c>
      <c r="DT30" s="68">
        <v>5926</v>
      </c>
      <c r="DU30" s="71">
        <v>9</v>
      </c>
      <c r="DV30" s="71" t="s">
        <v>127</v>
      </c>
      <c r="DW30" s="68">
        <v>5783</v>
      </c>
      <c r="DX30" s="71">
        <v>6</v>
      </c>
      <c r="DY30" s="81">
        <v>14.34</v>
      </c>
      <c r="DZ30" s="85"/>
      <c r="EA30" s="81">
        <v>0</v>
      </c>
      <c r="EB30" s="85"/>
      <c r="EC30" s="81">
        <v>0</v>
      </c>
      <c r="ED30" s="94"/>
      <c r="EE30" s="81">
        <v>0</v>
      </c>
      <c r="EF30" s="94"/>
      <c r="EG30" s="81">
        <v>0</v>
      </c>
      <c r="EH30" s="94">
        <v>105</v>
      </c>
      <c r="EI30" s="95">
        <v>261</v>
      </c>
      <c r="EJ30" s="93">
        <v>0.79</v>
      </c>
      <c r="EK30" s="96"/>
      <c r="EL30" s="94"/>
      <c r="EM30" s="95"/>
      <c r="EN30" s="98"/>
      <c r="EO30" s="98"/>
      <c r="EP30" s="98"/>
    </row>
    <row r="31" spans="1:148" s="20" customFormat="1" ht="15.75" thickBot="1" x14ac:dyDescent="0.25">
      <c r="A31" s="61">
        <v>44528</v>
      </c>
      <c r="B31" s="68">
        <v>9010806</v>
      </c>
      <c r="C31" s="63">
        <v>25104</v>
      </c>
      <c r="D31" s="68">
        <v>8169198</v>
      </c>
      <c r="E31" s="63">
        <v>24774</v>
      </c>
      <c r="F31" s="113">
        <v>0.9868546845124283</v>
      </c>
      <c r="G31" s="64">
        <v>1340</v>
      </c>
      <c r="H31" s="64">
        <v>1022</v>
      </c>
      <c r="I31" s="65">
        <v>289295</v>
      </c>
      <c r="J31" s="66">
        <v>0</v>
      </c>
      <c r="K31" s="67">
        <v>794</v>
      </c>
      <c r="L31" s="63">
        <v>0</v>
      </c>
      <c r="M31" s="68">
        <v>637064</v>
      </c>
      <c r="N31" s="63">
        <v>0</v>
      </c>
      <c r="O31" s="68">
        <v>1015</v>
      </c>
      <c r="P31" s="66">
        <v>0</v>
      </c>
      <c r="Q31" s="68">
        <v>2641698</v>
      </c>
      <c r="R31" s="66">
        <v>2482</v>
      </c>
      <c r="S31" s="68">
        <v>2223115</v>
      </c>
      <c r="T31" s="66">
        <v>447</v>
      </c>
      <c r="U31" s="68">
        <v>137547</v>
      </c>
      <c r="V31" s="66">
        <v>312</v>
      </c>
      <c r="W31" s="125"/>
      <c r="X31" s="116">
        <v>1.1666666666666667</v>
      </c>
      <c r="Y31" s="70">
        <v>466.66666666666669</v>
      </c>
      <c r="Z31" s="67">
        <v>2</v>
      </c>
      <c r="AA31" s="68">
        <v>1618850</v>
      </c>
      <c r="AB31" s="63">
        <v>-6</v>
      </c>
      <c r="AC31" s="68">
        <v>441130</v>
      </c>
      <c r="AD31" s="71">
        <v>390</v>
      </c>
      <c r="AE31" s="68">
        <v>1157</v>
      </c>
      <c r="AF31" s="72">
        <v>0</v>
      </c>
      <c r="AG31" s="68">
        <v>4893</v>
      </c>
      <c r="AH31" s="73">
        <v>0</v>
      </c>
      <c r="AI31" s="19"/>
      <c r="AJ31" s="19"/>
      <c r="AK31" s="68">
        <v>598620</v>
      </c>
      <c r="AL31" s="66">
        <v>160</v>
      </c>
      <c r="AM31" s="80">
        <v>1394</v>
      </c>
      <c r="AN31" s="63">
        <v>1</v>
      </c>
      <c r="AO31" s="68">
        <v>53854</v>
      </c>
      <c r="AP31" s="77">
        <v>21</v>
      </c>
      <c r="AQ31" s="64">
        <v>9063</v>
      </c>
      <c r="AR31" s="63">
        <v>4</v>
      </c>
      <c r="AS31" s="68">
        <v>10742</v>
      </c>
      <c r="AT31" s="63">
        <v>1</v>
      </c>
      <c r="AU31" s="64">
        <v>15562</v>
      </c>
      <c r="AV31" s="63">
        <v>13</v>
      </c>
      <c r="AW31" s="68">
        <v>19773</v>
      </c>
      <c r="AX31" s="66">
        <v>8</v>
      </c>
      <c r="AY31" s="62">
        <v>20823</v>
      </c>
      <c r="AZ31" s="71">
        <v>2</v>
      </c>
      <c r="BA31" s="68">
        <v>14058</v>
      </c>
      <c r="BB31" s="63">
        <v>3</v>
      </c>
      <c r="BC31" s="62">
        <v>6362</v>
      </c>
      <c r="BD31" s="63">
        <v>2</v>
      </c>
      <c r="BE31" s="68">
        <v>26979</v>
      </c>
      <c r="BF31" s="63">
        <v>4</v>
      </c>
      <c r="BG31" s="64">
        <v>4690</v>
      </c>
      <c r="BH31" s="63">
        <v>7</v>
      </c>
      <c r="BI31">
        <v>16516</v>
      </c>
      <c r="BJ31" s="63">
        <v>94</v>
      </c>
      <c r="BK31" s="68">
        <v>3636</v>
      </c>
      <c r="BL31" s="63">
        <v>0</v>
      </c>
      <c r="BM31" s="71">
        <v>18</v>
      </c>
      <c r="BN31" s="71">
        <v>142</v>
      </c>
      <c r="BO31" s="68">
        <v>616970</v>
      </c>
      <c r="BP31" s="71">
        <v>150</v>
      </c>
      <c r="BQ31" s="82">
        <v>1513</v>
      </c>
      <c r="BR31" s="63">
        <v>0</v>
      </c>
      <c r="BS31" s="68">
        <v>805910</v>
      </c>
      <c r="BT31" s="71">
        <v>240</v>
      </c>
      <c r="BU31" s="82">
        <v>1258</v>
      </c>
      <c r="BV31" s="71">
        <v>5</v>
      </c>
      <c r="BW31" s="81">
        <v>80</v>
      </c>
      <c r="BX31" s="71">
        <v>390</v>
      </c>
      <c r="BY31" s="83">
        <v>61</v>
      </c>
      <c r="BZ31" s="62">
        <v>109</v>
      </c>
      <c r="CA31" s="84">
        <v>13102.02326604979</v>
      </c>
      <c r="CB31" s="86"/>
      <c r="CC31" s="126">
        <v>0</v>
      </c>
      <c r="CD31" s="68">
        <v>219707</v>
      </c>
      <c r="CE31" s="71">
        <v>176</v>
      </c>
      <c r="CF31" s="81">
        <v>1004.96</v>
      </c>
      <c r="CG31" s="64">
        <v>70</v>
      </c>
      <c r="CH31" s="87">
        <v>7542.5</v>
      </c>
      <c r="CI31" s="64">
        <v>71</v>
      </c>
      <c r="CJ31" s="88">
        <v>7650.25</v>
      </c>
      <c r="CK31" s="64">
        <v>70</v>
      </c>
      <c r="CL31" s="89">
        <v>7542.5</v>
      </c>
      <c r="CM31" s="90">
        <v>22735.25</v>
      </c>
      <c r="CN31" s="91">
        <v>1400.75</v>
      </c>
      <c r="CO31" s="68"/>
      <c r="CP31" s="68">
        <v>37526</v>
      </c>
      <c r="CQ31" s="71">
        <v>39</v>
      </c>
      <c r="CR31" s="81">
        <v>95.16</v>
      </c>
      <c r="CS31" s="68">
        <v>34735</v>
      </c>
      <c r="CT31" s="71">
        <v>7</v>
      </c>
      <c r="CU31" s="81">
        <v>17.079999999999998</v>
      </c>
      <c r="CV31" s="68">
        <v>11419</v>
      </c>
      <c r="CW31" s="71">
        <v>23</v>
      </c>
      <c r="CX31" s="81">
        <v>56.12</v>
      </c>
      <c r="CY31" s="68">
        <v>836552</v>
      </c>
      <c r="CZ31" s="71">
        <v>42</v>
      </c>
      <c r="DA31" s="81">
        <v>102.48</v>
      </c>
      <c r="DB31" s="68">
        <v>6857</v>
      </c>
      <c r="DC31" s="71">
        <v>8</v>
      </c>
      <c r="DD31" s="81">
        <v>19.12</v>
      </c>
      <c r="DE31" s="68">
        <v>8229</v>
      </c>
      <c r="DF31" s="71">
        <v>9</v>
      </c>
      <c r="DG31" s="71">
        <v>0</v>
      </c>
      <c r="DH31" s="68">
        <v>4872</v>
      </c>
      <c r="DI31" s="71">
        <v>8</v>
      </c>
      <c r="DJ31" s="71">
        <v>1</v>
      </c>
      <c r="DK31" s="68">
        <v>1944</v>
      </c>
      <c r="DL31" s="71">
        <v>1</v>
      </c>
      <c r="DM31" s="71">
        <v>0</v>
      </c>
      <c r="DN31" s="68">
        <v>5598</v>
      </c>
      <c r="DO31" s="71">
        <v>9</v>
      </c>
      <c r="DP31" s="71">
        <v>0</v>
      </c>
      <c r="DQ31" s="68">
        <v>5179</v>
      </c>
      <c r="DR31" s="71">
        <v>7</v>
      </c>
      <c r="DS31" s="71" t="s">
        <v>127</v>
      </c>
      <c r="DT31" s="68">
        <v>5935</v>
      </c>
      <c r="DU31" s="71">
        <v>9</v>
      </c>
      <c r="DV31" s="71">
        <v>0</v>
      </c>
      <c r="DW31" s="68">
        <v>5789</v>
      </c>
      <c r="DX31" s="71">
        <v>6</v>
      </c>
      <c r="DY31" s="81">
        <v>14.34</v>
      </c>
      <c r="DZ31" s="85"/>
      <c r="EA31" s="81">
        <v>0</v>
      </c>
      <c r="EB31" s="85"/>
      <c r="EC31" s="81">
        <v>0</v>
      </c>
      <c r="ED31" s="94"/>
      <c r="EE31" s="81">
        <v>0</v>
      </c>
      <c r="EF31" s="94"/>
      <c r="EG31" s="81">
        <v>0</v>
      </c>
      <c r="EH31" s="94">
        <v>118</v>
      </c>
      <c r="EI31" s="95">
        <v>311</v>
      </c>
      <c r="EJ31" s="93">
        <v>0.89</v>
      </c>
      <c r="EK31" s="96"/>
      <c r="EL31" s="94"/>
      <c r="EM31" s="95"/>
      <c r="EN31" s="98"/>
      <c r="EO31" s="98"/>
      <c r="EP31" s="98"/>
    </row>
    <row r="32" spans="1:148" s="20" customFormat="1" ht="15.75" thickBot="1" x14ac:dyDescent="0.25">
      <c r="A32" s="61">
        <v>44529</v>
      </c>
      <c r="B32" s="68">
        <v>9036182</v>
      </c>
      <c r="C32" s="63">
        <v>25376</v>
      </c>
      <c r="D32" s="68">
        <v>8194252</v>
      </c>
      <c r="E32" s="63">
        <v>25054</v>
      </c>
      <c r="F32" s="113">
        <v>0.98731084489281207</v>
      </c>
      <c r="G32" s="64">
        <v>1340</v>
      </c>
      <c r="H32" s="64">
        <v>1022</v>
      </c>
      <c r="I32" s="65">
        <v>289295</v>
      </c>
      <c r="J32" s="66">
        <v>0</v>
      </c>
      <c r="K32" s="67">
        <v>794</v>
      </c>
      <c r="L32" s="63">
        <v>0</v>
      </c>
      <c r="M32" s="68">
        <v>637064</v>
      </c>
      <c r="N32" s="63">
        <v>0</v>
      </c>
      <c r="O32" s="68">
        <v>1015</v>
      </c>
      <c r="P32" s="66">
        <v>0</v>
      </c>
      <c r="Q32" s="68">
        <v>2643648</v>
      </c>
      <c r="R32" s="66">
        <v>1950</v>
      </c>
      <c r="S32" s="68">
        <v>2223565</v>
      </c>
      <c r="T32" s="66">
        <v>450</v>
      </c>
      <c r="U32" s="68">
        <v>137859</v>
      </c>
      <c r="V32" s="66">
        <v>312</v>
      </c>
      <c r="W32" s="125"/>
      <c r="X32" s="116">
        <v>0.77777777777777779</v>
      </c>
      <c r="Y32" s="70">
        <v>311.11111111111114</v>
      </c>
      <c r="Z32" s="67">
        <v>5</v>
      </c>
      <c r="AA32" s="68">
        <v>1619769</v>
      </c>
      <c r="AB32" s="63">
        <v>919</v>
      </c>
      <c r="AC32" s="68">
        <v>441560</v>
      </c>
      <c r="AD32" s="71">
        <v>430</v>
      </c>
      <c r="AE32" s="68">
        <v>1157</v>
      </c>
      <c r="AF32" s="72">
        <v>0</v>
      </c>
      <c r="AG32" s="68">
        <v>4893</v>
      </c>
      <c r="AH32" s="73">
        <v>0</v>
      </c>
      <c r="AI32" s="19"/>
      <c r="AJ32" s="19"/>
      <c r="AK32" s="68">
        <v>598790</v>
      </c>
      <c r="AL32" s="66">
        <v>170</v>
      </c>
      <c r="AM32" s="80">
        <v>1396</v>
      </c>
      <c r="AN32" s="63">
        <v>2</v>
      </c>
      <c r="AO32" s="68">
        <v>53874</v>
      </c>
      <c r="AP32" s="77">
        <v>20</v>
      </c>
      <c r="AQ32" s="62">
        <v>9067</v>
      </c>
      <c r="AR32" s="63">
        <v>4</v>
      </c>
      <c r="AS32" s="68">
        <v>10743</v>
      </c>
      <c r="AT32" s="63">
        <v>1</v>
      </c>
      <c r="AU32" s="64">
        <v>15574</v>
      </c>
      <c r="AV32" s="63">
        <v>12</v>
      </c>
      <c r="AW32" s="68">
        <v>19779</v>
      </c>
      <c r="AX32" s="66">
        <v>6</v>
      </c>
      <c r="AY32" s="62">
        <v>20825</v>
      </c>
      <c r="AZ32" s="71">
        <v>2</v>
      </c>
      <c r="BA32" s="68">
        <v>14061</v>
      </c>
      <c r="BB32" s="63">
        <v>3</v>
      </c>
      <c r="BC32" s="62">
        <v>6364</v>
      </c>
      <c r="BD32" s="63">
        <v>2</v>
      </c>
      <c r="BE32" s="68">
        <v>26983</v>
      </c>
      <c r="BF32" s="63">
        <v>4</v>
      </c>
      <c r="BG32" s="64">
        <v>4698</v>
      </c>
      <c r="BH32" s="63">
        <v>8</v>
      </c>
      <c r="BI32">
        <v>16602</v>
      </c>
      <c r="BJ32" s="63">
        <v>86</v>
      </c>
      <c r="BK32" s="68">
        <v>3636</v>
      </c>
      <c r="BL32" s="63">
        <v>0</v>
      </c>
      <c r="BM32" s="71">
        <v>17</v>
      </c>
      <c r="BN32" s="71">
        <v>153</v>
      </c>
      <c r="BO32" s="68">
        <v>617130</v>
      </c>
      <c r="BP32" s="71">
        <v>160</v>
      </c>
      <c r="BQ32" s="82">
        <v>1543</v>
      </c>
      <c r="BR32" s="63">
        <v>30</v>
      </c>
      <c r="BS32" s="68">
        <v>806160</v>
      </c>
      <c r="BT32" s="71">
        <v>250</v>
      </c>
      <c r="BU32" s="82">
        <v>1264</v>
      </c>
      <c r="BV32" s="71">
        <v>6</v>
      </c>
      <c r="BW32" s="81">
        <v>80</v>
      </c>
      <c r="BX32" s="71">
        <v>410</v>
      </c>
      <c r="BY32" s="83">
        <v>58</v>
      </c>
      <c r="BZ32" s="62">
        <v>109</v>
      </c>
      <c r="CA32" s="84">
        <v>13102.02326604979</v>
      </c>
      <c r="CB32" s="86"/>
      <c r="CC32" s="126">
        <v>0</v>
      </c>
      <c r="CD32" s="64">
        <v>219877</v>
      </c>
      <c r="CE32" s="71">
        <v>170</v>
      </c>
      <c r="CF32" s="81">
        <v>970.7</v>
      </c>
      <c r="CG32" s="64">
        <v>65</v>
      </c>
      <c r="CH32" s="87">
        <v>7003.75</v>
      </c>
      <c r="CI32" s="64">
        <v>70</v>
      </c>
      <c r="CJ32" s="88">
        <v>7542.5</v>
      </c>
      <c r="CK32" s="64">
        <v>68</v>
      </c>
      <c r="CL32" s="89">
        <v>7327</v>
      </c>
      <c r="CM32" s="90">
        <v>21873.25</v>
      </c>
      <c r="CN32" s="91">
        <v>862</v>
      </c>
      <c r="CO32" s="68"/>
      <c r="CP32" s="68">
        <v>37576</v>
      </c>
      <c r="CQ32" s="71">
        <v>50</v>
      </c>
      <c r="CR32" s="81">
        <v>122</v>
      </c>
      <c r="CS32" s="68">
        <v>34742</v>
      </c>
      <c r="CT32" s="71">
        <v>7</v>
      </c>
      <c r="CU32" s="81">
        <v>17.079999999999998</v>
      </c>
      <c r="CV32" s="68">
        <v>11443</v>
      </c>
      <c r="CW32" s="71">
        <v>24</v>
      </c>
      <c r="CX32" s="81">
        <v>58.56</v>
      </c>
      <c r="CY32" s="68">
        <v>836635</v>
      </c>
      <c r="CZ32" s="71">
        <v>83</v>
      </c>
      <c r="DA32" s="81">
        <v>202.51999999999998</v>
      </c>
      <c r="DB32" s="68">
        <v>6865</v>
      </c>
      <c r="DC32" s="71">
        <v>8</v>
      </c>
      <c r="DD32" s="81">
        <v>19.12</v>
      </c>
      <c r="DE32" s="68">
        <v>8238</v>
      </c>
      <c r="DF32" s="71">
        <v>9</v>
      </c>
      <c r="DG32" s="71">
        <v>0</v>
      </c>
      <c r="DH32" s="68">
        <v>4880</v>
      </c>
      <c r="DI32" s="71">
        <v>8</v>
      </c>
      <c r="DJ32" s="71">
        <v>1</v>
      </c>
      <c r="DK32" s="68">
        <v>1945</v>
      </c>
      <c r="DL32" s="71">
        <v>1</v>
      </c>
      <c r="DM32" s="71">
        <v>0</v>
      </c>
      <c r="DN32" s="68">
        <v>5606</v>
      </c>
      <c r="DO32" s="71">
        <v>8</v>
      </c>
      <c r="DP32" s="71" t="s">
        <v>127</v>
      </c>
      <c r="DQ32" s="68">
        <v>5186</v>
      </c>
      <c r="DR32" s="71">
        <v>7</v>
      </c>
      <c r="DS32" s="71">
        <v>0</v>
      </c>
      <c r="DT32" s="68">
        <v>5944</v>
      </c>
      <c r="DU32" s="71">
        <v>9</v>
      </c>
      <c r="DV32" s="71">
        <v>0</v>
      </c>
      <c r="DW32" s="68">
        <v>5795</v>
      </c>
      <c r="DX32" s="71">
        <v>6</v>
      </c>
      <c r="DY32" s="81">
        <v>14.34</v>
      </c>
      <c r="DZ32" s="85"/>
      <c r="EA32" s="81">
        <v>0</v>
      </c>
      <c r="EB32" s="85"/>
      <c r="EC32" s="81">
        <v>0</v>
      </c>
      <c r="ED32" s="94"/>
      <c r="EE32" s="81">
        <v>0</v>
      </c>
      <c r="EF32" s="94"/>
      <c r="EG32" s="81">
        <v>0</v>
      </c>
      <c r="EH32" s="94">
        <v>107</v>
      </c>
      <c r="EI32" s="95">
        <v>296</v>
      </c>
      <c r="EJ32" s="93">
        <v>0.8</v>
      </c>
      <c r="EK32" s="96"/>
      <c r="EL32" s="94"/>
      <c r="EM32" s="95"/>
      <c r="EN32" s="98"/>
      <c r="EO32" s="98"/>
      <c r="EP32" s="98"/>
    </row>
    <row r="33" spans="1:146" s="20" customFormat="1" ht="15.75" thickBot="1" x14ac:dyDescent="0.25">
      <c r="A33" s="61">
        <v>44530</v>
      </c>
      <c r="B33" s="68">
        <v>9059446</v>
      </c>
      <c r="C33" s="63">
        <v>23264</v>
      </c>
      <c r="D33" s="68">
        <v>8217203</v>
      </c>
      <c r="E33" s="63">
        <v>22951</v>
      </c>
      <c r="F33" s="113">
        <v>0.98654573590096284</v>
      </c>
      <c r="G33" s="64">
        <v>1340</v>
      </c>
      <c r="H33" s="64">
        <v>1022</v>
      </c>
      <c r="I33" s="65">
        <v>289295</v>
      </c>
      <c r="J33" s="66">
        <v>0</v>
      </c>
      <c r="K33" s="67">
        <v>794</v>
      </c>
      <c r="L33" s="63">
        <v>0</v>
      </c>
      <c r="M33" s="68">
        <v>637064</v>
      </c>
      <c r="N33" s="63">
        <v>0</v>
      </c>
      <c r="O33" s="68">
        <v>1015</v>
      </c>
      <c r="P33" s="66">
        <v>0</v>
      </c>
      <c r="Q33" s="68">
        <v>2645149</v>
      </c>
      <c r="R33" s="66">
        <v>1501</v>
      </c>
      <c r="S33" s="68">
        <v>2224025</v>
      </c>
      <c r="T33" s="66">
        <v>460</v>
      </c>
      <c r="U33" s="68">
        <v>138107</v>
      </c>
      <c r="V33" s="66">
        <v>248</v>
      </c>
      <c r="W33" s="125"/>
      <c r="X33" s="116">
        <v>0.55555555555555558</v>
      </c>
      <c r="Y33" s="70">
        <v>222.22222222222223</v>
      </c>
      <c r="Z33" s="67">
        <v>0</v>
      </c>
      <c r="AA33" s="68">
        <v>1620636</v>
      </c>
      <c r="AB33" s="63">
        <v>867</v>
      </c>
      <c r="AC33" s="68">
        <v>442110</v>
      </c>
      <c r="AD33" s="71">
        <v>550</v>
      </c>
      <c r="AE33" s="68">
        <v>1157</v>
      </c>
      <c r="AF33" s="72">
        <v>0</v>
      </c>
      <c r="AG33" s="68">
        <v>5025</v>
      </c>
      <c r="AH33" s="73">
        <v>132</v>
      </c>
      <c r="AI33" s="19"/>
      <c r="AJ33" s="19"/>
      <c r="AK33" s="68">
        <v>599090</v>
      </c>
      <c r="AL33" s="66">
        <v>300</v>
      </c>
      <c r="AM33" s="80">
        <v>1398</v>
      </c>
      <c r="AN33" s="63">
        <v>2</v>
      </c>
      <c r="AO33" s="68">
        <v>53897</v>
      </c>
      <c r="AP33" s="77">
        <v>23</v>
      </c>
      <c r="AQ33" s="62">
        <v>9069</v>
      </c>
      <c r="AR33" s="63">
        <v>2</v>
      </c>
      <c r="AS33" s="68">
        <v>10744</v>
      </c>
      <c r="AT33" s="63">
        <v>1</v>
      </c>
      <c r="AU33" s="64">
        <v>15587</v>
      </c>
      <c r="AV33" s="63">
        <v>13</v>
      </c>
      <c r="AW33" s="68">
        <v>19786</v>
      </c>
      <c r="AX33" s="66">
        <v>7</v>
      </c>
      <c r="AY33" s="62">
        <v>20821</v>
      </c>
      <c r="AZ33" s="71" t="s">
        <v>127</v>
      </c>
      <c r="BA33" s="68">
        <v>14063</v>
      </c>
      <c r="BB33" s="63">
        <v>2</v>
      </c>
      <c r="BC33" s="62">
        <v>6366</v>
      </c>
      <c r="BD33" s="63">
        <v>2</v>
      </c>
      <c r="BE33" s="68">
        <v>26986</v>
      </c>
      <c r="BF33" s="63">
        <v>3</v>
      </c>
      <c r="BG33" s="64">
        <v>4703</v>
      </c>
      <c r="BH33" s="63">
        <v>5</v>
      </c>
      <c r="BI33">
        <v>16712</v>
      </c>
      <c r="BJ33" s="63">
        <v>110</v>
      </c>
      <c r="BK33" s="68">
        <v>3636</v>
      </c>
      <c r="BL33" s="63">
        <v>0</v>
      </c>
      <c r="BM33" s="71">
        <v>15</v>
      </c>
      <c r="BN33" s="71">
        <v>285</v>
      </c>
      <c r="BO33" s="68">
        <v>617290</v>
      </c>
      <c r="BP33" s="71">
        <v>160</v>
      </c>
      <c r="BQ33" s="82">
        <v>1555</v>
      </c>
      <c r="BR33" s="63">
        <v>12</v>
      </c>
      <c r="BS33" s="68">
        <v>806530</v>
      </c>
      <c r="BT33" s="71">
        <v>370</v>
      </c>
      <c r="BU33" s="82">
        <v>1268</v>
      </c>
      <c r="BV33" s="71">
        <v>4</v>
      </c>
      <c r="BW33" s="81">
        <v>70</v>
      </c>
      <c r="BX33" s="71">
        <v>530</v>
      </c>
      <c r="BY33" s="83">
        <v>55</v>
      </c>
      <c r="BZ33" s="62">
        <v>109</v>
      </c>
      <c r="CA33" s="84">
        <v>13102.02326604979</v>
      </c>
      <c r="CB33" s="86"/>
      <c r="CC33" s="126">
        <v>0</v>
      </c>
      <c r="CD33" s="64">
        <v>220051</v>
      </c>
      <c r="CE33" s="71">
        <v>174</v>
      </c>
      <c r="CF33" s="81">
        <v>993.54</v>
      </c>
      <c r="CG33" s="64">
        <v>65</v>
      </c>
      <c r="CH33" s="87">
        <v>7003.75</v>
      </c>
      <c r="CI33" s="64">
        <v>67</v>
      </c>
      <c r="CJ33" s="88">
        <v>7219.25</v>
      </c>
      <c r="CK33" s="64">
        <v>65</v>
      </c>
      <c r="CL33" s="89">
        <v>7003.75</v>
      </c>
      <c r="CM33" s="90">
        <v>21226.75</v>
      </c>
      <c r="CN33" s="91">
        <v>646.5</v>
      </c>
      <c r="CO33" s="68"/>
      <c r="CP33" s="68">
        <v>37624</v>
      </c>
      <c r="CQ33" s="71">
        <v>48</v>
      </c>
      <c r="CR33" s="81">
        <v>117.12</v>
      </c>
      <c r="CS33" s="68">
        <v>34748</v>
      </c>
      <c r="CT33" s="71">
        <v>6</v>
      </c>
      <c r="CU33" s="81">
        <v>14.64</v>
      </c>
      <c r="CV33" s="68">
        <v>11464</v>
      </c>
      <c r="CW33" s="71">
        <v>21</v>
      </c>
      <c r="CX33" s="81">
        <v>51.24</v>
      </c>
      <c r="CY33" s="68">
        <v>836692</v>
      </c>
      <c r="CZ33" s="71">
        <v>57</v>
      </c>
      <c r="DA33" s="81">
        <v>139.07999999999998</v>
      </c>
      <c r="DB33" s="68">
        <v>6874</v>
      </c>
      <c r="DC33" s="71">
        <v>9</v>
      </c>
      <c r="DD33" s="81">
        <v>21.51</v>
      </c>
      <c r="DE33" s="68">
        <v>8249</v>
      </c>
      <c r="DF33" s="71">
        <v>11</v>
      </c>
      <c r="DG33" s="71">
        <v>2</v>
      </c>
      <c r="DH33" s="68">
        <v>4889</v>
      </c>
      <c r="DI33" s="71">
        <v>9</v>
      </c>
      <c r="DJ33" s="71">
        <v>1</v>
      </c>
      <c r="DK33" s="68">
        <v>1946</v>
      </c>
      <c r="DL33" s="71">
        <v>1</v>
      </c>
      <c r="DM33" s="71">
        <v>0</v>
      </c>
      <c r="DN33" s="68">
        <v>5616</v>
      </c>
      <c r="DO33" s="71">
        <v>10</v>
      </c>
      <c r="DP33" s="71">
        <v>0</v>
      </c>
      <c r="DQ33" s="68">
        <v>5195</v>
      </c>
      <c r="DR33" s="71">
        <v>9</v>
      </c>
      <c r="DS33" s="71">
        <v>0</v>
      </c>
      <c r="DT33" s="68">
        <v>5953</v>
      </c>
      <c r="DU33" s="71">
        <v>9</v>
      </c>
      <c r="DV33" s="71">
        <v>0</v>
      </c>
      <c r="DW33" s="68">
        <v>5801</v>
      </c>
      <c r="DX33" s="71">
        <v>6</v>
      </c>
      <c r="DY33" s="81">
        <v>14.34</v>
      </c>
      <c r="DZ33" s="85"/>
      <c r="EA33" s="81">
        <v>0</v>
      </c>
      <c r="EG33" s="85"/>
      <c r="EH33" s="94">
        <v>113</v>
      </c>
      <c r="EI33" s="95">
        <v>298</v>
      </c>
      <c r="EJ33" s="93">
        <v>0.85</v>
      </c>
      <c r="EK33" s="96"/>
      <c r="EL33" s="94"/>
      <c r="EM33" s="95"/>
      <c r="EN33" s="98"/>
      <c r="EO33" s="98"/>
      <c r="EP33" s="98"/>
    </row>
    <row r="34" spans="1:146" ht="15" x14ac:dyDescent="0.25">
      <c r="A34" s="59"/>
      <c r="B34" s="59"/>
      <c r="C34" s="60">
        <v>253755</v>
      </c>
      <c r="D34" s="59"/>
      <c r="E34" s="60">
        <v>243135</v>
      </c>
      <c r="F34" s="59"/>
      <c r="G34" s="59"/>
      <c r="H34" s="60">
        <v>412.8</v>
      </c>
      <c r="I34" s="59"/>
      <c r="J34" s="59">
        <v>12</v>
      </c>
      <c r="K34" s="59"/>
      <c r="L34" s="59">
        <v>0</v>
      </c>
      <c r="M34" s="59"/>
      <c r="N34" s="59">
        <v>81</v>
      </c>
      <c r="O34" s="59"/>
      <c r="P34" s="59">
        <v>0</v>
      </c>
      <c r="Q34" s="59"/>
      <c r="R34" s="60">
        <v>7096</v>
      </c>
      <c r="S34" s="59"/>
      <c r="T34" s="60">
        <v>3976</v>
      </c>
      <c r="U34" s="59"/>
      <c r="V34" s="60">
        <v>4493</v>
      </c>
      <c r="W34" s="59"/>
      <c r="X34" s="59"/>
      <c r="Y34" s="60"/>
      <c r="Z34" s="7">
        <v>0</v>
      </c>
      <c r="AA34" s="59"/>
      <c r="AB34" s="59">
        <v>748</v>
      </c>
      <c r="AC34" s="60"/>
      <c r="AD34" s="7">
        <v>18454700</v>
      </c>
      <c r="AE34" s="59"/>
      <c r="AF34" s="59">
        <v>2</v>
      </c>
      <c r="AG34" s="59"/>
      <c r="AH34" s="59">
        <v>0</v>
      </c>
      <c r="AI34" s="60"/>
      <c r="AK34" s="60"/>
      <c r="AL34" s="7">
        <v>3550</v>
      </c>
      <c r="AM34" s="60"/>
      <c r="AN34" s="7">
        <v>373</v>
      </c>
      <c r="AO34" s="60"/>
      <c r="AP34" s="7">
        <v>219</v>
      </c>
      <c r="AQ34" s="60"/>
      <c r="AR34" s="7">
        <v>14</v>
      </c>
      <c r="AS34" s="60"/>
      <c r="AT34" s="7">
        <v>11</v>
      </c>
      <c r="AU34" s="60"/>
      <c r="AV34" s="7">
        <v>118</v>
      </c>
      <c r="AW34" s="60"/>
      <c r="AX34" s="7">
        <v>8</v>
      </c>
      <c r="AY34" s="60"/>
      <c r="AZ34" s="7">
        <v>11</v>
      </c>
      <c r="BA34" s="60"/>
      <c r="BB34" s="7">
        <v>25</v>
      </c>
      <c r="BC34" s="60"/>
      <c r="BD34" s="7">
        <v>-6229</v>
      </c>
      <c r="BE34" s="60"/>
      <c r="BF34" s="7">
        <v>78</v>
      </c>
      <c r="BG34" s="60"/>
      <c r="BH34" s="7">
        <v>-1115</v>
      </c>
      <c r="BI34" s="60"/>
      <c r="BJ34" s="60">
        <v>-4378</v>
      </c>
      <c r="BK34" s="59"/>
      <c r="BL34" s="59">
        <v>0</v>
      </c>
      <c r="BM34" s="60">
        <v>154</v>
      </c>
      <c r="BN34" s="59">
        <v>3396</v>
      </c>
      <c r="BO34" s="60"/>
      <c r="BP34" s="59">
        <v>2710</v>
      </c>
      <c r="BQ34" s="60"/>
      <c r="BR34" s="7">
        <v>164</v>
      </c>
      <c r="BS34" s="60"/>
      <c r="BT34" s="60">
        <v>4760</v>
      </c>
      <c r="BU34" s="60"/>
      <c r="BV34" s="60">
        <v>126</v>
      </c>
      <c r="BW34" s="14">
        <v>1210</v>
      </c>
      <c r="BX34" s="59">
        <v>7470</v>
      </c>
      <c r="BY34" s="59">
        <v>-6938</v>
      </c>
      <c r="BZ34" s="60"/>
      <c r="CA34" s="7">
        <v>453841.73874396004</v>
      </c>
      <c r="CB34" s="60"/>
      <c r="CC34" s="60">
        <v>0</v>
      </c>
      <c r="CE34" s="7">
        <v>2214</v>
      </c>
      <c r="CF34" s="7">
        <v>12641.940000000002</v>
      </c>
      <c r="CH34" s="7">
        <v>168628.75</v>
      </c>
      <c r="CJ34" s="7">
        <v>172184.5</v>
      </c>
      <c r="CK34" s="60"/>
      <c r="CL34" s="59">
        <v>174016.25</v>
      </c>
      <c r="CM34" s="7">
        <v>514829.5</v>
      </c>
      <c r="CN34" s="60">
        <v>13708</v>
      </c>
      <c r="CO34" s="60">
        <v>11553</v>
      </c>
      <c r="CQ34" s="60">
        <v>298</v>
      </c>
      <c r="CR34" s="60">
        <v>727.12</v>
      </c>
      <c r="CT34" s="60">
        <v>36</v>
      </c>
      <c r="CU34" s="60">
        <v>87.839999999999989</v>
      </c>
      <c r="CW34" s="60">
        <v>0</v>
      </c>
      <c r="CX34" s="60">
        <v>0</v>
      </c>
      <c r="CZ34" s="60">
        <v>616</v>
      </c>
      <c r="DA34" s="60">
        <v>1503.04</v>
      </c>
      <c r="DC34" s="60">
        <v>131</v>
      </c>
      <c r="DD34" s="60">
        <v>313.08999999999992</v>
      </c>
      <c r="DF34" s="60">
        <v>234</v>
      </c>
      <c r="DG34" s="60">
        <v>28</v>
      </c>
      <c r="DI34" s="60">
        <v>156</v>
      </c>
      <c r="DJ34" s="60">
        <v>65</v>
      </c>
      <c r="DL34" s="60">
        <v>17.099999999999909</v>
      </c>
      <c r="DM34" s="60">
        <v>8.7000000000000455</v>
      </c>
      <c r="DO34" s="60">
        <v>4.8999999999996362</v>
      </c>
      <c r="DP34" s="60">
        <v>3.0999999999994543</v>
      </c>
      <c r="DR34" s="60">
        <v>136.30000000000018</v>
      </c>
      <c r="DS34" s="60">
        <v>17.800000000001091</v>
      </c>
      <c r="DU34" s="60">
        <v>246.80000000000018</v>
      </c>
      <c r="DV34" s="60">
        <v>16.000000000001819</v>
      </c>
      <c r="DW34" s="14"/>
      <c r="DX34" s="60">
        <v>207</v>
      </c>
      <c r="DY34" s="14">
        <v>494.7299999999999</v>
      </c>
      <c r="DZ34" s="60"/>
      <c r="EA34" s="14">
        <v>0</v>
      </c>
      <c r="EB34" s="60"/>
      <c r="EC34" s="14">
        <v>0</v>
      </c>
      <c r="ED34" s="60"/>
      <c r="EE34" s="60">
        <v>0</v>
      </c>
      <c r="EF34" s="60"/>
      <c r="EG34" s="58">
        <v>0</v>
      </c>
      <c r="EH34" s="58">
        <v>60</v>
      </c>
      <c r="EI34" s="58">
        <v>180</v>
      </c>
      <c r="EJ34" s="58">
        <v>0.45000000000000029</v>
      </c>
      <c r="EK34"/>
      <c r="EL34"/>
      <c r="EM34"/>
    </row>
    <row r="35" spans="1:146" ht="15" x14ac:dyDescent="0.25">
      <c r="S35" s="14"/>
      <c r="T35" s="13"/>
      <c r="BW35" s="14"/>
      <c r="BX35" s="14"/>
      <c r="BY35" s="14"/>
      <c r="BZ35" s="14"/>
      <c r="DW35" s="14"/>
      <c r="DX35" s="14"/>
      <c r="DY35" s="14"/>
      <c r="DZ35" s="14"/>
      <c r="EM35"/>
    </row>
    <row r="36" spans="1:146" x14ac:dyDescent="0.2">
      <c r="A36" s="21"/>
      <c r="D36" s="8"/>
    </row>
    <row r="37" spans="1:146" x14ac:dyDescent="0.2">
      <c r="A37" s="21"/>
      <c r="D37" s="8"/>
    </row>
    <row r="38" spans="1:146" x14ac:dyDescent="0.2">
      <c r="A38" s="21"/>
      <c r="D38" s="8"/>
    </row>
    <row r="39" spans="1:146" x14ac:dyDescent="0.2">
      <c r="A39" s="21"/>
      <c r="D39" s="8"/>
    </row>
    <row r="40" spans="1:146" x14ac:dyDescent="0.2">
      <c r="A40" s="21"/>
      <c r="D40" s="8"/>
    </row>
    <row r="41" spans="1:146" x14ac:dyDescent="0.2">
      <c r="A41" s="21"/>
      <c r="D41" s="8"/>
    </row>
    <row r="42" spans="1:146" x14ac:dyDescent="0.2">
      <c r="A42" s="21"/>
      <c r="D42" s="8"/>
    </row>
    <row r="43" spans="1:146" x14ac:dyDescent="0.2">
      <c r="A43" s="21"/>
      <c r="D43" s="8"/>
    </row>
    <row r="44" spans="1:146" ht="39.75" customHeight="1" x14ac:dyDescent="0.2">
      <c r="A44" s="21"/>
      <c r="D44" s="8"/>
    </row>
    <row r="45" spans="1:146" x14ac:dyDescent="0.2">
      <c r="A45" s="21"/>
      <c r="D45" s="8"/>
    </row>
    <row r="46" spans="1:146" x14ac:dyDescent="0.2">
      <c r="A46" s="21"/>
      <c r="D46" s="8"/>
    </row>
    <row r="47" spans="1:146" x14ac:dyDescent="0.2">
      <c r="A47" s="21"/>
      <c r="D47" s="8"/>
    </row>
    <row r="48" spans="1:146" x14ac:dyDescent="0.2">
      <c r="A48" s="21"/>
      <c r="D48" s="8"/>
    </row>
    <row r="49" spans="1:4" x14ac:dyDescent="0.2">
      <c r="A49" s="21"/>
      <c r="D49" s="8"/>
    </row>
    <row r="50" spans="1:4" x14ac:dyDescent="0.2">
      <c r="A50" s="21"/>
      <c r="D50" s="8"/>
    </row>
    <row r="51" spans="1:4" x14ac:dyDescent="0.2">
      <c r="A51" s="21"/>
    </row>
    <row r="52" spans="1:4" x14ac:dyDescent="0.2">
      <c r="A52" s="21"/>
    </row>
    <row r="53" spans="1:4" x14ac:dyDescent="0.2">
      <c r="A53" s="21"/>
    </row>
    <row r="54" spans="1:4" x14ac:dyDescent="0.2">
      <c r="A54" s="21"/>
    </row>
  </sheetData>
  <sheetProtection selectLockedCells="1" selectUnlockedCells="1"/>
  <mergeCells count="29"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T1:DV1"/>
    <mergeCell ref="EH1:EJ1"/>
    <mergeCell ref="DE1:DG1"/>
    <mergeCell ref="DH1:DJ1"/>
    <mergeCell ref="DK1:DM1"/>
    <mergeCell ref="DN1:DP1"/>
    <mergeCell ref="DQ1:DS1"/>
  </mergeCells>
  <conditionalFormatting sqref="A35:H35 BP35:BQ35 K35:L35 AL35:BM35 BT35 A45:JK65514 P1:Y1 A2:Y2 O35:AI35 A44:ED44 A36:EC43 EN34:JK35 AD34 BW34 CA34 BW35:EC35 CD34:CJ34 CM34 CP34 CS34 CV34 CY34 DB34 DE34 DH34 DK34 DN34 DQ34 DT34 DW34 DY34 EA34 EC34 EH37:JK44 EI36:JK36 ED35:EG43 EK34:EM34">
    <cfRule type="cellIs" dxfId="1433" priority="9424" operator="lessThan">
      <formula>0</formula>
    </cfRule>
  </conditionalFormatting>
  <conditionalFormatting sqref="I35:J35">
    <cfRule type="cellIs" dxfId="1432" priority="5657" operator="lessThan">
      <formula>0</formula>
    </cfRule>
  </conditionalFormatting>
  <conditionalFormatting sqref="M35:N35">
    <cfRule type="cellIs" dxfId="1431" priority="5650" operator="lessThan">
      <formula>0</formula>
    </cfRule>
  </conditionalFormatting>
  <conditionalFormatting sqref="AJ35:AK35 AJ34 AL34 AN34 AP34 AR34 AT34 AV34 AX34 AZ34 BB34 BD34 BF34 BH34">
    <cfRule type="cellIs" dxfId="1430" priority="5643" operator="lessThan">
      <formula>0</formula>
    </cfRule>
  </conditionalFormatting>
  <conditionalFormatting sqref="BN35:BO35">
    <cfRule type="cellIs" dxfId="1429" priority="5633" operator="lessThan">
      <formula>0</formula>
    </cfRule>
  </conditionalFormatting>
  <conditionalFormatting sqref="BR35:BS35 BR34">
    <cfRule type="cellIs" dxfId="1428" priority="5624" operator="lessThan">
      <formula>0</formula>
    </cfRule>
  </conditionalFormatting>
  <conditionalFormatting sqref="BU35:BV35">
    <cfRule type="cellIs" dxfId="1427" priority="5613" operator="lessThan">
      <formula>0</formula>
    </cfRule>
  </conditionalFormatting>
  <conditionalFormatting sqref="EH35:EL35">
    <cfRule type="cellIs" dxfId="1426" priority="5602" operator="lessThan">
      <formula>0</formula>
    </cfRule>
  </conditionalFormatting>
  <conditionalFormatting sqref="A1:H1 L1 AL1:BN1 BP1:BQ1 AB1:AJ1 BT1:XFD1">
    <cfRule type="cellIs" dxfId="1425" priority="5542" operator="lessThan">
      <formula>0</formula>
    </cfRule>
  </conditionalFormatting>
  <conditionalFormatting sqref="BR1">
    <cfRule type="cellIs" dxfId="1424" priority="5541" operator="lessThan">
      <formula>0</formula>
    </cfRule>
  </conditionalFormatting>
  <conditionalFormatting sqref="Z1:AA1">
    <cfRule type="cellIs" dxfId="1423" priority="5540" operator="lessThan">
      <formula>0</formula>
    </cfRule>
  </conditionalFormatting>
  <conditionalFormatting sqref="AB2:XFD2">
    <cfRule type="cellIs" dxfId="1422" priority="5536" operator="lessThan">
      <formula>0</formula>
    </cfRule>
  </conditionalFormatting>
  <conditionalFormatting sqref="Z2:AA2">
    <cfRule type="cellIs" dxfId="1421" priority="5479" operator="lessThan">
      <formula>0</formula>
    </cfRule>
  </conditionalFormatting>
  <conditionalFormatting sqref="EM35">
    <cfRule type="cellIs" dxfId="1419" priority="3140" operator="lessThan">
      <formula>0</formula>
    </cfRule>
  </conditionalFormatting>
  <conditionalFormatting sqref="AI17:AJ20 BE20 S29:S30 G29:H29 G27:H27 AK17:AK18 DE19:DE27 DT16:DT19 DW16:DW19 DQ8:DQ19 Q22 EF13:EF16 AK20 DN10:DN27 S20:S23 DZ24:DZ30 EB25:EB30 ED24:ED30 AI8:AM11 DB19:DB27 EN4:XFD4 EK29:XFD33 EL28:XFD28 AI21:AK27 EK5:XFD19 BO5 BN4:BN5 G6 B5:B16 AI5:AK7 AM6:AM7 AS5:AS7 AT4:AT7 BL5:BM7 BN6:BO7 AR8:AT8 BK5:BK8 BL8:BO8 CS6:CS27 DE5:DE16 DH5:DH16 DK8:DK27 DQ21:DQ27 DT21:DT27 BE5:BE16 DB7:DB17 BK9:BO9 BL10:BO15 CD19:CD27 CD5:CD17 CK5:CK16 CK19:CK27 AI12:AK16 AG6:AG18 AS20:AS21 BE23:BE25 BE26:BF26 BM23:BN27 B19:B31 BO24:BO27 D19:D31 CB5:CB27 BS10:BS27 BU5 AB24:AC26 CV9:CV27 DH19:DH27 EA4:EA31 BM4 AR23:AS27 CI6:CI27 CG6:CG27 O8:O11 AU5:AU27 BJ27:BK27 AC19:AC23 AT20:AT27 AQ5:AQ27 EK21:XFD27 EK20:EQ20 ES20:XFD20 CP6 CO5:CP5 CO7:CP27 BQ6 AE5:AE31 BD27:BF27 BD29:BF31 BF28 AZ29:AZ31 AX29:AX31 AR29:AS31 AO29:AO31 AI29:AM31 AI28:AJ28 BQ29 CO29:CP31 BH29:BH31 CG29:CG31 CI29:CI31 DH29:DH31 CV29:CV31 BU29:BU31 BS29:BS31 CB29:CB31 BJ29:BO31 CK29:CK31 CD29:CD31 DT29:DT31 DQ29:DQ31 DK29:DK31 DB29:DB31 DN29:DN31 DE29:DE31 CQ32 BK24:BK26 S25 CS29:CS32 X4:X33 AT29:AV33 CQ33:CR33 BU7:BU27 AO5:AO27 D5:D16 BQ8:BQ27 U5 U7:U32 Z6:Z33 F4:F31 G7:H22 O15:O20 AF6:AF31 AR9:AR22 AS9:AT19 AV4:AV27 AX4:AX27 BD4:BD26 BF4:BF25 BH4:BH27 BJ4:BJ26 BK10:BK21 BL16:BL27 BM16:BO22 AD4:AD31 AG20:AG31 AZ4:AZ27 AL4:AL7 AL12:AM27 CY14:CY27 CY29:CY31 AQ29:AQ33 EC32 EE32 EG32:EG33 AC27:AC31 AB4:AB23 AB27:AB33">
    <cfRule type="cellIs" dxfId="387" priority="388" operator="lessThan">
      <formula>0</formula>
    </cfRule>
  </conditionalFormatting>
  <conditionalFormatting sqref="ED24:ED30">
    <cfRule type="cellIs" dxfId="386" priority="387" operator="lessThan">
      <formula>0</formula>
    </cfRule>
  </conditionalFormatting>
  <conditionalFormatting sqref="B17:B18">
    <cfRule type="cellIs" dxfId="385" priority="386" operator="lessThan">
      <formula>0</formula>
    </cfRule>
  </conditionalFormatting>
  <conditionalFormatting sqref="D17:D18">
    <cfRule type="cellIs" dxfId="384" priority="385" operator="lessThan">
      <formula>0</formula>
    </cfRule>
  </conditionalFormatting>
  <conditionalFormatting sqref="CD18">
    <cfRule type="cellIs" dxfId="383" priority="384" operator="lessThan">
      <formula>0</formula>
    </cfRule>
  </conditionalFormatting>
  <conditionalFormatting sqref="CK17:CK18">
    <cfRule type="cellIs" dxfId="382" priority="383" operator="lessThan">
      <formula>0</formula>
    </cfRule>
  </conditionalFormatting>
  <conditionalFormatting sqref="DB18">
    <cfRule type="cellIs" dxfId="381" priority="382" operator="lessThan">
      <formula>0</formula>
    </cfRule>
  </conditionalFormatting>
  <conditionalFormatting sqref="DE17:DE18">
    <cfRule type="cellIs" dxfId="380" priority="381" operator="lessThan">
      <formula>0</formula>
    </cfRule>
  </conditionalFormatting>
  <conditionalFormatting sqref="DH17:DH18">
    <cfRule type="cellIs" dxfId="379" priority="380" operator="lessThan">
      <formula>0</formula>
    </cfRule>
  </conditionalFormatting>
  <conditionalFormatting sqref="EF25:EF28">
    <cfRule type="cellIs" dxfId="378" priority="379" operator="lessThan">
      <formula>0</formula>
    </cfRule>
  </conditionalFormatting>
  <conditionalFormatting sqref="EF25:EF28">
    <cfRule type="cellIs" dxfId="377" priority="378" operator="lessThan">
      <formula>0</formula>
    </cfRule>
  </conditionalFormatting>
  <conditionalFormatting sqref="EF13:EF16">
    <cfRule type="cellIs" dxfId="376" priority="377" operator="lessThan">
      <formula>0</formula>
    </cfRule>
  </conditionalFormatting>
  <conditionalFormatting sqref="EF15:EF16">
    <cfRule type="cellIs" dxfId="375" priority="376" operator="lessThan">
      <formula>0</formula>
    </cfRule>
  </conditionalFormatting>
  <conditionalFormatting sqref="AK19">
    <cfRule type="cellIs" dxfId="374" priority="375" operator="lessThan">
      <formula>0</formula>
    </cfRule>
  </conditionalFormatting>
  <conditionalFormatting sqref="EH5:EH6 EK28 EH15:EJ31 EH9:EH14 EJ12:EJ14">
    <cfRule type="cellIs" dxfId="373" priority="374" operator="lessThan">
      <formula>0</formula>
    </cfRule>
  </conditionalFormatting>
  <conditionalFormatting sqref="EF10:EF12">
    <cfRule type="cellIs" dxfId="372" priority="373" operator="lessThan">
      <formula>0</formula>
    </cfRule>
  </conditionalFormatting>
  <conditionalFormatting sqref="AC5:AC18">
    <cfRule type="cellIs" dxfId="371" priority="372" operator="lessThan">
      <formula>0</formula>
    </cfRule>
  </conditionalFormatting>
  <conditionalFormatting sqref="I15:I20">
    <cfRule type="cellIs" dxfId="370" priority="371" operator="lessThan">
      <formula>0</formula>
    </cfRule>
  </conditionalFormatting>
  <conditionalFormatting sqref="S15:S19">
    <cfRule type="cellIs" dxfId="369" priority="370" operator="lessThan">
      <formula>0</formula>
    </cfRule>
  </conditionalFormatting>
  <conditionalFormatting sqref="BE17:BE18">
    <cfRule type="cellIs" dxfId="368" priority="369" operator="lessThan">
      <formula>0</formula>
    </cfRule>
  </conditionalFormatting>
  <conditionalFormatting sqref="BE19">
    <cfRule type="cellIs" dxfId="367" priority="368" operator="lessThan">
      <formula>0</formula>
    </cfRule>
  </conditionalFormatting>
  <conditionalFormatting sqref="DQ20 DT20">
    <cfRule type="cellIs" dxfId="366" priority="367" operator="lessThan">
      <formula>0</formula>
    </cfRule>
  </conditionalFormatting>
  <conditionalFormatting sqref="BE21">
    <cfRule type="cellIs" dxfId="365" priority="366" operator="lessThan">
      <formula>0</formula>
    </cfRule>
  </conditionalFormatting>
  <conditionalFormatting sqref="AS22">
    <cfRule type="cellIs" dxfId="364" priority="365" operator="lessThan">
      <formula>0</formula>
    </cfRule>
  </conditionalFormatting>
  <conditionalFormatting sqref="BE22">
    <cfRule type="cellIs" dxfId="363" priority="364" operator="lessThan">
      <formula>0</formula>
    </cfRule>
  </conditionalFormatting>
  <conditionalFormatting sqref="BK22">
    <cfRule type="cellIs" dxfId="362" priority="363" operator="lessThan">
      <formula>0</formula>
    </cfRule>
  </conditionalFormatting>
  <conditionalFormatting sqref="G23:H23 Q23 Q25">
    <cfRule type="cellIs" dxfId="361" priority="362" operator="lessThan">
      <formula>0</formula>
    </cfRule>
  </conditionalFormatting>
  <conditionalFormatting sqref="BO23">
    <cfRule type="cellIs" dxfId="360" priority="361" operator="lessThan">
      <formula>0</formula>
    </cfRule>
  </conditionalFormatting>
  <conditionalFormatting sqref="BK23">
    <cfRule type="cellIs" dxfId="359" priority="360" operator="lessThan">
      <formula>0</formula>
    </cfRule>
  </conditionalFormatting>
  <conditionalFormatting sqref="S24">
    <cfRule type="cellIs" dxfId="358" priority="359" operator="lessThan">
      <formula>0</formula>
    </cfRule>
  </conditionalFormatting>
  <conditionalFormatting sqref="G24:H24 Q24">
    <cfRule type="cellIs" dxfId="357" priority="358" operator="lessThan">
      <formula>0</formula>
    </cfRule>
  </conditionalFormatting>
  <conditionalFormatting sqref="G25:H25">
    <cfRule type="cellIs" dxfId="356" priority="357" operator="lessThan">
      <formula>0</formula>
    </cfRule>
  </conditionalFormatting>
  <conditionalFormatting sqref="S26:S27">
    <cfRule type="cellIs" dxfId="355" priority="356" operator="lessThan">
      <formula>0</formula>
    </cfRule>
  </conditionalFormatting>
  <conditionalFormatting sqref="G26:H26 Q26:Q28">
    <cfRule type="cellIs" dxfId="354" priority="355" operator="lessThan">
      <formula>0</formula>
    </cfRule>
  </conditionalFormatting>
  <conditionalFormatting sqref="G28:H28">
    <cfRule type="cellIs" dxfId="353" priority="354" operator="lessThan">
      <formula>0</formula>
    </cfRule>
  </conditionalFormatting>
  <conditionalFormatting sqref="Q29">
    <cfRule type="cellIs" dxfId="352" priority="353" operator="lessThan">
      <formula>0</formula>
    </cfRule>
  </conditionalFormatting>
  <conditionalFormatting sqref="G30:H30">
    <cfRule type="cellIs" dxfId="351" priority="352" operator="lessThan">
      <formula>0</formula>
    </cfRule>
  </conditionalFormatting>
  <conditionalFormatting sqref="G31:H31">
    <cfRule type="cellIs" dxfId="350" priority="351" operator="lessThan">
      <formula>0</formula>
    </cfRule>
  </conditionalFormatting>
  <conditionalFormatting sqref="Q31">
    <cfRule type="cellIs" dxfId="349" priority="350" operator="lessThan">
      <formula>0</formula>
    </cfRule>
  </conditionalFormatting>
  <conditionalFormatting sqref="DB5:DB6 BS6 DT8:DT15 CY12:CY13 Z5 DW8:DW15 BS8:BS9">
    <cfRule type="cellIs" dxfId="348" priority="349" operator="lessThan">
      <formula>0</formula>
    </cfRule>
  </conditionalFormatting>
  <conditionalFormatting sqref="S4:S14">
    <cfRule type="cellIs" dxfId="347" priority="348" operator="lessThan">
      <formula>0</formula>
    </cfRule>
  </conditionalFormatting>
  <conditionalFormatting sqref="K15:K17">
    <cfRule type="cellIs" dxfId="346" priority="347" operator="lessThan">
      <formula>0</formula>
    </cfRule>
  </conditionalFormatting>
  <conditionalFormatting sqref="Q5:Q19">
    <cfRule type="cellIs" dxfId="345" priority="346" operator="lessThan">
      <formula>0</formula>
    </cfRule>
  </conditionalFormatting>
  <conditionalFormatting sqref="AA5:AA33">
    <cfRule type="cellIs" dxfId="344" priority="345" operator="lessThan">
      <formula>0</formula>
    </cfRule>
  </conditionalFormatting>
  <conditionalFormatting sqref="DZ5:DZ20 EB5:EB20 ED5:ED20">
    <cfRule type="cellIs" dxfId="343" priority="344" operator="lessThan">
      <formula>0</formula>
    </cfRule>
  </conditionalFormatting>
  <conditionalFormatting sqref="ED5:ED20">
    <cfRule type="cellIs" dxfId="342" priority="343" operator="lessThan">
      <formula>0</formula>
    </cfRule>
  </conditionalFormatting>
  <conditionalFormatting sqref="EI5:EI6 EI9:EI15">
    <cfRule type="cellIs" dxfId="341" priority="342" operator="lessThan">
      <formula>0</formula>
    </cfRule>
  </conditionalFormatting>
  <conditionalFormatting sqref="S28">
    <cfRule type="cellIs" dxfId="340" priority="341" operator="lessThan">
      <formula>0</formula>
    </cfRule>
  </conditionalFormatting>
  <conditionalFormatting sqref="DQ5:DQ7">
    <cfRule type="cellIs" dxfId="339" priority="340" operator="lessThan">
      <formula>0</formula>
    </cfRule>
  </conditionalFormatting>
  <conditionalFormatting sqref="DN5:DN9">
    <cfRule type="cellIs" dxfId="338" priority="339" operator="lessThan">
      <formula>0</formula>
    </cfRule>
  </conditionalFormatting>
  <conditionalFormatting sqref="DK5:DK7">
    <cfRule type="cellIs" dxfId="337" priority="338" operator="lessThan">
      <formula>0</formula>
    </cfRule>
  </conditionalFormatting>
  <conditionalFormatting sqref="DT5:DT7">
    <cfRule type="cellIs" dxfId="336" priority="337" operator="lessThan">
      <formula>0</formula>
    </cfRule>
  </conditionalFormatting>
  <conditionalFormatting sqref="DW5:DW7">
    <cfRule type="cellIs" dxfId="335" priority="336" operator="lessThan">
      <formula>0</formula>
    </cfRule>
  </conditionalFormatting>
  <conditionalFormatting sqref="EF17">
    <cfRule type="cellIs" dxfId="334" priority="335" operator="lessThan">
      <formula>0</formula>
    </cfRule>
  </conditionalFormatting>
  <conditionalFormatting sqref="EF17">
    <cfRule type="cellIs" dxfId="333" priority="334" operator="lessThan">
      <formula>0</formula>
    </cfRule>
  </conditionalFormatting>
  <conditionalFormatting sqref="EF17">
    <cfRule type="cellIs" dxfId="332" priority="333" operator="lessThan">
      <formula>0</formula>
    </cfRule>
  </conditionalFormatting>
  <conditionalFormatting sqref="EF18">
    <cfRule type="cellIs" dxfId="331" priority="332" operator="lessThan">
      <formula>0</formula>
    </cfRule>
  </conditionalFormatting>
  <conditionalFormatting sqref="EF18">
    <cfRule type="cellIs" dxfId="330" priority="331" operator="lessThan">
      <formula>0</formula>
    </cfRule>
  </conditionalFormatting>
  <conditionalFormatting sqref="EF18">
    <cfRule type="cellIs" dxfId="329" priority="330" operator="lessThan">
      <formula>0</formula>
    </cfRule>
  </conditionalFormatting>
  <conditionalFormatting sqref="EF19:EF20">
    <cfRule type="cellIs" dxfId="328" priority="329" operator="lessThan">
      <formula>0</formula>
    </cfRule>
  </conditionalFormatting>
  <conditionalFormatting sqref="EF19:EF20">
    <cfRule type="cellIs" dxfId="327" priority="328" operator="lessThan">
      <formula>0</formula>
    </cfRule>
  </conditionalFormatting>
  <conditionalFormatting sqref="EF19:EF20">
    <cfRule type="cellIs" dxfId="326" priority="327" operator="lessThan">
      <formula>0</formula>
    </cfRule>
  </conditionalFormatting>
  <conditionalFormatting sqref="Q20">
    <cfRule type="cellIs" dxfId="325" priority="326" operator="lessThan">
      <formula>0</formula>
    </cfRule>
  </conditionalFormatting>
  <conditionalFormatting sqref="Q30">
    <cfRule type="cellIs" dxfId="324" priority="325" operator="lessThan">
      <formula>0</formula>
    </cfRule>
  </conditionalFormatting>
  <conditionalFormatting sqref="EF9">
    <cfRule type="cellIs" dxfId="323" priority="324" operator="lessThan">
      <formula>0</formula>
    </cfRule>
  </conditionalFormatting>
  <conditionalFormatting sqref="DZ22:DZ23">
    <cfRule type="cellIs" dxfId="322" priority="323" operator="lessThan">
      <formula>0</formula>
    </cfRule>
  </conditionalFormatting>
  <conditionalFormatting sqref="EB22:EB24">
    <cfRule type="cellIs" dxfId="321" priority="322" operator="lessThan">
      <formula>0</formula>
    </cfRule>
  </conditionalFormatting>
  <conditionalFormatting sqref="ED22:ED23">
    <cfRule type="cellIs" dxfId="320" priority="321" operator="lessThan">
      <formula>0</formula>
    </cfRule>
  </conditionalFormatting>
  <conditionalFormatting sqref="ED22:ED23">
    <cfRule type="cellIs" dxfId="319" priority="320" operator="lessThan">
      <formula>0</formula>
    </cfRule>
  </conditionalFormatting>
  <conditionalFormatting sqref="EF22:EF24">
    <cfRule type="cellIs" dxfId="318" priority="319" operator="lessThan">
      <formula>0</formula>
    </cfRule>
  </conditionalFormatting>
  <conditionalFormatting sqref="EF22:EF24">
    <cfRule type="cellIs" dxfId="317" priority="318" operator="lessThan">
      <formula>0</formula>
    </cfRule>
  </conditionalFormatting>
  <conditionalFormatting sqref="EF22:EF24">
    <cfRule type="cellIs" dxfId="316" priority="317" operator="lessThan">
      <formula>0</formula>
    </cfRule>
  </conditionalFormatting>
  <conditionalFormatting sqref="I26:I27">
    <cfRule type="cellIs" dxfId="315" priority="316" operator="lessThan">
      <formula>0</formula>
    </cfRule>
  </conditionalFormatting>
  <conditionalFormatting sqref="K26">
    <cfRule type="cellIs" dxfId="314" priority="315" operator="lessThan">
      <formula>0</formula>
    </cfRule>
  </conditionalFormatting>
  <conditionalFormatting sqref="EQ3:XFD3">
    <cfRule type="cellIs" dxfId="313" priority="314" operator="lessThan">
      <formula>0</formula>
    </cfRule>
  </conditionalFormatting>
  <conditionalFormatting sqref="W18">
    <cfRule type="cellIs" dxfId="312" priority="310" operator="lessThan">
      <formula>0</formula>
    </cfRule>
  </conditionalFormatting>
  <conditionalFormatting sqref="EF6">
    <cfRule type="cellIs" dxfId="311" priority="309" operator="lessThan">
      <formula>0</formula>
    </cfRule>
  </conditionalFormatting>
  <conditionalFormatting sqref="EF7">
    <cfRule type="cellIs" dxfId="310" priority="308" operator="lessThan">
      <formula>0</formula>
    </cfRule>
  </conditionalFormatting>
  <conditionalFormatting sqref="EH7">
    <cfRule type="cellIs" dxfId="309" priority="307" operator="lessThan">
      <formula>0</formula>
    </cfRule>
  </conditionalFormatting>
  <conditionalFormatting sqref="EF8">
    <cfRule type="cellIs" dxfId="308" priority="305" operator="lessThan">
      <formula>0</formula>
    </cfRule>
  </conditionalFormatting>
  <conditionalFormatting sqref="EH8">
    <cfRule type="cellIs" dxfId="307" priority="304" operator="lessThan">
      <formula>0</formula>
    </cfRule>
  </conditionalFormatting>
  <conditionalFormatting sqref="EI8">
    <cfRule type="cellIs" dxfId="306" priority="303" operator="lessThan">
      <formula>0</formula>
    </cfRule>
  </conditionalFormatting>
  <conditionalFormatting sqref="EF29">
    <cfRule type="cellIs" dxfId="305" priority="302" operator="lessThan">
      <formula>0</formula>
    </cfRule>
  </conditionalFormatting>
  <conditionalFormatting sqref="EF29">
    <cfRule type="cellIs" dxfId="304" priority="301" operator="lessThan">
      <formula>0</formula>
    </cfRule>
  </conditionalFormatting>
  <conditionalFormatting sqref="EF30">
    <cfRule type="cellIs" dxfId="303" priority="300" operator="lessThan">
      <formula>0</formula>
    </cfRule>
  </conditionalFormatting>
  <conditionalFormatting sqref="L7:L31">
    <cfRule type="cellIs" dxfId="302" priority="313" operator="lessThan">
      <formula>0</formula>
    </cfRule>
  </conditionalFormatting>
  <conditionalFormatting sqref="N24:N31">
    <cfRule type="cellIs" dxfId="301" priority="312" operator="lessThan">
      <formula>0</formula>
    </cfRule>
  </conditionalFormatting>
  <conditionalFormatting sqref="W5:W17 W19:W33">
    <cfRule type="cellIs" dxfId="300" priority="311" operator="lessThan">
      <formula>0</formula>
    </cfRule>
  </conditionalFormatting>
  <conditionalFormatting sqref="EI7">
    <cfRule type="cellIs" dxfId="299" priority="306" operator="lessThan">
      <formula>0</formula>
    </cfRule>
  </conditionalFormatting>
  <conditionalFormatting sqref="EF30">
    <cfRule type="cellIs" dxfId="298" priority="299" operator="lessThan">
      <formula>0</formula>
    </cfRule>
  </conditionalFormatting>
  <conditionalFormatting sqref="AN29:AN31 AN4:AN27">
    <cfRule type="cellIs" dxfId="297" priority="298" operator="lessThan">
      <formula>0</formula>
    </cfRule>
  </conditionalFormatting>
  <conditionalFormatting sqref="S31">
    <cfRule type="cellIs" dxfId="296" priority="297" operator="lessThan">
      <formula>0</formula>
    </cfRule>
  </conditionalFormatting>
  <conditionalFormatting sqref="I8:I10">
    <cfRule type="cellIs" dxfId="295" priority="296" operator="lessThan">
      <formula>0</formula>
    </cfRule>
  </conditionalFormatting>
  <conditionalFormatting sqref="M8:M10">
    <cfRule type="cellIs" dxfId="294" priority="295" operator="lessThan">
      <formula>0</formula>
    </cfRule>
  </conditionalFormatting>
  <conditionalFormatting sqref="DZ31">
    <cfRule type="cellIs" dxfId="293" priority="294" operator="lessThan">
      <formula>0</formula>
    </cfRule>
  </conditionalFormatting>
  <conditionalFormatting sqref="EB31">
    <cfRule type="cellIs" dxfId="292" priority="293" operator="lessThan">
      <formula>0</formula>
    </cfRule>
  </conditionalFormatting>
  <conditionalFormatting sqref="ED31">
    <cfRule type="cellIs" dxfId="291" priority="292" operator="lessThan">
      <formula>0</formula>
    </cfRule>
  </conditionalFormatting>
  <conditionalFormatting sqref="ED31">
    <cfRule type="cellIs" dxfId="290" priority="291" operator="lessThan">
      <formula>0</formula>
    </cfRule>
  </conditionalFormatting>
  <conditionalFormatting sqref="EF31">
    <cfRule type="cellIs" dxfId="289" priority="290" operator="lessThan">
      <formula>0</formula>
    </cfRule>
  </conditionalFormatting>
  <conditionalFormatting sqref="EF31">
    <cfRule type="cellIs" dxfId="288" priority="289" operator="lessThan">
      <formula>0</formula>
    </cfRule>
  </conditionalFormatting>
  <conditionalFormatting sqref="AC4">
    <cfRule type="cellIs" dxfId="287" priority="287" operator="lessThan">
      <formula>0</formula>
    </cfRule>
  </conditionalFormatting>
  <conditionalFormatting sqref="CP4 Z4">
    <cfRule type="cellIs" dxfId="286" priority="286" operator="lessThan">
      <formula>0</formula>
    </cfRule>
  </conditionalFormatting>
  <conditionalFormatting sqref="Q4">
    <cfRule type="cellIs" dxfId="285" priority="285" operator="lessThan">
      <formula>0</formula>
    </cfRule>
  </conditionalFormatting>
  <conditionalFormatting sqref="AA4 AG4 AK4 AO4 AQ4 AS4 AU4 BE4 BK4 BO4 BQ4 BS4 BU4 CD4 DE4 DH4 DK4 DN4 DQ4 DT4 DW4 DZ4 EB4 ED4 DB4 BU6">
    <cfRule type="cellIs" dxfId="284" priority="284" operator="lessThan">
      <formula>0</formula>
    </cfRule>
  </conditionalFormatting>
  <conditionalFormatting sqref="EH4:EI4">
    <cfRule type="cellIs" dxfId="283" priority="283" operator="lessThan">
      <formula>0</formula>
    </cfRule>
  </conditionalFormatting>
  <conditionalFormatting sqref="W4">
    <cfRule type="cellIs" dxfId="282" priority="282" operator="lessThan">
      <formula>0</formula>
    </cfRule>
  </conditionalFormatting>
  <conditionalFormatting sqref="B4 CB4 EK4:EM4 U4 AE4 AI4:AJ4 AM4 CO4 CK4 CI4:CI5 CG4:CG5 U6">
    <cfRule type="cellIs" dxfId="281" priority="288" operator="lessThan">
      <formula>0</formula>
    </cfRule>
  </conditionalFormatting>
  <conditionalFormatting sqref="H6:I6">
    <cfRule type="cellIs" dxfId="280" priority="281" operator="lessThan">
      <formula>0</formula>
    </cfRule>
  </conditionalFormatting>
  <conditionalFormatting sqref="K6">
    <cfRule type="cellIs" dxfId="279" priority="280" operator="lessThan">
      <formula>0</formula>
    </cfRule>
  </conditionalFormatting>
  <conditionalFormatting sqref="M6">
    <cfRule type="cellIs" dxfId="278" priority="279" operator="lessThan">
      <formula>0</formula>
    </cfRule>
  </conditionalFormatting>
  <conditionalFormatting sqref="O6">
    <cfRule type="cellIs" dxfId="277" priority="278" operator="lessThan">
      <formula>0</formula>
    </cfRule>
  </conditionalFormatting>
  <conditionalFormatting sqref="I7">
    <cfRule type="cellIs" dxfId="276" priority="277" operator="lessThan">
      <formula>0</formula>
    </cfRule>
  </conditionalFormatting>
  <conditionalFormatting sqref="K7:K10">
    <cfRule type="cellIs" dxfId="275" priority="276" operator="lessThan">
      <formula>0</formula>
    </cfRule>
  </conditionalFormatting>
  <conditionalFormatting sqref="M7">
    <cfRule type="cellIs" dxfId="274" priority="275" operator="lessThan">
      <formula>0</formula>
    </cfRule>
  </conditionalFormatting>
  <conditionalFormatting sqref="O7">
    <cfRule type="cellIs" dxfId="273" priority="274" operator="lessThan">
      <formula>0</formula>
    </cfRule>
  </conditionalFormatting>
  <conditionalFormatting sqref="M15">
    <cfRule type="cellIs" dxfId="272" priority="273" operator="lessThan">
      <formula>0</formula>
    </cfRule>
  </conditionalFormatting>
  <conditionalFormatting sqref="CQ4:CS4 BT4:BT8 BX4:BY4 CA4:CA8 CE4:CE8 CX4:CX8 CL4:CN5 CL6:CL8 BX5:BX8 BY5:BY14 AP29:AP31 CT29:CU31 CZ31:DA31 CN29:CN31 CH29:CH31 CW29:CX31 CQ29:CR31 CR32 CM29:CM33 CT32:CT33 DC29:DC33 DF29:DG33 DI29:DI33 DL29:DL33 DO29:DO33 DR29:DR33 DU29:DU33 DA4 E4:E31 AH4:AH33 BP4:BP27 CQ5:CR27 CT4:CU27 CW9:CX27 CZ5:DA26 DC4:DC27 DF4:DG27 DI4:DI27 DL4:DL27 DO4:DO27 DR4:DR27 DU4:DU27 DX4:DX33 AP4:AP27 CH4:CH27 C4:C31 DA27 DA29:DA30 CZ27:CZ30 BP29:BP31 CM6:CN27">
    <cfRule type="cellIs" dxfId="271" priority="272" operator="lessThan">
      <formula>0</formula>
    </cfRule>
  </conditionalFormatting>
  <conditionalFormatting sqref="BV4:BV8">
    <cfRule type="cellIs" dxfId="270" priority="271" operator="lessThan">
      <formula>0</formula>
    </cfRule>
  </conditionalFormatting>
  <conditionalFormatting sqref="EJ6:EJ11">
    <cfRule type="cellIs" dxfId="269" priority="270" operator="lessThan">
      <formula>0</formula>
    </cfRule>
  </conditionalFormatting>
  <conditionalFormatting sqref="DD29:DD33 DD4:DD27">
    <cfRule type="cellIs" dxfId="268" priority="269" operator="lessThan">
      <formula>0</formula>
    </cfRule>
  </conditionalFormatting>
  <conditionalFormatting sqref="DY4:DY33">
    <cfRule type="cellIs" dxfId="267" priority="268" operator="lessThan">
      <formula>0</formula>
    </cfRule>
  </conditionalFormatting>
  <conditionalFormatting sqref="CF4:CF8">
    <cfRule type="cellIs" dxfId="266" priority="267" operator="lessThan">
      <formula>0</formula>
    </cfRule>
  </conditionalFormatting>
  <conditionalFormatting sqref="J4:J31">
    <cfRule type="cellIs" dxfId="265" priority="266" operator="lessThan">
      <formula>0</formula>
    </cfRule>
  </conditionalFormatting>
  <conditionalFormatting sqref="L5:L6">
    <cfRule type="cellIs" dxfId="264" priority="265" operator="lessThan">
      <formula>0</formula>
    </cfRule>
  </conditionalFormatting>
  <conditionalFormatting sqref="N4:N23">
    <cfRule type="cellIs" dxfId="263" priority="264" operator="lessThan">
      <formula>0</formula>
    </cfRule>
  </conditionalFormatting>
  <conditionalFormatting sqref="P4:P31">
    <cfRule type="cellIs" dxfId="262" priority="263" operator="lessThan">
      <formula>0</formula>
    </cfRule>
  </conditionalFormatting>
  <conditionalFormatting sqref="BR4:BR8">
    <cfRule type="cellIs" dxfId="261" priority="262" operator="lessThan">
      <formula>0</formula>
    </cfRule>
  </conditionalFormatting>
  <conditionalFormatting sqref="CC4:CC33">
    <cfRule type="cellIs" dxfId="260" priority="261" operator="lessThan">
      <formula>0</formula>
    </cfRule>
  </conditionalFormatting>
  <conditionalFormatting sqref="DJ29:DJ31 DJ4:DJ27">
    <cfRule type="cellIs" dxfId="259" priority="260" operator="lessThan">
      <formula>0</formula>
    </cfRule>
  </conditionalFormatting>
  <conditionalFormatting sqref="DM29:DM32 DM4:DM27">
    <cfRule type="cellIs" dxfId="258" priority="259" operator="lessThan">
      <formula>0</formula>
    </cfRule>
  </conditionalFormatting>
  <conditionalFormatting sqref="DP29:DP32 DP4:DP27">
    <cfRule type="cellIs" dxfId="257" priority="258" operator="lessThan">
      <formula>0</formula>
    </cfRule>
  </conditionalFormatting>
  <conditionalFormatting sqref="DS29:DS31 DS4:DS27">
    <cfRule type="cellIs" dxfId="256" priority="257" operator="lessThan">
      <formula>0</formula>
    </cfRule>
  </conditionalFormatting>
  <conditionalFormatting sqref="DV29:DV33 DV4:DV27">
    <cfRule type="cellIs" dxfId="255" priority="256" operator="lessThan">
      <formula>0</formula>
    </cfRule>
  </conditionalFormatting>
  <conditionalFormatting sqref="T4:T31">
    <cfRule type="cellIs" dxfId="254" priority="255" operator="lessThan">
      <formula>0</formula>
    </cfRule>
  </conditionalFormatting>
  <conditionalFormatting sqref="T4:T31">
    <cfRule type="cellIs" dxfId="253" priority="254" operator="lessThan">
      <formula>0</formula>
    </cfRule>
  </conditionalFormatting>
  <conditionalFormatting sqref="EC4:EC31">
    <cfRule type="cellIs" dxfId="252" priority="253" operator="lessThan">
      <formula>0</formula>
    </cfRule>
  </conditionalFormatting>
  <conditionalFormatting sqref="EE4:EE31">
    <cfRule type="cellIs" dxfId="251" priority="252" operator="lessThan">
      <formula>0</formula>
    </cfRule>
  </conditionalFormatting>
  <conditionalFormatting sqref="EG4:EG31">
    <cfRule type="cellIs" dxfId="250" priority="251" operator="lessThan">
      <formula>0</formula>
    </cfRule>
  </conditionalFormatting>
  <conditionalFormatting sqref="BR29:BR31 BR9:BR27">
    <cfRule type="cellIs" dxfId="249" priority="250" operator="lessThan">
      <formula>0</formula>
    </cfRule>
  </conditionalFormatting>
  <conditionalFormatting sqref="BT30:BT31 BT9:BT27">
    <cfRule type="cellIs" dxfId="248" priority="249" operator="lessThan">
      <formula>0</formula>
    </cfRule>
  </conditionalFormatting>
  <conditionalFormatting sqref="BW11:BX14 BW29:BY31 BX9:BX10 BW4:BW10 BW15:BY27">
    <cfRule type="cellIs" dxfId="247" priority="248" operator="lessThan">
      <formula>0</formula>
    </cfRule>
  </conditionalFormatting>
  <conditionalFormatting sqref="BV29:BV31 BV9:BV27">
    <cfRule type="cellIs" dxfId="246" priority="247" operator="lessThan">
      <formula>0</formula>
    </cfRule>
  </conditionalFormatting>
  <conditionalFormatting sqref="CA29:CA31 CA9:CA27">
    <cfRule type="cellIs" dxfId="245" priority="246" operator="lessThan">
      <formula>0</formula>
    </cfRule>
  </conditionalFormatting>
  <conditionalFormatting sqref="CE29:CE31 CE9:CE27">
    <cfRule type="cellIs" dxfId="244" priority="245" operator="lessThan">
      <formula>0</formula>
    </cfRule>
  </conditionalFormatting>
  <conditionalFormatting sqref="CF29:CF31 CF9:CF27">
    <cfRule type="cellIs" dxfId="243" priority="244" operator="lessThan">
      <formula>0</formula>
    </cfRule>
  </conditionalFormatting>
  <conditionalFormatting sqref="CJ4:CJ8">
    <cfRule type="cellIs" dxfId="242" priority="243" operator="lessThan">
      <formula>0</formula>
    </cfRule>
  </conditionalFormatting>
  <conditionalFormatting sqref="CJ9:CJ31">
    <cfRule type="cellIs" dxfId="241" priority="242" operator="lessThan">
      <formula>0</formula>
    </cfRule>
  </conditionalFormatting>
  <conditionalFormatting sqref="CL29:CL31 CL9:CL27">
    <cfRule type="cellIs" dxfId="240" priority="241" operator="lessThan">
      <formula>0</formula>
    </cfRule>
  </conditionalFormatting>
  <conditionalFormatting sqref="K11">
    <cfRule type="cellIs" dxfId="239" priority="240" operator="lessThan">
      <formula>0</formula>
    </cfRule>
  </conditionalFormatting>
  <conditionalFormatting sqref="M11">
    <cfRule type="cellIs" dxfId="238" priority="239" operator="lessThan">
      <formula>0</formula>
    </cfRule>
  </conditionalFormatting>
  <conditionalFormatting sqref="K27">
    <cfRule type="cellIs" dxfId="237" priority="238" operator="lessThan">
      <formula>0</formula>
    </cfRule>
  </conditionalFormatting>
  <conditionalFormatting sqref="I28">
    <cfRule type="cellIs" dxfId="236" priority="237" operator="lessThan">
      <formula>0</formula>
    </cfRule>
  </conditionalFormatting>
  <conditionalFormatting sqref="K28">
    <cfRule type="cellIs" dxfId="235" priority="236" operator="lessThan">
      <formula>0</formula>
    </cfRule>
  </conditionalFormatting>
  <conditionalFormatting sqref="I29">
    <cfRule type="cellIs" dxfId="234" priority="235" operator="lessThan">
      <formula>0</formula>
    </cfRule>
  </conditionalFormatting>
  <conditionalFormatting sqref="K29:K30">
    <cfRule type="cellIs" dxfId="233" priority="234" operator="lessThan">
      <formula>0</formula>
    </cfRule>
  </conditionalFormatting>
  <conditionalFormatting sqref="I31">
    <cfRule type="cellIs" dxfId="232" priority="233" operator="lessThan">
      <formula>0</formula>
    </cfRule>
  </conditionalFormatting>
  <conditionalFormatting sqref="K31">
    <cfRule type="cellIs" dxfId="231" priority="232" operator="lessThan">
      <formula>0</formula>
    </cfRule>
  </conditionalFormatting>
  <conditionalFormatting sqref="M31">
    <cfRule type="cellIs" dxfId="230" priority="231" operator="lessThan">
      <formula>0</formula>
    </cfRule>
  </conditionalFormatting>
  <conditionalFormatting sqref="O31">
    <cfRule type="cellIs" dxfId="229" priority="230" operator="lessThan">
      <formula>0</formula>
    </cfRule>
  </conditionalFormatting>
  <conditionalFormatting sqref="BL4 AR4:AR7 CY4:CZ4 CY6:CY11">
    <cfRule type="cellIs" dxfId="228" priority="229" operator="lessThan">
      <formula>0</formula>
    </cfRule>
  </conditionalFormatting>
  <conditionalFormatting sqref="EJ5">
    <cfRule type="cellIs" dxfId="227" priority="228" operator="lessThan">
      <formula>0</formula>
    </cfRule>
  </conditionalFormatting>
  <conditionalFormatting sqref="L4">
    <cfRule type="cellIs" dxfId="226" priority="222" operator="lessThan">
      <formula>0</formula>
    </cfRule>
  </conditionalFormatting>
  <conditionalFormatting sqref="CV4:CV8">
    <cfRule type="cellIs" dxfId="225" priority="220" operator="lessThan">
      <formula>0</formula>
    </cfRule>
  </conditionalFormatting>
  <conditionalFormatting sqref="M18:M20">
    <cfRule type="cellIs" dxfId="224" priority="219" operator="lessThan">
      <formula>0</formula>
    </cfRule>
  </conditionalFormatting>
  <conditionalFormatting sqref="EF4:EF5">
    <cfRule type="cellIs" dxfId="223" priority="226" operator="lessThan">
      <formula>0</formula>
    </cfRule>
  </conditionalFormatting>
  <conditionalFormatting sqref="EF4:EF5">
    <cfRule type="cellIs" dxfId="222" priority="227" operator="lessThan">
      <formula>0</formula>
    </cfRule>
  </conditionalFormatting>
  <conditionalFormatting sqref="CW6:CW8">
    <cfRule type="cellIs" dxfId="221" priority="225" operator="lessThan">
      <formula>0</formula>
    </cfRule>
  </conditionalFormatting>
  <conditionalFormatting sqref="K24">
    <cfRule type="cellIs" dxfId="220" priority="217" operator="lessThan">
      <formula>0</formula>
    </cfRule>
  </conditionalFormatting>
  <conditionalFormatting sqref="M24">
    <cfRule type="cellIs" dxfId="219" priority="216" operator="lessThan">
      <formula>0</formula>
    </cfRule>
  </conditionalFormatting>
  <conditionalFormatting sqref="O24">
    <cfRule type="cellIs" dxfId="218" priority="215" operator="lessThan">
      <formula>0</formula>
    </cfRule>
  </conditionalFormatting>
  <conditionalFormatting sqref="Y4:Y33">
    <cfRule type="cellIs" dxfId="217" priority="224" operator="lessThan">
      <formula>0</formula>
    </cfRule>
  </conditionalFormatting>
  <conditionalFormatting sqref="M25">
    <cfRule type="cellIs" dxfId="216" priority="212" operator="lessThan">
      <formula>0</formula>
    </cfRule>
  </conditionalFormatting>
  <conditionalFormatting sqref="O25">
    <cfRule type="cellIs" dxfId="215" priority="211" operator="lessThan">
      <formula>0</formula>
    </cfRule>
  </conditionalFormatting>
  <conditionalFormatting sqref="I14">
    <cfRule type="cellIs" dxfId="214" priority="210" operator="lessThan">
      <formula>0</formula>
    </cfRule>
  </conditionalFormatting>
  <conditionalFormatting sqref="K14">
    <cfRule type="cellIs" dxfId="213" priority="209" operator="lessThan">
      <formula>0</formula>
    </cfRule>
  </conditionalFormatting>
  <conditionalFormatting sqref="M14">
    <cfRule type="cellIs" dxfId="212" priority="208" operator="lessThan">
      <formula>0</formula>
    </cfRule>
  </conditionalFormatting>
  <conditionalFormatting sqref="O14">
    <cfRule type="cellIs" dxfId="211" priority="207" operator="lessThan">
      <formula>0</formula>
    </cfRule>
  </conditionalFormatting>
  <conditionalFormatting sqref="M16">
    <cfRule type="cellIs" dxfId="210" priority="206" operator="lessThan">
      <formula>0</formula>
    </cfRule>
  </conditionalFormatting>
  <conditionalFormatting sqref="G4:H5">
    <cfRule type="cellIs" dxfId="209" priority="223" operator="lessThan">
      <formula>0</formula>
    </cfRule>
  </conditionalFormatting>
  <conditionalFormatting sqref="M23">
    <cfRule type="cellIs" dxfId="208" priority="199" operator="lessThan">
      <formula>0</formula>
    </cfRule>
  </conditionalFormatting>
  <conditionalFormatting sqref="O23">
    <cfRule type="cellIs" dxfId="207" priority="198" operator="lessThan">
      <formula>0</formula>
    </cfRule>
  </conditionalFormatting>
  <conditionalFormatting sqref="I11">
    <cfRule type="cellIs" dxfId="206" priority="221" operator="lessThan">
      <formula>0</formula>
    </cfRule>
  </conditionalFormatting>
  <conditionalFormatting sqref="Q21">
    <cfRule type="cellIs" dxfId="205" priority="218" operator="lessThan">
      <formula>0</formula>
    </cfRule>
  </conditionalFormatting>
  <conditionalFormatting sqref="I25">
    <cfRule type="cellIs" dxfId="204" priority="214" operator="lessThan">
      <formula>0</formula>
    </cfRule>
  </conditionalFormatting>
  <conditionalFormatting sqref="K25">
    <cfRule type="cellIs" dxfId="203" priority="213" operator="lessThan">
      <formula>0</formula>
    </cfRule>
  </conditionalFormatting>
  <conditionalFormatting sqref="I22">
    <cfRule type="cellIs" dxfId="202" priority="205" operator="lessThan">
      <formula>0</formula>
    </cfRule>
  </conditionalFormatting>
  <conditionalFormatting sqref="K22">
    <cfRule type="cellIs" dxfId="201" priority="204" operator="lessThan">
      <formula>0</formula>
    </cfRule>
  </conditionalFormatting>
  <conditionalFormatting sqref="M22">
    <cfRule type="cellIs" dxfId="200" priority="203" operator="lessThan">
      <formula>0</formula>
    </cfRule>
  </conditionalFormatting>
  <conditionalFormatting sqref="O22">
    <cfRule type="cellIs" dxfId="199" priority="202" operator="lessThan">
      <formula>0</formula>
    </cfRule>
  </conditionalFormatting>
  <conditionalFormatting sqref="I23">
    <cfRule type="cellIs" dxfId="198" priority="201" operator="lessThan">
      <formula>0</formula>
    </cfRule>
  </conditionalFormatting>
  <conditionalFormatting sqref="K23">
    <cfRule type="cellIs" dxfId="197" priority="200" operator="lessThan">
      <formula>0</formula>
    </cfRule>
  </conditionalFormatting>
  <conditionalFormatting sqref="V4:V31">
    <cfRule type="cellIs" dxfId="196" priority="197" operator="lessThan">
      <formula>0</formula>
    </cfRule>
  </conditionalFormatting>
  <conditionalFormatting sqref="V4:V31">
    <cfRule type="cellIs" dxfId="195" priority="196" operator="lessThan">
      <formula>0</formula>
    </cfRule>
  </conditionalFormatting>
  <conditionalFormatting sqref="AW4 AW29:AW33 AW6:AW27">
    <cfRule type="cellIs" dxfId="194" priority="195" operator="lessThan">
      <formula>0</formula>
    </cfRule>
  </conditionalFormatting>
  <conditionalFormatting sqref="S32 U33 D32:D33 B32:B33">
    <cfRule type="cellIs" dxfId="193" priority="194" operator="lessThan">
      <formula>0</formula>
    </cfRule>
  </conditionalFormatting>
  <conditionalFormatting sqref="G32:H32">
    <cfRule type="cellIs" dxfId="192" priority="193" operator="lessThan">
      <formula>0</formula>
    </cfRule>
  </conditionalFormatting>
  <conditionalFormatting sqref="Q32">
    <cfRule type="cellIs" dxfId="191" priority="192" operator="lessThan">
      <formula>0</formula>
    </cfRule>
  </conditionalFormatting>
  <conditionalFormatting sqref="G33:H33">
    <cfRule type="cellIs" dxfId="190" priority="191" operator="lessThan">
      <formula>0</formula>
    </cfRule>
  </conditionalFormatting>
  <conditionalFormatting sqref="S33">
    <cfRule type="cellIs" dxfId="189" priority="190" operator="lessThan">
      <formula>0</formula>
    </cfRule>
  </conditionalFormatting>
  <conditionalFormatting sqref="L32:L33">
    <cfRule type="cellIs" dxfId="188" priority="189" operator="lessThan">
      <formula>0</formula>
    </cfRule>
  </conditionalFormatting>
  <conditionalFormatting sqref="N32:N33">
    <cfRule type="cellIs" dxfId="187" priority="188" operator="lessThan">
      <formula>0</formula>
    </cfRule>
  </conditionalFormatting>
  <conditionalFormatting sqref="Q33">
    <cfRule type="cellIs" dxfId="186" priority="187" operator="lessThan">
      <formula>0</formula>
    </cfRule>
  </conditionalFormatting>
  <conditionalFormatting sqref="V32:V33">
    <cfRule type="cellIs" dxfId="185" priority="174" operator="lessThan">
      <formula>0</formula>
    </cfRule>
  </conditionalFormatting>
  <conditionalFormatting sqref="I32">
    <cfRule type="cellIs" dxfId="184" priority="186" operator="lessThan">
      <formula>0</formula>
    </cfRule>
  </conditionalFormatting>
  <conditionalFormatting sqref="K32">
    <cfRule type="cellIs" dxfId="183" priority="185" operator="lessThan">
      <formula>0</formula>
    </cfRule>
  </conditionalFormatting>
  <conditionalFormatting sqref="M32">
    <cfRule type="cellIs" dxfId="182" priority="184" operator="lessThan">
      <formula>0</formula>
    </cfRule>
  </conditionalFormatting>
  <conditionalFormatting sqref="O32">
    <cfRule type="cellIs" dxfId="181" priority="183" operator="lessThan">
      <formula>0</formula>
    </cfRule>
  </conditionalFormatting>
  <conditionalFormatting sqref="I33">
    <cfRule type="cellIs" dxfId="180" priority="182" operator="lessThan">
      <formula>0</formula>
    </cfRule>
  </conditionalFormatting>
  <conditionalFormatting sqref="K33">
    <cfRule type="cellIs" dxfId="179" priority="181" operator="lessThan">
      <formula>0</formula>
    </cfRule>
  </conditionalFormatting>
  <conditionalFormatting sqref="M33">
    <cfRule type="cellIs" dxfId="178" priority="180" operator="lessThan">
      <formula>0</formula>
    </cfRule>
  </conditionalFormatting>
  <conditionalFormatting sqref="O33">
    <cfRule type="cellIs" dxfId="177" priority="179" operator="lessThan">
      <formula>0</formula>
    </cfRule>
  </conditionalFormatting>
  <conditionalFormatting sqref="C32:C33 E32:E33">
    <cfRule type="cellIs" dxfId="176" priority="178" operator="lessThan">
      <formula>0</formula>
    </cfRule>
  </conditionalFormatting>
  <conditionalFormatting sqref="F32:F33">
    <cfRule type="cellIs" dxfId="175" priority="177" operator="lessThan">
      <formula>0</formula>
    </cfRule>
  </conditionalFormatting>
  <conditionalFormatting sqref="J32:J33">
    <cfRule type="cellIs" dxfId="174" priority="176" operator="lessThan">
      <formula>0</formula>
    </cfRule>
  </conditionalFormatting>
  <conditionalFormatting sqref="P32:P33">
    <cfRule type="cellIs" dxfId="173" priority="175" operator="lessThan">
      <formula>0</formula>
    </cfRule>
  </conditionalFormatting>
  <conditionalFormatting sqref="T32:T33">
    <cfRule type="cellIs" dxfId="172" priority="173" operator="lessThan">
      <formula>0</formula>
    </cfRule>
  </conditionalFormatting>
  <conditionalFormatting sqref="AI32:AK33 AE32:AG33 AC32:AC33">
    <cfRule type="cellIs" dxfId="171" priority="172" operator="lessThan">
      <formula>0</formula>
    </cfRule>
  </conditionalFormatting>
  <conditionalFormatting sqref="AO32:AO33 AM32:AM33 AS32:AS33">
    <cfRule type="cellIs" dxfId="170" priority="171" operator="lessThan">
      <formula>0</formula>
    </cfRule>
  </conditionalFormatting>
  <conditionalFormatting sqref="CB32:CB33 BE32:BE33 BU32:BU33 BS32:BS33 CD32:CD33 BK32:BK33">
    <cfRule type="cellIs" dxfId="169" priority="170" operator="lessThan">
      <formula>0</formula>
    </cfRule>
  </conditionalFormatting>
  <conditionalFormatting sqref="BO32:BO33">
    <cfRule type="cellIs" dxfId="168" priority="169" operator="lessThan">
      <formula>0</formula>
    </cfRule>
  </conditionalFormatting>
  <conditionalFormatting sqref="DE32:DE33 DN32:DN33 DB32:DB33 CS32:CS33 DK32:DK33 DQ32:DQ33 DT32:DT33 CO32:CP33 CG32:CG33 CK32:CK33 CI32:CI33 CV32:CV33 CY32:CY33 DH32:DH33">
    <cfRule type="cellIs" dxfId="167" priority="168" operator="lessThan">
      <formula>0</formula>
    </cfRule>
  </conditionalFormatting>
  <conditionalFormatting sqref="DJ32:DJ33">
    <cfRule type="cellIs" dxfId="166" priority="167" operator="lessThan">
      <formula>0</formula>
    </cfRule>
  </conditionalFormatting>
  <conditionalFormatting sqref="DM33">
    <cfRule type="cellIs" dxfId="165" priority="166" operator="lessThan">
      <formula>0</formula>
    </cfRule>
  </conditionalFormatting>
  <conditionalFormatting sqref="DP33">
    <cfRule type="cellIs" dxfId="164" priority="165" operator="lessThan">
      <formula>0</formula>
    </cfRule>
  </conditionalFormatting>
  <conditionalFormatting sqref="DS32:DS33">
    <cfRule type="cellIs" dxfId="163" priority="164" operator="lessThan">
      <formula>0</formula>
    </cfRule>
  </conditionalFormatting>
  <conditionalFormatting sqref="EA32:EA33">
    <cfRule type="cellIs" dxfId="162" priority="163" operator="lessThan">
      <formula>0</formula>
    </cfRule>
  </conditionalFormatting>
  <conditionalFormatting sqref="EH32:EJ33">
    <cfRule type="cellIs" dxfId="161" priority="162" operator="lessThan">
      <formula>0</formula>
    </cfRule>
  </conditionalFormatting>
  <conditionalFormatting sqref="DZ32">
    <cfRule type="cellIs" dxfId="160" priority="161" operator="lessThan">
      <formula>0</formula>
    </cfRule>
  </conditionalFormatting>
  <conditionalFormatting sqref="EB32">
    <cfRule type="cellIs" dxfId="159" priority="160" operator="lessThan">
      <formula>0</formula>
    </cfRule>
  </conditionalFormatting>
  <conditionalFormatting sqref="ED32">
    <cfRule type="cellIs" dxfId="158" priority="159" operator="lessThan">
      <formula>0</formula>
    </cfRule>
  </conditionalFormatting>
  <conditionalFormatting sqref="ED32">
    <cfRule type="cellIs" dxfId="157" priority="158" operator="lessThan">
      <formula>0</formula>
    </cfRule>
  </conditionalFormatting>
  <conditionalFormatting sqref="EF32">
    <cfRule type="cellIs" dxfId="156" priority="156" operator="lessThan">
      <formula>0</formula>
    </cfRule>
  </conditionalFormatting>
  <conditionalFormatting sqref="EF32">
    <cfRule type="cellIs" dxfId="155" priority="157" operator="lessThan">
      <formula>0</formula>
    </cfRule>
  </conditionalFormatting>
  <conditionalFormatting sqref="DZ33">
    <cfRule type="cellIs" dxfId="154" priority="155" operator="lessThan">
      <formula>0</formula>
    </cfRule>
  </conditionalFormatting>
  <conditionalFormatting sqref="AD32:AD33 AL32:AL33 AR32:AR33 AX32:AX33 AZ32:AZ33 BD32:BD33 BF32:BF33 BH32:BH33 BJ32:BJ33 BL32:BN33">
    <cfRule type="cellIs" dxfId="153" priority="154" operator="lessThan">
      <formula>0</formula>
    </cfRule>
  </conditionalFormatting>
  <conditionalFormatting sqref="AN32:AN33">
    <cfRule type="cellIs" dxfId="152" priority="153" operator="lessThan">
      <formula>0</formula>
    </cfRule>
  </conditionalFormatting>
  <conditionalFormatting sqref="AP32:AP33 BP32:BP33 CH32:CH33 CN32:CN33 CU32:CU33 CW32:CX33 CZ32:DA33">
    <cfRule type="cellIs" dxfId="151" priority="152" operator="lessThan">
      <formula>0</formula>
    </cfRule>
  </conditionalFormatting>
  <conditionalFormatting sqref="BR32:BR33">
    <cfRule type="cellIs" dxfId="150" priority="151" operator="lessThan">
      <formula>0</formula>
    </cfRule>
  </conditionalFormatting>
  <conditionalFormatting sqref="BT32:BT33">
    <cfRule type="cellIs" dxfId="149" priority="150" operator="lessThan">
      <formula>0</formula>
    </cfRule>
  </conditionalFormatting>
  <conditionalFormatting sqref="BW32:BY33">
    <cfRule type="cellIs" dxfId="148" priority="149" operator="lessThan">
      <formula>0</formula>
    </cfRule>
  </conditionalFormatting>
  <conditionalFormatting sqref="BV32:BV33">
    <cfRule type="cellIs" dxfId="147" priority="148" operator="lessThan">
      <formula>0</formula>
    </cfRule>
  </conditionalFormatting>
  <conditionalFormatting sqref="CA32:CA33">
    <cfRule type="cellIs" dxfId="146" priority="147" operator="lessThan">
      <formula>0</formula>
    </cfRule>
  </conditionalFormatting>
  <conditionalFormatting sqref="CE32:CE33">
    <cfRule type="cellIs" dxfId="145" priority="146" operator="lessThan">
      <formula>0</formula>
    </cfRule>
  </conditionalFormatting>
  <conditionalFormatting sqref="CF32:CF33">
    <cfRule type="cellIs" dxfId="144" priority="145" operator="lessThan">
      <formula>0</formula>
    </cfRule>
  </conditionalFormatting>
  <conditionalFormatting sqref="CJ32:CJ33">
    <cfRule type="cellIs" dxfId="143" priority="144" operator="lessThan">
      <formula>0</formula>
    </cfRule>
  </conditionalFormatting>
  <conditionalFormatting sqref="CL32:CL33">
    <cfRule type="cellIs" dxfId="142" priority="143" operator="lessThan">
      <formula>0</formula>
    </cfRule>
  </conditionalFormatting>
  <conditionalFormatting sqref="K5">
    <cfRule type="cellIs" dxfId="141" priority="142" operator="lessThan">
      <formula>0</formula>
    </cfRule>
  </conditionalFormatting>
  <conditionalFormatting sqref="O5">
    <cfRule type="cellIs" dxfId="140" priority="141" operator="lessThan">
      <formula>0</formula>
    </cfRule>
  </conditionalFormatting>
  <conditionalFormatting sqref="I12">
    <cfRule type="cellIs" dxfId="139" priority="140" operator="lessThan">
      <formula>0</formula>
    </cfRule>
  </conditionalFormatting>
  <conditionalFormatting sqref="K12">
    <cfRule type="cellIs" dxfId="138" priority="139" operator="lessThan">
      <formula>0</formula>
    </cfRule>
  </conditionalFormatting>
  <conditionalFormatting sqref="M12">
    <cfRule type="cellIs" dxfId="137" priority="138" operator="lessThan">
      <formula>0</formula>
    </cfRule>
  </conditionalFormatting>
  <conditionalFormatting sqref="O12">
    <cfRule type="cellIs" dxfId="136" priority="137" operator="lessThan">
      <formula>0</formula>
    </cfRule>
  </conditionalFormatting>
  <conditionalFormatting sqref="I13">
    <cfRule type="cellIs" dxfId="135" priority="136" operator="lessThan">
      <formula>0</formula>
    </cfRule>
  </conditionalFormatting>
  <conditionalFormatting sqref="K13">
    <cfRule type="cellIs" dxfId="134" priority="135" operator="lessThan">
      <formula>0</formula>
    </cfRule>
  </conditionalFormatting>
  <conditionalFormatting sqref="M13">
    <cfRule type="cellIs" dxfId="133" priority="134" operator="lessThan">
      <formula>0</formula>
    </cfRule>
  </conditionalFormatting>
  <conditionalFormatting sqref="O13">
    <cfRule type="cellIs" dxfId="132" priority="133" operator="lessThan">
      <formula>0</formula>
    </cfRule>
  </conditionalFormatting>
  <conditionalFormatting sqref="M17">
    <cfRule type="cellIs" dxfId="131" priority="132" operator="lessThan">
      <formula>0</formula>
    </cfRule>
  </conditionalFormatting>
  <conditionalFormatting sqref="K18">
    <cfRule type="cellIs" dxfId="130" priority="131" operator="lessThan">
      <formula>0</formula>
    </cfRule>
  </conditionalFormatting>
  <conditionalFormatting sqref="M26:M29">
    <cfRule type="cellIs" dxfId="129" priority="130" operator="lessThan">
      <formula>0</formula>
    </cfRule>
  </conditionalFormatting>
  <conditionalFormatting sqref="I30">
    <cfRule type="cellIs" dxfId="128" priority="129" operator="lessThan">
      <formula>0</formula>
    </cfRule>
  </conditionalFormatting>
  <conditionalFormatting sqref="M30">
    <cfRule type="cellIs" dxfId="127" priority="128" operator="lessThan">
      <formula>0</formula>
    </cfRule>
  </conditionalFormatting>
  <conditionalFormatting sqref="O26:O30">
    <cfRule type="cellIs" dxfId="126" priority="127" operator="lessThan">
      <formula>0</formula>
    </cfRule>
  </conditionalFormatting>
  <conditionalFormatting sqref="K4">
    <cfRule type="cellIs" dxfId="125" priority="126" operator="lessThan">
      <formula>0</formula>
    </cfRule>
  </conditionalFormatting>
  <conditionalFormatting sqref="M4">
    <cfRule type="cellIs" dxfId="124" priority="125" operator="lessThan">
      <formula>0</formula>
    </cfRule>
  </conditionalFormatting>
  <conditionalFormatting sqref="O4">
    <cfRule type="cellIs" dxfId="123" priority="124" operator="lessThan">
      <formula>0</formula>
    </cfRule>
  </conditionalFormatting>
  <conditionalFormatting sqref="I21">
    <cfRule type="cellIs" dxfId="122" priority="123" operator="lessThan">
      <formula>0</formula>
    </cfRule>
  </conditionalFormatting>
  <conditionalFormatting sqref="K21">
    <cfRule type="cellIs" dxfId="121" priority="122" operator="lessThan">
      <formula>0</formula>
    </cfRule>
  </conditionalFormatting>
  <conditionalFormatting sqref="M21">
    <cfRule type="cellIs" dxfId="120" priority="121" operator="lessThan">
      <formula>0</formula>
    </cfRule>
  </conditionalFormatting>
  <conditionalFormatting sqref="O21">
    <cfRule type="cellIs" dxfId="119" priority="120" operator="lessThan">
      <formula>0</formula>
    </cfRule>
  </conditionalFormatting>
  <conditionalFormatting sqref="DZ21">
    <cfRule type="cellIs" dxfId="118" priority="119" operator="lessThan">
      <formula>0</formula>
    </cfRule>
  </conditionalFormatting>
  <conditionalFormatting sqref="EB21">
    <cfRule type="cellIs" dxfId="117" priority="118" operator="lessThan">
      <formula>0</formula>
    </cfRule>
  </conditionalFormatting>
  <conditionalFormatting sqref="ED21">
    <cfRule type="cellIs" dxfId="116" priority="117" operator="lessThan">
      <formula>0</formula>
    </cfRule>
  </conditionalFormatting>
  <conditionalFormatting sqref="ED21">
    <cfRule type="cellIs" dxfId="115" priority="116" operator="lessThan">
      <formula>0</formula>
    </cfRule>
  </conditionalFormatting>
  <conditionalFormatting sqref="EF21">
    <cfRule type="cellIs" dxfId="114" priority="115" operator="lessThan">
      <formula>0</formula>
    </cfRule>
  </conditionalFormatting>
  <conditionalFormatting sqref="EF21">
    <cfRule type="cellIs" dxfId="113" priority="114" operator="lessThan">
      <formula>0</formula>
    </cfRule>
  </conditionalFormatting>
  <conditionalFormatting sqref="EF21">
    <cfRule type="cellIs" dxfId="112" priority="113" operator="lessThan">
      <formula>0</formula>
    </cfRule>
  </conditionalFormatting>
  <conditionalFormatting sqref="I24">
    <cfRule type="cellIs" dxfId="111" priority="112" operator="lessThan">
      <formula>0</formula>
    </cfRule>
  </conditionalFormatting>
  <conditionalFormatting sqref="DW20:DW27 DW29:DW33">
    <cfRule type="cellIs" dxfId="110" priority="111" operator="lessThan">
      <formula>0</formula>
    </cfRule>
  </conditionalFormatting>
  <conditionalFormatting sqref="BQ30:BQ33">
    <cfRule type="cellIs" dxfId="109" priority="110" operator="lessThan">
      <formula>0</formula>
    </cfRule>
  </conditionalFormatting>
  <conditionalFormatting sqref="BC4:BC27 BZ4:BZ27 BC29:BC33 AY29:AY33 BZ29:BZ33 AY4:AY27">
    <cfRule type="cellIs" dxfId="108" priority="109" operator="lessThan">
      <formula>0</formula>
    </cfRule>
  </conditionalFormatting>
  <conditionalFormatting sqref="BA4:BA27 BA29:BA33">
    <cfRule type="cellIs" dxfId="107" priority="108" operator="lessThan">
      <formula>0</formula>
    </cfRule>
  </conditionalFormatting>
  <conditionalFormatting sqref="ER20">
    <cfRule type="cellIs" dxfId="106" priority="107" operator="lessThan">
      <formula>0</formula>
    </cfRule>
  </conditionalFormatting>
  <conditionalFormatting sqref="D4">
    <cfRule type="cellIs" dxfId="105" priority="106" operator="lessThan">
      <formula>0</formula>
    </cfRule>
  </conditionalFormatting>
  <conditionalFormatting sqref="EJ4">
    <cfRule type="cellIs" dxfId="104" priority="105" operator="lessThan">
      <formula>0</formula>
    </cfRule>
  </conditionalFormatting>
  <conditionalFormatting sqref="BB29:BB33 BB4:BB27">
    <cfRule type="cellIs" dxfId="103" priority="104" operator="lessThan">
      <formula>0</formula>
    </cfRule>
  </conditionalFormatting>
  <conditionalFormatting sqref="R4:R33">
    <cfRule type="cellIs" dxfId="102" priority="103" operator="lessThan">
      <formula>0</formula>
    </cfRule>
  </conditionalFormatting>
  <conditionalFormatting sqref="AG19">
    <cfRule type="cellIs" dxfId="101" priority="102" operator="lessThan">
      <formula>0</formula>
    </cfRule>
  </conditionalFormatting>
  <conditionalFormatting sqref="AO28 AX28 AZ28 AK28:AM28 AQ28:AV28 BD28:BE28">
    <cfRule type="cellIs" dxfId="100" priority="101" operator="lessThan">
      <formula>0</formula>
    </cfRule>
  </conditionalFormatting>
  <conditionalFormatting sqref="AN28">
    <cfRule type="cellIs" dxfId="99" priority="100" operator="lessThan">
      <formula>0</formula>
    </cfRule>
  </conditionalFormatting>
  <conditionalFormatting sqref="AP28">
    <cfRule type="cellIs" dxfId="98" priority="99" operator="lessThan">
      <formula>0</formula>
    </cfRule>
  </conditionalFormatting>
  <conditionalFormatting sqref="AW28">
    <cfRule type="cellIs" dxfId="97" priority="98" operator="lessThan">
      <formula>0</formula>
    </cfRule>
  </conditionalFormatting>
  <conditionalFormatting sqref="AY28 BC28">
    <cfRule type="cellIs" dxfId="96" priority="97" operator="lessThan">
      <formula>0</formula>
    </cfRule>
  </conditionalFormatting>
  <conditionalFormatting sqref="BA28">
    <cfRule type="cellIs" dxfId="95" priority="96" operator="lessThan">
      <formula>0</formula>
    </cfRule>
  </conditionalFormatting>
  <conditionalFormatting sqref="BB28">
    <cfRule type="cellIs" dxfId="94" priority="95" operator="lessThan">
      <formula>0</formula>
    </cfRule>
  </conditionalFormatting>
  <conditionalFormatting sqref="DE28 DN28 DB28 CS28 DK28 DQ28 DT28 CD28 CK28 CB28 BS28 BU28 CV28 CY28 DH28 CI28 CG28 BH28 CO28:CP28 BQ28 BJ28:BO28">
    <cfRule type="cellIs" dxfId="93" priority="94" operator="lessThan">
      <formula>0</formula>
    </cfRule>
  </conditionalFormatting>
  <conditionalFormatting sqref="DL28 DF28:DG28 CQ28:CR28 CW28:CX28 CH28 DR28 DI28 DU28 DC28 DO28 CM28:CN28 BP28 DA28 CT28:CU28">
    <cfRule type="cellIs" dxfId="92" priority="93" operator="lessThan">
      <formula>0</formula>
    </cfRule>
  </conditionalFormatting>
  <conditionalFormatting sqref="DD28">
    <cfRule type="cellIs" dxfId="91" priority="92" operator="lessThan">
      <formula>0</formula>
    </cfRule>
  </conditionalFormatting>
  <conditionalFormatting sqref="DJ28">
    <cfRule type="cellIs" dxfId="90" priority="91" operator="lessThan">
      <formula>0</formula>
    </cfRule>
  </conditionalFormatting>
  <conditionalFormatting sqref="DM28">
    <cfRule type="cellIs" dxfId="89" priority="90" operator="lessThan">
      <formula>0</formula>
    </cfRule>
  </conditionalFormatting>
  <conditionalFormatting sqref="DP28">
    <cfRule type="cellIs" dxfId="88" priority="89" operator="lessThan">
      <formula>0</formula>
    </cfRule>
  </conditionalFormatting>
  <conditionalFormatting sqref="DS28">
    <cfRule type="cellIs" dxfId="87" priority="88" operator="lessThan">
      <formula>0</formula>
    </cfRule>
  </conditionalFormatting>
  <conditionalFormatting sqref="DV28">
    <cfRule type="cellIs" dxfId="86" priority="87" operator="lessThan">
      <formula>0</formula>
    </cfRule>
  </conditionalFormatting>
  <conditionalFormatting sqref="BR28">
    <cfRule type="cellIs" dxfId="85" priority="86" operator="lessThan">
      <formula>0</formula>
    </cfRule>
  </conditionalFormatting>
  <conditionalFormatting sqref="BT28:BT29">
    <cfRule type="cellIs" dxfId="84" priority="85" operator="lessThan">
      <formula>0</formula>
    </cfRule>
  </conditionalFormatting>
  <conditionalFormatting sqref="BW28:BY28">
    <cfRule type="cellIs" dxfId="83" priority="84" operator="lessThan">
      <formula>0</formula>
    </cfRule>
  </conditionalFormatting>
  <conditionalFormatting sqref="BV28">
    <cfRule type="cellIs" dxfId="82" priority="83" operator="lessThan">
      <formula>0</formula>
    </cfRule>
  </conditionalFormatting>
  <conditionalFormatting sqref="CA28">
    <cfRule type="cellIs" dxfId="81" priority="82" operator="lessThan">
      <formula>0</formula>
    </cfRule>
  </conditionalFormatting>
  <conditionalFormatting sqref="CE28">
    <cfRule type="cellIs" dxfId="80" priority="81" operator="lessThan">
      <formula>0</formula>
    </cfRule>
  </conditionalFormatting>
  <conditionalFormatting sqref="CF28">
    <cfRule type="cellIs" dxfId="79" priority="80" operator="lessThan">
      <formula>0</formula>
    </cfRule>
  </conditionalFormatting>
  <conditionalFormatting sqref="CL28">
    <cfRule type="cellIs" dxfId="78" priority="79" operator="lessThan">
      <formula>0</formula>
    </cfRule>
  </conditionalFormatting>
  <conditionalFormatting sqref="DW28">
    <cfRule type="cellIs" dxfId="77" priority="78" operator="lessThan">
      <formula>0</formula>
    </cfRule>
  </conditionalFormatting>
  <conditionalFormatting sqref="BZ28">
    <cfRule type="cellIs" dxfId="76" priority="77" operator="lessThan">
      <formula>0</formula>
    </cfRule>
  </conditionalFormatting>
  <conditionalFormatting sqref="BG29:BG33 BG17:BG27">
    <cfRule type="cellIs" dxfId="75" priority="76" operator="lessThan">
      <formula>0</formula>
    </cfRule>
  </conditionalFormatting>
  <conditionalFormatting sqref="BG5:BG16">
    <cfRule type="cellIs" dxfId="74" priority="75" operator="lessThan">
      <formula>0</formula>
    </cfRule>
  </conditionalFormatting>
  <conditionalFormatting sqref="BG4">
    <cfRule type="cellIs" dxfId="73" priority="74" operator="lessThan">
      <formula>0</formula>
    </cfRule>
  </conditionalFormatting>
  <conditionalFormatting sqref="BG28">
    <cfRule type="cellIs" dxfId="72" priority="73" operator="lessThan">
      <formula>0</formula>
    </cfRule>
  </conditionalFormatting>
  <conditionalFormatting sqref="BI4:BI33">
    <cfRule type="cellIs" dxfId="71" priority="72" operator="lessThan">
      <formula>0</formula>
    </cfRule>
  </conditionalFormatting>
  <conditionalFormatting sqref="EK3:EP3 Z3 X3 AQ3 AT3:AV3 CQ3:CR3">
    <cfRule type="cellIs" dxfId="70" priority="71" operator="lessThan">
      <formula>0</formula>
    </cfRule>
  </conditionalFormatting>
  <conditionalFormatting sqref="AA3">
    <cfRule type="cellIs" dxfId="69" priority="70" operator="lessThan">
      <formula>0</formula>
    </cfRule>
  </conditionalFormatting>
  <conditionalFormatting sqref="W3">
    <cfRule type="cellIs" dxfId="68" priority="69" operator="lessThan">
      <formula>0</formula>
    </cfRule>
  </conditionalFormatting>
  <conditionalFormatting sqref="AH3 CM3 CT3 DC3 DF3:DG3 DI3 DL3 DO3 DR3 DU3 DX3">
    <cfRule type="cellIs" dxfId="67" priority="68" operator="lessThan">
      <formula>0</formula>
    </cfRule>
  </conditionalFormatting>
  <conditionalFormatting sqref="DD3">
    <cfRule type="cellIs" dxfId="66" priority="67" operator="lessThan">
      <formula>0</formula>
    </cfRule>
  </conditionalFormatting>
  <conditionalFormatting sqref="DY3">
    <cfRule type="cellIs" dxfId="65" priority="66" operator="lessThan">
      <formula>0</formula>
    </cfRule>
  </conditionalFormatting>
  <conditionalFormatting sqref="DV3">
    <cfRule type="cellIs" dxfId="64" priority="65" operator="lessThan">
      <formula>0</formula>
    </cfRule>
  </conditionalFormatting>
  <conditionalFormatting sqref="A3:A33">
    <cfRule type="cellIs" dxfId="63" priority="64" operator="lessThan">
      <formula>0</formula>
    </cfRule>
  </conditionalFormatting>
  <conditionalFormatting sqref="Y3">
    <cfRule type="cellIs" dxfId="62" priority="63" operator="lessThan">
      <formula>0</formula>
    </cfRule>
  </conditionalFormatting>
  <conditionalFormatting sqref="AW3 AW5">
    <cfRule type="cellIs" dxfId="61" priority="62" operator="lessThan">
      <formula>0</formula>
    </cfRule>
  </conditionalFormatting>
  <conditionalFormatting sqref="U3 D3 B3">
    <cfRule type="cellIs" dxfId="60" priority="61" operator="lessThan">
      <formula>0</formula>
    </cfRule>
  </conditionalFormatting>
  <conditionalFormatting sqref="G3:H3">
    <cfRule type="cellIs" dxfId="59" priority="60" operator="lessThan">
      <formula>0</formula>
    </cfRule>
  </conditionalFormatting>
  <conditionalFormatting sqref="S3">
    <cfRule type="cellIs" dxfId="58" priority="59" operator="lessThan">
      <formula>0</formula>
    </cfRule>
  </conditionalFormatting>
  <conditionalFormatting sqref="L3">
    <cfRule type="cellIs" dxfId="57" priority="58" operator="lessThan">
      <formula>0</formula>
    </cfRule>
  </conditionalFormatting>
  <conditionalFormatting sqref="N3">
    <cfRule type="cellIs" dxfId="56" priority="57" operator="lessThan">
      <formula>0</formula>
    </cfRule>
  </conditionalFormatting>
  <conditionalFormatting sqref="Q3">
    <cfRule type="cellIs" dxfId="55" priority="56" operator="lessThan">
      <formula>0</formula>
    </cfRule>
  </conditionalFormatting>
  <conditionalFormatting sqref="V3">
    <cfRule type="cellIs" dxfId="54" priority="47" operator="lessThan">
      <formula>0</formula>
    </cfRule>
  </conditionalFormatting>
  <conditionalFormatting sqref="I3">
    <cfRule type="cellIs" dxfId="53" priority="55" operator="lessThan">
      <formula>0</formula>
    </cfRule>
  </conditionalFormatting>
  <conditionalFormatting sqref="K3">
    <cfRule type="cellIs" dxfId="52" priority="54" operator="lessThan">
      <formula>0</formula>
    </cfRule>
  </conditionalFormatting>
  <conditionalFormatting sqref="M3">
    <cfRule type="cellIs" dxfId="51" priority="53" operator="lessThan">
      <formula>0</formula>
    </cfRule>
  </conditionalFormatting>
  <conditionalFormatting sqref="O3">
    <cfRule type="cellIs" dxfId="50" priority="52" operator="lessThan">
      <formula>0</formula>
    </cfRule>
  </conditionalFormatting>
  <conditionalFormatting sqref="C3 E3">
    <cfRule type="cellIs" dxfId="49" priority="51" operator="lessThan">
      <formula>0</formula>
    </cfRule>
  </conditionalFormatting>
  <conditionalFormatting sqref="F3">
    <cfRule type="cellIs" dxfId="48" priority="50" operator="lessThan">
      <formula>0</formula>
    </cfRule>
  </conditionalFormatting>
  <conditionalFormatting sqref="J3">
    <cfRule type="cellIs" dxfId="47" priority="49" operator="lessThan">
      <formula>0</formula>
    </cfRule>
  </conditionalFormatting>
  <conditionalFormatting sqref="P3">
    <cfRule type="cellIs" dxfId="46" priority="48" operator="lessThan">
      <formula>0</formula>
    </cfRule>
  </conditionalFormatting>
  <conditionalFormatting sqref="T3">
    <cfRule type="cellIs" dxfId="45" priority="46" operator="lessThan">
      <formula>0</formula>
    </cfRule>
  </conditionalFormatting>
  <conditionalFormatting sqref="AI3:AK3 AB3:AC3 AE3:AG3 AF4:AF5 AG5">
    <cfRule type="cellIs" dxfId="44" priority="45" operator="lessThan">
      <formula>0</formula>
    </cfRule>
  </conditionalFormatting>
  <conditionalFormatting sqref="AO3 AM3 AS3 AM5">
    <cfRule type="cellIs" dxfId="43" priority="44" operator="lessThan">
      <formula>0</formula>
    </cfRule>
  </conditionalFormatting>
  <conditionalFormatting sqref="CB3 BE3 BU3 BS3 CD3 BK3 BS5 BS7">
    <cfRule type="cellIs" dxfId="42" priority="43" operator="lessThan">
      <formula>0</formula>
    </cfRule>
  </conditionalFormatting>
  <conditionalFormatting sqref="BO3">
    <cfRule type="cellIs" dxfId="41" priority="42" operator="lessThan">
      <formula>0</formula>
    </cfRule>
  </conditionalFormatting>
  <conditionalFormatting sqref="DE3 DN3 DB3 CS3 DK3 DQ3 DT3 CO3:CP3 CG3 CK3 CI3 CV3 DH3 CS5 CY3:CZ3 CY5">
    <cfRule type="cellIs" dxfId="40" priority="41" operator="lessThan">
      <formula>0</formula>
    </cfRule>
  </conditionalFormatting>
  <conditionalFormatting sqref="DJ3">
    <cfRule type="cellIs" dxfId="39" priority="40" operator="lessThan">
      <formula>0</formula>
    </cfRule>
  </conditionalFormatting>
  <conditionalFormatting sqref="DM3">
    <cfRule type="cellIs" dxfId="38" priority="39" operator="lessThan">
      <formula>0</formula>
    </cfRule>
  </conditionalFormatting>
  <conditionalFormatting sqref="DP3">
    <cfRule type="cellIs" dxfId="37" priority="38" operator="lessThan">
      <formula>0</formula>
    </cfRule>
  </conditionalFormatting>
  <conditionalFormatting sqref="DS3">
    <cfRule type="cellIs" dxfId="36" priority="37" operator="lessThan">
      <formula>0</formula>
    </cfRule>
  </conditionalFormatting>
  <conditionalFormatting sqref="EA3">
    <cfRule type="cellIs" dxfId="35" priority="36" operator="lessThan">
      <formula>0</formula>
    </cfRule>
  </conditionalFormatting>
  <conditionalFormatting sqref="EH3:EJ3">
    <cfRule type="cellIs" dxfId="34" priority="35" operator="lessThan">
      <formula>0</formula>
    </cfRule>
  </conditionalFormatting>
  <conditionalFormatting sqref="DZ3">
    <cfRule type="cellIs" dxfId="33" priority="34" operator="lessThan">
      <formula>0</formula>
    </cfRule>
  </conditionalFormatting>
  <conditionalFormatting sqref="EB3">
    <cfRule type="cellIs" dxfId="32" priority="33" operator="lessThan">
      <formula>0</formula>
    </cfRule>
  </conditionalFormatting>
  <conditionalFormatting sqref="ED3">
    <cfRule type="cellIs" dxfId="31" priority="32" operator="lessThan">
      <formula>0</formula>
    </cfRule>
  </conditionalFormatting>
  <conditionalFormatting sqref="ED3">
    <cfRule type="cellIs" dxfId="30" priority="31" operator="lessThan">
      <formula>0</formula>
    </cfRule>
  </conditionalFormatting>
  <conditionalFormatting sqref="EF3">
    <cfRule type="cellIs" dxfId="29" priority="29" operator="lessThan">
      <formula>0</formula>
    </cfRule>
  </conditionalFormatting>
  <conditionalFormatting sqref="EF3">
    <cfRule type="cellIs" dxfId="28" priority="30" operator="lessThan">
      <formula>0</formula>
    </cfRule>
  </conditionalFormatting>
  <conditionalFormatting sqref="EC3">
    <cfRule type="cellIs" dxfId="27" priority="28" operator="lessThan">
      <formula>0</formula>
    </cfRule>
  </conditionalFormatting>
  <conditionalFormatting sqref="EE3">
    <cfRule type="cellIs" dxfId="26" priority="27" operator="lessThan">
      <formula>0</formula>
    </cfRule>
  </conditionalFormatting>
  <conditionalFormatting sqref="EG3">
    <cfRule type="cellIs" dxfId="25" priority="26" operator="lessThan">
      <formula>0</formula>
    </cfRule>
  </conditionalFormatting>
  <conditionalFormatting sqref="AD3 AL3 AR3 AX3 AZ3 BD3 BF3 BH3 BJ3 BL3:BN3">
    <cfRule type="cellIs" dxfId="24" priority="25" operator="lessThan">
      <formula>0</formula>
    </cfRule>
  </conditionalFormatting>
  <conditionalFormatting sqref="AN3">
    <cfRule type="cellIs" dxfId="23" priority="24" operator="lessThan">
      <formula>0</formula>
    </cfRule>
  </conditionalFormatting>
  <conditionalFormatting sqref="AP3 BP3 CH3 CN3 CU3 CW3:CX3 DA3 CW4:CW5">
    <cfRule type="cellIs" dxfId="22" priority="23" operator="lessThan">
      <formula>0</formula>
    </cfRule>
  </conditionalFormatting>
  <conditionalFormatting sqref="BR3">
    <cfRule type="cellIs" dxfId="21" priority="22" operator="lessThan">
      <formula>0</formula>
    </cfRule>
  </conditionalFormatting>
  <conditionalFormatting sqref="BT3">
    <cfRule type="cellIs" dxfId="20" priority="21" operator="lessThan">
      <formula>0</formula>
    </cfRule>
  </conditionalFormatting>
  <conditionalFormatting sqref="BW3:BY3">
    <cfRule type="cellIs" dxfId="19" priority="20" operator="lessThan">
      <formula>0</formula>
    </cfRule>
  </conditionalFormatting>
  <conditionalFormatting sqref="BV3">
    <cfRule type="cellIs" dxfId="18" priority="19" operator="lessThan">
      <formula>0</formula>
    </cfRule>
  </conditionalFormatting>
  <conditionalFormatting sqref="CA3">
    <cfRule type="cellIs" dxfId="17" priority="18" operator="lessThan">
      <formula>0</formula>
    </cfRule>
  </conditionalFormatting>
  <conditionalFormatting sqref="CC3">
    <cfRule type="cellIs" dxfId="16" priority="17" operator="lessThan">
      <formula>0</formula>
    </cfRule>
  </conditionalFormatting>
  <conditionalFormatting sqref="CE3">
    <cfRule type="cellIs" dxfId="15" priority="16" operator="lessThan">
      <formula>0</formula>
    </cfRule>
  </conditionalFormatting>
  <conditionalFormatting sqref="CF3">
    <cfRule type="cellIs" dxfId="14" priority="15" operator="lessThan">
      <formula>0</formula>
    </cfRule>
  </conditionalFormatting>
  <conditionalFormatting sqref="CJ3">
    <cfRule type="cellIs" dxfId="13" priority="14" operator="lessThan">
      <formula>0</formula>
    </cfRule>
  </conditionalFormatting>
  <conditionalFormatting sqref="CL3">
    <cfRule type="cellIs" dxfId="12" priority="13" operator="lessThan">
      <formula>0</formula>
    </cfRule>
  </conditionalFormatting>
  <conditionalFormatting sqref="DW3">
    <cfRule type="cellIs" dxfId="11" priority="12" operator="lessThan">
      <formula>0</formula>
    </cfRule>
  </conditionalFormatting>
  <conditionalFormatting sqref="BQ3 BQ5 BQ7">
    <cfRule type="cellIs" dxfId="10" priority="11" operator="lessThan">
      <formula>0</formula>
    </cfRule>
  </conditionalFormatting>
  <conditionalFormatting sqref="BC3 AY3 BZ3">
    <cfRule type="cellIs" dxfId="9" priority="10" operator="lessThan">
      <formula>0</formula>
    </cfRule>
  </conditionalFormatting>
  <conditionalFormatting sqref="BA3">
    <cfRule type="cellIs" dxfId="8" priority="9" operator="lessThan">
      <formula>0</formula>
    </cfRule>
  </conditionalFormatting>
  <conditionalFormatting sqref="BB3">
    <cfRule type="cellIs" dxfId="7" priority="8" operator="lessThan">
      <formula>0</formula>
    </cfRule>
  </conditionalFormatting>
  <conditionalFormatting sqref="R3">
    <cfRule type="cellIs" dxfId="6" priority="7" operator="lessThan">
      <formula>0</formula>
    </cfRule>
  </conditionalFormatting>
  <conditionalFormatting sqref="BG3">
    <cfRule type="cellIs" dxfId="5" priority="6" operator="lessThan">
      <formula>0</formula>
    </cfRule>
  </conditionalFormatting>
  <conditionalFormatting sqref="BI3">
    <cfRule type="cellIs" dxfId="4" priority="5" operator="lessThan">
      <formula>0</formula>
    </cfRule>
  </conditionalFormatting>
  <conditionalFormatting sqref="I5">
    <cfRule type="cellIs" dxfId="3" priority="4" operator="lessThan">
      <formula>0</formula>
    </cfRule>
  </conditionalFormatting>
  <conditionalFormatting sqref="I4">
    <cfRule type="cellIs" dxfId="2" priority="3" operator="lessThan">
      <formula>0</formula>
    </cfRule>
  </conditionalFormatting>
  <conditionalFormatting sqref="M5">
    <cfRule type="cellIs" dxfId="1" priority="2" operator="lessThan">
      <formula>0</formula>
    </cfRule>
  </conditionalFormatting>
  <conditionalFormatting sqref="K19:K20">
    <cfRule type="cellIs" dxfId="0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22">
        <f>'[1]Sep 2019'!R3</f>
        <v>2054945</v>
      </c>
    </row>
    <row r="4" spans="14:14" ht="13.5" thickBot="1" x14ac:dyDescent="0.25">
      <c r="N4" s="22">
        <f>'[1]Sep 2019'!R4</f>
        <v>2055440</v>
      </c>
    </row>
    <row r="5" spans="14:14" ht="13.5" thickBot="1" x14ac:dyDescent="0.25">
      <c r="N5" s="22">
        <f>'[1]Sep 2019'!R5</f>
        <v>2056149</v>
      </c>
    </row>
    <row r="6" spans="14:14" ht="13.5" thickBot="1" x14ac:dyDescent="0.25">
      <c r="N6" s="22">
        <f>'[1]Sep 2019'!R6</f>
        <v>2056651</v>
      </c>
    </row>
    <row r="7" spans="14:14" ht="13.5" thickBot="1" x14ac:dyDescent="0.25">
      <c r="N7" s="22">
        <f>'[1]Sep 2019'!R7</f>
        <v>2057174</v>
      </c>
    </row>
    <row r="8" spans="14:14" ht="13.5" thickBot="1" x14ac:dyDescent="0.25">
      <c r="N8" s="22">
        <f>'[1]Sep 2019'!R8</f>
        <v>2057715</v>
      </c>
    </row>
    <row r="9" spans="14:14" ht="13.5" thickBot="1" x14ac:dyDescent="0.25">
      <c r="N9" s="22">
        <f>'[1]Sep 2019'!R9</f>
        <v>2058246</v>
      </c>
    </row>
    <row r="10" spans="14:14" ht="13.5" thickBot="1" x14ac:dyDescent="0.25">
      <c r="N10" s="22">
        <f>'[1]Sep 2019'!R10</f>
        <v>2058780</v>
      </c>
    </row>
    <row r="11" spans="14:14" ht="13.5" thickBot="1" x14ac:dyDescent="0.25">
      <c r="N11" s="22">
        <f>'[1]Sep 2019'!R11</f>
        <v>2059332</v>
      </c>
    </row>
    <row r="12" spans="14:14" ht="13.5" thickBot="1" x14ac:dyDescent="0.25">
      <c r="N12" s="22">
        <f>'[1]Sep 2019'!R12</f>
        <v>2059908</v>
      </c>
    </row>
    <row r="13" spans="14:14" ht="13.5" thickBot="1" x14ac:dyDescent="0.25">
      <c r="N13" s="22">
        <f>'[1]Sep 2019'!R13</f>
        <v>2060432</v>
      </c>
    </row>
    <row r="14" spans="14:14" ht="13.5" thickBot="1" x14ac:dyDescent="0.25">
      <c r="N14" s="22">
        <f>'[1]Sep 2019'!R14</f>
        <v>2061086</v>
      </c>
    </row>
    <row r="15" spans="14:14" ht="13.5" thickBot="1" x14ac:dyDescent="0.25">
      <c r="N15" s="22">
        <f>'[1]Sep 2019'!R15</f>
        <v>2061615</v>
      </c>
    </row>
    <row r="16" spans="14:14" ht="13.5" thickBot="1" x14ac:dyDescent="0.25">
      <c r="N16" s="22">
        <f>'[1]Sep 2019'!R16</f>
        <v>2062113</v>
      </c>
    </row>
    <row r="17" spans="2:125" ht="13.5" thickBot="1" x14ac:dyDescent="0.25">
      <c r="N17" s="22">
        <f>'[1]Sep 2019'!R17</f>
        <v>2062731</v>
      </c>
    </row>
    <row r="18" spans="2:125" ht="13.5" thickBot="1" x14ac:dyDescent="0.25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 x14ac:dyDescent="0.25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 x14ac:dyDescent="0.25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 x14ac:dyDescent="0.25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 x14ac:dyDescent="0.25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459" priority="374" operator="lessThan">
      <formula>0</formula>
    </cfRule>
  </conditionalFormatting>
  <conditionalFormatting sqref="B34">
    <cfRule type="cellIs" dxfId="458" priority="373" operator="lessThan">
      <formula>0</formula>
    </cfRule>
  </conditionalFormatting>
  <conditionalFormatting sqref="N3:N34">
    <cfRule type="cellIs" dxfId="457" priority="372" operator="lessThan">
      <formula>0</formula>
    </cfRule>
  </conditionalFormatting>
  <conditionalFormatting sqref="N3:N34">
    <cfRule type="cellIs" dxfId="456" priority="371" operator="lessThan">
      <formula>0</formula>
    </cfRule>
  </conditionalFormatting>
  <conditionalFormatting sqref="N3:N34">
    <cfRule type="cellIs" dxfId="455" priority="370" operator="lessThan">
      <formula>0</formula>
    </cfRule>
  </conditionalFormatting>
  <conditionalFormatting sqref="N3:N34">
    <cfRule type="cellIs" dxfId="454" priority="369" operator="lessThan">
      <formula>0</formula>
    </cfRule>
  </conditionalFormatting>
  <conditionalFormatting sqref="N3:N34">
    <cfRule type="cellIs" dxfId="453" priority="368" operator="lessThan">
      <formula>0</formula>
    </cfRule>
  </conditionalFormatting>
  <conditionalFormatting sqref="N3:N34">
    <cfRule type="cellIs" dxfId="452" priority="367" operator="lessThan">
      <formula>0</formula>
    </cfRule>
  </conditionalFormatting>
  <conditionalFormatting sqref="N3:N34">
    <cfRule type="cellIs" dxfId="451" priority="366" operator="lessThan">
      <formula>0</formula>
    </cfRule>
  </conditionalFormatting>
  <conditionalFormatting sqref="N3:N34">
    <cfRule type="cellIs" dxfId="450" priority="365" operator="lessThan">
      <formula>0</formula>
    </cfRule>
  </conditionalFormatting>
  <conditionalFormatting sqref="N3:N34">
    <cfRule type="cellIs" dxfId="449" priority="364" operator="lessThan">
      <formula>0</formula>
    </cfRule>
  </conditionalFormatting>
  <conditionalFormatting sqref="N3:N34">
    <cfRule type="cellIs" dxfId="448" priority="363" operator="lessThan">
      <formula>0</formula>
    </cfRule>
  </conditionalFormatting>
  <conditionalFormatting sqref="N3:N34">
    <cfRule type="cellIs" dxfId="447" priority="362" operator="lessThan">
      <formula>0</formula>
    </cfRule>
  </conditionalFormatting>
  <conditionalFormatting sqref="N3:N34">
    <cfRule type="cellIs" dxfId="446" priority="361" operator="lessThan">
      <formula>0</formula>
    </cfRule>
  </conditionalFormatting>
  <conditionalFormatting sqref="N4:N9">
    <cfRule type="cellIs" dxfId="445" priority="360" operator="lessThan">
      <formula>0</formula>
    </cfRule>
  </conditionalFormatting>
  <conditionalFormatting sqref="N4:N9">
    <cfRule type="cellIs" dxfId="444" priority="359" operator="lessThan">
      <formula>0</formula>
    </cfRule>
  </conditionalFormatting>
  <conditionalFormatting sqref="N3:N34">
    <cfRule type="cellIs" dxfId="443" priority="358" operator="lessThan">
      <formula>0</formula>
    </cfRule>
  </conditionalFormatting>
  <conditionalFormatting sqref="N3:N34">
    <cfRule type="cellIs" dxfId="442" priority="357" operator="lessThan">
      <formula>0</formula>
    </cfRule>
  </conditionalFormatting>
  <conditionalFormatting sqref="N3:N34">
    <cfRule type="cellIs" dxfId="441" priority="356" operator="lessThan">
      <formula>0</formula>
    </cfRule>
  </conditionalFormatting>
  <conditionalFormatting sqref="N3:N34">
    <cfRule type="cellIs" dxfId="440" priority="355" operator="lessThan">
      <formula>0</formula>
    </cfRule>
  </conditionalFormatting>
  <conditionalFormatting sqref="N3:N34">
    <cfRule type="cellIs" dxfId="439" priority="354" operator="lessThan">
      <formula>0</formula>
    </cfRule>
  </conditionalFormatting>
  <conditionalFormatting sqref="N4">
    <cfRule type="cellIs" dxfId="438" priority="353" operator="lessThan">
      <formula>0</formula>
    </cfRule>
  </conditionalFormatting>
  <conditionalFormatting sqref="N3:N34">
    <cfRule type="cellIs" dxfId="437" priority="352" operator="lessThan">
      <formula>0</formula>
    </cfRule>
  </conditionalFormatting>
  <conditionalFormatting sqref="N3:N34">
    <cfRule type="cellIs" dxfId="436" priority="351" operator="lessThan">
      <formula>0</formula>
    </cfRule>
  </conditionalFormatting>
  <conditionalFormatting sqref="N3:N34">
    <cfRule type="cellIs" dxfId="435" priority="350" operator="lessThan">
      <formula>0</formula>
    </cfRule>
  </conditionalFormatting>
  <conditionalFormatting sqref="N3:N34">
    <cfRule type="cellIs" dxfId="434" priority="349" operator="lessThan">
      <formula>0</formula>
    </cfRule>
  </conditionalFormatting>
  <conditionalFormatting sqref="N3:N34">
    <cfRule type="cellIs" dxfId="433" priority="348" operator="lessThan">
      <formula>0</formula>
    </cfRule>
  </conditionalFormatting>
  <conditionalFormatting sqref="N3:N34">
    <cfRule type="cellIs" dxfId="432" priority="347" operator="lessThan">
      <formula>0</formula>
    </cfRule>
  </conditionalFormatting>
  <conditionalFormatting sqref="N3:N34">
    <cfRule type="cellIs" dxfId="431" priority="346" operator="lessThan">
      <formula>0</formula>
    </cfRule>
  </conditionalFormatting>
  <conditionalFormatting sqref="N3:N34">
    <cfRule type="cellIs" dxfId="430" priority="345" operator="lessThan">
      <formula>0</formula>
    </cfRule>
  </conditionalFormatting>
  <conditionalFormatting sqref="N3:N34">
    <cfRule type="cellIs" dxfId="429" priority="344" operator="lessThan">
      <formula>0</formula>
    </cfRule>
  </conditionalFormatting>
  <conditionalFormatting sqref="N3:N34">
    <cfRule type="cellIs" dxfId="428" priority="343" operator="lessThan">
      <formula>0</formula>
    </cfRule>
  </conditionalFormatting>
  <conditionalFormatting sqref="N3:N34">
    <cfRule type="cellIs" dxfId="427" priority="342" operator="lessThan">
      <formula>0</formula>
    </cfRule>
  </conditionalFormatting>
  <conditionalFormatting sqref="N3:N34">
    <cfRule type="cellIs" dxfId="426" priority="341" operator="lessThan">
      <formula>0</formula>
    </cfRule>
  </conditionalFormatting>
  <conditionalFormatting sqref="N3:N34">
    <cfRule type="cellIs" dxfId="425" priority="340" operator="lessThan">
      <formula>0</formula>
    </cfRule>
  </conditionalFormatting>
  <conditionalFormatting sqref="N3:N34">
    <cfRule type="cellIs" dxfId="424" priority="339" operator="lessThan">
      <formula>0</formula>
    </cfRule>
  </conditionalFormatting>
  <conditionalFormatting sqref="N3:N34">
    <cfRule type="cellIs" dxfId="423" priority="338" operator="lessThan">
      <formula>0</formula>
    </cfRule>
  </conditionalFormatting>
  <conditionalFormatting sqref="N3:N34">
    <cfRule type="cellIs" dxfId="422" priority="337" operator="lessThan">
      <formula>0</formula>
    </cfRule>
  </conditionalFormatting>
  <conditionalFormatting sqref="N3:N34">
    <cfRule type="cellIs" dxfId="421" priority="336" operator="lessThan">
      <formula>0</formula>
    </cfRule>
  </conditionalFormatting>
  <conditionalFormatting sqref="N3:N34">
    <cfRule type="cellIs" dxfId="420" priority="335" operator="lessThan">
      <formula>0</formula>
    </cfRule>
  </conditionalFormatting>
  <conditionalFormatting sqref="N3:N34">
    <cfRule type="cellIs" dxfId="419" priority="334" operator="lessThan">
      <formula>0</formula>
    </cfRule>
  </conditionalFormatting>
  <conditionalFormatting sqref="N3:N34">
    <cfRule type="cellIs" dxfId="418" priority="333" operator="lessThan">
      <formula>0</formula>
    </cfRule>
  </conditionalFormatting>
  <conditionalFormatting sqref="N3:N34">
    <cfRule type="cellIs" dxfId="417" priority="332" operator="lessThan">
      <formula>0</formula>
    </cfRule>
  </conditionalFormatting>
  <conditionalFormatting sqref="N3:N34">
    <cfRule type="cellIs" dxfId="416" priority="331" operator="lessThan">
      <formula>0</formula>
    </cfRule>
  </conditionalFormatting>
  <conditionalFormatting sqref="N3:N34">
    <cfRule type="cellIs" dxfId="415" priority="330" operator="lessThan">
      <formula>0</formula>
    </cfRule>
  </conditionalFormatting>
  <conditionalFormatting sqref="N3:N34">
    <cfRule type="cellIs" dxfId="414" priority="329" operator="lessThan">
      <formula>0</formula>
    </cfRule>
  </conditionalFormatting>
  <conditionalFormatting sqref="N3:N34">
    <cfRule type="cellIs" dxfId="413" priority="328" operator="lessThan">
      <formula>0</formula>
    </cfRule>
  </conditionalFormatting>
  <conditionalFormatting sqref="N3:N34">
    <cfRule type="cellIs" dxfId="412" priority="327" operator="lessThan">
      <formula>0</formula>
    </cfRule>
  </conditionalFormatting>
  <conditionalFormatting sqref="N3:N34">
    <cfRule type="cellIs" dxfId="411" priority="326" operator="lessThan">
      <formula>0</formula>
    </cfRule>
  </conditionalFormatting>
  <conditionalFormatting sqref="N3:N34">
    <cfRule type="cellIs" dxfId="410" priority="325" operator="lessThan">
      <formula>0</formula>
    </cfRule>
  </conditionalFormatting>
  <conditionalFormatting sqref="N3:N34">
    <cfRule type="cellIs" dxfId="409" priority="324" operator="lessThan">
      <formula>0</formula>
    </cfRule>
  </conditionalFormatting>
  <conditionalFormatting sqref="N3:N34">
    <cfRule type="cellIs" dxfId="408" priority="323" operator="lessThan">
      <formula>0</formula>
    </cfRule>
  </conditionalFormatting>
  <conditionalFormatting sqref="N3:N34">
    <cfRule type="cellIs" dxfId="407" priority="322" operator="lessThan">
      <formula>0</formula>
    </cfRule>
  </conditionalFormatting>
  <conditionalFormatting sqref="N3:N34">
    <cfRule type="cellIs" dxfId="406" priority="321" operator="lessThan">
      <formula>0</formula>
    </cfRule>
  </conditionalFormatting>
  <conditionalFormatting sqref="N3:N34">
    <cfRule type="cellIs" dxfId="405" priority="320" operator="lessThan">
      <formula>0</formula>
    </cfRule>
  </conditionalFormatting>
  <conditionalFormatting sqref="N3:N34">
    <cfRule type="cellIs" dxfId="404" priority="319" operator="lessThan">
      <formula>0</formula>
    </cfRule>
  </conditionalFormatting>
  <conditionalFormatting sqref="N3:N34">
    <cfRule type="cellIs" dxfId="403" priority="318" operator="lessThan">
      <formula>0</formula>
    </cfRule>
  </conditionalFormatting>
  <conditionalFormatting sqref="N3:N34">
    <cfRule type="cellIs" dxfId="402" priority="317" operator="lessThan">
      <formula>0</formula>
    </cfRule>
  </conditionalFormatting>
  <conditionalFormatting sqref="N3:N34">
    <cfRule type="cellIs" dxfId="401" priority="316" operator="lessThan">
      <formula>0</formula>
    </cfRule>
  </conditionalFormatting>
  <conditionalFormatting sqref="N3:N34">
    <cfRule type="cellIs" dxfId="400" priority="315" operator="lessThan">
      <formula>0</formula>
    </cfRule>
  </conditionalFormatting>
  <conditionalFormatting sqref="N3:N34">
    <cfRule type="cellIs" dxfId="399" priority="314" operator="lessThan">
      <formula>0</formula>
    </cfRule>
  </conditionalFormatting>
  <conditionalFormatting sqref="N5:N9">
    <cfRule type="cellIs" dxfId="398" priority="313" operator="lessThan">
      <formula>0</formula>
    </cfRule>
  </conditionalFormatting>
  <conditionalFormatting sqref="N3:N34">
    <cfRule type="cellIs" dxfId="397" priority="312" operator="lessThan">
      <formula>0</formula>
    </cfRule>
  </conditionalFormatting>
  <conditionalFormatting sqref="N3:N34">
    <cfRule type="cellIs" dxfId="396" priority="311" operator="lessThan">
      <formula>0</formula>
    </cfRule>
  </conditionalFormatting>
  <conditionalFormatting sqref="N3:N34">
    <cfRule type="cellIs" dxfId="395" priority="310" operator="lessThan">
      <formula>0</formula>
    </cfRule>
  </conditionalFormatting>
  <conditionalFormatting sqref="N3:N34">
    <cfRule type="cellIs" dxfId="394" priority="309" operator="lessThan">
      <formula>0</formula>
    </cfRule>
  </conditionalFormatting>
  <conditionalFormatting sqref="N3:N34">
    <cfRule type="cellIs" dxfId="393" priority="308" operator="lessThan">
      <formula>0</formula>
    </cfRule>
  </conditionalFormatting>
  <conditionalFormatting sqref="N3:N34">
    <cfRule type="cellIs" dxfId="392" priority="307" operator="lessThan">
      <formula>0</formula>
    </cfRule>
  </conditionalFormatting>
  <conditionalFormatting sqref="N3:N34">
    <cfRule type="cellIs" dxfId="391" priority="306" operator="lessThan">
      <formula>0</formula>
    </cfRule>
  </conditionalFormatting>
  <conditionalFormatting sqref="N3:N34">
    <cfRule type="cellIs" dxfId="390" priority="305" operator="lessThan">
      <formula>0</formula>
    </cfRule>
  </conditionalFormatting>
  <conditionalFormatting sqref="N3:N34">
    <cfRule type="cellIs" dxfId="389" priority="304" operator="lessThan">
      <formula>0</formula>
    </cfRule>
  </conditionalFormatting>
  <conditionalFormatting sqref="N3:N34">
    <cfRule type="cellIs" dxfId="388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Preet Sanmukhiya</cp:lastModifiedBy>
  <cp:revision/>
  <dcterms:created xsi:type="dcterms:W3CDTF">2016-09-19T10:41:46Z</dcterms:created>
  <dcterms:modified xsi:type="dcterms:W3CDTF">2022-01-17T14:49:30Z</dcterms:modified>
  <cp:category/>
  <cp:contentStatus/>
</cp:coreProperties>
</file>