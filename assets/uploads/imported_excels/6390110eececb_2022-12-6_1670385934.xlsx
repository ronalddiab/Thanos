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FILE 2022\9. Monthly Report 2022\HEP\"/>
    </mc:Choice>
  </mc:AlternateContent>
  <bookViews>
    <workbookView xWindow="0" yWindow="0" windowWidth="28800" windowHeight="12000" tabRatio="825"/>
  </bookViews>
  <sheets>
    <sheet name="Import Data" sheetId="1" r:id="rId1"/>
    <sheet name="Waste Record - April" sheetId="2" r:id="rId2"/>
    <sheet name="Waste Record - May" sheetId="3" r:id="rId3"/>
    <sheet name="Waste Record - June" sheetId="4" r:id="rId4"/>
    <sheet name="Waste Record - July" sheetId="5" r:id="rId5"/>
    <sheet name="Waste Record - August" sheetId="6" r:id="rId6"/>
    <sheet name="Waste Record - Sep" sheetId="7" r:id="rId7"/>
    <sheet name="Waste Record - Oct" sheetId="8" r:id="rId8"/>
    <sheet name="Waste Record - Nov" sheetId="9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1" i="9" l="1"/>
  <c r="H41" i="8"/>
  <c r="H38" i="9"/>
  <c r="N38" i="9" l="1"/>
  <c r="L38" i="9"/>
  <c r="J38" i="9"/>
  <c r="F38" i="9"/>
  <c r="D38" i="9"/>
  <c r="B38" i="9"/>
  <c r="N38" i="8" l="1"/>
  <c r="L38" i="8"/>
  <c r="J38" i="8"/>
  <c r="H38" i="8"/>
  <c r="F38" i="8"/>
  <c r="D38" i="8"/>
  <c r="B38" i="8"/>
  <c r="H41" i="7" l="1"/>
  <c r="N38" i="7" l="1"/>
  <c r="L38" i="7"/>
  <c r="J38" i="7"/>
  <c r="H38" i="7"/>
  <c r="F38" i="7"/>
  <c r="D38" i="7"/>
  <c r="B38" i="7"/>
  <c r="H41" i="6" l="1"/>
  <c r="H43" i="5"/>
  <c r="P7" i="1"/>
  <c r="P8" i="1"/>
  <c r="N38" i="6"/>
  <c r="L38" i="6"/>
  <c r="J38" i="6"/>
  <c r="H38" i="6"/>
  <c r="F38" i="6"/>
  <c r="D38" i="6"/>
  <c r="B38" i="6"/>
  <c r="H43" i="4"/>
  <c r="H38" i="5"/>
  <c r="L38" i="5"/>
  <c r="N38" i="5"/>
  <c r="J38" i="5"/>
  <c r="F38" i="5"/>
  <c r="D38" i="5"/>
  <c r="B38" i="5"/>
  <c r="H38" i="4"/>
  <c r="L38" i="4"/>
  <c r="N38" i="4"/>
  <c r="J38" i="4"/>
  <c r="F38" i="4"/>
  <c r="D38" i="4"/>
  <c r="B38" i="4"/>
  <c r="H43" i="3"/>
  <c r="T6" i="1"/>
  <c r="P6" i="1"/>
  <c r="F6" i="1"/>
  <c r="N38" i="3"/>
  <c r="L38" i="3"/>
  <c r="J38" i="3"/>
  <c r="H38" i="3"/>
  <c r="F38" i="3"/>
  <c r="D38" i="3"/>
  <c r="B38" i="3"/>
  <c r="D6" i="1"/>
  <c r="V5" i="1"/>
  <c r="X4" i="1"/>
  <c r="T5" i="1"/>
  <c r="P5" i="1"/>
  <c r="F5" i="1"/>
  <c r="D38" i="2"/>
  <c r="F38" i="2"/>
  <c r="H38" i="2"/>
  <c r="J38" i="2"/>
  <c r="L38" i="2"/>
  <c r="N38" i="2"/>
  <c r="B38" i="2"/>
  <c r="D5" i="1"/>
</calcChain>
</file>

<file path=xl/sharedStrings.xml><?xml version="1.0" encoding="utf-8"?>
<sst xmlns="http://schemas.openxmlformats.org/spreadsheetml/2006/main" count="247" uniqueCount="49">
  <si>
    <t>Site Name</t>
  </si>
  <si>
    <t>Month</t>
  </si>
  <si>
    <t>Year</t>
  </si>
  <si>
    <t>Total (per Unit) mixed glass</t>
  </si>
  <si>
    <t>Total cost mixed glass</t>
  </si>
  <si>
    <t>Total (per Unit) plastic pet</t>
  </si>
  <si>
    <t>Total cost plastic pet</t>
  </si>
  <si>
    <t>Total (per Unit) e waste</t>
  </si>
  <si>
    <t>Total cost e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</si>
  <si>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</si>
  <si>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</si>
  <si>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</si>
  <si>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</si>
  <si>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</si>
  <si>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</si>
  <si>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mixed metals</t>
  </si>
  <si>
    <t>Total cost mixed metals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</si>
  <si>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</si>
  <si>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</si>
  <si>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</si>
  <si>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</si>
  <si>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</si>
  <si>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</si>
  <si>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</si>
  <si>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</si>
  <si>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Nam Hai</t>
  </si>
  <si>
    <t>WASTE DISCHARGE RECORD</t>
  </si>
  <si>
    <t>Date</t>
  </si>
  <si>
    <t>Mixed Glass</t>
  </si>
  <si>
    <t>Plastic Pet</t>
  </si>
  <si>
    <t>Mixed Metal</t>
  </si>
  <si>
    <t>Food Waste</t>
  </si>
  <si>
    <t>General Municipal Solid Waste</t>
  </si>
  <si>
    <t>Hazardous and Universal Waste</t>
  </si>
  <si>
    <t>FSR The Nam Hai</t>
  </si>
  <si>
    <t>Qty</t>
  </si>
  <si>
    <t>Cost</t>
  </si>
  <si>
    <t>Total</t>
  </si>
  <si>
    <t>Dry Garbage</t>
  </si>
  <si>
    <t>Month of April 2022</t>
  </si>
  <si>
    <t>Month of May 2022</t>
  </si>
  <si>
    <t>Total (per Unit) debris from construction</t>
  </si>
  <si>
    <t>Total cost debris from construction</t>
  </si>
  <si>
    <t>Month of June 2022</t>
  </si>
  <si>
    <t>Month of July 2022</t>
  </si>
  <si>
    <t>Month of August 2022</t>
  </si>
  <si>
    <t>Month of Sep 2022</t>
  </si>
  <si>
    <t>Month of Oct 2022</t>
  </si>
  <si>
    <t>Month of Nov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</si>
</sst>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0" fillId="0" borderId="0" xfId="1" applyNumberFormat="1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0" xfId="1" applyNumberFormat="1" applyFont="1" applyFill="1" applyAlignment="1">
      <alignment horizontal="right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"/>
  <sheetViews>
    <sheetView tabSelected="1" zoomScale="115" zoomScaleNormal="115" workbookViewId="0">
      <selection activeCell="H30" sqref="H30"/>
    </sheetView>
  </sheetViews>
  <sheetFormatPr defaultRowHeight="15" x14ac:dyDescent="0.25"/>
  <cols>
    <col min="1" max="1" width="12.28515625" customWidth="1"/>
    <col min="2" max="3" width="8.42578125" customWidth="1"/>
    <col min="4" max="4" width="25.7109375" style="5" customWidth="1"/>
    <col min="5" max="5" width="20.42578125" style="5" customWidth="1"/>
    <col min="6" max="6" width="24.140625" style="5" customWidth="1"/>
    <col min="7" max="7" width="19.140625" style="5" customWidth="1"/>
    <col min="8" max="8" width="22.28515625" style="5" customWidth="1"/>
    <col min="9" max="9" width="17.5703125" style="5" customWidth="1"/>
    <col min="10" max="10" width="23.28515625" style="5" customWidth="1"/>
    <col min="11" max="11" width="18.28515625" style="5" customWidth="1"/>
    <col min="12" max="12" width="25.7109375" style="5" customWidth="1"/>
    <col min="13" max="13" width="19.85546875" style="5" customWidth="1"/>
    <col min="14" max="14" width="23.28515625" style="5" customWidth="1"/>
    <col min="15" max="15" width="19.28515625" style="5" customWidth="1"/>
    <col min="16" max="16" width="26.7109375" style="5" customWidth="1"/>
    <col min="17" max="17" width="22.7109375" style="5" customWidth="1"/>
    <col min="18" max="18" width="27.7109375" style="5" customWidth="1"/>
    <col min="19" max="19" width="24.140625" style="5" customWidth="1"/>
    <col min="20" max="20" width="25.7109375" style="5" customWidth="1"/>
    <col min="21" max="21" width="20.5703125" style="5" customWidth="1"/>
    <col min="22" max="22" width="41.28515625" style="5" customWidth="1"/>
    <col min="23" max="23" width="25.7109375" style="5" customWidth="1"/>
    <col min="24" max="24" width="42.28515625" style="5" customWidth="1"/>
    <col min="25" max="25" width="36.5703125" style="5" customWidth="1"/>
    <col min="26" max="26" width="36.5703125" customWidth="1"/>
    <col min="27" max="27" width="13.28515625" bestFit="1" customWidth="1"/>
  </cols>
  <sheetData>
    <row r="1" spans="1:49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41</v>
      </c>
      <c r="AA1" s="4" t="s">
        <v>42</v>
      </c>
    </row>
    <row r="2" spans="1:49" x14ac:dyDescent="0.25">
      <c r="A2" t="s">
        <v>25</v>
      </c>
      <c r="B2" s="1">
        <v>1</v>
      </c>
      <c r="C2" s="1">
        <v>2022</v>
      </c>
    </row>
    <row r="3" spans="1:49" x14ac:dyDescent="0.25">
      <c r="A3" t="s">
        <v>25</v>
      </c>
      <c r="B3" s="1">
        <v>2</v>
      </c>
      <c r="C3" s="1">
        <v>2022</v>
      </c>
    </row>
    <row r="4" spans="1:49" x14ac:dyDescent="0.25">
      <c r="A4" t="s">
        <v>25</v>
      </c>
      <c r="B4" s="1">
        <v>3</v>
      </c>
      <c r="C4" s="1">
        <v>2022</v>
      </c>
      <c r="J4" s="5">
        <v>22</v>
      </c>
      <c r="L4" s="5">
        <v>5</v>
      </c>
      <c r="X4" s="5">
        <f>498-J4-L4</f>
        <v>471</v>
      </c>
      <c r="Y4" s="14">
        <v>12763637</v>
      </c>
    </row>
    <row r="5" spans="1:49" x14ac:dyDescent="0.25">
      <c r="A5" t="s">
        <v>25</v>
      </c>
      <c r="B5" s="2">
        <v>4</v>
      </c>
      <c r="C5" s="1">
        <v>2022</v>
      </c>
      <c r="D5" s="5">
        <f>'Waste Record - April'!B38</f>
        <v>287</v>
      </c>
      <c r="F5" s="5">
        <f>'Waste Record - April'!D38</f>
        <v>16</v>
      </c>
      <c r="N5" s="5">
        <v>1780</v>
      </c>
      <c r="P5" s="5">
        <f>'Waste Record - April'!F38</f>
        <v>80</v>
      </c>
      <c r="T5" s="5">
        <f>'Waste Record - April'!J38</f>
        <v>5506</v>
      </c>
      <c r="V5" s="5">
        <f>'Waste Record - April'!L38+6000</f>
        <v>7624</v>
      </c>
      <c r="W5" s="5">
        <v>25065822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t="s">
        <v>25</v>
      </c>
      <c r="B6" s="1">
        <v>5</v>
      </c>
      <c r="C6" s="1">
        <v>2022</v>
      </c>
      <c r="D6" s="5">
        <f>'Waste Record - May'!B38</f>
        <v>118</v>
      </c>
      <c r="F6" s="5">
        <f>'Waste Record - May'!D38</f>
        <v>40</v>
      </c>
      <c r="N6" s="5">
        <v>285</v>
      </c>
      <c r="P6" s="5">
        <f>'Waste Record - May'!F38</f>
        <v>0</v>
      </c>
      <c r="T6" s="5">
        <f>'Waste Record - May'!J38</f>
        <v>2751</v>
      </c>
      <c r="V6" s="5">
        <v>3704</v>
      </c>
      <c r="W6" s="5">
        <v>11604546</v>
      </c>
      <c r="Z6" s="5">
        <v>5000</v>
      </c>
      <c r="AA6" s="5">
        <v>4970000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s="17" customFormat="1" x14ac:dyDescent="0.25">
      <c r="A7" t="s">
        <v>25</v>
      </c>
      <c r="B7" s="1">
        <v>6</v>
      </c>
      <c r="C7" s="1">
        <v>2022</v>
      </c>
      <c r="D7" s="5">
        <v>52</v>
      </c>
      <c r="J7" s="5">
        <v>39</v>
      </c>
      <c r="L7" s="5">
        <v>17</v>
      </c>
      <c r="M7" s="5"/>
      <c r="N7" s="5">
        <v>800</v>
      </c>
      <c r="O7" s="5"/>
      <c r="P7" s="5">
        <f>'Waste Record - May'!F39</f>
        <v>0</v>
      </c>
      <c r="Q7" s="5"/>
      <c r="R7" s="5"/>
      <c r="S7" s="5"/>
      <c r="T7" s="5">
        <v>4407</v>
      </c>
      <c r="U7" s="5"/>
      <c r="V7" s="5">
        <v>5477</v>
      </c>
      <c r="W7" s="5">
        <v>16710548</v>
      </c>
      <c r="X7" s="5">
        <v>333</v>
      </c>
      <c r="Y7" s="5">
        <v>12763637</v>
      </c>
      <c r="Z7" s="5">
        <v>5000</v>
      </c>
      <c r="AA7" s="5">
        <v>4970000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t="s">
        <v>25</v>
      </c>
      <c r="B8" s="1">
        <v>7</v>
      </c>
      <c r="C8" s="1">
        <v>2022</v>
      </c>
      <c r="D8" s="5">
        <v>70</v>
      </c>
      <c r="F8" s="5">
        <v>30</v>
      </c>
      <c r="N8" s="5">
        <v>1500</v>
      </c>
      <c r="P8" s="5">
        <f>'Waste Record - May'!F40</f>
        <v>0</v>
      </c>
      <c r="T8" s="5">
        <v>5243</v>
      </c>
      <c r="V8" s="5">
        <v>7611</v>
      </c>
      <c r="W8" s="5">
        <v>16710548</v>
      </c>
      <c r="Z8" s="5">
        <v>12000</v>
      </c>
      <c r="AA8" s="5">
        <v>6958000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t="s">
        <v>25</v>
      </c>
      <c r="B9" s="1">
        <v>8</v>
      </c>
      <c r="C9" s="1">
        <v>2022</v>
      </c>
      <c r="D9" s="5">
        <v>300</v>
      </c>
      <c r="N9" s="5">
        <v>500</v>
      </c>
      <c r="P9" s="5">
        <v>3</v>
      </c>
      <c r="T9" s="5">
        <v>6391</v>
      </c>
      <c r="V9" s="5">
        <v>7766</v>
      </c>
      <c r="W9" s="5">
        <v>19340910</v>
      </c>
      <c r="Z9" s="5">
        <v>15000</v>
      </c>
      <c r="AA9" s="5">
        <v>6958000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t="s">
        <v>25</v>
      </c>
      <c r="B10" s="1">
        <v>9</v>
      </c>
      <c r="C10" s="1">
        <v>2022</v>
      </c>
      <c r="D10" s="5">
        <v>1120</v>
      </c>
      <c r="F10" s="5">
        <v>12</v>
      </c>
      <c r="L10" s="5">
        <v>1</v>
      </c>
      <c r="N10" s="5">
        <v>500</v>
      </c>
      <c r="P10" s="5">
        <v>7</v>
      </c>
      <c r="T10" s="5">
        <v>6282</v>
      </c>
      <c r="V10" s="5">
        <v>6876</v>
      </c>
      <c r="W10" s="5">
        <v>16710548</v>
      </c>
      <c r="X10" s="5">
        <v>313</v>
      </c>
      <c r="Y10" s="14">
        <v>12763637</v>
      </c>
      <c r="Z10" s="5">
        <v>15000</v>
      </c>
      <c r="AA10" s="5">
        <v>6958000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t="s">
        <v>25</v>
      </c>
      <c r="B11" s="1">
        <v>10</v>
      </c>
      <c r="C11" s="1">
        <v>2022</v>
      </c>
      <c r="D11" s="5">
        <v>1430</v>
      </c>
      <c r="N11" s="5">
        <v>500</v>
      </c>
      <c r="T11" s="5">
        <v>6313</v>
      </c>
      <c r="V11" s="5">
        <v>6961</v>
      </c>
      <c r="W11" s="5">
        <v>16710548</v>
      </c>
      <c r="Z11" s="5">
        <v>16000</v>
      </c>
      <c r="AA11" s="5">
        <v>6958000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t="s">
        <v>25</v>
      </c>
      <c r="B12" s="1">
        <v>11</v>
      </c>
      <c r="C12" s="1">
        <v>2022</v>
      </c>
      <c r="D12" s="5">
        <v>367</v>
      </c>
      <c r="F12" s="5">
        <v>0</v>
      </c>
      <c r="J12" s="5">
        <v>0</v>
      </c>
      <c r="P12" s="5">
        <v>0</v>
      </c>
      <c r="T12" s="5">
        <v>5291</v>
      </c>
      <c r="V12" s="5">
        <v>6555</v>
      </c>
      <c r="W12" s="5">
        <v>16710548</v>
      </c>
      <c r="Z12" s="5">
        <v>16000</v>
      </c>
      <c r="AA12" s="5">
        <v>6958000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t="s">
        <v>25</v>
      </c>
      <c r="B13" s="1">
        <v>12</v>
      </c>
      <c r="C13" s="1">
        <v>2022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H42" sqref="H42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39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0"/>
      <c r="C7" s="10"/>
      <c r="D7" s="10"/>
      <c r="E7" s="10"/>
      <c r="F7" s="10"/>
      <c r="G7" s="10"/>
      <c r="H7" s="10">
        <v>298</v>
      </c>
      <c r="I7" s="10"/>
      <c r="J7" s="10">
        <v>235</v>
      </c>
      <c r="K7" s="10"/>
      <c r="L7" s="10"/>
      <c r="M7" s="10"/>
      <c r="N7" s="10"/>
      <c r="O7" s="10"/>
    </row>
    <row r="8" spans="1:21" s="8" customFormat="1" ht="19.899999999999999" customHeight="1" x14ac:dyDescent="0.25">
      <c r="A8" s="11">
        <v>2</v>
      </c>
      <c r="B8" s="10"/>
      <c r="C8" s="10"/>
      <c r="D8" s="10"/>
      <c r="E8" s="10"/>
      <c r="F8" s="10"/>
      <c r="G8" s="10"/>
      <c r="H8" s="10">
        <v>139</v>
      </c>
      <c r="I8" s="10"/>
      <c r="J8" s="10">
        <v>78</v>
      </c>
      <c r="K8" s="10"/>
      <c r="L8" s="10"/>
      <c r="M8" s="10"/>
      <c r="N8" s="10"/>
      <c r="O8" s="10"/>
    </row>
    <row r="9" spans="1:21" s="8" customFormat="1" ht="19.899999999999999" customHeight="1" x14ac:dyDescent="0.25">
      <c r="A9" s="11">
        <v>3</v>
      </c>
      <c r="B9" s="10"/>
      <c r="C9" s="10"/>
      <c r="D9" s="10"/>
      <c r="E9" s="10"/>
      <c r="F9" s="10">
        <v>80</v>
      </c>
      <c r="G9" s="10"/>
      <c r="H9" s="10">
        <v>290</v>
      </c>
      <c r="I9" s="10"/>
      <c r="J9" s="10">
        <v>110</v>
      </c>
      <c r="K9" s="10"/>
      <c r="L9" s="10">
        <v>200</v>
      </c>
      <c r="M9" s="10"/>
      <c r="N9" s="10"/>
      <c r="O9" s="10"/>
    </row>
    <row r="10" spans="1:21" s="8" customFormat="1" ht="19.899999999999999" customHeight="1" x14ac:dyDescent="0.25">
      <c r="A10" s="11">
        <v>4</v>
      </c>
      <c r="B10" s="10"/>
      <c r="C10" s="10"/>
      <c r="D10" s="10"/>
      <c r="E10" s="10"/>
      <c r="F10" s="10"/>
      <c r="G10" s="10"/>
      <c r="H10" s="10">
        <v>102</v>
      </c>
      <c r="I10" s="10"/>
      <c r="J10" s="10">
        <v>171</v>
      </c>
      <c r="K10" s="10"/>
      <c r="L10" s="10">
        <v>100</v>
      </c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0">
        <v>30</v>
      </c>
      <c r="C11" s="10"/>
      <c r="D11" s="10"/>
      <c r="E11" s="10"/>
      <c r="F11" s="10"/>
      <c r="G11" s="10"/>
      <c r="H11" s="10">
        <v>270</v>
      </c>
      <c r="I11" s="10"/>
      <c r="J11" s="10">
        <v>161</v>
      </c>
      <c r="K11" s="10"/>
      <c r="L11" s="10"/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0">
        <v>16</v>
      </c>
      <c r="C12" s="10"/>
      <c r="D12" s="10"/>
      <c r="E12" s="10"/>
      <c r="F12" s="10"/>
      <c r="G12" s="10"/>
      <c r="H12" s="10">
        <v>177</v>
      </c>
      <c r="I12" s="10"/>
      <c r="J12" s="10">
        <v>66</v>
      </c>
      <c r="K12" s="10"/>
      <c r="L12" s="10">
        <v>3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0"/>
      <c r="E13" s="10"/>
      <c r="F13" s="10"/>
      <c r="G13" s="10"/>
      <c r="H13" s="10">
        <v>96</v>
      </c>
      <c r="I13" s="10"/>
      <c r="J13" s="10">
        <v>105</v>
      </c>
      <c r="K13" s="10"/>
      <c r="L13" s="10"/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0">
        <v>19</v>
      </c>
      <c r="C14" s="10"/>
      <c r="D14" s="10"/>
      <c r="E14" s="10"/>
      <c r="F14" s="10"/>
      <c r="G14" s="10"/>
      <c r="H14" s="10">
        <v>159</v>
      </c>
      <c r="I14" s="10"/>
      <c r="J14" s="10">
        <v>201</v>
      </c>
      <c r="K14" s="10"/>
      <c r="L14" s="10">
        <v>51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0">
        <v>25</v>
      </c>
      <c r="C15" s="10"/>
      <c r="D15" s="10"/>
      <c r="E15" s="10"/>
      <c r="F15" s="10"/>
      <c r="G15" s="10"/>
      <c r="H15" s="10">
        <v>211</v>
      </c>
      <c r="I15" s="10"/>
      <c r="J15" s="10">
        <v>367</v>
      </c>
      <c r="K15" s="10"/>
      <c r="L15" s="10">
        <v>150</v>
      </c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0">
        <v>193</v>
      </c>
      <c r="C16" s="10"/>
      <c r="D16" s="10"/>
      <c r="E16" s="10"/>
      <c r="F16" s="10"/>
      <c r="G16" s="10"/>
      <c r="H16" s="10">
        <v>1148</v>
      </c>
      <c r="I16" s="10"/>
      <c r="J16" s="10">
        <v>291</v>
      </c>
      <c r="K16" s="10"/>
      <c r="L16" s="10"/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0"/>
      <c r="C17" s="10"/>
      <c r="D17" s="10"/>
      <c r="E17" s="10"/>
      <c r="F17" s="10"/>
      <c r="G17" s="10"/>
      <c r="H17" s="10">
        <v>816</v>
      </c>
      <c r="I17" s="10"/>
      <c r="J17" s="10">
        <v>245</v>
      </c>
      <c r="K17" s="10"/>
      <c r="L17" s="10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0"/>
      <c r="C18" s="10"/>
      <c r="D18" s="10"/>
      <c r="E18" s="10"/>
      <c r="F18" s="10"/>
      <c r="G18" s="10"/>
      <c r="H18" s="10">
        <v>164</v>
      </c>
      <c r="I18" s="10"/>
      <c r="J18" s="10">
        <v>261</v>
      </c>
      <c r="K18" s="10"/>
      <c r="L18" s="10"/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0"/>
      <c r="C19" s="10"/>
      <c r="D19" s="10"/>
      <c r="E19" s="10"/>
      <c r="F19" s="10"/>
      <c r="G19" s="10"/>
      <c r="H19" s="10">
        <v>113</v>
      </c>
      <c r="I19" s="10"/>
      <c r="J19" s="10">
        <v>168</v>
      </c>
      <c r="K19" s="10"/>
      <c r="L19" s="10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0"/>
      <c r="C20" s="10"/>
      <c r="D20" s="10"/>
      <c r="E20" s="10"/>
      <c r="F20" s="10"/>
      <c r="G20" s="10"/>
      <c r="H20" s="10">
        <v>585</v>
      </c>
      <c r="I20" s="10"/>
      <c r="J20" s="10">
        <v>276</v>
      </c>
      <c r="K20" s="10"/>
      <c r="L20" s="10"/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0"/>
      <c r="C21" s="10"/>
      <c r="D21" s="10">
        <v>2</v>
      </c>
      <c r="E21" s="10"/>
      <c r="F21" s="10"/>
      <c r="G21" s="10"/>
      <c r="H21" s="10">
        <v>478</v>
      </c>
      <c r="I21" s="10"/>
      <c r="J21" s="10">
        <v>340</v>
      </c>
      <c r="K21" s="10"/>
      <c r="L21" s="10"/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0"/>
      <c r="C22" s="10"/>
      <c r="D22" s="10"/>
      <c r="E22" s="10"/>
      <c r="F22" s="10"/>
      <c r="G22" s="10"/>
      <c r="H22" s="10">
        <v>125</v>
      </c>
      <c r="I22" s="10"/>
      <c r="J22" s="10">
        <v>268</v>
      </c>
      <c r="K22" s="10"/>
      <c r="L22" s="10">
        <v>220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0"/>
      <c r="C23" s="10"/>
      <c r="D23" s="10"/>
      <c r="E23" s="10"/>
      <c r="F23" s="10"/>
      <c r="G23" s="10"/>
      <c r="H23" s="10">
        <v>240</v>
      </c>
      <c r="I23" s="10"/>
      <c r="J23" s="10">
        <v>117</v>
      </c>
      <c r="K23" s="10"/>
      <c r="L23" s="10"/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0"/>
      <c r="C24" s="10"/>
      <c r="D24" s="10"/>
      <c r="E24" s="10"/>
      <c r="F24" s="10"/>
      <c r="G24" s="10"/>
      <c r="H24" s="10">
        <v>76</v>
      </c>
      <c r="I24" s="10"/>
      <c r="J24" s="10">
        <v>110</v>
      </c>
      <c r="K24" s="10"/>
      <c r="L24" s="10"/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0"/>
      <c r="C25" s="10"/>
      <c r="D25" s="10"/>
      <c r="E25" s="10"/>
      <c r="F25" s="10"/>
      <c r="G25" s="10"/>
      <c r="H25" s="10">
        <v>196</v>
      </c>
      <c r="I25" s="10"/>
      <c r="J25" s="10">
        <v>75</v>
      </c>
      <c r="K25" s="10"/>
      <c r="L25" s="10">
        <v>430</v>
      </c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0"/>
      <c r="C26" s="10"/>
      <c r="D26" s="10">
        <v>14</v>
      </c>
      <c r="E26" s="10"/>
      <c r="F26" s="10"/>
      <c r="G26" s="10"/>
      <c r="H26" s="10">
        <v>88</v>
      </c>
      <c r="I26" s="10"/>
      <c r="J26" s="10">
        <v>100</v>
      </c>
      <c r="K26" s="10"/>
      <c r="L26" s="10">
        <v>10</v>
      </c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0"/>
      <c r="C27" s="10"/>
      <c r="D27" s="10"/>
      <c r="E27" s="10"/>
      <c r="F27" s="10"/>
      <c r="G27" s="10"/>
      <c r="H27" s="10">
        <v>125</v>
      </c>
      <c r="I27" s="10"/>
      <c r="J27" s="10">
        <v>74</v>
      </c>
      <c r="K27" s="10"/>
      <c r="L27" s="10"/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0"/>
      <c r="C28" s="10"/>
      <c r="D28" s="10"/>
      <c r="E28" s="10"/>
      <c r="F28" s="10"/>
      <c r="G28" s="10"/>
      <c r="H28" s="10">
        <v>113</v>
      </c>
      <c r="I28" s="10"/>
      <c r="J28" s="10">
        <v>124</v>
      </c>
      <c r="K28" s="10"/>
      <c r="L28" s="10"/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0"/>
      <c r="C29" s="10"/>
      <c r="D29" s="10"/>
      <c r="E29" s="10"/>
      <c r="F29" s="10"/>
      <c r="G29" s="10"/>
      <c r="H29" s="10">
        <v>484</v>
      </c>
      <c r="I29" s="10"/>
      <c r="J29" s="10">
        <v>95</v>
      </c>
      <c r="K29" s="10"/>
      <c r="L29" s="10">
        <v>50</v>
      </c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0"/>
      <c r="C30" s="10"/>
      <c r="D30" s="10"/>
      <c r="E30" s="10"/>
      <c r="F30" s="10"/>
      <c r="G30" s="10"/>
      <c r="H30" s="10">
        <v>227</v>
      </c>
      <c r="I30" s="10"/>
      <c r="J30" s="10">
        <v>110</v>
      </c>
      <c r="K30" s="10"/>
      <c r="L30" s="10"/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0"/>
      <c r="C31" s="10"/>
      <c r="D31" s="10"/>
      <c r="E31" s="10"/>
      <c r="F31" s="10"/>
      <c r="G31" s="10"/>
      <c r="H31" s="10">
        <v>220</v>
      </c>
      <c r="I31" s="10"/>
      <c r="J31" s="10">
        <v>100</v>
      </c>
      <c r="K31" s="10"/>
      <c r="L31" s="10">
        <v>20</v>
      </c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0"/>
      <c r="C32" s="10"/>
      <c r="D32" s="10"/>
      <c r="E32" s="10"/>
      <c r="F32" s="10"/>
      <c r="G32" s="10"/>
      <c r="H32" s="10">
        <v>97</v>
      </c>
      <c r="I32" s="10"/>
      <c r="J32" s="10">
        <v>115</v>
      </c>
      <c r="K32" s="10"/>
      <c r="L32" s="10"/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0"/>
      <c r="C33" s="10"/>
      <c r="D33" s="10"/>
      <c r="E33" s="10"/>
      <c r="F33" s="10"/>
      <c r="G33" s="10"/>
      <c r="H33" s="10">
        <v>127</v>
      </c>
      <c r="I33" s="10"/>
      <c r="J33" s="10">
        <v>242</v>
      </c>
      <c r="K33" s="10"/>
      <c r="L33" s="10">
        <v>90</v>
      </c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0"/>
      <c r="C34" s="10"/>
      <c r="D34" s="10"/>
      <c r="E34" s="10"/>
      <c r="F34" s="10"/>
      <c r="G34" s="10"/>
      <c r="H34" s="10">
        <v>87</v>
      </c>
      <c r="I34" s="10"/>
      <c r="J34" s="10">
        <v>185</v>
      </c>
      <c r="K34" s="10"/>
      <c r="L34" s="10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0"/>
      <c r="C35" s="10"/>
      <c r="D35" s="10"/>
      <c r="E35" s="10"/>
      <c r="F35" s="10"/>
      <c r="G35" s="10"/>
      <c r="H35" s="10">
        <v>127</v>
      </c>
      <c r="I35" s="10"/>
      <c r="J35" s="10">
        <v>108</v>
      </c>
      <c r="K35" s="10"/>
      <c r="L35" s="10">
        <v>300</v>
      </c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0">
        <v>4</v>
      </c>
      <c r="C36" s="10"/>
      <c r="D36" s="10"/>
      <c r="E36" s="10"/>
      <c r="F36" s="10"/>
      <c r="G36" s="10"/>
      <c r="H36" s="10">
        <v>402</v>
      </c>
      <c r="I36" s="10"/>
      <c r="J36" s="10">
        <v>608</v>
      </c>
      <c r="K36" s="10"/>
      <c r="L36" s="10"/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287</v>
      </c>
      <c r="C38" s="13"/>
      <c r="D38" s="13">
        <f t="shared" ref="D38:N38" si="0">SUM(D7:D37)</f>
        <v>16</v>
      </c>
      <c r="E38" s="13"/>
      <c r="F38" s="13">
        <f t="shared" si="0"/>
        <v>80</v>
      </c>
      <c r="G38" s="13"/>
      <c r="H38" s="13">
        <f t="shared" si="0"/>
        <v>7780</v>
      </c>
      <c r="I38" s="13"/>
      <c r="J38" s="13">
        <f t="shared" si="0"/>
        <v>5506</v>
      </c>
      <c r="K38" s="13"/>
      <c r="L38" s="13">
        <f t="shared" si="0"/>
        <v>1624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</sheetData>
  <mergeCells count="13">
    <mergeCell ref="P5:Q5"/>
    <mergeCell ref="R5:S5"/>
    <mergeCell ref="T5:U5"/>
    <mergeCell ref="A2:O2"/>
    <mergeCell ref="A3:O3"/>
    <mergeCell ref="F5:G5"/>
    <mergeCell ref="J5:K5"/>
    <mergeCell ref="L5:M5"/>
    <mergeCell ref="N5:O5"/>
    <mergeCell ref="A5:A6"/>
    <mergeCell ref="B5:C5"/>
    <mergeCell ref="D5:E5"/>
    <mergeCell ref="H5:I5"/>
  </mergeCells>
  <pageMargins left="0.45" right="0.4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6" workbookViewId="0">
      <selection activeCell="J44" sqref="J44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15</v>
      </c>
      <c r="C7" s="10"/>
      <c r="D7" s="15"/>
      <c r="E7" s="10"/>
      <c r="F7" s="15"/>
      <c r="G7" s="10"/>
      <c r="H7" s="16">
        <v>255</v>
      </c>
      <c r="I7" s="10"/>
      <c r="J7" s="15">
        <v>63</v>
      </c>
      <c r="K7" s="10"/>
      <c r="L7" s="15"/>
      <c r="M7" s="10"/>
      <c r="N7" s="10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>
        <v>40</v>
      </c>
      <c r="E8" s="10"/>
      <c r="F8" s="15"/>
      <c r="G8" s="10"/>
      <c r="H8" s="16">
        <v>249</v>
      </c>
      <c r="I8" s="10"/>
      <c r="J8" s="15">
        <v>350</v>
      </c>
      <c r="K8" s="10"/>
      <c r="L8" s="15">
        <v>55</v>
      </c>
      <c r="M8" s="10"/>
      <c r="N8" s="10"/>
      <c r="O8" s="10"/>
    </row>
    <row r="9" spans="1:21" s="8" customFormat="1" ht="19.899999999999999" customHeight="1" x14ac:dyDescent="0.25">
      <c r="A9" s="11">
        <v>3</v>
      </c>
      <c r="B9" s="15">
        <v>30</v>
      </c>
      <c r="C9" s="10"/>
      <c r="D9" s="15"/>
      <c r="E9" s="10"/>
      <c r="F9" s="15"/>
      <c r="G9" s="10"/>
      <c r="H9" s="16">
        <v>393</v>
      </c>
      <c r="I9" s="10"/>
      <c r="J9" s="15">
        <v>591</v>
      </c>
      <c r="K9" s="10"/>
      <c r="L9" s="15">
        <v>105</v>
      </c>
      <c r="M9" s="10"/>
      <c r="N9" s="10"/>
      <c r="O9" s="10"/>
    </row>
    <row r="10" spans="1:21" s="8" customFormat="1" ht="19.899999999999999" customHeight="1" x14ac:dyDescent="0.25">
      <c r="A10" s="11">
        <v>4</v>
      </c>
      <c r="B10" s="15">
        <v>41</v>
      </c>
      <c r="C10" s="10"/>
      <c r="D10" s="15"/>
      <c r="E10" s="10"/>
      <c r="F10" s="15"/>
      <c r="G10" s="10"/>
      <c r="H10" s="16">
        <v>185</v>
      </c>
      <c r="I10" s="10"/>
      <c r="J10" s="15">
        <v>45</v>
      </c>
      <c r="K10" s="10"/>
      <c r="L10" s="15">
        <v>5</v>
      </c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5">
        <v>10</v>
      </c>
      <c r="C11" s="10"/>
      <c r="D11" s="15"/>
      <c r="E11" s="10"/>
      <c r="F11" s="15"/>
      <c r="G11" s="10"/>
      <c r="H11" s="16">
        <v>175</v>
      </c>
      <c r="I11" s="10"/>
      <c r="J11" s="15">
        <v>108</v>
      </c>
      <c r="K11" s="10"/>
      <c r="L11" s="15"/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5">
        <v>5</v>
      </c>
      <c r="C12" s="10"/>
      <c r="D12" s="15"/>
      <c r="E12" s="10"/>
      <c r="F12" s="15"/>
      <c r="G12" s="10"/>
      <c r="H12" s="16">
        <v>123</v>
      </c>
      <c r="I12" s="10"/>
      <c r="J12" s="15">
        <v>39</v>
      </c>
      <c r="K12" s="10"/>
      <c r="L12" s="15">
        <v>50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89</v>
      </c>
      <c r="I13" s="10"/>
      <c r="J13" s="15">
        <v>92</v>
      </c>
      <c r="K13" s="10"/>
      <c r="L13" s="15">
        <v>40</v>
      </c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5">
        <v>2</v>
      </c>
      <c r="C14" s="10"/>
      <c r="D14" s="15"/>
      <c r="E14" s="10"/>
      <c r="F14" s="15"/>
      <c r="G14" s="10"/>
      <c r="H14" s="16">
        <v>21</v>
      </c>
      <c r="I14" s="10"/>
      <c r="J14" s="15">
        <v>40</v>
      </c>
      <c r="K14" s="10"/>
      <c r="L14" s="15">
        <v>65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141</v>
      </c>
      <c r="I15" s="10"/>
      <c r="J15" s="15">
        <v>35</v>
      </c>
      <c r="K15" s="10"/>
      <c r="L15" s="15"/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25</v>
      </c>
      <c r="I16" s="10"/>
      <c r="J16" s="15">
        <v>100</v>
      </c>
      <c r="K16" s="10"/>
      <c r="L16" s="15">
        <v>100</v>
      </c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13</v>
      </c>
      <c r="I17" s="10"/>
      <c r="J17" s="15">
        <v>15</v>
      </c>
      <c r="K17" s="10"/>
      <c r="L17" s="15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72</v>
      </c>
      <c r="I18" s="10"/>
      <c r="J18" s="15">
        <v>45</v>
      </c>
      <c r="K18" s="10"/>
      <c r="L18" s="15">
        <v>15</v>
      </c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68</v>
      </c>
      <c r="I19" s="10"/>
      <c r="J19" s="15">
        <v>60</v>
      </c>
      <c r="K19" s="10"/>
      <c r="L19" s="15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263</v>
      </c>
      <c r="I20" s="10"/>
      <c r="J20" s="15">
        <v>120</v>
      </c>
      <c r="K20" s="10"/>
      <c r="L20" s="15"/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5">
        <v>15</v>
      </c>
      <c r="C21" s="10"/>
      <c r="D21" s="15"/>
      <c r="E21" s="10"/>
      <c r="F21" s="15"/>
      <c r="G21" s="10"/>
      <c r="H21" s="16">
        <v>160</v>
      </c>
      <c r="I21" s="10"/>
      <c r="J21" s="15">
        <v>60</v>
      </c>
      <c r="K21" s="10"/>
      <c r="L21" s="15">
        <v>150</v>
      </c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89</v>
      </c>
      <c r="I22" s="10"/>
      <c r="J22" s="15">
        <v>140</v>
      </c>
      <c r="K22" s="10"/>
      <c r="L22" s="15">
        <v>20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100</v>
      </c>
      <c r="I23" s="10"/>
      <c r="J23" s="15">
        <v>45</v>
      </c>
      <c r="K23" s="10"/>
      <c r="L23" s="15"/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23</v>
      </c>
      <c r="I24" s="10"/>
      <c r="J24" s="15">
        <v>24</v>
      </c>
      <c r="K24" s="10"/>
      <c r="L24" s="15"/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77</v>
      </c>
      <c r="I25" s="10"/>
      <c r="J25" s="15">
        <v>67</v>
      </c>
      <c r="K25" s="10"/>
      <c r="L25" s="15"/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35</v>
      </c>
      <c r="I26" s="10"/>
      <c r="J26" s="15">
        <v>21</v>
      </c>
      <c r="K26" s="10"/>
      <c r="L26" s="15"/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73</v>
      </c>
      <c r="I27" s="10"/>
      <c r="J27" s="15">
        <v>55</v>
      </c>
      <c r="K27" s="10"/>
      <c r="L27" s="15"/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48</v>
      </c>
      <c r="I28" s="10"/>
      <c r="J28" s="15">
        <v>85</v>
      </c>
      <c r="K28" s="10"/>
      <c r="L28" s="15"/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41</v>
      </c>
      <c r="I29" s="10"/>
      <c r="J29" s="15">
        <v>23</v>
      </c>
      <c r="K29" s="10"/>
      <c r="L29" s="15"/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52</v>
      </c>
      <c r="I30" s="10"/>
      <c r="J30" s="15">
        <v>79</v>
      </c>
      <c r="K30" s="10"/>
      <c r="L30" s="15"/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98</v>
      </c>
      <c r="I31" s="10"/>
      <c r="J31" s="15">
        <v>100</v>
      </c>
      <c r="K31" s="10"/>
      <c r="L31" s="15"/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5"/>
      <c r="C32" s="10"/>
      <c r="D32" s="15"/>
      <c r="E32" s="10"/>
      <c r="F32" s="15"/>
      <c r="G32" s="10"/>
      <c r="H32" s="16">
        <v>34</v>
      </c>
      <c r="I32" s="10"/>
      <c r="J32" s="15">
        <v>40</v>
      </c>
      <c r="K32" s="10"/>
      <c r="L32" s="15"/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72</v>
      </c>
      <c r="I33" s="10"/>
      <c r="J33" s="15">
        <v>35</v>
      </c>
      <c r="K33" s="10"/>
      <c r="L33" s="15"/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41</v>
      </c>
      <c r="I34" s="10"/>
      <c r="J34" s="15">
        <v>95</v>
      </c>
      <c r="K34" s="10"/>
      <c r="L34" s="15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122</v>
      </c>
      <c r="I35" s="10"/>
      <c r="J35" s="15">
        <v>50</v>
      </c>
      <c r="K35" s="10"/>
      <c r="L35" s="15"/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185</v>
      </c>
      <c r="I36" s="10"/>
      <c r="J36" s="15">
        <v>80</v>
      </c>
      <c r="K36" s="10"/>
      <c r="L36" s="15"/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>
        <v>62</v>
      </c>
      <c r="I37" s="10"/>
      <c r="J37" s="15">
        <v>49</v>
      </c>
      <c r="K37" s="10"/>
      <c r="L37" s="15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118</v>
      </c>
      <c r="C38" s="13"/>
      <c r="D38" s="13">
        <f t="shared" ref="D38:N38" si="0">SUM(D7:D37)</f>
        <v>40</v>
      </c>
      <c r="E38" s="13"/>
      <c r="F38" s="13">
        <f t="shared" si="0"/>
        <v>0</v>
      </c>
      <c r="G38" s="13"/>
      <c r="H38" s="13">
        <f t="shared" si="0"/>
        <v>3384</v>
      </c>
      <c r="I38" s="13"/>
      <c r="J38" s="13">
        <f t="shared" si="0"/>
        <v>2751</v>
      </c>
      <c r="K38" s="13"/>
      <c r="L38" s="13">
        <f t="shared" si="0"/>
        <v>605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</f>
        <v>3989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19" workbookViewId="0">
      <selection activeCell="H43" sqref="H43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57</v>
      </c>
      <c r="I7" s="10"/>
      <c r="J7" s="15">
        <v>100</v>
      </c>
      <c r="K7" s="10"/>
      <c r="L7" s="15">
        <v>150</v>
      </c>
      <c r="M7" s="10"/>
      <c r="N7" s="10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147</v>
      </c>
      <c r="I8" s="10"/>
      <c r="J8" s="15">
        <v>107</v>
      </c>
      <c r="K8" s="10"/>
      <c r="L8" s="15">
        <v>34</v>
      </c>
      <c r="M8" s="10"/>
      <c r="N8" s="10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62</v>
      </c>
      <c r="I9" s="10"/>
      <c r="J9" s="15">
        <v>63</v>
      </c>
      <c r="K9" s="10"/>
      <c r="L9" s="15">
        <v>15</v>
      </c>
      <c r="M9" s="10"/>
      <c r="N9" s="10">
        <v>389</v>
      </c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218</v>
      </c>
      <c r="I10" s="10"/>
      <c r="J10" s="15">
        <v>95</v>
      </c>
      <c r="K10" s="10"/>
      <c r="L10" s="15"/>
      <c r="M10" s="10"/>
      <c r="N10" s="10"/>
      <c r="O10" s="10"/>
    </row>
    <row r="11" spans="1:21" s="8" customFormat="1" ht="19.899999999999999" customHeight="1" x14ac:dyDescent="0.25">
      <c r="A11" s="11">
        <v>5</v>
      </c>
      <c r="B11" s="15">
        <v>10</v>
      </c>
      <c r="C11" s="10"/>
      <c r="D11" s="15"/>
      <c r="E11" s="10"/>
      <c r="F11" s="15"/>
      <c r="G11" s="10"/>
      <c r="H11" s="16">
        <v>84</v>
      </c>
      <c r="I11" s="10"/>
      <c r="J11" s="15">
        <v>98</v>
      </c>
      <c r="K11" s="10"/>
      <c r="L11" s="15">
        <v>153</v>
      </c>
      <c r="M11" s="10"/>
      <c r="N11" s="10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157</v>
      </c>
      <c r="I12" s="10"/>
      <c r="J12" s="15">
        <v>255</v>
      </c>
      <c r="K12" s="10"/>
      <c r="L12" s="15">
        <v>68</v>
      </c>
      <c r="M12" s="10"/>
      <c r="N12" s="10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113</v>
      </c>
      <c r="I13" s="10"/>
      <c r="J13" s="15">
        <v>242</v>
      </c>
      <c r="K13" s="10"/>
      <c r="L13" s="15">
        <v>43</v>
      </c>
      <c r="M13" s="10"/>
      <c r="N13" s="10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50</v>
      </c>
      <c r="I14" s="10"/>
      <c r="J14" s="15">
        <v>47</v>
      </c>
      <c r="K14" s="10"/>
      <c r="L14" s="15">
        <v>22</v>
      </c>
      <c r="M14" s="10"/>
      <c r="N14" s="10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140</v>
      </c>
      <c r="I15" s="10"/>
      <c r="J15" s="15">
        <v>378</v>
      </c>
      <c r="K15" s="10"/>
      <c r="L15" s="15">
        <v>17</v>
      </c>
      <c r="M15" s="10"/>
      <c r="N15" s="10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168</v>
      </c>
      <c r="I16" s="10"/>
      <c r="J16" s="15">
        <v>130</v>
      </c>
      <c r="K16" s="10"/>
      <c r="L16" s="15">
        <v>12</v>
      </c>
      <c r="M16" s="10"/>
      <c r="N16" s="10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106</v>
      </c>
      <c r="I17" s="10"/>
      <c r="J17" s="15">
        <v>116</v>
      </c>
      <c r="K17" s="10"/>
      <c r="L17" s="15"/>
      <c r="M17" s="10"/>
      <c r="N17" s="10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92</v>
      </c>
      <c r="I18" s="10"/>
      <c r="J18" s="15">
        <v>95</v>
      </c>
      <c r="K18" s="10"/>
      <c r="L18" s="15">
        <v>100</v>
      </c>
      <c r="M18" s="10"/>
      <c r="N18" s="10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81</v>
      </c>
      <c r="I19" s="10"/>
      <c r="J19" s="15">
        <v>95</v>
      </c>
      <c r="K19" s="10"/>
      <c r="L19" s="15"/>
      <c r="M19" s="10"/>
      <c r="N19" s="10"/>
      <c r="O19" s="10"/>
    </row>
    <row r="20" spans="1:15" s="8" customFormat="1" ht="19.899999999999999" customHeight="1" x14ac:dyDescent="0.25">
      <c r="A20" s="11">
        <v>14</v>
      </c>
      <c r="B20" s="15">
        <v>10</v>
      </c>
      <c r="C20" s="10"/>
      <c r="D20" s="15"/>
      <c r="E20" s="10"/>
      <c r="F20" s="15"/>
      <c r="G20" s="10"/>
      <c r="H20" s="16">
        <v>189</v>
      </c>
      <c r="I20" s="10"/>
      <c r="J20" s="15">
        <v>172</v>
      </c>
      <c r="K20" s="10"/>
      <c r="L20" s="15">
        <v>48</v>
      </c>
      <c r="M20" s="10"/>
      <c r="N20" s="10"/>
      <c r="O20" s="10"/>
    </row>
    <row r="21" spans="1:15" s="8" customFormat="1" ht="19.899999999999999" customHeight="1" x14ac:dyDescent="0.25">
      <c r="A21" s="11">
        <v>15</v>
      </c>
      <c r="B21" s="15"/>
      <c r="C21" s="10"/>
      <c r="D21" s="15"/>
      <c r="E21" s="10"/>
      <c r="F21" s="15"/>
      <c r="G21" s="10"/>
      <c r="H21" s="16">
        <v>131</v>
      </c>
      <c r="I21" s="10"/>
      <c r="J21" s="15">
        <v>127</v>
      </c>
      <c r="K21" s="10"/>
      <c r="L21" s="15">
        <v>70</v>
      </c>
      <c r="M21" s="10"/>
      <c r="N21" s="10"/>
      <c r="O21" s="10"/>
    </row>
    <row r="22" spans="1:15" s="8" customFormat="1" ht="19.899999999999999" customHeight="1" x14ac:dyDescent="0.25">
      <c r="A22" s="11">
        <v>16</v>
      </c>
      <c r="B22" s="15">
        <v>12</v>
      </c>
      <c r="C22" s="10"/>
      <c r="D22" s="15"/>
      <c r="E22" s="10"/>
      <c r="F22" s="15"/>
      <c r="G22" s="10"/>
      <c r="H22" s="16">
        <v>176</v>
      </c>
      <c r="I22" s="10"/>
      <c r="J22" s="15">
        <v>146</v>
      </c>
      <c r="K22" s="10"/>
      <c r="L22" s="15">
        <v>80</v>
      </c>
      <c r="M22" s="10"/>
      <c r="N22" s="10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354</v>
      </c>
      <c r="I23" s="10"/>
      <c r="J23" s="15">
        <v>174</v>
      </c>
      <c r="K23" s="10"/>
      <c r="L23" s="15">
        <v>5</v>
      </c>
      <c r="M23" s="10"/>
      <c r="N23" s="10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242</v>
      </c>
      <c r="I24" s="10"/>
      <c r="J24" s="15">
        <v>264</v>
      </c>
      <c r="K24" s="10"/>
      <c r="L24" s="15">
        <v>590</v>
      </c>
      <c r="M24" s="10"/>
      <c r="N24" s="10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154</v>
      </c>
      <c r="I25" s="10"/>
      <c r="J25" s="15">
        <v>89</v>
      </c>
      <c r="K25" s="10"/>
      <c r="L25" s="15">
        <v>63</v>
      </c>
      <c r="M25" s="10"/>
      <c r="N25" s="10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158</v>
      </c>
      <c r="I26" s="10"/>
      <c r="J26" s="15">
        <v>145</v>
      </c>
      <c r="K26" s="10"/>
      <c r="L26" s="15">
        <v>130</v>
      </c>
      <c r="M26" s="10"/>
      <c r="N26" s="10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98</v>
      </c>
      <c r="I27" s="10"/>
      <c r="J27" s="15">
        <v>225</v>
      </c>
      <c r="K27" s="10"/>
      <c r="L27" s="15">
        <v>10</v>
      </c>
      <c r="M27" s="10"/>
      <c r="N27" s="10"/>
      <c r="O27" s="10"/>
    </row>
    <row r="28" spans="1:15" s="8" customFormat="1" ht="19.899999999999999" customHeight="1" x14ac:dyDescent="0.25">
      <c r="A28" s="11">
        <v>22</v>
      </c>
      <c r="B28" s="15">
        <v>20</v>
      </c>
      <c r="C28" s="10"/>
      <c r="D28" s="15"/>
      <c r="E28" s="10"/>
      <c r="F28" s="15"/>
      <c r="G28" s="10"/>
      <c r="H28" s="16">
        <v>96</v>
      </c>
      <c r="I28" s="10"/>
      <c r="J28" s="15">
        <v>135</v>
      </c>
      <c r="K28" s="10"/>
      <c r="L28" s="15">
        <v>20</v>
      </c>
      <c r="M28" s="10"/>
      <c r="N28" s="10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81</v>
      </c>
      <c r="I29" s="10"/>
      <c r="J29" s="15">
        <v>95</v>
      </c>
      <c r="K29" s="10"/>
      <c r="L29" s="15">
        <v>61</v>
      </c>
      <c r="M29" s="10"/>
      <c r="N29" s="10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149</v>
      </c>
      <c r="I30" s="10"/>
      <c r="J30" s="15">
        <v>200</v>
      </c>
      <c r="K30" s="10"/>
      <c r="L30" s="15">
        <v>55</v>
      </c>
      <c r="M30" s="10"/>
      <c r="N30" s="10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139</v>
      </c>
      <c r="I31" s="10"/>
      <c r="J31" s="15">
        <v>237</v>
      </c>
      <c r="K31" s="10"/>
      <c r="L31" s="15">
        <v>133</v>
      </c>
      <c r="M31" s="10"/>
      <c r="N31" s="10"/>
      <c r="O31" s="10"/>
    </row>
    <row r="32" spans="1:15" s="8" customFormat="1" ht="19.899999999999999" customHeight="1" x14ac:dyDescent="0.25">
      <c r="A32" s="11">
        <v>26</v>
      </c>
      <c r="B32" s="15"/>
      <c r="C32" s="10"/>
      <c r="D32" s="15"/>
      <c r="E32" s="10"/>
      <c r="F32" s="15"/>
      <c r="G32" s="10"/>
      <c r="H32" s="16">
        <v>378</v>
      </c>
      <c r="I32" s="10"/>
      <c r="J32" s="15">
        <v>90</v>
      </c>
      <c r="K32" s="10"/>
      <c r="L32" s="15">
        <v>40</v>
      </c>
      <c r="M32" s="10"/>
      <c r="N32" s="10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41</v>
      </c>
      <c r="I33" s="10"/>
      <c r="J33" s="15">
        <v>90</v>
      </c>
      <c r="K33" s="10"/>
      <c r="L33" s="15"/>
      <c r="M33" s="10"/>
      <c r="N33" s="10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128</v>
      </c>
      <c r="I34" s="10"/>
      <c r="J34" s="15">
        <v>57</v>
      </c>
      <c r="K34" s="10"/>
      <c r="L34" s="15"/>
      <c r="M34" s="10"/>
      <c r="N34" s="10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284</v>
      </c>
      <c r="I35" s="10"/>
      <c r="J35" s="15">
        <v>235</v>
      </c>
      <c r="K35" s="10"/>
      <c r="L35" s="15"/>
      <c r="M35" s="10"/>
      <c r="N35" s="10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70</v>
      </c>
      <c r="I36" s="10"/>
      <c r="J36" s="15">
        <v>105</v>
      </c>
      <c r="K36" s="10"/>
      <c r="L36" s="15">
        <v>15</v>
      </c>
      <c r="M36" s="10"/>
      <c r="N36" s="10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/>
      <c r="I37" s="10"/>
      <c r="J37" s="15"/>
      <c r="K37" s="10"/>
      <c r="L37" s="15"/>
      <c r="M37" s="10"/>
      <c r="N37" s="10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52</v>
      </c>
      <c r="C38" s="13"/>
      <c r="D38" s="13">
        <f t="shared" ref="D38:N38" si="0">SUM(D7:D37)</f>
        <v>0</v>
      </c>
      <c r="E38" s="13"/>
      <c r="F38" s="13">
        <f t="shared" si="0"/>
        <v>0</v>
      </c>
      <c r="G38" s="13"/>
      <c r="H38" s="13">
        <f t="shared" si="0"/>
        <v>4343</v>
      </c>
      <c r="I38" s="13"/>
      <c r="J38" s="13">
        <f t="shared" si="0"/>
        <v>4407</v>
      </c>
      <c r="K38" s="13"/>
      <c r="L38" s="13">
        <f t="shared" si="0"/>
        <v>1934</v>
      </c>
      <c r="M38" s="13"/>
      <c r="N38" s="13">
        <f t="shared" si="0"/>
        <v>389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H38+L38-800</f>
        <v>5477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opLeftCell="A4" workbookViewId="0">
      <selection activeCell="L25" sqref="L25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318</v>
      </c>
      <c r="I7" s="10"/>
      <c r="J7" s="15">
        <v>79</v>
      </c>
      <c r="K7" s="10"/>
      <c r="L7" s="15">
        <v>170</v>
      </c>
      <c r="M7" s="10"/>
      <c r="N7" s="15"/>
      <c r="O7" s="10"/>
    </row>
    <row r="8" spans="1:21" s="8" customFormat="1" ht="19.899999999999999" customHeight="1" x14ac:dyDescent="0.25">
      <c r="A8" s="11">
        <v>2</v>
      </c>
      <c r="B8" s="15">
        <v>15</v>
      </c>
      <c r="C8" s="10"/>
      <c r="D8" s="15"/>
      <c r="E8" s="10"/>
      <c r="F8" s="15"/>
      <c r="G8" s="10"/>
      <c r="H8" s="16">
        <v>105</v>
      </c>
      <c r="I8" s="10"/>
      <c r="J8" s="15">
        <v>65</v>
      </c>
      <c r="K8" s="10"/>
      <c r="L8" s="15">
        <v>100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185</v>
      </c>
      <c r="I9" s="10"/>
      <c r="J9" s="15">
        <v>251</v>
      </c>
      <c r="K9" s="10"/>
      <c r="L9" s="15">
        <v>145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126</v>
      </c>
      <c r="I10" s="10"/>
      <c r="J10" s="15">
        <v>53</v>
      </c>
      <c r="K10" s="10"/>
      <c r="L10" s="15">
        <v>7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/>
      <c r="C11" s="10"/>
      <c r="D11" s="15"/>
      <c r="E11" s="10"/>
      <c r="F11" s="15"/>
      <c r="G11" s="10"/>
      <c r="H11" s="16">
        <v>272</v>
      </c>
      <c r="I11" s="10"/>
      <c r="J11" s="15">
        <v>142</v>
      </c>
      <c r="K11" s="10"/>
      <c r="L11" s="15">
        <v>22</v>
      </c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377</v>
      </c>
      <c r="I12" s="10"/>
      <c r="J12" s="15">
        <v>268</v>
      </c>
      <c r="K12" s="10"/>
      <c r="L12" s="15">
        <v>162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131</v>
      </c>
      <c r="I13" s="10"/>
      <c r="J13" s="15">
        <v>104</v>
      </c>
      <c r="K13" s="10"/>
      <c r="L13" s="15">
        <v>406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168</v>
      </c>
      <c r="I14" s="10"/>
      <c r="J14" s="15">
        <v>110</v>
      </c>
      <c r="K14" s="10"/>
      <c r="L14" s="15">
        <v>106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123</v>
      </c>
      <c r="I15" s="10"/>
      <c r="J15" s="15">
        <v>80</v>
      </c>
      <c r="K15" s="10"/>
      <c r="L15" s="15">
        <v>350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179</v>
      </c>
      <c r="I16" s="10"/>
      <c r="J16" s="15">
        <v>162</v>
      </c>
      <c r="K16" s="10"/>
      <c r="L16" s="15"/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174</v>
      </c>
      <c r="I17" s="10"/>
      <c r="J17" s="15">
        <v>89</v>
      </c>
      <c r="K17" s="10"/>
      <c r="L17" s="15"/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227</v>
      </c>
      <c r="I18" s="10"/>
      <c r="J18" s="15">
        <v>179</v>
      </c>
      <c r="K18" s="10"/>
      <c r="L18" s="15">
        <v>80</v>
      </c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126</v>
      </c>
      <c r="I19" s="10"/>
      <c r="J19" s="15">
        <v>160</v>
      </c>
      <c r="K19" s="10"/>
      <c r="L19" s="15">
        <v>126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89</v>
      </c>
      <c r="I20" s="10"/>
      <c r="J20" s="15">
        <v>265</v>
      </c>
      <c r="K20" s="10"/>
      <c r="L20" s="15">
        <v>70</v>
      </c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/>
      <c r="C21" s="10"/>
      <c r="D21" s="15"/>
      <c r="E21" s="10"/>
      <c r="F21" s="15"/>
      <c r="G21" s="10"/>
      <c r="H21" s="16">
        <v>159</v>
      </c>
      <c r="I21" s="10"/>
      <c r="J21" s="15">
        <v>138</v>
      </c>
      <c r="K21" s="10"/>
      <c r="L21" s="15">
        <v>90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262</v>
      </c>
      <c r="I22" s="10"/>
      <c r="J22" s="15">
        <v>118</v>
      </c>
      <c r="K22" s="10"/>
      <c r="L22" s="15">
        <v>140</v>
      </c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110</v>
      </c>
      <c r="I23" s="10"/>
      <c r="J23" s="15">
        <v>80</v>
      </c>
      <c r="K23" s="10"/>
      <c r="L23" s="15"/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245</v>
      </c>
      <c r="I24" s="10"/>
      <c r="J24" s="15">
        <v>300</v>
      </c>
      <c r="K24" s="10"/>
      <c r="L24" s="15">
        <v>80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153</v>
      </c>
      <c r="I25" s="10"/>
      <c r="J25" s="15">
        <v>200</v>
      </c>
      <c r="K25" s="10"/>
      <c r="L25" s="15">
        <v>100</v>
      </c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>
        <v>50</v>
      </c>
      <c r="C26" s="10"/>
      <c r="D26" s="15"/>
      <c r="E26" s="10"/>
      <c r="F26" s="15"/>
      <c r="G26" s="10"/>
      <c r="H26" s="16">
        <v>126</v>
      </c>
      <c r="I26" s="10"/>
      <c r="J26" s="15">
        <v>152</v>
      </c>
      <c r="K26" s="10"/>
      <c r="L26" s="15">
        <v>30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183</v>
      </c>
      <c r="I27" s="10"/>
      <c r="J27" s="15">
        <v>150</v>
      </c>
      <c r="K27" s="10"/>
      <c r="L27" s="15"/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269</v>
      </c>
      <c r="I28" s="10"/>
      <c r="J28" s="15">
        <v>175</v>
      </c>
      <c r="K28" s="10"/>
      <c r="L28" s="15">
        <v>8</v>
      </c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>
        <v>30</v>
      </c>
      <c r="E29" s="10"/>
      <c r="F29" s="15"/>
      <c r="G29" s="10"/>
      <c r="H29" s="16">
        <v>91</v>
      </c>
      <c r="I29" s="10"/>
      <c r="J29" s="15">
        <v>279</v>
      </c>
      <c r="K29" s="10"/>
      <c r="L29" s="15">
        <v>152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/>
      <c r="C30" s="10"/>
      <c r="D30" s="15"/>
      <c r="E30" s="10"/>
      <c r="F30" s="15"/>
      <c r="G30" s="10"/>
      <c r="H30" s="16">
        <v>278</v>
      </c>
      <c r="I30" s="10"/>
      <c r="J30" s="15">
        <v>197</v>
      </c>
      <c r="K30" s="10"/>
      <c r="L30" s="15">
        <v>30</v>
      </c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/>
      <c r="C31" s="10"/>
      <c r="D31" s="15"/>
      <c r="E31" s="10"/>
      <c r="F31" s="15"/>
      <c r="G31" s="10"/>
      <c r="H31" s="16">
        <v>122</v>
      </c>
      <c r="I31" s="10"/>
      <c r="J31" s="15">
        <v>189</v>
      </c>
      <c r="K31" s="10"/>
      <c r="L31" s="15"/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5</v>
      </c>
      <c r="C32" s="10"/>
      <c r="D32" s="15"/>
      <c r="E32" s="10"/>
      <c r="F32" s="15"/>
      <c r="G32" s="10"/>
      <c r="H32" s="16">
        <v>227</v>
      </c>
      <c r="I32" s="10"/>
      <c r="J32" s="15">
        <v>446</v>
      </c>
      <c r="K32" s="10"/>
      <c r="L32" s="15">
        <v>590</v>
      </c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15</v>
      </c>
      <c r="I33" s="10"/>
      <c r="J33" s="15">
        <v>45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67</v>
      </c>
      <c r="I34" s="10"/>
      <c r="J34" s="15">
        <v>121</v>
      </c>
      <c r="K34" s="10"/>
      <c r="L34" s="15">
        <v>95</v>
      </c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347</v>
      </c>
      <c r="I35" s="10"/>
      <c r="J35" s="15">
        <v>187</v>
      </c>
      <c r="K35" s="10"/>
      <c r="L35" s="15"/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107</v>
      </c>
      <c r="I36" s="10"/>
      <c r="J36" s="15">
        <v>297</v>
      </c>
      <c r="K36" s="10"/>
      <c r="L36" s="15">
        <v>308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>
        <v>168</v>
      </c>
      <c r="I37" s="10"/>
      <c r="J37" s="15">
        <v>162</v>
      </c>
      <c r="K37" s="10"/>
      <c r="L37" s="15">
        <v>215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3">
        <f>SUM(B7:B37)</f>
        <v>70</v>
      </c>
      <c r="C38" s="13"/>
      <c r="D38" s="13">
        <f t="shared" ref="D38:N38" si="0">SUM(D7:D37)</f>
        <v>30</v>
      </c>
      <c r="E38" s="13"/>
      <c r="F38" s="13">
        <f t="shared" si="0"/>
        <v>0</v>
      </c>
      <c r="G38" s="13"/>
      <c r="H38" s="13">
        <f t="shared" si="0"/>
        <v>5529</v>
      </c>
      <c r="I38" s="13"/>
      <c r="J38" s="13">
        <f t="shared" si="0"/>
        <v>5243</v>
      </c>
      <c r="K38" s="13"/>
      <c r="L38" s="13">
        <f t="shared" si="0"/>
        <v>3582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  <row r="43" spans="1:22" x14ac:dyDescent="0.25">
      <c r="H43">
        <f>H38+L38-1500</f>
        <v>7611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9" workbookViewId="0">
      <selection activeCell="H42" sqref="H42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/>
      <c r="C7" s="10"/>
      <c r="D7" s="15"/>
      <c r="E7" s="10"/>
      <c r="F7" s="15"/>
      <c r="G7" s="10"/>
      <c r="H7" s="16">
        <v>146</v>
      </c>
      <c r="I7" s="10"/>
      <c r="J7" s="15">
        <v>170</v>
      </c>
      <c r="K7" s="10"/>
      <c r="L7" s="15"/>
      <c r="M7" s="10"/>
      <c r="N7" s="15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375</v>
      </c>
      <c r="I8" s="10"/>
      <c r="J8" s="15">
        <v>210</v>
      </c>
      <c r="K8" s="10"/>
      <c r="L8" s="15">
        <v>275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/>
      <c r="C9" s="10"/>
      <c r="D9" s="15"/>
      <c r="E9" s="10"/>
      <c r="F9" s="15"/>
      <c r="G9" s="10"/>
      <c r="H9" s="16">
        <v>203</v>
      </c>
      <c r="I9" s="10"/>
      <c r="J9" s="15">
        <v>217</v>
      </c>
      <c r="K9" s="10"/>
      <c r="L9" s="15">
        <v>150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346</v>
      </c>
      <c r="I10" s="10"/>
      <c r="J10" s="15">
        <v>300</v>
      </c>
      <c r="K10" s="10"/>
      <c r="L10" s="15">
        <v>50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/>
      <c r="C11" s="10"/>
      <c r="D11" s="15"/>
      <c r="E11" s="10"/>
      <c r="F11" s="15"/>
      <c r="G11" s="10"/>
      <c r="H11" s="16">
        <v>323</v>
      </c>
      <c r="I11" s="10"/>
      <c r="J11" s="15">
        <v>180</v>
      </c>
      <c r="K11" s="10"/>
      <c r="L11" s="15">
        <v>115</v>
      </c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/>
      <c r="C12" s="10"/>
      <c r="D12" s="15"/>
      <c r="E12" s="10"/>
      <c r="F12" s="15"/>
      <c r="G12" s="10"/>
      <c r="H12" s="16">
        <v>173</v>
      </c>
      <c r="I12" s="10"/>
      <c r="J12" s="15">
        <v>175</v>
      </c>
      <c r="K12" s="10"/>
      <c r="L12" s="15">
        <v>40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0"/>
      <c r="C13" s="10"/>
      <c r="D13" s="15"/>
      <c r="E13" s="10"/>
      <c r="F13" s="15"/>
      <c r="G13" s="10"/>
      <c r="H13" s="16">
        <v>212</v>
      </c>
      <c r="I13" s="10"/>
      <c r="J13" s="15">
        <v>164</v>
      </c>
      <c r="K13" s="10"/>
      <c r="L13" s="15">
        <v>145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>
        <v>3</v>
      </c>
      <c r="G14" s="10"/>
      <c r="H14" s="16">
        <v>109</v>
      </c>
      <c r="I14" s="10"/>
      <c r="J14" s="15">
        <v>150</v>
      </c>
      <c r="K14" s="10"/>
      <c r="L14" s="15">
        <v>210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>
        <v>30</v>
      </c>
      <c r="C15" s="10"/>
      <c r="D15" s="15"/>
      <c r="E15" s="10"/>
      <c r="F15" s="15"/>
      <c r="G15" s="10"/>
      <c r="H15" s="16">
        <v>301</v>
      </c>
      <c r="I15" s="10"/>
      <c r="J15" s="15">
        <v>104</v>
      </c>
      <c r="K15" s="10"/>
      <c r="L15" s="15"/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124</v>
      </c>
      <c r="I16" s="10"/>
      <c r="J16" s="15">
        <v>160</v>
      </c>
      <c r="K16" s="10"/>
      <c r="L16" s="15">
        <v>30</v>
      </c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/>
      <c r="C17" s="10"/>
      <c r="D17" s="15"/>
      <c r="E17" s="10"/>
      <c r="F17" s="15"/>
      <c r="G17" s="10"/>
      <c r="H17" s="16">
        <v>249</v>
      </c>
      <c r="I17" s="10"/>
      <c r="J17" s="15">
        <v>115</v>
      </c>
      <c r="K17" s="10"/>
      <c r="L17" s="15">
        <v>30</v>
      </c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>
        <v>15</v>
      </c>
      <c r="C18" s="10"/>
      <c r="D18" s="15"/>
      <c r="E18" s="10"/>
      <c r="F18" s="15"/>
      <c r="G18" s="10"/>
      <c r="H18" s="16">
        <v>210</v>
      </c>
      <c r="I18" s="10"/>
      <c r="J18" s="15">
        <v>230</v>
      </c>
      <c r="K18" s="10"/>
      <c r="L18" s="15">
        <v>152</v>
      </c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/>
      <c r="C19" s="10"/>
      <c r="D19" s="15"/>
      <c r="E19" s="10"/>
      <c r="F19" s="15"/>
      <c r="G19" s="10"/>
      <c r="H19" s="16">
        <v>131</v>
      </c>
      <c r="I19" s="10"/>
      <c r="J19" s="15">
        <v>420</v>
      </c>
      <c r="K19" s="10"/>
      <c r="L19" s="15">
        <v>146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>
        <v>15</v>
      </c>
      <c r="C20" s="10"/>
      <c r="D20" s="15"/>
      <c r="E20" s="10"/>
      <c r="F20" s="15"/>
      <c r="G20" s="10"/>
      <c r="H20" s="16">
        <v>244</v>
      </c>
      <c r="I20" s="10"/>
      <c r="J20" s="15">
        <v>239</v>
      </c>
      <c r="K20" s="10"/>
      <c r="L20" s="15">
        <v>165</v>
      </c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>
        <v>5</v>
      </c>
      <c r="C21" s="10"/>
      <c r="D21" s="15"/>
      <c r="E21" s="10"/>
      <c r="F21" s="15"/>
      <c r="G21" s="10"/>
      <c r="H21" s="16">
        <v>328</v>
      </c>
      <c r="I21" s="10"/>
      <c r="J21" s="15">
        <v>165</v>
      </c>
      <c r="K21" s="10"/>
      <c r="L21" s="15"/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208</v>
      </c>
      <c r="I22" s="10"/>
      <c r="J22" s="15">
        <v>195</v>
      </c>
      <c r="K22" s="10"/>
      <c r="L22" s="15">
        <v>75</v>
      </c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>
        <v>5</v>
      </c>
      <c r="C23" s="10"/>
      <c r="D23" s="15"/>
      <c r="E23" s="10"/>
      <c r="F23" s="15"/>
      <c r="G23" s="10"/>
      <c r="H23" s="16">
        <v>190</v>
      </c>
      <c r="I23" s="10"/>
      <c r="J23" s="15">
        <v>209</v>
      </c>
      <c r="K23" s="10"/>
      <c r="L23" s="15">
        <v>5</v>
      </c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>
        <v>15</v>
      </c>
      <c r="C24" s="10"/>
      <c r="D24" s="15"/>
      <c r="E24" s="10"/>
      <c r="F24" s="15"/>
      <c r="G24" s="10"/>
      <c r="H24" s="16">
        <v>131</v>
      </c>
      <c r="I24" s="10"/>
      <c r="J24" s="15">
        <v>189</v>
      </c>
      <c r="K24" s="10"/>
      <c r="L24" s="15">
        <v>15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/>
      <c r="C25" s="10"/>
      <c r="D25" s="15"/>
      <c r="E25" s="10"/>
      <c r="F25" s="15"/>
      <c r="G25" s="10"/>
      <c r="H25" s="16">
        <v>127</v>
      </c>
      <c r="I25" s="10"/>
      <c r="J25" s="15">
        <v>555</v>
      </c>
      <c r="K25" s="10"/>
      <c r="L25" s="15"/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178</v>
      </c>
      <c r="I26" s="10"/>
      <c r="J26" s="15">
        <v>270</v>
      </c>
      <c r="K26" s="10"/>
      <c r="L26" s="15">
        <v>330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159</v>
      </c>
      <c r="I27" s="10"/>
      <c r="J27" s="15">
        <v>117</v>
      </c>
      <c r="K27" s="10"/>
      <c r="L27" s="15">
        <v>60</v>
      </c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/>
      <c r="C28" s="10"/>
      <c r="D28" s="15"/>
      <c r="E28" s="10"/>
      <c r="F28" s="15"/>
      <c r="G28" s="10"/>
      <c r="H28" s="16">
        <v>240</v>
      </c>
      <c r="I28" s="10"/>
      <c r="J28" s="15">
        <v>187</v>
      </c>
      <c r="K28" s="10"/>
      <c r="L28" s="15"/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>
        <v>3</v>
      </c>
      <c r="C29" s="10"/>
      <c r="D29" s="15"/>
      <c r="E29" s="10"/>
      <c r="F29" s="15"/>
      <c r="G29" s="10"/>
      <c r="H29" s="16">
        <v>173</v>
      </c>
      <c r="I29" s="10"/>
      <c r="J29" s="15">
        <v>106</v>
      </c>
      <c r="K29" s="10"/>
      <c r="L29" s="15">
        <v>50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>
        <v>40</v>
      </c>
      <c r="C30" s="10"/>
      <c r="D30" s="15"/>
      <c r="E30" s="10"/>
      <c r="F30" s="15"/>
      <c r="G30" s="10"/>
      <c r="H30" s="16">
        <v>91</v>
      </c>
      <c r="I30" s="10"/>
      <c r="J30" s="15">
        <v>190</v>
      </c>
      <c r="K30" s="10"/>
      <c r="L30" s="15">
        <v>10</v>
      </c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>
        <v>3</v>
      </c>
      <c r="C31" s="10"/>
      <c r="D31" s="15"/>
      <c r="E31" s="10"/>
      <c r="F31" s="15"/>
      <c r="G31" s="10"/>
      <c r="H31" s="16">
        <v>115</v>
      </c>
      <c r="I31" s="10"/>
      <c r="J31" s="15">
        <v>258</v>
      </c>
      <c r="K31" s="10"/>
      <c r="L31" s="15">
        <v>205</v>
      </c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40</v>
      </c>
      <c r="C32" s="10"/>
      <c r="D32" s="15"/>
      <c r="E32" s="10"/>
      <c r="F32" s="15"/>
      <c r="G32" s="10"/>
      <c r="H32" s="16">
        <v>154</v>
      </c>
      <c r="I32" s="10"/>
      <c r="J32" s="15">
        <v>275</v>
      </c>
      <c r="K32" s="10"/>
      <c r="L32" s="15"/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>
        <v>10</v>
      </c>
      <c r="C33" s="10"/>
      <c r="D33" s="15"/>
      <c r="E33" s="10"/>
      <c r="F33" s="15"/>
      <c r="G33" s="10"/>
      <c r="H33" s="16">
        <v>168</v>
      </c>
      <c r="I33" s="10"/>
      <c r="J33" s="15">
        <v>278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95</v>
      </c>
      <c r="I34" s="10"/>
      <c r="J34" s="15">
        <v>75</v>
      </c>
      <c r="K34" s="10"/>
      <c r="L34" s="15"/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136</v>
      </c>
      <c r="I35" s="10"/>
      <c r="J35" s="15">
        <v>60</v>
      </c>
      <c r="K35" s="10"/>
      <c r="L35" s="15"/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>
        <v>77</v>
      </c>
      <c r="C36" s="10"/>
      <c r="D36" s="15"/>
      <c r="E36" s="10"/>
      <c r="F36" s="15"/>
      <c r="G36" s="10"/>
      <c r="H36" s="16">
        <v>97</v>
      </c>
      <c r="I36" s="10"/>
      <c r="J36" s="15">
        <v>212</v>
      </c>
      <c r="K36" s="10"/>
      <c r="L36" s="15">
        <v>120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>
        <v>42</v>
      </c>
      <c r="C37" s="10"/>
      <c r="D37" s="15"/>
      <c r="E37" s="10"/>
      <c r="F37" s="15"/>
      <c r="G37" s="10"/>
      <c r="H37" s="16">
        <v>132</v>
      </c>
      <c r="I37" s="10"/>
      <c r="J37" s="15">
        <v>216</v>
      </c>
      <c r="K37" s="10"/>
      <c r="L37" s="15">
        <v>20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300</v>
      </c>
      <c r="C38" s="12"/>
      <c r="D38" s="12">
        <f t="shared" ref="D38:N38" si="0">SUM(D7:D37)</f>
        <v>0</v>
      </c>
      <c r="E38" s="12"/>
      <c r="F38" s="12">
        <f t="shared" si="0"/>
        <v>3</v>
      </c>
      <c r="G38" s="12"/>
      <c r="H38" s="12">
        <f t="shared" si="0"/>
        <v>5868</v>
      </c>
      <c r="I38" s="12"/>
      <c r="J38" s="12">
        <f t="shared" si="0"/>
        <v>6391</v>
      </c>
      <c r="K38" s="12"/>
      <c r="L38" s="12">
        <f t="shared" si="0"/>
        <v>2398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7766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4" workbookViewId="0">
      <selection activeCell="H41" sqref="H41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152</v>
      </c>
      <c r="C7" s="10"/>
      <c r="D7" s="15"/>
      <c r="E7" s="10"/>
      <c r="F7" s="15"/>
      <c r="G7" s="10"/>
      <c r="H7" s="16">
        <v>244</v>
      </c>
      <c r="I7" s="10"/>
      <c r="J7" s="15">
        <v>208</v>
      </c>
      <c r="K7" s="10"/>
      <c r="L7" s="15">
        <v>65</v>
      </c>
      <c r="M7" s="10"/>
      <c r="N7" s="15"/>
      <c r="O7" s="10"/>
    </row>
    <row r="8" spans="1:21" s="8" customFormat="1" ht="19.899999999999999" customHeight="1" x14ac:dyDescent="0.25">
      <c r="A8" s="11">
        <v>2</v>
      </c>
      <c r="B8" s="15">
        <v>15</v>
      </c>
      <c r="C8" s="10"/>
      <c r="D8" s="15"/>
      <c r="E8" s="10"/>
      <c r="F8" s="15"/>
      <c r="G8" s="10"/>
      <c r="H8" s="16">
        <v>182</v>
      </c>
      <c r="I8" s="10"/>
      <c r="J8" s="15">
        <v>325</v>
      </c>
      <c r="K8" s="10"/>
      <c r="L8" s="15"/>
      <c r="M8" s="10"/>
      <c r="N8" s="15"/>
      <c r="O8" s="10"/>
    </row>
    <row r="9" spans="1:21" s="8" customFormat="1" ht="19.899999999999999" customHeight="1" x14ac:dyDescent="0.25">
      <c r="A9" s="11">
        <v>3</v>
      </c>
      <c r="B9" s="15">
        <v>7</v>
      </c>
      <c r="C9" s="10"/>
      <c r="D9" s="15"/>
      <c r="E9" s="10"/>
      <c r="F9" s="15"/>
      <c r="G9" s="10"/>
      <c r="H9" s="16">
        <v>166</v>
      </c>
      <c r="I9" s="10"/>
      <c r="J9" s="15">
        <v>273</v>
      </c>
      <c r="K9" s="10"/>
      <c r="L9" s="15">
        <v>662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>
        <v>75</v>
      </c>
      <c r="C10" s="10"/>
      <c r="D10" s="15"/>
      <c r="E10" s="10"/>
      <c r="F10" s="15"/>
      <c r="G10" s="10"/>
      <c r="H10" s="16">
        <v>219</v>
      </c>
      <c r="I10" s="10"/>
      <c r="J10" s="15">
        <v>436</v>
      </c>
      <c r="K10" s="10"/>
      <c r="L10" s="15">
        <v>95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>
        <v>49</v>
      </c>
      <c r="C11" s="10"/>
      <c r="D11" s="15"/>
      <c r="E11" s="10"/>
      <c r="F11" s="15"/>
      <c r="G11" s="10"/>
      <c r="H11" s="16">
        <v>74</v>
      </c>
      <c r="I11" s="10"/>
      <c r="J11" s="15">
        <v>73</v>
      </c>
      <c r="K11" s="10"/>
      <c r="L11" s="15"/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>
        <v>21</v>
      </c>
      <c r="C12" s="10"/>
      <c r="D12" s="15"/>
      <c r="E12" s="10"/>
      <c r="F12" s="15"/>
      <c r="G12" s="10"/>
      <c r="H12" s="16">
        <v>85</v>
      </c>
      <c r="I12" s="10"/>
      <c r="J12" s="15">
        <v>131</v>
      </c>
      <c r="K12" s="10"/>
      <c r="L12" s="15">
        <v>120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5">
        <v>26</v>
      </c>
      <c r="C13" s="10"/>
      <c r="D13" s="15"/>
      <c r="E13" s="10"/>
      <c r="F13" s="15"/>
      <c r="G13" s="10"/>
      <c r="H13" s="16">
        <v>95</v>
      </c>
      <c r="I13" s="10"/>
      <c r="J13" s="15">
        <v>350</v>
      </c>
      <c r="K13" s="10"/>
      <c r="L13" s="15">
        <v>30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/>
      <c r="C14" s="10"/>
      <c r="D14" s="15"/>
      <c r="E14" s="10"/>
      <c r="F14" s="15"/>
      <c r="G14" s="10"/>
      <c r="H14" s="16">
        <v>107</v>
      </c>
      <c r="I14" s="10"/>
      <c r="J14" s="15">
        <v>115</v>
      </c>
      <c r="K14" s="10"/>
      <c r="L14" s="15">
        <v>2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>
        <v>23</v>
      </c>
      <c r="C15" s="10"/>
      <c r="D15" s="15"/>
      <c r="E15" s="10"/>
      <c r="F15" s="15"/>
      <c r="G15" s="10"/>
      <c r="H15" s="16">
        <v>133</v>
      </c>
      <c r="I15" s="10"/>
      <c r="J15" s="15">
        <v>164</v>
      </c>
      <c r="K15" s="10"/>
      <c r="L15" s="15">
        <v>90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>
        <v>120</v>
      </c>
      <c r="C16" s="10"/>
      <c r="D16" s="15"/>
      <c r="E16" s="10"/>
      <c r="F16" s="15"/>
      <c r="G16" s="10"/>
      <c r="H16" s="16">
        <v>311</v>
      </c>
      <c r="I16" s="10"/>
      <c r="J16" s="15">
        <v>390</v>
      </c>
      <c r="K16" s="10"/>
      <c r="L16" s="15">
        <v>280</v>
      </c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>
        <v>71</v>
      </c>
      <c r="C17" s="10"/>
      <c r="D17" s="15">
        <v>10</v>
      </c>
      <c r="E17" s="10"/>
      <c r="F17" s="15"/>
      <c r="G17" s="10"/>
      <c r="H17" s="16">
        <v>231</v>
      </c>
      <c r="I17" s="10"/>
      <c r="J17" s="15">
        <v>269</v>
      </c>
      <c r="K17" s="10"/>
      <c r="L17" s="15"/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>
        <v>15</v>
      </c>
      <c r="C18" s="10"/>
      <c r="D18" s="15"/>
      <c r="E18" s="10"/>
      <c r="F18" s="15"/>
      <c r="G18" s="10"/>
      <c r="H18" s="16">
        <v>74</v>
      </c>
      <c r="I18" s="10"/>
      <c r="J18" s="15">
        <v>171</v>
      </c>
      <c r="K18" s="10"/>
      <c r="L18" s="15"/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>
        <v>10</v>
      </c>
      <c r="C19" s="10"/>
      <c r="D19" s="15"/>
      <c r="E19" s="10"/>
      <c r="F19" s="15"/>
      <c r="G19" s="10"/>
      <c r="H19" s="16">
        <v>95</v>
      </c>
      <c r="I19" s="10"/>
      <c r="J19" s="15">
        <v>139</v>
      </c>
      <c r="K19" s="10"/>
      <c r="L19" s="15">
        <v>5</v>
      </c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121</v>
      </c>
      <c r="I20" s="10"/>
      <c r="J20" s="15">
        <v>243</v>
      </c>
      <c r="K20" s="10"/>
      <c r="L20" s="15"/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>
        <v>60</v>
      </c>
      <c r="C21" s="10"/>
      <c r="D21" s="15"/>
      <c r="E21" s="10"/>
      <c r="F21" s="15"/>
      <c r="G21" s="10"/>
      <c r="H21" s="16">
        <v>231</v>
      </c>
      <c r="I21" s="10"/>
      <c r="J21" s="15">
        <v>310</v>
      </c>
      <c r="K21" s="10"/>
      <c r="L21" s="15">
        <v>180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125</v>
      </c>
      <c r="I22" s="10"/>
      <c r="J22" s="15">
        <v>580</v>
      </c>
      <c r="K22" s="10"/>
      <c r="L22" s="15"/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>
        <v>15</v>
      </c>
      <c r="C23" s="10"/>
      <c r="D23" s="15">
        <v>2</v>
      </c>
      <c r="E23" s="10"/>
      <c r="F23" s="15"/>
      <c r="G23" s="10"/>
      <c r="H23" s="16">
        <v>260</v>
      </c>
      <c r="I23" s="10"/>
      <c r="J23" s="15">
        <v>160</v>
      </c>
      <c r="K23" s="10"/>
      <c r="L23" s="15">
        <v>80</v>
      </c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>
        <v>35</v>
      </c>
      <c r="C24" s="10"/>
      <c r="D24" s="15"/>
      <c r="E24" s="10"/>
      <c r="F24" s="15"/>
      <c r="G24" s="10"/>
      <c r="H24" s="16">
        <v>115</v>
      </c>
      <c r="I24" s="10"/>
      <c r="J24" s="15">
        <v>60</v>
      </c>
      <c r="K24" s="10"/>
      <c r="L24" s="15">
        <v>120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>
        <v>45</v>
      </c>
      <c r="C25" s="10"/>
      <c r="D25" s="15"/>
      <c r="E25" s="10"/>
      <c r="F25" s="15"/>
      <c r="G25" s="10"/>
      <c r="H25" s="16">
        <v>102</v>
      </c>
      <c r="I25" s="10"/>
      <c r="J25" s="15">
        <v>325</v>
      </c>
      <c r="K25" s="10"/>
      <c r="L25" s="15">
        <v>30</v>
      </c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160</v>
      </c>
      <c r="I26" s="10"/>
      <c r="J26" s="15">
        <v>98</v>
      </c>
      <c r="K26" s="10"/>
      <c r="L26" s="15">
        <v>10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95</v>
      </c>
      <c r="I27" s="10"/>
      <c r="J27" s="15">
        <v>205</v>
      </c>
      <c r="K27" s="10"/>
      <c r="L27" s="15">
        <v>40</v>
      </c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>
        <v>275</v>
      </c>
      <c r="C28" s="10"/>
      <c r="D28" s="15"/>
      <c r="E28" s="10"/>
      <c r="F28" s="15"/>
      <c r="G28" s="10"/>
      <c r="H28" s="16">
        <v>203</v>
      </c>
      <c r="I28" s="10"/>
      <c r="J28" s="15">
        <v>120</v>
      </c>
      <c r="K28" s="10"/>
      <c r="L28" s="15">
        <v>34</v>
      </c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/>
      <c r="C29" s="10"/>
      <c r="D29" s="15"/>
      <c r="E29" s="10"/>
      <c r="F29" s="15"/>
      <c r="G29" s="10"/>
      <c r="H29" s="16">
        <v>78</v>
      </c>
      <c r="I29" s="10"/>
      <c r="J29" s="15">
        <v>88</v>
      </c>
      <c r="K29" s="10"/>
      <c r="L29" s="15">
        <v>276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>
        <v>30</v>
      </c>
      <c r="C30" s="10"/>
      <c r="D30" s="15"/>
      <c r="E30" s="10"/>
      <c r="F30" s="15"/>
      <c r="G30" s="10"/>
      <c r="H30" s="16">
        <v>172</v>
      </c>
      <c r="I30" s="10"/>
      <c r="J30" s="15">
        <v>233</v>
      </c>
      <c r="K30" s="10"/>
      <c r="L30" s="15">
        <v>311</v>
      </c>
      <c r="M30" s="10">
        <v>314</v>
      </c>
      <c r="N30" s="15"/>
      <c r="O30" s="10"/>
    </row>
    <row r="31" spans="1:15" s="8" customFormat="1" ht="19.899999999999999" customHeight="1" x14ac:dyDescent="0.25">
      <c r="A31" s="11">
        <v>25</v>
      </c>
      <c r="B31" s="15">
        <v>10</v>
      </c>
      <c r="C31" s="10"/>
      <c r="D31" s="15"/>
      <c r="E31" s="10"/>
      <c r="F31" s="15"/>
      <c r="G31" s="10"/>
      <c r="H31" s="16">
        <v>143</v>
      </c>
      <c r="I31" s="10"/>
      <c r="J31" s="15">
        <v>174</v>
      </c>
      <c r="K31" s="10"/>
      <c r="L31" s="15">
        <v>35</v>
      </c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16</v>
      </c>
      <c r="C32" s="10"/>
      <c r="D32" s="15"/>
      <c r="E32" s="10"/>
      <c r="F32" s="15"/>
      <c r="G32" s="10"/>
      <c r="H32" s="16">
        <v>88</v>
      </c>
      <c r="I32" s="10"/>
      <c r="J32" s="15">
        <v>329</v>
      </c>
      <c r="K32" s="10"/>
      <c r="L32" s="15">
        <v>554</v>
      </c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/>
      <c r="C33" s="10"/>
      <c r="D33" s="15"/>
      <c r="E33" s="10"/>
      <c r="F33" s="15"/>
      <c r="G33" s="10"/>
      <c r="H33" s="16">
        <v>47</v>
      </c>
      <c r="I33" s="10"/>
      <c r="J33" s="15">
        <v>50</v>
      </c>
      <c r="K33" s="10"/>
      <c r="L33" s="15"/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71</v>
      </c>
      <c r="I34" s="10"/>
      <c r="J34" s="15">
        <v>90</v>
      </c>
      <c r="K34" s="10"/>
      <c r="L34" s="15">
        <v>35</v>
      </c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40</v>
      </c>
      <c r="I35" s="10"/>
      <c r="J35" s="15">
        <v>20</v>
      </c>
      <c r="K35" s="10"/>
      <c r="L35" s="15">
        <v>20</v>
      </c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>
        <v>50</v>
      </c>
      <c r="C36" s="10"/>
      <c r="D36" s="15"/>
      <c r="E36" s="10"/>
      <c r="F36" s="15">
        <v>7</v>
      </c>
      <c r="G36" s="10"/>
      <c r="H36" s="16">
        <v>85</v>
      </c>
      <c r="I36" s="10"/>
      <c r="J36" s="15">
        <v>153</v>
      </c>
      <c r="K36" s="10"/>
      <c r="L36" s="15">
        <v>150</v>
      </c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/>
      <c r="C37" s="10"/>
      <c r="D37" s="15"/>
      <c r="E37" s="10"/>
      <c r="F37" s="15"/>
      <c r="G37" s="10"/>
      <c r="H37" s="16"/>
      <c r="I37" s="10"/>
      <c r="J37" s="15"/>
      <c r="K37" s="10"/>
      <c r="L37" s="15"/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1120</v>
      </c>
      <c r="C38" s="12"/>
      <c r="D38" s="12">
        <f t="shared" ref="D38:N38" si="0">SUM(D7:D37)</f>
        <v>12</v>
      </c>
      <c r="E38" s="12"/>
      <c r="F38" s="12">
        <f t="shared" si="0"/>
        <v>7</v>
      </c>
      <c r="G38" s="12"/>
      <c r="H38" s="12">
        <f t="shared" si="0"/>
        <v>4152</v>
      </c>
      <c r="I38" s="12"/>
      <c r="J38" s="12">
        <f t="shared" si="0"/>
        <v>6282</v>
      </c>
      <c r="K38" s="12"/>
      <c r="L38" s="12">
        <f t="shared" si="0"/>
        <v>3224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6876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6" workbookViewId="0">
      <selection activeCell="H42" sqref="H42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8</v>
      </c>
      <c r="C7" s="10"/>
      <c r="D7" s="15"/>
      <c r="E7" s="10"/>
      <c r="F7" s="15"/>
      <c r="G7" s="10"/>
      <c r="H7" s="16">
        <v>136</v>
      </c>
      <c r="I7" s="10"/>
      <c r="J7" s="15">
        <v>154</v>
      </c>
      <c r="K7" s="10"/>
      <c r="L7" s="15"/>
      <c r="M7" s="10"/>
      <c r="N7" s="15"/>
      <c r="O7" s="10"/>
    </row>
    <row r="8" spans="1:21" s="8" customFormat="1" ht="19.899999999999999" customHeight="1" x14ac:dyDescent="0.25">
      <c r="A8" s="11">
        <v>2</v>
      </c>
      <c r="B8" s="15"/>
      <c r="C8" s="10"/>
      <c r="D8" s="15"/>
      <c r="E8" s="10"/>
      <c r="F8" s="15"/>
      <c r="G8" s="10"/>
      <c r="H8" s="16">
        <v>47</v>
      </c>
      <c r="I8" s="10"/>
      <c r="J8" s="15">
        <v>145</v>
      </c>
      <c r="K8" s="10"/>
      <c r="L8" s="15">
        <v>452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>
        <v>90</v>
      </c>
      <c r="C9" s="10"/>
      <c r="D9" s="15"/>
      <c r="E9" s="10"/>
      <c r="F9" s="15"/>
      <c r="G9" s="10"/>
      <c r="H9" s="16">
        <v>95</v>
      </c>
      <c r="I9" s="10"/>
      <c r="J9" s="15">
        <v>150</v>
      </c>
      <c r="K9" s="10"/>
      <c r="L9" s="15"/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>
        <v>45</v>
      </c>
      <c r="C10" s="10"/>
      <c r="D10" s="15"/>
      <c r="E10" s="10"/>
      <c r="F10" s="15"/>
      <c r="G10" s="10"/>
      <c r="H10" s="16">
        <v>174</v>
      </c>
      <c r="I10" s="10"/>
      <c r="J10" s="15">
        <v>210</v>
      </c>
      <c r="K10" s="10"/>
      <c r="L10" s="15">
        <v>55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>
        <v>37</v>
      </c>
      <c r="C11" s="10"/>
      <c r="D11" s="15"/>
      <c r="E11" s="10"/>
      <c r="F11" s="15"/>
      <c r="G11" s="10"/>
      <c r="H11" s="16">
        <v>167</v>
      </c>
      <c r="I11" s="10"/>
      <c r="J11" s="15">
        <v>254</v>
      </c>
      <c r="K11" s="10"/>
      <c r="L11" s="15"/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>
        <v>15</v>
      </c>
      <c r="C12" s="10"/>
      <c r="D12" s="15"/>
      <c r="E12" s="10"/>
      <c r="F12" s="15"/>
      <c r="G12" s="10"/>
      <c r="H12" s="16">
        <v>143</v>
      </c>
      <c r="I12" s="10"/>
      <c r="J12" s="15">
        <v>246</v>
      </c>
      <c r="K12" s="10"/>
      <c r="L12" s="15">
        <v>25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5"/>
      <c r="C13" s="10"/>
      <c r="D13" s="15"/>
      <c r="E13" s="10"/>
      <c r="F13" s="15"/>
      <c r="G13" s="10"/>
      <c r="H13" s="16">
        <v>13</v>
      </c>
      <c r="I13" s="10"/>
      <c r="J13" s="15">
        <v>50</v>
      </c>
      <c r="K13" s="10"/>
      <c r="L13" s="15"/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>
        <v>47</v>
      </c>
      <c r="C14" s="10"/>
      <c r="D14" s="15"/>
      <c r="E14" s="10"/>
      <c r="F14" s="15"/>
      <c r="G14" s="10"/>
      <c r="H14" s="16">
        <v>303</v>
      </c>
      <c r="I14" s="10"/>
      <c r="J14" s="15">
        <v>354</v>
      </c>
      <c r="K14" s="10"/>
      <c r="L14" s="15">
        <v>207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/>
      <c r="C15" s="10"/>
      <c r="D15" s="15"/>
      <c r="E15" s="10"/>
      <c r="F15" s="15"/>
      <c r="G15" s="10"/>
      <c r="H15" s="16">
        <v>110</v>
      </c>
      <c r="I15" s="10"/>
      <c r="J15" s="15">
        <v>115</v>
      </c>
      <c r="K15" s="10"/>
      <c r="L15" s="15">
        <v>70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/>
      <c r="C16" s="10"/>
      <c r="D16" s="15"/>
      <c r="E16" s="10"/>
      <c r="F16" s="15"/>
      <c r="G16" s="10"/>
      <c r="H16" s="16">
        <v>94</v>
      </c>
      <c r="I16" s="10"/>
      <c r="J16" s="15">
        <v>188</v>
      </c>
      <c r="K16" s="10"/>
      <c r="L16" s="15"/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>
        <v>10</v>
      </c>
      <c r="C17" s="10"/>
      <c r="D17" s="15"/>
      <c r="E17" s="10"/>
      <c r="F17" s="15"/>
      <c r="G17" s="10"/>
      <c r="H17" s="16">
        <v>218</v>
      </c>
      <c r="I17" s="10"/>
      <c r="J17" s="15">
        <v>297</v>
      </c>
      <c r="K17" s="10"/>
      <c r="L17" s="15"/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126</v>
      </c>
      <c r="I18" s="10"/>
      <c r="J18" s="15">
        <v>200</v>
      </c>
      <c r="K18" s="10"/>
      <c r="L18" s="15"/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>
        <v>15</v>
      </c>
      <c r="C19" s="10"/>
      <c r="D19" s="15"/>
      <c r="E19" s="10"/>
      <c r="F19" s="15"/>
      <c r="G19" s="10"/>
      <c r="H19" s="16">
        <v>58</v>
      </c>
      <c r="I19" s="10"/>
      <c r="J19" s="15">
        <v>122</v>
      </c>
      <c r="K19" s="10"/>
      <c r="L19" s="15"/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>
        <v>12</v>
      </c>
      <c r="C20" s="10"/>
      <c r="D20" s="15"/>
      <c r="E20" s="10"/>
      <c r="F20" s="15"/>
      <c r="G20" s="10"/>
      <c r="H20" s="16">
        <v>140</v>
      </c>
      <c r="I20" s="10"/>
      <c r="J20" s="15">
        <v>200</v>
      </c>
      <c r="K20" s="10"/>
      <c r="L20" s="15"/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>
        <v>50</v>
      </c>
      <c r="C21" s="10"/>
      <c r="D21" s="15"/>
      <c r="E21" s="10"/>
      <c r="F21" s="15"/>
      <c r="G21" s="10"/>
      <c r="H21" s="16">
        <v>203</v>
      </c>
      <c r="I21" s="10"/>
      <c r="J21" s="15">
        <v>327</v>
      </c>
      <c r="K21" s="10"/>
      <c r="L21" s="15">
        <v>150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>
        <v>60</v>
      </c>
      <c r="C22" s="10"/>
      <c r="D22" s="15"/>
      <c r="E22" s="10"/>
      <c r="F22" s="15"/>
      <c r="G22" s="10"/>
      <c r="H22" s="16">
        <v>141</v>
      </c>
      <c r="I22" s="10"/>
      <c r="J22" s="15">
        <v>250</v>
      </c>
      <c r="K22" s="10"/>
      <c r="L22" s="15"/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133</v>
      </c>
      <c r="I23" s="10"/>
      <c r="J23" s="15">
        <v>80</v>
      </c>
      <c r="K23" s="10"/>
      <c r="L23" s="15"/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>
        <v>217</v>
      </c>
      <c r="C24" s="10"/>
      <c r="D24" s="15"/>
      <c r="E24" s="10"/>
      <c r="F24" s="15"/>
      <c r="G24" s="10"/>
      <c r="H24" s="16">
        <v>682</v>
      </c>
      <c r="I24" s="10"/>
      <c r="J24" s="15">
        <v>382</v>
      </c>
      <c r="K24" s="10"/>
      <c r="L24" s="15"/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>
        <v>30</v>
      </c>
      <c r="C25" s="10"/>
      <c r="D25" s="15"/>
      <c r="E25" s="10"/>
      <c r="F25" s="15"/>
      <c r="G25" s="10"/>
      <c r="H25" s="16">
        <v>616</v>
      </c>
      <c r="I25" s="10"/>
      <c r="J25" s="15">
        <v>148</v>
      </c>
      <c r="K25" s="10"/>
      <c r="L25" s="15"/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>
        <v>57</v>
      </c>
      <c r="C26" s="10"/>
      <c r="D26" s="15"/>
      <c r="E26" s="10"/>
      <c r="F26" s="15"/>
      <c r="G26" s="10"/>
      <c r="H26" s="16">
        <v>155</v>
      </c>
      <c r="I26" s="10"/>
      <c r="J26" s="15">
        <v>367</v>
      </c>
      <c r="K26" s="10"/>
      <c r="L26" s="15"/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>
        <v>47</v>
      </c>
      <c r="C27" s="10"/>
      <c r="D27" s="15"/>
      <c r="E27" s="10"/>
      <c r="F27" s="15"/>
      <c r="G27" s="10"/>
      <c r="H27" s="16">
        <v>265</v>
      </c>
      <c r="I27" s="10"/>
      <c r="J27" s="15">
        <v>146</v>
      </c>
      <c r="K27" s="10"/>
      <c r="L27" s="15"/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>
        <v>137</v>
      </c>
      <c r="C28" s="10"/>
      <c r="D28" s="15"/>
      <c r="E28" s="10"/>
      <c r="F28" s="15"/>
      <c r="G28" s="10"/>
      <c r="H28" s="16">
        <v>202</v>
      </c>
      <c r="I28" s="10"/>
      <c r="J28" s="15">
        <v>198</v>
      </c>
      <c r="K28" s="10"/>
      <c r="L28" s="15"/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>
        <v>119</v>
      </c>
      <c r="C29" s="10"/>
      <c r="D29" s="15"/>
      <c r="E29" s="10"/>
      <c r="F29" s="15"/>
      <c r="G29" s="10"/>
      <c r="H29" s="16">
        <v>191</v>
      </c>
      <c r="I29" s="10"/>
      <c r="J29" s="15">
        <v>202</v>
      </c>
      <c r="K29" s="10"/>
      <c r="L29" s="15"/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>
        <v>61</v>
      </c>
      <c r="C30" s="10"/>
      <c r="D30" s="15"/>
      <c r="E30" s="10"/>
      <c r="F30" s="15"/>
      <c r="G30" s="10"/>
      <c r="H30" s="16">
        <v>144</v>
      </c>
      <c r="I30" s="10"/>
      <c r="J30" s="15">
        <v>230</v>
      </c>
      <c r="K30" s="10"/>
      <c r="L30" s="15"/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>
        <v>5</v>
      </c>
      <c r="C31" s="10"/>
      <c r="D31" s="15"/>
      <c r="E31" s="10"/>
      <c r="F31" s="15"/>
      <c r="G31" s="10"/>
      <c r="H31" s="16">
        <v>153</v>
      </c>
      <c r="I31" s="10"/>
      <c r="J31" s="15">
        <v>110</v>
      </c>
      <c r="K31" s="10"/>
      <c r="L31" s="15">
        <v>402</v>
      </c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>
        <v>107</v>
      </c>
      <c r="C32" s="10"/>
      <c r="D32" s="15"/>
      <c r="E32" s="10"/>
      <c r="F32" s="15"/>
      <c r="G32" s="10"/>
      <c r="H32" s="16">
        <v>332</v>
      </c>
      <c r="I32" s="10"/>
      <c r="J32" s="15">
        <v>299</v>
      </c>
      <c r="K32" s="10"/>
      <c r="L32" s="15">
        <v>30</v>
      </c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>
        <v>32</v>
      </c>
      <c r="C33" s="10"/>
      <c r="D33" s="15"/>
      <c r="E33" s="10"/>
      <c r="F33" s="15"/>
      <c r="G33" s="10"/>
      <c r="H33" s="16">
        <v>157</v>
      </c>
      <c r="I33" s="10"/>
      <c r="J33" s="15">
        <v>163</v>
      </c>
      <c r="K33" s="10"/>
      <c r="L33" s="15">
        <v>40</v>
      </c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>
        <v>47</v>
      </c>
      <c r="C34" s="10"/>
      <c r="D34" s="15"/>
      <c r="E34" s="10"/>
      <c r="F34" s="15"/>
      <c r="G34" s="10"/>
      <c r="H34" s="16">
        <v>107</v>
      </c>
      <c r="I34" s="10"/>
      <c r="J34" s="15">
        <v>75</v>
      </c>
      <c r="K34" s="10"/>
      <c r="L34" s="15"/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>
        <v>45</v>
      </c>
      <c r="C35" s="10"/>
      <c r="D35" s="15"/>
      <c r="E35" s="10"/>
      <c r="F35" s="15"/>
      <c r="G35" s="10"/>
      <c r="H35" s="16">
        <v>177</v>
      </c>
      <c r="I35" s="10"/>
      <c r="J35" s="15">
        <v>199</v>
      </c>
      <c r="K35" s="10"/>
      <c r="L35" s="15">
        <v>210</v>
      </c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>
        <v>107</v>
      </c>
      <c r="C36" s="10"/>
      <c r="D36" s="15"/>
      <c r="E36" s="10"/>
      <c r="F36" s="15"/>
      <c r="G36" s="10"/>
      <c r="H36" s="16">
        <v>177</v>
      </c>
      <c r="I36" s="10"/>
      <c r="J36" s="15">
        <v>352</v>
      </c>
      <c r="K36" s="10"/>
      <c r="L36" s="15"/>
      <c r="M36" s="10"/>
      <c r="N36" s="15"/>
      <c r="O36" s="10"/>
    </row>
    <row r="37" spans="1:22" s="8" customFormat="1" ht="19.899999999999999" customHeight="1" x14ac:dyDescent="0.25">
      <c r="A37" s="11">
        <v>31</v>
      </c>
      <c r="B37" s="15">
        <v>30</v>
      </c>
      <c r="C37" s="10"/>
      <c r="D37" s="15"/>
      <c r="E37" s="10"/>
      <c r="F37" s="15"/>
      <c r="G37" s="10"/>
      <c r="H37" s="16">
        <v>91</v>
      </c>
      <c r="I37" s="10"/>
      <c r="J37" s="15">
        <v>100</v>
      </c>
      <c r="K37" s="10"/>
      <c r="L37" s="15">
        <v>70</v>
      </c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1430</v>
      </c>
      <c r="C38" s="12"/>
      <c r="D38" s="12">
        <f t="shared" ref="D38:N38" si="0">SUM(D7:D37)</f>
        <v>0</v>
      </c>
      <c r="E38" s="12"/>
      <c r="F38" s="12">
        <f t="shared" si="0"/>
        <v>0</v>
      </c>
      <c r="G38" s="12"/>
      <c r="H38" s="12">
        <f t="shared" si="0"/>
        <v>5750</v>
      </c>
      <c r="I38" s="12"/>
      <c r="J38" s="12">
        <f t="shared" si="0"/>
        <v>6313</v>
      </c>
      <c r="K38" s="12"/>
      <c r="L38" s="12">
        <f t="shared" si="0"/>
        <v>1711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6961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6" workbookViewId="0">
      <selection activeCell="H41" sqref="H41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5">
        <v>17</v>
      </c>
      <c r="C7" s="10"/>
      <c r="D7" s="15"/>
      <c r="E7" s="10"/>
      <c r="F7" s="15"/>
      <c r="G7" s="10"/>
      <c r="H7" s="16">
        <v>226</v>
      </c>
      <c r="I7" s="10"/>
      <c r="J7" s="15">
        <v>340</v>
      </c>
      <c r="K7" s="10"/>
      <c r="L7" s="15">
        <v>147</v>
      </c>
      <c r="M7" s="10"/>
      <c r="N7" s="15"/>
      <c r="O7" s="10"/>
    </row>
    <row r="8" spans="1:21" s="8" customFormat="1" ht="19.899999999999999" customHeight="1" x14ac:dyDescent="0.25">
      <c r="A8" s="11">
        <v>2</v>
      </c>
      <c r="B8" s="15">
        <v>10</v>
      </c>
      <c r="C8" s="10"/>
      <c r="D8" s="15"/>
      <c r="E8" s="10"/>
      <c r="F8" s="15"/>
      <c r="G8" s="10"/>
      <c r="H8" s="16">
        <v>61</v>
      </c>
      <c r="I8" s="10"/>
      <c r="J8" s="15">
        <v>185</v>
      </c>
      <c r="K8" s="10"/>
      <c r="L8" s="15">
        <v>3</v>
      </c>
      <c r="M8" s="10"/>
      <c r="N8" s="15"/>
      <c r="O8" s="10"/>
    </row>
    <row r="9" spans="1:21" s="8" customFormat="1" ht="19.899999999999999" customHeight="1" x14ac:dyDescent="0.25">
      <c r="A9" s="11">
        <v>3</v>
      </c>
      <c r="B9" s="15">
        <v>5</v>
      </c>
      <c r="C9" s="10"/>
      <c r="D9" s="15"/>
      <c r="E9" s="10"/>
      <c r="F9" s="15"/>
      <c r="G9" s="10"/>
      <c r="H9" s="16">
        <v>168</v>
      </c>
      <c r="I9" s="10"/>
      <c r="J9" s="15">
        <v>173</v>
      </c>
      <c r="K9" s="10"/>
      <c r="L9" s="15">
        <v>170</v>
      </c>
      <c r="M9" s="10"/>
      <c r="N9" s="15"/>
      <c r="O9" s="10"/>
    </row>
    <row r="10" spans="1:21" s="8" customFormat="1" ht="19.899999999999999" customHeight="1" x14ac:dyDescent="0.25">
      <c r="A10" s="11">
        <v>4</v>
      </c>
      <c r="B10" s="15"/>
      <c r="C10" s="10"/>
      <c r="D10" s="15"/>
      <c r="E10" s="10"/>
      <c r="F10" s="15"/>
      <c r="G10" s="10"/>
      <c r="H10" s="16">
        <v>132</v>
      </c>
      <c r="I10" s="10"/>
      <c r="J10" s="15">
        <v>131</v>
      </c>
      <c r="K10" s="10"/>
      <c r="L10" s="15">
        <v>115</v>
      </c>
      <c r="M10" s="10"/>
      <c r="N10" s="15"/>
      <c r="O10" s="10"/>
    </row>
    <row r="11" spans="1:21" s="8" customFormat="1" ht="19.899999999999999" customHeight="1" x14ac:dyDescent="0.25">
      <c r="A11" s="11">
        <v>5</v>
      </c>
      <c r="B11" s="15">
        <v>5</v>
      </c>
      <c r="C11" s="10"/>
      <c r="D11" s="15"/>
      <c r="E11" s="10"/>
      <c r="F11" s="15"/>
      <c r="G11" s="10"/>
      <c r="H11" s="16">
        <v>249</v>
      </c>
      <c r="I11" s="10"/>
      <c r="J11" s="15">
        <v>95</v>
      </c>
      <c r="K11" s="10"/>
      <c r="L11" s="15">
        <v>295</v>
      </c>
      <c r="M11" s="10"/>
      <c r="N11" s="15"/>
      <c r="O11" s="10"/>
    </row>
    <row r="12" spans="1:21" s="8" customFormat="1" ht="19.899999999999999" customHeight="1" x14ac:dyDescent="0.25">
      <c r="A12" s="11">
        <v>6</v>
      </c>
      <c r="B12" s="15">
        <v>52</v>
      </c>
      <c r="C12" s="10"/>
      <c r="D12" s="15"/>
      <c r="E12" s="10"/>
      <c r="F12" s="15"/>
      <c r="G12" s="10"/>
      <c r="H12" s="16">
        <v>152</v>
      </c>
      <c r="I12" s="10"/>
      <c r="J12" s="15">
        <v>152</v>
      </c>
      <c r="K12" s="10"/>
      <c r="L12" s="15">
        <v>20</v>
      </c>
      <c r="M12" s="10"/>
      <c r="N12" s="15"/>
      <c r="O12" s="10"/>
    </row>
    <row r="13" spans="1:21" s="8" customFormat="1" ht="19.899999999999999" customHeight="1" x14ac:dyDescent="0.25">
      <c r="A13" s="11">
        <v>7</v>
      </c>
      <c r="B13" s="15">
        <v>15</v>
      </c>
      <c r="C13" s="10"/>
      <c r="D13" s="15"/>
      <c r="E13" s="10"/>
      <c r="F13" s="15"/>
      <c r="G13" s="10"/>
      <c r="H13" s="16">
        <v>95</v>
      </c>
      <c r="I13" s="10"/>
      <c r="J13" s="15">
        <v>140</v>
      </c>
      <c r="K13" s="10"/>
      <c r="L13" s="15">
        <v>314</v>
      </c>
      <c r="M13" s="10"/>
      <c r="N13" s="15"/>
      <c r="O13" s="10"/>
    </row>
    <row r="14" spans="1:21" s="8" customFormat="1" ht="19.899999999999999" customHeight="1" x14ac:dyDescent="0.25">
      <c r="A14" s="11">
        <v>8</v>
      </c>
      <c r="B14" s="15">
        <v>10</v>
      </c>
      <c r="C14" s="10"/>
      <c r="D14" s="15"/>
      <c r="E14" s="10"/>
      <c r="F14" s="15"/>
      <c r="G14" s="10"/>
      <c r="H14" s="16">
        <v>110</v>
      </c>
      <c r="I14" s="10"/>
      <c r="J14" s="15">
        <v>176</v>
      </c>
      <c r="K14" s="10"/>
      <c r="L14" s="15">
        <v>147</v>
      </c>
      <c r="M14" s="10"/>
      <c r="N14" s="15"/>
      <c r="O14" s="10"/>
    </row>
    <row r="15" spans="1:21" s="8" customFormat="1" ht="19.899999999999999" customHeight="1" x14ac:dyDescent="0.25">
      <c r="A15" s="11">
        <v>9</v>
      </c>
      <c r="B15" s="15">
        <v>20</v>
      </c>
      <c r="C15" s="10"/>
      <c r="D15" s="15"/>
      <c r="E15" s="10"/>
      <c r="F15" s="15"/>
      <c r="G15" s="10"/>
      <c r="H15" s="16">
        <v>130</v>
      </c>
      <c r="I15" s="10"/>
      <c r="J15" s="15">
        <v>115</v>
      </c>
      <c r="K15" s="10"/>
      <c r="L15" s="15">
        <v>25</v>
      </c>
      <c r="M15" s="10"/>
      <c r="N15" s="15"/>
      <c r="O15" s="10"/>
    </row>
    <row r="16" spans="1:21" s="8" customFormat="1" ht="19.899999999999999" customHeight="1" x14ac:dyDescent="0.25">
      <c r="A16" s="11">
        <v>10</v>
      </c>
      <c r="B16" s="15">
        <v>70</v>
      </c>
      <c r="C16" s="10"/>
      <c r="D16" s="15"/>
      <c r="E16" s="10"/>
      <c r="F16" s="15"/>
      <c r="G16" s="10"/>
      <c r="H16" s="16">
        <v>85</v>
      </c>
      <c r="I16" s="10"/>
      <c r="J16" s="15">
        <v>120</v>
      </c>
      <c r="K16" s="10"/>
      <c r="L16" s="15">
        <v>15</v>
      </c>
      <c r="M16" s="10"/>
      <c r="N16" s="15"/>
      <c r="O16" s="10"/>
    </row>
    <row r="17" spans="1:15" s="8" customFormat="1" ht="19.899999999999999" customHeight="1" x14ac:dyDescent="0.25">
      <c r="A17" s="11">
        <v>11</v>
      </c>
      <c r="B17" s="15">
        <v>15</v>
      </c>
      <c r="C17" s="10"/>
      <c r="D17" s="15"/>
      <c r="E17" s="10"/>
      <c r="F17" s="15"/>
      <c r="G17" s="10"/>
      <c r="H17" s="16">
        <v>76</v>
      </c>
      <c r="I17" s="10"/>
      <c r="J17" s="15">
        <v>211</v>
      </c>
      <c r="K17" s="10"/>
      <c r="L17" s="15">
        <v>30</v>
      </c>
      <c r="M17" s="10"/>
      <c r="N17" s="15"/>
      <c r="O17" s="10"/>
    </row>
    <row r="18" spans="1:15" s="8" customFormat="1" ht="19.899999999999999" customHeight="1" x14ac:dyDescent="0.25">
      <c r="A18" s="11">
        <v>12</v>
      </c>
      <c r="B18" s="15"/>
      <c r="C18" s="10"/>
      <c r="D18" s="15"/>
      <c r="E18" s="10"/>
      <c r="F18" s="15"/>
      <c r="G18" s="10"/>
      <c r="H18" s="16">
        <v>92</v>
      </c>
      <c r="I18" s="10"/>
      <c r="J18" s="15">
        <v>82</v>
      </c>
      <c r="K18" s="10"/>
      <c r="L18" s="15">
        <v>75</v>
      </c>
      <c r="M18" s="10"/>
      <c r="N18" s="15"/>
      <c r="O18" s="10"/>
    </row>
    <row r="19" spans="1:15" s="8" customFormat="1" ht="19.899999999999999" customHeight="1" x14ac:dyDescent="0.25">
      <c r="A19" s="11">
        <v>13</v>
      </c>
      <c r="B19" s="15">
        <v>31</v>
      </c>
      <c r="C19" s="10"/>
      <c r="D19" s="15"/>
      <c r="E19" s="10"/>
      <c r="F19" s="15"/>
      <c r="G19" s="10"/>
      <c r="H19" s="16">
        <v>307</v>
      </c>
      <c r="I19" s="10"/>
      <c r="J19" s="15">
        <v>298</v>
      </c>
      <c r="K19" s="10"/>
      <c r="L19" s="15"/>
      <c r="M19" s="10"/>
      <c r="N19" s="15"/>
      <c r="O19" s="10"/>
    </row>
    <row r="20" spans="1:15" s="8" customFormat="1" ht="19.899999999999999" customHeight="1" x14ac:dyDescent="0.25">
      <c r="A20" s="11">
        <v>14</v>
      </c>
      <c r="B20" s="15"/>
      <c r="C20" s="10"/>
      <c r="D20" s="15"/>
      <c r="E20" s="10"/>
      <c r="F20" s="15"/>
      <c r="G20" s="10"/>
      <c r="H20" s="16">
        <v>168</v>
      </c>
      <c r="I20" s="10"/>
      <c r="J20" s="15">
        <v>155</v>
      </c>
      <c r="K20" s="10"/>
      <c r="L20" s="15">
        <v>20</v>
      </c>
      <c r="M20" s="10"/>
      <c r="N20" s="15"/>
      <c r="O20" s="10"/>
    </row>
    <row r="21" spans="1:15" s="8" customFormat="1" ht="19.899999999999999" customHeight="1" x14ac:dyDescent="0.25">
      <c r="A21" s="11">
        <v>15</v>
      </c>
      <c r="B21" s="15">
        <v>10</v>
      </c>
      <c r="C21" s="10"/>
      <c r="D21" s="15"/>
      <c r="E21" s="10"/>
      <c r="F21" s="15"/>
      <c r="G21" s="10"/>
      <c r="H21" s="16">
        <v>132</v>
      </c>
      <c r="I21" s="10"/>
      <c r="J21" s="15">
        <v>172</v>
      </c>
      <c r="K21" s="10"/>
      <c r="L21" s="15">
        <v>289</v>
      </c>
      <c r="M21" s="10"/>
      <c r="N21" s="15"/>
      <c r="O21" s="10"/>
    </row>
    <row r="22" spans="1:15" s="8" customFormat="1" ht="19.899999999999999" customHeight="1" x14ac:dyDescent="0.25">
      <c r="A22" s="11">
        <v>16</v>
      </c>
      <c r="B22" s="15"/>
      <c r="C22" s="10"/>
      <c r="D22" s="15"/>
      <c r="E22" s="10"/>
      <c r="F22" s="15"/>
      <c r="G22" s="10"/>
      <c r="H22" s="16">
        <v>66</v>
      </c>
      <c r="I22" s="10"/>
      <c r="J22" s="15">
        <v>120</v>
      </c>
      <c r="K22" s="10"/>
      <c r="L22" s="15"/>
      <c r="M22" s="10"/>
      <c r="N22" s="15"/>
      <c r="O22" s="10"/>
    </row>
    <row r="23" spans="1:15" s="8" customFormat="1" ht="19.899999999999999" customHeight="1" x14ac:dyDescent="0.25">
      <c r="A23" s="11">
        <v>17</v>
      </c>
      <c r="B23" s="15"/>
      <c r="C23" s="10"/>
      <c r="D23" s="15"/>
      <c r="E23" s="10"/>
      <c r="F23" s="15"/>
      <c r="G23" s="10"/>
      <c r="H23" s="16">
        <v>188</v>
      </c>
      <c r="I23" s="10"/>
      <c r="J23" s="15">
        <v>215</v>
      </c>
      <c r="K23" s="10"/>
      <c r="L23" s="15"/>
      <c r="M23" s="10"/>
      <c r="N23" s="15"/>
      <c r="O23" s="10"/>
    </row>
    <row r="24" spans="1:15" s="8" customFormat="1" ht="19.899999999999999" customHeight="1" x14ac:dyDescent="0.25">
      <c r="A24" s="11">
        <v>18</v>
      </c>
      <c r="B24" s="15"/>
      <c r="C24" s="10"/>
      <c r="D24" s="15"/>
      <c r="E24" s="10"/>
      <c r="F24" s="15"/>
      <c r="G24" s="10"/>
      <c r="H24" s="16">
        <v>97</v>
      </c>
      <c r="I24" s="10"/>
      <c r="J24" s="15">
        <v>71</v>
      </c>
      <c r="K24" s="10"/>
      <c r="L24" s="15">
        <v>210</v>
      </c>
      <c r="M24" s="10"/>
      <c r="N24" s="15"/>
      <c r="O24" s="10"/>
    </row>
    <row r="25" spans="1:15" s="8" customFormat="1" ht="19.899999999999999" customHeight="1" x14ac:dyDescent="0.25">
      <c r="A25" s="11">
        <v>19</v>
      </c>
      <c r="B25" s="15">
        <v>20</v>
      </c>
      <c r="C25" s="10"/>
      <c r="D25" s="15"/>
      <c r="E25" s="10"/>
      <c r="F25" s="15"/>
      <c r="G25" s="10"/>
      <c r="H25" s="16">
        <v>228</v>
      </c>
      <c r="I25" s="10"/>
      <c r="J25" s="15">
        <v>320</v>
      </c>
      <c r="K25" s="10"/>
      <c r="L25" s="15"/>
      <c r="M25" s="10"/>
      <c r="N25" s="15"/>
      <c r="O25" s="10"/>
    </row>
    <row r="26" spans="1:15" s="8" customFormat="1" ht="19.899999999999999" customHeight="1" x14ac:dyDescent="0.25">
      <c r="A26" s="11">
        <v>20</v>
      </c>
      <c r="B26" s="15"/>
      <c r="C26" s="10"/>
      <c r="D26" s="15"/>
      <c r="E26" s="10"/>
      <c r="F26" s="15"/>
      <c r="G26" s="10"/>
      <c r="H26" s="16">
        <v>81</v>
      </c>
      <c r="I26" s="10"/>
      <c r="J26" s="15">
        <v>89</v>
      </c>
      <c r="K26" s="10"/>
      <c r="L26" s="15">
        <v>100</v>
      </c>
      <c r="M26" s="10"/>
      <c r="N26" s="15"/>
      <c r="O26" s="10"/>
    </row>
    <row r="27" spans="1:15" s="8" customFormat="1" ht="19.899999999999999" customHeight="1" x14ac:dyDescent="0.25">
      <c r="A27" s="11">
        <v>21</v>
      </c>
      <c r="B27" s="15"/>
      <c r="C27" s="10"/>
      <c r="D27" s="15"/>
      <c r="E27" s="10"/>
      <c r="F27" s="15"/>
      <c r="G27" s="10"/>
      <c r="H27" s="16">
        <v>75</v>
      </c>
      <c r="I27" s="10"/>
      <c r="J27" s="15">
        <v>200</v>
      </c>
      <c r="K27" s="10"/>
      <c r="L27" s="15"/>
      <c r="M27" s="10"/>
      <c r="N27" s="15"/>
      <c r="O27" s="10"/>
    </row>
    <row r="28" spans="1:15" s="8" customFormat="1" ht="19.899999999999999" customHeight="1" x14ac:dyDescent="0.25">
      <c r="A28" s="11">
        <v>22</v>
      </c>
      <c r="B28" s="15">
        <v>25</v>
      </c>
      <c r="C28" s="10"/>
      <c r="D28" s="15"/>
      <c r="E28" s="10"/>
      <c r="F28" s="15"/>
      <c r="G28" s="10"/>
      <c r="H28" s="16">
        <v>202</v>
      </c>
      <c r="I28" s="10"/>
      <c r="J28" s="15">
        <v>261</v>
      </c>
      <c r="K28" s="10"/>
      <c r="L28" s="15">
        <v>10</v>
      </c>
      <c r="M28" s="10"/>
      <c r="N28" s="15"/>
      <c r="O28" s="10"/>
    </row>
    <row r="29" spans="1:15" s="8" customFormat="1" ht="19.899999999999999" customHeight="1" x14ac:dyDescent="0.25">
      <c r="A29" s="11">
        <v>23</v>
      </c>
      <c r="B29" s="15">
        <v>15</v>
      </c>
      <c r="C29" s="10"/>
      <c r="D29" s="15"/>
      <c r="E29" s="10"/>
      <c r="F29" s="15"/>
      <c r="G29" s="10"/>
      <c r="H29" s="16">
        <v>123</v>
      </c>
      <c r="I29" s="10"/>
      <c r="J29" s="15">
        <v>157</v>
      </c>
      <c r="K29" s="10"/>
      <c r="L29" s="15">
        <v>180</v>
      </c>
      <c r="M29" s="10"/>
      <c r="N29" s="15"/>
      <c r="O29" s="10"/>
    </row>
    <row r="30" spans="1:15" s="8" customFormat="1" ht="19.899999999999999" customHeight="1" x14ac:dyDescent="0.25">
      <c r="A30" s="11">
        <v>24</v>
      </c>
      <c r="B30" s="15">
        <v>2</v>
      </c>
      <c r="C30" s="10"/>
      <c r="D30" s="15"/>
      <c r="E30" s="10"/>
      <c r="F30" s="15"/>
      <c r="G30" s="10"/>
      <c r="H30" s="16">
        <v>164</v>
      </c>
      <c r="I30" s="10"/>
      <c r="J30" s="15">
        <v>159</v>
      </c>
      <c r="K30" s="10"/>
      <c r="L30" s="15">
        <v>310</v>
      </c>
      <c r="M30" s="10"/>
      <c r="N30" s="15"/>
      <c r="O30" s="10"/>
    </row>
    <row r="31" spans="1:15" s="8" customFormat="1" ht="19.899999999999999" customHeight="1" x14ac:dyDescent="0.25">
      <c r="A31" s="11">
        <v>25</v>
      </c>
      <c r="B31" s="15">
        <v>15</v>
      </c>
      <c r="C31" s="10"/>
      <c r="D31" s="15"/>
      <c r="E31" s="10"/>
      <c r="F31" s="15"/>
      <c r="G31" s="10"/>
      <c r="H31" s="16">
        <v>245</v>
      </c>
      <c r="I31" s="10"/>
      <c r="J31" s="15">
        <v>295</v>
      </c>
      <c r="K31" s="10"/>
      <c r="L31" s="15">
        <v>248</v>
      </c>
      <c r="M31" s="10"/>
      <c r="N31" s="15"/>
      <c r="O31" s="10"/>
    </row>
    <row r="32" spans="1:15" s="8" customFormat="1" ht="19.899999999999999" customHeight="1" x14ac:dyDescent="0.25">
      <c r="A32" s="11">
        <v>26</v>
      </c>
      <c r="B32" s="15"/>
      <c r="C32" s="10"/>
      <c r="D32" s="15"/>
      <c r="E32" s="10"/>
      <c r="F32" s="15"/>
      <c r="G32" s="10"/>
      <c r="H32" s="16">
        <v>114</v>
      </c>
      <c r="I32" s="10"/>
      <c r="J32" s="15">
        <v>265</v>
      </c>
      <c r="K32" s="10"/>
      <c r="L32" s="15"/>
      <c r="M32" s="10"/>
      <c r="N32" s="15"/>
      <c r="O32" s="10"/>
    </row>
    <row r="33" spans="1:22" s="8" customFormat="1" ht="19.899999999999999" customHeight="1" x14ac:dyDescent="0.25">
      <c r="A33" s="11">
        <v>27</v>
      </c>
      <c r="B33" s="15">
        <v>30</v>
      </c>
      <c r="C33" s="10"/>
      <c r="D33" s="15"/>
      <c r="E33" s="10"/>
      <c r="F33" s="15"/>
      <c r="G33" s="10"/>
      <c r="H33" s="16">
        <v>142</v>
      </c>
      <c r="I33" s="10"/>
      <c r="J33" s="15">
        <v>160</v>
      </c>
      <c r="K33" s="10"/>
      <c r="L33" s="15">
        <v>10</v>
      </c>
      <c r="M33" s="10"/>
      <c r="N33" s="15"/>
      <c r="O33" s="10"/>
    </row>
    <row r="34" spans="1:22" s="8" customFormat="1" ht="19.899999999999999" customHeight="1" x14ac:dyDescent="0.25">
      <c r="A34" s="11">
        <v>28</v>
      </c>
      <c r="B34" s="15"/>
      <c r="C34" s="10"/>
      <c r="D34" s="15"/>
      <c r="E34" s="10"/>
      <c r="F34" s="15"/>
      <c r="G34" s="10"/>
      <c r="H34" s="16">
        <v>78</v>
      </c>
      <c r="I34" s="10"/>
      <c r="J34" s="15">
        <v>125</v>
      </c>
      <c r="K34" s="10"/>
      <c r="L34" s="15">
        <v>80</v>
      </c>
      <c r="M34" s="10"/>
      <c r="N34" s="15"/>
      <c r="O34" s="10"/>
    </row>
    <row r="35" spans="1:22" s="8" customFormat="1" ht="19.899999999999999" customHeight="1" x14ac:dyDescent="0.25">
      <c r="A35" s="11">
        <v>29</v>
      </c>
      <c r="B35" s="15"/>
      <c r="C35" s="10"/>
      <c r="D35" s="15"/>
      <c r="E35" s="10"/>
      <c r="F35" s="15"/>
      <c r="G35" s="10"/>
      <c r="H35" s="16">
        <v>53</v>
      </c>
      <c r="I35" s="10"/>
      <c r="J35" s="15">
        <v>154</v>
      </c>
      <c r="K35" s="10"/>
      <c r="L35" s="15">
        <v>100</v>
      </c>
      <c r="M35" s="10"/>
      <c r="N35" s="15"/>
      <c r="O35" s="10"/>
    </row>
    <row r="36" spans="1:22" s="8" customFormat="1" ht="19.899999999999999" customHeight="1" x14ac:dyDescent="0.25">
      <c r="A36" s="11">
        <v>30</v>
      </c>
      <c r="B36" s="15"/>
      <c r="C36" s="10"/>
      <c r="D36" s="15"/>
      <c r="E36" s="10"/>
      <c r="F36" s="15"/>
      <c r="G36" s="10"/>
      <c r="H36" s="16">
        <v>103</v>
      </c>
      <c r="I36" s="10"/>
      <c r="J36" s="15">
        <v>155</v>
      </c>
      <c r="K36" s="10"/>
      <c r="L36" s="15"/>
      <c r="M36" s="10"/>
      <c r="N36" s="15"/>
      <c r="O36" s="10"/>
    </row>
    <row r="37" spans="1:22" s="8" customFormat="1" ht="19.899999999999999" customHeight="1" x14ac:dyDescent="0.25">
      <c r="A37" s="11"/>
      <c r="B37" s="15"/>
      <c r="C37" s="10"/>
      <c r="D37" s="15"/>
      <c r="E37" s="10"/>
      <c r="F37" s="15"/>
      <c r="G37" s="10"/>
      <c r="H37" s="16"/>
      <c r="I37" s="10"/>
      <c r="J37" s="15"/>
      <c r="K37" s="10"/>
      <c r="L37" s="15"/>
      <c r="M37" s="10"/>
      <c r="N37" s="15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367</v>
      </c>
      <c r="C38" s="12"/>
      <c r="D38" s="12">
        <f t="shared" ref="D38:N38" si="0">SUM(D7:D37)</f>
        <v>0</v>
      </c>
      <c r="E38" s="12"/>
      <c r="F38" s="12">
        <f t="shared" si="0"/>
        <v>0</v>
      </c>
      <c r="G38" s="12"/>
      <c r="H38" s="12">
        <f>SUM(H7:H37)</f>
        <v>4142</v>
      </c>
      <c r="I38" s="12"/>
      <c r="J38" s="12">
        <f t="shared" si="0"/>
        <v>5291</v>
      </c>
      <c r="K38" s="12"/>
      <c r="L38" s="12">
        <f t="shared" si="0"/>
        <v>2913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6555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Import Data</vt:lpstr>
      <vt:lpstr>Waste Record - April</vt:lpstr>
      <vt:lpstr>Waste Record - May</vt:lpstr>
      <vt:lpstr>Waste Record - June</vt:lpstr>
      <vt:lpstr>Waste Record - July</vt:lpstr>
      <vt:lpstr>Waste Record - August</vt:lpstr>
      <vt:lpstr>Waste Record - Sep</vt:lpstr>
      <vt:lpstr>Waste Record - Oct</vt:lpstr>
      <vt:lpstr>Waste Record - 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Suong Le</cp:lastModifiedBy>
  <cp:lastPrinted>2022-04-25T04:22:19Z</cp:lastPrinted>
  <dcterms:created xsi:type="dcterms:W3CDTF">2022-01-28T13:49:17Z</dcterms:created>
  <dcterms:modified xsi:type="dcterms:W3CDTF">2022-12-07T03:49:07Z</dcterms:modified>
</cp:coreProperties>
</file>