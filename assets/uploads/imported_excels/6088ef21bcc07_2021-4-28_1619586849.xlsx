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C11" i="7" l="1"/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J30" i="9" s="1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O34" i="7"/>
  <c r="N29" i="9"/>
  <c r="AM34" i="7"/>
  <c r="L29" i="9"/>
  <c r="AL34" i="7"/>
  <c r="K29" i="9"/>
  <c r="AK36" i="7"/>
  <c r="J31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W27" i="7"/>
  <c r="R22" i="9"/>
  <c r="G22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<sst xmlns="http://schemas.openxmlformats.org/spreadsheetml/2006/main" count="128" uniqueCount="49">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</sst>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0" fillId="0" borderId="0" xfId="0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Submetering!R14</f>
        <v>681.752341</v>
      </c>
      <c r="H14" s="11">
        <v>0.52800000000000002</v>
      </c>
      <c r="I14" s="12">
        <f>Hotel!B19</f>
        <v>14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37520</v>
      </c>
      <c r="F15" s="11">
        <v>5.0000000000000001E-3</v>
      </c>
      <c r="G15" s="12">
        <f>Submetering!R15</f>
        <v>546.23466299999995</v>
      </c>
      <c r="H15" s="11">
        <v>0.52800000000000002</v>
      </c>
      <c r="I15" s="12">
        <f>Hotel!B20</f>
        <v>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40560</v>
      </c>
      <c r="F16" s="11">
        <v>5.0000000000000001E-3</v>
      </c>
      <c r="G16" s="12">
        <f>Submetering!R16</f>
        <v>107.12710299999999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43470</v>
      </c>
      <c r="F17" s="11">
        <v>5.0000000000000001E-3</v>
      </c>
      <c r="G17" s="12">
        <f>Submetering!R17</f>
        <v>565.540254</v>
      </c>
      <c r="H17" s="11">
        <v>0.52800000000000002</v>
      </c>
      <c r="I17" s="12">
        <f>Hotel!B22</f>
        <v>22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39080</v>
      </c>
      <c r="F18" s="11">
        <v>5.0000000000000001E-3</v>
      </c>
      <c r="G18" s="12">
        <f>Submetering!R18</f>
        <v>552.29131899999993</v>
      </c>
      <c r="H18" s="11">
        <v>0.52800000000000002</v>
      </c>
      <c r="I18" s="12">
        <f>Hotel!B23</f>
        <v>11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43490</v>
      </c>
      <c r="F19" s="11">
        <v>5.0000000000000001E-3</v>
      </c>
      <c r="G19" s="12">
        <f>Submetering!R19</f>
        <v>693.48711199999991</v>
      </c>
      <c r="H19" s="11">
        <v>0.52800000000000002</v>
      </c>
      <c r="I19" s="12">
        <f>Hotel!B24</f>
        <v>16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38569</v>
      </c>
      <c r="F20" s="11">
        <v>5.0000000000000001E-3</v>
      </c>
      <c r="G20" s="12">
        <f>Submetering!R20</f>
        <v>595.06645200000003</v>
      </c>
      <c r="H20" s="11">
        <v>0.52800000000000002</v>
      </c>
      <c r="I20" s="12">
        <f>Hotel!B25</f>
        <v>19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36781</v>
      </c>
      <c r="F21" s="11">
        <v>5.0000000000000001E-3</v>
      </c>
      <c r="G21" s="12">
        <f>Submetering!R21</f>
        <v>654.497389</v>
      </c>
      <c r="H21" s="11">
        <v>0.52800000000000002</v>
      </c>
      <c r="I21" s="12">
        <f>Hotel!B26</f>
        <v>26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41350</v>
      </c>
      <c r="F22" s="11">
        <v>5.0000000000000001E-3</v>
      </c>
      <c r="G22" s="12">
        <f>Submetering!R22</f>
        <v>670.39611100000002</v>
      </c>
      <c r="H22" s="11">
        <v>0.52800000000000002</v>
      </c>
      <c r="I22" s="12">
        <f>Hotel!B27</f>
        <v>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34280</v>
      </c>
      <c r="F23" s="11">
        <v>5.0000000000000001E-3</v>
      </c>
      <c r="G23" s="12">
        <f>Submetering!R23</f>
        <v>586.73855000000003</v>
      </c>
      <c r="H23" s="11">
        <v>0.52800000000000002</v>
      </c>
      <c r="I23" s="12">
        <f>Hotel!B28</f>
        <v>34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36940</v>
      </c>
      <c r="F24" s="11">
        <v>5.0000000000000001E-3</v>
      </c>
      <c r="G24" s="12">
        <f>Submetering!R24</f>
        <v>564.40463099999999</v>
      </c>
      <c r="H24" s="11">
        <v>0.52800000000000002</v>
      </c>
      <c r="I24" s="12">
        <f>Hotel!B29</f>
        <v>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38710</v>
      </c>
      <c r="F25" s="11">
        <v>5.0000000000000001E-3</v>
      </c>
      <c r="G25" s="12">
        <f>Submetering!R25</f>
        <v>617.40037099999995</v>
      </c>
      <c r="H25" s="11">
        <v>0.52800000000000002</v>
      </c>
      <c r="I25" s="12">
        <f>Hotel!B30</f>
        <v>16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37490</v>
      </c>
      <c r="F26" s="11">
        <v>5.0000000000000001E-3</v>
      </c>
      <c r="G26" s="12">
        <f>Submetering!R26</f>
        <v>656.01155300000005</v>
      </c>
      <c r="H26" s="11">
        <v>0.52800000000000002</v>
      </c>
      <c r="I26" s="12">
        <f>Hotel!B31</f>
        <v>14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41250</v>
      </c>
      <c r="F27" s="11">
        <v>5.0000000000000001E-3</v>
      </c>
      <c r="G27" s="12">
        <f>Submetering!R27</f>
        <v>762.76011499999993</v>
      </c>
      <c r="H27" s="11">
        <v>0.52800000000000002</v>
      </c>
      <c r="I27" s="12">
        <f>Hotel!B32</f>
        <v>23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36930</v>
      </c>
      <c r="F28" s="11">
        <v>5.0000000000000001E-3</v>
      </c>
      <c r="G28" s="12">
        <f>Submetering!R28</f>
        <v>582.19605799999999</v>
      </c>
      <c r="H28" s="11">
        <v>0.52800000000000002</v>
      </c>
      <c r="I28" s="12">
        <f>Hotel!B33</f>
        <v>17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Hotel!AV19*0.00378541*100</f>
        <v>681.752341</v>
      </c>
      <c r="S14" s="4">
        <f>Hotel!B19</f>
        <v>14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510</v>
      </c>
      <c r="F15" s="4">
        <f>Hotel!R20</f>
        <v>1750</v>
      </c>
      <c r="G15" s="4">
        <f>Hotel!S20</f>
        <v>2930</v>
      </c>
      <c r="H15" s="4">
        <f>Hotel!T20</f>
        <v>1380</v>
      </c>
      <c r="I15" s="4">
        <f>Hotel!U20</f>
        <v>2630</v>
      </c>
      <c r="J15" s="4">
        <f>Hotel!V20</f>
        <v>2230</v>
      </c>
      <c r="K15" s="4">
        <f>Hotel!W20</f>
        <v>2080</v>
      </c>
      <c r="L15" s="4">
        <f>Hotel!X20</f>
        <v>1950</v>
      </c>
      <c r="M15" s="4">
        <f>Hotel!Y20</f>
        <v>3260</v>
      </c>
      <c r="N15" s="4">
        <f>Hotel!Z20</f>
        <v>1210</v>
      </c>
      <c r="O15" s="4">
        <f>Hotel!AA20</f>
        <v>2440</v>
      </c>
      <c r="P15" s="4">
        <f>Hotel!AB20</f>
        <v>5680</v>
      </c>
      <c r="Q15" s="4">
        <f>Hotel!AC20</f>
        <v>9470</v>
      </c>
      <c r="R15" s="4">
        <f>Hotel!AV20*0.00378541*100</f>
        <v>546.23466299999995</v>
      </c>
      <c r="S15" s="4">
        <f>Hotel!B20</f>
        <v>9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3060</v>
      </c>
      <c r="H16" s="4">
        <f>Hotel!T21</f>
        <v>1490</v>
      </c>
      <c r="I16" s="4">
        <f>Hotel!U21</f>
        <v>2560</v>
      </c>
      <c r="J16" s="4">
        <f>Hotel!V21</f>
        <v>2450</v>
      </c>
      <c r="K16" s="4">
        <f>Hotel!W21</f>
        <v>2270</v>
      </c>
      <c r="L16" s="4">
        <f>Hotel!X21</f>
        <v>1890</v>
      </c>
      <c r="M16" s="4">
        <f>Hotel!Y21</f>
        <v>3390</v>
      </c>
      <c r="N16" s="4">
        <f>Hotel!Z21</f>
        <v>1290</v>
      </c>
      <c r="O16" s="4">
        <f>Hotel!AA21</f>
        <v>2570</v>
      </c>
      <c r="P16" s="4">
        <f>Hotel!AB21</f>
        <v>6200</v>
      </c>
      <c r="Q16" s="4">
        <f>Hotel!AC21</f>
        <v>10960</v>
      </c>
      <c r="R16" s="4">
        <f>Hotel!AV21*0.00378541*100</f>
        <v>107.12710299999999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580</v>
      </c>
      <c r="F17" s="4">
        <f>Hotel!R22</f>
        <v>2010</v>
      </c>
      <c r="G17" s="4">
        <f>Hotel!S22</f>
        <v>3400</v>
      </c>
      <c r="H17" s="4">
        <f>Hotel!T22</f>
        <v>1580</v>
      </c>
      <c r="I17" s="4">
        <f>Hotel!U22</f>
        <v>2680</v>
      </c>
      <c r="J17" s="4">
        <f>Hotel!V22</f>
        <v>2680</v>
      </c>
      <c r="K17" s="4">
        <f>Hotel!W22</f>
        <v>2380</v>
      </c>
      <c r="L17" s="4">
        <f>Hotel!X22</f>
        <v>1880</v>
      </c>
      <c r="M17" s="4">
        <f>Hotel!Y22</f>
        <v>3670</v>
      </c>
      <c r="N17" s="4">
        <f>Hotel!Z22</f>
        <v>1400</v>
      </c>
      <c r="O17" s="4">
        <f>Hotel!AA22</f>
        <v>2760</v>
      </c>
      <c r="P17" s="4">
        <f>Hotel!AB22</f>
        <v>6550</v>
      </c>
      <c r="Q17" s="4">
        <f>Hotel!AC22</f>
        <v>11900</v>
      </c>
      <c r="R17" s="4">
        <f>Hotel!AV22*0.00378541*100</f>
        <v>565.540254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530</v>
      </c>
      <c r="F18" s="4">
        <f>Hotel!R23</f>
        <v>1800</v>
      </c>
      <c r="G18" s="4">
        <f>Hotel!S23</f>
        <v>3170</v>
      </c>
      <c r="H18" s="4">
        <f>Hotel!T23</f>
        <v>1440</v>
      </c>
      <c r="I18" s="4">
        <f>Hotel!U23</f>
        <v>2400</v>
      </c>
      <c r="J18" s="4">
        <f>Hotel!V23</f>
        <v>2410</v>
      </c>
      <c r="K18" s="4">
        <f>Hotel!W23</f>
        <v>2170</v>
      </c>
      <c r="L18" s="4">
        <f>Hotel!X23</f>
        <v>1790</v>
      </c>
      <c r="M18" s="4">
        <f>Hotel!Y23</f>
        <v>3350</v>
      </c>
      <c r="N18" s="4">
        <f>Hotel!Z23</f>
        <v>1220</v>
      </c>
      <c r="O18" s="4">
        <f>Hotel!AA23</f>
        <v>2410</v>
      </c>
      <c r="P18" s="4">
        <f>Hotel!AB23</f>
        <v>5640</v>
      </c>
      <c r="Q18" s="4">
        <f>Hotel!AC23</f>
        <v>10750</v>
      </c>
      <c r="R18" s="4">
        <f>Hotel!AV23*0.00378541*100</f>
        <v>552.29131899999993</v>
      </c>
      <c r="S18" s="4">
        <f>Hotel!B23</f>
        <v>11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590</v>
      </c>
      <c r="F19" s="4">
        <f>Hotel!R24</f>
        <v>2020</v>
      </c>
      <c r="G19" s="4">
        <f>Hotel!S24</f>
        <v>3660</v>
      </c>
      <c r="H19" s="4">
        <f>Hotel!T24</f>
        <v>1610</v>
      </c>
      <c r="I19" s="4">
        <f>Hotel!U24</f>
        <v>2620</v>
      </c>
      <c r="J19" s="4">
        <f>Hotel!V24</f>
        <v>2660</v>
      </c>
      <c r="K19" s="4">
        <f>Hotel!W24</f>
        <v>2420</v>
      </c>
      <c r="L19" s="4">
        <f>Hotel!X24</f>
        <v>2160</v>
      </c>
      <c r="M19" s="4">
        <f>Hotel!Y24</f>
        <v>3720</v>
      </c>
      <c r="N19" s="4">
        <f>Hotel!Z24</f>
        <v>1430</v>
      </c>
      <c r="O19" s="4">
        <f>Hotel!AA24</f>
        <v>2930</v>
      </c>
      <c r="P19" s="4">
        <f>Hotel!AB24</f>
        <v>6110</v>
      </c>
      <c r="Q19" s="4">
        <f>Hotel!AC24</f>
        <v>11560</v>
      </c>
      <c r="R19" s="4">
        <f>Hotel!AV24*0.00378541*100</f>
        <v>693.48711199999991</v>
      </c>
      <c r="S19" s="4">
        <f>Hotel!B24</f>
        <v>16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520</v>
      </c>
      <c r="F20" s="4">
        <f>Hotel!R25</f>
        <v>1800</v>
      </c>
      <c r="G20" s="4">
        <f>Hotel!S25</f>
        <v>3410</v>
      </c>
      <c r="H20" s="4">
        <f>Hotel!T25</f>
        <v>1420</v>
      </c>
      <c r="I20" s="4">
        <f>Hotel!U25</f>
        <v>2330</v>
      </c>
      <c r="J20" s="4">
        <f>Hotel!V25</f>
        <v>2419</v>
      </c>
      <c r="K20" s="4">
        <f>Hotel!W25</f>
        <v>2140</v>
      </c>
      <c r="L20" s="4">
        <f>Hotel!X25</f>
        <v>1830</v>
      </c>
      <c r="M20" s="4">
        <f>Hotel!Y25</f>
        <v>3240</v>
      </c>
      <c r="N20" s="4">
        <f>Hotel!Z25</f>
        <v>1350</v>
      </c>
      <c r="O20" s="4">
        <f>Hotel!AA25</f>
        <v>2420</v>
      </c>
      <c r="P20" s="4">
        <f>Hotel!AB25</f>
        <v>5430</v>
      </c>
      <c r="Q20" s="4">
        <f>Hotel!AC25</f>
        <v>10260</v>
      </c>
      <c r="R20" s="4">
        <f>Hotel!AV25*0.00378541*100</f>
        <v>595.06645200000003</v>
      </c>
      <c r="S20" s="4">
        <f>Hotel!B25</f>
        <v>19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540</v>
      </c>
      <c r="F21" s="4">
        <f>Hotel!R26</f>
        <v>1840</v>
      </c>
      <c r="G21" s="4">
        <f>Hotel!S26</f>
        <v>3490</v>
      </c>
      <c r="H21" s="4">
        <f>Hotel!T26</f>
        <v>1460</v>
      </c>
      <c r="I21" s="4">
        <f>Hotel!U26</f>
        <v>2330</v>
      </c>
      <c r="J21" s="4">
        <f>Hotel!V26</f>
        <v>2471</v>
      </c>
      <c r="K21" s="4">
        <f>Hotel!W26</f>
        <v>2200</v>
      </c>
      <c r="L21" s="4">
        <f>Hotel!X26</f>
        <v>2020</v>
      </c>
      <c r="M21" s="4">
        <f>Hotel!Y26</f>
        <v>3230</v>
      </c>
      <c r="N21" s="4">
        <f>Hotel!Z26</f>
        <v>1410</v>
      </c>
      <c r="O21" s="4">
        <f>Hotel!AA26</f>
        <v>2420</v>
      </c>
      <c r="P21" s="4">
        <f>Hotel!AB26</f>
        <v>5610</v>
      </c>
      <c r="Q21" s="4">
        <f>Hotel!AC26</f>
        <v>7760</v>
      </c>
      <c r="R21" s="4">
        <f>Hotel!AV26*0.00378541*100</f>
        <v>654.497389</v>
      </c>
      <c r="S21" s="4">
        <f>Hotel!B26</f>
        <v>26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590</v>
      </c>
      <c r="F22" s="4">
        <f>Hotel!R27</f>
        <v>2010</v>
      </c>
      <c r="G22" s="4">
        <f>Hotel!S27</f>
        <v>3770</v>
      </c>
      <c r="H22" s="4">
        <f>Hotel!T27</f>
        <v>1610</v>
      </c>
      <c r="I22" s="4">
        <f>Hotel!U27</f>
        <v>2590</v>
      </c>
      <c r="J22" s="4">
        <f>Hotel!V27</f>
        <v>2780</v>
      </c>
      <c r="K22" s="4">
        <f>Hotel!W27</f>
        <v>2380</v>
      </c>
      <c r="L22" s="4">
        <f>Hotel!X27</f>
        <v>2250</v>
      </c>
      <c r="M22" s="4">
        <f>Hotel!Y27</f>
        <v>3740</v>
      </c>
      <c r="N22" s="4">
        <f>Hotel!Z27</f>
        <v>1620</v>
      </c>
      <c r="O22" s="4">
        <f>Hotel!AA27</f>
        <v>2880</v>
      </c>
      <c r="P22" s="4">
        <f>Hotel!AB27</f>
        <v>6230</v>
      </c>
      <c r="Q22" s="4">
        <f>Hotel!AC27</f>
        <v>8900</v>
      </c>
      <c r="R22" s="4">
        <f>Hotel!AV27*0.00378541*100</f>
        <v>670.39611100000002</v>
      </c>
      <c r="S22" s="4">
        <f>Hotel!B27</f>
        <v>15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500</v>
      </c>
      <c r="F23" s="4">
        <f>Hotel!R28</f>
        <v>1730</v>
      </c>
      <c r="G23" s="4">
        <f>Hotel!S28</f>
        <v>3270</v>
      </c>
      <c r="H23" s="4">
        <f>Hotel!T28</f>
        <v>1370</v>
      </c>
      <c r="I23" s="4">
        <f>Hotel!U28</f>
        <v>2230</v>
      </c>
      <c r="J23" s="4">
        <f>Hotel!V28</f>
        <v>2300</v>
      </c>
      <c r="K23" s="4">
        <f>Hotel!W28</f>
        <v>2010</v>
      </c>
      <c r="L23" s="4">
        <f>Hotel!X28</f>
        <v>1910</v>
      </c>
      <c r="M23" s="4">
        <f>Hotel!Y28</f>
        <v>3390</v>
      </c>
      <c r="N23" s="4">
        <f>Hotel!Z28</f>
        <v>1360</v>
      </c>
      <c r="O23" s="4">
        <f>Hotel!AA28</f>
        <v>2360</v>
      </c>
      <c r="P23" s="4">
        <f>Hotel!AB28</f>
        <v>5290</v>
      </c>
      <c r="Q23" s="4">
        <f>Hotel!AC28</f>
        <v>6560</v>
      </c>
      <c r="R23" s="4">
        <f>Hotel!AV28*0.00378541*100</f>
        <v>586.73855000000003</v>
      </c>
      <c r="S23" s="4">
        <f>Hotel!B28</f>
        <v>34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540</v>
      </c>
      <c r="F24" s="4">
        <f>Hotel!R29</f>
        <v>1840</v>
      </c>
      <c r="G24" s="4">
        <f>Hotel!S29</f>
        <v>3490</v>
      </c>
      <c r="H24" s="4">
        <f>Hotel!T29</f>
        <v>1470</v>
      </c>
      <c r="I24" s="4">
        <f>Hotel!U29</f>
        <v>2420</v>
      </c>
      <c r="J24" s="4">
        <f>Hotel!V29</f>
        <v>2410</v>
      </c>
      <c r="K24" s="4">
        <f>Hotel!W29</f>
        <v>2160</v>
      </c>
      <c r="L24" s="4">
        <f>Hotel!X29</f>
        <v>2060</v>
      </c>
      <c r="M24" s="4">
        <f>Hotel!Y29</f>
        <v>3550</v>
      </c>
      <c r="N24" s="4">
        <f>Hotel!Z29</f>
        <v>1510</v>
      </c>
      <c r="O24" s="4">
        <f>Hotel!AA29</f>
        <v>2560</v>
      </c>
      <c r="P24" s="4">
        <f>Hotel!AB29</f>
        <v>5750</v>
      </c>
      <c r="Q24" s="4">
        <f>Hotel!AC29</f>
        <v>7180</v>
      </c>
      <c r="R24" s="4">
        <f>Hotel!AV29*0.00378541*100</f>
        <v>564.40463099999999</v>
      </c>
      <c r="S24" s="4">
        <f>Hotel!B29</f>
        <v>15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550</v>
      </c>
      <c r="F25" s="4">
        <f>Hotel!R30</f>
        <v>1890</v>
      </c>
      <c r="G25" s="4">
        <f>Hotel!S30</f>
        <v>3730</v>
      </c>
      <c r="H25" s="4">
        <f>Hotel!T30</f>
        <v>1500</v>
      </c>
      <c r="I25" s="4">
        <f>Hotel!U30</f>
        <v>2530</v>
      </c>
      <c r="J25" s="4">
        <f>Hotel!V30</f>
        <v>2460</v>
      </c>
      <c r="K25" s="4">
        <f>Hotel!W30</f>
        <v>2220</v>
      </c>
      <c r="L25" s="4">
        <f>Hotel!X30</f>
        <v>2190</v>
      </c>
      <c r="M25" s="4">
        <f>Hotel!Y30</f>
        <v>3670</v>
      </c>
      <c r="N25" s="4">
        <f>Hotel!Z30</f>
        <v>1560</v>
      </c>
      <c r="O25" s="4">
        <f>Hotel!AA30</f>
        <v>2600</v>
      </c>
      <c r="P25" s="4">
        <f>Hotel!AB30</f>
        <v>6060</v>
      </c>
      <c r="Q25" s="4">
        <f>Hotel!AC30</f>
        <v>7750</v>
      </c>
      <c r="R25" s="4">
        <f>Hotel!AV30*0.00378541*100</f>
        <v>617.40037099999995</v>
      </c>
      <c r="S25" s="4">
        <f>Hotel!B30</f>
        <v>16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540</v>
      </c>
      <c r="F26" s="4">
        <f>Hotel!R31</f>
        <v>1850</v>
      </c>
      <c r="G26" s="4">
        <f>Hotel!S31</f>
        <v>3740</v>
      </c>
      <c r="H26" s="4">
        <f>Hotel!T31</f>
        <v>1480</v>
      </c>
      <c r="I26" s="4">
        <f>Hotel!U31</f>
        <v>2400</v>
      </c>
      <c r="J26" s="4">
        <f>Hotel!V31</f>
        <v>2510</v>
      </c>
      <c r="K26" s="4">
        <f>Hotel!W31</f>
        <v>2200</v>
      </c>
      <c r="L26" s="4">
        <f>Hotel!X31</f>
        <v>2100</v>
      </c>
      <c r="M26" s="4">
        <f>Hotel!Y31</f>
        <v>3520</v>
      </c>
      <c r="N26" s="4">
        <f>Hotel!Z31</f>
        <v>1620</v>
      </c>
      <c r="O26" s="4">
        <f>Hotel!AA31</f>
        <v>2540</v>
      </c>
      <c r="P26" s="4">
        <f>Hotel!AB31</f>
        <v>5760</v>
      </c>
      <c r="Q26" s="4">
        <f>Hotel!AC31</f>
        <v>7230</v>
      </c>
      <c r="R26" s="4">
        <f>Hotel!AV31*0.00378541*100</f>
        <v>656.01155300000005</v>
      </c>
      <c r="S26" s="4">
        <f>Hotel!B31</f>
        <v>14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580</v>
      </c>
      <c r="F27" s="4">
        <f>Hotel!R32</f>
        <v>2000</v>
      </c>
      <c r="G27" s="4">
        <f>Hotel!S32</f>
        <v>4040</v>
      </c>
      <c r="H27" s="4">
        <f>Hotel!T32</f>
        <v>1590</v>
      </c>
      <c r="I27" s="4">
        <f>Hotel!U32</f>
        <v>2740</v>
      </c>
      <c r="J27" s="4">
        <f>Hotel!V32</f>
        <v>2670</v>
      </c>
      <c r="K27" s="4">
        <f>Hotel!W32</f>
        <v>2400</v>
      </c>
      <c r="L27" s="4">
        <f>Hotel!X32</f>
        <v>2090</v>
      </c>
      <c r="M27" s="4">
        <f>Hotel!Y32</f>
        <v>3820</v>
      </c>
      <c r="N27" s="4">
        <f>Hotel!Z32</f>
        <v>1770</v>
      </c>
      <c r="O27" s="4">
        <f>Hotel!AA32</f>
        <v>2680</v>
      </c>
      <c r="P27" s="4">
        <f>Hotel!AB32</f>
        <v>6220</v>
      </c>
      <c r="Q27" s="4">
        <f>Hotel!AC32</f>
        <v>8650</v>
      </c>
      <c r="R27" s="4">
        <f>Hotel!AV32*0.00378541*100</f>
        <v>762.76011499999993</v>
      </c>
      <c r="S27" s="4">
        <f>Hotel!B32</f>
        <v>23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530</v>
      </c>
      <c r="F28" s="4">
        <f>Hotel!R33</f>
        <v>1800</v>
      </c>
      <c r="G28" s="4">
        <f>Hotel!S33</f>
        <v>3860</v>
      </c>
      <c r="H28" s="4">
        <f>Hotel!T33</f>
        <v>1430</v>
      </c>
      <c r="I28" s="4">
        <f>Hotel!U33</f>
        <v>2350</v>
      </c>
      <c r="J28" s="4">
        <f>Hotel!V33</f>
        <v>2450</v>
      </c>
      <c r="K28" s="4">
        <f>Hotel!W33</f>
        <v>2180</v>
      </c>
      <c r="L28" s="4">
        <f>Hotel!X33</f>
        <v>1900</v>
      </c>
      <c r="M28" s="4">
        <f>Hotel!Y33</f>
        <v>3250</v>
      </c>
      <c r="N28" s="4">
        <f>Hotel!Z33</f>
        <v>1600</v>
      </c>
      <c r="O28" s="4">
        <f>Hotel!AA33</f>
        <v>2190</v>
      </c>
      <c r="P28" s="4">
        <f>Hotel!AB33</f>
        <v>5830</v>
      </c>
      <c r="Q28" s="4">
        <f>Hotel!AC33</f>
        <v>7560</v>
      </c>
      <c r="R28" s="4">
        <f>Hotel!AV33*0.00378541*100</f>
        <v>582.19605799999999</v>
      </c>
      <c r="S28" s="4">
        <f>Hotel!B33</f>
        <v>17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F36" sqref="F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16"/>
        <v>570</v>
      </c>
      <c r="R19" s="37">
        <f t="shared" si="17"/>
        <v>1950</v>
      </c>
      <c r="S19" s="37">
        <f t="shared" si="15"/>
        <v>3410</v>
      </c>
      <c r="T19" s="37">
        <f t="shared" si="18"/>
        <v>1540</v>
      </c>
      <c r="U19" s="37">
        <f t="shared" si="19"/>
        <v>3330</v>
      </c>
      <c r="V19" s="37">
        <f t="shared" si="20"/>
        <v>2490</v>
      </c>
      <c r="W19" s="37">
        <f t="shared" si="21"/>
        <v>2310</v>
      </c>
      <c r="X19" s="37">
        <f t="shared" si="22"/>
        <v>2560</v>
      </c>
      <c r="Y19" s="37">
        <f t="shared" si="23"/>
        <v>3690</v>
      </c>
      <c r="Z19" s="37">
        <f t="shared" si="24"/>
        <v>2050</v>
      </c>
      <c r="AA19" s="37">
        <f t="shared" si="25"/>
        <v>2820</v>
      </c>
      <c r="AB19" s="37">
        <f t="shared" si="26"/>
        <v>6510</v>
      </c>
      <c r="AC19" s="37">
        <f t="shared" si="27"/>
        <v>9680</v>
      </c>
      <c r="AD19" s="35">
        <f t="shared" si="28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29"/>
        <v>214.54999999999998</v>
      </c>
      <c r="AU19" s="47">
        <v>555924</v>
      </c>
      <c r="AV19" s="37">
        <f t="shared" si="31"/>
        <v>1801</v>
      </c>
      <c r="AW19" s="35">
        <f t="shared" si="30"/>
        <v>3.6019999999999999</v>
      </c>
    </row>
    <row r="20" spans="1:49" x14ac:dyDescent="0.25">
      <c r="A20" s="23">
        <v>44300</v>
      </c>
      <c r="B20" s="40">
        <v>9</v>
      </c>
      <c r="C20" s="24">
        <v>6564130</v>
      </c>
      <c r="D20" s="24">
        <v>15229970</v>
      </c>
      <c r="E20" s="24">
        <v>2556090</v>
      </c>
      <c r="F20" s="24">
        <v>3388200</v>
      </c>
      <c r="G20" s="24">
        <v>10185750</v>
      </c>
      <c r="H20" s="24">
        <v>5351240</v>
      </c>
      <c r="I20" s="24">
        <v>4953540</v>
      </c>
      <c r="J20" s="24">
        <v>5752220</v>
      </c>
      <c r="K20" s="24">
        <v>8950750</v>
      </c>
      <c r="L20" s="24">
        <v>3707030</v>
      </c>
      <c r="M20" s="24">
        <v>7735020</v>
      </c>
      <c r="N20" s="24">
        <v>11660600</v>
      </c>
      <c r="O20" s="24">
        <v>16130830</v>
      </c>
      <c r="Q20" s="37">
        <f t="shared" si="16"/>
        <v>510</v>
      </c>
      <c r="R20" s="37">
        <f t="shared" si="17"/>
        <v>1750</v>
      </c>
      <c r="S20" s="37">
        <f t="shared" si="15"/>
        <v>2930</v>
      </c>
      <c r="T20" s="37">
        <f t="shared" si="18"/>
        <v>1380</v>
      </c>
      <c r="U20" s="37">
        <f t="shared" si="19"/>
        <v>2630</v>
      </c>
      <c r="V20" s="37">
        <f t="shared" si="20"/>
        <v>2230</v>
      </c>
      <c r="W20" s="37">
        <f t="shared" si="21"/>
        <v>2080</v>
      </c>
      <c r="X20" s="37">
        <f t="shared" si="22"/>
        <v>1950</v>
      </c>
      <c r="Y20" s="37">
        <f t="shared" si="23"/>
        <v>3260</v>
      </c>
      <c r="Z20" s="37">
        <f t="shared" si="24"/>
        <v>1210</v>
      </c>
      <c r="AA20" s="37">
        <f t="shared" si="25"/>
        <v>2440</v>
      </c>
      <c r="AB20" s="37">
        <f t="shared" si="26"/>
        <v>5680</v>
      </c>
      <c r="AC20" s="37">
        <f t="shared" si="27"/>
        <v>9470</v>
      </c>
      <c r="AD20" s="35">
        <f t="shared" si="28"/>
        <v>37520</v>
      </c>
      <c r="AF20" s="20">
        <f t="shared" si="1"/>
        <v>2.5500000000000003</v>
      </c>
      <c r="AG20" s="20">
        <f t="shared" si="2"/>
        <v>8.75</v>
      </c>
      <c r="AH20" s="20">
        <f t="shared" si="3"/>
        <v>14.65</v>
      </c>
      <c r="AI20" s="20">
        <f t="shared" si="4"/>
        <v>6.9</v>
      </c>
      <c r="AJ20" s="20">
        <f t="shared" si="5"/>
        <v>13.15</v>
      </c>
      <c r="AK20" s="20">
        <f t="shared" si="6"/>
        <v>11.15</v>
      </c>
      <c r="AL20" s="20">
        <f t="shared" si="7"/>
        <v>10.4</v>
      </c>
      <c r="AM20" s="20">
        <f t="shared" si="8"/>
        <v>9.75</v>
      </c>
      <c r="AN20" s="20">
        <f t="shared" si="9"/>
        <v>16.3</v>
      </c>
      <c r="AO20" s="20">
        <f t="shared" si="10"/>
        <v>6.05</v>
      </c>
      <c r="AP20" s="20">
        <f t="shared" si="11"/>
        <v>12.200000000000001</v>
      </c>
      <c r="AQ20" s="20">
        <f t="shared" si="12"/>
        <v>28.400000000000002</v>
      </c>
      <c r="AR20" s="20">
        <f t="shared" si="13"/>
        <v>47.35</v>
      </c>
      <c r="AS20" s="35">
        <f t="shared" si="29"/>
        <v>187.6</v>
      </c>
      <c r="AU20" s="47">
        <v>557367</v>
      </c>
      <c r="AV20" s="37">
        <f t="shared" si="31"/>
        <v>1443</v>
      </c>
      <c r="AW20" s="35">
        <f t="shared" si="30"/>
        <v>2.8860000000000001</v>
      </c>
    </row>
    <row r="21" spans="1:49" x14ac:dyDescent="0.25">
      <c r="A21" s="23">
        <v>44301</v>
      </c>
      <c r="B21" s="40">
        <v>21</v>
      </c>
      <c r="C21" s="24">
        <v>6564680</v>
      </c>
      <c r="D21" s="24">
        <v>15231850</v>
      </c>
      <c r="E21" s="24">
        <v>2559150</v>
      </c>
      <c r="F21" s="24">
        <v>3389690</v>
      </c>
      <c r="G21" s="24">
        <v>10188310</v>
      </c>
      <c r="H21" s="24">
        <v>5353690</v>
      </c>
      <c r="I21" s="24">
        <v>4955810</v>
      </c>
      <c r="J21" s="24">
        <v>5754110</v>
      </c>
      <c r="K21" s="24">
        <v>8954140</v>
      </c>
      <c r="L21" s="24">
        <v>3708320</v>
      </c>
      <c r="M21" s="24">
        <v>7737590</v>
      </c>
      <c r="N21" s="24">
        <v>11666800</v>
      </c>
      <c r="O21" s="24">
        <v>16141790</v>
      </c>
      <c r="Q21" s="37">
        <f t="shared" si="16"/>
        <v>550</v>
      </c>
      <c r="R21" s="37">
        <f t="shared" si="17"/>
        <v>1880</v>
      </c>
      <c r="S21" s="37">
        <f t="shared" si="15"/>
        <v>3060</v>
      </c>
      <c r="T21" s="37">
        <f t="shared" si="18"/>
        <v>1490</v>
      </c>
      <c r="U21" s="37">
        <f t="shared" si="19"/>
        <v>2560</v>
      </c>
      <c r="V21" s="37">
        <f t="shared" si="20"/>
        <v>2450</v>
      </c>
      <c r="W21" s="37">
        <f t="shared" si="21"/>
        <v>2270</v>
      </c>
      <c r="X21" s="37">
        <f t="shared" si="22"/>
        <v>1890</v>
      </c>
      <c r="Y21" s="37">
        <f t="shared" si="23"/>
        <v>3390</v>
      </c>
      <c r="Z21" s="37">
        <f t="shared" si="24"/>
        <v>1290</v>
      </c>
      <c r="AA21" s="37">
        <f t="shared" si="25"/>
        <v>2570</v>
      </c>
      <c r="AB21" s="37">
        <f t="shared" si="26"/>
        <v>6200</v>
      </c>
      <c r="AC21" s="37">
        <f t="shared" si="27"/>
        <v>10960</v>
      </c>
      <c r="AD21" s="35">
        <f t="shared" si="28"/>
        <v>40560</v>
      </c>
      <c r="AF21" s="20">
        <f t="shared" si="1"/>
        <v>2.75</v>
      </c>
      <c r="AG21" s="20">
        <f t="shared" si="2"/>
        <v>9.4</v>
      </c>
      <c r="AH21" s="20">
        <f t="shared" si="3"/>
        <v>15.3</v>
      </c>
      <c r="AI21" s="20">
        <f t="shared" si="4"/>
        <v>7.45</v>
      </c>
      <c r="AJ21" s="20">
        <f t="shared" si="5"/>
        <v>12.8</v>
      </c>
      <c r="AK21" s="20">
        <f t="shared" si="6"/>
        <v>12.25</v>
      </c>
      <c r="AL21" s="20">
        <f t="shared" si="7"/>
        <v>11.35</v>
      </c>
      <c r="AM21" s="20">
        <f t="shared" si="8"/>
        <v>9.4500000000000011</v>
      </c>
      <c r="AN21" s="20">
        <f t="shared" si="9"/>
        <v>16.95</v>
      </c>
      <c r="AO21" s="20">
        <f t="shared" si="10"/>
        <v>6.45</v>
      </c>
      <c r="AP21" s="20">
        <f t="shared" si="11"/>
        <v>12.85</v>
      </c>
      <c r="AQ21" s="20">
        <f t="shared" si="12"/>
        <v>31</v>
      </c>
      <c r="AR21" s="20">
        <f t="shared" si="13"/>
        <v>54.800000000000004</v>
      </c>
      <c r="AS21" s="35">
        <f t="shared" si="29"/>
        <v>202.8</v>
      </c>
      <c r="AU21" s="47">
        <v>557650</v>
      </c>
      <c r="AV21" s="37">
        <f t="shared" si="31"/>
        <v>283</v>
      </c>
      <c r="AW21" s="35">
        <f t="shared" si="30"/>
        <v>0.56600000000000006</v>
      </c>
    </row>
    <row r="22" spans="1:49" x14ac:dyDescent="0.25">
      <c r="A22" s="23">
        <v>44302</v>
      </c>
      <c r="B22" s="40">
        <v>22</v>
      </c>
      <c r="C22" s="24">
        <v>6565260</v>
      </c>
      <c r="D22" s="24">
        <v>15233860</v>
      </c>
      <c r="E22" s="24">
        <v>2562550</v>
      </c>
      <c r="F22" s="24">
        <v>3391270</v>
      </c>
      <c r="G22" s="24">
        <v>10190990</v>
      </c>
      <c r="H22" s="24">
        <v>5356370</v>
      </c>
      <c r="I22" s="24">
        <v>4958190</v>
      </c>
      <c r="J22" s="44">
        <v>5755990</v>
      </c>
      <c r="K22" s="24">
        <v>8957810</v>
      </c>
      <c r="L22" s="24">
        <v>3709720</v>
      </c>
      <c r="M22" s="24">
        <v>7740350</v>
      </c>
      <c r="N22" s="24">
        <v>11673350</v>
      </c>
      <c r="O22" s="44">
        <v>16153690</v>
      </c>
      <c r="Q22" s="37">
        <f t="shared" si="16"/>
        <v>580</v>
      </c>
      <c r="R22" s="37">
        <f t="shared" si="17"/>
        <v>2010</v>
      </c>
      <c r="S22" s="37">
        <f t="shared" si="15"/>
        <v>3400</v>
      </c>
      <c r="T22" s="37">
        <f t="shared" si="18"/>
        <v>1580</v>
      </c>
      <c r="U22" s="37">
        <f t="shared" si="19"/>
        <v>2680</v>
      </c>
      <c r="V22" s="37">
        <f t="shared" si="20"/>
        <v>2680</v>
      </c>
      <c r="W22" s="37">
        <f t="shared" si="21"/>
        <v>2380</v>
      </c>
      <c r="X22" s="37">
        <f t="shared" si="22"/>
        <v>1880</v>
      </c>
      <c r="Y22" s="37">
        <f t="shared" si="23"/>
        <v>3670</v>
      </c>
      <c r="Z22" s="37">
        <f t="shared" si="24"/>
        <v>1400</v>
      </c>
      <c r="AA22" s="37">
        <f t="shared" si="25"/>
        <v>2760</v>
      </c>
      <c r="AB22" s="37">
        <f t="shared" si="26"/>
        <v>6550</v>
      </c>
      <c r="AC22" s="37">
        <f t="shared" si="27"/>
        <v>11900</v>
      </c>
      <c r="AD22" s="35">
        <f t="shared" si="28"/>
        <v>43470</v>
      </c>
      <c r="AF22" s="20">
        <f t="shared" si="1"/>
        <v>2.9</v>
      </c>
      <c r="AG22" s="20">
        <f t="shared" si="2"/>
        <v>10.050000000000001</v>
      </c>
      <c r="AH22" s="20">
        <f t="shared" si="3"/>
        <v>17</v>
      </c>
      <c r="AI22" s="20">
        <f t="shared" si="4"/>
        <v>7.9</v>
      </c>
      <c r="AJ22" s="20">
        <f t="shared" si="5"/>
        <v>13.4</v>
      </c>
      <c r="AK22" s="20">
        <f t="shared" si="6"/>
        <v>13.4</v>
      </c>
      <c r="AL22" s="20">
        <f t="shared" si="7"/>
        <v>11.9</v>
      </c>
      <c r="AM22" s="20">
        <f t="shared" si="8"/>
        <v>9.4</v>
      </c>
      <c r="AN22" s="20">
        <f t="shared" si="9"/>
        <v>18.350000000000001</v>
      </c>
      <c r="AO22" s="20">
        <f t="shared" si="10"/>
        <v>7</v>
      </c>
      <c r="AP22" s="20">
        <f t="shared" si="11"/>
        <v>13.8</v>
      </c>
      <c r="AQ22" s="20">
        <f t="shared" si="12"/>
        <v>32.75</v>
      </c>
      <c r="AR22" s="20">
        <f t="shared" si="13"/>
        <v>59.5</v>
      </c>
      <c r="AS22" s="35">
        <f t="shared" si="29"/>
        <v>217.35000000000002</v>
      </c>
      <c r="AU22" s="47">
        <v>559144</v>
      </c>
      <c r="AV22" s="37">
        <f t="shared" si="31"/>
        <v>1494</v>
      </c>
      <c r="AW22" s="35">
        <f t="shared" si="30"/>
        <v>2.988</v>
      </c>
    </row>
    <row r="23" spans="1:49" x14ac:dyDescent="0.25">
      <c r="A23" s="23">
        <v>44303</v>
      </c>
      <c r="B23" s="40">
        <v>11</v>
      </c>
      <c r="C23" s="24">
        <v>6565790</v>
      </c>
      <c r="D23" s="24">
        <v>15235660</v>
      </c>
      <c r="E23" s="24">
        <v>2565720</v>
      </c>
      <c r="F23" s="24">
        <v>3392710</v>
      </c>
      <c r="G23" s="24">
        <v>10193390</v>
      </c>
      <c r="H23" s="24">
        <v>5358780</v>
      </c>
      <c r="I23" s="24">
        <v>4960360</v>
      </c>
      <c r="J23" s="24">
        <v>5757780</v>
      </c>
      <c r="K23" s="24">
        <v>8961160</v>
      </c>
      <c r="L23" s="24">
        <v>3710940</v>
      </c>
      <c r="M23" s="24">
        <v>7742760</v>
      </c>
      <c r="N23" s="24">
        <v>11678990</v>
      </c>
      <c r="O23" s="24">
        <v>16164440</v>
      </c>
      <c r="Q23" s="37">
        <f t="shared" si="16"/>
        <v>530</v>
      </c>
      <c r="R23" s="37">
        <f t="shared" si="17"/>
        <v>1800</v>
      </c>
      <c r="S23" s="37">
        <f t="shared" si="15"/>
        <v>3170</v>
      </c>
      <c r="T23" s="37">
        <f t="shared" si="18"/>
        <v>1440</v>
      </c>
      <c r="U23" s="37">
        <f t="shared" si="19"/>
        <v>2400</v>
      </c>
      <c r="V23" s="37">
        <f t="shared" si="20"/>
        <v>2410</v>
      </c>
      <c r="W23" s="37">
        <f t="shared" si="21"/>
        <v>2170</v>
      </c>
      <c r="X23" s="37">
        <f t="shared" si="22"/>
        <v>1790</v>
      </c>
      <c r="Y23" s="37">
        <f t="shared" si="23"/>
        <v>3350</v>
      </c>
      <c r="Z23" s="37">
        <f t="shared" si="24"/>
        <v>1220</v>
      </c>
      <c r="AA23" s="37">
        <f t="shared" si="25"/>
        <v>2410</v>
      </c>
      <c r="AB23" s="37">
        <f t="shared" si="26"/>
        <v>5640</v>
      </c>
      <c r="AC23" s="37">
        <f t="shared" si="27"/>
        <v>10750</v>
      </c>
      <c r="AD23" s="35">
        <f t="shared" si="28"/>
        <v>39080</v>
      </c>
      <c r="AF23" s="20">
        <f t="shared" si="1"/>
        <v>2.65</v>
      </c>
      <c r="AG23" s="20">
        <f t="shared" si="2"/>
        <v>9</v>
      </c>
      <c r="AH23" s="20">
        <f t="shared" si="3"/>
        <v>15.85</v>
      </c>
      <c r="AI23" s="20">
        <f t="shared" si="4"/>
        <v>7.2</v>
      </c>
      <c r="AJ23" s="20">
        <f t="shared" si="5"/>
        <v>12</v>
      </c>
      <c r="AK23" s="20">
        <f t="shared" si="6"/>
        <v>12.05</v>
      </c>
      <c r="AL23" s="20">
        <f t="shared" si="7"/>
        <v>10.85</v>
      </c>
      <c r="AM23" s="20">
        <f t="shared" si="8"/>
        <v>8.9500000000000011</v>
      </c>
      <c r="AN23" s="20">
        <f t="shared" si="9"/>
        <v>16.75</v>
      </c>
      <c r="AO23" s="20">
        <f t="shared" si="10"/>
        <v>6.1000000000000005</v>
      </c>
      <c r="AP23" s="20">
        <f t="shared" si="11"/>
        <v>12.05</v>
      </c>
      <c r="AQ23" s="20">
        <f t="shared" si="12"/>
        <v>28.2</v>
      </c>
      <c r="AR23" s="20">
        <f t="shared" si="13"/>
        <v>53.75</v>
      </c>
      <c r="AS23" s="35">
        <f t="shared" si="29"/>
        <v>195.39999999999998</v>
      </c>
      <c r="AU23" s="47">
        <v>560603</v>
      </c>
      <c r="AV23" s="37">
        <f t="shared" si="31"/>
        <v>1459</v>
      </c>
      <c r="AW23" s="35">
        <f t="shared" si="30"/>
        <v>2.9180000000000001</v>
      </c>
    </row>
    <row r="24" spans="1:49" x14ac:dyDescent="0.25">
      <c r="A24" s="23">
        <v>44304</v>
      </c>
      <c r="B24" s="40">
        <v>16</v>
      </c>
      <c r="C24" s="24">
        <v>6566380</v>
      </c>
      <c r="D24" s="24">
        <v>15237680</v>
      </c>
      <c r="E24" s="24">
        <v>2569380</v>
      </c>
      <c r="F24" s="24">
        <v>3394320</v>
      </c>
      <c r="G24" s="24">
        <v>10196010</v>
      </c>
      <c r="H24" s="24">
        <v>5361440</v>
      </c>
      <c r="I24" s="24">
        <v>4962780</v>
      </c>
      <c r="J24" s="24">
        <v>5759940</v>
      </c>
      <c r="K24" s="24">
        <v>8964880</v>
      </c>
      <c r="L24" s="24">
        <v>3712370</v>
      </c>
      <c r="M24" s="24">
        <v>7745690</v>
      </c>
      <c r="N24" s="24">
        <v>11685100</v>
      </c>
      <c r="O24" s="24">
        <v>16176000</v>
      </c>
      <c r="Q24" s="37">
        <f t="shared" si="16"/>
        <v>590</v>
      </c>
      <c r="R24" s="37">
        <f t="shared" si="17"/>
        <v>2020</v>
      </c>
      <c r="S24" s="37">
        <f t="shared" si="15"/>
        <v>3660</v>
      </c>
      <c r="T24" s="37">
        <f t="shared" si="18"/>
        <v>1610</v>
      </c>
      <c r="U24" s="37">
        <f t="shared" si="19"/>
        <v>2620</v>
      </c>
      <c r="V24" s="37">
        <f t="shared" si="20"/>
        <v>2660</v>
      </c>
      <c r="W24" s="37">
        <f t="shared" si="21"/>
        <v>2420</v>
      </c>
      <c r="X24" s="37">
        <f t="shared" si="22"/>
        <v>2160</v>
      </c>
      <c r="Y24" s="37">
        <f t="shared" si="23"/>
        <v>3720</v>
      </c>
      <c r="Z24" s="37">
        <f t="shared" si="24"/>
        <v>1430</v>
      </c>
      <c r="AA24" s="37">
        <f t="shared" si="25"/>
        <v>2930</v>
      </c>
      <c r="AB24" s="37">
        <f t="shared" si="26"/>
        <v>6110</v>
      </c>
      <c r="AC24" s="37">
        <f t="shared" si="27"/>
        <v>11560</v>
      </c>
      <c r="AD24" s="35">
        <f t="shared" si="28"/>
        <v>43490</v>
      </c>
      <c r="AF24" s="20">
        <f t="shared" si="1"/>
        <v>2.95</v>
      </c>
      <c r="AG24" s="20">
        <f t="shared" si="2"/>
        <v>10.1</v>
      </c>
      <c r="AH24" s="20">
        <f t="shared" si="3"/>
        <v>18.3</v>
      </c>
      <c r="AI24" s="20">
        <f t="shared" si="4"/>
        <v>8.0500000000000007</v>
      </c>
      <c r="AJ24" s="20">
        <f t="shared" si="5"/>
        <v>13.1</v>
      </c>
      <c r="AK24" s="20">
        <f t="shared" si="6"/>
        <v>13.3</v>
      </c>
      <c r="AL24" s="20">
        <f t="shared" si="7"/>
        <v>12.1</v>
      </c>
      <c r="AM24" s="20">
        <f t="shared" si="8"/>
        <v>10.8</v>
      </c>
      <c r="AN24" s="20">
        <f t="shared" si="9"/>
        <v>18.600000000000001</v>
      </c>
      <c r="AO24" s="20">
        <f t="shared" si="10"/>
        <v>7.15</v>
      </c>
      <c r="AP24" s="20">
        <f t="shared" si="11"/>
        <v>14.65</v>
      </c>
      <c r="AQ24" s="20">
        <f t="shared" si="12"/>
        <v>30.55</v>
      </c>
      <c r="AR24" s="20">
        <f t="shared" si="13"/>
        <v>57.800000000000004</v>
      </c>
      <c r="AS24" s="35">
        <f t="shared" si="29"/>
        <v>217.45000000000005</v>
      </c>
      <c r="AU24" s="47">
        <v>562435</v>
      </c>
      <c r="AV24" s="37">
        <f t="shared" si="31"/>
        <v>1832</v>
      </c>
      <c r="AW24" s="35">
        <f t="shared" si="30"/>
        <v>3.6640000000000001</v>
      </c>
    </row>
    <row r="25" spans="1:49" x14ac:dyDescent="0.25">
      <c r="A25" s="23">
        <v>44305</v>
      </c>
      <c r="B25" s="40">
        <v>19</v>
      </c>
      <c r="C25" s="24">
        <v>6566900</v>
      </c>
      <c r="D25" s="24">
        <v>15239480</v>
      </c>
      <c r="E25" s="24">
        <v>2572790</v>
      </c>
      <c r="F25" s="24">
        <v>3395740</v>
      </c>
      <c r="G25" s="24">
        <v>10198340</v>
      </c>
      <c r="H25" s="24">
        <v>5363859</v>
      </c>
      <c r="I25" s="24">
        <v>4964920</v>
      </c>
      <c r="J25" s="24">
        <v>5761770</v>
      </c>
      <c r="K25" s="24">
        <v>8968120</v>
      </c>
      <c r="L25" s="24">
        <v>3713720</v>
      </c>
      <c r="M25" s="24">
        <v>7748110</v>
      </c>
      <c r="N25" s="24">
        <v>11690530</v>
      </c>
      <c r="O25" s="24">
        <v>16186260</v>
      </c>
      <c r="P25" s="55"/>
      <c r="Q25" s="37">
        <f t="shared" ref="Q25:AC27" si="33">IF((C25-C24&lt;0), "0",C25-C24)</f>
        <v>520</v>
      </c>
      <c r="R25" s="37">
        <f t="shared" si="33"/>
        <v>1800</v>
      </c>
      <c r="S25" s="37">
        <f t="shared" si="33"/>
        <v>3410</v>
      </c>
      <c r="T25" s="37">
        <f t="shared" si="33"/>
        <v>1420</v>
      </c>
      <c r="U25" s="37">
        <f t="shared" si="33"/>
        <v>2330</v>
      </c>
      <c r="V25" s="37">
        <f t="shared" si="33"/>
        <v>2419</v>
      </c>
      <c r="W25" s="37">
        <f t="shared" si="33"/>
        <v>2140</v>
      </c>
      <c r="X25" s="37">
        <f t="shared" si="33"/>
        <v>1830</v>
      </c>
      <c r="Y25" s="37">
        <f t="shared" si="33"/>
        <v>3240</v>
      </c>
      <c r="Z25" s="37">
        <f t="shared" si="33"/>
        <v>1350</v>
      </c>
      <c r="AA25" s="37">
        <f t="shared" si="33"/>
        <v>2420</v>
      </c>
      <c r="AB25" s="37">
        <f t="shared" si="33"/>
        <v>5430</v>
      </c>
      <c r="AC25" s="37">
        <f t="shared" si="33"/>
        <v>10260</v>
      </c>
      <c r="AD25" s="35">
        <f t="shared" si="28"/>
        <v>38569</v>
      </c>
      <c r="AF25" s="20">
        <f t="shared" si="1"/>
        <v>2.6</v>
      </c>
      <c r="AG25" s="20">
        <f t="shared" si="2"/>
        <v>9</v>
      </c>
      <c r="AH25" s="20">
        <f t="shared" si="3"/>
        <v>17.05</v>
      </c>
      <c r="AI25" s="20">
        <f t="shared" si="4"/>
        <v>7.1000000000000005</v>
      </c>
      <c r="AJ25" s="20">
        <f t="shared" si="5"/>
        <v>11.65</v>
      </c>
      <c r="AK25" s="20">
        <f t="shared" si="6"/>
        <v>12.095000000000001</v>
      </c>
      <c r="AL25" s="20">
        <f t="shared" si="7"/>
        <v>10.700000000000001</v>
      </c>
      <c r="AM25" s="20">
        <f t="shared" si="8"/>
        <v>9.15</v>
      </c>
      <c r="AN25" s="20">
        <f t="shared" si="9"/>
        <v>16.2</v>
      </c>
      <c r="AO25" s="20">
        <f t="shared" si="10"/>
        <v>6.75</v>
      </c>
      <c r="AP25" s="20">
        <f t="shared" si="11"/>
        <v>12.1</v>
      </c>
      <c r="AQ25" s="20">
        <f t="shared" si="12"/>
        <v>27.150000000000002</v>
      </c>
      <c r="AR25" s="20">
        <f t="shared" si="13"/>
        <v>51.300000000000004</v>
      </c>
      <c r="AS25" s="35">
        <f t="shared" si="29"/>
        <v>192.845</v>
      </c>
      <c r="AU25" s="47">
        <v>564007</v>
      </c>
      <c r="AV25" s="37">
        <f t="shared" si="31"/>
        <v>1572</v>
      </c>
      <c r="AW25" s="35">
        <f t="shared" si="30"/>
        <v>3.1440000000000001</v>
      </c>
    </row>
    <row r="26" spans="1:49" x14ac:dyDescent="0.25">
      <c r="A26" s="23">
        <v>44306</v>
      </c>
      <c r="B26" s="40">
        <v>26</v>
      </c>
      <c r="C26" s="24">
        <v>6567440</v>
      </c>
      <c r="D26" s="24">
        <v>15241320</v>
      </c>
      <c r="E26" s="24">
        <v>2576280</v>
      </c>
      <c r="F26" s="24">
        <v>3397200</v>
      </c>
      <c r="G26" s="24">
        <v>10200670</v>
      </c>
      <c r="H26" s="24">
        <v>5366330</v>
      </c>
      <c r="I26" s="24">
        <v>4967120</v>
      </c>
      <c r="J26" s="24">
        <v>5763790</v>
      </c>
      <c r="K26" s="24">
        <v>8971350</v>
      </c>
      <c r="L26" s="24">
        <v>3715130</v>
      </c>
      <c r="M26" s="24">
        <v>7750530</v>
      </c>
      <c r="N26" s="24">
        <v>11696140</v>
      </c>
      <c r="O26" s="24">
        <v>16194020</v>
      </c>
      <c r="Q26" s="37">
        <f t="shared" si="33"/>
        <v>540</v>
      </c>
      <c r="R26" s="37">
        <f t="shared" si="33"/>
        <v>1840</v>
      </c>
      <c r="S26" s="37">
        <f t="shared" si="33"/>
        <v>3490</v>
      </c>
      <c r="T26" s="37">
        <f t="shared" si="33"/>
        <v>1460</v>
      </c>
      <c r="U26" s="37">
        <f t="shared" si="33"/>
        <v>2330</v>
      </c>
      <c r="V26" s="37">
        <f t="shared" si="33"/>
        <v>2471</v>
      </c>
      <c r="W26" s="37">
        <f t="shared" si="33"/>
        <v>2200</v>
      </c>
      <c r="X26" s="37">
        <f t="shared" si="33"/>
        <v>2020</v>
      </c>
      <c r="Y26" s="37">
        <f t="shared" si="33"/>
        <v>3230</v>
      </c>
      <c r="Z26" s="37">
        <f t="shared" si="33"/>
        <v>1410</v>
      </c>
      <c r="AA26" s="37">
        <f t="shared" si="33"/>
        <v>2420</v>
      </c>
      <c r="AB26" s="37">
        <f t="shared" si="33"/>
        <v>5610</v>
      </c>
      <c r="AC26" s="37">
        <f t="shared" si="33"/>
        <v>7760</v>
      </c>
      <c r="AD26" s="35">
        <f t="shared" si="28"/>
        <v>36781</v>
      </c>
      <c r="AF26" s="20">
        <f t="shared" si="1"/>
        <v>2.7</v>
      </c>
      <c r="AG26" s="20">
        <f t="shared" si="2"/>
        <v>9.2000000000000011</v>
      </c>
      <c r="AH26" s="20">
        <f t="shared" si="3"/>
        <v>17.45</v>
      </c>
      <c r="AI26" s="20">
        <f t="shared" si="4"/>
        <v>7.3</v>
      </c>
      <c r="AJ26" s="20">
        <f t="shared" si="5"/>
        <v>11.65</v>
      </c>
      <c r="AK26" s="20">
        <f t="shared" si="6"/>
        <v>12.355</v>
      </c>
      <c r="AL26" s="20">
        <f t="shared" si="7"/>
        <v>11</v>
      </c>
      <c r="AM26" s="20">
        <f t="shared" si="8"/>
        <v>10.1</v>
      </c>
      <c r="AN26" s="20">
        <f t="shared" si="9"/>
        <v>16.149999999999999</v>
      </c>
      <c r="AO26" s="20">
        <f t="shared" si="10"/>
        <v>7.05</v>
      </c>
      <c r="AP26" s="20">
        <f t="shared" si="11"/>
        <v>12.1</v>
      </c>
      <c r="AQ26" s="20">
        <f t="shared" si="12"/>
        <v>28.05</v>
      </c>
      <c r="AR26" s="20">
        <f t="shared" si="13"/>
        <v>38.800000000000004</v>
      </c>
      <c r="AS26" s="35">
        <f t="shared" si="29"/>
        <v>183.905</v>
      </c>
      <c r="AU26" s="47">
        <v>565736</v>
      </c>
      <c r="AV26" s="37">
        <f t="shared" si="31"/>
        <v>1729</v>
      </c>
      <c r="AW26" s="35">
        <f t="shared" si="30"/>
        <v>3.4580000000000002</v>
      </c>
    </row>
    <row r="27" spans="1:49" x14ac:dyDescent="0.25">
      <c r="A27" s="23">
        <v>44307</v>
      </c>
      <c r="B27" s="40">
        <v>15</v>
      </c>
      <c r="C27" s="24">
        <v>6568030</v>
      </c>
      <c r="D27" s="24">
        <v>15243330</v>
      </c>
      <c r="E27" s="24">
        <v>2580050</v>
      </c>
      <c r="F27" s="24">
        <v>3398810</v>
      </c>
      <c r="G27" s="24">
        <v>10203260</v>
      </c>
      <c r="H27" s="24">
        <v>5369110</v>
      </c>
      <c r="I27" s="24">
        <v>4969500</v>
      </c>
      <c r="J27" s="24">
        <v>5766040</v>
      </c>
      <c r="K27" s="24">
        <v>8975090</v>
      </c>
      <c r="L27" s="24">
        <v>3716750</v>
      </c>
      <c r="M27" s="24">
        <v>7753410</v>
      </c>
      <c r="N27" s="24">
        <v>11702370</v>
      </c>
      <c r="O27" s="24">
        <v>16202920</v>
      </c>
      <c r="Q27" s="37">
        <f t="shared" si="33"/>
        <v>590</v>
      </c>
      <c r="R27" s="37">
        <f t="shared" si="33"/>
        <v>2010</v>
      </c>
      <c r="S27" s="37">
        <f t="shared" si="33"/>
        <v>3770</v>
      </c>
      <c r="T27" s="37">
        <f t="shared" si="33"/>
        <v>1610</v>
      </c>
      <c r="U27" s="37">
        <f t="shared" si="33"/>
        <v>2590</v>
      </c>
      <c r="V27" s="37">
        <f t="shared" si="33"/>
        <v>2780</v>
      </c>
      <c r="W27" s="37">
        <f t="shared" si="33"/>
        <v>2380</v>
      </c>
      <c r="X27" s="37">
        <f t="shared" si="33"/>
        <v>2250</v>
      </c>
      <c r="Y27" s="37">
        <f t="shared" si="33"/>
        <v>3740</v>
      </c>
      <c r="Z27" s="37">
        <f t="shared" si="33"/>
        <v>1620</v>
      </c>
      <c r="AA27" s="37">
        <f t="shared" si="33"/>
        <v>2880</v>
      </c>
      <c r="AB27" s="37">
        <f t="shared" si="33"/>
        <v>6230</v>
      </c>
      <c r="AC27" s="37">
        <f t="shared" si="33"/>
        <v>8900</v>
      </c>
      <c r="AD27" s="35">
        <f t="shared" si="28"/>
        <v>41350</v>
      </c>
      <c r="AF27" s="20">
        <f t="shared" si="1"/>
        <v>2.95</v>
      </c>
      <c r="AG27" s="20">
        <f t="shared" si="2"/>
        <v>10.050000000000001</v>
      </c>
      <c r="AH27" s="20">
        <f t="shared" si="3"/>
        <v>18.850000000000001</v>
      </c>
      <c r="AI27" s="20">
        <f t="shared" si="4"/>
        <v>8.0500000000000007</v>
      </c>
      <c r="AJ27" s="20">
        <f t="shared" si="5"/>
        <v>12.950000000000001</v>
      </c>
      <c r="AK27" s="20">
        <f t="shared" si="6"/>
        <v>13.9</v>
      </c>
      <c r="AL27" s="20">
        <f t="shared" si="7"/>
        <v>11.9</v>
      </c>
      <c r="AM27" s="20">
        <f t="shared" si="8"/>
        <v>11.25</v>
      </c>
      <c r="AN27" s="20">
        <f t="shared" si="9"/>
        <v>18.7</v>
      </c>
      <c r="AO27" s="20">
        <f t="shared" si="10"/>
        <v>8.1</v>
      </c>
      <c r="AP27" s="20">
        <f t="shared" si="11"/>
        <v>14.4</v>
      </c>
      <c r="AQ27" s="20">
        <f t="shared" si="12"/>
        <v>31.150000000000002</v>
      </c>
      <c r="AR27" s="20">
        <f t="shared" si="13"/>
        <v>44.5</v>
      </c>
      <c r="AS27" s="35">
        <f t="shared" si="29"/>
        <v>206.75000000000003</v>
      </c>
      <c r="AU27" s="47">
        <v>567507</v>
      </c>
      <c r="AV27" s="37">
        <f>IF((AU27-AU26&lt;0),"0",AU27-AU26)</f>
        <v>1771</v>
      </c>
      <c r="AW27" s="35">
        <f t="shared" si="30"/>
        <v>3.5420000000000003</v>
      </c>
    </row>
    <row r="28" spans="1:49" x14ac:dyDescent="0.25">
      <c r="A28" s="23">
        <v>44308</v>
      </c>
      <c r="B28" s="40">
        <v>34</v>
      </c>
      <c r="C28" s="24">
        <v>6568530</v>
      </c>
      <c r="D28" s="24">
        <v>15245060</v>
      </c>
      <c r="E28" s="24">
        <v>2583320</v>
      </c>
      <c r="F28" s="24">
        <v>3400180</v>
      </c>
      <c r="G28" s="24">
        <v>10205490</v>
      </c>
      <c r="H28" s="24">
        <v>5371410</v>
      </c>
      <c r="I28" s="24">
        <v>4971510</v>
      </c>
      <c r="J28" s="24">
        <v>5767950</v>
      </c>
      <c r="K28" s="24">
        <v>8978480</v>
      </c>
      <c r="L28" s="24">
        <v>3718110</v>
      </c>
      <c r="M28" s="24">
        <v>7755770</v>
      </c>
      <c r="N28" s="24">
        <v>11707660</v>
      </c>
      <c r="O28" s="24">
        <v>16209480</v>
      </c>
      <c r="Q28" s="37">
        <f t="shared" si="16"/>
        <v>500</v>
      </c>
      <c r="R28" s="37">
        <f t="shared" si="17"/>
        <v>1730</v>
      </c>
      <c r="S28" s="37">
        <f t="shared" si="15"/>
        <v>3270</v>
      </c>
      <c r="T28" s="37">
        <f t="shared" si="18"/>
        <v>1370</v>
      </c>
      <c r="U28" s="37">
        <f t="shared" si="19"/>
        <v>2230</v>
      </c>
      <c r="V28" s="37">
        <f t="shared" si="20"/>
        <v>2300</v>
      </c>
      <c r="W28" s="37">
        <f t="shared" si="21"/>
        <v>2010</v>
      </c>
      <c r="X28" s="37">
        <f t="shared" si="22"/>
        <v>1910</v>
      </c>
      <c r="Y28" s="37">
        <f t="shared" si="23"/>
        <v>3390</v>
      </c>
      <c r="Z28" s="37">
        <f t="shared" si="24"/>
        <v>1360</v>
      </c>
      <c r="AA28" s="37">
        <f t="shared" si="25"/>
        <v>2360</v>
      </c>
      <c r="AB28" s="37">
        <f t="shared" si="26"/>
        <v>5290</v>
      </c>
      <c r="AC28" s="37">
        <f t="shared" si="27"/>
        <v>6560</v>
      </c>
      <c r="AD28" s="35">
        <f t="shared" si="28"/>
        <v>34280</v>
      </c>
      <c r="AF28" s="20">
        <f t="shared" si="1"/>
        <v>2.5</v>
      </c>
      <c r="AG28" s="20">
        <f t="shared" si="2"/>
        <v>8.65</v>
      </c>
      <c r="AH28" s="20">
        <f t="shared" si="3"/>
        <v>16.350000000000001</v>
      </c>
      <c r="AI28" s="20">
        <f t="shared" si="4"/>
        <v>6.8500000000000005</v>
      </c>
      <c r="AJ28" s="20">
        <f t="shared" si="5"/>
        <v>11.15</v>
      </c>
      <c r="AK28" s="20">
        <f t="shared" si="6"/>
        <v>11.5</v>
      </c>
      <c r="AL28" s="20">
        <f t="shared" si="7"/>
        <v>10.050000000000001</v>
      </c>
      <c r="AM28" s="20">
        <f t="shared" si="8"/>
        <v>9.5500000000000007</v>
      </c>
      <c r="AN28" s="20">
        <f t="shared" si="9"/>
        <v>16.95</v>
      </c>
      <c r="AO28" s="20">
        <f t="shared" si="10"/>
        <v>6.8</v>
      </c>
      <c r="AP28" s="20">
        <f t="shared" si="11"/>
        <v>11.8</v>
      </c>
      <c r="AQ28" s="20">
        <f t="shared" si="12"/>
        <v>26.45</v>
      </c>
      <c r="AR28" s="20">
        <f t="shared" si="13"/>
        <v>32.799999999999997</v>
      </c>
      <c r="AS28" s="35">
        <f t="shared" si="29"/>
        <v>171.39999999999998</v>
      </c>
      <c r="AU28" s="47">
        <v>569057</v>
      </c>
      <c r="AV28" s="37">
        <f>IF((AU28-AU27&lt;0),"0",AU28-AU27)</f>
        <v>1550</v>
      </c>
      <c r="AW28" s="35">
        <f t="shared" si="30"/>
        <v>3.1</v>
      </c>
    </row>
    <row r="29" spans="1:49" x14ac:dyDescent="0.25">
      <c r="A29" s="23">
        <v>44309</v>
      </c>
      <c r="B29" s="40">
        <v>15</v>
      </c>
      <c r="C29" s="24">
        <v>6569070</v>
      </c>
      <c r="D29" s="24">
        <v>15246900</v>
      </c>
      <c r="E29" s="24">
        <v>2586810</v>
      </c>
      <c r="F29" s="24">
        <v>3401650</v>
      </c>
      <c r="G29" s="24">
        <v>10207910</v>
      </c>
      <c r="H29" s="24">
        <v>5373820</v>
      </c>
      <c r="I29" s="24">
        <v>4973670</v>
      </c>
      <c r="J29" s="24">
        <v>5770010</v>
      </c>
      <c r="K29" s="24">
        <v>8982030</v>
      </c>
      <c r="L29" s="24">
        <v>3719620</v>
      </c>
      <c r="M29" s="24">
        <v>7758330</v>
      </c>
      <c r="N29" s="24">
        <v>11713410</v>
      </c>
      <c r="O29" s="24">
        <v>16216660</v>
      </c>
      <c r="Q29" s="37">
        <f t="shared" si="16"/>
        <v>540</v>
      </c>
      <c r="R29" s="37">
        <f t="shared" si="17"/>
        <v>1840</v>
      </c>
      <c r="S29" s="37">
        <f t="shared" si="15"/>
        <v>3490</v>
      </c>
      <c r="T29" s="37">
        <f t="shared" si="18"/>
        <v>1470</v>
      </c>
      <c r="U29" s="37">
        <f t="shared" si="19"/>
        <v>2420</v>
      </c>
      <c r="V29" s="37">
        <f t="shared" si="20"/>
        <v>2410</v>
      </c>
      <c r="W29" s="37">
        <f t="shared" si="21"/>
        <v>2160</v>
      </c>
      <c r="X29" s="37">
        <f t="shared" si="22"/>
        <v>2060</v>
      </c>
      <c r="Y29" s="37">
        <f t="shared" si="23"/>
        <v>3550</v>
      </c>
      <c r="Z29" s="37">
        <f t="shared" si="24"/>
        <v>1510</v>
      </c>
      <c r="AA29" s="37">
        <f t="shared" si="25"/>
        <v>2560</v>
      </c>
      <c r="AB29" s="37">
        <f t="shared" si="26"/>
        <v>5750</v>
      </c>
      <c r="AC29" s="37">
        <f t="shared" si="27"/>
        <v>7180</v>
      </c>
      <c r="AD29" s="35">
        <f t="shared" si="28"/>
        <v>36940</v>
      </c>
      <c r="AF29" s="20">
        <f t="shared" si="1"/>
        <v>2.7</v>
      </c>
      <c r="AG29" s="20">
        <f t="shared" si="2"/>
        <v>9.2000000000000011</v>
      </c>
      <c r="AH29" s="20">
        <f t="shared" si="3"/>
        <v>17.45</v>
      </c>
      <c r="AI29" s="20">
        <f t="shared" si="4"/>
        <v>7.3500000000000005</v>
      </c>
      <c r="AJ29" s="20">
        <f t="shared" si="5"/>
        <v>12.1</v>
      </c>
      <c r="AK29" s="20">
        <f t="shared" si="6"/>
        <v>12.05</v>
      </c>
      <c r="AL29" s="20">
        <f t="shared" si="7"/>
        <v>10.8</v>
      </c>
      <c r="AM29" s="20">
        <f t="shared" si="8"/>
        <v>10.3</v>
      </c>
      <c r="AN29" s="20">
        <f t="shared" si="9"/>
        <v>17.75</v>
      </c>
      <c r="AO29" s="20">
        <f t="shared" si="10"/>
        <v>7.55</v>
      </c>
      <c r="AP29" s="20">
        <f t="shared" si="11"/>
        <v>12.8</v>
      </c>
      <c r="AQ29" s="20">
        <f t="shared" si="12"/>
        <v>28.75</v>
      </c>
      <c r="AR29" s="20">
        <f t="shared" si="13"/>
        <v>35.9</v>
      </c>
      <c r="AS29" s="35">
        <f t="shared" si="29"/>
        <v>184.70000000000002</v>
      </c>
      <c r="AU29" s="47">
        <v>570548</v>
      </c>
      <c r="AV29" s="37">
        <f t="shared" ref="AV29:AV35" si="34">IF((AU29-AU28&lt;0),"0",AU29-AU28)</f>
        <v>1491</v>
      </c>
      <c r="AW29" s="35">
        <f t="shared" si="30"/>
        <v>2.9820000000000002</v>
      </c>
    </row>
    <row r="30" spans="1:49" x14ac:dyDescent="0.25">
      <c r="A30" s="23">
        <v>44310</v>
      </c>
      <c r="B30" s="40">
        <v>16</v>
      </c>
      <c r="C30" s="24">
        <v>6569620</v>
      </c>
      <c r="D30" s="24">
        <v>15248790</v>
      </c>
      <c r="E30" s="24">
        <v>2590540</v>
      </c>
      <c r="F30" s="24">
        <v>3403150</v>
      </c>
      <c r="G30" s="24">
        <v>10210440</v>
      </c>
      <c r="H30" s="24">
        <v>5376280</v>
      </c>
      <c r="I30" s="24">
        <v>4975890</v>
      </c>
      <c r="J30" s="24">
        <v>5772200</v>
      </c>
      <c r="K30" s="24">
        <v>8985700</v>
      </c>
      <c r="L30" s="24">
        <v>3721180</v>
      </c>
      <c r="M30" s="24">
        <v>7760930</v>
      </c>
      <c r="N30" s="24">
        <v>11719470</v>
      </c>
      <c r="O30" s="24">
        <v>16224410</v>
      </c>
      <c r="Q30" s="37">
        <f t="shared" si="16"/>
        <v>550</v>
      </c>
      <c r="R30" s="37">
        <f t="shared" si="17"/>
        <v>1890</v>
      </c>
      <c r="S30" s="37">
        <f t="shared" si="15"/>
        <v>3730</v>
      </c>
      <c r="T30" s="37">
        <f t="shared" si="18"/>
        <v>1500</v>
      </c>
      <c r="U30" s="37">
        <f t="shared" si="19"/>
        <v>2530</v>
      </c>
      <c r="V30" s="37">
        <f t="shared" si="20"/>
        <v>2460</v>
      </c>
      <c r="W30" s="37">
        <f t="shared" si="21"/>
        <v>2220</v>
      </c>
      <c r="X30" s="37">
        <f t="shared" si="22"/>
        <v>2190</v>
      </c>
      <c r="Y30" s="37">
        <f t="shared" si="23"/>
        <v>3670</v>
      </c>
      <c r="Z30" s="37">
        <f t="shared" si="24"/>
        <v>1560</v>
      </c>
      <c r="AA30" s="37">
        <f t="shared" si="25"/>
        <v>2600</v>
      </c>
      <c r="AB30" s="37">
        <f t="shared" si="26"/>
        <v>6060</v>
      </c>
      <c r="AC30" s="37">
        <f t="shared" si="27"/>
        <v>7750</v>
      </c>
      <c r="AD30" s="35">
        <f t="shared" si="28"/>
        <v>38710</v>
      </c>
      <c r="AF30" s="20">
        <f t="shared" si="1"/>
        <v>2.75</v>
      </c>
      <c r="AG30" s="20">
        <f t="shared" si="2"/>
        <v>9.4500000000000011</v>
      </c>
      <c r="AH30" s="20">
        <f t="shared" si="3"/>
        <v>18.650000000000002</v>
      </c>
      <c r="AI30" s="20">
        <f t="shared" si="4"/>
        <v>7.5</v>
      </c>
      <c r="AJ30" s="20">
        <f t="shared" si="5"/>
        <v>12.65</v>
      </c>
      <c r="AK30" s="20">
        <f t="shared" si="6"/>
        <v>12.3</v>
      </c>
      <c r="AL30" s="20">
        <f t="shared" si="7"/>
        <v>11.1</v>
      </c>
      <c r="AM30" s="20">
        <f t="shared" si="8"/>
        <v>10.950000000000001</v>
      </c>
      <c r="AN30" s="20">
        <f t="shared" si="9"/>
        <v>18.350000000000001</v>
      </c>
      <c r="AO30" s="20">
        <f t="shared" si="10"/>
        <v>7.8</v>
      </c>
      <c r="AP30" s="20">
        <f t="shared" si="11"/>
        <v>13</v>
      </c>
      <c r="AQ30" s="20">
        <f t="shared" si="12"/>
        <v>30.3</v>
      </c>
      <c r="AR30" s="20">
        <f t="shared" si="13"/>
        <v>38.75</v>
      </c>
      <c r="AS30" s="35">
        <f t="shared" si="29"/>
        <v>193.54999999999998</v>
      </c>
      <c r="AU30" s="47">
        <v>572179</v>
      </c>
      <c r="AV30" s="37">
        <f t="shared" si="34"/>
        <v>1631</v>
      </c>
      <c r="AW30" s="35">
        <f t="shared" si="30"/>
        <v>3.262</v>
      </c>
    </row>
    <row r="31" spans="1:49" x14ac:dyDescent="0.25">
      <c r="A31" s="23">
        <v>44311</v>
      </c>
      <c r="B31" s="40">
        <v>14</v>
      </c>
      <c r="C31" s="24">
        <v>6570160</v>
      </c>
      <c r="D31" s="24">
        <v>15250640</v>
      </c>
      <c r="E31" s="24">
        <v>2594280</v>
      </c>
      <c r="F31" s="24">
        <v>3404630</v>
      </c>
      <c r="G31" s="24">
        <v>10212840</v>
      </c>
      <c r="H31" s="24">
        <v>5378790</v>
      </c>
      <c r="I31" s="24">
        <v>4978090</v>
      </c>
      <c r="J31" s="24">
        <v>5774300</v>
      </c>
      <c r="K31" s="24">
        <v>8989220</v>
      </c>
      <c r="L31" s="24">
        <v>3722800</v>
      </c>
      <c r="M31" s="24">
        <v>7763470</v>
      </c>
      <c r="N31" s="24">
        <v>11725230</v>
      </c>
      <c r="O31" s="24">
        <v>16231640</v>
      </c>
      <c r="Q31" s="37">
        <f>IF((C31-C30&lt;0), "0",C31-C30)</f>
        <v>540</v>
      </c>
      <c r="R31" s="37">
        <f t="shared" si="17"/>
        <v>1850</v>
      </c>
      <c r="S31" s="37">
        <f t="shared" si="15"/>
        <v>3740</v>
      </c>
      <c r="T31" s="37">
        <f t="shared" si="18"/>
        <v>1480</v>
      </c>
      <c r="U31" s="37">
        <f t="shared" si="19"/>
        <v>2400</v>
      </c>
      <c r="V31" s="37">
        <f t="shared" si="20"/>
        <v>2510</v>
      </c>
      <c r="W31" s="37">
        <f t="shared" si="21"/>
        <v>2200</v>
      </c>
      <c r="X31" s="37">
        <f t="shared" si="22"/>
        <v>2100</v>
      </c>
      <c r="Y31" s="37">
        <f t="shared" si="23"/>
        <v>3520</v>
      </c>
      <c r="Z31" s="37">
        <f t="shared" si="24"/>
        <v>1620</v>
      </c>
      <c r="AA31" s="37">
        <f t="shared" si="25"/>
        <v>2540</v>
      </c>
      <c r="AB31" s="37">
        <f t="shared" si="26"/>
        <v>5760</v>
      </c>
      <c r="AC31" s="37">
        <f t="shared" si="27"/>
        <v>7230</v>
      </c>
      <c r="AD31" s="35">
        <f t="shared" si="28"/>
        <v>37490</v>
      </c>
      <c r="AF31" s="20">
        <f t="shared" si="1"/>
        <v>2.7</v>
      </c>
      <c r="AG31" s="20">
        <f t="shared" si="2"/>
        <v>9.25</v>
      </c>
      <c r="AH31" s="20">
        <f t="shared" si="3"/>
        <v>18.7</v>
      </c>
      <c r="AI31" s="20">
        <f t="shared" si="4"/>
        <v>7.4</v>
      </c>
      <c r="AJ31" s="20">
        <f t="shared" si="5"/>
        <v>12</v>
      </c>
      <c r="AK31" s="20">
        <f t="shared" si="6"/>
        <v>12.55</v>
      </c>
      <c r="AL31" s="20">
        <f t="shared" si="7"/>
        <v>11</v>
      </c>
      <c r="AM31" s="20">
        <f t="shared" si="8"/>
        <v>10.5</v>
      </c>
      <c r="AN31" s="20">
        <f t="shared" si="9"/>
        <v>17.600000000000001</v>
      </c>
      <c r="AO31" s="20">
        <f t="shared" si="10"/>
        <v>8.1</v>
      </c>
      <c r="AP31" s="20">
        <f t="shared" si="11"/>
        <v>12.700000000000001</v>
      </c>
      <c r="AQ31" s="20">
        <f t="shared" si="12"/>
        <v>28.8</v>
      </c>
      <c r="AR31" s="20">
        <f t="shared" si="13"/>
        <v>36.15</v>
      </c>
      <c r="AS31" s="35">
        <f t="shared" si="29"/>
        <v>187.45</v>
      </c>
      <c r="AU31" s="47">
        <v>573912</v>
      </c>
      <c r="AV31" s="37">
        <f t="shared" si="34"/>
        <v>1733</v>
      </c>
      <c r="AW31" s="35">
        <f t="shared" si="30"/>
        <v>3.4660000000000002</v>
      </c>
    </row>
    <row r="32" spans="1:49" x14ac:dyDescent="0.25">
      <c r="A32" s="23">
        <v>44312</v>
      </c>
      <c r="B32" s="40">
        <v>23</v>
      </c>
      <c r="C32" s="24">
        <v>6570740</v>
      </c>
      <c r="D32" s="24">
        <v>15252640</v>
      </c>
      <c r="E32" s="24">
        <v>2598320</v>
      </c>
      <c r="F32" s="24">
        <v>3406220</v>
      </c>
      <c r="G32" s="24">
        <v>10215580</v>
      </c>
      <c r="H32" s="24">
        <v>5381460</v>
      </c>
      <c r="I32" s="24">
        <v>4980490</v>
      </c>
      <c r="J32" s="24">
        <v>5776390</v>
      </c>
      <c r="K32" s="24">
        <v>8993040</v>
      </c>
      <c r="L32" s="24">
        <v>3724570</v>
      </c>
      <c r="M32" s="24">
        <v>7766150</v>
      </c>
      <c r="N32" s="24">
        <v>11731450</v>
      </c>
      <c r="O32" s="24">
        <v>16240290</v>
      </c>
      <c r="Q32" s="37">
        <f>IF((C32-C31&lt;0), "0",C32-C31)</f>
        <v>580</v>
      </c>
      <c r="R32" s="37">
        <f t="shared" si="17"/>
        <v>2000</v>
      </c>
      <c r="S32" s="37">
        <f t="shared" si="15"/>
        <v>4040</v>
      </c>
      <c r="T32" s="37">
        <f t="shared" si="18"/>
        <v>1590</v>
      </c>
      <c r="U32" s="37">
        <f t="shared" si="19"/>
        <v>2740</v>
      </c>
      <c r="V32" s="37">
        <f t="shared" si="20"/>
        <v>2670</v>
      </c>
      <c r="W32" s="37">
        <f t="shared" si="21"/>
        <v>2400</v>
      </c>
      <c r="X32" s="37">
        <f t="shared" si="22"/>
        <v>2090</v>
      </c>
      <c r="Y32" s="37">
        <f t="shared" si="23"/>
        <v>3820</v>
      </c>
      <c r="Z32" s="37">
        <f t="shared" si="24"/>
        <v>1770</v>
      </c>
      <c r="AA32" s="37">
        <f t="shared" si="25"/>
        <v>2680</v>
      </c>
      <c r="AB32" s="37">
        <f t="shared" si="26"/>
        <v>6220</v>
      </c>
      <c r="AC32" s="37">
        <f t="shared" si="27"/>
        <v>8650</v>
      </c>
      <c r="AD32" s="35">
        <f t="shared" si="28"/>
        <v>41250</v>
      </c>
      <c r="AF32" s="20">
        <f t="shared" si="1"/>
        <v>2.9</v>
      </c>
      <c r="AG32" s="20">
        <f t="shared" si="2"/>
        <v>10</v>
      </c>
      <c r="AH32" s="20">
        <f t="shared" si="3"/>
        <v>20.2</v>
      </c>
      <c r="AI32" s="20">
        <f t="shared" si="4"/>
        <v>7.95</v>
      </c>
      <c r="AJ32" s="20">
        <f t="shared" si="5"/>
        <v>13.700000000000001</v>
      </c>
      <c r="AK32" s="20">
        <f t="shared" si="6"/>
        <v>13.35</v>
      </c>
      <c r="AL32" s="20">
        <f t="shared" si="7"/>
        <v>12</v>
      </c>
      <c r="AM32" s="20">
        <f t="shared" si="8"/>
        <v>10.450000000000001</v>
      </c>
      <c r="AN32" s="20">
        <f t="shared" si="9"/>
        <v>19.100000000000001</v>
      </c>
      <c r="AO32" s="20">
        <f t="shared" si="10"/>
        <v>8.85</v>
      </c>
      <c r="AP32" s="20">
        <f t="shared" si="11"/>
        <v>13.4</v>
      </c>
      <c r="AQ32" s="20">
        <f t="shared" si="12"/>
        <v>31.1</v>
      </c>
      <c r="AR32" s="20">
        <f t="shared" si="13"/>
        <v>43.25</v>
      </c>
      <c r="AS32" s="35">
        <f t="shared" si="29"/>
        <v>206.25</v>
      </c>
      <c r="AU32" s="47">
        <v>575927</v>
      </c>
      <c r="AV32" s="37">
        <f t="shared" si="34"/>
        <v>2015</v>
      </c>
      <c r="AW32" s="35">
        <f t="shared" si="30"/>
        <v>4.03</v>
      </c>
    </row>
    <row r="33" spans="1:49" x14ac:dyDescent="0.25">
      <c r="A33" s="23">
        <v>44313</v>
      </c>
      <c r="B33" s="40">
        <v>17</v>
      </c>
      <c r="C33" s="24">
        <v>6571270</v>
      </c>
      <c r="D33" s="24">
        <v>15254440</v>
      </c>
      <c r="E33" s="24">
        <v>2602180</v>
      </c>
      <c r="F33" s="24">
        <v>3407650</v>
      </c>
      <c r="G33" s="24">
        <v>10217930</v>
      </c>
      <c r="H33" s="24">
        <v>5383910</v>
      </c>
      <c r="I33" s="24">
        <v>4982670</v>
      </c>
      <c r="J33" s="24">
        <v>5778290</v>
      </c>
      <c r="K33" s="24">
        <v>8996290</v>
      </c>
      <c r="L33" s="24">
        <v>3726170</v>
      </c>
      <c r="M33" s="24">
        <v>7768340</v>
      </c>
      <c r="N33" s="24">
        <v>11737280</v>
      </c>
      <c r="O33" s="24">
        <v>16247850</v>
      </c>
      <c r="Q33" s="37">
        <f>IF((C33-C32&lt;0), "0",C33-C32)</f>
        <v>530</v>
      </c>
      <c r="R33" s="37">
        <f t="shared" si="17"/>
        <v>1800</v>
      </c>
      <c r="S33" s="37">
        <f t="shared" si="15"/>
        <v>3860</v>
      </c>
      <c r="T33" s="37">
        <f t="shared" si="18"/>
        <v>1430</v>
      </c>
      <c r="U33" s="37">
        <f t="shared" si="19"/>
        <v>2350</v>
      </c>
      <c r="V33" s="37">
        <f t="shared" si="20"/>
        <v>2450</v>
      </c>
      <c r="W33" s="37">
        <f t="shared" si="21"/>
        <v>2180</v>
      </c>
      <c r="X33" s="37">
        <f t="shared" si="22"/>
        <v>1900</v>
      </c>
      <c r="Y33" s="37">
        <f t="shared" si="23"/>
        <v>3250</v>
      </c>
      <c r="Z33" s="37">
        <f t="shared" si="24"/>
        <v>1600</v>
      </c>
      <c r="AA33" s="37">
        <f t="shared" si="25"/>
        <v>2190</v>
      </c>
      <c r="AB33" s="37">
        <f t="shared" si="26"/>
        <v>5830</v>
      </c>
      <c r="AC33" s="37">
        <f t="shared" si="27"/>
        <v>7560</v>
      </c>
      <c r="AD33" s="35">
        <f t="shared" si="28"/>
        <v>36930</v>
      </c>
      <c r="AF33" s="20">
        <f t="shared" si="1"/>
        <v>2.65</v>
      </c>
      <c r="AG33" s="20">
        <f t="shared" si="2"/>
        <v>9</v>
      </c>
      <c r="AH33" s="20">
        <f t="shared" si="3"/>
        <v>19.3</v>
      </c>
      <c r="AI33" s="20">
        <f t="shared" si="4"/>
        <v>7.15</v>
      </c>
      <c r="AJ33" s="20">
        <f t="shared" si="5"/>
        <v>11.75</v>
      </c>
      <c r="AK33" s="20">
        <f t="shared" si="6"/>
        <v>12.25</v>
      </c>
      <c r="AL33" s="20">
        <f t="shared" si="7"/>
        <v>10.9</v>
      </c>
      <c r="AM33" s="20">
        <f t="shared" si="8"/>
        <v>9.5</v>
      </c>
      <c r="AN33" s="20">
        <f t="shared" si="9"/>
        <v>16.25</v>
      </c>
      <c r="AO33" s="20">
        <f t="shared" si="10"/>
        <v>8</v>
      </c>
      <c r="AP33" s="20">
        <f t="shared" si="11"/>
        <v>10.950000000000001</v>
      </c>
      <c r="AQ33" s="20">
        <f t="shared" si="12"/>
        <v>29.150000000000002</v>
      </c>
      <c r="AR33" s="20">
        <f t="shared" si="13"/>
        <v>37.800000000000004</v>
      </c>
      <c r="AS33" s="35">
        <f t="shared" si="29"/>
        <v>184.65</v>
      </c>
      <c r="AU33" s="47">
        <v>577465</v>
      </c>
      <c r="AV33" s="37">
        <f t="shared" si="34"/>
        <v>1538</v>
      </c>
      <c r="AW33" s="35">
        <f t="shared" si="30"/>
        <v>3.0760000000000001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>
        <v>0</v>
      </c>
      <c r="AC34" s="37" t="str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14850</v>
      </c>
      <c r="R38" s="38">
        <f t="shared" ref="R38:AD38" si="62">SUM(R7:R37)</f>
        <v>50660</v>
      </c>
      <c r="S38" s="38">
        <f t="shared" si="62"/>
        <v>93070</v>
      </c>
      <c r="T38" s="38">
        <f t="shared" si="62"/>
        <v>40330</v>
      </c>
      <c r="U38" s="38">
        <f t="shared" si="62"/>
        <v>85250</v>
      </c>
      <c r="V38" s="38">
        <f t="shared" si="62"/>
        <v>71630</v>
      </c>
      <c r="W38" s="38">
        <f t="shared" si="62"/>
        <v>60750</v>
      </c>
      <c r="X38" s="38">
        <f t="shared" si="62"/>
        <v>66690</v>
      </c>
      <c r="Y38" s="38">
        <f t="shared" si="62"/>
        <v>104560</v>
      </c>
      <c r="Z38" s="38">
        <f t="shared" si="62"/>
        <v>52530</v>
      </c>
      <c r="AA38" s="38">
        <f t="shared" si="62"/>
        <v>79980</v>
      </c>
      <c r="AB38" s="38">
        <f t="shared" si="62"/>
        <v>167500</v>
      </c>
      <c r="AC38" s="38">
        <f t="shared" si="62"/>
        <v>257470</v>
      </c>
      <c r="AD38" s="38">
        <f t="shared" si="62"/>
        <v>1145270</v>
      </c>
      <c r="AF38" s="35">
        <f t="shared" ref="AF38:AS38" si="63">SUM(AF7:AF34)</f>
        <v>74.250000000000014</v>
      </c>
      <c r="AG38" s="35">
        <f t="shared" si="63"/>
        <v>253.3</v>
      </c>
      <c r="AH38" s="35">
        <f t="shared" si="63"/>
        <v>465.35000000000008</v>
      </c>
      <c r="AI38" s="35">
        <f t="shared" si="63"/>
        <v>201.65000000000003</v>
      </c>
      <c r="AJ38" s="35">
        <f t="shared" si="63"/>
        <v>426.24999999999989</v>
      </c>
      <c r="AK38" s="35">
        <f t="shared" si="63"/>
        <v>358.15000000000015</v>
      </c>
      <c r="AL38" s="35">
        <f t="shared" si="63"/>
        <v>303.75</v>
      </c>
      <c r="AM38" s="35">
        <f t="shared" si="63"/>
        <v>333.45</v>
      </c>
      <c r="AN38" s="35">
        <f t="shared" si="63"/>
        <v>522.80000000000007</v>
      </c>
      <c r="AO38" s="35">
        <f t="shared" si="63"/>
        <v>262.64999999999998</v>
      </c>
      <c r="AP38" s="35">
        <f t="shared" si="63"/>
        <v>399.9</v>
      </c>
      <c r="AQ38" s="35">
        <f t="shared" si="63"/>
        <v>837.49999999999989</v>
      </c>
      <c r="AR38" s="35">
        <f t="shared" si="63"/>
        <v>1287.3499999999999</v>
      </c>
      <c r="AS38" s="35">
        <f t="shared" si="63"/>
        <v>5726.3499999999995</v>
      </c>
      <c r="AU38" s="48"/>
      <c r="AV38" s="35">
        <f>SUM(AV7:AV34)</f>
        <v>45013</v>
      </c>
      <c r="AW38" s="35">
        <f>SUM(AW7:AW34)</f>
        <v>82.623999999999995</v>
      </c>
    </row>
    <row r="39" spans="1:49" x14ac:dyDescent="0.25">
      <c r="D39">
        <v>5.0000000000000001E-3</v>
      </c>
      <c r="AV39" s="36">
        <f>AV38*0.00378541*1000</f>
        <v>170392.66032999998</v>
      </c>
    </row>
    <row r="40" spans="1:49" x14ac:dyDescent="0.25">
      <c r="D40">
        <v>2E-3</v>
      </c>
      <c r="AV40">
        <f>AV39/31</f>
        <v>5496.5374299999994</v>
      </c>
    </row>
    <row r="41" spans="1:49" x14ac:dyDescent="0.25">
      <c r="AV41">
        <f>AV38*0.00378541</f>
        <v>170.39266032999998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2021-04-28T05:13:45Z</dcterms:modified>
</cp:coreProperties>
</file>