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18" i="7" l="1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17" i="7" l="1"/>
  <c r="CM16" i="7"/>
  <c r="CM14" i="7"/>
  <c r="CM9" i="7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<sst xmlns="http://schemas.openxmlformats.org/spreadsheetml/2006/main" count="313" uniqueCount="148">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</sst>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43.955999999999996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>
        <f>Submetering!E11+Submetering!F11+Submetering!G11+Submetering!H11+Submetering!J11-Submetering!AV11</f>
        <v>10459.99999999968</v>
      </c>
      <c r="F11" s="11">
        <f t="shared" si="1"/>
        <v>0.58765030286592534</v>
      </c>
      <c r="G11" s="12">
        <f>(Submetering!AX11+Submetering!AY11+Submetering!AZ11+Submetering!BA11+Submetering!BB11)</f>
        <v>34.798499999999997</v>
      </c>
      <c r="H11" s="11">
        <f t="shared" si="2"/>
        <v>0.99</v>
      </c>
      <c r="I11" s="12">
        <f>'FS Desroches Daily'!CM13</f>
        <v>63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>
        <f>Submetering!E12+Submetering!F12+Submetering!G12+Submetering!H12+Submetering!J12-Submetering!AV12</f>
        <v>10380.000000000526</v>
      </c>
      <c r="F12" s="11">
        <f t="shared" si="1"/>
        <v>0.58765030286592534</v>
      </c>
      <c r="G12" s="12">
        <f>(Submetering!AX12+Submetering!AY12+Submetering!AZ12+Submetering!BA12+Submetering!BB12)</f>
        <v>43.955999999999989</v>
      </c>
      <c r="H12" s="11">
        <f t="shared" si="2"/>
        <v>0.99</v>
      </c>
      <c r="I12" s="12">
        <f>'FS Desroches Daily'!CM14</f>
        <v>70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15500.000000000027</v>
      </c>
      <c r="F13" s="11">
        <f t="shared" si="1"/>
        <v>0.58765030286592534</v>
      </c>
      <c r="G13" s="12">
        <f>(Submetering!AX13+Submetering!AY13+Submetering!AZ13+Submetering!BA13+Submetering!BB13)</f>
        <v>16.483499999999999</v>
      </c>
      <c r="H13" s="11">
        <f t="shared" si="2"/>
        <v>0.99</v>
      </c>
      <c r="I13" s="12">
        <f>'FS Desroches Daily'!CM15</f>
        <v>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9719.9999999994579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109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 t="e">
        <f>Submetering!E15+Submetering!F15+Submetering!G15+Submetering!H15+Submetering!J15-Submetering!AV15</f>
        <v>#VALUE!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 t="e">
        <f>'FS Desroches Daily'!CM17</f>
        <v>#VALUE!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>
        <f>IF(LPG!F17-LPG!F15&lt;0,"0",(LPG!F17-LPG!F15)*1.8315)</f>
        <v>21.977999999999998</v>
      </c>
      <c r="AY9" s="31">
        <f>IF(LPG!H17-LPG!H15&lt;0,"0",(LPG!H17-LPG!H15)*1.8315)</f>
        <v>3.6629999999999998</v>
      </c>
      <c r="AZ9" s="31">
        <f>IF(LPG!J17-LPG!J15&lt;0,"0",(LPG!J17-LPG!J15)*1.8315)</f>
        <v>1.8314999999999999</v>
      </c>
      <c r="BA9" s="31">
        <f>IF(LPG!M17-LPG!M15&lt;0,"0",(LPG!M17-LPG!M15)*1.8315)</f>
        <v>10.988999999999999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>
        <f>IF(LPG!F18-LPG!F16&lt;0,"0",(LPG!F18-LPG!F16)*1.8315)</f>
        <v>18.314999999999998</v>
      </c>
      <c r="AY10" s="31">
        <f>IF(LPG!H18-LPG!H16&lt;0,"0",(LPG!H18-LPG!H16)*1.8315)</f>
        <v>3.6629999999999998</v>
      </c>
      <c r="AZ10" s="31">
        <f>IF(LPG!J18-LPG!J16&lt;0,"0",(LPG!J18-LPG!J16)*1.8315)</f>
        <v>1.8314999999999999</v>
      </c>
      <c r="BA10" s="31">
        <f>IF(LPG!M18-LPG!M16&lt;0,"0",(LPG!M18-LPG!M16)*1.8315)</f>
        <v>10.988999999999999</v>
      </c>
      <c r="BB10" s="31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>
        <f>'FS Desroches Daily'!D13</f>
        <v>2499.9999999999468</v>
      </c>
      <c r="F11" s="32">
        <f>'FS Desroches Daily'!F13</f>
        <v>3200.0000000000919</v>
      </c>
      <c r="G11" s="31">
        <f>'FS Desroches Daily'!H13</f>
        <v>2799.9999999996917</v>
      </c>
      <c r="H11" s="32">
        <f>'FS Desroches Daily'!J13</f>
        <v>1500.0000000000568</v>
      </c>
      <c r="I11" s="31">
        <f>'FS Desroches Daily'!L13</f>
        <v>2200.0000000002019</v>
      </c>
      <c r="J11" s="32">
        <f>'FS Desroches Daily'!N13</f>
        <v>1099.9999999998788</v>
      </c>
      <c r="K11" s="13">
        <f>'FS Desroches Daily'!P13</f>
        <v>18</v>
      </c>
      <c r="L11" s="31">
        <f>'FS Desroches Daily'!R13</f>
        <v>6</v>
      </c>
      <c r="M11" s="31">
        <f>'FS Desroches Daily'!T13</f>
        <v>912.69999999995343</v>
      </c>
      <c r="N11" s="31">
        <f>'FS Desroches Daily'!V13</f>
        <v>456.79999999998836</v>
      </c>
      <c r="O11" s="31">
        <f>'FS Desroches Daily'!X13</f>
        <v>289.99999999996362</v>
      </c>
      <c r="P11" s="31">
        <f>'FS Desroches Daily'!Z13</f>
        <v>2800.0000000001355</v>
      </c>
      <c r="Q11" s="31">
        <f>'FS Desroches Daily'!AB13</f>
        <v>359.9999999999568</v>
      </c>
      <c r="R11" s="31">
        <f>'FS Desroches Daily'!AD13</f>
        <v>250</v>
      </c>
      <c r="S11" s="31">
        <f>'FS Desroches Daily'!AF13</f>
        <v>290.00000000007731</v>
      </c>
      <c r="T11" s="31">
        <f>'FS Desroches Daily'!AH13</f>
        <v>40</v>
      </c>
      <c r="U11" s="35">
        <f>'FS Desroches Daily'!AJ13</f>
        <v>710.00000000003638</v>
      </c>
      <c r="V11" s="35">
        <f>'FS Desroches Daily'!AL13</f>
        <v>250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90.000000000003411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209.99999999997954</v>
      </c>
      <c r="AC11" s="35">
        <f>'FS Desroches Daily'!AZ13</f>
        <v>29.999999999972715</v>
      </c>
      <c r="AD11" s="35">
        <f>'FS Desroches Daily'!BB13</f>
        <v>9.9999999999909051</v>
      </c>
      <c r="AE11" s="35">
        <f>'FS Desroches Daily'!BD13</f>
        <v>159.99999999999659</v>
      </c>
      <c r="AF11" s="31">
        <f>'FS Desroches Daily'!BF13</f>
        <v>59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29.999999999972715</v>
      </c>
      <c r="AL11" s="32">
        <f>'FS Desroches Daily'!BR13</f>
        <v>26</v>
      </c>
      <c r="AM11" s="32">
        <f>'FS Desroches Daily'!BT13</f>
        <v>39.999999999992042</v>
      </c>
      <c r="AN11" s="32">
        <f>'FS Desroches Daily'!BV13</f>
        <v>35</v>
      </c>
      <c r="AO11" s="32">
        <f>'FS Desroches Daily'!BX13</f>
        <v>30.000000000001137</v>
      </c>
      <c r="AP11" s="32">
        <f>'FS Desroches Daily'!BZ13</f>
        <v>55</v>
      </c>
      <c r="AQ11" s="31">
        <f>'FS Desroches Daily'!CB13</f>
        <v>21.799999999999272</v>
      </c>
      <c r="AR11" s="31">
        <f>'FS Desroches Daily'!CD13</f>
        <v>6.6999999999989086</v>
      </c>
      <c r="AS11" s="31">
        <f>'FS Desroches Daily'!CF13</f>
        <v>10.400000000000546</v>
      </c>
      <c r="AT11" s="31">
        <f>'FS Desroches Daily'!CH13</f>
        <v>38.400000000001455</v>
      </c>
      <c r="AU11" s="31">
        <f>'FS Desroches Daily'!CJ13</f>
        <v>336</v>
      </c>
      <c r="AV11" s="31">
        <f>'FS Desroches Daily'!CL13</f>
        <v>639.99999999998636</v>
      </c>
      <c r="AW11" s="31">
        <f>'FS Desroches Daily'!CM13</f>
        <v>63</v>
      </c>
      <c r="AX11" s="31">
        <f>IF(LPG!F18-LPG!F17&lt;0,"0",(LPG!F18-LPG!F17)*1.8315)</f>
        <v>10.988999999999999</v>
      </c>
      <c r="AY11" s="31">
        <f>IF(LPG!H18-LPG!H17&lt;0,"0",(LPG!H18-LPG!H17)*1.8315)</f>
        <v>1.8314999999999999</v>
      </c>
      <c r="AZ11" s="31">
        <f>IF(LPG!J18-LPG!J17&lt;0,"0",(LPG!J18-LPG!J17)*1.8315)</f>
        <v>1.8314999999999999</v>
      </c>
      <c r="BA11" s="31">
        <f>IF(LPG!M19-LPG!M17&lt;0,"0",(LPG!M19-LPG!M17)*1.8315)</f>
        <v>12.820499999999999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>
        <f>'FS Desroches Daily'!D14</f>
        <v>2500.0000000003906</v>
      </c>
      <c r="F12" s="32">
        <f>'FS Desroches Daily'!F14</f>
        <v>3199.9999999996476</v>
      </c>
      <c r="G12" s="31">
        <f>'FS Desroches Daily'!H14</f>
        <v>2900.0000000003465</v>
      </c>
      <c r="H12" s="32">
        <f>'FS Desroches Daily'!J14</f>
        <v>1500.0000000000568</v>
      </c>
      <c r="I12" s="31">
        <f>'FS Desroches Daily'!L14</f>
        <v>2199.9999999997576</v>
      </c>
      <c r="J12" s="32">
        <f>'FS Desroches Daily'!N14</f>
        <v>1000.0000000001119</v>
      </c>
      <c r="K12" s="13">
        <f>'FS Desroches Daily'!P14</f>
        <v>20</v>
      </c>
      <c r="L12" s="31">
        <f>'FS Desroches Daily'!R14</f>
        <v>8</v>
      </c>
      <c r="M12" s="31">
        <f>'FS Desroches Daily'!T14</f>
        <v>881.90000000002328</v>
      </c>
      <c r="N12" s="31">
        <f>'FS Desroches Daily'!V14</f>
        <v>410.79999999998836</v>
      </c>
      <c r="O12" s="31">
        <f>'FS Desroches Daily'!X14</f>
        <v>300.00000000001137</v>
      </c>
      <c r="P12" s="31">
        <f>'FS Desroches Daily'!Z14</f>
        <v>2899.9999999999027</v>
      </c>
      <c r="Q12" s="31">
        <f>'FS Desroches Daily'!AB14</f>
        <v>540.00000000002046</v>
      </c>
      <c r="R12" s="31">
        <f>'FS Desroches Daily'!AD14</f>
        <v>230.00000000001819</v>
      </c>
      <c r="S12" s="31">
        <f>'FS Desroches Daily'!AF14</f>
        <v>250</v>
      </c>
      <c r="T12" s="31">
        <f>'FS Desroches Daily'!AH14</f>
        <v>47</v>
      </c>
      <c r="U12" s="35">
        <f>'FS Desroches Daily'!AJ14</f>
        <v>819.99999999993634</v>
      </c>
      <c r="V12" s="35">
        <f>'FS Desroches Daily'!AL14</f>
        <v>159.99999999999659</v>
      </c>
      <c r="W12" s="35">
        <f>'FS Desroches Daily'!AN14</f>
        <v>199.99999999998863</v>
      </c>
      <c r="X12" s="35">
        <f>'FS Desroches Daily'!AP14</f>
        <v>259.99999999999091</v>
      </c>
      <c r="Y12" s="35">
        <f>'FS Desroches Daily'!AR14</f>
        <v>90.000000000003411</v>
      </c>
      <c r="Z12" s="35">
        <f>'FS Desroches Daily'!AT14</f>
        <v>219.99999999997044</v>
      </c>
      <c r="AA12" s="35">
        <f>'FS Desroches Daily'!AT14</f>
        <v>219.99999999997044</v>
      </c>
      <c r="AB12" s="35">
        <f>'FS Desroches Daily'!AV14</f>
        <v>159.99999999996817</v>
      </c>
      <c r="AC12" s="35">
        <f>'FS Desroches Daily'!AZ14</f>
        <v>30.000000000029559</v>
      </c>
      <c r="AD12" s="35">
        <f>'FS Desroches Daily'!BB14</f>
        <v>19.99999999998181</v>
      </c>
      <c r="AE12" s="35">
        <f>'FS Desroches Daily'!BD14</f>
        <v>159.99999999999659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30.000000000029559</v>
      </c>
      <c r="AL12" s="32">
        <f>'FS Desroches Daily'!BR14</f>
        <v>28</v>
      </c>
      <c r="AM12" s="32">
        <f>'FS Desroches Daily'!BT14</f>
        <v>30.000000000001137</v>
      </c>
      <c r="AN12" s="32">
        <f>'FS Desroches Daily'!BV14</f>
        <v>44</v>
      </c>
      <c r="AO12" s="32">
        <f>'FS Desroches Daily'!BX14</f>
        <v>30.000000000001137</v>
      </c>
      <c r="AP12" s="32">
        <f>'FS Desroches Daily'!BZ14</f>
        <v>56</v>
      </c>
      <c r="AQ12" s="31">
        <f>'FS Desroches Daily'!CB14</f>
        <v>24.400000000001455</v>
      </c>
      <c r="AR12" s="31">
        <f>'FS Desroches Daily'!CD14</f>
        <v>5.2000000000007276</v>
      </c>
      <c r="AS12" s="31">
        <f>'FS Desroches Daily'!CF14</f>
        <v>17.099999999999454</v>
      </c>
      <c r="AT12" s="31">
        <f>'FS Desroches Daily'!CH14</f>
        <v>42</v>
      </c>
      <c r="AU12" s="31">
        <f>'FS Desroches Daily'!CJ14</f>
        <v>358</v>
      </c>
      <c r="AV12" s="31">
        <f>'FS Desroches Daily'!CL14</f>
        <v>720.00000000002728</v>
      </c>
      <c r="AW12" s="31">
        <f>'FS Desroches Daily'!CM14</f>
        <v>70</v>
      </c>
      <c r="AX12" s="31">
        <f>IF(LPG!F19-LPG!F18&lt;0,"0",(LPG!F19-LPG!F18)*1.8315)</f>
        <v>12.820499999999999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5.4944999999999995</v>
      </c>
      <c r="BB12" s="31">
        <f>IF(LPG!Q20-LPG!Q18&lt;0,"0",(LPG!Q20-LPG!Q18)*1.8315)</f>
        <v>18.314999999999998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3800.0000000000255</v>
      </c>
      <c r="F13" s="32">
        <f>'FS Desroches Daily'!F15</f>
        <v>4800.0000000003593</v>
      </c>
      <c r="G13" s="31">
        <f>'FS Desroches Daily'!H15</f>
        <v>4099.9999999997708</v>
      </c>
      <c r="H13" s="32">
        <f>'FS Desroches Daily'!J15</f>
        <v>2000.0000000000018</v>
      </c>
      <c r="I13" s="31">
        <f>'FS Desroches Daily'!L15</f>
        <v>3100.0000000003247</v>
      </c>
      <c r="J13" s="32">
        <f>'FS Desroches Daily'!N15</f>
        <v>1599.9999999998238</v>
      </c>
      <c r="K13" s="13">
        <f>'FS Desroches Daily'!P15</f>
        <v>36</v>
      </c>
      <c r="L13" s="31">
        <f>'FS Desroches Daily'!R15</f>
        <v>10</v>
      </c>
      <c r="M13" s="31">
        <f>'FS Desroches Daily'!T15</f>
        <v>1532.9000000000233</v>
      </c>
      <c r="N13" s="31">
        <f>'FS Desroches Daily'!V15</f>
        <v>773.70000000001164</v>
      </c>
      <c r="O13" s="31">
        <f>'FS Desroches Daily'!X15</f>
        <v>500</v>
      </c>
      <c r="P13" s="31">
        <f>'FS Desroches Daily'!Z15</f>
        <v>4299.9999999997481</v>
      </c>
      <c r="Q13" s="31">
        <f>'FS Desroches Daily'!AB15</f>
        <v>629.99999999999545</v>
      </c>
      <c r="R13" s="31">
        <f>'FS Desroches Daily'!AD15</f>
        <v>300.00000000001137</v>
      </c>
      <c r="S13" s="31">
        <f>'FS Desroches Daily'!AF15</f>
        <v>299.99999999995453</v>
      </c>
      <c r="T13" s="31">
        <f>'FS Desroches Daily'!AH15</f>
        <v>48</v>
      </c>
      <c r="U13" s="35">
        <f>'FS Desroches Daily'!AJ15</f>
        <v>1399.9999999999773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439.99999999999773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330.00000000004093</v>
      </c>
      <c r="AC13" s="35">
        <f>'FS Desroches Daily'!AZ15</f>
        <v>39.99999999996362</v>
      </c>
      <c r="AD13" s="35">
        <f>'FS Desroches Daily'!BB15</f>
        <v>30.000000000029559</v>
      </c>
      <c r="AE13" s="35">
        <f>'FS Desroches Daily'!BD15</f>
        <v>280.00000000000114</v>
      </c>
      <c r="AF13" s="31">
        <f>'FS Desroches Daily'!BF15</f>
        <v>37</v>
      </c>
      <c r="AG13" s="32">
        <f>'FS Desroches Daily'!BH15</f>
        <v>69.999999999993179</v>
      </c>
      <c r="AH13" s="32">
        <f>'FS Desroches Daily'!BJ15</f>
        <v>49.999999999954525</v>
      </c>
      <c r="AI13" s="32">
        <f>'FS Desroches Daily'!BL15</f>
        <v>39.999999999992042</v>
      </c>
      <c r="AJ13" s="32">
        <f>'FS Desroches Daily'!BN15</f>
        <v>109.99999999998522</v>
      </c>
      <c r="AK13" s="32">
        <f>'FS Desroches Daily'!BP15</f>
        <v>39.99999999996362</v>
      </c>
      <c r="AL13" s="32">
        <f>'FS Desroches Daily'!BR15</f>
        <v>37</v>
      </c>
      <c r="AM13" s="32">
        <f>'FS Desroches Daily'!BT15</f>
        <v>60.000000000002274</v>
      </c>
      <c r="AN13" s="32">
        <f>'FS Desroches Daily'!BV15</f>
        <v>65</v>
      </c>
      <c r="AO13" s="32">
        <f>'FS Desroches Daily'!BX15</f>
        <v>39.999999999992042</v>
      </c>
      <c r="AP13" s="32">
        <f>'FS Desroches Daily'!BZ15</f>
        <v>78</v>
      </c>
      <c r="AQ13" s="31">
        <f>'FS Desroches Daily'!CB15</f>
        <v>32.599999999998545</v>
      </c>
      <c r="AR13" s="31">
        <f>'FS Desroches Daily'!CD15</f>
        <v>14.299999999999272</v>
      </c>
      <c r="AS13" s="31">
        <f>'FS Desroches Daily'!CF15</f>
        <v>20.900000000000546</v>
      </c>
      <c r="AT13" s="31">
        <f>'FS Desroches Daily'!CH15</f>
        <v>49</v>
      </c>
      <c r="AU13" s="31">
        <f>'FS Desroches Daily'!CJ15</f>
        <v>413</v>
      </c>
      <c r="AV13" s="31">
        <f>'FS Desroches Daily'!CL15</f>
        <v>799.99999999995453</v>
      </c>
      <c r="AW13" s="31">
        <f>'FS Desroches Daily'!CM15</f>
        <v>91</v>
      </c>
      <c r="AX13" s="31" t="str">
        <f>IF(LPG!G21-LPG!F19&lt;0,"0",(LPG!G21-LPG!F19)*1.8315)</f>
        <v>0</v>
      </c>
      <c r="AY13" s="31">
        <f>IF(LPG!H20-LPG!H19&lt;0,"0",(LPG!H20-LPG!H19)*1.8315)</f>
        <v>1.8314999999999999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2199.9999999997576</v>
      </c>
      <c r="F14" s="32">
        <f>'FS Desroches Daily'!F16</f>
        <v>2999.9999999996694</v>
      </c>
      <c r="G14" s="31">
        <f>'FS Desroches Daily'!H16</f>
        <v>2800.0000000001355</v>
      </c>
      <c r="H14" s="32">
        <f>'FS Desroches Daily'!J16</f>
        <v>1499.9999999998347</v>
      </c>
      <c r="I14" s="31">
        <f>'FS Desroches Daily'!L16</f>
        <v>2099.9999999999909</v>
      </c>
      <c r="J14" s="32">
        <f>'FS Desroches Daily'!N16</f>
        <v>900.0000000001229</v>
      </c>
      <c r="K14" s="13">
        <f>'FS Desroches Daily'!P16</f>
        <v>14</v>
      </c>
      <c r="L14" s="31">
        <f>'FS Desroches Daily'!R16</f>
        <v>7</v>
      </c>
      <c r="M14" s="31">
        <f>'FS Desroches Daily'!T16</f>
        <v>1302.2999999999302</v>
      </c>
      <c r="N14" s="31">
        <f>'FS Desroches Daily'!V16</f>
        <v>571.40000000002328</v>
      </c>
      <c r="O14" s="31">
        <f>'FS Desroches Daily'!X16</f>
        <v>250</v>
      </c>
      <c r="P14" s="31">
        <f>'FS Desroches Daily'!Z16</f>
        <v>2900.0000000003465</v>
      </c>
      <c r="Q14" s="31">
        <f>'FS Desroches Daily'!AB16</f>
        <v>490.00000000000909</v>
      </c>
      <c r="R14" s="31">
        <f>'FS Desroches Daily'!AD16</f>
        <v>259.99999999999091</v>
      </c>
      <c r="S14" s="31">
        <f>'FS Desroches Daily'!AF16</f>
        <v>310.00000000005912</v>
      </c>
      <c r="T14" s="31">
        <f>'FS Desroches Daily'!AH16</f>
        <v>34</v>
      </c>
      <c r="U14" s="35">
        <f>'FS Desroches Daily'!AJ16</f>
        <v>780.0000000000864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80.000000000012506</v>
      </c>
      <c r="Z14" s="35">
        <f>'FS Desroches Daily'!AT16</f>
        <v>69.999999999993179</v>
      </c>
      <c r="AA14" s="35">
        <f>'FS Desroches Daily'!AT16</f>
        <v>69.999999999993179</v>
      </c>
      <c r="AB14" s="35">
        <f>'FS Desroches Daily'!AV16</f>
        <v>99.999999999965894</v>
      </c>
      <c r="AC14" s="35">
        <f>'FS Desroches Daily'!AZ16</f>
        <v>30.000000000029559</v>
      </c>
      <c r="AD14" s="35">
        <f>'FS Desroches Daily'!BB16</f>
        <v>19.99999999998181</v>
      </c>
      <c r="AE14" s="35">
        <f>'FS Desroches Daily'!BD16</f>
        <v>129.99999999999545</v>
      </c>
      <c r="AF14" s="31">
        <f>'FS Desroches Daily'!BF16</f>
        <v>37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30.000000000001137</v>
      </c>
      <c r="AJ14" s="32">
        <f>'FS Desroches Daily'!BN16</f>
        <v>10.000000000019327</v>
      </c>
      <c r="AK14" s="32">
        <f>'FS Desroches Daily'!BP16</f>
        <v>30.000000000029559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42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25.099999999998545</v>
      </c>
      <c r="AR14" s="31">
        <f>'FS Desroches Daily'!CD16</f>
        <v>7.8000000000010914</v>
      </c>
      <c r="AS14" s="31">
        <f>'FS Desroches Daily'!CF16</f>
        <v>15</v>
      </c>
      <c r="AT14" s="31">
        <f>'FS Desroches Daily'!CH16</f>
        <v>35.5</v>
      </c>
      <c r="AU14" s="31">
        <f>'FS Desroches Daily'!CJ16</f>
        <v>295</v>
      </c>
      <c r="AV14" s="31">
        <f>'FS Desroches Daily'!CL16</f>
        <v>680.00000000006366</v>
      </c>
      <c r="AW14" s="31">
        <f>'FS Desroches Daily'!CM16</f>
        <v>109</v>
      </c>
      <c r="AX14" s="31" t="str">
        <f>IF(LPG!G22-LPG!F20&lt;0,"0",(LPG!G22-LPG!F20)*1.8315)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 t="str">
        <f>'FS Desroches Daily'!D17</f>
        <v>0</v>
      </c>
      <c r="F15" s="32" t="str">
        <f>'FS Desroches Daily'!F17</f>
        <v>0</v>
      </c>
      <c r="G15" s="31" t="str">
        <f>'FS Desroches Daily'!H17</f>
        <v>0</v>
      </c>
      <c r="H15" s="32" t="str">
        <f>'FS Desroches Daily'!J17</f>
        <v>0</v>
      </c>
      <c r="I15" s="31" t="str">
        <f>'FS Desroches Daily'!L17</f>
        <v>0</v>
      </c>
      <c r="J15" s="32" t="str">
        <f>'FS Desroches Daily'!N17</f>
        <v/>
      </c>
      <c r="K15" s="13" t="str">
        <f>'FS Desroches Daily'!P17</f>
        <v/>
      </c>
      <c r="L15" s="31" t="str">
        <f>'FS Desroches Daily'!R17</f>
        <v/>
      </c>
      <c r="M15" s="31" t="str">
        <f>'FS Desroches Daily'!T17</f>
        <v/>
      </c>
      <c r="N15" s="31" t="str">
        <f>'FS Desroches Daily'!V17</f>
        <v/>
      </c>
      <c r="O15" s="31" t="str">
        <f>'FS Desroches Daily'!X17</f>
        <v/>
      </c>
      <c r="P15" s="31" t="str">
        <f>'FS Desroches Daily'!Z17</f>
        <v/>
      </c>
      <c r="Q15" s="31" t="str">
        <f>'FS Desroches Daily'!AB17</f>
        <v/>
      </c>
      <c r="R15" s="31" t="str">
        <f>'FS Desroches Daily'!AD17</f>
        <v/>
      </c>
      <c r="S15" s="31" t="str">
        <f>'FS Desroches Daily'!AF17</f>
        <v/>
      </c>
      <c r="T15" s="31" t="str">
        <f>'FS Desroches Daily'!AH17</f>
        <v/>
      </c>
      <c r="U15" s="35" t="str">
        <f>'FS Desroches Daily'!AJ17</f>
        <v/>
      </c>
      <c r="V15" s="35" t="str">
        <f>'FS Desroches Daily'!AL17</f>
        <v/>
      </c>
      <c r="W15" s="35" t="str">
        <f>'FS Desroches Daily'!AN17</f>
        <v/>
      </c>
      <c r="X15" s="35" t="str">
        <f>'FS Desroches Daily'!AP17</f>
        <v/>
      </c>
      <c r="Y15" s="35" t="str">
        <f>'FS Desroches Daily'!AR17</f>
        <v/>
      </c>
      <c r="Z15" s="35" t="str">
        <f>'FS Desroches Daily'!AT17</f>
        <v/>
      </c>
      <c r="AA15" s="35" t="str">
        <f>'FS Desroches Daily'!AT17</f>
        <v/>
      </c>
      <c r="AB15" s="35" t="str">
        <f>'FS Desroches Daily'!AV17</f>
        <v/>
      </c>
      <c r="AC15" s="35" t="str">
        <f>'FS Desroches Daily'!AZ17</f>
        <v/>
      </c>
      <c r="AD15" s="35" t="str">
        <f>'FS Desroches Daily'!BB17</f>
        <v/>
      </c>
      <c r="AE15" s="35" t="str">
        <f>'FS Desroches Daily'!BD17</f>
        <v/>
      </c>
      <c r="AF15" s="31" t="str">
        <f>'FS Desroches Daily'!BF17</f>
        <v/>
      </c>
      <c r="AG15" s="32" t="str">
        <f>'FS Desroches Daily'!BH17</f>
        <v/>
      </c>
      <c r="AH15" s="32" t="str">
        <f>'FS Desroches Daily'!BJ17</f>
        <v/>
      </c>
      <c r="AI15" s="32" t="str">
        <f>'FS Desroches Daily'!BL17</f>
        <v/>
      </c>
      <c r="AJ15" s="32" t="str">
        <f>'FS Desroches Daily'!BN17</f>
        <v/>
      </c>
      <c r="AK15" s="32" t="str">
        <f>'FS Desroches Daily'!BP17</f>
        <v/>
      </c>
      <c r="AL15" s="32" t="str">
        <f>'FS Desroches Daily'!BR17</f>
        <v/>
      </c>
      <c r="AM15" s="32" t="str">
        <f>'FS Desroches Daily'!BT17</f>
        <v/>
      </c>
      <c r="AN15" s="32" t="str">
        <f>'FS Desroches Daily'!BV17</f>
        <v/>
      </c>
      <c r="AO15" s="32" t="str">
        <f>'FS Desroches Daily'!BX17</f>
        <v/>
      </c>
      <c r="AP15" s="32" t="str">
        <f>'FS Desroches Daily'!BZ17</f>
        <v/>
      </c>
      <c r="AQ15" s="31" t="str">
        <f>'FS Desroches Daily'!CB17</f>
        <v/>
      </c>
      <c r="AR15" s="31" t="str">
        <f>'FS Desroches Daily'!CD17</f>
        <v/>
      </c>
      <c r="AS15" s="31" t="str">
        <f>'FS Desroches Daily'!CF17</f>
        <v/>
      </c>
      <c r="AT15" s="31" t="str">
        <f>'FS Desroches Daily'!CH17</f>
        <v/>
      </c>
      <c r="AU15" s="31" t="str">
        <f>'FS Desroches Daily'!CJ17</f>
        <v/>
      </c>
      <c r="AV15" s="31" t="str">
        <f>'FS Desroches Daily'!CL17</f>
        <v/>
      </c>
      <c r="AW15" s="31" t="e">
        <f>'FS Desroches Daily'!CM17</f>
        <v>#VALUE!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34800.00000000016</v>
      </c>
      <c r="F33" s="17">
        <f t="shared" ref="F33:BC33" si="1">SUM(F2:F32)</f>
        <v>43699.999999999847</v>
      </c>
      <c r="G33" s="17">
        <f t="shared" si="1"/>
        <v>38600.000000000182</v>
      </c>
      <c r="H33" s="17">
        <f t="shared" si="1"/>
        <v>19900.000000000025</v>
      </c>
      <c r="I33" s="17">
        <f t="shared" si="1"/>
        <v>30499.999999999971</v>
      </c>
      <c r="J33" s="17">
        <f t="shared" si="1"/>
        <v>14199.999999999991</v>
      </c>
      <c r="K33" s="17">
        <f t="shared" si="1"/>
        <v>321</v>
      </c>
      <c r="L33" s="17">
        <f t="shared" si="1"/>
        <v>99</v>
      </c>
      <c r="M33" s="17">
        <f t="shared" si="1"/>
        <v>14254.599999999977</v>
      </c>
      <c r="N33" s="17">
        <f t="shared" si="1"/>
        <v>6555.6000000000349</v>
      </c>
      <c r="O33" s="17">
        <f t="shared" si="1"/>
        <v>4299.9999999999545</v>
      </c>
      <c r="P33" s="17">
        <f t="shared" si="1"/>
        <v>39800.000000000051</v>
      </c>
      <c r="Q33" s="17">
        <f t="shared" si="1"/>
        <v>5709.9999999999791</v>
      </c>
      <c r="R33" s="17">
        <f t="shared" si="1"/>
        <v>2629.9999999999955</v>
      </c>
      <c r="S33" s="17">
        <f t="shared" si="1"/>
        <v>4550.0000000000682</v>
      </c>
      <c r="T33" s="17">
        <f t="shared" si="1"/>
        <v>510</v>
      </c>
      <c r="U33" s="35">
        <f t="shared" si="1"/>
        <v>12820.000000000051</v>
      </c>
      <c r="V33" s="35">
        <f t="shared" si="1"/>
        <v>2610.0000000000136</v>
      </c>
      <c r="W33" s="35">
        <f t="shared" si="1"/>
        <v>2020.0000000000102</v>
      </c>
      <c r="X33" s="35">
        <f t="shared" si="1"/>
        <v>2599.9999999999941</v>
      </c>
      <c r="Y33" s="35">
        <f t="shared" si="1"/>
        <v>2590.0000000000045</v>
      </c>
      <c r="Z33" s="35">
        <f t="shared" si="1"/>
        <v>2389.9999999999864</v>
      </c>
      <c r="AA33" s="35">
        <f t="shared" si="1"/>
        <v>2389.9999999999864</v>
      </c>
      <c r="AB33" s="35">
        <f t="shared" si="1"/>
        <v>2169.9999999999591</v>
      </c>
      <c r="AC33" s="35">
        <f t="shared" si="1"/>
        <v>500</v>
      </c>
      <c r="AD33" s="35">
        <f t="shared" si="1"/>
        <v>230.00000000001819</v>
      </c>
      <c r="AE33" s="35">
        <f t="shared" si="1"/>
        <v>2009.9999999999909</v>
      </c>
      <c r="AF33" s="17">
        <f t="shared" si="1"/>
        <v>518</v>
      </c>
      <c r="AG33" s="32">
        <f t="shared" si="1"/>
        <v>599.99999999999432</v>
      </c>
      <c r="AH33" s="32">
        <f t="shared" si="1"/>
        <v>560.00000000000227</v>
      </c>
      <c r="AI33" s="32">
        <f t="shared" si="1"/>
        <v>439.99999999999773</v>
      </c>
      <c r="AJ33" s="32">
        <f t="shared" si="1"/>
        <v>640.00000000001478</v>
      </c>
      <c r="AK33" s="32">
        <f t="shared" si="1"/>
        <v>420.00000000001592</v>
      </c>
      <c r="AL33" s="32">
        <f t="shared" si="1"/>
        <v>364</v>
      </c>
      <c r="AM33" s="32">
        <f t="shared" si="1"/>
        <v>539.99999999999204</v>
      </c>
      <c r="AN33" s="32">
        <f t="shared" si="1"/>
        <v>639</v>
      </c>
      <c r="AO33" s="32">
        <f t="shared" si="1"/>
        <v>379.99999999999545</v>
      </c>
      <c r="AP33" s="32">
        <f t="shared" si="1"/>
        <v>720</v>
      </c>
      <c r="AQ33" s="17">
        <f t="shared" si="1"/>
        <v>340</v>
      </c>
      <c r="AR33" s="17">
        <f t="shared" si="1"/>
        <v>101.80000000000109</v>
      </c>
      <c r="AS33" s="17">
        <f t="shared" si="1"/>
        <v>130.5</v>
      </c>
      <c r="AT33" s="17">
        <f t="shared" si="1"/>
        <v>612.59999999999854</v>
      </c>
      <c r="AU33" s="17">
        <f t="shared" si="1"/>
        <v>4236</v>
      </c>
      <c r="AV33" s="17">
        <f t="shared" si="1"/>
        <v>8899.9999999999764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0.24448847110399269</v>
      </c>
      <c r="G35" s="29">
        <f>G33-M36</f>
        <v>17789.80000000017</v>
      </c>
      <c r="AE35" s="35">
        <f>SUM(U33:AE33)</f>
        <v>32330.000000000015</v>
      </c>
      <c r="AG35" s="32">
        <f>SUM(AG33:AP33)</f>
        <v>5303.0000000000127</v>
      </c>
    </row>
    <row r="36" spans="5:55" x14ac:dyDescent="0.25">
      <c r="G36" s="29">
        <f>G35-633*14</f>
        <v>8927.8000000001703</v>
      </c>
      <c r="M36" s="29">
        <f>M33+N33</f>
        <v>20810.200000000012</v>
      </c>
    </row>
    <row r="37" spans="5:55" x14ac:dyDescent="0.25">
      <c r="E37" s="17">
        <f>E33+F33+G33+H33+J33-633*14</f>
        <v>142338.0000000002</v>
      </c>
      <c r="G37" s="37">
        <f>M36/E37</f>
        <v>0.14620270061403126</v>
      </c>
      <c r="M37" s="35">
        <f>AE35</f>
        <v>32330.000000000015</v>
      </c>
    </row>
    <row r="38" spans="5:55" x14ac:dyDescent="0.25">
      <c r="L38" s="27">
        <f>M38/E37</f>
        <v>3.7256389720243401E-2</v>
      </c>
      <c r="M38" s="29">
        <f>AG35</f>
        <v>5303.0000000000127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topLeftCell="CJ1" zoomScale="77" zoomScaleNormal="77" workbookViewId="0">
      <pane ySplit="1" topLeftCell="A6" activePane="bottomLeft" state="frozen"/>
      <selection pane="bottomLeft" activeCell="CX16" sqref="CX16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44285</v>
      </c>
      <c r="B3" s="68"/>
      <c r="C3" s="58">
        <v>2.1065999999999998</v>
      </c>
      <c r="D3" s="64"/>
      <c r="E3" s="58">
        <v>2.996</v>
      </c>
      <c r="F3" s="64"/>
      <c r="G3" s="58">
        <v>3.0840999999999998</v>
      </c>
      <c r="H3" s="64"/>
      <c r="I3" s="58">
        <v>1.5150999999999999</v>
      </c>
      <c r="J3" s="64"/>
      <c r="K3" s="58">
        <v>2.4578000000000002</v>
      </c>
      <c r="L3" s="64"/>
      <c r="M3" s="58">
        <v>1.3727</v>
      </c>
      <c r="N3" s="64"/>
      <c r="O3" s="58">
        <v>13262</v>
      </c>
      <c r="P3" s="67"/>
      <c r="Q3" s="58">
        <v>598</v>
      </c>
      <c r="R3" s="67"/>
      <c r="S3" s="58">
        <v>919734.6</v>
      </c>
      <c r="T3" s="67"/>
      <c r="U3" s="58">
        <v>385149.8</v>
      </c>
      <c r="V3" s="67"/>
      <c r="W3" s="58">
        <v>370.59</v>
      </c>
      <c r="X3" s="65"/>
      <c r="Y3" s="58">
        <v>2.6118000000000001</v>
      </c>
      <c r="Z3" s="65"/>
      <c r="AA3" s="58">
        <v>366.54</v>
      </c>
      <c r="AB3" s="65"/>
      <c r="AC3" s="58">
        <v>350.8</v>
      </c>
      <c r="AD3" s="65"/>
      <c r="AE3" s="58">
        <v>539.9</v>
      </c>
      <c r="AF3" s="65"/>
      <c r="AG3" s="58">
        <v>1303</v>
      </c>
      <c r="AH3" s="67"/>
      <c r="AI3" s="58">
        <v>546.76</v>
      </c>
      <c r="AJ3" s="65"/>
      <c r="AK3" s="58">
        <v>186.29</v>
      </c>
      <c r="AL3" s="65"/>
      <c r="AM3" s="58">
        <v>181.72</v>
      </c>
      <c r="AN3" s="65"/>
      <c r="AO3" s="58">
        <v>176.04</v>
      </c>
      <c r="AP3" s="65"/>
      <c r="AQ3" s="58">
        <v>234.53</v>
      </c>
      <c r="AR3" s="65"/>
      <c r="AS3" s="58">
        <v>359.89</v>
      </c>
      <c r="AT3" s="65"/>
      <c r="AU3" s="58">
        <v>277.35000000000002</v>
      </c>
      <c r="AV3" s="65"/>
      <c r="AW3" s="58">
        <v>313.01</v>
      </c>
      <c r="AX3" s="65"/>
      <c r="AY3" s="58">
        <v>358.24</v>
      </c>
      <c r="AZ3" s="65"/>
      <c r="BA3" s="58">
        <v>379.28</v>
      </c>
      <c r="BB3" s="65"/>
      <c r="BC3" s="58">
        <v>237.5</v>
      </c>
      <c r="BD3" s="65"/>
      <c r="BE3" s="59">
        <v>37122</v>
      </c>
      <c r="BF3" s="67"/>
      <c r="BG3" s="60">
        <v>230.61</v>
      </c>
      <c r="BH3" s="65"/>
      <c r="BI3" s="60">
        <v>289.88</v>
      </c>
      <c r="BJ3" s="65"/>
      <c r="BK3" s="60">
        <v>233.88</v>
      </c>
      <c r="BL3" s="65"/>
      <c r="BM3" s="60">
        <v>220.26</v>
      </c>
      <c r="BN3" s="65"/>
      <c r="BO3" s="60">
        <v>285</v>
      </c>
      <c r="BP3" s="65"/>
      <c r="BQ3" s="60">
        <v>42897</v>
      </c>
      <c r="BR3" s="65"/>
      <c r="BS3" s="60">
        <v>198.31</v>
      </c>
      <c r="BT3" s="65"/>
      <c r="BU3" s="60">
        <v>36734</v>
      </c>
      <c r="BV3" s="65"/>
      <c r="BW3" s="60">
        <v>229.49</v>
      </c>
      <c r="BX3" s="65"/>
      <c r="BY3" s="60">
        <v>55918</v>
      </c>
      <c r="BZ3" s="67"/>
      <c r="CA3" s="60">
        <v>29007.599999999999</v>
      </c>
      <c r="CB3" s="67"/>
      <c r="CC3" s="60">
        <v>11358.9</v>
      </c>
      <c r="CD3" s="67"/>
      <c r="CE3" s="60">
        <v>5767.1</v>
      </c>
      <c r="CF3" s="67"/>
      <c r="CG3" s="60">
        <v>56495</v>
      </c>
      <c r="CH3" s="67"/>
      <c r="CI3" s="60">
        <v>922372</v>
      </c>
      <c r="CJ3" s="67"/>
      <c r="CK3" s="60">
        <v>702.19</v>
      </c>
      <c r="CL3" s="64"/>
      <c r="CM3" s="65">
        <f t="shared" ref="CM3:CM34" si="0">CQ3+CS3</f>
        <v>0</v>
      </c>
      <c r="CN3" s="62">
        <v>0</v>
      </c>
      <c r="CO3" s="62">
        <v>0</v>
      </c>
      <c r="CP3" s="68">
        <v>5247.6</v>
      </c>
      <c r="CQ3" s="67"/>
      <c r="CR3" s="68">
        <v>12482</v>
      </c>
      <c r="CS3" s="67"/>
      <c r="CT3" s="75">
        <v>5259</v>
      </c>
      <c r="CU3" s="67"/>
      <c r="CV3" s="68">
        <v>13288</v>
      </c>
      <c r="CW3" s="67"/>
    </row>
    <row r="4" spans="1:101" ht="25.5" customHeight="1" thickBot="1" x14ac:dyDescent="0.45">
      <c r="A4" s="63">
        <v>44286</v>
      </c>
      <c r="B4" s="68"/>
      <c r="C4" s="58">
        <v>2.1093999999999999</v>
      </c>
      <c r="D4" s="64">
        <f t="shared" ref="D4:D34" si="1">IF((C4-C3&lt;0), "0",(C4-C3)*1000000)</f>
        <v>2800.0000000001355</v>
      </c>
      <c r="E4" s="58">
        <v>2.9988000000000001</v>
      </c>
      <c r="F4" s="64">
        <f t="shared" ref="F4:F34" si="2">IF((E4-E3&lt;0), "0",(E4-E3)*1000000)</f>
        <v>2800.0000000001355</v>
      </c>
      <c r="G4" s="58">
        <v>3.0865</v>
      </c>
      <c r="H4" s="64">
        <f t="shared" ref="H4:H34" si="3">IF((G4-G3&lt;0), "0",(G4-G3)*1000000)</f>
        <v>2400.0000000001796</v>
      </c>
      <c r="I4" s="58">
        <v>1.5165999999999999</v>
      </c>
      <c r="J4" s="64">
        <f t="shared" ref="J4:J34" si="4">IF((I4-I3&lt;0), "0",(I4-I3)*1000000)</f>
        <v>1500.0000000000568</v>
      </c>
      <c r="K4" s="58">
        <v>2.4603000000000002</v>
      </c>
      <c r="L4" s="64">
        <f>IF((K4-K3&lt;0), "0",(K4-K3)*1000000)</f>
        <v>2499.9999999999468</v>
      </c>
      <c r="M4" s="58">
        <v>1.3734999999999999</v>
      </c>
      <c r="N4" s="64">
        <f t="shared" ref="N4:N34" si="5">IF((M4-M3&lt;0), "",(M4-M3)*1000000)</f>
        <v>799.99999999991189</v>
      </c>
      <c r="O4" s="58">
        <v>13288</v>
      </c>
      <c r="P4" s="67">
        <f t="shared" ref="P4:P10" si="6">IF((O4-O3&lt;0), "",O4-O3)</f>
        <v>26</v>
      </c>
      <c r="Q4" s="58">
        <v>606</v>
      </c>
      <c r="R4" s="67">
        <f t="shared" ref="R4:R34" si="7">IF((Q4-Q3&lt;0), "",Q4-Q3)</f>
        <v>8</v>
      </c>
      <c r="S4" s="58">
        <v>920569.2</v>
      </c>
      <c r="T4" s="67">
        <f t="shared" ref="T4:T34" si="8">IF((S4-S3&lt;0), "",S4-S3)</f>
        <v>834.59999999997672</v>
      </c>
      <c r="U4" s="58">
        <v>385564.4</v>
      </c>
      <c r="V4" s="67">
        <f>IF((U4-U3&lt;0), "",U4-$U$3)</f>
        <v>414.60000000003492</v>
      </c>
      <c r="W4" s="58">
        <v>370.94</v>
      </c>
      <c r="X4" s="65">
        <f>IF((W4-W3&lt;0), "",(W4-W3)*1000)</f>
        <v>350.00000000002274</v>
      </c>
      <c r="Y4" s="58">
        <v>2.6143000000000001</v>
      </c>
      <c r="Z4" s="65">
        <f t="shared" ref="Z4:Z34" si="9">IF((Y4-Y3&lt;0), "",(Y4-Y3)*1000000)</f>
        <v>2499.9999999999468</v>
      </c>
      <c r="AA4" s="58">
        <v>367.04</v>
      </c>
      <c r="AB4" s="65">
        <f t="shared" ref="AB4:AB34" si="10">IF((AA4-AA3&lt;0), "",(AA4-AA3)*1000)</f>
        <v>500</v>
      </c>
      <c r="AC4" s="58">
        <v>350.93</v>
      </c>
      <c r="AD4" s="65">
        <f t="shared" ref="AD4:AD34" si="11">IF((AC4-AC3&lt;0), "",(AC4-AC3)*1000)</f>
        <v>129.99999999999545</v>
      </c>
      <c r="AE4" s="58">
        <v>540.22</v>
      </c>
      <c r="AF4" s="65">
        <f t="shared" ref="AF4:AF34" si="12">IF((AE4-AE3&lt;0), "",(AE4-AE3)*1000)</f>
        <v>320.00000000005002</v>
      </c>
      <c r="AG4" s="58">
        <v>1336</v>
      </c>
      <c r="AH4" s="67">
        <f t="shared" ref="AH4:AH34" si="13">IF((AG4-AG3&lt;0), "",AG4-AG3)</f>
        <v>33</v>
      </c>
      <c r="AI4" s="58">
        <v>547.67999999999995</v>
      </c>
      <c r="AJ4" s="65">
        <f t="shared" ref="AJ4:AP34" si="14">IF((AI4-AI3&lt;0), "",(AI4-AI3)*1000)</f>
        <v>919.99999999995907</v>
      </c>
      <c r="AK4" s="58">
        <v>186.6</v>
      </c>
      <c r="AL4" s="65">
        <f t="shared" si="14"/>
        <v>310.00000000000227</v>
      </c>
      <c r="AM4" s="58">
        <v>181.93</v>
      </c>
      <c r="AN4" s="65">
        <f t="shared" si="14"/>
        <v>210.00000000000796</v>
      </c>
      <c r="AO4" s="58">
        <v>176.27</v>
      </c>
      <c r="AP4" s="65">
        <f t="shared" si="14"/>
        <v>230.00000000001819</v>
      </c>
      <c r="AQ4" s="58">
        <v>234.85</v>
      </c>
      <c r="AR4" s="65">
        <f t="shared" ref="AR4:AR34" si="15">IF((AQ4-AQ3&lt;0), "",(AQ4-AQ3)*1000)</f>
        <v>319.99999999999318</v>
      </c>
      <c r="AS4" s="58">
        <v>360.09</v>
      </c>
      <c r="AT4" s="65">
        <f t="shared" ref="AT4:AT34" si="16">IF((AS4-AS3&lt;0), "",(AS4-AS3)*1000)</f>
        <v>199.99999999998863</v>
      </c>
      <c r="AU4" s="58">
        <v>277.54000000000002</v>
      </c>
      <c r="AV4" s="65">
        <f t="shared" ref="AV4:AV34" si="17">IF((AU4-AU3&lt;0), "",(AU4-AU3)*1000)</f>
        <v>189.99999999999773</v>
      </c>
      <c r="AW4" s="58">
        <v>313.19</v>
      </c>
      <c r="AX4" s="65">
        <f t="shared" ref="AX4:AX34" si="18">IF((AW4-AW3&lt;0), "",(AW4-AW3)*1000)</f>
        <v>180.00000000000682</v>
      </c>
      <c r="AY4" s="58">
        <v>358.3</v>
      </c>
      <c r="AZ4" s="65">
        <f t="shared" ref="AZ4:AZ34" si="19">IF((AY4-AY3&lt;0), "",(AY4-AY3)*1000)</f>
        <v>60.000000000002274</v>
      </c>
      <c r="BA4" s="58">
        <v>379.29</v>
      </c>
      <c r="BB4" s="65">
        <f t="shared" ref="BB4:BB34" si="20">IF((BA4-BA3&lt;0), "",(BA4-BA3)*1000)</f>
        <v>10.000000000047748</v>
      </c>
      <c r="BC4" s="58">
        <v>237.55</v>
      </c>
      <c r="BD4" s="65">
        <f t="shared" ref="BD4:BD34" si="21">IF((BC4-BC3&lt;0), "",(BC4-BC3)*1000)</f>
        <v>50.000000000011369</v>
      </c>
      <c r="BE4" s="59">
        <v>37167</v>
      </c>
      <c r="BF4" s="67">
        <f>IF((BE4-BE3&lt;0), "",BE4-BE3)</f>
        <v>45</v>
      </c>
      <c r="BG4" s="60">
        <v>230.66</v>
      </c>
      <c r="BH4" s="65">
        <f t="shared" ref="BH4:BH34" si="22">IF((BG4-BG3&lt;0), "",(BG4-BG3)*1000)</f>
        <v>49.999999999982947</v>
      </c>
      <c r="BI4" s="60">
        <v>289.92</v>
      </c>
      <c r="BJ4" s="65">
        <f>IF((BI4-BI3&lt;0), "",(BI4-BI3)*1000)</f>
        <v>40.000000000020464</v>
      </c>
      <c r="BK4" s="60">
        <v>233.91</v>
      </c>
      <c r="BL4" s="65">
        <f t="shared" ref="BL4:BL34" si="23">IF((BK4-BK3&lt;0), "",(BK4-BK3)*1000)</f>
        <v>30.000000000001137</v>
      </c>
      <c r="BM4" s="60">
        <v>220.31</v>
      </c>
      <c r="BN4" s="65">
        <f t="shared" ref="BN4:BN33" si="24">IF((BM4-BM3&lt;0), "",(BM4-BM3)*1000)</f>
        <v>50.000000000011369</v>
      </c>
      <c r="BO4" s="60">
        <v>285.02999999999997</v>
      </c>
      <c r="BP4" s="65">
        <f t="shared" ref="BP4:BP34" si="25">IF((BO4-BO3&lt;0), "",(BO4-BO3)*1000)</f>
        <v>29.999999999972715</v>
      </c>
      <c r="BQ4" s="60">
        <v>42919</v>
      </c>
      <c r="BR4" s="65">
        <f t="shared" ref="BR4:BR34" si="26">IF((BQ4-BQ3&lt;0), "",BQ4-BQ3)</f>
        <v>22</v>
      </c>
      <c r="BS4" s="60">
        <v>198.36</v>
      </c>
      <c r="BT4" s="65">
        <f>IF((BS4-BS3&lt;0), "",(BS4-BS3)*1000)</f>
        <v>50.000000000011369</v>
      </c>
      <c r="BU4" s="60">
        <v>36780</v>
      </c>
      <c r="BV4" s="65">
        <f t="shared" ref="BV4:BV35" si="27">IF((BU4-BU3&lt;0), "",BU4-BU3)</f>
        <v>46</v>
      </c>
      <c r="BW4" s="60">
        <v>229.52</v>
      </c>
      <c r="BX4" s="65">
        <f t="shared" ref="BX4:BX34" si="28">IF((BW4-BW3&lt;0), "",(BW4-BW3)*1000)</f>
        <v>30.000000000001137</v>
      </c>
      <c r="BY4" s="60">
        <v>55969</v>
      </c>
      <c r="BZ4" s="67">
        <f t="shared" ref="BZ4:BZ34" si="29">IF((BY4-BY3&lt;0), "",BY4-BY3)</f>
        <v>51</v>
      </c>
      <c r="CA4" s="60">
        <v>29030.3</v>
      </c>
      <c r="CB4" s="67">
        <f t="shared" ref="CB4:CB33" si="30">IF((CA4-CA3&lt;0), "",CA4-CA3)</f>
        <v>22.700000000000728</v>
      </c>
      <c r="CC4" s="60">
        <v>11364.6</v>
      </c>
      <c r="CD4" s="67">
        <f t="shared" ref="CD4:CD34" si="31">IF((CC4-CC3&lt;0), "",CC4-CC3)</f>
        <v>5.7000000000007276</v>
      </c>
      <c r="CE4" s="60">
        <v>5773.9</v>
      </c>
      <c r="CF4" s="67">
        <f t="shared" ref="CF4:CF33" si="32">IF((CE4-CE3&lt;0), "",CE4-CE3)</f>
        <v>6.7999999999992724</v>
      </c>
      <c r="CG4" s="60">
        <v>56525</v>
      </c>
      <c r="CH4" s="67">
        <f t="shared" ref="CH4:CH34" si="33">IF((CG4-CG3&lt;0), "",CG4-CG3)</f>
        <v>30</v>
      </c>
      <c r="CI4" s="60">
        <v>922684</v>
      </c>
      <c r="CJ4" s="67">
        <f t="shared" ref="CJ4:CJ34" si="34">IF((CI4-CI3&lt;0), "",CI4-CI3)</f>
        <v>312</v>
      </c>
      <c r="CK4" s="60">
        <v>703.29</v>
      </c>
      <c r="CL4" s="64">
        <f t="shared" ref="CL4:CL34" si="35">IF((CK4-CK3&lt;0), "",(CK4-CK3)*1000)</f>
        <v>1099.9999999999091</v>
      </c>
      <c r="CM4" s="65">
        <f t="shared" si="0"/>
        <v>48.399999999999636</v>
      </c>
      <c r="CN4" s="62">
        <v>0</v>
      </c>
      <c r="CO4" s="62">
        <v>0</v>
      </c>
      <c r="CP4" s="68">
        <v>5277</v>
      </c>
      <c r="CQ4" s="67">
        <f t="shared" ref="CQ4:CW34" si="36">IF((CP4-CP3&lt;0), "",CP4-CP3)</f>
        <v>29.399999999999636</v>
      </c>
      <c r="CR4" s="68">
        <v>12501</v>
      </c>
      <c r="CS4" s="67">
        <f t="shared" si="36"/>
        <v>19</v>
      </c>
      <c r="CT4" s="75">
        <v>5269</v>
      </c>
      <c r="CU4" s="67">
        <f t="shared" si="36"/>
        <v>10</v>
      </c>
      <c r="CV4" s="68">
        <v>13302</v>
      </c>
      <c r="CW4" s="67">
        <f t="shared" si="36"/>
        <v>14</v>
      </c>
    </row>
    <row r="5" spans="1:101" ht="25.5" customHeight="1" thickBot="1" x14ac:dyDescent="0.45">
      <c r="A5" s="63">
        <v>44287</v>
      </c>
      <c r="B5" s="44"/>
      <c r="C5" s="58">
        <v>2.1133999999999999</v>
      </c>
      <c r="D5" s="64">
        <f t="shared" si="1"/>
        <v>4000.0000000000036</v>
      </c>
      <c r="E5" s="58">
        <v>3.0032999999999999</v>
      </c>
      <c r="F5" s="64">
        <f t="shared" si="2"/>
        <v>4499.9999999997262</v>
      </c>
      <c r="G5" s="58">
        <v>3.0905999999999998</v>
      </c>
      <c r="H5" s="64">
        <f t="shared" si="3"/>
        <v>4099.9999999997708</v>
      </c>
      <c r="I5" s="58">
        <v>1.5185</v>
      </c>
      <c r="J5" s="64">
        <f t="shared" si="4"/>
        <v>1900.0000000000127</v>
      </c>
      <c r="K5" s="58">
        <v>2.4638</v>
      </c>
      <c r="L5" s="64">
        <f t="shared" ref="L5:L34" si="37">IF((K5-K4&lt;0), "0",(K5-K4)*1000000)</f>
        <v>3499.9999999998367</v>
      </c>
      <c r="M5" s="58">
        <v>1.375</v>
      </c>
      <c r="N5" s="64">
        <f t="shared" si="5"/>
        <v>1500.0000000000568</v>
      </c>
      <c r="O5" s="58">
        <v>13339</v>
      </c>
      <c r="P5" s="67">
        <f t="shared" si="6"/>
        <v>51</v>
      </c>
      <c r="Q5" s="58">
        <v>614</v>
      </c>
      <c r="R5" s="67">
        <f t="shared" si="7"/>
        <v>8</v>
      </c>
      <c r="S5" s="58">
        <v>922590.6</v>
      </c>
      <c r="T5" s="67">
        <f t="shared" si="8"/>
        <v>2021.4000000000233</v>
      </c>
      <c r="U5" s="58">
        <v>386456.8</v>
      </c>
      <c r="V5" s="67">
        <f t="shared" ref="V5:V34" si="38">IF((U5-U4&lt;0), "",U5-U4)</f>
        <v>892.39999999996508</v>
      </c>
      <c r="W5" s="58">
        <v>371.36</v>
      </c>
      <c r="X5" s="65">
        <f>IF((W5-W4&lt;0), "",(W5-W4)*1000)</f>
        <v>420.00000000001592</v>
      </c>
      <c r="Y5" s="58">
        <v>2.6177000000000001</v>
      </c>
      <c r="Z5" s="65">
        <f t="shared" si="9"/>
        <v>3400.0000000000696</v>
      </c>
      <c r="AA5" s="58">
        <v>367.65</v>
      </c>
      <c r="AB5" s="65">
        <f t="shared" si="10"/>
        <v>609.9999999999568</v>
      </c>
      <c r="AC5" s="58">
        <v>351.05</v>
      </c>
      <c r="AD5" s="65">
        <f t="shared" si="11"/>
        <v>120.00000000000455</v>
      </c>
      <c r="AE5" s="58">
        <v>540.79999999999995</v>
      </c>
      <c r="AF5" s="65">
        <f t="shared" si="12"/>
        <v>579.99999999992724</v>
      </c>
      <c r="AG5" s="58">
        <v>1375</v>
      </c>
      <c r="AH5" s="67">
        <f t="shared" si="13"/>
        <v>39</v>
      </c>
      <c r="AI5" s="58">
        <v>548.76</v>
      </c>
      <c r="AJ5" s="65">
        <f t="shared" si="14"/>
        <v>1080.0000000000409</v>
      </c>
      <c r="AK5" s="58">
        <v>186.83</v>
      </c>
      <c r="AL5" s="65">
        <f t="shared" si="14"/>
        <v>230.00000000001819</v>
      </c>
      <c r="AM5" s="58">
        <v>182.14</v>
      </c>
      <c r="AN5" s="65">
        <f t="shared" si="14"/>
        <v>209.99999999997954</v>
      </c>
      <c r="AO5" s="58">
        <v>176.55</v>
      </c>
      <c r="AP5" s="65">
        <f t="shared" si="14"/>
        <v>280.00000000000114</v>
      </c>
      <c r="AQ5" s="58">
        <v>235.34</v>
      </c>
      <c r="AR5" s="65">
        <f t="shared" si="15"/>
        <v>490.00000000000909</v>
      </c>
      <c r="AS5" s="58">
        <v>360.32</v>
      </c>
      <c r="AT5" s="65">
        <f t="shared" si="16"/>
        <v>230.00000000001819</v>
      </c>
      <c r="AU5" s="58">
        <v>277.7</v>
      </c>
      <c r="AV5" s="65">
        <f t="shared" si="17"/>
        <v>159.99999999996817</v>
      </c>
      <c r="AW5" s="58">
        <v>313.27</v>
      </c>
      <c r="AX5" s="65">
        <f t="shared" si="18"/>
        <v>79.999999999984084</v>
      </c>
      <c r="AY5" s="58">
        <v>358.35</v>
      </c>
      <c r="AZ5" s="65">
        <f t="shared" si="19"/>
        <v>50.000000000011369</v>
      </c>
      <c r="BA5" s="58">
        <v>379.31</v>
      </c>
      <c r="BB5" s="65">
        <f t="shared" si="20"/>
        <v>19.99999999998181</v>
      </c>
      <c r="BC5" s="58">
        <v>237.58</v>
      </c>
      <c r="BD5" s="65">
        <f t="shared" si="21"/>
        <v>30.000000000001137</v>
      </c>
      <c r="BE5" s="59">
        <v>37215</v>
      </c>
      <c r="BF5" s="67">
        <f t="shared" ref="BF5:BF34" si="39">IF((BE5-BE4&lt;0), "",BE5-BE4)</f>
        <v>48</v>
      </c>
      <c r="BG5" s="60">
        <v>230.71</v>
      </c>
      <c r="BH5" s="65">
        <f t="shared" si="22"/>
        <v>50.000000000011369</v>
      </c>
      <c r="BI5" s="60">
        <v>289.98</v>
      </c>
      <c r="BJ5" s="65">
        <f t="shared" ref="BJ5:BJ34" si="40">IF((BI5-BI4&lt;0), "",(BI5-BI4)*1000)</f>
        <v>60.000000000002274</v>
      </c>
      <c r="BK5" s="60">
        <v>233.96</v>
      </c>
      <c r="BL5" s="65">
        <f t="shared" si="23"/>
        <v>50.000000000011369</v>
      </c>
      <c r="BM5" s="60">
        <v>220.37</v>
      </c>
      <c r="BN5" s="65">
        <f t="shared" si="24"/>
        <v>60.000000000002274</v>
      </c>
      <c r="BO5" s="60">
        <v>285.08</v>
      </c>
      <c r="BP5" s="65">
        <f t="shared" si="25"/>
        <v>50.000000000011369</v>
      </c>
      <c r="BQ5" s="60">
        <v>42952</v>
      </c>
      <c r="BR5" s="65">
        <f t="shared" si="26"/>
        <v>33</v>
      </c>
      <c r="BS5" s="60">
        <v>198.41</v>
      </c>
      <c r="BT5" s="65">
        <f>IF((BS5-BS4&lt;0), "",(BS5-BS4)*1000)</f>
        <v>49.999999999982947</v>
      </c>
      <c r="BU5" s="60">
        <v>36851</v>
      </c>
      <c r="BV5" s="65">
        <f t="shared" si="27"/>
        <v>71</v>
      </c>
      <c r="BW5" s="60">
        <v>229.56</v>
      </c>
      <c r="BX5" s="65">
        <f t="shared" si="28"/>
        <v>39.999999999992042</v>
      </c>
      <c r="BY5" s="60">
        <v>56038</v>
      </c>
      <c r="BZ5" s="67">
        <f t="shared" si="29"/>
        <v>69</v>
      </c>
      <c r="CA5" s="60">
        <v>29057</v>
      </c>
      <c r="CB5" s="67">
        <f t="shared" si="30"/>
        <v>26.700000000000728</v>
      </c>
      <c r="CC5" s="60">
        <v>11373.9</v>
      </c>
      <c r="CD5" s="67">
        <f t="shared" si="31"/>
        <v>9.2999999999992724</v>
      </c>
      <c r="CE5" s="60">
        <v>5786.8</v>
      </c>
      <c r="CF5" s="67">
        <f t="shared" si="32"/>
        <v>12.900000000000546</v>
      </c>
      <c r="CG5" s="60">
        <v>56568.1</v>
      </c>
      <c r="CH5" s="67">
        <f t="shared" si="33"/>
        <v>43.099999999998545</v>
      </c>
      <c r="CI5" s="60">
        <v>923012</v>
      </c>
      <c r="CJ5" s="67">
        <f t="shared" si="34"/>
        <v>328</v>
      </c>
      <c r="CK5" s="60">
        <v>703.45</v>
      </c>
      <c r="CL5" s="64">
        <f t="shared" si="35"/>
        <v>160.00000000008185</v>
      </c>
      <c r="CM5" s="65">
        <f t="shared" si="0"/>
        <v>104.69999999999982</v>
      </c>
      <c r="CN5" s="62">
        <v>0</v>
      </c>
      <c r="CO5" s="62">
        <v>0</v>
      </c>
      <c r="CP5" s="68">
        <v>5355.7</v>
      </c>
      <c r="CQ5" s="67">
        <f t="shared" si="36"/>
        <v>78.699999999999818</v>
      </c>
      <c r="CR5" s="68">
        <v>12527</v>
      </c>
      <c r="CS5" s="67">
        <f t="shared" si="36"/>
        <v>26</v>
      </c>
      <c r="CT5" s="75">
        <v>5281</v>
      </c>
      <c r="CU5" s="67">
        <f t="shared" si="36"/>
        <v>12</v>
      </c>
      <c r="CV5" s="68">
        <v>13325</v>
      </c>
      <c r="CW5" s="67">
        <f t="shared" si="36"/>
        <v>23</v>
      </c>
    </row>
    <row r="6" spans="1:101" ht="24.75" customHeight="1" thickBot="1" x14ac:dyDescent="0.45">
      <c r="A6" s="63">
        <v>44288</v>
      </c>
      <c r="B6" s="44"/>
      <c r="C6" s="58">
        <v>2.1156999999999999</v>
      </c>
      <c r="D6" s="64">
        <f t="shared" si="1"/>
        <v>2299.9999999999686</v>
      </c>
      <c r="E6" s="58">
        <v>3.0057999999999998</v>
      </c>
      <c r="F6" s="64">
        <f t="shared" si="2"/>
        <v>2499.9999999999468</v>
      </c>
      <c r="G6" s="58">
        <v>3.0926999999999998</v>
      </c>
      <c r="H6" s="64">
        <f t="shared" si="3"/>
        <v>2099.9999999999909</v>
      </c>
      <c r="I6" s="58">
        <v>1.5196000000000001</v>
      </c>
      <c r="J6" s="64">
        <f t="shared" si="4"/>
        <v>1100.000000000101</v>
      </c>
      <c r="K6" s="58">
        <v>2.4655</v>
      </c>
      <c r="L6" s="64">
        <f t="shared" si="37"/>
        <v>1700.0000000000348</v>
      </c>
      <c r="M6" s="58">
        <v>1.3758999999999999</v>
      </c>
      <c r="N6" s="64">
        <f t="shared" si="5"/>
        <v>899.99999999990087</v>
      </c>
      <c r="O6" s="58">
        <v>13369</v>
      </c>
      <c r="P6" s="67">
        <f t="shared" si="6"/>
        <v>30</v>
      </c>
      <c r="Q6" s="58">
        <v>621</v>
      </c>
      <c r="R6" s="67">
        <f t="shared" si="7"/>
        <v>7</v>
      </c>
      <c r="S6" s="58">
        <v>923000.2</v>
      </c>
      <c r="T6" s="67">
        <f t="shared" si="8"/>
        <v>409.59999999997672</v>
      </c>
      <c r="U6" s="58">
        <v>386661.8</v>
      </c>
      <c r="V6" s="67">
        <f t="shared" si="38"/>
        <v>205</v>
      </c>
      <c r="W6" s="58">
        <v>371.69</v>
      </c>
      <c r="X6" s="65">
        <f t="shared" ref="X6:X34" si="41">IF((W6-W5&lt;0), "",(W6-W5)*1000)</f>
        <v>329.99999999998408</v>
      </c>
      <c r="Y6" s="58">
        <v>2.6211000000000002</v>
      </c>
      <c r="Z6" s="65">
        <f t="shared" si="9"/>
        <v>3400.0000000000696</v>
      </c>
      <c r="AA6" s="58">
        <v>368.04</v>
      </c>
      <c r="AB6" s="65">
        <f t="shared" si="10"/>
        <v>390.0000000000432</v>
      </c>
      <c r="AC6" s="58">
        <v>351.26</v>
      </c>
      <c r="AD6" s="65">
        <f t="shared" si="11"/>
        <v>209.99999999997954</v>
      </c>
      <c r="AE6" s="58">
        <v>541.26</v>
      </c>
      <c r="AF6" s="65">
        <f t="shared" si="12"/>
        <v>460.00000000003638</v>
      </c>
      <c r="AG6" s="58">
        <v>1416</v>
      </c>
      <c r="AH6" s="67">
        <f t="shared" si="13"/>
        <v>41</v>
      </c>
      <c r="AI6" s="58">
        <v>549.88</v>
      </c>
      <c r="AJ6" s="65">
        <f t="shared" si="14"/>
        <v>1120.0000000000045</v>
      </c>
      <c r="AK6" s="58">
        <v>187.16</v>
      </c>
      <c r="AL6" s="65">
        <f t="shared" si="14"/>
        <v>329.99999999998408</v>
      </c>
      <c r="AM6" s="58">
        <v>182.34</v>
      </c>
      <c r="AN6" s="65">
        <f t="shared" si="14"/>
        <v>200.00000000001705</v>
      </c>
      <c r="AO6" s="58">
        <v>176.8</v>
      </c>
      <c r="AP6" s="65">
        <f t="shared" si="14"/>
        <v>250</v>
      </c>
      <c r="AQ6" s="58">
        <v>235.79</v>
      </c>
      <c r="AR6" s="65">
        <f t="shared" si="15"/>
        <v>449.99999999998863</v>
      </c>
      <c r="AS6" s="58">
        <v>360.57</v>
      </c>
      <c r="AT6" s="65">
        <f t="shared" si="16"/>
        <v>250</v>
      </c>
      <c r="AU6" s="58">
        <v>277.86</v>
      </c>
      <c r="AV6" s="65">
        <f t="shared" si="17"/>
        <v>160.00000000002501</v>
      </c>
      <c r="AW6" s="58">
        <v>313.35000000000002</v>
      </c>
      <c r="AX6" s="65">
        <f t="shared" si="18"/>
        <v>80.000000000040927</v>
      </c>
      <c r="AY6" s="58">
        <v>358.41</v>
      </c>
      <c r="AZ6" s="65">
        <f t="shared" si="19"/>
        <v>60.000000000002274</v>
      </c>
      <c r="BA6" s="58">
        <v>379.32</v>
      </c>
      <c r="BB6" s="65">
        <f t="shared" si="20"/>
        <v>9.9999999999909051</v>
      </c>
      <c r="BC6" s="58">
        <v>237.74</v>
      </c>
      <c r="BD6" s="65">
        <f t="shared" si="21"/>
        <v>159.99999999999659</v>
      </c>
      <c r="BE6" s="59">
        <v>37246</v>
      </c>
      <c r="BF6" s="67">
        <f t="shared" si="39"/>
        <v>31</v>
      </c>
      <c r="BG6" s="60">
        <v>230.73</v>
      </c>
      <c r="BH6" s="65">
        <f t="shared" si="22"/>
        <v>19.99999999998181</v>
      </c>
      <c r="BI6" s="60">
        <v>290.01</v>
      </c>
      <c r="BJ6" s="65">
        <f t="shared" si="40"/>
        <v>29.999999999972715</v>
      </c>
      <c r="BK6" s="60">
        <v>233.99</v>
      </c>
      <c r="BL6" s="65">
        <f t="shared" si="23"/>
        <v>30.000000000001137</v>
      </c>
      <c r="BM6" s="60">
        <v>220.41</v>
      </c>
      <c r="BN6" s="65">
        <f t="shared" si="24"/>
        <v>39.999999999992042</v>
      </c>
      <c r="BO6" s="60">
        <v>285.11</v>
      </c>
      <c r="BP6" s="65">
        <f t="shared" si="25"/>
        <v>30.000000000029559</v>
      </c>
      <c r="BQ6" s="60">
        <v>42973</v>
      </c>
      <c r="BR6" s="65">
        <f t="shared" si="26"/>
        <v>21</v>
      </c>
      <c r="BS6" s="60">
        <v>198.43</v>
      </c>
      <c r="BT6" s="65">
        <f t="shared" ref="BT6:BT35" si="42">IF((BS6-BS5&lt;0), "",(BS6-BS5)*1000)</f>
        <v>20.000000000010232</v>
      </c>
      <c r="BU6" s="60">
        <v>36891</v>
      </c>
      <c r="BV6" s="65">
        <f t="shared" si="27"/>
        <v>40</v>
      </c>
      <c r="BW6" s="60">
        <v>229.58</v>
      </c>
      <c r="BX6" s="65">
        <f t="shared" si="28"/>
        <v>20.000000000010232</v>
      </c>
      <c r="BY6" s="60">
        <v>56072</v>
      </c>
      <c r="BZ6" s="67">
        <f t="shared" si="29"/>
        <v>34</v>
      </c>
      <c r="CA6" s="60">
        <v>29086.400000000001</v>
      </c>
      <c r="CB6" s="67">
        <f t="shared" si="30"/>
        <v>29.400000000001455</v>
      </c>
      <c r="CC6" s="60">
        <v>11380.6</v>
      </c>
      <c r="CD6" s="67">
        <f t="shared" si="31"/>
        <v>6.7000000000007276</v>
      </c>
      <c r="CE6" s="60">
        <v>5795.6</v>
      </c>
      <c r="CF6" s="67">
        <f t="shared" si="32"/>
        <v>8.8000000000001819</v>
      </c>
      <c r="CG6" s="60">
        <v>56711</v>
      </c>
      <c r="CH6" s="67">
        <f t="shared" si="33"/>
        <v>142.90000000000146</v>
      </c>
      <c r="CI6" s="60">
        <v>923333</v>
      </c>
      <c r="CJ6" s="67">
        <f t="shared" si="34"/>
        <v>321</v>
      </c>
      <c r="CK6" s="60">
        <v>704.01</v>
      </c>
      <c r="CL6" s="64">
        <f t="shared" si="35"/>
        <v>559.99999999994543</v>
      </c>
      <c r="CM6" s="65">
        <f t="shared" si="0"/>
        <v>46.900000000000546</v>
      </c>
      <c r="CN6" s="62">
        <v>0</v>
      </c>
      <c r="CO6" s="62">
        <v>0</v>
      </c>
      <c r="CP6" s="68">
        <v>5382.6</v>
      </c>
      <c r="CQ6" s="67">
        <f t="shared" si="36"/>
        <v>26.900000000000546</v>
      </c>
      <c r="CR6" s="68">
        <v>12547</v>
      </c>
      <c r="CS6" s="67">
        <f t="shared" si="36"/>
        <v>20</v>
      </c>
      <c r="CT6" s="68">
        <v>5294</v>
      </c>
      <c r="CU6" s="67">
        <f t="shared" si="36"/>
        <v>13</v>
      </c>
      <c r="CV6" s="68">
        <v>13364</v>
      </c>
      <c r="CW6" s="67">
        <f t="shared" si="36"/>
        <v>39</v>
      </c>
    </row>
    <row r="7" spans="1:101" ht="25.5" customHeight="1" thickBot="1" x14ac:dyDescent="0.45">
      <c r="A7" s="63">
        <v>44289</v>
      </c>
      <c r="B7" s="44"/>
      <c r="C7" s="58">
        <v>2.1185999999999998</v>
      </c>
      <c r="D7" s="64">
        <f t="shared" si="1"/>
        <v>2899.9999999999027</v>
      </c>
      <c r="E7" s="58">
        <v>3.0091999999999999</v>
      </c>
      <c r="F7" s="64">
        <f t="shared" si="2"/>
        <v>3400.0000000000696</v>
      </c>
      <c r="G7" s="58">
        <v>3.0958000000000001</v>
      </c>
      <c r="H7" s="64">
        <f t="shared" si="3"/>
        <v>3100.0000000003247</v>
      </c>
      <c r="I7" s="58">
        <v>1.5210999999999999</v>
      </c>
      <c r="J7" s="64">
        <f t="shared" si="4"/>
        <v>1499.9999999998347</v>
      </c>
      <c r="K7" s="58">
        <v>2.4676</v>
      </c>
      <c r="L7" s="64">
        <f t="shared" si="37"/>
        <v>2099.9999999999909</v>
      </c>
      <c r="M7" s="58">
        <v>1.377</v>
      </c>
      <c r="N7" s="64">
        <f t="shared" si="5"/>
        <v>1100.000000000101</v>
      </c>
      <c r="O7" s="58">
        <v>13371</v>
      </c>
      <c r="P7" s="67">
        <f t="shared" si="6"/>
        <v>2</v>
      </c>
      <c r="Q7" s="58">
        <v>629</v>
      </c>
      <c r="R7" s="67">
        <f t="shared" si="7"/>
        <v>8</v>
      </c>
      <c r="S7" s="58">
        <v>924375.2</v>
      </c>
      <c r="T7" s="67">
        <f t="shared" si="8"/>
        <v>1375</v>
      </c>
      <c r="U7" s="58">
        <v>387205.6</v>
      </c>
      <c r="V7" s="67">
        <f t="shared" si="38"/>
        <v>543.79999999998836</v>
      </c>
      <c r="W7" s="58">
        <v>371.97</v>
      </c>
      <c r="X7" s="65">
        <f t="shared" si="41"/>
        <v>280.00000000002956</v>
      </c>
      <c r="Y7" s="58">
        <v>2.6238000000000001</v>
      </c>
      <c r="Z7" s="65">
        <f t="shared" si="9"/>
        <v>2699.9999999999245</v>
      </c>
      <c r="AA7" s="58">
        <v>368.38</v>
      </c>
      <c r="AB7" s="65">
        <f t="shared" si="10"/>
        <v>339.99999999997499</v>
      </c>
      <c r="AC7" s="58">
        <v>351.39</v>
      </c>
      <c r="AD7" s="65">
        <f t="shared" si="11"/>
        <v>129.99999999999545</v>
      </c>
      <c r="AE7" s="58">
        <v>541.47</v>
      </c>
      <c r="AF7" s="65">
        <f t="shared" si="12"/>
        <v>210.00000000003638</v>
      </c>
      <c r="AG7" s="58">
        <v>1454</v>
      </c>
      <c r="AH7" s="67">
        <f t="shared" si="13"/>
        <v>38</v>
      </c>
      <c r="AI7" s="58">
        <v>550.85</v>
      </c>
      <c r="AJ7" s="65">
        <f t="shared" si="14"/>
        <v>970.00000000002728</v>
      </c>
      <c r="AK7" s="58">
        <v>187.24</v>
      </c>
      <c r="AL7" s="65">
        <f t="shared" si="14"/>
        <v>80.000000000012506</v>
      </c>
      <c r="AM7" s="58">
        <v>182.51</v>
      </c>
      <c r="AN7" s="65">
        <f t="shared" si="14"/>
        <v>169.99999999998749</v>
      </c>
      <c r="AO7" s="58">
        <v>177</v>
      </c>
      <c r="AP7" s="65">
        <f t="shared" si="14"/>
        <v>199.99999999998863</v>
      </c>
      <c r="AQ7" s="58">
        <v>236.09</v>
      </c>
      <c r="AR7" s="65">
        <f t="shared" si="15"/>
        <v>300.00000000001137</v>
      </c>
      <c r="AS7" s="58">
        <v>360.75</v>
      </c>
      <c r="AT7" s="65">
        <f t="shared" si="16"/>
        <v>180.00000000000682</v>
      </c>
      <c r="AU7" s="58">
        <v>278.02</v>
      </c>
      <c r="AV7" s="65">
        <f t="shared" si="17"/>
        <v>159.99999999996817</v>
      </c>
      <c r="AW7" s="58">
        <v>313.45</v>
      </c>
      <c r="AX7" s="65">
        <f t="shared" si="18"/>
        <v>99.999999999965894</v>
      </c>
      <c r="AY7" s="58">
        <v>358.47</v>
      </c>
      <c r="AZ7" s="65">
        <f t="shared" si="19"/>
        <v>60.000000000002274</v>
      </c>
      <c r="BA7" s="58">
        <v>379.34</v>
      </c>
      <c r="BB7" s="65">
        <f t="shared" si="20"/>
        <v>19.99999999998181</v>
      </c>
      <c r="BC7" s="58">
        <v>237.94</v>
      </c>
      <c r="BD7" s="65">
        <f t="shared" si="21"/>
        <v>199.99999999998863</v>
      </c>
      <c r="BE7" s="59">
        <v>37295</v>
      </c>
      <c r="BF7" s="67">
        <f t="shared" si="39"/>
        <v>49</v>
      </c>
      <c r="BG7" s="60">
        <v>230.78</v>
      </c>
      <c r="BH7" s="65">
        <f t="shared" si="22"/>
        <v>50.000000000011369</v>
      </c>
      <c r="BI7" s="60">
        <v>290.06</v>
      </c>
      <c r="BJ7" s="65">
        <f t="shared" si="40"/>
        <v>50.000000000011369</v>
      </c>
      <c r="BK7" s="60">
        <v>234.03</v>
      </c>
      <c r="BL7" s="65">
        <f t="shared" si="23"/>
        <v>39.999999999992042</v>
      </c>
      <c r="BM7" s="60">
        <v>220.46</v>
      </c>
      <c r="BN7" s="65">
        <f t="shared" si="24"/>
        <v>50.000000000011369</v>
      </c>
      <c r="BO7" s="60">
        <v>285.14</v>
      </c>
      <c r="BP7" s="65">
        <f t="shared" si="25"/>
        <v>29.999999999972715</v>
      </c>
      <c r="BQ7" s="60">
        <v>43002</v>
      </c>
      <c r="BR7" s="65">
        <f t="shared" si="26"/>
        <v>29</v>
      </c>
      <c r="BS7" s="60">
        <v>198.47</v>
      </c>
      <c r="BT7" s="65">
        <f t="shared" si="42"/>
        <v>39.999999999992042</v>
      </c>
      <c r="BU7" s="60">
        <v>36939</v>
      </c>
      <c r="BV7" s="65">
        <f t="shared" si="27"/>
        <v>48</v>
      </c>
      <c r="BW7" s="60">
        <v>229.61</v>
      </c>
      <c r="BX7" s="65">
        <f t="shared" si="28"/>
        <v>30.000000000001137</v>
      </c>
      <c r="BY7" s="60">
        <v>56132</v>
      </c>
      <c r="BZ7" s="67">
        <f t="shared" si="29"/>
        <v>60</v>
      </c>
      <c r="CA7" s="60">
        <v>29107.200000000001</v>
      </c>
      <c r="CB7" s="67">
        <f t="shared" si="30"/>
        <v>20.799999999999272</v>
      </c>
      <c r="CC7" s="60">
        <v>11384</v>
      </c>
      <c r="CD7" s="67">
        <f t="shared" si="31"/>
        <v>3.3999999999996362</v>
      </c>
      <c r="CE7" s="60">
        <v>5800.1</v>
      </c>
      <c r="CF7" s="67">
        <f t="shared" si="32"/>
        <v>4.5</v>
      </c>
      <c r="CG7" s="60">
        <v>56742.5</v>
      </c>
      <c r="CH7" s="67">
        <f t="shared" si="33"/>
        <v>31.5</v>
      </c>
      <c r="CI7" s="60">
        <v>923622</v>
      </c>
      <c r="CJ7" s="67">
        <f t="shared" si="34"/>
        <v>289</v>
      </c>
      <c r="CK7" s="60">
        <v>704.76</v>
      </c>
      <c r="CL7" s="64">
        <f t="shared" si="35"/>
        <v>750</v>
      </c>
      <c r="CM7" s="65">
        <f t="shared" si="0"/>
        <v>79.399999999999636</v>
      </c>
      <c r="CN7" s="62">
        <v>0</v>
      </c>
      <c r="CO7" s="62">
        <v>0</v>
      </c>
      <c r="CP7" s="68">
        <v>5442</v>
      </c>
      <c r="CQ7" s="67">
        <f t="shared" si="36"/>
        <v>59.399999999999636</v>
      </c>
      <c r="CR7" s="68">
        <v>12567</v>
      </c>
      <c r="CS7" s="67">
        <f t="shared" si="36"/>
        <v>20</v>
      </c>
      <c r="CT7" s="75">
        <v>5304</v>
      </c>
      <c r="CU7" s="67">
        <f t="shared" si="36"/>
        <v>10</v>
      </c>
      <c r="CV7" s="68">
        <v>13384</v>
      </c>
      <c r="CW7" s="67">
        <f t="shared" si="36"/>
        <v>20</v>
      </c>
    </row>
    <row r="8" spans="1:101" ht="25.5" customHeight="1" thickBot="1" x14ac:dyDescent="0.45">
      <c r="A8" s="63">
        <v>44290</v>
      </c>
      <c r="B8" s="44"/>
      <c r="C8" s="58">
        <v>2.1214</v>
      </c>
      <c r="D8" s="64">
        <f t="shared" si="1"/>
        <v>2800.0000000001355</v>
      </c>
      <c r="E8" s="58">
        <v>3.0129999999999999</v>
      </c>
      <c r="F8" s="64">
        <f t="shared" si="2"/>
        <v>3800.0000000000255</v>
      </c>
      <c r="G8" s="58">
        <v>3.0990000000000002</v>
      </c>
      <c r="H8" s="64">
        <f t="shared" si="3"/>
        <v>3200.0000000000919</v>
      </c>
      <c r="I8" s="58">
        <v>1.5226999999999999</v>
      </c>
      <c r="J8" s="64">
        <f t="shared" si="4"/>
        <v>1600.0000000000459</v>
      </c>
      <c r="K8" s="58">
        <v>2.4701</v>
      </c>
      <c r="L8" s="64">
        <f t="shared" si="37"/>
        <v>2499.9999999999468</v>
      </c>
      <c r="M8" s="58">
        <v>1.3779999999999999</v>
      </c>
      <c r="N8" s="64">
        <f t="shared" si="5"/>
        <v>999.99999999988984</v>
      </c>
      <c r="O8" s="58">
        <v>13401</v>
      </c>
      <c r="P8" s="67">
        <f t="shared" si="6"/>
        <v>30</v>
      </c>
      <c r="Q8" s="58">
        <v>638</v>
      </c>
      <c r="R8" s="67">
        <f t="shared" si="7"/>
        <v>9</v>
      </c>
      <c r="S8" s="58">
        <v>925312</v>
      </c>
      <c r="T8" s="67">
        <f t="shared" si="8"/>
        <v>936.80000000004657</v>
      </c>
      <c r="U8" s="58">
        <v>387661.6</v>
      </c>
      <c r="V8" s="67">
        <f t="shared" si="38"/>
        <v>456</v>
      </c>
      <c r="W8" s="58">
        <v>372.34</v>
      </c>
      <c r="X8" s="65">
        <f t="shared" si="41"/>
        <v>369.9999999999477</v>
      </c>
      <c r="Y8" s="58">
        <v>2.6273</v>
      </c>
      <c r="Z8" s="65">
        <f t="shared" si="9"/>
        <v>3499.9999999998367</v>
      </c>
      <c r="AA8" s="58">
        <v>368.63</v>
      </c>
      <c r="AB8" s="65">
        <f t="shared" si="10"/>
        <v>250</v>
      </c>
      <c r="AC8" s="58">
        <v>351.6</v>
      </c>
      <c r="AD8" s="65">
        <f t="shared" si="11"/>
        <v>210.00000000003638</v>
      </c>
      <c r="AE8" s="58">
        <v>541.86</v>
      </c>
      <c r="AF8" s="65">
        <f t="shared" si="12"/>
        <v>389.99999999998636</v>
      </c>
      <c r="AG8" s="58">
        <v>1495</v>
      </c>
      <c r="AH8" s="67">
        <f t="shared" si="13"/>
        <v>41</v>
      </c>
      <c r="AI8" s="58">
        <v>551.95000000000005</v>
      </c>
      <c r="AJ8" s="65">
        <f t="shared" si="14"/>
        <v>1100.0000000000227</v>
      </c>
      <c r="AK8" s="58">
        <v>187.33</v>
      </c>
      <c r="AL8" s="65">
        <f t="shared" si="14"/>
        <v>90.000000000003411</v>
      </c>
      <c r="AM8" s="58">
        <v>182.63</v>
      </c>
      <c r="AN8" s="65">
        <f t="shared" si="14"/>
        <v>120.00000000000455</v>
      </c>
      <c r="AO8" s="58">
        <v>177.16</v>
      </c>
      <c r="AP8" s="65">
        <f t="shared" si="14"/>
        <v>159.99999999999659</v>
      </c>
      <c r="AQ8" s="58">
        <v>236.26</v>
      </c>
      <c r="AR8" s="65">
        <f t="shared" si="15"/>
        <v>169.99999999998749</v>
      </c>
      <c r="AS8" s="58">
        <v>360.98</v>
      </c>
      <c r="AT8" s="65">
        <f t="shared" si="16"/>
        <v>230.00000000001819</v>
      </c>
      <c r="AU8" s="58">
        <v>278.14999999999998</v>
      </c>
      <c r="AV8" s="65">
        <f t="shared" si="17"/>
        <v>129.99999999999545</v>
      </c>
      <c r="AW8" s="58">
        <v>313.51</v>
      </c>
      <c r="AX8" s="65">
        <f t="shared" si="18"/>
        <v>60.000000000002274</v>
      </c>
      <c r="AY8" s="58">
        <v>358.5</v>
      </c>
      <c r="AZ8" s="65">
        <f t="shared" si="19"/>
        <v>29.999999999972715</v>
      </c>
      <c r="BA8" s="58">
        <v>379.36</v>
      </c>
      <c r="BB8" s="65">
        <f t="shared" si="20"/>
        <v>20.000000000038654</v>
      </c>
      <c r="BC8" s="58">
        <v>238.13</v>
      </c>
      <c r="BD8" s="65">
        <f t="shared" si="21"/>
        <v>189.99999999999773</v>
      </c>
      <c r="BE8" s="59">
        <v>37329</v>
      </c>
      <c r="BF8" s="67">
        <f t="shared" si="39"/>
        <v>34</v>
      </c>
      <c r="BG8" s="60">
        <v>230.84</v>
      </c>
      <c r="BH8" s="65">
        <f t="shared" si="22"/>
        <v>60.000000000002274</v>
      </c>
      <c r="BI8" s="60">
        <v>290.10000000000002</v>
      </c>
      <c r="BJ8" s="65">
        <f t="shared" si="40"/>
        <v>40.000000000020464</v>
      </c>
      <c r="BK8" s="60">
        <v>234.07</v>
      </c>
      <c r="BL8" s="65">
        <f t="shared" si="23"/>
        <v>39.999999999992042</v>
      </c>
      <c r="BM8" s="60">
        <v>220.51</v>
      </c>
      <c r="BN8" s="65">
        <f t="shared" si="24"/>
        <v>49.999999999982947</v>
      </c>
      <c r="BO8" s="60">
        <v>285.17</v>
      </c>
      <c r="BP8" s="65">
        <f t="shared" si="25"/>
        <v>30.000000000029559</v>
      </c>
      <c r="BQ8" s="60">
        <v>43031</v>
      </c>
      <c r="BR8" s="65">
        <f t="shared" si="26"/>
        <v>29</v>
      </c>
      <c r="BS8" s="60">
        <v>198.52</v>
      </c>
      <c r="BT8" s="65">
        <f t="shared" si="42"/>
        <v>50.000000000011369</v>
      </c>
      <c r="BU8" s="60">
        <v>36992</v>
      </c>
      <c r="BV8" s="65">
        <f t="shared" si="27"/>
        <v>53</v>
      </c>
      <c r="BW8" s="60">
        <v>229.64</v>
      </c>
      <c r="BX8" s="65">
        <f t="shared" si="28"/>
        <v>29.999999999972715</v>
      </c>
      <c r="BY8" s="60">
        <v>56195</v>
      </c>
      <c r="BZ8" s="67">
        <f t="shared" si="29"/>
        <v>63</v>
      </c>
      <c r="CA8" s="60">
        <v>29135</v>
      </c>
      <c r="CB8" s="67">
        <f t="shared" si="30"/>
        <v>27.799999999999272</v>
      </c>
      <c r="CC8" s="60">
        <v>11389</v>
      </c>
      <c r="CD8" s="67">
        <f>IF((CC8-CC7&lt;0), "",CC8-CC7)</f>
        <v>5</v>
      </c>
      <c r="CE8" s="60">
        <v>5805.2</v>
      </c>
      <c r="CF8" s="67">
        <f t="shared" si="32"/>
        <v>5.0999999999994543</v>
      </c>
      <c r="CG8" s="60">
        <v>56792.5</v>
      </c>
      <c r="CH8" s="67">
        <f t="shared" si="33"/>
        <v>50</v>
      </c>
      <c r="CI8" s="60">
        <v>923849</v>
      </c>
      <c r="CJ8" s="67">
        <f t="shared" si="34"/>
        <v>227</v>
      </c>
      <c r="CK8" s="60">
        <v>705.49</v>
      </c>
      <c r="CL8" s="64">
        <f t="shared" si="35"/>
        <v>730.00000000001819</v>
      </c>
      <c r="CM8" s="65">
        <f t="shared" si="0"/>
        <v>51</v>
      </c>
      <c r="CN8" s="62">
        <v>0</v>
      </c>
      <c r="CO8" s="62">
        <v>0</v>
      </c>
      <c r="CP8" s="68">
        <v>5472</v>
      </c>
      <c r="CQ8" s="67">
        <f t="shared" si="36"/>
        <v>30</v>
      </c>
      <c r="CR8" s="68">
        <v>12588</v>
      </c>
      <c r="CS8" s="67">
        <f t="shared" si="36"/>
        <v>21</v>
      </c>
      <c r="CT8" s="75">
        <v>5316</v>
      </c>
      <c r="CU8" s="67">
        <f t="shared" si="36"/>
        <v>12</v>
      </c>
      <c r="CV8" s="68">
        <v>13414</v>
      </c>
      <c r="CW8" s="67">
        <f t="shared" si="36"/>
        <v>30</v>
      </c>
    </row>
    <row r="9" spans="1:101" ht="25.5" customHeight="1" thickBot="1" x14ac:dyDescent="0.45">
      <c r="A9" s="63">
        <v>44291</v>
      </c>
      <c r="B9" s="44"/>
      <c r="C9" s="58">
        <v>2.1233</v>
      </c>
      <c r="D9" s="64">
        <f t="shared" si="1"/>
        <v>1900.0000000000127</v>
      </c>
      <c r="E9" s="58">
        <v>3.0162</v>
      </c>
      <c r="F9" s="64">
        <f t="shared" si="2"/>
        <v>3200.0000000000919</v>
      </c>
      <c r="G9" s="58">
        <v>3.1017999999999999</v>
      </c>
      <c r="H9" s="64">
        <f t="shared" si="3"/>
        <v>2799.9999999996917</v>
      </c>
      <c r="I9" s="58">
        <v>1.5242</v>
      </c>
      <c r="J9" s="64">
        <f t="shared" si="4"/>
        <v>1500.0000000000568</v>
      </c>
      <c r="K9" s="58">
        <v>2.4721000000000002</v>
      </c>
      <c r="L9" s="64">
        <f t="shared" si="37"/>
        <v>2000.0000000002237</v>
      </c>
      <c r="M9" s="58">
        <v>1.3792</v>
      </c>
      <c r="N9" s="64">
        <f t="shared" si="5"/>
        <v>1200.0000000000898</v>
      </c>
      <c r="O9" s="58">
        <v>13423</v>
      </c>
      <c r="P9" s="67">
        <f t="shared" si="6"/>
        <v>22</v>
      </c>
      <c r="Q9" s="58">
        <v>645</v>
      </c>
      <c r="R9" s="67">
        <f t="shared" si="7"/>
        <v>7</v>
      </c>
      <c r="S9" s="58">
        <v>926349.8</v>
      </c>
      <c r="T9" s="67">
        <f t="shared" si="8"/>
        <v>1037.8000000000466</v>
      </c>
      <c r="U9" s="58">
        <v>388139.3</v>
      </c>
      <c r="V9" s="67">
        <f t="shared" si="38"/>
        <v>477.70000000001164</v>
      </c>
      <c r="W9" s="58">
        <v>372.66</v>
      </c>
      <c r="X9" s="65">
        <f t="shared" si="41"/>
        <v>320.00000000005002</v>
      </c>
      <c r="Y9" s="58">
        <v>2.6301000000000001</v>
      </c>
      <c r="Z9" s="65">
        <f t="shared" si="9"/>
        <v>2800.0000000001355</v>
      </c>
      <c r="AA9" s="58">
        <v>369.1</v>
      </c>
      <c r="AB9" s="65">
        <f t="shared" si="10"/>
        <v>470.00000000002728</v>
      </c>
      <c r="AC9" s="58">
        <v>351.83</v>
      </c>
      <c r="AD9" s="65">
        <f t="shared" si="11"/>
        <v>229.99999999996135</v>
      </c>
      <c r="AE9" s="58">
        <v>542.27</v>
      </c>
      <c r="AF9" s="65">
        <f t="shared" si="12"/>
        <v>409.99999999996817</v>
      </c>
      <c r="AG9" s="58">
        <v>1531</v>
      </c>
      <c r="AH9" s="67">
        <f t="shared" si="13"/>
        <v>36</v>
      </c>
      <c r="AI9" s="58">
        <v>552.85</v>
      </c>
      <c r="AJ9" s="65">
        <f t="shared" si="14"/>
        <v>899.99999999997726</v>
      </c>
      <c r="AK9" s="58">
        <v>187.41</v>
      </c>
      <c r="AL9" s="65">
        <f t="shared" si="14"/>
        <v>79.999999999984084</v>
      </c>
      <c r="AM9" s="58">
        <v>182.68</v>
      </c>
      <c r="AN9" s="65">
        <f t="shared" si="14"/>
        <v>50.000000000011369</v>
      </c>
      <c r="AO9" s="58">
        <v>177.21</v>
      </c>
      <c r="AP9" s="65">
        <f t="shared" si="14"/>
        <v>50.000000000011369</v>
      </c>
      <c r="AQ9" s="58">
        <v>236.39</v>
      </c>
      <c r="AR9" s="65">
        <f t="shared" si="15"/>
        <v>129.99999999999545</v>
      </c>
      <c r="AS9" s="58">
        <v>361.17</v>
      </c>
      <c r="AT9" s="65">
        <f t="shared" si="16"/>
        <v>189.99999999999773</v>
      </c>
      <c r="AU9" s="58">
        <v>278.26</v>
      </c>
      <c r="AV9" s="65">
        <f t="shared" si="17"/>
        <v>110.00000000001364</v>
      </c>
      <c r="AW9" s="58">
        <v>313.56</v>
      </c>
      <c r="AX9" s="65">
        <f t="shared" si="18"/>
        <v>50.000000000011369</v>
      </c>
      <c r="AY9" s="58">
        <v>358.53</v>
      </c>
      <c r="AZ9" s="65">
        <f t="shared" si="19"/>
        <v>29.999999999972715</v>
      </c>
      <c r="BA9" s="58">
        <v>379.38</v>
      </c>
      <c r="BB9" s="65">
        <f t="shared" si="20"/>
        <v>19.99999999998181</v>
      </c>
      <c r="BC9" s="58">
        <v>238.3</v>
      </c>
      <c r="BD9" s="65">
        <f t="shared" si="21"/>
        <v>170.00000000001592</v>
      </c>
      <c r="BE9" s="59">
        <v>37376</v>
      </c>
      <c r="BF9" s="67">
        <f t="shared" si="39"/>
        <v>47</v>
      </c>
      <c r="BG9" s="60">
        <v>230.88</v>
      </c>
      <c r="BH9" s="65">
        <f t="shared" si="22"/>
        <v>39.999999999992042</v>
      </c>
      <c r="BI9" s="60">
        <v>290.14999999999998</v>
      </c>
      <c r="BJ9" s="65">
        <f t="shared" si="40"/>
        <v>49.999999999954525</v>
      </c>
      <c r="BK9" s="60">
        <v>234.11</v>
      </c>
      <c r="BL9" s="65">
        <f t="shared" si="23"/>
        <v>40.000000000020464</v>
      </c>
      <c r="BM9" s="60">
        <v>220.57</v>
      </c>
      <c r="BN9" s="65">
        <f t="shared" si="24"/>
        <v>60.000000000002274</v>
      </c>
      <c r="BO9" s="60">
        <v>285.2</v>
      </c>
      <c r="BP9" s="65">
        <f t="shared" si="25"/>
        <v>29.999999999972715</v>
      </c>
      <c r="BQ9" s="60">
        <v>43058</v>
      </c>
      <c r="BR9" s="65">
        <f t="shared" si="26"/>
        <v>27</v>
      </c>
      <c r="BS9" s="60">
        <v>198.56</v>
      </c>
      <c r="BT9" s="65">
        <f t="shared" si="42"/>
        <v>39.999999999992042</v>
      </c>
      <c r="BU9" s="60">
        <v>37043</v>
      </c>
      <c r="BV9" s="65">
        <f t="shared" si="27"/>
        <v>51</v>
      </c>
      <c r="BW9" s="60">
        <v>229.67</v>
      </c>
      <c r="BX9" s="65">
        <f t="shared" si="28"/>
        <v>30.000000000001137</v>
      </c>
      <c r="BY9" s="60">
        <v>56246</v>
      </c>
      <c r="BZ9" s="67">
        <f t="shared" si="29"/>
        <v>51</v>
      </c>
      <c r="CA9" s="60">
        <v>29164.9</v>
      </c>
      <c r="CB9" s="67">
        <f t="shared" si="30"/>
        <v>29.900000000001455</v>
      </c>
      <c r="CC9" s="60">
        <v>11394.4</v>
      </c>
      <c r="CD9" s="67">
        <f>IF((CC9-CC8&lt;0), "",CC9-CC8)</f>
        <v>5.3999999999996362</v>
      </c>
      <c r="CE9" s="60">
        <v>5816.4</v>
      </c>
      <c r="CF9" s="67">
        <f t="shared" si="32"/>
        <v>11.199999999999818</v>
      </c>
      <c r="CG9" s="60">
        <v>56825.599999999999</v>
      </c>
      <c r="CH9" s="67">
        <f t="shared" si="33"/>
        <v>33.099999999998545</v>
      </c>
      <c r="CI9" s="60">
        <v>924226.3</v>
      </c>
      <c r="CJ9" s="67">
        <f t="shared" si="34"/>
        <v>377.30000000004657</v>
      </c>
      <c r="CK9" s="60">
        <v>706.23</v>
      </c>
      <c r="CL9" s="64">
        <f t="shared" si="35"/>
        <v>740.00000000000909</v>
      </c>
      <c r="CM9" s="65">
        <f t="shared" si="0"/>
        <v>38</v>
      </c>
      <c r="CN9" s="62">
        <v>0</v>
      </c>
      <c r="CO9" s="62">
        <v>0</v>
      </c>
      <c r="CP9" s="68">
        <v>5491</v>
      </c>
      <c r="CQ9" s="67">
        <f t="shared" si="36"/>
        <v>19</v>
      </c>
      <c r="CR9" s="68">
        <v>12607</v>
      </c>
      <c r="CS9" s="67">
        <f t="shared" si="36"/>
        <v>19</v>
      </c>
      <c r="CT9" s="75">
        <v>5327</v>
      </c>
      <c r="CU9" s="67">
        <f t="shared" si="36"/>
        <v>11</v>
      </c>
      <c r="CV9" s="68">
        <v>13428</v>
      </c>
      <c r="CW9" s="67">
        <f t="shared" si="36"/>
        <v>14</v>
      </c>
    </row>
    <row r="10" spans="1:101" ht="25.5" customHeight="1" thickBot="1" x14ac:dyDescent="0.45">
      <c r="A10" s="63">
        <v>44292</v>
      </c>
      <c r="B10" s="44"/>
      <c r="C10" s="58">
        <v>2.1255000000000002</v>
      </c>
      <c r="D10" s="64">
        <f t="shared" si="1"/>
        <v>2200.0000000002019</v>
      </c>
      <c r="E10" s="58">
        <v>3.0190999999999999</v>
      </c>
      <c r="F10" s="64">
        <f t="shared" si="2"/>
        <v>2899.9999999999027</v>
      </c>
      <c r="G10" s="58">
        <v>3.1046999999999998</v>
      </c>
      <c r="H10" s="64">
        <f t="shared" si="3"/>
        <v>2899.9999999999027</v>
      </c>
      <c r="I10" s="58">
        <v>1.5256000000000001</v>
      </c>
      <c r="J10" s="64">
        <f t="shared" si="4"/>
        <v>1400.0000000000678</v>
      </c>
      <c r="K10" s="58">
        <v>2.4742999999999999</v>
      </c>
      <c r="L10" s="64">
        <f t="shared" si="37"/>
        <v>2199.9999999997576</v>
      </c>
      <c r="M10" s="58">
        <v>1.3803000000000001</v>
      </c>
      <c r="N10" s="64">
        <f t="shared" si="5"/>
        <v>1100.000000000101</v>
      </c>
      <c r="O10" s="58">
        <v>13447</v>
      </c>
      <c r="P10" s="67">
        <f t="shared" si="6"/>
        <v>24</v>
      </c>
      <c r="Q10" s="58">
        <v>652</v>
      </c>
      <c r="R10" s="67">
        <f t="shared" si="7"/>
        <v>7</v>
      </c>
      <c r="S10" s="58">
        <v>927369.6</v>
      </c>
      <c r="T10" s="67">
        <f t="shared" si="8"/>
        <v>1019.7999999999302</v>
      </c>
      <c r="U10" s="58">
        <v>388606</v>
      </c>
      <c r="V10" s="67">
        <f t="shared" si="38"/>
        <v>466.70000000001164</v>
      </c>
      <c r="W10" s="58">
        <v>372.97</v>
      </c>
      <c r="X10" s="65">
        <f t="shared" si="41"/>
        <v>310.00000000000227</v>
      </c>
      <c r="Y10" s="58">
        <v>2.6326999999999998</v>
      </c>
      <c r="Z10" s="65">
        <f t="shared" si="9"/>
        <v>2599.9999999997135</v>
      </c>
      <c r="AA10" s="58">
        <v>369.53</v>
      </c>
      <c r="AB10" s="65">
        <f t="shared" si="10"/>
        <v>429.99999999994998</v>
      </c>
      <c r="AC10" s="58">
        <v>352.02</v>
      </c>
      <c r="AD10" s="65">
        <f t="shared" si="11"/>
        <v>189.99999999999773</v>
      </c>
      <c r="AE10" s="58">
        <v>542.63</v>
      </c>
      <c r="AF10" s="65">
        <f t="shared" si="12"/>
        <v>360.00000000001364</v>
      </c>
      <c r="AG10" s="58">
        <v>1567</v>
      </c>
      <c r="AH10" s="67">
        <f t="shared" si="13"/>
        <v>36</v>
      </c>
      <c r="AI10" s="58">
        <v>553.70000000000005</v>
      </c>
      <c r="AJ10" s="65">
        <f t="shared" si="14"/>
        <v>850.00000000002274</v>
      </c>
      <c r="AK10" s="58">
        <v>187.63</v>
      </c>
      <c r="AL10" s="65">
        <f t="shared" si="14"/>
        <v>219.99999999999886</v>
      </c>
      <c r="AM10" s="58">
        <v>182.75</v>
      </c>
      <c r="AN10" s="65">
        <f t="shared" si="14"/>
        <v>69.999999999993179</v>
      </c>
      <c r="AO10" s="58">
        <v>177.31</v>
      </c>
      <c r="AP10" s="65">
        <f t="shared" si="14"/>
        <v>99.999999999994316</v>
      </c>
      <c r="AQ10" s="58">
        <v>236.5</v>
      </c>
      <c r="AR10" s="65">
        <f t="shared" si="15"/>
        <v>110.00000000001364</v>
      </c>
      <c r="AS10" s="58">
        <v>361.38</v>
      </c>
      <c r="AT10" s="65">
        <f t="shared" si="16"/>
        <v>209.99999999997954</v>
      </c>
      <c r="AU10" s="58">
        <v>278.38</v>
      </c>
      <c r="AV10" s="65">
        <f t="shared" si="17"/>
        <v>120.00000000000455</v>
      </c>
      <c r="AW10" s="58">
        <v>313.61</v>
      </c>
      <c r="AX10" s="65">
        <f t="shared" si="18"/>
        <v>50.000000000011369</v>
      </c>
      <c r="AY10" s="58">
        <v>358.56</v>
      </c>
      <c r="AZ10" s="65">
        <f t="shared" si="19"/>
        <v>30.000000000029559</v>
      </c>
      <c r="BA10" s="58">
        <v>379.39</v>
      </c>
      <c r="BB10" s="65">
        <f t="shared" si="20"/>
        <v>9.9999999999909051</v>
      </c>
      <c r="BC10" s="58">
        <v>238.47</v>
      </c>
      <c r="BD10" s="65">
        <f t="shared" si="21"/>
        <v>169.99999999998749</v>
      </c>
      <c r="BE10" s="59">
        <v>37412</v>
      </c>
      <c r="BF10" s="67">
        <f t="shared" si="39"/>
        <v>36</v>
      </c>
      <c r="BG10" s="60">
        <v>230.93</v>
      </c>
      <c r="BH10" s="65">
        <f t="shared" si="22"/>
        <v>50.000000000011369</v>
      </c>
      <c r="BI10" s="60">
        <v>290.19</v>
      </c>
      <c r="BJ10" s="65">
        <f t="shared" si="40"/>
        <v>40.000000000020464</v>
      </c>
      <c r="BK10" s="60">
        <v>234.13</v>
      </c>
      <c r="BL10" s="65">
        <f t="shared" si="23"/>
        <v>19.99999999998181</v>
      </c>
      <c r="BM10" s="60">
        <v>220.61</v>
      </c>
      <c r="BN10" s="65">
        <f t="shared" si="24"/>
        <v>40.000000000020464</v>
      </c>
      <c r="BO10" s="60">
        <v>285.23</v>
      </c>
      <c r="BP10" s="65">
        <f t="shared" si="25"/>
        <v>30.000000000029559</v>
      </c>
      <c r="BQ10" s="60">
        <v>43083</v>
      </c>
      <c r="BR10" s="65">
        <f t="shared" si="26"/>
        <v>25</v>
      </c>
      <c r="BS10" s="60">
        <v>198.6</v>
      </c>
      <c r="BT10" s="65">
        <f t="shared" si="42"/>
        <v>39.999999999992042</v>
      </c>
      <c r="BU10" s="60">
        <v>37087</v>
      </c>
      <c r="BV10" s="65">
        <f t="shared" si="27"/>
        <v>44</v>
      </c>
      <c r="BW10" s="60">
        <v>229.7</v>
      </c>
      <c r="BX10" s="65">
        <f t="shared" si="28"/>
        <v>30.000000000001137</v>
      </c>
      <c r="BY10" s="60">
        <v>56294</v>
      </c>
      <c r="BZ10" s="67">
        <f t="shared" si="29"/>
        <v>48</v>
      </c>
      <c r="CA10" s="60">
        <v>29194.7</v>
      </c>
      <c r="CB10" s="67">
        <f t="shared" si="30"/>
        <v>29.799999999999272</v>
      </c>
      <c r="CC10" s="60">
        <v>11405.9</v>
      </c>
      <c r="CD10" s="67">
        <f>IF((CC10-CC9&lt;0), "",CC10-CC9)</f>
        <v>11.5</v>
      </c>
      <c r="CE10" s="60">
        <v>5823.4</v>
      </c>
      <c r="CF10" s="67">
        <f t="shared" si="32"/>
        <v>7</v>
      </c>
      <c r="CG10" s="60">
        <v>56873.3</v>
      </c>
      <c r="CH10" s="67">
        <f t="shared" si="33"/>
        <v>47.700000000004366</v>
      </c>
      <c r="CI10" s="60">
        <v>924593</v>
      </c>
      <c r="CJ10" s="67">
        <f t="shared" si="34"/>
        <v>366.69999999995343</v>
      </c>
      <c r="CK10" s="60">
        <v>706.95</v>
      </c>
      <c r="CL10" s="64">
        <f t="shared" si="35"/>
        <v>720.00000000002728</v>
      </c>
      <c r="CM10" s="65">
        <f t="shared" si="0"/>
        <v>73</v>
      </c>
      <c r="CN10" s="62">
        <v>0</v>
      </c>
      <c r="CO10" s="62">
        <v>0</v>
      </c>
      <c r="CP10" s="68">
        <v>5535</v>
      </c>
      <c r="CQ10" s="67">
        <f>IF((CP10-CP9&lt;0), "",CP10-CP9)</f>
        <v>44</v>
      </c>
      <c r="CR10" s="68">
        <v>12636</v>
      </c>
      <c r="CS10" s="67">
        <f t="shared" si="36"/>
        <v>29</v>
      </c>
      <c r="CT10" s="75">
        <v>5340</v>
      </c>
      <c r="CU10" s="67">
        <f t="shared" si="36"/>
        <v>13</v>
      </c>
      <c r="CV10" s="68">
        <v>13441</v>
      </c>
      <c r="CW10" s="67">
        <f t="shared" si="36"/>
        <v>13</v>
      </c>
    </row>
    <row r="11" spans="1:101" ht="25.5" customHeight="1" thickBot="1" x14ac:dyDescent="0.45">
      <c r="A11" s="63">
        <v>44293</v>
      </c>
      <c r="B11" s="44"/>
      <c r="C11" s="58">
        <v>2.1280999999999999</v>
      </c>
      <c r="D11" s="64">
        <f t="shared" si="1"/>
        <v>2599.9999999997135</v>
      </c>
      <c r="E11" s="58">
        <v>3.0224000000000002</v>
      </c>
      <c r="F11" s="64">
        <f t="shared" si="2"/>
        <v>3300.0000000003029</v>
      </c>
      <c r="G11" s="58">
        <v>3.1076999999999999</v>
      </c>
      <c r="H11" s="64">
        <f t="shared" si="3"/>
        <v>3000.0000000001137</v>
      </c>
      <c r="I11" s="58">
        <v>1.5271999999999999</v>
      </c>
      <c r="J11" s="64">
        <f t="shared" si="4"/>
        <v>1599.9999999998238</v>
      </c>
      <c r="K11" s="58">
        <v>2.4767000000000001</v>
      </c>
      <c r="L11" s="64">
        <f t="shared" si="37"/>
        <v>2400.0000000001796</v>
      </c>
      <c r="M11" s="58">
        <v>1.3813</v>
      </c>
      <c r="N11" s="64">
        <f t="shared" si="5"/>
        <v>999.99999999988984</v>
      </c>
      <c r="O11" s="58">
        <v>13482</v>
      </c>
      <c r="P11" s="67">
        <f t="shared" ref="P11:P34" si="43">IF((O11-O10&lt;0), "",O11-O10)</f>
        <v>35</v>
      </c>
      <c r="Q11" s="58">
        <v>660</v>
      </c>
      <c r="R11" s="67">
        <f t="shared" si="7"/>
        <v>8</v>
      </c>
      <c r="S11" s="58">
        <v>928495.6</v>
      </c>
      <c r="T11" s="67">
        <f t="shared" si="8"/>
        <v>1126</v>
      </c>
      <c r="U11" s="58">
        <v>389121.3</v>
      </c>
      <c r="V11" s="67">
        <f t="shared" si="38"/>
        <v>515.29999999998836</v>
      </c>
      <c r="W11" s="58">
        <v>373.28</v>
      </c>
      <c r="X11" s="65">
        <f t="shared" si="41"/>
        <v>309.99999999994543</v>
      </c>
      <c r="Y11" s="58">
        <v>2.6358000000000001</v>
      </c>
      <c r="Z11" s="65">
        <f t="shared" si="9"/>
        <v>3100.0000000003247</v>
      </c>
      <c r="AA11" s="58">
        <v>369.79</v>
      </c>
      <c r="AB11" s="65">
        <f t="shared" si="10"/>
        <v>260.00000000004775</v>
      </c>
      <c r="AC11" s="58">
        <v>352.19</v>
      </c>
      <c r="AD11" s="65">
        <f t="shared" si="11"/>
        <v>170.00000000001592</v>
      </c>
      <c r="AE11" s="58">
        <v>543.02</v>
      </c>
      <c r="AF11" s="65">
        <f t="shared" si="12"/>
        <v>389.99999999998636</v>
      </c>
      <c r="AG11" s="58">
        <v>1609</v>
      </c>
      <c r="AH11" s="67">
        <f t="shared" si="13"/>
        <v>42</v>
      </c>
      <c r="AI11" s="58">
        <v>554.87</v>
      </c>
      <c r="AJ11" s="65">
        <f t="shared" si="14"/>
        <v>1169.9999999999591</v>
      </c>
      <c r="AK11" s="58">
        <v>187.85</v>
      </c>
      <c r="AL11" s="65">
        <f t="shared" si="14"/>
        <v>219.99999999999886</v>
      </c>
      <c r="AM11" s="58">
        <v>182.85</v>
      </c>
      <c r="AN11" s="65">
        <f t="shared" si="14"/>
        <v>99.999999999994316</v>
      </c>
      <c r="AO11" s="58">
        <v>177.36</v>
      </c>
      <c r="AP11" s="65">
        <f t="shared" si="14"/>
        <v>50.000000000011369</v>
      </c>
      <c r="AQ11" s="58">
        <v>236.64</v>
      </c>
      <c r="AR11" s="65">
        <f t="shared" si="15"/>
        <v>139.99999999998636</v>
      </c>
      <c r="AS11" s="58">
        <v>361.62</v>
      </c>
      <c r="AT11" s="65">
        <f t="shared" si="16"/>
        <v>240.00000000000909</v>
      </c>
      <c r="AU11" s="58">
        <v>278.54000000000002</v>
      </c>
      <c r="AV11" s="65">
        <f t="shared" si="17"/>
        <v>160.00000000002501</v>
      </c>
      <c r="AW11" s="58">
        <v>313.66000000000003</v>
      </c>
      <c r="AX11" s="65">
        <f t="shared" si="18"/>
        <v>50.000000000011369</v>
      </c>
      <c r="AY11" s="58">
        <v>358.59</v>
      </c>
      <c r="AZ11" s="65">
        <f t="shared" si="19"/>
        <v>29.999999999972715</v>
      </c>
      <c r="BA11" s="58">
        <v>379.41</v>
      </c>
      <c r="BB11" s="65">
        <f t="shared" si="20"/>
        <v>20.000000000038654</v>
      </c>
      <c r="BC11" s="58">
        <v>238.65</v>
      </c>
      <c r="BD11" s="65">
        <f>IF((BC11-BC10&lt;0), "",(BC11-BC10)*1000)</f>
        <v>180.00000000000682</v>
      </c>
      <c r="BE11" s="59">
        <v>37437</v>
      </c>
      <c r="BF11" s="67">
        <f t="shared" si="39"/>
        <v>25</v>
      </c>
      <c r="BG11" s="60">
        <v>230.98</v>
      </c>
      <c r="BH11" s="65">
        <f t="shared" si="22"/>
        <v>49.999999999982947</v>
      </c>
      <c r="BI11" s="60">
        <v>290.23</v>
      </c>
      <c r="BJ11" s="65">
        <f t="shared" si="40"/>
        <v>40.000000000020464</v>
      </c>
      <c r="BK11" s="60">
        <v>234.17</v>
      </c>
      <c r="BL11" s="65">
        <f t="shared" si="23"/>
        <v>39.999999999992042</v>
      </c>
      <c r="BM11" s="60">
        <v>220.67</v>
      </c>
      <c r="BN11" s="65">
        <f t="shared" si="24"/>
        <v>59.999999999973852</v>
      </c>
      <c r="BO11" s="60">
        <v>285.26</v>
      </c>
      <c r="BP11" s="65">
        <f t="shared" si="25"/>
        <v>29.999999999972715</v>
      </c>
      <c r="BQ11" s="60">
        <v>43119</v>
      </c>
      <c r="BR11" s="65">
        <f t="shared" si="26"/>
        <v>36</v>
      </c>
      <c r="BS11" s="60">
        <v>198.64</v>
      </c>
      <c r="BT11" s="65">
        <f t="shared" si="42"/>
        <v>39.999999999992042</v>
      </c>
      <c r="BU11" s="60">
        <v>37143</v>
      </c>
      <c r="BV11" s="65">
        <f t="shared" si="27"/>
        <v>56</v>
      </c>
      <c r="BW11" s="60">
        <v>229.73</v>
      </c>
      <c r="BX11" s="65">
        <f t="shared" si="28"/>
        <v>30.000000000001137</v>
      </c>
      <c r="BY11" s="60">
        <v>56348</v>
      </c>
      <c r="BZ11" s="67">
        <f t="shared" si="29"/>
        <v>54</v>
      </c>
      <c r="CA11" s="60">
        <v>29219.8</v>
      </c>
      <c r="CB11" s="67">
        <f t="shared" si="30"/>
        <v>25.099999999998545</v>
      </c>
      <c r="CC11" s="60">
        <v>11422.4</v>
      </c>
      <c r="CD11" s="67">
        <f t="shared" si="31"/>
        <v>16.5</v>
      </c>
      <c r="CE11" s="60">
        <v>5824.1</v>
      </c>
      <c r="CF11" s="67">
        <f t="shared" si="32"/>
        <v>0.7000000000007276</v>
      </c>
      <c r="CG11" s="60">
        <v>56913.4</v>
      </c>
      <c r="CH11" s="67">
        <f t="shared" si="33"/>
        <v>40.099999999998545</v>
      </c>
      <c r="CI11" s="60">
        <v>924919</v>
      </c>
      <c r="CJ11" s="67">
        <f t="shared" si="34"/>
        <v>326</v>
      </c>
      <c r="CK11" s="60">
        <v>707.6</v>
      </c>
      <c r="CL11" s="64">
        <f t="shared" si="35"/>
        <v>649.99999999997726</v>
      </c>
      <c r="CM11" s="65">
        <f t="shared" si="0"/>
        <v>59</v>
      </c>
      <c r="CN11" s="62">
        <v>0</v>
      </c>
      <c r="CO11" s="62">
        <v>0</v>
      </c>
      <c r="CP11" s="68">
        <v>5589</v>
      </c>
      <c r="CQ11" s="67">
        <f>IF((CP11-CP10&lt;0), "",CP11-CP10)</f>
        <v>54</v>
      </c>
      <c r="CR11" s="68">
        <v>12641</v>
      </c>
      <c r="CS11" s="67">
        <f t="shared" si="36"/>
        <v>5</v>
      </c>
      <c r="CT11" s="75">
        <v>5357</v>
      </c>
      <c r="CU11" s="67">
        <f t="shared" si="36"/>
        <v>17</v>
      </c>
      <c r="CV11" s="68">
        <v>13457</v>
      </c>
      <c r="CW11" s="67">
        <f t="shared" si="36"/>
        <v>16</v>
      </c>
    </row>
    <row r="12" spans="1:101" ht="25.5" customHeight="1" thickBot="1" x14ac:dyDescent="0.45">
      <c r="A12" s="63">
        <v>44294</v>
      </c>
      <c r="B12" s="44"/>
      <c r="C12" s="58">
        <v>2.1303999999999998</v>
      </c>
      <c r="D12" s="64">
        <f t="shared" si="1"/>
        <v>2299.9999999999686</v>
      </c>
      <c r="E12" s="58">
        <v>3.0255000000000001</v>
      </c>
      <c r="F12" s="64">
        <f t="shared" si="2"/>
        <v>3099.9999999998809</v>
      </c>
      <c r="G12" s="58">
        <v>3.1101000000000001</v>
      </c>
      <c r="H12" s="64">
        <f t="shared" si="3"/>
        <v>2400.0000000001796</v>
      </c>
      <c r="I12" s="58">
        <v>1.5285</v>
      </c>
      <c r="J12" s="64">
        <f t="shared" si="4"/>
        <v>1300.0000000000789</v>
      </c>
      <c r="K12" s="58">
        <v>2.4786999999999999</v>
      </c>
      <c r="L12" s="64">
        <f t="shared" si="37"/>
        <v>1999.9999999997797</v>
      </c>
      <c r="M12" s="58">
        <v>1.3823000000000001</v>
      </c>
      <c r="N12" s="64">
        <f t="shared" si="5"/>
        <v>1000.0000000001119</v>
      </c>
      <c r="O12" s="58">
        <v>13495</v>
      </c>
      <c r="P12" s="67">
        <f t="shared" si="43"/>
        <v>13</v>
      </c>
      <c r="Q12" s="58">
        <v>666</v>
      </c>
      <c r="R12" s="67">
        <f t="shared" si="7"/>
        <v>6</v>
      </c>
      <c r="S12" s="58">
        <v>929359.4</v>
      </c>
      <c r="T12" s="67">
        <f t="shared" si="8"/>
        <v>863.80000000004657</v>
      </c>
      <c r="U12" s="58">
        <v>389492.7</v>
      </c>
      <c r="V12" s="67">
        <f t="shared" si="38"/>
        <v>371.40000000002328</v>
      </c>
      <c r="W12" s="58">
        <v>373.6</v>
      </c>
      <c r="X12" s="65">
        <f t="shared" si="41"/>
        <v>320.00000000005002</v>
      </c>
      <c r="Y12" s="58">
        <v>2.6387</v>
      </c>
      <c r="Z12" s="65">
        <f t="shared" si="9"/>
        <v>2899.9999999999027</v>
      </c>
      <c r="AA12" s="58">
        <v>370.23</v>
      </c>
      <c r="AB12" s="65">
        <f t="shared" si="10"/>
        <v>439.99999999999773</v>
      </c>
      <c r="AC12" s="58">
        <v>352.39</v>
      </c>
      <c r="AD12" s="65">
        <f t="shared" si="11"/>
        <v>199.99999999998863</v>
      </c>
      <c r="AE12" s="58">
        <v>543.29999999999995</v>
      </c>
      <c r="AF12" s="65">
        <f t="shared" si="12"/>
        <v>279.99999999997272</v>
      </c>
      <c r="AG12" s="58">
        <v>1644</v>
      </c>
      <c r="AH12" s="67">
        <f t="shared" si="13"/>
        <v>35</v>
      </c>
      <c r="AI12" s="58">
        <v>555.87</v>
      </c>
      <c r="AJ12" s="65">
        <f t="shared" si="14"/>
        <v>1000</v>
      </c>
      <c r="AK12" s="58">
        <v>188.11</v>
      </c>
      <c r="AL12" s="65">
        <f t="shared" si="14"/>
        <v>260.00000000001933</v>
      </c>
      <c r="AM12" s="58">
        <v>182.89</v>
      </c>
      <c r="AN12" s="65">
        <f t="shared" si="14"/>
        <v>39.999999999992042</v>
      </c>
      <c r="AO12" s="58">
        <v>177.55</v>
      </c>
      <c r="AP12" s="65">
        <f t="shared" si="14"/>
        <v>189.99999999999773</v>
      </c>
      <c r="AQ12" s="58">
        <v>236.73</v>
      </c>
      <c r="AR12" s="65">
        <f t="shared" si="15"/>
        <v>90.000000000003411</v>
      </c>
      <c r="AS12" s="58">
        <v>361.79</v>
      </c>
      <c r="AT12" s="65">
        <f t="shared" si="16"/>
        <v>170.00000000001592</v>
      </c>
      <c r="AU12" s="58">
        <v>278.72000000000003</v>
      </c>
      <c r="AV12" s="65">
        <f t="shared" si="17"/>
        <v>180.00000000000682</v>
      </c>
      <c r="AW12" s="58">
        <v>313.69</v>
      </c>
      <c r="AX12" s="65">
        <f t="shared" si="18"/>
        <v>29.999999999972715</v>
      </c>
      <c r="AY12" s="58">
        <v>358.61</v>
      </c>
      <c r="AZ12" s="65">
        <f t="shared" si="19"/>
        <v>20.000000000038654</v>
      </c>
      <c r="BA12" s="58">
        <v>379.43</v>
      </c>
      <c r="BB12" s="65">
        <f t="shared" si="20"/>
        <v>19.99999999998181</v>
      </c>
      <c r="BC12" s="58">
        <v>238.78</v>
      </c>
      <c r="BD12" s="65">
        <f t="shared" si="21"/>
        <v>129.99999999999545</v>
      </c>
      <c r="BE12" s="59">
        <v>37468</v>
      </c>
      <c r="BF12" s="67">
        <f t="shared" si="39"/>
        <v>31</v>
      </c>
      <c r="BG12" s="60">
        <v>231.02</v>
      </c>
      <c r="BH12" s="65">
        <f t="shared" si="22"/>
        <v>40.000000000020464</v>
      </c>
      <c r="BI12" s="60">
        <v>290.27</v>
      </c>
      <c r="BJ12" s="65">
        <f t="shared" si="40"/>
        <v>39.99999999996362</v>
      </c>
      <c r="BK12" s="60">
        <v>234.19</v>
      </c>
      <c r="BL12" s="65">
        <f t="shared" si="23"/>
        <v>20.000000000010232</v>
      </c>
      <c r="BM12" s="60">
        <v>220.71</v>
      </c>
      <c r="BN12" s="65">
        <f t="shared" si="24"/>
        <v>40.000000000020464</v>
      </c>
      <c r="BO12" s="60">
        <v>285.29000000000002</v>
      </c>
      <c r="BP12" s="65">
        <f t="shared" si="25"/>
        <v>30.000000000029559</v>
      </c>
      <c r="BQ12" s="60">
        <v>43145</v>
      </c>
      <c r="BR12" s="65">
        <f t="shared" si="26"/>
        <v>26</v>
      </c>
      <c r="BS12" s="60">
        <v>198.68</v>
      </c>
      <c r="BT12" s="65">
        <f t="shared" si="42"/>
        <v>40.000000000020464</v>
      </c>
      <c r="BU12" s="60">
        <v>37187</v>
      </c>
      <c r="BV12" s="65">
        <f t="shared" si="27"/>
        <v>44</v>
      </c>
      <c r="BW12" s="60">
        <v>229.75</v>
      </c>
      <c r="BX12" s="65">
        <f t="shared" si="28"/>
        <v>20.000000000010232</v>
      </c>
      <c r="BY12" s="60">
        <v>56406</v>
      </c>
      <c r="BZ12" s="67">
        <f t="shared" si="29"/>
        <v>58</v>
      </c>
      <c r="CA12" s="60">
        <v>29243.7</v>
      </c>
      <c r="CB12" s="67">
        <f t="shared" si="30"/>
        <v>23.900000000001455</v>
      </c>
      <c r="CC12" s="60">
        <v>11426.7</v>
      </c>
      <c r="CD12" s="67">
        <f t="shared" si="31"/>
        <v>4.3000000000010914</v>
      </c>
      <c r="CE12" s="60">
        <v>5834.2</v>
      </c>
      <c r="CF12" s="67">
        <f t="shared" si="32"/>
        <v>10.099999999999454</v>
      </c>
      <c r="CG12" s="60">
        <v>56942.7</v>
      </c>
      <c r="CH12" s="67">
        <f t="shared" si="33"/>
        <v>29.299999999995634</v>
      </c>
      <c r="CI12" s="60">
        <v>925206</v>
      </c>
      <c r="CJ12" s="67">
        <f t="shared" si="34"/>
        <v>287</v>
      </c>
      <c r="CK12" s="60">
        <v>708.25</v>
      </c>
      <c r="CL12" s="64">
        <f t="shared" si="35"/>
        <v>649.99999999997726</v>
      </c>
      <c r="CM12" s="65">
        <f t="shared" si="0"/>
        <v>53</v>
      </c>
      <c r="CN12" s="62">
        <v>0</v>
      </c>
      <c r="CO12" s="62">
        <v>0</v>
      </c>
      <c r="CP12" s="68">
        <v>5629</v>
      </c>
      <c r="CQ12" s="67">
        <f>IF((CP12-CP11&lt;0), "",CP12-CP11)</f>
        <v>40</v>
      </c>
      <c r="CR12" s="68">
        <v>12654</v>
      </c>
      <c r="CS12" s="67">
        <f t="shared" si="36"/>
        <v>13</v>
      </c>
      <c r="CT12" s="75">
        <v>5374</v>
      </c>
      <c r="CU12" s="67">
        <f t="shared" si="36"/>
        <v>17</v>
      </c>
      <c r="CV12" s="68">
        <v>13471</v>
      </c>
      <c r="CW12" s="67">
        <f t="shared" si="36"/>
        <v>14</v>
      </c>
    </row>
    <row r="13" spans="1:101" ht="25.5" customHeight="1" thickBot="1" x14ac:dyDescent="0.45">
      <c r="A13" s="63">
        <v>44295</v>
      </c>
      <c r="B13" s="44"/>
      <c r="C13" s="58">
        <v>2.1328999999999998</v>
      </c>
      <c r="D13" s="64">
        <f t="shared" si="1"/>
        <v>2499.9999999999468</v>
      </c>
      <c r="E13" s="58">
        <v>3.0287000000000002</v>
      </c>
      <c r="F13" s="64">
        <f t="shared" si="2"/>
        <v>3200.0000000000919</v>
      </c>
      <c r="G13" s="58">
        <v>3.1128999999999998</v>
      </c>
      <c r="H13" s="64">
        <f t="shared" si="3"/>
        <v>2799.9999999996917</v>
      </c>
      <c r="I13" s="58">
        <v>1.53</v>
      </c>
      <c r="J13" s="64">
        <f t="shared" si="4"/>
        <v>1500.0000000000568</v>
      </c>
      <c r="K13" s="58">
        <v>2.4809000000000001</v>
      </c>
      <c r="L13" s="64">
        <f t="shared" si="37"/>
        <v>2200.0000000002019</v>
      </c>
      <c r="M13" s="58">
        <v>1.3834</v>
      </c>
      <c r="N13" s="64">
        <f t="shared" si="5"/>
        <v>1099.9999999998788</v>
      </c>
      <c r="O13" s="58">
        <v>13513</v>
      </c>
      <c r="P13" s="67">
        <f t="shared" si="43"/>
        <v>18</v>
      </c>
      <c r="Q13" s="58">
        <v>672</v>
      </c>
      <c r="R13" s="67">
        <f t="shared" si="7"/>
        <v>6</v>
      </c>
      <c r="S13" s="58">
        <v>930272.1</v>
      </c>
      <c r="T13" s="67">
        <f t="shared" si="8"/>
        <v>912.69999999995343</v>
      </c>
      <c r="U13" s="58">
        <v>389949.5</v>
      </c>
      <c r="V13" s="67">
        <f t="shared" si="38"/>
        <v>456.79999999998836</v>
      </c>
      <c r="W13" s="58">
        <v>373.89</v>
      </c>
      <c r="X13" s="65">
        <f t="shared" si="41"/>
        <v>289.99999999996362</v>
      </c>
      <c r="Y13" s="58">
        <v>2.6415000000000002</v>
      </c>
      <c r="Z13" s="65">
        <f t="shared" si="9"/>
        <v>2800.0000000001355</v>
      </c>
      <c r="AA13" s="58">
        <v>370.59</v>
      </c>
      <c r="AB13" s="65">
        <f t="shared" si="10"/>
        <v>359.9999999999568</v>
      </c>
      <c r="AC13" s="58">
        <v>352.64</v>
      </c>
      <c r="AD13" s="65">
        <f t="shared" si="11"/>
        <v>250</v>
      </c>
      <c r="AE13" s="58">
        <v>543.59</v>
      </c>
      <c r="AF13" s="65">
        <f t="shared" si="12"/>
        <v>290.00000000007731</v>
      </c>
      <c r="AG13" s="58">
        <v>1684</v>
      </c>
      <c r="AH13" s="67">
        <f t="shared" si="13"/>
        <v>40</v>
      </c>
      <c r="AI13" s="58">
        <v>556.58000000000004</v>
      </c>
      <c r="AJ13" s="65">
        <f t="shared" si="14"/>
        <v>710.00000000003638</v>
      </c>
      <c r="AK13" s="58">
        <v>188.36</v>
      </c>
      <c r="AL13" s="65">
        <f t="shared" si="14"/>
        <v>250</v>
      </c>
      <c r="AM13" s="58">
        <v>183.06</v>
      </c>
      <c r="AN13" s="65">
        <f t="shared" si="14"/>
        <v>170.00000000001592</v>
      </c>
      <c r="AO13" s="58">
        <v>177.75</v>
      </c>
      <c r="AP13" s="65">
        <f t="shared" si="14"/>
        <v>199.99999999998863</v>
      </c>
      <c r="AQ13" s="58">
        <v>236.82</v>
      </c>
      <c r="AR13" s="65">
        <f t="shared" si="15"/>
        <v>90.000000000003411</v>
      </c>
      <c r="AS13" s="58">
        <v>361.87</v>
      </c>
      <c r="AT13" s="65">
        <f t="shared" si="16"/>
        <v>79.999999999984084</v>
      </c>
      <c r="AU13" s="58">
        <v>278.93</v>
      </c>
      <c r="AV13" s="65">
        <f t="shared" si="17"/>
        <v>209.99999999997954</v>
      </c>
      <c r="AW13" s="58">
        <v>313.89</v>
      </c>
      <c r="AX13" s="65">
        <f t="shared" si="18"/>
        <v>199.99999999998863</v>
      </c>
      <c r="AY13" s="58">
        <v>358.64</v>
      </c>
      <c r="AZ13" s="65">
        <f t="shared" si="19"/>
        <v>29.999999999972715</v>
      </c>
      <c r="BA13" s="58">
        <v>379.44</v>
      </c>
      <c r="BB13" s="65">
        <f t="shared" si="20"/>
        <v>9.9999999999909051</v>
      </c>
      <c r="BC13" s="58">
        <v>238.94</v>
      </c>
      <c r="BD13" s="65">
        <f t="shared" si="21"/>
        <v>159.99999999999659</v>
      </c>
      <c r="BE13" s="59">
        <v>37527</v>
      </c>
      <c r="BF13" s="67">
        <f t="shared" si="39"/>
        <v>59</v>
      </c>
      <c r="BG13" s="60">
        <v>231.06</v>
      </c>
      <c r="BH13" s="65">
        <f t="shared" si="22"/>
        <v>39.999999999992042</v>
      </c>
      <c r="BI13" s="60">
        <v>290.3</v>
      </c>
      <c r="BJ13" s="65">
        <f t="shared" si="40"/>
        <v>30.000000000029559</v>
      </c>
      <c r="BK13" s="60">
        <v>234.22</v>
      </c>
      <c r="BL13" s="65">
        <f t="shared" si="23"/>
        <v>30.000000000001137</v>
      </c>
      <c r="BM13" s="60">
        <v>220.74</v>
      </c>
      <c r="BN13" s="65">
        <f t="shared" si="24"/>
        <v>30.000000000001137</v>
      </c>
      <c r="BO13" s="60">
        <v>285.32</v>
      </c>
      <c r="BP13" s="65">
        <f t="shared" si="25"/>
        <v>29.999999999972715</v>
      </c>
      <c r="BQ13" s="60">
        <v>43171</v>
      </c>
      <c r="BR13" s="65">
        <f t="shared" si="26"/>
        <v>26</v>
      </c>
      <c r="BS13" s="60">
        <v>198.72</v>
      </c>
      <c r="BT13" s="65">
        <f t="shared" si="42"/>
        <v>39.999999999992042</v>
      </c>
      <c r="BU13" s="60">
        <v>37222</v>
      </c>
      <c r="BV13" s="65">
        <f t="shared" si="27"/>
        <v>35</v>
      </c>
      <c r="BW13" s="60">
        <v>229.78</v>
      </c>
      <c r="BX13" s="65">
        <f t="shared" si="28"/>
        <v>30.000000000001137</v>
      </c>
      <c r="BY13" s="60">
        <v>56461</v>
      </c>
      <c r="BZ13" s="67">
        <f t="shared" si="29"/>
        <v>55</v>
      </c>
      <c r="CA13" s="60">
        <v>29265.5</v>
      </c>
      <c r="CB13" s="67">
        <f t="shared" si="30"/>
        <v>21.799999999999272</v>
      </c>
      <c r="CC13" s="60">
        <v>11433.4</v>
      </c>
      <c r="CD13" s="67">
        <f t="shared" si="31"/>
        <v>6.6999999999989086</v>
      </c>
      <c r="CE13" s="60">
        <v>5844.6</v>
      </c>
      <c r="CF13" s="67">
        <f t="shared" si="32"/>
        <v>10.400000000000546</v>
      </c>
      <c r="CG13" s="60">
        <v>56981.1</v>
      </c>
      <c r="CH13" s="67">
        <f t="shared" si="33"/>
        <v>38.400000000001455</v>
      </c>
      <c r="CI13" s="60">
        <v>925542</v>
      </c>
      <c r="CJ13" s="67">
        <f t="shared" si="34"/>
        <v>336</v>
      </c>
      <c r="CK13" s="60">
        <v>708.89</v>
      </c>
      <c r="CL13" s="64">
        <f t="shared" si="35"/>
        <v>639.99999999998636</v>
      </c>
      <c r="CM13" s="65">
        <f t="shared" si="0"/>
        <v>63</v>
      </c>
      <c r="CN13" s="62">
        <v>0</v>
      </c>
      <c r="CO13" s="62">
        <v>0</v>
      </c>
      <c r="CP13" s="68">
        <v>5679</v>
      </c>
      <c r="CQ13" s="67">
        <f>IF((CP13-CP12&lt;0), "",CP13-CP12)</f>
        <v>50</v>
      </c>
      <c r="CR13" s="68">
        <v>12667</v>
      </c>
      <c r="CS13" s="67">
        <f t="shared" si="36"/>
        <v>13</v>
      </c>
      <c r="CT13" s="75">
        <v>5389</v>
      </c>
      <c r="CU13" s="67">
        <f t="shared" si="36"/>
        <v>15</v>
      </c>
      <c r="CV13" s="68">
        <v>13484</v>
      </c>
      <c r="CW13" s="67">
        <f t="shared" si="36"/>
        <v>13</v>
      </c>
    </row>
    <row r="14" spans="1:101" ht="25.5" customHeight="1" thickBot="1" x14ac:dyDescent="0.45">
      <c r="A14" s="63">
        <v>44296</v>
      </c>
      <c r="B14" s="44"/>
      <c r="C14" s="58">
        <v>2.1354000000000002</v>
      </c>
      <c r="D14" s="64">
        <f t="shared" si="1"/>
        <v>2500.0000000003906</v>
      </c>
      <c r="E14" s="58">
        <v>3.0318999999999998</v>
      </c>
      <c r="F14" s="64">
        <f t="shared" si="2"/>
        <v>3199.9999999996476</v>
      </c>
      <c r="G14" s="58">
        <v>3.1158000000000001</v>
      </c>
      <c r="H14" s="64">
        <f t="shared" si="3"/>
        <v>2900.0000000003465</v>
      </c>
      <c r="I14" s="58">
        <v>1.5315000000000001</v>
      </c>
      <c r="J14" s="64">
        <f t="shared" si="4"/>
        <v>1500.0000000000568</v>
      </c>
      <c r="K14" s="58">
        <v>2.4830999999999999</v>
      </c>
      <c r="L14" s="64">
        <f t="shared" si="37"/>
        <v>2199.9999999997576</v>
      </c>
      <c r="M14" s="58">
        <v>1.3844000000000001</v>
      </c>
      <c r="N14" s="64">
        <f t="shared" si="5"/>
        <v>1000.0000000001119</v>
      </c>
      <c r="O14" s="58">
        <v>13533</v>
      </c>
      <c r="P14" s="67">
        <f t="shared" si="43"/>
        <v>20</v>
      </c>
      <c r="Q14" s="58">
        <v>680</v>
      </c>
      <c r="R14" s="67">
        <f t="shared" si="7"/>
        <v>8</v>
      </c>
      <c r="S14" s="58">
        <v>931154</v>
      </c>
      <c r="T14" s="67">
        <f t="shared" si="8"/>
        <v>881.90000000002328</v>
      </c>
      <c r="U14" s="58">
        <v>390360.3</v>
      </c>
      <c r="V14" s="67">
        <f t="shared" si="38"/>
        <v>410.79999999998836</v>
      </c>
      <c r="W14" s="58">
        <v>374.19</v>
      </c>
      <c r="X14" s="65">
        <f t="shared" si="41"/>
        <v>300.00000000001137</v>
      </c>
      <c r="Y14" s="58">
        <v>2.6444000000000001</v>
      </c>
      <c r="Z14" s="65">
        <f t="shared" si="9"/>
        <v>2899.9999999999027</v>
      </c>
      <c r="AA14" s="58">
        <v>371.13</v>
      </c>
      <c r="AB14" s="65">
        <f t="shared" si="10"/>
        <v>540.00000000002046</v>
      </c>
      <c r="AC14" s="58">
        <v>352.87</v>
      </c>
      <c r="AD14" s="65">
        <f t="shared" si="11"/>
        <v>230.00000000001819</v>
      </c>
      <c r="AE14" s="58">
        <v>543.84</v>
      </c>
      <c r="AF14" s="65">
        <f t="shared" si="12"/>
        <v>250</v>
      </c>
      <c r="AG14" s="58">
        <v>1731</v>
      </c>
      <c r="AH14" s="67">
        <f t="shared" si="13"/>
        <v>47</v>
      </c>
      <c r="AI14" s="58">
        <v>557.4</v>
      </c>
      <c r="AJ14" s="65">
        <f t="shared" si="14"/>
        <v>819.99999999993634</v>
      </c>
      <c r="AK14" s="58">
        <v>188.52</v>
      </c>
      <c r="AL14" s="65">
        <f t="shared" si="14"/>
        <v>159.99999999999659</v>
      </c>
      <c r="AM14" s="58">
        <v>183.26</v>
      </c>
      <c r="AN14" s="65">
        <f t="shared" si="14"/>
        <v>199.99999999998863</v>
      </c>
      <c r="AO14" s="58">
        <v>178.01</v>
      </c>
      <c r="AP14" s="65">
        <f t="shared" si="14"/>
        <v>259.99999999999091</v>
      </c>
      <c r="AQ14" s="58">
        <v>236.91</v>
      </c>
      <c r="AR14" s="65">
        <f t="shared" si="15"/>
        <v>90.000000000003411</v>
      </c>
      <c r="AS14" s="58">
        <v>362.09</v>
      </c>
      <c r="AT14" s="65">
        <f t="shared" si="16"/>
        <v>219.99999999997044</v>
      </c>
      <c r="AU14" s="58">
        <v>279.08999999999997</v>
      </c>
      <c r="AV14" s="65">
        <f t="shared" si="17"/>
        <v>159.99999999996817</v>
      </c>
      <c r="AW14" s="58">
        <v>314.04000000000002</v>
      </c>
      <c r="AX14" s="65">
        <f t="shared" si="18"/>
        <v>150.00000000003411</v>
      </c>
      <c r="AY14" s="58">
        <v>358.67</v>
      </c>
      <c r="AZ14" s="65">
        <f t="shared" si="19"/>
        <v>30.000000000029559</v>
      </c>
      <c r="BA14" s="58">
        <v>379.46</v>
      </c>
      <c r="BB14" s="65">
        <f t="shared" si="20"/>
        <v>19.99999999998181</v>
      </c>
      <c r="BC14" s="58">
        <v>239.1</v>
      </c>
      <c r="BD14" s="65">
        <f t="shared" si="21"/>
        <v>159.99999999999659</v>
      </c>
      <c r="BE14" s="59">
        <v>37566</v>
      </c>
      <c r="BF14" s="67">
        <f t="shared" si="39"/>
        <v>39</v>
      </c>
      <c r="BG14" s="60">
        <v>231.1</v>
      </c>
      <c r="BH14" s="65">
        <f t="shared" si="22"/>
        <v>39.999999999992042</v>
      </c>
      <c r="BI14" s="60">
        <v>290.35000000000002</v>
      </c>
      <c r="BJ14" s="65">
        <f t="shared" si="40"/>
        <v>50.000000000011369</v>
      </c>
      <c r="BK14" s="60">
        <v>234.25</v>
      </c>
      <c r="BL14" s="65">
        <f t="shared" si="23"/>
        <v>30.000000000001137</v>
      </c>
      <c r="BM14" s="60">
        <v>220.78</v>
      </c>
      <c r="BN14" s="65">
        <f t="shared" si="24"/>
        <v>39.999999999992042</v>
      </c>
      <c r="BO14" s="60">
        <v>285.35000000000002</v>
      </c>
      <c r="BP14" s="65">
        <f t="shared" si="25"/>
        <v>30.000000000029559</v>
      </c>
      <c r="BQ14" s="60">
        <v>43199</v>
      </c>
      <c r="BR14" s="65">
        <f t="shared" si="26"/>
        <v>28</v>
      </c>
      <c r="BS14" s="60">
        <v>198.75</v>
      </c>
      <c r="BT14" s="65">
        <f t="shared" si="42"/>
        <v>30.000000000001137</v>
      </c>
      <c r="BU14" s="60">
        <v>37266</v>
      </c>
      <c r="BV14" s="65">
        <f t="shared" si="27"/>
        <v>44</v>
      </c>
      <c r="BW14" s="60">
        <v>229.81</v>
      </c>
      <c r="BX14" s="65">
        <f t="shared" si="28"/>
        <v>30.000000000001137</v>
      </c>
      <c r="BY14" s="60">
        <v>56517</v>
      </c>
      <c r="BZ14" s="67">
        <f t="shared" si="29"/>
        <v>56</v>
      </c>
      <c r="CA14" s="60">
        <v>29289.9</v>
      </c>
      <c r="CB14" s="67">
        <f t="shared" si="30"/>
        <v>24.400000000001455</v>
      </c>
      <c r="CC14" s="60">
        <v>11438.6</v>
      </c>
      <c r="CD14" s="67">
        <f t="shared" si="31"/>
        <v>5.2000000000007276</v>
      </c>
      <c r="CE14" s="60">
        <v>5861.7</v>
      </c>
      <c r="CF14" s="67">
        <f t="shared" si="32"/>
        <v>17.099999999999454</v>
      </c>
      <c r="CG14" s="60">
        <v>57023.1</v>
      </c>
      <c r="CH14" s="67">
        <f t="shared" si="33"/>
        <v>42</v>
      </c>
      <c r="CI14" s="60">
        <v>925900</v>
      </c>
      <c r="CJ14" s="67">
        <f t="shared" si="34"/>
        <v>358</v>
      </c>
      <c r="CK14" s="60">
        <v>709.61</v>
      </c>
      <c r="CL14" s="64">
        <f t="shared" si="35"/>
        <v>720.00000000002728</v>
      </c>
      <c r="CM14" s="65">
        <f t="shared" si="0"/>
        <v>70</v>
      </c>
      <c r="CN14" s="62">
        <v>0</v>
      </c>
      <c r="CO14" s="62">
        <v>0</v>
      </c>
      <c r="CP14" s="68">
        <v>5737</v>
      </c>
      <c r="CQ14" s="67">
        <f t="shared" si="36"/>
        <v>58</v>
      </c>
      <c r="CR14" s="68">
        <v>12679</v>
      </c>
      <c r="CS14" s="67">
        <f t="shared" si="36"/>
        <v>12</v>
      </c>
      <c r="CT14" s="75">
        <v>5404</v>
      </c>
      <c r="CU14" s="67">
        <f t="shared" si="36"/>
        <v>15</v>
      </c>
      <c r="CV14" s="68">
        <v>13506</v>
      </c>
      <c r="CW14" s="67">
        <f t="shared" si="36"/>
        <v>22</v>
      </c>
    </row>
    <row r="15" spans="1:101" ht="25.5" customHeight="1" thickBot="1" x14ac:dyDescent="0.45">
      <c r="A15" s="63">
        <v>44297</v>
      </c>
      <c r="B15" s="44"/>
      <c r="C15" s="58">
        <v>2.1392000000000002</v>
      </c>
      <c r="D15" s="64">
        <f t="shared" si="1"/>
        <v>3800.0000000000255</v>
      </c>
      <c r="E15" s="58">
        <v>3.0367000000000002</v>
      </c>
      <c r="F15" s="64">
        <f t="shared" si="2"/>
        <v>4800.0000000003593</v>
      </c>
      <c r="G15" s="58">
        <v>3.1198999999999999</v>
      </c>
      <c r="H15" s="64">
        <f t="shared" si="3"/>
        <v>4099.9999999997708</v>
      </c>
      <c r="I15" s="58">
        <v>1.5335000000000001</v>
      </c>
      <c r="J15" s="64">
        <f t="shared" si="4"/>
        <v>2000.0000000000018</v>
      </c>
      <c r="K15" s="58">
        <v>2.4862000000000002</v>
      </c>
      <c r="L15" s="64">
        <f t="shared" si="37"/>
        <v>3100.0000000003247</v>
      </c>
      <c r="M15" s="58">
        <v>1.3859999999999999</v>
      </c>
      <c r="N15" s="64">
        <f t="shared" si="5"/>
        <v>1599.9999999998238</v>
      </c>
      <c r="O15" s="58">
        <v>13569</v>
      </c>
      <c r="P15" s="67">
        <f t="shared" si="43"/>
        <v>36</v>
      </c>
      <c r="Q15" s="58">
        <v>690</v>
      </c>
      <c r="R15" s="67">
        <f t="shared" si="7"/>
        <v>10</v>
      </c>
      <c r="S15" s="58">
        <v>932686.9</v>
      </c>
      <c r="T15" s="67">
        <f t="shared" si="8"/>
        <v>1532.9000000000233</v>
      </c>
      <c r="U15" s="58">
        <v>391134</v>
      </c>
      <c r="V15" s="67">
        <f t="shared" si="38"/>
        <v>773.70000000001164</v>
      </c>
      <c r="W15" s="58">
        <v>374.69</v>
      </c>
      <c r="X15" s="65">
        <f t="shared" si="41"/>
        <v>500</v>
      </c>
      <c r="Y15" s="58">
        <v>2.6486999999999998</v>
      </c>
      <c r="Z15" s="65">
        <f t="shared" si="9"/>
        <v>4299.9999999997481</v>
      </c>
      <c r="AA15" s="58">
        <v>371.76</v>
      </c>
      <c r="AB15" s="65">
        <f t="shared" si="10"/>
        <v>629.99999999999545</v>
      </c>
      <c r="AC15" s="58">
        <v>353.17</v>
      </c>
      <c r="AD15" s="65">
        <f t="shared" si="11"/>
        <v>300.00000000001137</v>
      </c>
      <c r="AE15" s="58">
        <v>544.14</v>
      </c>
      <c r="AF15" s="65">
        <f t="shared" si="12"/>
        <v>299.99999999995453</v>
      </c>
      <c r="AG15" s="58">
        <v>1779</v>
      </c>
      <c r="AH15" s="67">
        <f t="shared" si="13"/>
        <v>48</v>
      </c>
      <c r="AI15" s="58">
        <v>558.79999999999995</v>
      </c>
      <c r="AJ15" s="65">
        <f t="shared" si="14"/>
        <v>1399.9999999999773</v>
      </c>
      <c r="AK15" s="58">
        <v>188.78</v>
      </c>
      <c r="AL15" s="65">
        <f t="shared" si="14"/>
        <v>259.99999999999091</v>
      </c>
      <c r="AM15" s="58">
        <v>183.64</v>
      </c>
      <c r="AN15" s="65">
        <f t="shared" si="14"/>
        <v>379.99999999999545</v>
      </c>
      <c r="AO15" s="58">
        <v>178.45</v>
      </c>
      <c r="AP15" s="65">
        <f t="shared" si="14"/>
        <v>439.99999999999773</v>
      </c>
      <c r="AQ15" s="58">
        <v>237.04</v>
      </c>
      <c r="AR15" s="65">
        <f t="shared" si="15"/>
        <v>129.99999999999545</v>
      </c>
      <c r="AS15" s="58">
        <v>362.21</v>
      </c>
      <c r="AT15" s="65">
        <f t="shared" si="16"/>
        <v>120.00000000000455</v>
      </c>
      <c r="AU15" s="58">
        <v>279.42</v>
      </c>
      <c r="AV15" s="65">
        <f t="shared" si="17"/>
        <v>330.00000000004093</v>
      </c>
      <c r="AW15" s="58">
        <v>314.43</v>
      </c>
      <c r="AX15" s="65">
        <f t="shared" si="18"/>
        <v>389.99999999998636</v>
      </c>
      <c r="AY15" s="58">
        <v>358.71</v>
      </c>
      <c r="AZ15" s="65">
        <f t="shared" si="19"/>
        <v>39.99999999996362</v>
      </c>
      <c r="BA15" s="58">
        <v>379.49</v>
      </c>
      <c r="BB15" s="65">
        <f t="shared" si="20"/>
        <v>30.000000000029559</v>
      </c>
      <c r="BC15" s="58">
        <v>239.38</v>
      </c>
      <c r="BD15" s="65">
        <f t="shared" si="21"/>
        <v>280.00000000000114</v>
      </c>
      <c r="BE15" s="59">
        <v>37603</v>
      </c>
      <c r="BF15" s="67">
        <f t="shared" si="39"/>
        <v>37</v>
      </c>
      <c r="BG15" s="60">
        <v>231.17</v>
      </c>
      <c r="BH15" s="65">
        <f t="shared" si="22"/>
        <v>69.999999999993179</v>
      </c>
      <c r="BI15" s="60">
        <v>290.39999999999998</v>
      </c>
      <c r="BJ15" s="65">
        <f t="shared" si="40"/>
        <v>49.999999999954525</v>
      </c>
      <c r="BK15" s="60">
        <v>234.29</v>
      </c>
      <c r="BL15" s="65">
        <f t="shared" si="23"/>
        <v>39.999999999992042</v>
      </c>
      <c r="BM15" s="60">
        <v>220.89</v>
      </c>
      <c r="BN15" s="65">
        <f t="shared" si="24"/>
        <v>109.99999999998522</v>
      </c>
      <c r="BO15" s="60">
        <v>285.39</v>
      </c>
      <c r="BP15" s="65">
        <f t="shared" si="25"/>
        <v>39.99999999996362</v>
      </c>
      <c r="BQ15" s="60">
        <v>43236</v>
      </c>
      <c r="BR15" s="65">
        <f t="shared" si="26"/>
        <v>37</v>
      </c>
      <c r="BS15" s="60">
        <v>198.81</v>
      </c>
      <c r="BT15" s="65">
        <f t="shared" si="42"/>
        <v>60.000000000002274</v>
      </c>
      <c r="BU15" s="60">
        <v>37331</v>
      </c>
      <c r="BV15" s="65">
        <f t="shared" si="27"/>
        <v>65</v>
      </c>
      <c r="BW15" s="60">
        <v>229.85</v>
      </c>
      <c r="BX15" s="65">
        <f t="shared" si="28"/>
        <v>39.999999999992042</v>
      </c>
      <c r="BY15" s="60">
        <v>56595</v>
      </c>
      <c r="BZ15" s="67">
        <f t="shared" si="29"/>
        <v>78</v>
      </c>
      <c r="CA15" s="60">
        <v>29322.5</v>
      </c>
      <c r="CB15" s="67">
        <f t="shared" si="30"/>
        <v>32.599999999998545</v>
      </c>
      <c r="CC15" s="60">
        <v>11452.9</v>
      </c>
      <c r="CD15" s="67">
        <f t="shared" si="31"/>
        <v>14.299999999999272</v>
      </c>
      <c r="CE15" s="60">
        <v>5882.6</v>
      </c>
      <c r="CF15" s="67">
        <f t="shared" si="32"/>
        <v>20.900000000000546</v>
      </c>
      <c r="CG15" s="60">
        <v>57072.1</v>
      </c>
      <c r="CH15" s="67">
        <f t="shared" si="33"/>
        <v>49</v>
      </c>
      <c r="CI15" s="60">
        <v>926313</v>
      </c>
      <c r="CJ15" s="67">
        <f t="shared" si="34"/>
        <v>413</v>
      </c>
      <c r="CK15" s="60">
        <v>710.41</v>
      </c>
      <c r="CL15" s="64">
        <f t="shared" si="35"/>
        <v>799.99999999995453</v>
      </c>
      <c r="CM15" s="65">
        <f t="shared" si="0"/>
        <v>91</v>
      </c>
      <c r="CN15" s="62">
        <v>0</v>
      </c>
      <c r="CO15" s="62">
        <v>0</v>
      </c>
      <c r="CP15" s="68">
        <v>5804</v>
      </c>
      <c r="CQ15" s="67">
        <f t="shared" si="36"/>
        <v>67</v>
      </c>
      <c r="CR15" s="68">
        <v>12703</v>
      </c>
      <c r="CS15" s="67">
        <f t="shared" si="36"/>
        <v>24</v>
      </c>
      <c r="CT15" s="75">
        <v>5426</v>
      </c>
      <c r="CU15" s="67">
        <f t="shared" si="36"/>
        <v>22</v>
      </c>
      <c r="CV15" s="68">
        <v>13526</v>
      </c>
      <c r="CW15" s="67">
        <f t="shared" si="36"/>
        <v>20</v>
      </c>
    </row>
    <row r="16" spans="1:101" ht="25.5" customHeight="1" thickBot="1" x14ac:dyDescent="0.45">
      <c r="A16" s="63">
        <v>44298</v>
      </c>
      <c r="B16" s="44"/>
      <c r="C16" s="58">
        <v>2.1414</v>
      </c>
      <c r="D16" s="64">
        <f t="shared" si="1"/>
        <v>2199.9999999997576</v>
      </c>
      <c r="E16" s="58">
        <v>3.0396999999999998</v>
      </c>
      <c r="F16" s="64">
        <f t="shared" si="2"/>
        <v>2999.9999999996694</v>
      </c>
      <c r="G16" s="58">
        <v>3.1227</v>
      </c>
      <c r="H16" s="64">
        <f t="shared" si="3"/>
        <v>2800.0000000001355</v>
      </c>
      <c r="I16" s="58">
        <v>1.5349999999999999</v>
      </c>
      <c r="J16" s="64">
        <f t="shared" si="4"/>
        <v>1499.9999999998347</v>
      </c>
      <c r="K16" s="58">
        <v>2.4883000000000002</v>
      </c>
      <c r="L16" s="64">
        <f t="shared" si="37"/>
        <v>2099.9999999999909</v>
      </c>
      <c r="M16" s="58">
        <v>1.3869</v>
      </c>
      <c r="N16" s="64">
        <f t="shared" si="5"/>
        <v>900.0000000001229</v>
      </c>
      <c r="O16" s="58">
        <v>13583</v>
      </c>
      <c r="P16" s="67">
        <f t="shared" si="43"/>
        <v>14</v>
      </c>
      <c r="Q16" s="58">
        <v>697</v>
      </c>
      <c r="R16" s="67">
        <f t="shared" si="7"/>
        <v>7</v>
      </c>
      <c r="S16" s="58">
        <v>933989.2</v>
      </c>
      <c r="T16" s="67">
        <f t="shared" si="8"/>
        <v>1302.2999999999302</v>
      </c>
      <c r="U16" s="58">
        <v>391705.4</v>
      </c>
      <c r="V16" s="67">
        <f t="shared" si="38"/>
        <v>571.40000000002328</v>
      </c>
      <c r="W16" s="58">
        <v>374.94</v>
      </c>
      <c r="X16" s="65">
        <f t="shared" si="41"/>
        <v>250</v>
      </c>
      <c r="Y16" s="58">
        <v>2.6516000000000002</v>
      </c>
      <c r="Z16" s="65">
        <f t="shared" si="9"/>
        <v>2900.0000000003465</v>
      </c>
      <c r="AA16" s="58">
        <v>372.25</v>
      </c>
      <c r="AB16" s="65">
        <f t="shared" si="10"/>
        <v>490.00000000000909</v>
      </c>
      <c r="AC16" s="58">
        <v>353.43</v>
      </c>
      <c r="AD16" s="65">
        <f t="shared" si="11"/>
        <v>259.99999999999091</v>
      </c>
      <c r="AE16" s="58">
        <v>544.45000000000005</v>
      </c>
      <c r="AF16" s="65">
        <f t="shared" si="12"/>
        <v>310.00000000005912</v>
      </c>
      <c r="AG16" s="58">
        <v>1813</v>
      </c>
      <c r="AH16" s="67">
        <f t="shared" si="13"/>
        <v>34</v>
      </c>
      <c r="AI16" s="58">
        <v>559.58000000000004</v>
      </c>
      <c r="AJ16" s="65">
        <f t="shared" si="14"/>
        <v>780.0000000000864</v>
      </c>
      <c r="AK16" s="58">
        <v>188.9</v>
      </c>
      <c r="AL16" s="65">
        <f t="shared" si="14"/>
        <v>120.00000000000455</v>
      </c>
      <c r="AM16" s="58">
        <v>183.74</v>
      </c>
      <c r="AN16" s="65">
        <f t="shared" si="14"/>
        <v>100.00000000002274</v>
      </c>
      <c r="AO16" s="58">
        <v>178.64</v>
      </c>
      <c r="AP16" s="65">
        <f t="shared" si="14"/>
        <v>189.99999999999773</v>
      </c>
      <c r="AQ16" s="58">
        <v>237.12</v>
      </c>
      <c r="AR16" s="65">
        <f t="shared" si="15"/>
        <v>80.000000000012506</v>
      </c>
      <c r="AS16" s="58">
        <v>362.28</v>
      </c>
      <c r="AT16" s="65">
        <f t="shared" si="16"/>
        <v>69.999999999993179</v>
      </c>
      <c r="AU16" s="58">
        <v>279.52</v>
      </c>
      <c r="AV16" s="65">
        <f t="shared" si="17"/>
        <v>99.999999999965894</v>
      </c>
      <c r="AW16" s="58">
        <v>314.51</v>
      </c>
      <c r="AX16" s="65">
        <f t="shared" si="18"/>
        <v>79.999999999984084</v>
      </c>
      <c r="AY16" s="58">
        <v>358.74</v>
      </c>
      <c r="AZ16" s="65">
        <f t="shared" si="19"/>
        <v>30.000000000029559</v>
      </c>
      <c r="BA16" s="58">
        <v>379.51</v>
      </c>
      <c r="BB16" s="65">
        <f t="shared" si="20"/>
        <v>19.99999999998181</v>
      </c>
      <c r="BC16" s="58">
        <v>239.51</v>
      </c>
      <c r="BD16" s="65">
        <f t="shared" si="21"/>
        <v>129.99999999999545</v>
      </c>
      <c r="BE16" s="59">
        <v>37640</v>
      </c>
      <c r="BF16" s="67">
        <f t="shared" si="39"/>
        <v>37</v>
      </c>
      <c r="BG16" s="60">
        <v>231.21</v>
      </c>
      <c r="BH16" s="65">
        <f t="shared" si="22"/>
        <v>40.000000000020464</v>
      </c>
      <c r="BI16" s="60">
        <v>290.44</v>
      </c>
      <c r="BJ16" s="65">
        <f t="shared" si="40"/>
        <v>40.000000000020464</v>
      </c>
      <c r="BK16" s="60">
        <v>234.32</v>
      </c>
      <c r="BL16" s="65">
        <f t="shared" si="23"/>
        <v>30.000000000001137</v>
      </c>
      <c r="BM16" s="60">
        <v>220.9</v>
      </c>
      <c r="BN16" s="65">
        <f t="shared" si="24"/>
        <v>10.000000000019327</v>
      </c>
      <c r="BO16" s="60">
        <v>285.42</v>
      </c>
      <c r="BP16" s="65">
        <f t="shared" si="25"/>
        <v>30.000000000029559</v>
      </c>
      <c r="BQ16" s="60">
        <v>43261</v>
      </c>
      <c r="BR16" s="65">
        <f t="shared" si="26"/>
        <v>25</v>
      </c>
      <c r="BS16" s="60">
        <v>198.85</v>
      </c>
      <c r="BT16" s="65">
        <f t="shared" si="42"/>
        <v>39.999999999992042</v>
      </c>
      <c r="BU16" s="60">
        <v>37373</v>
      </c>
      <c r="BV16" s="65">
        <f t="shared" si="27"/>
        <v>42</v>
      </c>
      <c r="BW16" s="60">
        <v>229.87</v>
      </c>
      <c r="BX16" s="65">
        <f t="shared" si="28"/>
        <v>20.000000000010232</v>
      </c>
      <c r="BY16" s="60">
        <v>56638</v>
      </c>
      <c r="BZ16" s="67">
        <f t="shared" si="29"/>
        <v>43</v>
      </c>
      <c r="CA16" s="60">
        <v>29347.599999999999</v>
      </c>
      <c r="CB16" s="67">
        <f>IF((CA16-CA15&lt;0), "",CA16-CA15)</f>
        <v>25.099999999998545</v>
      </c>
      <c r="CC16" s="60">
        <v>11460.7</v>
      </c>
      <c r="CD16" s="67">
        <f t="shared" si="31"/>
        <v>7.8000000000010914</v>
      </c>
      <c r="CE16" s="60">
        <v>5897.6</v>
      </c>
      <c r="CF16" s="67">
        <f t="shared" si="32"/>
        <v>15</v>
      </c>
      <c r="CG16" s="60">
        <v>57107.6</v>
      </c>
      <c r="CH16" s="67">
        <f t="shared" si="33"/>
        <v>35.5</v>
      </c>
      <c r="CI16" s="60">
        <v>926608</v>
      </c>
      <c r="CJ16" s="67">
        <f t="shared" si="34"/>
        <v>295</v>
      </c>
      <c r="CK16" s="60">
        <v>711.09</v>
      </c>
      <c r="CL16" s="64">
        <f t="shared" si="35"/>
        <v>680.00000000006366</v>
      </c>
      <c r="CM16" s="65">
        <f t="shared" si="0"/>
        <v>109</v>
      </c>
      <c r="CN16" s="62">
        <v>0</v>
      </c>
      <c r="CO16" s="62">
        <v>0</v>
      </c>
      <c r="CP16" s="68">
        <v>5899</v>
      </c>
      <c r="CQ16" s="67">
        <f t="shared" si="36"/>
        <v>95</v>
      </c>
      <c r="CR16" s="68">
        <v>12717</v>
      </c>
      <c r="CS16" s="67">
        <f t="shared" si="36"/>
        <v>14</v>
      </c>
      <c r="CT16" s="75">
        <v>5440</v>
      </c>
      <c r="CU16" s="67">
        <f t="shared" si="36"/>
        <v>14</v>
      </c>
      <c r="CV16" s="68">
        <v>13538</v>
      </c>
      <c r="CW16" s="67">
        <f t="shared" si="36"/>
        <v>12</v>
      </c>
    </row>
    <row r="17" spans="1:101" ht="25.5" customHeight="1" thickBot="1" x14ac:dyDescent="0.45">
      <c r="A17" s="63">
        <v>44299</v>
      </c>
      <c r="B17" s="44"/>
      <c r="C17" s="58"/>
      <c r="D17" s="64" t="str">
        <f t="shared" si="1"/>
        <v>0</v>
      </c>
      <c r="E17" s="58"/>
      <c r="F17" s="64" t="str">
        <f t="shared" si="2"/>
        <v>0</v>
      </c>
      <c r="G17" s="58"/>
      <c r="H17" s="64" t="str">
        <f t="shared" si="3"/>
        <v>0</v>
      </c>
      <c r="I17" s="58"/>
      <c r="J17" s="64" t="str">
        <f t="shared" si="4"/>
        <v>0</v>
      </c>
      <c r="K17" s="58"/>
      <c r="L17" s="64" t="str">
        <f t="shared" si="37"/>
        <v>0</v>
      </c>
      <c r="M17" s="58"/>
      <c r="N17" s="64" t="str">
        <f t="shared" si="5"/>
        <v/>
      </c>
      <c r="O17" s="58"/>
      <c r="P17" s="67" t="str">
        <f t="shared" si="43"/>
        <v/>
      </c>
      <c r="Q17" s="58"/>
      <c r="R17" s="67" t="str">
        <f t="shared" si="7"/>
        <v/>
      </c>
      <c r="S17" s="58"/>
      <c r="T17" s="67" t="str">
        <f t="shared" si="8"/>
        <v/>
      </c>
      <c r="U17" s="58"/>
      <c r="V17" s="67" t="str">
        <f t="shared" si="38"/>
        <v/>
      </c>
      <c r="W17" s="58"/>
      <c r="X17" s="65" t="str">
        <f t="shared" si="41"/>
        <v/>
      </c>
      <c r="Y17" s="58"/>
      <c r="Z17" s="65" t="str">
        <f t="shared" si="9"/>
        <v/>
      </c>
      <c r="AA17" s="58"/>
      <c r="AB17" s="65" t="str">
        <f t="shared" si="10"/>
        <v/>
      </c>
      <c r="AC17" s="58"/>
      <c r="AD17" s="65" t="str">
        <f t="shared" si="11"/>
        <v/>
      </c>
      <c r="AE17" s="58"/>
      <c r="AF17" s="65" t="str">
        <f t="shared" si="12"/>
        <v/>
      </c>
      <c r="AG17" s="58"/>
      <c r="AH17" s="67" t="str">
        <f t="shared" si="13"/>
        <v/>
      </c>
      <c r="AI17" s="58"/>
      <c r="AJ17" s="65" t="str">
        <f t="shared" si="14"/>
        <v/>
      </c>
      <c r="AK17" s="58"/>
      <c r="AL17" s="65" t="str">
        <f t="shared" si="14"/>
        <v/>
      </c>
      <c r="AM17" s="58"/>
      <c r="AN17" s="65" t="str">
        <f t="shared" si="14"/>
        <v/>
      </c>
      <c r="AO17" s="58"/>
      <c r="AP17" s="65" t="str">
        <f t="shared" si="14"/>
        <v/>
      </c>
      <c r="AQ17" s="58"/>
      <c r="AR17" s="65" t="str">
        <f t="shared" si="15"/>
        <v/>
      </c>
      <c r="AS17" s="58"/>
      <c r="AT17" s="65" t="str">
        <f t="shared" si="16"/>
        <v/>
      </c>
      <c r="AU17" s="58"/>
      <c r="AV17" s="65" t="str">
        <f t="shared" si="17"/>
        <v/>
      </c>
      <c r="AW17" s="58"/>
      <c r="AX17" s="65" t="str">
        <f t="shared" si="18"/>
        <v/>
      </c>
      <c r="AY17" s="58"/>
      <c r="AZ17" s="65" t="str">
        <f t="shared" si="19"/>
        <v/>
      </c>
      <c r="BA17" s="58"/>
      <c r="BB17" s="65" t="str">
        <f t="shared" si="20"/>
        <v/>
      </c>
      <c r="BC17" s="58"/>
      <c r="BD17" s="65" t="str">
        <f t="shared" si="21"/>
        <v/>
      </c>
      <c r="BE17" s="59"/>
      <c r="BF17" s="67" t="str">
        <f t="shared" si="39"/>
        <v/>
      </c>
      <c r="BG17" s="60"/>
      <c r="BH17" s="65" t="str">
        <f t="shared" si="22"/>
        <v/>
      </c>
      <c r="BI17" s="60"/>
      <c r="BJ17" s="65" t="str">
        <f t="shared" si="40"/>
        <v/>
      </c>
      <c r="BK17" s="60"/>
      <c r="BL17" s="65" t="str">
        <f t="shared" si="23"/>
        <v/>
      </c>
      <c r="BM17" s="60"/>
      <c r="BN17" s="65" t="str">
        <f t="shared" si="24"/>
        <v/>
      </c>
      <c r="BO17" s="60"/>
      <c r="BP17" s="65" t="str">
        <f t="shared" si="25"/>
        <v/>
      </c>
      <c r="BQ17" s="60"/>
      <c r="BR17" s="65" t="str">
        <f t="shared" si="26"/>
        <v/>
      </c>
      <c r="BS17" s="60"/>
      <c r="BT17" s="65" t="str">
        <f t="shared" si="42"/>
        <v/>
      </c>
      <c r="BU17" s="60"/>
      <c r="BV17" s="65" t="str">
        <f t="shared" si="27"/>
        <v/>
      </c>
      <c r="BW17" s="60"/>
      <c r="BX17" s="65" t="str">
        <f t="shared" si="28"/>
        <v/>
      </c>
      <c r="BY17" s="60"/>
      <c r="BZ17" s="67" t="str">
        <f t="shared" si="29"/>
        <v/>
      </c>
      <c r="CA17" s="60"/>
      <c r="CB17" s="67" t="str">
        <f>IF((CA17-CA16&lt;0), "",CA17-CA16)</f>
        <v/>
      </c>
      <c r="CC17" s="60"/>
      <c r="CD17" s="67" t="str">
        <f t="shared" si="31"/>
        <v/>
      </c>
      <c r="CE17" s="60"/>
      <c r="CF17" s="67" t="str">
        <f t="shared" si="32"/>
        <v/>
      </c>
      <c r="CG17" s="60"/>
      <c r="CH17" s="67" t="str">
        <f t="shared" si="33"/>
        <v/>
      </c>
      <c r="CI17" s="60"/>
      <c r="CJ17" s="67" t="str">
        <f t="shared" si="34"/>
        <v/>
      </c>
      <c r="CK17" s="60"/>
      <c r="CL17" s="64" t="str">
        <f t="shared" si="35"/>
        <v/>
      </c>
      <c r="CM17" s="65" t="e">
        <f t="shared" si="0"/>
        <v>#VALUE!</v>
      </c>
      <c r="CN17" s="62">
        <v>0</v>
      </c>
      <c r="CO17" s="62">
        <v>0</v>
      </c>
      <c r="CP17" s="68"/>
      <c r="CQ17" s="67" t="str">
        <f t="shared" si="36"/>
        <v/>
      </c>
      <c r="CR17" s="68"/>
      <c r="CS17" s="67" t="str">
        <f t="shared" si="36"/>
        <v/>
      </c>
      <c r="CT17" s="75"/>
      <c r="CU17" s="67" t="str">
        <f t="shared" si="36"/>
        <v/>
      </c>
      <c r="CV17" s="68"/>
      <c r="CW17" s="67" t="str">
        <f t="shared" si="36"/>
        <v/>
      </c>
    </row>
    <row r="18" spans="1:101" ht="25.5" customHeight="1" thickBot="1" x14ac:dyDescent="0.45">
      <c r="A18" s="63">
        <v>44300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37"/>
        <v>0</v>
      </c>
      <c r="M18" s="58"/>
      <c r="N18" s="64">
        <f t="shared" si="5"/>
        <v>0</v>
      </c>
      <c r="O18" s="58"/>
      <c r="P18" s="67">
        <f t="shared" si="43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38"/>
        <v>0</v>
      </c>
      <c r="W18" s="58"/>
      <c r="X18" s="65">
        <f t="shared" si="41"/>
        <v>0</v>
      </c>
      <c r="Y18" s="58"/>
      <c r="Z18" s="65">
        <f t="shared" si="9"/>
        <v>0</v>
      </c>
      <c r="AA18" s="58"/>
      <c r="AB18" s="65">
        <f t="shared" si="10"/>
        <v>0</v>
      </c>
      <c r="AC18" s="58"/>
      <c r="AD18" s="65">
        <f t="shared" si="11"/>
        <v>0</v>
      </c>
      <c r="AE18" s="58"/>
      <c r="AF18" s="65">
        <f t="shared" si="12"/>
        <v>0</v>
      </c>
      <c r="AG18" s="58"/>
      <c r="AH18" s="67">
        <f t="shared" si="13"/>
        <v>0</v>
      </c>
      <c r="AI18" s="58"/>
      <c r="AJ18" s="65">
        <f t="shared" si="14"/>
        <v>0</v>
      </c>
      <c r="AK18" s="58"/>
      <c r="AL18" s="65">
        <f t="shared" si="14"/>
        <v>0</v>
      </c>
      <c r="AM18" s="58"/>
      <c r="AN18" s="65">
        <f t="shared" si="14"/>
        <v>0</v>
      </c>
      <c r="AO18" s="58"/>
      <c r="AP18" s="65">
        <f t="shared" si="14"/>
        <v>0</v>
      </c>
      <c r="AQ18" s="58"/>
      <c r="AR18" s="65">
        <f t="shared" si="15"/>
        <v>0</v>
      </c>
      <c r="AS18" s="58"/>
      <c r="AT18" s="65">
        <f t="shared" si="16"/>
        <v>0</v>
      </c>
      <c r="AU18" s="58"/>
      <c r="AV18" s="65">
        <f t="shared" si="17"/>
        <v>0</v>
      </c>
      <c r="AW18" s="58"/>
      <c r="AX18" s="65">
        <f t="shared" si="18"/>
        <v>0</v>
      </c>
      <c r="AY18" s="58"/>
      <c r="AZ18" s="65">
        <f t="shared" si="19"/>
        <v>0</v>
      </c>
      <c r="BA18" s="58"/>
      <c r="BB18" s="65">
        <f t="shared" si="20"/>
        <v>0</v>
      </c>
      <c r="BC18" s="58"/>
      <c r="BD18" s="65">
        <f t="shared" si="21"/>
        <v>0</v>
      </c>
      <c r="BE18" s="59"/>
      <c r="BF18" s="67">
        <f t="shared" si="39"/>
        <v>0</v>
      </c>
      <c r="BG18" s="60"/>
      <c r="BH18" s="65">
        <f t="shared" si="22"/>
        <v>0</v>
      </c>
      <c r="BI18" s="60"/>
      <c r="BJ18" s="65">
        <f t="shared" si="40"/>
        <v>0</v>
      </c>
      <c r="BK18" s="60"/>
      <c r="BL18" s="65">
        <f t="shared" si="23"/>
        <v>0</v>
      </c>
      <c r="BM18" s="60"/>
      <c r="BN18" s="65">
        <f t="shared" si="24"/>
        <v>0</v>
      </c>
      <c r="BO18" s="60"/>
      <c r="BP18" s="65">
        <f t="shared" si="25"/>
        <v>0</v>
      </c>
      <c r="BQ18" s="60"/>
      <c r="BR18" s="65">
        <f t="shared" si="26"/>
        <v>0</v>
      </c>
      <c r="BS18" s="60"/>
      <c r="BT18" s="65">
        <f t="shared" si="42"/>
        <v>0</v>
      </c>
      <c r="BU18" s="60"/>
      <c r="BV18" s="65">
        <f t="shared" si="27"/>
        <v>0</v>
      </c>
      <c r="BW18" s="60"/>
      <c r="BX18" s="65">
        <f t="shared" si="28"/>
        <v>0</v>
      </c>
      <c r="BY18" s="60"/>
      <c r="BZ18" s="67">
        <f t="shared" si="29"/>
        <v>0</v>
      </c>
      <c r="CA18" s="60"/>
      <c r="CB18" s="67">
        <f>IF((CA18-CA17&lt;0), "",CA18-CA17)</f>
        <v>0</v>
      </c>
      <c r="CC18" s="60"/>
      <c r="CD18" s="67">
        <f t="shared" si="31"/>
        <v>0</v>
      </c>
      <c r="CE18" s="60"/>
      <c r="CF18" s="67">
        <f t="shared" si="32"/>
        <v>0</v>
      </c>
      <c r="CG18" s="60"/>
      <c r="CH18" s="67">
        <f t="shared" si="33"/>
        <v>0</v>
      </c>
      <c r="CI18" s="60"/>
      <c r="CJ18" s="67">
        <f t="shared" si="34"/>
        <v>0</v>
      </c>
      <c r="CK18" s="60"/>
      <c r="CL18" s="64">
        <f t="shared" si="35"/>
        <v>0</v>
      </c>
      <c r="CM18" s="65">
        <f t="shared" si="0"/>
        <v>0</v>
      </c>
      <c r="CN18" s="62">
        <v>0</v>
      </c>
      <c r="CO18" s="62">
        <v>0</v>
      </c>
      <c r="CP18" s="68"/>
      <c r="CQ18" s="67">
        <f t="shared" si="36"/>
        <v>0</v>
      </c>
      <c r="CR18" s="68"/>
      <c r="CS18" s="67">
        <f t="shared" si="36"/>
        <v>0</v>
      </c>
      <c r="CT18" s="75"/>
      <c r="CU18" s="67">
        <f t="shared" si="36"/>
        <v>0</v>
      </c>
      <c r="CV18" s="68"/>
      <c r="CW18" s="67">
        <f t="shared" si="36"/>
        <v>0</v>
      </c>
    </row>
    <row r="19" spans="1:101" ht="25.5" customHeight="1" thickBot="1" x14ac:dyDescent="0.45">
      <c r="A19" s="63">
        <v>44301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37"/>
        <v>0</v>
      </c>
      <c r="M19" s="58"/>
      <c r="N19" s="64">
        <f t="shared" si="5"/>
        <v>0</v>
      </c>
      <c r="O19" s="58"/>
      <c r="P19" s="67">
        <f t="shared" si="43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38"/>
        <v>0</v>
      </c>
      <c r="W19" s="58"/>
      <c r="X19" s="65">
        <f t="shared" si="41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7"/>
        <v>0</v>
      </c>
      <c r="BW19" s="60"/>
      <c r="BX19" s="65">
        <f t="shared" si="28"/>
        <v>0</v>
      </c>
      <c r="BY19" s="60"/>
      <c r="BZ19" s="67">
        <f t="shared" si="29"/>
        <v>0</v>
      </c>
      <c r="CA19" s="60"/>
      <c r="CB19" s="67">
        <f t="shared" si="30"/>
        <v>0</v>
      </c>
      <c r="CC19" s="60"/>
      <c r="CD19" s="67">
        <f t="shared" si="31"/>
        <v>0</v>
      </c>
      <c r="CE19" s="60"/>
      <c r="CF19" s="67">
        <f t="shared" si="32"/>
        <v>0</v>
      </c>
      <c r="CG19" s="60"/>
      <c r="CH19" s="67">
        <f t="shared" si="33"/>
        <v>0</v>
      </c>
      <c r="CI19" s="60"/>
      <c r="CJ19" s="67">
        <f t="shared" si="34"/>
        <v>0</v>
      </c>
      <c r="CK19" s="60"/>
      <c r="CL19" s="64">
        <f t="shared" si="35"/>
        <v>0</v>
      </c>
      <c r="CM19" s="65">
        <f t="shared" si="0"/>
        <v>0</v>
      </c>
      <c r="CN19" s="62">
        <v>0</v>
      </c>
      <c r="CO19" s="62">
        <v>0</v>
      </c>
      <c r="CP19" s="68"/>
      <c r="CQ19" s="67">
        <f t="shared" si="36"/>
        <v>0</v>
      </c>
      <c r="CR19" s="68"/>
      <c r="CS19" s="67">
        <f t="shared" si="36"/>
        <v>0</v>
      </c>
      <c r="CT19" s="75"/>
      <c r="CU19" s="67">
        <f t="shared" si="36"/>
        <v>0</v>
      </c>
      <c r="CV19" s="68"/>
      <c r="CW19" s="67">
        <f t="shared" si="36"/>
        <v>0</v>
      </c>
    </row>
    <row r="20" spans="1:101" ht="25.5" customHeight="1" thickBot="1" x14ac:dyDescent="0.45">
      <c r="A20" s="63">
        <v>44302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37"/>
        <v>0</v>
      </c>
      <c r="M20" s="58"/>
      <c r="N20" s="64">
        <f t="shared" si="5"/>
        <v>0</v>
      </c>
      <c r="O20" s="58"/>
      <c r="P20" s="67">
        <f t="shared" si="43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38"/>
        <v>0</v>
      </c>
      <c r="W20" s="58"/>
      <c r="X20" s="65">
        <f t="shared" si="41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7"/>
        <v>0</v>
      </c>
      <c r="BW20" s="60"/>
      <c r="BX20" s="65">
        <f t="shared" si="28"/>
        <v>0</v>
      </c>
      <c r="BY20" s="60"/>
      <c r="BZ20" s="67">
        <f t="shared" si="29"/>
        <v>0</v>
      </c>
      <c r="CA20" s="60"/>
      <c r="CB20" s="67">
        <f t="shared" si="30"/>
        <v>0</v>
      </c>
      <c r="CC20" s="60"/>
      <c r="CD20" s="67">
        <f t="shared" si="31"/>
        <v>0</v>
      </c>
      <c r="CE20" s="60"/>
      <c r="CF20" s="67">
        <f t="shared" si="32"/>
        <v>0</v>
      </c>
      <c r="CG20" s="60"/>
      <c r="CH20" s="67">
        <f t="shared" si="33"/>
        <v>0</v>
      </c>
      <c r="CI20" s="60"/>
      <c r="CJ20" s="67">
        <f t="shared" si="34"/>
        <v>0</v>
      </c>
      <c r="CK20" s="60"/>
      <c r="CL20" s="64">
        <f t="shared" si="35"/>
        <v>0</v>
      </c>
      <c r="CM20" s="65">
        <f t="shared" si="0"/>
        <v>0</v>
      </c>
      <c r="CN20" s="62">
        <v>0</v>
      </c>
      <c r="CO20" s="62">
        <v>0</v>
      </c>
      <c r="CP20" s="68"/>
      <c r="CQ20" s="67">
        <f t="shared" si="36"/>
        <v>0</v>
      </c>
      <c r="CR20" s="68"/>
      <c r="CS20" s="67">
        <f t="shared" si="36"/>
        <v>0</v>
      </c>
      <c r="CT20" s="75"/>
      <c r="CU20" s="67">
        <f t="shared" si="36"/>
        <v>0</v>
      </c>
      <c r="CV20" s="68"/>
      <c r="CW20" s="67">
        <f t="shared" si="36"/>
        <v>0</v>
      </c>
    </row>
    <row r="21" spans="1:101" ht="25.5" customHeight="1" thickBot="1" x14ac:dyDescent="0.45">
      <c r="A21" s="63">
        <v>44303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37"/>
        <v>0</v>
      </c>
      <c r="M21" s="58"/>
      <c r="N21" s="64">
        <f t="shared" si="5"/>
        <v>0</v>
      </c>
      <c r="O21" s="58"/>
      <c r="P21" s="67">
        <f t="shared" si="43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38"/>
        <v>0</v>
      </c>
      <c r="W21" s="58"/>
      <c r="X21" s="65">
        <f t="shared" si="41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7"/>
        <v>0</v>
      </c>
      <c r="BW21" s="60"/>
      <c r="BX21" s="65">
        <f t="shared" si="28"/>
        <v>0</v>
      </c>
      <c r="BY21" s="60"/>
      <c r="BZ21" s="67">
        <f t="shared" si="29"/>
        <v>0</v>
      </c>
      <c r="CA21" s="60"/>
      <c r="CB21" s="67">
        <f t="shared" si="30"/>
        <v>0</v>
      </c>
      <c r="CC21" s="60"/>
      <c r="CD21" s="67">
        <f t="shared" si="31"/>
        <v>0</v>
      </c>
      <c r="CE21" s="60"/>
      <c r="CF21" s="67">
        <f t="shared" si="32"/>
        <v>0</v>
      </c>
      <c r="CG21" s="60"/>
      <c r="CH21" s="67">
        <f t="shared" si="33"/>
        <v>0</v>
      </c>
      <c r="CI21" s="60"/>
      <c r="CJ21" s="67">
        <f t="shared" si="34"/>
        <v>0</v>
      </c>
      <c r="CK21" s="60"/>
      <c r="CL21" s="64">
        <f t="shared" si="35"/>
        <v>0</v>
      </c>
      <c r="CM21" s="65">
        <f t="shared" si="0"/>
        <v>0</v>
      </c>
      <c r="CN21" s="62">
        <v>0</v>
      </c>
      <c r="CO21" s="62">
        <v>0</v>
      </c>
      <c r="CP21" s="68"/>
      <c r="CQ21" s="67">
        <f t="shared" si="36"/>
        <v>0</v>
      </c>
      <c r="CR21" s="68"/>
      <c r="CS21" s="67">
        <f t="shared" si="36"/>
        <v>0</v>
      </c>
      <c r="CT21" s="75"/>
      <c r="CU21" s="67">
        <f t="shared" si="36"/>
        <v>0</v>
      </c>
      <c r="CV21" s="68"/>
      <c r="CW21" s="67">
        <f t="shared" si="36"/>
        <v>0</v>
      </c>
    </row>
    <row r="22" spans="1:101" ht="25.5" customHeight="1" thickBot="1" x14ac:dyDescent="0.45">
      <c r="A22" s="63">
        <v>44304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37"/>
        <v>0</v>
      </c>
      <c r="M22" s="58"/>
      <c r="N22" s="64">
        <f t="shared" si="5"/>
        <v>0</v>
      </c>
      <c r="O22" s="58"/>
      <c r="P22" s="67">
        <f t="shared" si="43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38"/>
        <v>0</v>
      </c>
      <c r="W22" s="58"/>
      <c r="X22" s="65">
        <f t="shared" si="41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7"/>
        <v>0</v>
      </c>
      <c r="BW22" s="60"/>
      <c r="BX22" s="65">
        <f t="shared" si="28"/>
        <v>0</v>
      </c>
      <c r="BY22" s="60"/>
      <c r="BZ22" s="67">
        <f t="shared" si="29"/>
        <v>0</v>
      </c>
      <c r="CA22" s="60"/>
      <c r="CB22" s="67">
        <f t="shared" si="30"/>
        <v>0</v>
      </c>
      <c r="CC22" s="60"/>
      <c r="CD22" s="67">
        <f t="shared" si="31"/>
        <v>0</v>
      </c>
      <c r="CE22" s="60"/>
      <c r="CF22" s="67">
        <f t="shared" si="32"/>
        <v>0</v>
      </c>
      <c r="CG22" s="60"/>
      <c r="CH22" s="67">
        <f t="shared" si="33"/>
        <v>0</v>
      </c>
      <c r="CI22" s="60"/>
      <c r="CJ22" s="67">
        <f t="shared" si="34"/>
        <v>0</v>
      </c>
      <c r="CK22" s="60"/>
      <c r="CL22" s="64">
        <f t="shared" si="35"/>
        <v>0</v>
      </c>
      <c r="CM22" s="65">
        <f t="shared" si="0"/>
        <v>0</v>
      </c>
      <c r="CN22" s="62">
        <v>0</v>
      </c>
      <c r="CO22" s="62">
        <v>0</v>
      </c>
      <c r="CP22" s="68"/>
      <c r="CQ22" s="67">
        <f t="shared" si="36"/>
        <v>0</v>
      </c>
      <c r="CR22" s="68"/>
      <c r="CS22" s="67">
        <f t="shared" si="36"/>
        <v>0</v>
      </c>
      <c r="CT22" s="75"/>
      <c r="CU22" s="67">
        <f t="shared" si="36"/>
        <v>0</v>
      </c>
      <c r="CV22" s="68"/>
      <c r="CW22" s="67">
        <f t="shared" si="36"/>
        <v>0</v>
      </c>
    </row>
    <row r="23" spans="1:101" ht="25.5" customHeight="1" thickBot="1" x14ac:dyDescent="0.45">
      <c r="A23" s="63">
        <v>44305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37"/>
        <v>0</v>
      </c>
      <c r="M23" s="58"/>
      <c r="N23" s="64">
        <f t="shared" si="5"/>
        <v>0</v>
      </c>
      <c r="O23" s="58"/>
      <c r="P23" s="67">
        <f t="shared" si="43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38"/>
        <v>0</v>
      </c>
      <c r="W23" s="58"/>
      <c r="X23" s="65">
        <f t="shared" si="41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7"/>
        <v>0</v>
      </c>
      <c r="BW23" s="60"/>
      <c r="BX23" s="65">
        <f t="shared" si="28"/>
        <v>0</v>
      </c>
      <c r="BY23" s="60"/>
      <c r="BZ23" s="67">
        <f t="shared" si="29"/>
        <v>0</v>
      </c>
      <c r="CA23" s="60"/>
      <c r="CB23" s="67">
        <f t="shared" si="30"/>
        <v>0</v>
      </c>
      <c r="CC23" s="60"/>
      <c r="CD23" s="67">
        <f t="shared" si="31"/>
        <v>0</v>
      </c>
      <c r="CE23" s="60"/>
      <c r="CF23" s="67">
        <f t="shared" si="32"/>
        <v>0</v>
      </c>
      <c r="CG23" s="60"/>
      <c r="CH23" s="67">
        <f t="shared" si="33"/>
        <v>0</v>
      </c>
      <c r="CI23" s="60"/>
      <c r="CJ23" s="67">
        <f t="shared" si="34"/>
        <v>0</v>
      </c>
      <c r="CK23" s="60"/>
      <c r="CL23" s="64">
        <f t="shared" si="35"/>
        <v>0</v>
      </c>
      <c r="CM23" s="65">
        <f t="shared" si="0"/>
        <v>0</v>
      </c>
      <c r="CN23" s="62">
        <v>0</v>
      </c>
      <c r="CO23" s="62">
        <v>0</v>
      </c>
      <c r="CP23" s="68"/>
      <c r="CQ23" s="67">
        <f t="shared" si="36"/>
        <v>0</v>
      </c>
      <c r="CR23" s="68"/>
      <c r="CS23" s="67">
        <f t="shared" si="36"/>
        <v>0</v>
      </c>
      <c r="CT23" s="75"/>
      <c r="CU23" s="67">
        <f t="shared" si="36"/>
        <v>0</v>
      </c>
      <c r="CV23" s="68"/>
      <c r="CW23" s="67">
        <f t="shared" si="36"/>
        <v>0</v>
      </c>
    </row>
    <row r="24" spans="1:101" ht="25.5" customHeight="1" thickBot="1" x14ac:dyDescent="0.45">
      <c r="A24" s="63">
        <v>44306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37"/>
        <v>0</v>
      </c>
      <c r="M24" s="58"/>
      <c r="N24" s="64">
        <f t="shared" si="5"/>
        <v>0</v>
      </c>
      <c r="O24" s="58"/>
      <c r="P24" s="67">
        <f t="shared" si="43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38"/>
        <v>0</v>
      </c>
      <c r="W24" s="58"/>
      <c r="X24" s="65">
        <f t="shared" si="41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7"/>
        <v>0</v>
      </c>
      <c r="BW24" s="60"/>
      <c r="BX24" s="65">
        <f t="shared" si="28"/>
        <v>0</v>
      </c>
      <c r="BY24" s="60"/>
      <c r="BZ24" s="67">
        <f t="shared" si="29"/>
        <v>0</v>
      </c>
      <c r="CA24" s="60"/>
      <c r="CB24" s="67">
        <f t="shared" si="30"/>
        <v>0</v>
      </c>
      <c r="CC24" s="60"/>
      <c r="CD24" s="67">
        <f t="shared" si="31"/>
        <v>0</v>
      </c>
      <c r="CE24" s="60"/>
      <c r="CF24" s="67">
        <f t="shared" si="32"/>
        <v>0</v>
      </c>
      <c r="CG24" s="60"/>
      <c r="CH24" s="67">
        <f t="shared" si="33"/>
        <v>0</v>
      </c>
      <c r="CI24" s="60"/>
      <c r="CJ24" s="67">
        <f t="shared" si="34"/>
        <v>0</v>
      </c>
      <c r="CK24" s="60"/>
      <c r="CL24" s="64">
        <f t="shared" si="35"/>
        <v>0</v>
      </c>
      <c r="CM24" s="65">
        <f t="shared" si="0"/>
        <v>0</v>
      </c>
      <c r="CN24" s="62">
        <v>0</v>
      </c>
      <c r="CO24" s="62">
        <v>0</v>
      </c>
      <c r="CP24" s="68"/>
      <c r="CQ24" s="67">
        <f t="shared" si="36"/>
        <v>0</v>
      </c>
      <c r="CR24" s="68"/>
      <c r="CS24" s="67">
        <f t="shared" si="36"/>
        <v>0</v>
      </c>
      <c r="CT24" s="75"/>
      <c r="CU24" s="67">
        <f t="shared" si="36"/>
        <v>0</v>
      </c>
      <c r="CV24" s="68"/>
      <c r="CW24" s="67">
        <f t="shared" si="36"/>
        <v>0</v>
      </c>
    </row>
    <row r="25" spans="1:101" ht="25.5" customHeight="1" thickBot="1" x14ac:dyDescent="0.45">
      <c r="A25" s="63">
        <v>44307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37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38"/>
        <v>0</v>
      </c>
      <c r="W25" s="58"/>
      <c r="X25" s="65">
        <f t="shared" si="41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7"/>
        <v>0</v>
      </c>
      <c r="BW25" s="60"/>
      <c r="BX25" s="65">
        <f t="shared" si="28"/>
        <v>0</v>
      </c>
      <c r="BY25" s="60"/>
      <c r="BZ25" s="67">
        <f t="shared" si="29"/>
        <v>0</v>
      </c>
      <c r="CA25" s="60"/>
      <c r="CB25" s="67">
        <f t="shared" si="30"/>
        <v>0</v>
      </c>
      <c r="CC25" s="60"/>
      <c r="CD25" s="67">
        <f t="shared" si="31"/>
        <v>0</v>
      </c>
      <c r="CE25" s="60"/>
      <c r="CF25" s="67">
        <f t="shared" si="32"/>
        <v>0</v>
      </c>
      <c r="CG25" s="60"/>
      <c r="CH25" s="67">
        <f t="shared" si="33"/>
        <v>0</v>
      </c>
      <c r="CI25" s="60"/>
      <c r="CJ25" s="67">
        <f t="shared" si="34"/>
        <v>0</v>
      </c>
      <c r="CK25" s="60"/>
      <c r="CL25" s="64">
        <f t="shared" si="35"/>
        <v>0</v>
      </c>
      <c r="CM25" s="65">
        <f t="shared" si="0"/>
        <v>0</v>
      </c>
      <c r="CN25" s="62">
        <v>0</v>
      </c>
      <c r="CO25" s="62">
        <v>0</v>
      </c>
      <c r="CP25" s="68"/>
      <c r="CQ25" s="67">
        <f t="shared" si="36"/>
        <v>0</v>
      </c>
      <c r="CR25" s="68"/>
      <c r="CS25" s="67">
        <f t="shared" si="36"/>
        <v>0</v>
      </c>
      <c r="CT25" s="75"/>
      <c r="CU25" s="67">
        <f t="shared" si="36"/>
        <v>0</v>
      </c>
      <c r="CV25" s="68"/>
      <c r="CW25" s="67">
        <f t="shared" si="36"/>
        <v>0</v>
      </c>
    </row>
    <row r="26" spans="1:101" ht="25.5" customHeight="1" thickBot="1" x14ac:dyDescent="0.45">
      <c r="A26" s="63">
        <v>44308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37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38"/>
        <v>0</v>
      </c>
      <c r="W26" s="58"/>
      <c r="X26" s="65">
        <f t="shared" si="41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7"/>
        <v>0</v>
      </c>
      <c r="BW26" s="60"/>
      <c r="BX26" s="65">
        <f t="shared" si="28"/>
        <v>0</v>
      </c>
      <c r="BY26" s="60"/>
      <c r="BZ26" s="67">
        <f t="shared" si="29"/>
        <v>0</v>
      </c>
      <c r="CA26" s="60"/>
      <c r="CB26" s="67">
        <f t="shared" si="30"/>
        <v>0</v>
      </c>
      <c r="CC26" s="60"/>
      <c r="CD26" s="67">
        <f t="shared" si="31"/>
        <v>0</v>
      </c>
      <c r="CE26" s="60"/>
      <c r="CF26" s="67">
        <f t="shared" si="32"/>
        <v>0</v>
      </c>
      <c r="CG26" s="60"/>
      <c r="CH26" s="67">
        <f t="shared" si="33"/>
        <v>0</v>
      </c>
      <c r="CI26" s="60"/>
      <c r="CJ26" s="67">
        <f t="shared" si="34"/>
        <v>0</v>
      </c>
      <c r="CK26" s="60"/>
      <c r="CL26" s="64">
        <f t="shared" si="35"/>
        <v>0</v>
      </c>
      <c r="CM26" s="65">
        <f t="shared" si="0"/>
        <v>0</v>
      </c>
      <c r="CN26" s="62">
        <v>0</v>
      </c>
      <c r="CO26" s="62">
        <v>0</v>
      </c>
      <c r="CP26" s="68"/>
      <c r="CQ26" s="67">
        <f t="shared" si="36"/>
        <v>0</v>
      </c>
      <c r="CR26" s="68"/>
      <c r="CS26" s="67">
        <f t="shared" si="36"/>
        <v>0</v>
      </c>
      <c r="CT26" s="75"/>
      <c r="CU26" s="67">
        <f t="shared" si="36"/>
        <v>0</v>
      </c>
      <c r="CV26" s="68"/>
      <c r="CW26" s="67">
        <f t="shared" si="36"/>
        <v>0</v>
      </c>
    </row>
    <row r="27" spans="1:101" ht="25.5" customHeight="1" thickBot="1" x14ac:dyDescent="0.45">
      <c r="A27" s="63">
        <v>44309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37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38"/>
        <v>0</v>
      </c>
      <c r="W27" s="58"/>
      <c r="X27" s="65">
        <f t="shared" si="41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7"/>
        <v>0</v>
      </c>
      <c r="BW27" s="60"/>
      <c r="BX27" s="65">
        <f t="shared" si="28"/>
        <v>0</v>
      </c>
      <c r="BY27" s="60"/>
      <c r="BZ27" s="67">
        <f t="shared" si="29"/>
        <v>0</v>
      </c>
      <c r="CA27" s="60"/>
      <c r="CB27" s="67">
        <f t="shared" si="30"/>
        <v>0</v>
      </c>
      <c r="CC27" s="60"/>
      <c r="CD27" s="67">
        <f>IF((CC27-CC26&lt;0), "",CC27-CC26)</f>
        <v>0</v>
      </c>
      <c r="CE27" s="60"/>
      <c r="CF27" s="67">
        <f t="shared" si="32"/>
        <v>0</v>
      </c>
      <c r="CG27" s="60"/>
      <c r="CH27" s="67">
        <f t="shared" si="33"/>
        <v>0</v>
      </c>
      <c r="CI27" s="60"/>
      <c r="CJ27" s="67">
        <f t="shared" si="34"/>
        <v>0</v>
      </c>
      <c r="CK27" s="60"/>
      <c r="CL27" s="64">
        <f t="shared" si="35"/>
        <v>0</v>
      </c>
      <c r="CM27" s="65">
        <f t="shared" si="0"/>
        <v>0</v>
      </c>
      <c r="CN27" s="62">
        <v>0</v>
      </c>
      <c r="CO27" s="62">
        <v>0</v>
      </c>
      <c r="CP27" s="68"/>
      <c r="CQ27" s="67">
        <f t="shared" si="36"/>
        <v>0</v>
      </c>
      <c r="CR27" s="68"/>
      <c r="CS27" s="67">
        <f t="shared" si="36"/>
        <v>0</v>
      </c>
      <c r="CT27" s="75"/>
      <c r="CU27" s="67">
        <f t="shared" si="36"/>
        <v>0</v>
      </c>
      <c r="CV27" s="68"/>
      <c r="CW27" s="67">
        <f t="shared" si="36"/>
        <v>0</v>
      </c>
    </row>
    <row r="28" spans="1:101" ht="25.5" customHeight="1" thickBot="1" x14ac:dyDescent="0.45">
      <c r="A28" s="63">
        <v>44310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37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38"/>
        <v>0</v>
      </c>
      <c r="W28" s="58"/>
      <c r="X28" s="65">
        <f t="shared" si="41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7"/>
        <v>0</v>
      </c>
      <c r="BW28" s="60"/>
      <c r="BX28" s="65">
        <f t="shared" si="28"/>
        <v>0</v>
      </c>
      <c r="BY28" s="60"/>
      <c r="BZ28" s="67">
        <f t="shared" si="29"/>
        <v>0</v>
      </c>
      <c r="CA28" s="60"/>
      <c r="CB28" s="67">
        <f t="shared" si="30"/>
        <v>0</v>
      </c>
      <c r="CC28" s="60"/>
      <c r="CD28" s="67">
        <f>IF((CC28-CC27&lt;0), "",CC28-CC27)</f>
        <v>0</v>
      </c>
      <c r="CE28" s="60"/>
      <c r="CF28" s="67">
        <f t="shared" si="32"/>
        <v>0</v>
      </c>
      <c r="CG28" s="60"/>
      <c r="CH28" s="67">
        <f t="shared" si="33"/>
        <v>0</v>
      </c>
      <c r="CI28" s="60"/>
      <c r="CJ28" s="67">
        <f t="shared" si="34"/>
        <v>0</v>
      </c>
      <c r="CK28" s="60"/>
      <c r="CL28" s="64">
        <f t="shared" si="35"/>
        <v>0</v>
      </c>
      <c r="CM28" s="65">
        <f t="shared" si="0"/>
        <v>0</v>
      </c>
      <c r="CN28" s="62">
        <v>0</v>
      </c>
      <c r="CO28" s="62">
        <v>0</v>
      </c>
      <c r="CP28" s="68"/>
      <c r="CQ28" s="67">
        <f t="shared" si="36"/>
        <v>0</v>
      </c>
      <c r="CR28" s="68"/>
      <c r="CS28" s="67">
        <f t="shared" si="36"/>
        <v>0</v>
      </c>
      <c r="CT28" s="75"/>
      <c r="CU28" s="67">
        <f t="shared" si="36"/>
        <v>0</v>
      </c>
      <c r="CV28" s="68"/>
      <c r="CW28" s="67">
        <f t="shared" si="36"/>
        <v>0</v>
      </c>
    </row>
    <row r="29" spans="1:101" ht="25.5" customHeight="1" thickBot="1" x14ac:dyDescent="0.45">
      <c r="A29" s="63">
        <v>44311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37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38"/>
        <v>0</v>
      </c>
      <c r="W29" s="58"/>
      <c r="X29" s="65">
        <f t="shared" si="41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7"/>
        <v>0</v>
      </c>
      <c r="BW29" s="60"/>
      <c r="BX29" s="65">
        <f t="shared" si="28"/>
        <v>0</v>
      </c>
      <c r="BY29" s="60"/>
      <c r="BZ29" s="67">
        <f t="shared" si="29"/>
        <v>0</v>
      </c>
      <c r="CA29" s="60"/>
      <c r="CB29" s="67">
        <f t="shared" si="30"/>
        <v>0</v>
      </c>
      <c r="CC29" s="60"/>
      <c r="CD29" s="67">
        <f>IF((CC29-CC28&lt;0), "",CC29-CC28)</f>
        <v>0</v>
      </c>
      <c r="CE29" s="60"/>
      <c r="CF29" s="67">
        <f t="shared" si="32"/>
        <v>0</v>
      </c>
      <c r="CG29" s="60"/>
      <c r="CH29" s="67">
        <f t="shared" si="33"/>
        <v>0</v>
      </c>
      <c r="CI29" s="60"/>
      <c r="CJ29" s="67">
        <f t="shared" si="34"/>
        <v>0</v>
      </c>
      <c r="CK29" s="60"/>
      <c r="CL29" s="64">
        <f t="shared" si="35"/>
        <v>0</v>
      </c>
      <c r="CM29" s="65">
        <f t="shared" si="0"/>
        <v>0</v>
      </c>
      <c r="CN29" s="62">
        <v>0</v>
      </c>
      <c r="CO29" s="62">
        <v>0</v>
      </c>
      <c r="CP29" s="68"/>
      <c r="CQ29" s="67">
        <f t="shared" si="36"/>
        <v>0</v>
      </c>
      <c r="CR29" s="68"/>
      <c r="CS29" s="67">
        <f t="shared" si="36"/>
        <v>0</v>
      </c>
      <c r="CT29" s="75"/>
      <c r="CU29" s="67">
        <f t="shared" si="36"/>
        <v>0</v>
      </c>
      <c r="CV29" s="68"/>
      <c r="CW29" s="67">
        <f t="shared" si="36"/>
        <v>0</v>
      </c>
    </row>
    <row r="30" spans="1:101" ht="25.5" customHeight="1" thickBot="1" x14ac:dyDescent="0.45">
      <c r="A30" s="63">
        <v>44312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37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38"/>
        <v>0</v>
      </c>
      <c r="W30" s="58"/>
      <c r="X30" s="65">
        <f t="shared" si="41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7"/>
        <v>0</v>
      </c>
      <c r="BW30" s="60"/>
      <c r="BX30" s="65">
        <f t="shared" si="28"/>
        <v>0</v>
      </c>
      <c r="BY30" s="60"/>
      <c r="BZ30" s="67">
        <f t="shared" si="29"/>
        <v>0</v>
      </c>
      <c r="CA30" s="60"/>
      <c r="CB30" s="67">
        <f t="shared" si="30"/>
        <v>0</v>
      </c>
      <c r="CC30" s="60"/>
      <c r="CD30" s="67">
        <f t="shared" si="31"/>
        <v>0</v>
      </c>
      <c r="CE30" s="60"/>
      <c r="CF30" s="67">
        <f t="shared" si="32"/>
        <v>0</v>
      </c>
      <c r="CG30" s="60"/>
      <c r="CH30" s="67">
        <f t="shared" si="33"/>
        <v>0</v>
      </c>
      <c r="CI30" s="60"/>
      <c r="CJ30" s="67">
        <f t="shared" si="34"/>
        <v>0</v>
      </c>
      <c r="CK30" s="60"/>
      <c r="CL30" s="64">
        <f t="shared" si="35"/>
        <v>0</v>
      </c>
      <c r="CM30" s="65">
        <f t="shared" si="0"/>
        <v>0</v>
      </c>
      <c r="CN30" s="62">
        <v>0</v>
      </c>
      <c r="CO30" s="62">
        <v>0</v>
      </c>
      <c r="CP30" s="68"/>
      <c r="CQ30" s="67">
        <f t="shared" si="36"/>
        <v>0</v>
      </c>
      <c r="CR30" s="68"/>
      <c r="CS30" s="67">
        <f t="shared" si="36"/>
        <v>0</v>
      </c>
      <c r="CT30" s="75"/>
      <c r="CU30" s="67">
        <f t="shared" si="36"/>
        <v>0</v>
      </c>
      <c r="CV30" s="68"/>
      <c r="CW30" s="67">
        <f t="shared" si="36"/>
        <v>0</v>
      </c>
    </row>
    <row r="31" spans="1:101" ht="25.5" customHeight="1" thickBot="1" x14ac:dyDescent="0.45">
      <c r="A31" s="63">
        <v>44313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37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7"/>
        <v>0</v>
      </c>
      <c r="S31" s="58"/>
      <c r="T31" s="67">
        <f>IF((S31-S30&lt;0), "",S31-S30)</f>
        <v>0</v>
      </c>
      <c r="U31" s="58"/>
      <c r="V31" s="67">
        <f t="shared" si="38"/>
        <v>0</v>
      </c>
      <c r="W31" s="58"/>
      <c r="X31" s="65">
        <f t="shared" si="41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7"/>
        <v>0</v>
      </c>
      <c r="BW31" s="60"/>
      <c r="BX31" s="65">
        <f t="shared" si="28"/>
        <v>0</v>
      </c>
      <c r="BY31" s="60"/>
      <c r="BZ31" s="67">
        <f t="shared" si="29"/>
        <v>0</v>
      </c>
      <c r="CA31" s="60"/>
      <c r="CB31" s="67">
        <f t="shared" si="30"/>
        <v>0</v>
      </c>
      <c r="CC31" s="60"/>
      <c r="CD31" s="67">
        <f t="shared" si="31"/>
        <v>0</v>
      </c>
      <c r="CE31" s="60"/>
      <c r="CF31" s="67">
        <f t="shared" si="32"/>
        <v>0</v>
      </c>
      <c r="CG31" s="60"/>
      <c r="CH31" s="67">
        <f t="shared" si="33"/>
        <v>0</v>
      </c>
      <c r="CI31" s="60"/>
      <c r="CJ31" s="67">
        <f t="shared" si="34"/>
        <v>0</v>
      </c>
      <c r="CK31" s="60"/>
      <c r="CL31" s="64">
        <f t="shared" si="35"/>
        <v>0</v>
      </c>
      <c r="CM31" s="65">
        <f t="shared" si="0"/>
        <v>0</v>
      </c>
      <c r="CN31" s="62">
        <v>0</v>
      </c>
      <c r="CO31" s="62">
        <v>0</v>
      </c>
      <c r="CP31" s="68"/>
      <c r="CQ31" s="67">
        <f t="shared" si="36"/>
        <v>0</v>
      </c>
      <c r="CR31" s="68"/>
      <c r="CS31" s="67">
        <f t="shared" si="36"/>
        <v>0</v>
      </c>
      <c r="CT31" s="75"/>
      <c r="CU31" s="67">
        <f t="shared" si="36"/>
        <v>0</v>
      </c>
      <c r="CV31" s="68"/>
      <c r="CW31" s="67">
        <f t="shared" si="36"/>
        <v>0</v>
      </c>
    </row>
    <row r="32" spans="1:101" ht="25.5" customHeight="1" thickBot="1" x14ac:dyDescent="0.45">
      <c r="A32" s="63">
        <v>44314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37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38"/>
        <v>0</v>
      </c>
      <c r="W32" s="58"/>
      <c r="X32" s="65">
        <f t="shared" si="41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7"/>
        <v>0</v>
      </c>
      <c r="BW32" s="60"/>
      <c r="BX32" s="65">
        <f t="shared" si="28"/>
        <v>0</v>
      </c>
      <c r="BY32" s="60"/>
      <c r="BZ32" s="67">
        <f t="shared" si="29"/>
        <v>0</v>
      </c>
      <c r="CA32" s="60"/>
      <c r="CB32" s="67">
        <f t="shared" si="30"/>
        <v>0</v>
      </c>
      <c r="CC32" s="60"/>
      <c r="CD32" s="67">
        <f t="shared" si="31"/>
        <v>0</v>
      </c>
      <c r="CE32" s="60"/>
      <c r="CF32" s="67">
        <f t="shared" si="32"/>
        <v>0</v>
      </c>
      <c r="CG32" s="60"/>
      <c r="CH32" s="67">
        <f t="shared" si="33"/>
        <v>0</v>
      </c>
      <c r="CI32" s="60"/>
      <c r="CJ32" s="67">
        <f t="shared" si="34"/>
        <v>0</v>
      </c>
      <c r="CK32" s="60"/>
      <c r="CL32" s="64">
        <f t="shared" si="35"/>
        <v>0</v>
      </c>
      <c r="CM32" s="65">
        <f t="shared" si="0"/>
        <v>0</v>
      </c>
      <c r="CN32" s="62">
        <v>0</v>
      </c>
      <c r="CO32" s="62">
        <v>0</v>
      </c>
      <c r="CP32" s="68"/>
      <c r="CQ32" s="67">
        <f t="shared" si="36"/>
        <v>0</v>
      </c>
      <c r="CR32" s="68"/>
      <c r="CS32" s="67">
        <f t="shared" si="36"/>
        <v>0</v>
      </c>
      <c r="CT32" s="75"/>
      <c r="CU32" s="67">
        <f t="shared" si="36"/>
        <v>0</v>
      </c>
      <c r="CV32" s="68"/>
      <c r="CW32" s="67">
        <f t="shared" si="36"/>
        <v>0</v>
      </c>
    </row>
    <row r="33" spans="1:101" ht="25.5" customHeight="1" thickBot="1" x14ac:dyDescent="0.45">
      <c r="A33" s="63">
        <v>44315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37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38"/>
        <v>0</v>
      </c>
      <c r="W33" s="58"/>
      <c r="X33" s="65">
        <f t="shared" si="41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7"/>
        <v>0</v>
      </c>
      <c r="BW33" s="60"/>
      <c r="BX33" s="65">
        <f t="shared" si="28"/>
        <v>0</v>
      </c>
      <c r="BY33" s="60"/>
      <c r="BZ33" s="67">
        <f t="shared" si="29"/>
        <v>0</v>
      </c>
      <c r="CA33" s="60"/>
      <c r="CB33" s="67">
        <f t="shared" si="30"/>
        <v>0</v>
      </c>
      <c r="CC33" s="60"/>
      <c r="CD33" s="67">
        <f t="shared" si="31"/>
        <v>0</v>
      </c>
      <c r="CE33" s="60"/>
      <c r="CF33" s="67">
        <f t="shared" si="32"/>
        <v>0</v>
      </c>
      <c r="CG33" s="60"/>
      <c r="CH33" s="67">
        <f t="shared" si="33"/>
        <v>0</v>
      </c>
      <c r="CI33" s="60"/>
      <c r="CJ33" s="67">
        <f t="shared" si="34"/>
        <v>0</v>
      </c>
      <c r="CK33" s="60"/>
      <c r="CL33" s="64">
        <f t="shared" si="35"/>
        <v>0</v>
      </c>
      <c r="CM33" s="65">
        <f t="shared" si="0"/>
        <v>0</v>
      </c>
      <c r="CN33" s="62">
        <v>0</v>
      </c>
      <c r="CO33" s="62">
        <v>0</v>
      </c>
      <c r="CP33" s="68"/>
      <c r="CQ33" s="67">
        <f t="shared" si="36"/>
        <v>0</v>
      </c>
      <c r="CR33" s="68"/>
      <c r="CS33" s="67">
        <f t="shared" si="36"/>
        <v>0</v>
      </c>
      <c r="CT33" s="75"/>
      <c r="CU33" s="67">
        <f t="shared" si="36"/>
        <v>0</v>
      </c>
      <c r="CV33" s="68"/>
      <c r="CW33" s="67">
        <f t="shared" si="36"/>
        <v>0</v>
      </c>
    </row>
    <row r="34" spans="1:101" ht="25.5" customHeight="1" thickBot="1" x14ac:dyDescent="0.45">
      <c r="A34" s="63">
        <v>44316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37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38"/>
        <v>0</v>
      </c>
      <c r="W34" s="58"/>
      <c r="X34" s="65">
        <f t="shared" si="41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7"/>
        <v>0</v>
      </c>
      <c r="BW34" s="60"/>
      <c r="BX34" s="65">
        <f t="shared" si="28"/>
        <v>0</v>
      </c>
      <c r="BY34" s="60"/>
      <c r="BZ34" s="67">
        <f t="shared" si="29"/>
        <v>0</v>
      </c>
      <c r="CA34" s="60"/>
      <c r="CB34" s="67">
        <f>IF((CA34-CA33&lt;0), "",CA34-CA33)</f>
        <v>0</v>
      </c>
      <c r="CC34" s="60"/>
      <c r="CD34" s="67">
        <f t="shared" si="31"/>
        <v>0</v>
      </c>
      <c r="CE34" s="60"/>
      <c r="CF34" s="67">
        <f>IF((CE34-CE33&lt;0), "",CE34-CE33)</f>
        <v>0</v>
      </c>
      <c r="CG34" s="60"/>
      <c r="CH34" s="67">
        <f t="shared" si="33"/>
        <v>0</v>
      </c>
      <c r="CI34" s="60"/>
      <c r="CJ34" s="67">
        <f t="shared" si="34"/>
        <v>0</v>
      </c>
      <c r="CK34" s="60"/>
      <c r="CL34" s="64">
        <f t="shared" si="35"/>
        <v>0</v>
      </c>
      <c r="CM34" s="65">
        <f t="shared" si="0"/>
        <v>0</v>
      </c>
      <c r="CN34" s="62">
        <v>0</v>
      </c>
      <c r="CO34" s="62">
        <v>0</v>
      </c>
      <c r="CP34" s="68"/>
      <c r="CQ34" s="67">
        <f t="shared" si="36"/>
        <v>0</v>
      </c>
      <c r="CR34" s="68"/>
      <c r="CS34" s="67">
        <f t="shared" si="36"/>
        <v>0</v>
      </c>
      <c r="CT34" s="75"/>
      <c r="CU34" s="67">
        <f t="shared" si="36"/>
        <v>0</v>
      </c>
      <c r="CV34" s="68"/>
      <c r="CW34" s="67">
        <f t="shared" si="36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7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A2" zoomScaleNormal="100" workbookViewId="0">
      <selection activeCell="O21" sqref="O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7">
        <v>79</v>
      </c>
      <c r="S7" s="77">
        <v>197</v>
      </c>
    </row>
    <row r="8" spans="1:20" x14ac:dyDescent="0.25">
      <c r="A8" s="73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7">
        <v>79</v>
      </c>
      <c r="S8" s="77">
        <v>197</v>
      </c>
      <c r="T8">
        <f>S8-S7</f>
        <v>0</v>
      </c>
    </row>
    <row r="9" spans="1:20" x14ac:dyDescent="0.25">
      <c r="A9" s="73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7">
        <v>79</v>
      </c>
      <c r="S9" s="77">
        <v>197</v>
      </c>
      <c r="T9">
        <f t="shared" ref="T9:T37" si="0">S9-S8</f>
        <v>0</v>
      </c>
    </row>
    <row r="10" spans="1:20" x14ac:dyDescent="0.25">
      <c r="A10" s="73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7">
        <v>79</v>
      </c>
      <c r="S10" s="77">
        <v>197</v>
      </c>
      <c r="T10">
        <f t="shared" si="0"/>
        <v>0</v>
      </c>
    </row>
    <row r="11" spans="1:20" x14ac:dyDescent="0.25">
      <c r="A11" s="73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7">
        <v>79</v>
      </c>
      <c r="S11" s="77">
        <v>197</v>
      </c>
      <c r="T11">
        <f t="shared" si="0"/>
        <v>0</v>
      </c>
    </row>
    <row r="12" spans="1:20" x14ac:dyDescent="0.25">
      <c r="A12" s="73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7">
        <v>79</v>
      </c>
      <c r="S12" s="77">
        <v>197</v>
      </c>
      <c r="T12">
        <f t="shared" si="0"/>
        <v>0</v>
      </c>
    </row>
    <row r="13" spans="1:20" x14ac:dyDescent="0.25">
      <c r="A13" s="73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7">
        <v>75</v>
      </c>
      <c r="S13" s="77">
        <v>197</v>
      </c>
      <c r="T13">
        <f t="shared" si="0"/>
        <v>0</v>
      </c>
    </row>
    <row r="14" spans="1:20" x14ac:dyDescent="0.25">
      <c r="A14" s="73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7">
        <v>75</v>
      </c>
      <c r="S14" s="77">
        <v>197</v>
      </c>
      <c r="T14">
        <f t="shared" si="0"/>
        <v>0</v>
      </c>
    </row>
    <row r="15" spans="1:20" x14ac:dyDescent="0.25">
      <c r="A15" s="73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7">
        <v>75</v>
      </c>
      <c r="S15" s="77">
        <v>197</v>
      </c>
      <c r="T15">
        <f t="shared" si="0"/>
        <v>0</v>
      </c>
    </row>
    <row r="16" spans="1:20" x14ac:dyDescent="0.25">
      <c r="A16" s="73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7">
        <v>75</v>
      </c>
      <c r="S16" s="77">
        <v>197</v>
      </c>
      <c r="T16">
        <f t="shared" si="0"/>
        <v>0</v>
      </c>
    </row>
    <row r="17" spans="1:20" x14ac:dyDescent="0.25">
      <c r="A17" s="73">
        <v>44296</v>
      </c>
      <c r="B17" s="40">
        <v>0</v>
      </c>
      <c r="C17" s="40">
        <v>0</v>
      </c>
      <c r="D17" s="40">
        <v>0</v>
      </c>
      <c r="E17" s="41">
        <v>0</v>
      </c>
      <c r="F17" s="41">
        <v>4983</v>
      </c>
      <c r="G17" s="41">
        <v>0</v>
      </c>
      <c r="H17" s="41">
        <v>1401</v>
      </c>
      <c r="I17" s="41">
        <v>80</v>
      </c>
      <c r="J17" s="41">
        <v>282</v>
      </c>
      <c r="K17" s="42">
        <v>25</v>
      </c>
      <c r="L17" s="42">
        <v>85</v>
      </c>
      <c r="M17" s="42">
        <v>1221</v>
      </c>
      <c r="N17" s="39">
        <v>0</v>
      </c>
      <c r="O17" s="39">
        <v>80</v>
      </c>
      <c r="P17" s="39">
        <v>85</v>
      </c>
      <c r="Q17" s="39">
        <v>3515</v>
      </c>
      <c r="R17" s="77">
        <v>75</v>
      </c>
      <c r="S17" s="77">
        <v>197</v>
      </c>
      <c r="T17">
        <f t="shared" si="0"/>
        <v>0</v>
      </c>
    </row>
    <row r="18" spans="1:20" x14ac:dyDescent="0.25">
      <c r="A18" s="73">
        <v>44297</v>
      </c>
      <c r="B18" s="40">
        <v>0</v>
      </c>
      <c r="C18" s="40">
        <v>0</v>
      </c>
      <c r="D18" s="40">
        <v>0</v>
      </c>
      <c r="E18" s="41">
        <v>0</v>
      </c>
      <c r="F18" s="41">
        <v>4989</v>
      </c>
      <c r="G18" s="41">
        <v>0</v>
      </c>
      <c r="H18" s="41">
        <v>1402</v>
      </c>
      <c r="I18" s="41">
        <v>80</v>
      </c>
      <c r="J18" s="41">
        <v>283</v>
      </c>
      <c r="K18" s="42">
        <v>25</v>
      </c>
      <c r="L18" s="42">
        <v>85</v>
      </c>
      <c r="M18" s="42">
        <v>1225</v>
      </c>
      <c r="N18" s="39">
        <v>0</v>
      </c>
      <c r="O18" s="39">
        <v>80</v>
      </c>
      <c r="P18" s="39">
        <v>85</v>
      </c>
      <c r="Q18" s="39">
        <v>3519</v>
      </c>
      <c r="R18" s="77">
        <v>75</v>
      </c>
      <c r="S18" s="77">
        <v>197</v>
      </c>
      <c r="T18">
        <f t="shared" si="0"/>
        <v>0</v>
      </c>
    </row>
    <row r="19" spans="1:20" x14ac:dyDescent="0.25">
      <c r="A19" s="73">
        <v>44298</v>
      </c>
      <c r="B19" s="40">
        <v>0</v>
      </c>
      <c r="C19" s="40">
        <v>0</v>
      </c>
      <c r="D19" s="40">
        <v>0</v>
      </c>
      <c r="E19" s="41">
        <v>0</v>
      </c>
      <c r="F19" s="41">
        <v>4996</v>
      </c>
      <c r="G19" s="41">
        <v>0</v>
      </c>
      <c r="H19" s="41">
        <v>1405</v>
      </c>
      <c r="I19" s="41">
        <v>70</v>
      </c>
      <c r="J19" s="41">
        <v>284</v>
      </c>
      <c r="K19" s="42">
        <v>20</v>
      </c>
      <c r="L19" s="42">
        <v>85</v>
      </c>
      <c r="M19" s="42">
        <v>1228</v>
      </c>
      <c r="N19" s="39">
        <v>0</v>
      </c>
      <c r="O19" s="39">
        <v>80</v>
      </c>
      <c r="P19" s="39">
        <v>85</v>
      </c>
      <c r="Q19" s="39">
        <v>3524</v>
      </c>
      <c r="R19" s="77">
        <v>75</v>
      </c>
      <c r="S19" s="77">
        <v>197</v>
      </c>
      <c r="T19">
        <f t="shared" si="0"/>
        <v>0</v>
      </c>
    </row>
    <row r="20" spans="1:20" x14ac:dyDescent="0.25">
      <c r="A20" s="73">
        <v>44299</v>
      </c>
      <c r="B20" s="40">
        <v>0</v>
      </c>
      <c r="C20" s="40">
        <v>0</v>
      </c>
      <c r="D20" s="40">
        <v>0</v>
      </c>
      <c r="E20" s="41">
        <v>0</v>
      </c>
      <c r="F20" s="41">
        <v>5002</v>
      </c>
      <c r="G20" s="41">
        <v>0</v>
      </c>
      <c r="H20" s="41">
        <v>1406</v>
      </c>
      <c r="I20" s="41">
        <v>65</v>
      </c>
      <c r="J20" s="41">
        <v>285</v>
      </c>
      <c r="K20" s="42">
        <v>20</v>
      </c>
      <c r="L20" s="42">
        <v>85</v>
      </c>
      <c r="M20" s="42">
        <v>1230</v>
      </c>
      <c r="N20" s="39">
        <v>0</v>
      </c>
      <c r="O20" s="39">
        <v>79</v>
      </c>
      <c r="P20" s="39">
        <v>85</v>
      </c>
      <c r="Q20" s="39">
        <v>3529</v>
      </c>
      <c r="R20" s="77">
        <v>75</v>
      </c>
      <c r="S20" s="77">
        <v>197</v>
      </c>
      <c r="T20">
        <f t="shared" si="0"/>
        <v>0</v>
      </c>
    </row>
    <row r="21" spans="1:20" x14ac:dyDescent="0.25">
      <c r="A21" s="73">
        <v>44300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-197</v>
      </c>
    </row>
    <row r="22" spans="1:20" x14ac:dyDescent="0.25">
      <c r="A22" s="73">
        <v>44301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44302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44303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44304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44305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44306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44307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44308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44309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44310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44311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44312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2021-04-13T18:03:17Z</dcterms:modified>
</cp:coreProperties>
</file>