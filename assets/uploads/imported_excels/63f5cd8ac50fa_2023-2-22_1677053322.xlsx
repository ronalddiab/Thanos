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0" yWindow="0" windowWidth="28800" windowHeight="11895" tabRatio="620" activeTab="5"/>
  </bookViews>
  <sheets>
    <sheet name="1月" sheetId="120" r:id="rId1"/>
    <sheet name="TOTAL2" sheetId="135" r:id="rId2"/>
    <sheet name="2月" sheetId="119" r:id="rId3"/>
    <sheet name="TOTAL3" sheetId="136" r:id="rId4"/>
    <sheet name="3月" sheetId="122" r:id="rId5"/>
    <sheet name="TOTAL4" sheetId="137" r:id="rId6"/>
    <sheet name="4月" sheetId="123" r:id="rId7"/>
    <sheet name="5月" sheetId="124" r:id="rId8"/>
    <sheet name="6月" sheetId="125" r:id="rId9"/>
    <sheet name="7月" sheetId="130" r:id="rId10"/>
    <sheet name="8月" sheetId="129" r:id="rId11"/>
    <sheet name="9月 " sheetId="131" r:id="rId12"/>
    <sheet name="10月 " sheetId="133" r:id="rId13"/>
    <sheet name="11月 " sheetId="132" r:id="rId14"/>
    <sheet name="12月 " sheetId="134" r:id="rId15"/>
  </sheets>
  <externalReferences>
    <externalReference r:id="rId16"/>
    <externalReference r:id="rId17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37" l="1"/>
  <c r="K31" i="137"/>
  <c r="L30" i="137"/>
  <c r="K30" i="137"/>
  <c r="B30" i="137"/>
  <c r="B31" i="137" s="1"/>
  <c r="L32" i="136"/>
  <c r="K32" i="136"/>
  <c r="L31" i="136"/>
  <c r="K31" i="136"/>
  <c r="B31" i="136"/>
  <c r="B32" i="136" s="1"/>
  <c r="L30" i="136"/>
  <c r="K30" i="136"/>
  <c r="B30" i="136"/>
  <c r="L29" i="137" l="1"/>
  <c r="K29" i="137"/>
  <c r="L28" i="137"/>
  <c r="K28" i="137"/>
  <c r="L27" i="137"/>
  <c r="K27" i="137"/>
  <c r="L26" i="137"/>
  <c r="K26" i="137"/>
  <c r="L25" i="137"/>
  <c r="K25" i="137"/>
  <c r="L24" i="137"/>
  <c r="K24" i="137"/>
  <c r="L23" i="137"/>
  <c r="K23" i="137"/>
  <c r="L22" i="137"/>
  <c r="K22" i="137"/>
  <c r="L21" i="137"/>
  <c r="K21" i="137"/>
  <c r="L20" i="137"/>
  <c r="K20" i="137"/>
  <c r="L19" i="137"/>
  <c r="K19" i="137"/>
  <c r="L18" i="137"/>
  <c r="K18" i="137"/>
  <c r="L17" i="137"/>
  <c r="K17" i="137"/>
  <c r="L16" i="137"/>
  <c r="K16" i="137"/>
  <c r="L15" i="137"/>
  <c r="K15" i="137"/>
  <c r="L14" i="137"/>
  <c r="K14" i="137"/>
  <c r="L13" i="137"/>
  <c r="K13" i="137"/>
  <c r="L12" i="137"/>
  <c r="K12" i="137"/>
  <c r="L11" i="137"/>
  <c r="K11" i="137"/>
  <c r="L10" i="137"/>
  <c r="K10" i="137"/>
  <c r="L9" i="137"/>
  <c r="K9" i="137"/>
  <c r="L8" i="137"/>
  <c r="K8" i="137"/>
  <c r="L7" i="137"/>
  <c r="K7" i="137"/>
  <c r="L6" i="137"/>
  <c r="K6" i="137"/>
  <c r="L5" i="137"/>
  <c r="K5" i="137"/>
  <c r="B5" i="137"/>
  <c r="B6" i="137" s="1"/>
  <c r="B7" i="137" s="1"/>
  <c r="B8" i="137" s="1"/>
  <c r="B9" i="137" s="1"/>
  <c r="B10" i="137" s="1"/>
  <c r="B11" i="137" s="1"/>
  <c r="B12" i="137" s="1"/>
  <c r="B13" i="137" s="1"/>
  <c r="B14" i="137" s="1"/>
  <c r="B15" i="137" s="1"/>
  <c r="B16" i="137" s="1"/>
  <c r="B17" i="137" s="1"/>
  <c r="B18" i="137" s="1"/>
  <c r="B19" i="137" s="1"/>
  <c r="B20" i="137" s="1"/>
  <c r="B21" i="137" s="1"/>
  <c r="B22" i="137" s="1"/>
  <c r="B23" i="137" s="1"/>
  <c r="B24" i="137" s="1"/>
  <c r="B25" i="137" s="1"/>
  <c r="B26" i="137" s="1"/>
  <c r="B27" i="137" s="1"/>
  <c r="B28" i="137" s="1"/>
  <c r="B29" i="137" s="1"/>
  <c r="L4" i="137"/>
  <c r="K4" i="137"/>
  <c r="B4" i="137"/>
  <c r="L3" i="137"/>
  <c r="K3" i="137"/>
  <c r="B3" i="137"/>
  <c r="L2" i="137"/>
  <c r="K2" i="137"/>
  <c r="L29" i="136"/>
  <c r="K29" i="136"/>
  <c r="L28" i="136"/>
  <c r="K28" i="136"/>
  <c r="L27" i="136"/>
  <c r="K27" i="136"/>
  <c r="L26" i="136"/>
  <c r="K26" i="136"/>
  <c r="L25" i="136"/>
  <c r="K25" i="136"/>
  <c r="L24" i="136"/>
  <c r="K24" i="136"/>
  <c r="L23" i="136"/>
  <c r="K23" i="136"/>
  <c r="L22" i="136"/>
  <c r="K22" i="136"/>
  <c r="L21" i="136"/>
  <c r="K21" i="136"/>
  <c r="L20" i="136"/>
  <c r="K20" i="136"/>
  <c r="L19" i="136"/>
  <c r="K19" i="136"/>
  <c r="L18" i="136"/>
  <c r="K18" i="136"/>
  <c r="L17" i="136"/>
  <c r="K17" i="136"/>
  <c r="L16" i="136"/>
  <c r="K16" i="136"/>
  <c r="L15" i="136"/>
  <c r="K15" i="136"/>
  <c r="L14" i="136"/>
  <c r="K14" i="136"/>
  <c r="L13" i="136"/>
  <c r="K13" i="136"/>
  <c r="L12" i="136"/>
  <c r="K12" i="136"/>
  <c r="L11" i="136"/>
  <c r="K11" i="136"/>
  <c r="L10" i="136"/>
  <c r="K10" i="136"/>
  <c r="L9" i="136"/>
  <c r="K9" i="136"/>
  <c r="L8" i="136"/>
  <c r="K8" i="136"/>
  <c r="L7" i="136"/>
  <c r="K7" i="136"/>
  <c r="L6" i="136"/>
  <c r="K6" i="136"/>
  <c r="L5" i="136"/>
  <c r="K5" i="136"/>
  <c r="L4" i="136"/>
  <c r="K4" i="136"/>
  <c r="L3" i="136"/>
  <c r="K3" i="136"/>
  <c r="B3" i="136"/>
  <c r="B4" i="136" s="1"/>
  <c r="B5" i="136" s="1"/>
  <c r="B6" i="136" s="1"/>
  <c r="B7" i="136" s="1"/>
  <c r="B8" i="136" s="1"/>
  <c r="B9" i="136" s="1"/>
  <c r="B10" i="136" s="1"/>
  <c r="B11" i="136" s="1"/>
  <c r="B12" i="136" s="1"/>
  <c r="B13" i="136" s="1"/>
  <c r="B14" i="136" s="1"/>
  <c r="B15" i="136" s="1"/>
  <c r="B16" i="136" s="1"/>
  <c r="B17" i="136" s="1"/>
  <c r="B18" i="136" s="1"/>
  <c r="B19" i="136" s="1"/>
  <c r="B20" i="136" s="1"/>
  <c r="B21" i="136" s="1"/>
  <c r="B22" i="136" s="1"/>
  <c r="B23" i="136" s="1"/>
  <c r="B24" i="136" s="1"/>
  <c r="B25" i="136" s="1"/>
  <c r="B26" i="136" s="1"/>
  <c r="B27" i="136" s="1"/>
  <c r="B28" i="136" s="1"/>
  <c r="B29" i="136" s="1"/>
  <c r="L2" i="136"/>
  <c r="K2" i="136"/>
  <c r="L29" i="135"/>
  <c r="K29" i="135"/>
  <c r="L28" i="135"/>
  <c r="K28" i="135"/>
  <c r="L27" i="135"/>
  <c r="K27" i="135"/>
  <c r="L26" i="135"/>
  <c r="K26" i="135"/>
  <c r="L25" i="135"/>
  <c r="K25" i="135"/>
  <c r="L24" i="135"/>
  <c r="K24" i="135"/>
  <c r="L23" i="135"/>
  <c r="K23" i="135"/>
  <c r="L22" i="135"/>
  <c r="K22" i="135"/>
  <c r="L21" i="135"/>
  <c r="K21" i="135"/>
  <c r="L20" i="135"/>
  <c r="K20" i="135"/>
  <c r="L19" i="135"/>
  <c r="K19" i="135"/>
  <c r="L18" i="135"/>
  <c r="K18" i="135"/>
  <c r="L17" i="135"/>
  <c r="K17" i="135"/>
  <c r="L16" i="135"/>
  <c r="K16" i="135"/>
  <c r="L15" i="135"/>
  <c r="K15" i="135"/>
  <c r="L14" i="135"/>
  <c r="K14" i="135"/>
  <c r="L13" i="135"/>
  <c r="K13" i="135"/>
  <c r="L12" i="135"/>
  <c r="K12" i="135"/>
  <c r="L11" i="135"/>
  <c r="K11" i="135"/>
  <c r="L10" i="135"/>
  <c r="K10" i="135"/>
  <c r="L9" i="135"/>
  <c r="K9" i="135"/>
  <c r="L8" i="135"/>
  <c r="K8" i="135"/>
  <c r="L7" i="135"/>
  <c r="K7" i="135"/>
  <c r="L6" i="135"/>
  <c r="K6" i="135"/>
  <c r="B6" i="135"/>
  <c r="B7" i="135" s="1"/>
  <c r="B8" i="135" s="1"/>
  <c r="B9" i="135" s="1"/>
  <c r="B10" i="135" s="1"/>
  <c r="B11" i="135" s="1"/>
  <c r="B12" i="135" s="1"/>
  <c r="B13" i="135" s="1"/>
  <c r="B14" i="135" s="1"/>
  <c r="B15" i="135" s="1"/>
  <c r="B16" i="135" s="1"/>
  <c r="B17" i="135" s="1"/>
  <c r="B18" i="135" s="1"/>
  <c r="B19" i="135" s="1"/>
  <c r="B20" i="135" s="1"/>
  <c r="B21" i="135" s="1"/>
  <c r="B22" i="135" s="1"/>
  <c r="B23" i="135" s="1"/>
  <c r="B24" i="135" s="1"/>
  <c r="B25" i="135" s="1"/>
  <c r="B26" i="135" s="1"/>
  <c r="B27" i="135" s="1"/>
  <c r="B28" i="135" s="1"/>
  <c r="B29" i="135" s="1"/>
  <c r="L5" i="135"/>
  <c r="K5" i="135"/>
  <c r="B5" i="135"/>
  <c r="L4" i="135"/>
  <c r="K4" i="135"/>
  <c r="B4" i="135"/>
  <c r="L3" i="135"/>
  <c r="K3" i="135"/>
  <c r="B3" i="135"/>
  <c r="L2" i="135"/>
  <c r="K2" i="135"/>
  <c r="H35" i="134" l="1"/>
  <c r="F35" i="134"/>
  <c r="D35" i="134"/>
  <c r="H34" i="134"/>
  <c r="F34" i="134"/>
  <c r="D34" i="134"/>
  <c r="H33" i="134"/>
  <c r="F33" i="134"/>
  <c r="D33" i="134"/>
  <c r="H32" i="134"/>
  <c r="F32" i="134"/>
  <c r="D32" i="134"/>
  <c r="H31" i="134"/>
  <c r="F31" i="134"/>
  <c r="D31" i="134"/>
  <c r="H30" i="134"/>
  <c r="F30" i="134"/>
  <c r="D30" i="134"/>
  <c r="H29" i="134"/>
  <c r="F29" i="134"/>
  <c r="D29" i="134"/>
  <c r="H28" i="134"/>
  <c r="F28" i="134"/>
  <c r="D28" i="134"/>
  <c r="H27" i="134"/>
  <c r="F27" i="134"/>
  <c r="D27" i="134"/>
  <c r="H26" i="134"/>
  <c r="F26" i="134"/>
  <c r="D26" i="134"/>
  <c r="H25" i="134"/>
  <c r="F25" i="134"/>
  <c r="D25" i="134"/>
  <c r="H24" i="134"/>
  <c r="F24" i="134"/>
  <c r="D24" i="134"/>
  <c r="H23" i="134"/>
  <c r="F23" i="134"/>
  <c r="D23" i="134"/>
  <c r="H22" i="134"/>
  <c r="F22" i="134"/>
  <c r="D22" i="134"/>
  <c r="H21" i="134"/>
  <c r="F21" i="134"/>
  <c r="D21" i="134"/>
  <c r="H20" i="134"/>
  <c r="F20" i="134"/>
  <c r="D20" i="134"/>
  <c r="H19" i="134"/>
  <c r="F19" i="134"/>
  <c r="D19" i="134"/>
  <c r="H18" i="134"/>
  <c r="F18" i="134"/>
  <c r="D18" i="134"/>
  <c r="H17" i="134"/>
  <c r="F17" i="134"/>
  <c r="D17" i="134"/>
  <c r="H16" i="134"/>
  <c r="F16" i="134"/>
  <c r="D16" i="134"/>
  <c r="H15" i="134"/>
  <c r="F15" i="134"/>
  <c r="D15" i="134"/>
  <c r="H14" i="134"/>
  <c r="F14" i="134"/>
  <c r="D14" i="134"/>
  <c r="H13" i="134"/>
  <c r="F13" i="134"/>
  <c r="D13" i="134"/>
  <c r="H12" i="134"/>
  <c r="F12" i="134"/>
  <c r="D12" i="134"/>
  <c r="H11" i="134"/>
  <c r="F11" i="134"/>
  <c r="D11" i="134"/>
  <c r="H10" i="134"/>
  <c r="F10" i="134"/>
  <c r="D10" i="134"/>
  <c r="H9" i="134"/>
  <c r="F9" i="134"/>
  <c r="D9" i="134"/>
  <c r="H8" i="134"/>
  <c r="F8" i="134"/>
  <c r="D8" i="134"/>
  <c r="H7" i="134"/>
  <c r="F7" i="134"/>
  <c r="D7" i="134"/>
  <c r="H6" i="134"/>
  <c r="F6" i="134"/>
  <c r="D6" i="134"/>
  <c r="H5" i="134"/>
  <c r="F5" i="134"/>
  <c r="D5" i="134"/>
  <c r="H35" i="133"/>
  <c r="F35" i="133"/>
  <c r="D35" i="133"/>
  <c r="H34" i="133"/>
  <c r="F34" i="133"/>
  <c r="D34" i="133"/>
  <c r="H33" i="133"/>
  <c r="F33" i="133"/>
  <c r="D33" i="133"/>
  <c r="H32" i="133"/>
  <c r="F32" i="133"/>
  <c r="D32" i="133"/>
  <c r="H31" i="133"/>
  <c r="F31" i="133"/>
  <c r="D31" i="133"/>
  <c r="H30" i="133"/>
  <c r="F30" i="133"/>
  <c r="D30" i="133"/>
  <c r="H29" i="133"/>
  <c r="F29" i="133"/>
  <c r="D29" i="133"/>
  <c r="H28" i="133"/>
  <c r="F28" i="133"/>
  <c r="D28" i="133"/>
  <c r="H27" i="133"/>
  <c r="F27" i="133"/>
  <c r="D27" i="133"/>
  <c r="H26" i="133"/>
  <c r="F26" i="133"/>
  <c r="D26" i="133"/>
  <c r="H25" i="133"/>
  <c r="F25" i="133"/>
  <c r="D25" i="133"/>
  <c r="H24" i="133"/>
  <c r="F24" i="133"/>
  <c r="D24" i="133"/>
  <c r="H23" i="133"/>
  <c r="F23" i="133"/>
  <c r="D23" i="133"/>
  <c r="H22" i="133"/>
  <c r="F22" i="133"/>
  <c r="D22" i="133"/>
  <c r="H21" i="133"/>
  <c r="F21" i="133"/>
  <c r="D21" i="133"/>
  <c r="H20" i="133"/>
  <c r="F20" i="133"/>
  <c r="D20" i="133"/>
  <c r="H19" i="133"/>
  <c r="F19" i="133"/>
  <c r="D19" i="133"/>
  <c r="H18" i="133"/>
  <c r="F18" i="133"/>
  <c r="D18" i="133"/>
  <c r="H17" i="133"/>
  <c r="F17" i="133"/>
  <c r="D17" i="133"/>
  <c r="H16" i="133"/>
  <c r="F16" i="133"/>
  <c r="D16" i="133"/>
  <c r="H15" i="133"/>
  <c r="F15" i="133"/>
  <c r="D15" i="133"/>
  <c r="H14" i="133"/>
  <c r="F14" i="133"/>
  <c r="D14" i="133"/>
  <c r="H13" i="133"/>
  <c r="F13" i="133"/>
  <c r="D13" i="133"/>
  <c r="H12" i="133"/>
  <c r="F12" i="133"/>
  <c r="D12" i="133"/>
  <c r="H11" i="133"/>
  <c r="F11" i="133"/>
  <c r="D11" i="133"/>
  <c r="H10" i="133"/>
  <c r="F10" i="133"/>
  <c r="D10" i="133"/>
  <c r="H9" i="133"/>
  <c r="F9" i="133"/>
  <c r="D9" i="133"/>
  <c r="H8" i="133"/>
  <c r="F8" i="133"/>
  <c r="D8" i="133"/>
  <c r="H7" i="133"/>
  <c r="F7" i="133"/>
  <c r="D7" i="133"/>
  <c r="H6" i="133"/>
  <c r="F6" i="133"/>
  <c r="D6" i="133"/>
  <c r="H5" i="133"/>
  <c r="F5" i="133"/>
  <c r="D5" i="133"/>
  <c r="H34" i="132"/>
  <c r="F34" i="132"/>
  <c r="D34" i="132"/>
  <c r="H33" i="132"/>
  <c r="F33" i="132"/>
  <c r="D33" i="132"/>
  <c r="H32" i="132"/>
  <c r="F32" i="132"/>
  <c r="D32" i="132"/>
  <c r="H31" i="132"/>
  <c r="F31" i="132"/>
  <c r="D31" i="132"/>
  <c r="H30" i="132"/>
  <c r="F30" i="132"/>
  <c r="D30" i="132"/>
  <c r="H29" i="132"/>
  <c r="F29" i="132"/>
  <c r="D29" i="132"/>
  <c r="H28" i="132"/>
  <c r="F28" i="132"/>
  <c r="D28" i="132"/>
  <c r="H27" i="132"/>
  <c r="F27" i="132"/>
  <c r="D27" i="132"/>
  <c r="H26" i="132"/>
  <c r="F26" i="132"/>
  <c r="D26" i="132"/>
  <c r="H25" i="132"/>
  <c r="F25" i="132"/>
  <c r="D25" i="132"/>
  <c r="H24" i="132"/>
  <c r="F24" i="132"/>
  <c r="D24" i="132"/>
  <c r="H23" i="132"/>
  <c r="F23" i="132"/>
  <c r="D23" i="132"/>
  <c r="H22" i="132"/>
  <c r="F22" i="132"/>
  <c r="D22" i="132"/>
  <c r="H21" i="132"/>
  <c r="F21" i="132"/>
  <c r="D21" i="132"/>
  <c r="H20" i="132"/>
  <c r="F20" i="132"/>
  <c r="D20" i="132"/>
  <c r="H19" i="132"/>
  <c r="F19" i="132"/>
  <c r="D19" i="132"/>
  <c r="H18" i="132"/>
  <c r="F18" i="132"/>
  <c r="D18" i="132"/>
  <c r="H17" i="132"/>
  <c r="F17" i="132"/>
  <c r="D17" i="132"/>
  <c r="H16" i="132"/>
  <c r="F16" i="132"/>
  <c r="D16" i="132"/>
  <c r="H15" i="132"/>
  <c r="F15" i="132"/>
  <c r="D15" i="132"/>
  <c r="H14" i="132"/>
  <c r="F14" i="132"/>
  <c r="D14" i="132"/>
  <c r="H13" i="132"/>
  <c r="F13" i="132"/>
  <c r="D13" i="132"/>
  <c r="H12" i="132"/>
  <c r="F12" i="132"/>
  <c r="D12" i="132"/>
  <c r="H11" i="132"/>
  <c r="F11" i="132"/>
  <c r="D11" i="132"/>
  <c r="H10" i="132"/>
  <c r="F10" i="132"/>
  <c r="D10" i="132"/>
  <c r="H9" i="132"/>
  <c r="F9" i="132"/>
  <c r="D9" i="132"/>
  <c r="H8" i="132"/>
  <c r="F8" i="132"/>
  <c r="D8" i="132"/>
  <c r="H7" i="132"/>
  <c r="F7" i="132"/>
  <c r="D7" i="132"/>
  <c r="H6" i="132"/>
  <c r="F6" i="132"/>
  <c r="D6" i="132"/>
  <c r="H5" i="132"/>
  <c r="F5" i="132"/>
  <c r="D5" i="132"/>
  <c r="H34" i="131"/>
  <c r="F34" i="131"/>
  <c r="D34" i="131"/>
  <c r="H33" i="131"/>
  <c r="F33" i="131"/>
  <c r="D33" i="131"/>
  <c r="H32" i="131"/>
  <c r="F32" i="131"/>
  <c r="D32" i="131"/>
  <c r="H31" i="131"/>
  <c r="F31" i="131"/>
  <c r="D31" i="131"/>
  <c r="H30" i="131"/>
  <c r="F30" i="131"/>
  <c r="D30" i="131"/>
  <c r="H29" i="131"/>
  <c r="F29" i="131"/>
  <c r="D29" i="131"/>
  <c r="H28" i="131"/>
  <c r="F28" i="131"/>
  <c r="D28" i="131"/>
  <c r="H27" i="131"/>
  <c r="F27" i="131"/>
  <c r="D27" i="131"/>
  <c r="H26" i="131"/>
  <c r="F26" i="131"/>
  <c r="D26" i="131"/>
  <c r="H25" i="131"/>
  <c r="F25" i="131"/>
  <c r="D25" i="131"/>
  <c r="H24" i="131"/>
  <c r="F24" i="131"/>
  <c r="D24" i="131"/>
  <c r="H23" i="131"/>
  <c r="F23" i="131"/>
  <c r="D23" i="131"/>
  <c r="H22" i="131"/>
  <c r="F22" i="131"/>
  <c r="D22" i="131"/>
  <c r="H21" i="131"/>
  <c r="F21" i="131"/>
  <c r="D21" i="131"/>
  <c r="H20" i="131"/>
  <c r="F20" i="131"/>
  <c r="D20" i="131"/>
  <c r="H19" i="131"/>
  <c r="F19" i="131"/>
  <c r="D19" i="131"/>
  <c r="H18" i="131"/>
  <c r="F18" i="131"/>
  <c r="D18" i="131"/>
  <c r="H17" i="131"/>
  <c r="F17" i="131"/>
  <c r="D17" i="131"/>
  <c r="H16" i="131"/>
  <c r="F16" i="131"/>
  <c r="D16" i="131"/>
  <c r="H15" i="131"/>
  <c r="F15" i="131"/>
  <c r="D15" i="131"/>
  <c r="H14" i="131"/>
  <c r="F14" i="131"/>
  <c r="D14" i="131"/>
  <c r="H13" i="131"/>
  <c r="F13" i="131"/>
  <c r="D13" i="131"/>
  <c r="H12" i="131"/>
  <c r="F12" i="131"/>
  <c r="D12" i="131"/>
  <c r="H11" i="131"/>
  <c r="F11" i="131"/>
  <c r="D11" i="131"/>
  <c r="H10" i="131"/>
  <c r="F10" i="131"/>
  <c r="D10" i="131"/>
  <c r="H9" i="131"/>
  <c r="F9" i="131"/>
  <c r="D9" i="131"/>
  <c r="H8" i="131"/>
  <c r="F8" i="131"/>
  <c r="D8" i="131"/>
  <c r="H7" i="131"/>
  <c r="F7" i="131"/>
  <c r="D7" i="131"/>
  <c r="H6" i="131"/>
  <c r="F6" i="131"/>
  <c r="D6" i="131"/>
  <c r="H5" i="131"/>
  <c r="F5" i="131"/>
  <c r="D5" i="131"/>
  <c r="H35" i="130"/>
  <c r="F35" i="130"/>
  <c r="D35" i="130"/>
  <c r="H34" i="130"/>
  <c r="F34" i="130"/>
  <c r="D34" i="130"/>
  <c r="H33" i="130"/>
  <c r="F33" i="130"/>
  <c r="D33" i="130"/>
  <c r="H32" i="130"/>
  <c r="F32" i="130"/>
  <c r="D32" i="130"/>
  <c r="H31" i="130"/>
  <c r="F31" i="130"/>
  <c r="D31" i="130"/>
  <c r="H30" i="130"/>
  <c r="F30" i="130"/>
  <c r="D30" i="130"/>
  <c r="H29" i="130"/>
  <c r="F29" i="130"/>
  <c r="D29" i="130"/>
  <c r="H28" i="130"/>
  <c r="F28" i="130"/>
  <c r="D28" i="130"/>
  <c r="H27" i="130"/>
  <c r="F27" i="130"/>
  <c r="D27" i="130"/>
  <c r="H26" i="130"/>
  <c r="F26" i="130"/>
  <c r="D26" i="130"/>
  <c r="H25" i="130"/>
  <c r="F25" i="130"/>
  <c r="D25" i="130"/>
  <c r="H24" i="130"/>
  <c r="F24" i="130"/>
  <c r="D24" i="130"/>
  <c r="H23" i="130"/>
  <c r="F23" i="130"/>
  <c r="D23" i="130"/>
  <c r="H22" i="130"/>
  <c r="F22" i="130"/>
  <c r="D22" i="130"/>
  <c r="H21" i="130"/>
  <c r="F21" i="130"/>
  <c r="D21" i="130"/>
  <c r="H20" i="130"/>
  <c r="F20" i="130"/>
  <c r="D20" i="130"/>
  <c r="H19" i="130"/>
  <c r="F19" i="130"/>
  <c r="D19" i="130"/>
  <c r="H18" i="130"/>
  <c r="F18" i="130"/>
  <c r="D18" i="130"/>
  <c r="H17" i="130"/>
  <c r="F17" i="130"/>
  <c r="D17" i="130"/>
  <c r="H16" i="130"/>
  <c r="F16" i="130"/>
  <c r="D16" i="130"/>
  <c r="H15" i="130"/>
  <c r="F15" i="130"/>
  <c r="D15" i="130"/>
  <c r="H14" i="130"/>
  <c r="F14" i="130"/>
  <c r="D14" i="130"/>
  <c r="H13" i="130"/>
  <c r="F13" i="130"/>
  <c r="D13" i="130"/>
  <c r="H12" i="130"/>
  <c r="F12" i="130"/>
  <c r="D12" i="130"/>
  <c r="H11" i="130"/>
  <c r="F11" i="130"/>
  <c r="D11" i="130"/>
  <c r="H10" i="130"/>
  <c r="F10" i="130"/>
  <c r="D10" i="130"/>
  <c r="H9" i="130"/>
  <c r="F9" i="130"/>
  <c r="D9" i="130"/>
  <c r="H8" i="130"/>
  <c r="F8" i="130"/>
  <c r="D8" i="130"/>
  <c r="H7" i="130"/>
  <c r="F7" i="130"/>
  <c r="D7" i="130"/>
  <c r="H6" i="130"/>
  <c r="F6" i="130"/>
  <c r="D6" i="130"/>
  <c r="H5" i="130"/>
  <c r="F5" i="130"/>
  <c r="D5" i="130"/>
  <c r="H35" i="129"/>
  <c r="F35" i="129"/>
  <c r="D35" i="129"/>
  <c r="H34" i="129"/>
  <c r="F34" i="129"/>
  <c r="D34" i="129"/>
  <c r="H33" i="129"/>
  <c r="F33" i="129"/>
  <c r="D33" i="129"/>
  <c r="H32" i="129"/>
  <c r="F32" i="129"/>
  <c r="D32" i="129"/>
  <c r="H31" i="129"/>
  <c r="F31" i="129"/>
  <c r="D31" i="129"/>
  <c r="H30" i="129"/>
  <c r="F30" i="129"/>
  <c r="D30" i="129"/>
  <c r="H29" i="129"/>
  <c r="F29" i="129"/>
  <c r="D29" i="129"/>
  <c r="H28" i="129"/>
  <c r="F28" i="129"/>
  <c r="D28" i="129"/>
  <c r="H27" i="129"/>
  <c r="F27" i="129"/>
  <c r="D27" i="129"/>
  <c r="H26" i="129"/>
  <c r="F26" i="129"/>
  <c r="D26" i="129"/>
  <c r="H25" i="129"/>
  <c r="F25" i="129"/>
  <c r="D25" i="129"/>
  <c r="H24" i="129"/>
  <c r="F24" i="129"/>
  <c r="D24" i="129"/>
  <c r="H23" i="129"/>
  <c r="F23" i="129"/>
  <c r="D23" i="129"/>
  <c r="H22" i="129"/>
  <c r="F22" i="129"/>
  <c r="D22" i="129"/>
  <c r="H21" i="129"/>
  <c r="F21" i="129"/>
  <c r="D21" i="129"/>
  <c r="H20" i="129"/>
  <c r="F20" i="129"/>
  <c r="D20" i="129"/>
  <c r="H19" i="129"/>
  <c r="F19" i="129"/>
  <c r="D19" i="129"/>
  <c r="H18" i="129"/>
  <c r="F18" i="129"/>
  <c r="D18" i="129"/>
  <c r="H17" i="129"/>
  <c r="F17" i="129"/>
  <c r="D17" i="129"/>
  <c r="H16" i="129"/>
  <c r="F16" i="129"/>
  <c r="D16" i="129"/>
  <c r="H15" i="129"/>
  <c r="F15" i="129"/>
  <c r="D15" i="129"/>
  <c r="H14" i="129"/>
  <c r="F14" i="129"/>
  <c r="D14" i="129"/>
  <c r="H13" i="129"/>
  <c r="F13" i="129"/>
  <c r="D13" i="129"/>
  <c r="H12" i="129"/>
  <c r="F12" i="129"/>
  <c r="D12" i="129"/>
  <c r="H11" i="129"/>
  <c r="F11" i="129"/>
  <c r="D11" i="129"/>
  <c r="H10" i="129"/>
  <c r="F10" i="129"/>
  <c r="D10" i="129"/>
  <c r="H9" i="129"/>
  <c r="F9" i="129"/>
  <c r="D9" i="129"/>
  <c r="H8" i="129"/>
  <c r="F8" i="129"/>
  <c r="D8" i="129"/>
  <c r="H7" i="129"/>
  <c r="F7" i="129"/>
  <c r="D7" i="129"/>
  <c r="H6" i="129"/>
  <c r="F6" i="129"/>
  <c r="D6" i="129"/>
  <c r="H5" i="129"/>
  <c r="F5" i="129"/>
  <c r="D5" i="129"/>
  <c r="H34" i="125"/>
  <c r="F34" i="125"/>
  <c r="D34" i="125"/>
  <c r="H33" i="125"/>
  <c r="F33" i="125"/>
  <c r="D33" i="125"/>
  <c r="H32" i="125"/>
  <c r="F32" i="125"/>
  <c r="D32" i="125"/>
  <c r="H31" i="125"/>
  <c r="F31" i="125"/>
  <c r="D31" i="125"/>
  <c r="H30" i="125"/>
  <c r="F30" i="125"/>
  <c r="D30" i="125"/>
  <c r="H29" i="125"/>
  <c r="F29" i="125"/>
  <c r="D29" i="125"/>
  <c r="H28" i="125"/>
  <c r="F28" i="125"/>
  <c r="D28" i="125"/>
  <c r="H27" i="125"/>
  <c r="F27" i="125"/>
  <c r="D27" i="125"/>
  <c r="H26" i="125"/>
  <c r="F26" i="125"/>
  <c r="D26" i="125"/>
  <c r="H25" i="125"/>
  <c r="F25" i="125"/>
  <c r="D25" i="125"/>
  <c r="H24" i="125"/>
  <c r="F24" i="125"/>
  <c r="D24" i="125"/>
  <c r="H23" i="125"/>
  <c r="F23" i="125"/>
  <c r="D23" i="125"/>
  <c r="H22" i="125"/>
  <c r="F22" i="125"/>
  <c r="D22" i="125"/>
  <c r="H21" i="125"/>
  <c r="F21" i="125"/>
  <c r="D21" i="125"/>
  <c r="H20" i="125"/>
  <c r="F20" i="125"/>
  <c r="D20" i="125"/>
  <c r="H19" i="125"/>
  <c r="F19" i="125"/>
  <c r="D19" i="125"/>
  <c r="H18" i="125"/>
  <c r="F18" i="125"/>
  <c r="D18" i="125"/>
  <c r="H17" i="125"/>
  <c r="F17" i="125"/>
  <c r="D17" i="125"/>
  <c r="H16" i="125"/>
  <c r="F16" i="125"/>
  <c r="D16" i="125"/>
  <c r="H15" i="125"/>
  <c r="F15" i="125"/>
  <c r="D15" i="125"/>
  <c r="H14" i="125"/>
  <c r="F14" i="125"/>
  <c r="D14" i="125"/>
  <c r="H13" i="125"/>
  <c r="F13" i="125"/>
  <c r="D13" i="125"/>
  <c r="H12" i="125"/>
  <c r="F12" i="125"/>
  <c r="D12" i="125"/>
  <c r="H11" i="125"/>
  <c r="F11" i="125"/>
  <c r="D11" i="125"/>
  <c r="H10" i="125"/>
  <c r="F10" i="125"/>
  <c r="D10" i="125"/>
  <c r="H9" i="125"/>
  <c r="F9" i="125"/>
  <c r="D9" i="125"/>
  <c r="H8" i="125"/>
  <c r="F8" i="125"/>
  <c r="D8" i="125"/>
  <c r="H7" i="125"/>
  <c r="F7" i="125"/>
  <c r="D7" i="125"/>
  <c r="H6" i="125"/>
  <c r="F6" i="125"/>
  <c r="D6" i="125"/>
  <c r="H5" i="125"/>
  <c r="F5" i="125"/>
  <c r="D5" i="125"/>
  <c r="H35" i="124"/>
  <c r="F35" i="124"/>
  <c r="D35" i="124"/>
  <c r="H34" i="124"/>
  <c r="F34" i="124"/>
  <c r="D34" i="124"/>
  <c r="H33" i="124"/>
  <c r="F33" i="124"/>
  <c r="D33" i="124"/>
  <c r="H32" i="124"/>
  <c r="F32" i="124"/>
  <c r="D32" i="124"/>
  <c r="H31" i="124"/>
  <c r="F31" i="124"/>
  <c r="D31" i="124"/>
  <c r="H30" i="124"/>
  <c r="F30" i="124"/>
  <c r="D30" i="124"/>
  <c r="H29" i="124"/>
  <c r="F29" i="124"/>
  <c r="D29" i="124"/>
  <c r="H28" i="124"/>
  <c r="F28" i="124"/>
  <c r="D28" i="124"/>
  <c r="H27" i="124"/>
  <c r="F27" i="124"/>
  <c r="D27" i="124"/>
  <c r="H26" i="124"/>
  <c r="F26" i="124"/>
  <c r="D26" i="124"/>
  <c r="H25" i="124"/>
  <c r="F25" i="124"/>
  <c r="D25" i="124"/>
  <c r="H24" i="124"/>
  <c r="F24" i="124"/>
  <c r="D24" i="124"/>
  <c r="H23" i="124"/>
  <c r="F23" i="124"/>
  <c r="D23" i="124"/>
  <c r="H22" i="124"/>
  <c r="F22" i="124"/>
  <c r="D22" i="124"/>
  <c r="H21" i="124"/>
  <c r="F21" i="124"/>
  <c r="D21" i="124"/>
  <c r="H20" i="124"/>
  <c r="F20" i="124"/>
  <c r="D20" i="124"/>
  <c r="H19" i="124"/>
  <c r="F19" i="124"/>
  <c r="D19" i="124"/>
  <c r="H18" i="124"/>
  <c r="F18" i="124"/>
  <c r="D18" i="124"/>
  <c r="H17" i="124"/>
  <c r="F17" i="124"/>
  <c r="D17" i="124"/>
  <c r="H16" i="124"/>
  <c r="F16" i="124"/>
  <c r="D16" i="124"/>
  <c r="H15" i="124"/>
  <c r="F15" i="124"/>
  <c r="D15" i="124"/>
  <c r="H14" i="124"/>
  <c r="F14" i="124"/>
  <c r="D14" i="124"/>
  <c r="H13" i="124"/>
  <c r="F13" i="124"/>
  <c r="D13" i="124"/>
  <c r="H12" i="124"/>
  <c r="F12" i="124"/>
  <c r="D12" i="124"/>
  <c r="H11" i="124"/>
  <c r="F11" i="124"/>
  <c r="D11" i="124"/>
  <c r="H10" i="124"/>
  <c r="F10" i="124"/>
  <c r="D10" i="124"/>
  <c r="H9" i="124"/>
  <c r="F9" i="124"/>
  <c r="D9" i="124"/>
  <c r="H8" i="124"/>
  <c r="F8" i="124"/>
  <c r="D8" i="124"/>
  <c r="H7" i="124"/>
  <c r="F7" i="124"/>
  <c r="D7" i="124"/>
  <c r="H6" i="124"/>
  <c r="F6" i="124"/>
  <c r="D6" i="124"/>
  <c r="H5" i="124"/>
  <c r="F5" i="124"/>
  <c r="D5" i="124"/>
  <c r="H34" i="123"/>
  <c r="F34" i="123"/>
  <c r="D34" i="123"/>
  <c r="H33" i="123"/>
  <c r="F33" i="123"/>
  <c r="D33" i="123"/>
  <c r="H32" i="123"/>
  <c r="F32" i="123"/>
  <c r="D32" i="123"/>
  <c r="H31" i="123"/>
  <c r="F31" i="123"/>
  <c r="D31" i="123"/>
  <c r="H30" i="123"/>
  <c r="F30" i="123"/>
  <c r="D30" i="123"/>
  <c r="H29" i="123"/>
  <c r="F29" i="123"/>
  <c r="D29" i="123"/>
  <c r="H28" i="123"/>
  <c r="F28" i="123"/>
  <c r="D28" i="123"/>
  <c r="H27" i="123"/>
  <c r="F27" i="123"/>
  <c r="D27" i="123"/>
  <c r="H26" i="123"/>
  <c r="F26" i="123"/>
  <c r="D26" i="123"/>
  <c r="H25" i="123"/>
  <c r="F25" i="123"/>
  <c r="D25" i="123"/>
  <c r="H24" i="123"/>
  <c r="F24" i="123"/>
  <c r="D24" i="123"/>
  <c r="H23" i="123"/>
  <c r="F23" i="123"/>
  <c r="D23" i="123"/>
  <c r="H22" i="123"/>
  <c r="F22" i="123"/>
  <c r="D22" i="123"/>
  <c r="H21" i="123"/>
  <c r="F21" i="123"/>
  <c r="D21" i="123"/>
  <c r="H20" i="123"/>
  <c r="F20" i="123"/>
  <c r="D20" i="123"/>
  <c r="H19" i="123"/>
  <c r="F19" i="123"/>
  <c r="D19" i="123"/>
  <c r="H18" i="123"/>
  <c r="F18" i="123"/>
  <c r="D18" i="123"/>
  <c r="H17" i="123"/>
  <c r="F17" i="123"/>
  <c r="D17" i="123"/>
  <c r="H16" i="123"/>
  <c r="F16" i="123"/>
  <c r="D16" i="123"/>
  <c r="H15" i="123"/>
  <c r="F15" i="123"/>
  <c r="D15" i="123"/>
  <c r="H14" i="123"/>
  <c r="F14" i="123"/>
  <c r="D14" i="123"/>
  <c r="H13" i="123"/>
  <c r="F13" i="123"/>
  <c r="D13" i="123"/>
  <c r="H12" i="123"/>
  <c r="F12" i="123"/>
  <c r="D12" i="123"/>
  <c r="H11" i="123"/>
  <c r="F11" i="123"/>
  <c r="D11" i="123"/>
  <c r="H10" i="123"/>
  <c r="F10" i="123"/>
  <c r="D10" i="123"/>
  <c r="H9" i="123"/>
  <c r="F9" i="123"/>
  <c r="D9" i="123"/>
  <c r="H8" i="123"/>
  <c r="F8" i="123"/>
  <c r="D8" i="123"/>
  <c r="H7" i="123"/>
  <c r="F7" i="123"/>
  <c r="D7" i="123"/>
  <c r="H6" i="123"/>
  <c r="F6" i="123"/>
  <c r="D6" i="123"/>
  <c r="H5" i="123"/>
  <c r="F5" i="123"/>
  <c r="D5" i="123"/>
  <c r="H35" i="122" l="1"/>
  <c r="F35" i="122"/>
  <c r="D35" i="122"/>
  <c r="H34" i="122"/>
  <c r="F34" i="122"/>
  <c r="D34" i="122"/>
  <c r="H33" i="122"/>
  <c r="F33" i="122"/>
  <c r="D33" i="122"/>
  <c r="H32" i="122"/>
  <c r="F32" i="122"/>
  <c r="D32" i="122"/>
  <c r="H31" i="122"/>
  <c r="F31" i="122"/>
  <c r="D31" i="122"/>
  <c r="H30" i="122"/>
  <c r="F30" i="122"/>
  <c r="D30" i="122"/>
  <c r="H29" i="122"/>
  <c r="F29" i="122"/>
  <c r="D29" i="122"/>
  <c r="H28" i="122"/>
  <c r="F28" i="122"/>
  <c r="D28" i="122"/>
  <c r="H27" i="122"/>
  <c r="F27" i="122"/>
  <c r="D27" i="122"/>
  <c r="H26" i="122"/>
  <c r="F26" i="122"/>
  <c r="D26" i="122"/>
  <c r="H25" i="122"/>
  <c r="F25" i="122"/>
  <c r="D25" i="122"/>
  <c r="H24" i="122"/>
  <c r="F24" i="122"/>
  <c r="D24" i="122"/>
  <c r="H23" i="122"/>
  <c r="F23" i="122"/>
  <c r="D23" i="122"/>
  <c r="H22" i="122"/>
  <c r="F22" i="122"/>
  <c r="D22" i="122"/>
  <c r="H21" i="122"/>
  <c r="F21" i="122"/>
  <c r="D21" i="122"/>
  <c r="H20" i="122"/>
  <c r="F20" i="122"/>
  <c r="D20" i="122"/>
  <c r="H19" i="122"/>
  <c r="F19" i="122"/>
  <c r="D19" i="122"/>
  <c r="H18" i="122"/>
  <c r="F18" i="122"/>
  <c r="D18" i="122"/>
  <c r="H17" i="122"/>
  <c r="F17" i="122"/>
  <c r="D17" i="122"/>
  <c r="H16" i="122"/>
  <c r="F16" i="122"/>
  <c r="D16" i="122"/>
  <c r="H15" i="122"/>
  <c r="F15" i="122"/>
  <c r="D15" i="122"/>
  <c r="H14" i="122"/>
  <c r="F14" i="122"/>
  <c r="D14" i="122"/>
  <c r="H13" i="122"/>
  <c r="F13" i="122"/>
  <c r="D13" i="122"/>
  <c r="H12" i="122"/>
  <c r="F12" i="122"/>
  <c r="D12" i="122"/>
  <c r="H11" i="122"/>
  <c r="F11" i="122"/>
  <c r="D11" i="122"/>
  <c r="H10" i="122"/>
  <c r="F10" i="122"/>
  <c r="D10" i="122"/>
  <c r="H9" i="122"/>
  <c r="F9" i="122"/>
  <c r="D9" i="122"/>
  <c r="H8" i="122"/>
  <c r="F8" i="122"/>
  <c r="D8" i="122"/>
  <c r="H7" i="122"/>
  <c r="F7" i="122"/>
  <c r="D7" i="122"/>
  <c r="H6" i="122"/>
  <c r="F6" i="122"/>
  <c r="D6" i="122"/>
  <c r="H5" i="122"/>
  <c r="F5" i="122"/>
  <c r="D5" i="122"/>
  <c r="H35" i="120" l="1"/>
  <c r="F35" i="120"/>
  <c r="D35" i="120"/>
  <c r="H34" i="120"/>
  <c r="F34" i="120"/>
  <c r="D34" i="120"/>
  <c r="H33" i="120"/>
  <c r="F33" i="120"/>
  <c r="D33" i="120"/>
  <c r="H32" i="120"/>
  <c r="F32" i="120"/>
  <c r="D32" i="120"/>
  <c r="H31" i="120"/>
  <c r="F31" i="120"/>
  <c r="D31" i="120"/>
  <c r="H30" i="120"/>
  <c r="F30" i="120"/>
  <c r="D30" i="120"/>
  <c r="H29" i="120"/>
  <c r="F29" i="120"/>
  <c r="D29" i="120"/>
  <c r="H28" i="120"/>
  <c r="F28" i="120"/>
  <c r="D28" i="120"/>
  <c r="H27" i="120"/>
  <c r="F27" i="120"/>
  <c r="D27" i="120"/>
  <c r="H26" i="120"/>
  <c r="F26" i="120"/>
  <c r="D26" i="120"/>
  <c r="H25" i="120"/>
  <c r="F25" i="120"/>
  <c r="D25" i="120"/>
  <c r="H24" i="120"/>
  <c r="F24" i="120"/>
  <c r="D24" i="120"/>
  <c r="H23" i="120"/>
  <c r="F23" i="120"/>
  <c r="D23" i="120"/>
  <c r="H22" i="120"/>
  <c r="F22" i="120"/>
  <c r="D22" i="120"/>
  <c r="H21" i="120"/>
  <c r="F21" i="120"/>
  <c r="D21" i="120"/>
  <c r="H20" i="120"/>
  <c r="F20" i="120"/>
  <c r="D20" i="120"/>
  <c r="H19" i="120"/>
  <c r="F19" i="120"/>
  <c r="D19" i="120"/>
  <c r="H18" i="120"/>
  <c r="F18" i="120"/>
  <c r="D18" i="120"/>
  <c r="H17" i="120"/>
  <c r="F17" i="120"/>
  <c r="D17" i="120"/>
  <c r="H16" i="120"/>
  <c r="F16" i="120"/>
  <c r="D16" i="120"/>
  <c r="H15" i="120"/>
  <c r="F15" i="120"/>
  <c r="D15" i="120"/>
  <c r="H14" i="120"/>
  <c r="F14" i="120"/>
  <c r="D14" i="120"/>
  <c r="H13" i="120"/>
  <c r="F13" i="120"/>
  <c r="D13" i="120"/>
  <c r="H12" i="120"/>
  <c r="F12" i="120"/>
  <c r="D12" i="120"/>
  <c r="H11" i="120"/>
  <c r="F11" i="120"/>
  <c r="D11" i="120"/>
  <c r="H10" i="120"/>
  <c r="F10" i="120"/>
  <c r="D10" i="120"/>
  <c r="H9" i="120"/>
  <c r="F9" i="120"/>
  <c r="D9" i="120"/>
  <c r="H8" i="120"/>
  <c r="F8" i="120"/>
  <c r="D8" i="120"/>
  <c r="H7" i="120"/>
  <c r="F7" i="120"/>
  <c r="D7" i="120"/>
  <c r="H6" i="120"/>
  <c r="F6" i="120"/>
  <c r="D6" i="120"/>
  <c r="H5" i="120"/>
  <c r="F5" i="120"/>
  <c r="D5" i="120"/>
  <c r="H32" i="119" l="1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</calcChain>
</file>

<file path=xl/sharedStrings.xml><?xml version="1.0" encoding="utf-8"?>
<sst xmlns="http://schemas.openxmlformats.org/spreadsheetml/2006/main" count="281" uniqueCount="26">
  <si>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</si>
  <si>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</si>
  <si>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</si>
  <si>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</si>
  <si>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</si>
  <si>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</si>
  <si>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</si>
  <si>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</si>
  <si>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</si>
  <si>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</si>
  <si>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</si>
  <si>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</si>
  <si>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</si>
  <si>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</si>
  <si>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</si>
  <si>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</si>
  <si>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</si>
  <si>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</si>
  <si>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</si>
  <si>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</si>
  <si>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</si>
  <si>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</si>
  <si>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</si>
  <si>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</si>
  <si>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</si>
  <si>
    <t>Site Name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</si>
</sst>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4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8" fillId="2" borderId="0" xfId="11" applyFont="1" applyFill="1" applyAlignment="1">
      <alignment horizontal="center"/>
    </xf>
    <xf numFmtId="1" fontId="9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0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5" fillId="6" borderId="2" xfId="11" applyFont="1" applyFill="1" applyBorder="1" applyAlignment="1">
      <alignment horizontal="center" vertical="center"/>
    </xf>
    <xf numFmtId="0" fontId="5" fillId="7" borderId="9" xfId="11" applyFont="1" applyFill="1" applyBorder="1" applyAlignment="1">
      <alignment horizontal="center" vertical="center" wrapText="1"/>
    </xf>
    <xf numFmtId="1" fontId="5" fillId="7" borderId="2" xfId="11" applyNumberFormat="1" applyFont="1" applyFill="1" applyBorder="1" applyAlignment="1">
      <alignment horizontal="center" vertical="center" wrapText="1"/>
    </xf>
    <xf numFmtId="0" fontId="5" fillId="7" borderId="2" xfId="11" applyFont="1" applyFill="1" applyBorder="1" applyAlignment="1">
      <alignment horizontal="center" vertical="center" wrapText="1"/>
    </xf>
    <xf numFmtId="0" fontId="5" fillId="7" borderId="2" xfId="11" applyFont="1" applyFill="1" applyBorder="1" applyAlignment="1">
      <alignment horizontal="center" wrapText="1"/>
    </xf>
    <xf numFmtId="1" fontId="5" fillId="8" borderId="1" xfId="11" applyNumberFormat="1" applyFont="1" applyFill="1" applyBorder="1" applyAlignment="1">
      <alignment horizontal="center" wrapText="1"/>
    </xf>
    <xf numFmtId="15" fontId="7" fillId="6" borderId="2" xfId="11" applyNumberFormat="1" applyFont="1" applyFill="1" applyBorder="1" applyAlignment="1">
      <alignment horizontal="center" vertical="center"/>
    </xf>
    <xf numFmtId="0" fontId="6" fillId="0" borderId="1" xfId="11" applyFont="1" applyBorder="1" applyAlignment="1">
      <alignment horizontal="center"/>
    </xf>
    <xf numFmtId="1" fontId="7" fillId="0" borderId="0" xfId="11" applyNumberFormat="1" applyFont="1" applyAlignment="1">
      <alignment horizontal="center"/>
    </xf>
    <xf numFmtId="0" fontId="6" fillId="0" borderId="0" xfId="11" applyFont="1" applyAlignment="1">
      <alignment horizontal="center"/>
    </xf>
    <xf numFmtId="0" fontId="6" fillId="0" borderId="0" xfId="11" applyFont="1"/>
    <xf numFmtId="1" fontId="6" fillId="0" borderId="1" xfId="11" applyNumberFormat="1" applyFont="1" applyBorder="1" applyAlignment="1">
      <alignment horizontal="center" vertical="center"/>
    </xf>
    <xf numFmtId="15" fontId="5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2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5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0" fontId="6" fillId="0" borderId="1" xfId="11" applyFont="1" applyBorder="1" applyAlignment="1">
      <alignment horizontal="center" vertical="center"/>
    </xf>
    <xf numFmtId="1" fontId="7" fillId="0" borderId="0" xfId="11" applyNumberFormat="1" applyFont="1" applyAlignment="1">
      <alignment horizontal="center" vertical="center"/>
    </xf>
    <xf numFmtId="0" fontId="6" fillId="0" borderId="0" xfId="11" applyFont="1" applyAlignment="1">
      <alignment horizontal="center" vertical="center"/>
    </xf>
    <xf numFmtId="0" fontId="8" fillId="2" borderId="1" xfId="11" applyFont="1" applyFill="1" applyBorder="1" applyAlignment="1">
      <alignment horizontal="center"/>
    </xf>
    <xf numFmtId="0" fontId="9" fillId="2" borderId="2" xfId="11" applyFont="1" applyFill="1" applyBorder="1" applyAlignment="1">
      <alignment horizontal="center"/>
    </xf>
    <xf numFmtId="0" fontId="11" fillId="4" borderId="4" xfId="11" applyFont="1" applyFill="1" applyBorder="1" applyAlignment="1">
      <alignment horizontal="center" vertical="center"/>
    </xf>
    <xf numFmtId="0" fontId="11" fillId="4" borderId="5" xfId="11" applyFont="1" applyFill="1" applyBorder="1" applyAlignment="1">
      <alignment horizontal="center" vertical="center"/>
    </xf>
    <xf numFmtId="0" fontId="11" fillId="4" borderId="6" xfId="11" applyFont="1" applyFill="1" applyBorder="1" applyAlignment="1">
      <alignment horizontal="center" vertical="center"/>
    </xf>
    <xf numFmtId="0" fontId="5" fillId="5" borderId="7" xfId="11" applyFont="1" applyFill="1" applyBorder="1" applyAlignment="1">
      <alignment horizontal="center" vertical="center" wrapText="1"/>
    </xf>
    <xf numFmtId="0" fontId="5" fillId="5" borderId="8" xfId="1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na.Qiu/AppData/Local/Packages/microsoft.windowscommunicationsapps_8wekyb3d8bbwe/LocalState/Files/S0/3/Attachments/FS%20Shenzhen_HEP_Daily_Feb%202023%5b827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16" workbookViewId="0">
      <selection activeCell="T10" sqref="T10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44561</v>
      </c>
      <c r="B4" s="29"/>
      <c r="C4" s="14">
        <v>24249</v>
      </c>
      <c r="D4" s="15"/>
      <c r="E4" s="14">
        <v>1734</v>
      </c>
      <c r="F4" s="16"/>
      <c r="G4" s="14">
        <v>403</v>
      </c>
      <c r="I4" s="18"/>
      <c r="J4" s="18"/>
    </row>
    <row r="5" spans="1:10" ht="33" customHeight="1" x14ac:dyDescent="0.15">
      <c r="A5" s="19">
        <v>44562</v>
      </c>
      <c r="B5" s="29"/>
      <c r="C5" s="20">
        <v>20175.000000000698</v>
      </c>
      <c r="D5" s="21" t="str">
        <f t="shared" ref="D5:D22" si="0">IF((C5-C4&lt;0), "0",C5-C4)</f>
        <v>0</v>
      </c>
      <c r="E5" s="20">
        <v>1917</v>
      </c>
      <c r="F5" s="21">
        <f>IF((E5-E4&lt;0), "0",E5-E4)</f>
        <v>183</v>
      </c>
      <c r="G5" s="20">
        <v>477</v>
      </c>
      <c r="H5" s="21">
        <f>IF((G5-G4&lt;0), "0",G5-G4)</f>
        <v>74</v>
      </c>
      <c r="I5" s="22"/>
      <c r="J5" s="22"/>
    </row>
    <row r="6" spans="1:10" ht="45" customHeight="1" x14ac:dyDescent="0.15">
      <c r="A6" s="19">
        <v>44563</v>
      </c>
      <c r="B6" s="29"/>
      <c r="C6" s="20">
        <v>18557.999999999331</v>
      </c>
      <c r="D6" s="21" t="str">
        <f t="shared" si="0"/>
        <v>0</v>
      </c>
      <c r="E6" s="20">
        <v>1705</v>
      </c>
      <c r="F6" s="21" t="str">
        <f t="shared" ref="F6:F35" si="1">IF((E6-E5&lt;0), "0",E6-E5)</f>
        <v>0</v>
      </c>
      <c r="G6" s="20">
        <v>423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44564</v>
      </c>
      <c r="B7" s="29"/>
      <c r="C7" s="20">
        <v>19320.000000000608</v>
      </c>
      <c r="D7" s="21">
        <f t="shared" si="0"/>
        <v>762.00000000127693</v>
      </c>
      <c r="E7" s="20">
        <v>1647</v>
      </c>
      <c r="F7" s="21" t="str">
        <f t="shared" si="1"/>
        <v>0</v>
      </c>
      <c r="G7" s="20">
        <v>379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44565</v>
      </c>
      <c r="B8" s="29"/>
      <c r="C8" s="20">
        <v>17751.999999999407</v>
      </c>
      <c r="D8" s="21" t="str">
        <f t="shared" si="0"/>
        <v>0</v>
      </c>
      <c r="E8" s="20">
        <v>1465</v>
      </c>
      <c r="F8" s="21" t="str">
        <f t="shared" si="1"/>
        <v>0</v>
      </c>
      <c r="G8" s="20">
        <v>333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44566</v>
      </c>
      <c r="B9" s="29"/>
      <c r="C9" s="20">
        <v>19630.000000000586</v>
      </c>
      <c r="D9" s="21">
        <f t="shared" si="0"/>
        <v>1878.0000000011787</v>
      </c>
      <c r="E9" s="20">
        <v>1447</v>
      </c>
      <c r="F9" s="21" t="str">
        <f t="shared" si="1"/>
        <v>0</v>
      </c>
      <c r="G9" s="20">
        <v>305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44567</v>
      </c>
      <c r="B10" s="29"/>
      <c r="C10" s="20">
        <v>20999.000000000844</v>
      </c>
      <c r="D10" s="21">
        <f t="shared" si="0"/>
        <v>1369.0000000002583</v>
      </c>
      <c r="E10" s="20">
        <v>1669</v>
      </c>
      <c r="F10" s="21">
        <f t="shared" si="1"/>
        <v>222</v>
      </c>
      <c r="G10" s="20">
        <v>383</v>
      </c>
      <c r="H10" s="21">
        <f t="shared" si="2"/>
        <v>78</v>
      </c>
      <c r="I10" s="3"/>
      <c r="J10" s="3"/>
    </row>
    <row r="11" spans="1:10" ht="45" customHeight="1" x14ac:dyDescent="0.15">
      <c r="A11" s="19">
        <v>44568</v>
      </c>
      <c r="B11" s="29"/>
      <c r="C11" s="20">
        <v>19142.999999998719</v>
      </c>
      <c r="D11" s="21" t="str">
        <f t="shared" si="0"/>
        <v>0</v>
      </c>
      <c r="E11" s="20">
        <v>1789</v>
      </c>
      <c r="F11" s="21">
        <f t="shared" si="1"/>
        <v>120</v>
      </c>
      <c r="G11" s="20">
        <v>506</v>
      </c>
      <c r="H11" s="21">
        <f t="shared" si="2"/>
        <v>123</v>
      </c>
      <c r="I11" s="3"/>
      <c r="J11" s="3"/>
    </row>
    <row r="12" spans="1:10" ht="45" customHeight="1" x14ac:dyDescent="0.15">
      <c r="A12" s="19">
        <v>44569</v>
      </c>
      <c r="B12" s="29"/>
      <c r="C12" s="20">
        <v>22336.000000000651</v>
      </c>
      <c r="D12" s="21">
        <f t="shared" si="0"/>
        <v>3193.0000000019318</v>
      </c>
      <c r="E12" s="20">
        <v>1866</v>
      </c>
      <c r="F12" s="21">
        <f t="shared" si="1"/>
        <v>77</v>
      </c>
      <c r="G12" s="20">
        <v>411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44570</v>
      </c>
      <c r="B13" s="29"/>
      <c r="C13" s="20">
        <v>19287.999999999716</v>
      </c>
      <c r="D13" s="21" t="str">
        <f t="shared" si="0"/>
        <v>0</v>
      </c>
      <c r="E13" s="20">
        <v>1588</v>
      </c>
      <c r="F13" s="21" t="str">
        <f t="shared" si="1"/>
        <v>0</v>
      </c>
      <c r="G13" s="20">
        <v>341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44571</v>
      </c>
      <c r="B14" s="29"/>
      <c r="C14" s="20">
        <v>15916.000000000669</v>
      </c>
      <c r="D14" s="21" t="str">
        <f t="shared" si="0"/>
        <v>0</v>
      </c>
      <c r="E14" s="20">
        <v>1422</v>
      </c>
      <c r="F14" s="21" t="str">
        <f t="shared" si="1"/>
        <v>0</v>
      </c>
      <c r="G14" s="20">
        <v>357</v>
      </c>
      <c r="H14" s="21">
        <f t="shared" si="2"/>
        <v>16</v>
      </c>
      <c r="I14" s="3"/>
      <c r="J14" s="3"/>
    </row>
    <row r="15" spans="1:10" ht="45" customHeight="1" x14ac:dyDescent="0.15">
      <c r="A15" s="19">
        <v>44572</v>
      </c>
      <c r="B15" s="29"/>
      <c r="C15" s="20">
        <v>19049.999999998876</v>
      </c>
      <c r="D15" s="21">
        <f t="shared" si="0"/>
        <v>3133.9999999982065</v>
      </c>
      <c r="E15" s="20">
        <v>1445</v>
      </c>
      <c r="F15" s="21">
        <f t="shared" si="1"/>
        <v>23</v>
      </c>
      <c r="G15" s="20">
        <v>314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44573</v>
      </c>
      <c r="B16" s="29"/>
      <c r="C16" s="20">
        <v>16297.000000000366</v>
      </c>
      <c r="D16" s="21" t="str">
        <f t="shared" si="0"/>
        <v>0</v>
      </c>
      <c r="E16" s="20">
        <v>1419</v>
      </c>
      <c r="F16" s="21" t="str">
        <f t="shared" si="1"/>
        <v>0</v>
      </c>
      <c r="G16" s="20">
        <v>305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44574</v>
      </c>
      <c r="B17" s="29"/>
      <c r="C17" s="20">
        <v>17696.000000000207</v>
      </c>
      <c r="D17" s="21">
        <f t="shared" si="0"/>
        <v>1398.9999999998417</v>
      </c>
      <c r="E17" s="20">
        <v>1516</v>
      </c>
      <c r="F17" s="21">
        <f t="shared" si="1"/>
        <v>97</v>
      </c>
      <c r="G17" s="20">
        <v>332</v>
      </c>
      <c r="H17" s="21">
        <f t="shared" si="2"/>
        <v>27</v>
      </c>
      <c r="I17" s="3"/>
      <c r="J17" s="3"/>
    </row>
    <row r="18" spans="1:10" ht="45" customHeight="1" x14ac:dyDescent="0.15">
      <c r="A18" s="19">
        <v>44575</v>
      </c>
      <c r="B18" s="29"/>
      <c r="C18" s="20">
        <v>14856.999999999789</v>
      </c>
      <c r="D18" s="21" t="str">
        <f t="shared" si="0"/>
        <v>0</v>
      </c>
      <c r="E18" s="20">
        <v>1413</v>
      </c>
      <c r="F18" s="21" t="str">
        <f t="shared" si="1"/>
        <v>0</v>
      </c>
      <c r="G18" s="20">
        <v>306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44576</v>
      </c>
      <c r="B19" s="29"/>
      <c r="C19" s="20">
        <v>16938.000000000146</v>
      </c>
      <c r="D19" s="21">
        <f t="shared" si="0"/>
        <v>2081.0000000003565</v>
      </c>
      <c r="E19" s="20">
        <v>1300</v>
      </c>
      <c r="F19" s="21" t="str">
        <f t="shared" si="1"/>
        <v>0</v>
      </c>
      <c r="G19" s="20">
        <v>256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44577</v>
      </c>
      <c r="B20" s="29"/>
      <c r="C20" s="20">
        <v>16820.999999999629</v>
      </c>
      <c r="D20" s="21" t="str">
        <f t="shared" si="0"/>
        <v>0</v>
      </c>
      <c r="E20" s="20">
        <v>1395</v>
      </c>
      <c r="F20" s="21">
        <f t="shared" si="1"/>
        <v>95</v>
      </c>
      <c r="G20" s="20">
        <v>249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44578</v>
      </c>
      <c r="B21" s="29"/>
      <c r="C21" s="20">
        <v>15656.000000000471</v>
      </c>
      <c r="D21" s="21" t="str">
        <f t="shared" si="0"/>
        <v>0</v>
      </c>
      <c r="E21" s="20">
        <v>1309</v>
      </c>
      <c r="F21" s="21" t="str">
        <f t="shared" si="1"/>
        <v>0</v>
      </c>
      <c r="G21" s="20">
        <v>298</v>
      </c>
      <c r="H21" s="21">
        <f t="shared" si="2"/>
        <v>49</v>
      </c>
      <c r="I21" s="3"/>
      <c r="J21" s="3"/>
    </row>
    <row r="22" spans="1:10" ht="45" customHeight="1" x14ac:dyDescent="0.15">
      <c r="A22" s="19">
        <v>44579</v>
      </c>
      <c r="B22" s="29"/>
      <c r="C22" s="20">
        <v>15098.999999999569</v>
      </c>
      <c r="D22" s="21" t="str">
        <f t="shared" si="0"/>
        <v>0</v>
      </c>
      <c r="E22" s="20">
        <v>1257</v>
      </c>
      <c r="F22" s="21" t="str">
        <f t="shared" si="1"/>
        <v>0</v>
      </c>
      <c r="G22" s="20">
        <v>252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44580</v>
      </c>
      <c r="B23" s="29"/>
      <c r="C23" s="20">
        <v>15166.999999999996</v>
      </c>
      <c r="D23" s="21">
        <f>IF((C23-C22&lt;0), "0",C23-C22)</f>
        <v>68.000000000427463</v>
      </c>
      <c r="E23" s="20">
        <v>1331</v>
      </c>
      <c r="F23" s="21">
        <f t="shared" si="1"/>
        <v>74</v>
      </c>
      <c r="G23" s="20">
        <v>292</v>
      </c>
      <c r="H23" s="21">
        <f t="shared" si="2"/>
        <v>40</v>
      </c>
      <c r="I23" s="3"/>
      <c r="J23" s="3"/>
    </row>
    <row r="24" spans="1:10" ht="45" customHeight="1" x14ac:dyDescent="0.15">
      <c r="A24" s="19">
        <v>44581</v>
      </c>
      <c r="B24" s="29"/>
      <c r="C24" s="20">
        <v>16138.000000000193</v>
      </c>
      <c r="D24" s="21">
        <f t="shared" ref="D24:D35" si="3">IF((C24-C23&lt;0), "0",C24-C23)</f>
        <v>971.00000000019645</v>
      </c>
      <c r="E24" s="20">
        <v>1338</v>
      </c>
      <c r="F24" s="21">
        <f t="shared" si="1"/>
        <v>7</v>
      </c>
      <c r="G24" s="20">
        <v>255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44582</v>
      </c>
      <c r="B25" s="29"/>
      <c r="C25" s="20">
        <v>15982.999999999311</v>
      </c>
      <c r="D25" s="21" t="str">
        <f t="shared" si="3"/>
        <v>0</v>
      </c>
      <c r="E25" s="20">
        <v>1482</v>
      </c>
      <c r="F25" s="21">
        <f t="shared" si="1"/>
        <v>144</v>
      </c>
      <c r="G25" s="20">
        <v>373</v>
      </c>
      <c r="H25" s="21">
        <f t="shared" si="2"/>
        <v>118</v>
      </c>
      <c r="I25" s="3"/>
      <c r="J25" s="3"/>
    </row>
    <row r="26" spans="1:10" ht="45" customHeight="1" x14ac:dyDescent="0.15">
      <c r="A26" s="19">
        <v>44583</v>
      </c>
      <c r="B26" s="29"/>
      <c r="C26" s="20">
        <v>16556.000000000335</v>
      </c>
      <c r="D26" s="21">
        <f t="shared" si="3"/>
        <v>573.00000000102409</v>
      </c>
      <c r="E26" s="20">
        <v>1396</v>
      </c>
      <c r="F26" s="21" t="str">
        <f t="shared" si="1"/>
        <v>0</v>
      </c>
      <c r="G26" s="20">
        <v>308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44584</v>
      </c>
      <c r="B27" s="29"/>
      <c r="C27" s="20">
        <v>17444.000000000422</v>
      </c>
      <c r="D27" s="21">
        <f t="shared" si="3"/>
        <v>888.00000000008731</v>
      </c>
      <c r="E27" s="20">
        <v>1255</v>
      </c>
      <c r="F27" s="21" t="str">
        <f t="shared" si="1"/>
        <v>0</v>
      </c>
      <c r="G27" s="20">
        <v>260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44585</v>
      </c>
      <c r="B28" s="29"/>
      <c r="C28" s="20">
        <v>16067.000000000029</v>
      </c>
      <c r="D28" s="21" t="str">
        <f t="shared" si="3"/>
        <v>0</v>
      </c>
      <c r="E28" s="20">
        <v>1352</v>
      </c>
      <c r="F28" s="21">
        <f t="shared" si="1"/>
        <v>97</v>
      </c>
      <c r="G28" s="20">
        <v>296</v>
      </c>
      <c r="H28" s="21">
        <f t="shared" si="2"/>
        <v>36</v>
      </c>
      <c r="I28" s="3"/>
      <c r="J28" s="3"/>
    </row>
    <row r="29" spans="1:10" ht="45" customHeight="1" x14ac:dyDescent="0.15">
      <c r="A29" s="19">
        <v>44586</v>
      </c>
      <c r="B29" s="29"/>
      <c r="C29" s="20">
        <v>15784.000000000469</v>
      </c>
      <c r="D29" s="21" t="str">
        <f t="shared" si="3"/>
        <v>0</v>
      </c>
      <c r="E29" s="20">
        <v>1272</v>
      </c>
      <c r="F29" s="21" t="str">
        <f t="shared" si="1"/>
        <v>0</v>
      </c>
      <c r="G29" s="20">
        <v>279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44587</v>
      </c>
      <c r="B30" s="29"/>
      <c r="C30" s="20">
        <v>17072.999999999342</v>
      </c>
      <c r="D30" s="21">
        <f t="shared" si="3"/>
        <v>1288.9999999988722</v>
      </c>
      <c r="E30" s="20">
        <v>1330</v>
      </c>
      <c r="F30" s="21">
        <f t="shared" si="1"/>
        <v>58</v>
      </c>
      <c r="G30" s="20">
        <v>293</v>
      </c>
      <c r="H30" s="21">
        <f t="shared" si="2"/>
        <v>14</v>
      </c>
      <c r="I30" s="3"/>
      <c r="J30" s="3"/>
    </row>
    <row r="31" spans="1:10" ht="45" customHeight="1" x14ac:dyDescent="0.15">
      <c r="A31" s="19">
        <v>44588</v>
      </c>
      <c r="B31" s="29"/>
      <c r="C31" s="20">
        <v>16681.999999999302</v>
      </c>
      <c r="D31" s="21" t="str">
        <f t="shared" si="3"/>
        <v>0</v>
      </c>
      <c r="E31" s="20">
        <v>1383</v>
      </c>
      <c r="F31" s="21">
        <f t="shared" si="1"/>
        <v>53</v>
      </c>
      <c r="G31" s="20">
        <v>273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44589</v>
      </c>
      <c r="B32" s="29"/>
      <c r="C32" s="20">
        <v>14862.000000001695</v>
      </c>
      <c r="D32" s="21" t="str">
        <f t="shared" si="3"/>
        <v>0</v>
      </c>
      <c r="E32" s="20">
        <v>1388</v>
      </c>
      <c r="F32" s="21">
        <f t="shared" si="1"/>
        <v>5</v>
      </c>
      <c r="G32" s="20">
        <v>281</v>
      </c>
      <c r="H32" s="21">
        <f t="shared" si="2"/>
        <v>8</v>
      </c>
      <c r="I32" s="3"/>
      <c r="J32" s="3"/>
    </row>
    <row r="33" spans="1:10" ht="36" customHeight="1" x14ac:dyDescent="0.15">
      <c r="A33" s="19">
        <v>44590</v>
      </c>
      <c r="C33" s="20">
        <v>17701.999999999614</v>
      </c>
      <c r="D33" s="21">
        <f t="shared" si="3"/>
        <v>2839.9999999979191</v>
      </c>
      <c r="E33" s="20">
        <v>1322</v>
      </c>
      <c r="F33" s="21" t="str">
        <f t="shared" si="1"/>
        <v>0</v>
      </c>
      <c r="G33" s="20">
        <v>247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44591</v>
      </c>
      <c r="C34" s="20">
        <v>15271.999999999662</v>
      </c>
      <c r="D34" s="21" t="str">
        <f t="shared" si="3"/>
        <v>0</v>
      </c>
      <c r="E34" s="20">
        <v>1421</v>
      </c>
      <c r="F34" s="21">
        <f t="shared" si="1"/>
        <v>99</v>
      </c>
      <c r="G34" s="20">
        <v>275</v>
      </c>
      <c r="H34" s="21">
        <f t="shared" si="2"/>
        <v>28</v>
      </c>
      <c r="I34" s="3"/>
      <c r="J34" s="3"/>
    </row>
    <row r="35" spans="1:10" ht="47.45" customHeight="1" x14ac:dyDescent="0.15">
      <c r="A35" s="19">
        <v>44592</v>
      </c>
      <c r="C35" s="20">
        <v>112141.00000000045</v>
      </c>
      <c r="D35" s="21">
        <f t="shared" si="3"/>
        <v>96869.000000000786</v>
      </c>
      <c r="E35" s="20">
        <v>1511</v>
      </c>
      <c r="F35" s="21">
        <f t="shared" si="1"/>
        <v>90</v>
      </c>
      <c r="G35" s="20">
        <v>291</v>
      </c>
      <c r="H35" s="21">
        <f t="shared" si="2"/>
        <v>16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D33" sqref="D3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36" t="s">
        <v>25</v>
      </c>
      <c r="B1" s="36" t="s">
        <v>13</v>
      </c>
      <c r="C1" s="37" t="s">
        <v>14</v>
      </c>
      <c r="D1" s="36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 ht="15" x14ac:dyDescent="0.25">
      <c r="A2" s="41" t="s">
        <v>24</v>
      </c>
      <c r="B2" s="42">
        <v>1</v>
      </c>
      <c r="C2" s="43">
        <v>2</v>
      </c>
      <c r="D2" s="42">
        <v>2022</v>
      </c>
      <c r="E2" s="44">
        <v>13198.999999999389</v>
      </c>
      <c r="F2" s="45">
        <v>0.93</v>
      </c>
      <c r="G2" s="44">
        <v>1335</v>
      </c>
      <c r="H2" s="45">
        <v>4.3899999999999997</v>
      </c>
      <c r="I2" s="44">
        <v>267</v>
      </c>
      <c r="J2" s="45">
        <v>1.72</v>
      </c>
      <c r="K2" s="44">
        <f>'[1]Shenzhen Daily'!I5</f>
        <v>0</v>
      </c>
      <c r="L2" s="44">
        <f>'[1]Shenzhen Daily'!J5</f>
        <v>0</v>
      </c>
    </row>
    <row r="3" spans="1:12" ht="15" x14ac:dyDescent="0.25">
      <c r="A3" s="41" t="s">
        <v>24</v>
      </c>
      <c r="B3" s="42">
        <f>B2+1</f>
        <v>2</v>
      </c>
      <c r="C3" s="43">
        <v>2</v>
      </c>
      <c r="D3" s="42">
        <v>2022</v>
      </c>
      <c r="E3" s="44">
        <v>13381.0000000002</v>
      </c>
      <c r="F3" s="45">
        <v>0.93</v>
      </c>
      <c r="G3" s="44">
        <v>1332</v>
      </c>
      <c r="H3" s="45">
        <v>4.3899999999999997</v>
      </c>
      <c r="I3" s="44">
        <v>225</v>
      </c>
      <c r="J3" s="45">
        <v>1.72</v>
      </c>
      <c r="K3" s="44">
        <f>'[1]Shenzhen Daily'!I6</f>
        <v>0</v>
      </c>
      <c r="L3" s="44">
        <f>'[1]Shenzhen Daily'!J6</f>
        <v>0</v>
      </c>
    </row>
    <row r="4" spans="1:12" ht="15" x14ac:dyDescent="0.25">
      <c r="A4" s="41" t="s">
        <v>24</v>
      </c>
      <c r="B4" s="42">
        <f t="shared" ref="B4:B29" si="0">B3+1</f>
        <v>3</v>
      </c>
      <c r="C4" s="43">
        <v>2</v>
      </c>
      <c r="D4" s="42">
        <v>2022</v>
      </c>
      <c r="E4" s="44">
        <v>13388.000000000648</v>
      </c>
      <c r="F4" s="45">
        <v>0.93</v>
      </c>
      <c r="G4" s="44">
        <v>1400</v>
      </c>
      <c r="H4" s="45">
        <v>4.3899999999999997</v>
      </c>
      <c r="I4" s="44">
        <v>230</v>
      </c>
      <c r="J4" s="45">
        <v>1.72</v>
      </c>
      <c r="K4" s="44">
        <f>'[1]Shenzhen Daily'!I7</f>
        <v>0</v>
      </c>
      <c r="L4" s="44">
        <f>'[1]Shenzhen Daily'!J7</f>
        <v>0</v>
      </c>
    </row>
    <row r="5" spans="1:12" ht="15" x14ac:dyDescent="0.25">
      <c r="A5" s="41" t="s">
        <v>24</v>
      </c>
      <c r="B5" s="42">
        <f t="shared" si="0"/>
        <v>4</v>
      </c>
      <c r="C5" s="43">
        <v>2</v>
      </c>
      <c r="D5" s="42">
        <v>2022</v>
      </c>
      <c r="E5" s="44">
        <v>13371.99999999932</v>
      </c>
      <c r="F5" s="45">
        <v>0.93</v>
      </c>
      <c r="G5" s="44">
        <v>1341</v>
      </c>
      <c r="H5" s="45">
        <v>4.3899999999999997</v>
      </c>
      <c r="I5" s="44">
        <v>276</v>
      </c>
      <c r="J5" s="45">
        <v>1.72</v>
      </c>
      <c r="K5" s="44">
        <f>'[1]Shenzhen Daily'!I8</f>
        <v>0</v>
      </c>
      <c r="L5" s="44">
        <f>'[1]Shenzhen Daily'!J8</f>
        <v>0</v>
      </c>
    </row>
    <row r="6" spans="1:12" ht="15" x14ac:dyDescent="0.25">
      <c r="A6" s="41" t="s">
        <v>24</v>
      </c>
      <c r="B6" s="42">
        <f t="shared" si="0"/>
        <v>5</v>
      </c>
      <c r="C6" s="43">
        <v>2</v>
      </c>
      <c r="D6" s="42">
        <v>2022</v>
      </c>
      <c r="E6" s="44">
        <v>14925.999999999705</v>
      </c>
      <c r="F6" s="45">
        <v>0.93</v>
      </c>
      <c r="G6" s="44">
        <v>1423</v>
      </c>
      <c r="H6" s="45">
        <v>4.3899999999999997</v>
      </c>
      <c r="I6" s="44">
        <v>269</v>
      </c>
      <c r="J6" s="45">
        <v>1.72</v>
      </c>
      <c r="K6" s="44">
        <f>'[1]Shenzhen Daily'!I9</f>
        <v>0</v>
      </c>
      <c r="L6" s="44">
        <f>'[1]Shenzhen Daily'!J9</f>
        <v>0</v>
      </c>
    </row>
    <row r="7" spans="1:12" ht="15" x14ac:dyDescent="0.25">
      <c r="A7" s="41" t="s">
        <v>24</v>
      </c>
      <c r="B7" s="42">
        <f t="shared" si="0"/>
        <v>6</v>
      </c>
      <c r="C7" s="43">
        <v>2</v>
      </c>
      <c r="D7" s="42">
        <v>2022</v>
      </c>
      <c r="E7" s="44">
        <v>14391.999999999905</v>
      </c>
      <c r="F7" s="45">
        <v>0.93</v>
      </c>
      <c r="G7" s="44">
        <v>1274</v>
      </c>
      <c r="H7" s="45">
        <v>4.3899999999999997</v>
      </c>
      <c r="I7" s="44">
        <v>252</v>
      </c>
      <c r="J7" s="45">
        <v>1.72</v>
      </c>
      <c r="K7" s="44">
        <f>'[1]Shenzhen Daily'!I10</f>
        <v>0</v>
      </c>
      <c r="L7" s="44">
        <f>'[1]Shenzhen Daily'!J10</f>
        <v>0</v>
      </c>
    </row>
    <row r="8" spans="1:12" ht="15" x14ac:dyDescent="0.25">
      <c r="A8" s="41" t="s">
        <v>24</v>
      </c>
      <c r="B8" s="42">
        <f t="shared" si="0"/>
        <v>7</v>
      </c>
      <c r="C8" s="43">
        <v>2</v>
      </c>
      <c r="D8" s="42">
        <v>2022</v>
      </c>
      <c r="E8" s="44">
        <v>14766.000000000418</v>
      </c>
      <c r="F8" s="45">
        <v>0.93</v>
      </c>
      <c r="G8" s="44">
        <v>1383</v>
      </c>
      <c r="H8" s="45">
        <v>4.3899999999999997</v>
      </c>
      <c r="I8" s="44">
        <v>280</v>
      </c>
      <c r="J8" s="45">
        <v>1.72</v>
      </c>
      <c r="K8" s="44">
        <f>'[1]Shenzhen Daily'!I11</f>
        <v>0</v>
      </c>
      <c r="L8" s="44">
        <f>'[1]Shenzhen Daily'!J11</f>
        <v>0</v>
      </c>
    </row>
    <row r="9" spans="1:12" ht="15" x14ac:dyDescent="0.25">
      <c r="A9" s="41" t="s">
        <v>24</v>
      </c>
      <c r="B9" s="42">
        <f t="shared" si="0"/>
        <v>8</v>
      </c>
      <c r="C9" s="43">
        <v>2</v>
      </c>
      <c r="D9" s="42">
        <v>2022</v>
      </c>
      <c r="E9" s="44">
        <v>14747.999999999636</v>
      </c>
      <c r="F9" s="45">
        <v>0.93</v>
      </c>
      <c r="G9" s="44">
        <v>1034</v>
      </c>
      <c r="H9" s="45">
        <v>4.3899999999999997</v>
      </c>
      <c r="I9" s="44">
        <v>252</v>
      </c>
      <c r="J9" s="45">
        <v>1.72</v>
      </c>
      <c r="K9" s="44">
        <f>'[1]Shenzhen Daily'!I12</f>
        <v>0</v>
      </c>
      <c r="L9" s="44">
        <f>'[1]Shenzhen Daily'!J12</f>
        <v>0</v>
      </c>
    </row>
    <row r="10" spans="1:12" ht="15" x14ac:dyDescent="0.25">
      <c r="A10" s="41" t="s">
        <v>24</v>
      </c>
      <c r="B10" s="42">
        <f t="shared" si="0"/>
        <v>9</v>
      </c>
      <c r="C10" s="43">
        <v>2</v>
      </c>
      <c r="D10" s="42">
        <v>2022</v>
      </c>
      <c r="E10" s="44">
        <v>14932.000000000835</v>
      </c>
      <c r="F10" s="45">
        <v>0.93</v>
      </c>
      <c r="G10" s="44">
        <v>1406</v>
      </c>
      <c r="H10" s="45">
        <v>4.3899999999999997</v>
      </c>
      <c r="I10" s="44">
        <v>297</v>
      </c>
      <c r="J10" s="45">
        <v>1.72</v>
      </c>
      <c r="K10" s="44">
        <f>'[1]Shenzhen Daily'!I13</f>
        <v>0</v>
      </c>
      <c r="L10" s="44">
        <f>'[1]Shenzhen Daily'!J13</f>
        <v>0</v>
      </c>
    </row>
    <row r="11" spans="1:12" ht="15" x14ac:dyDescent="0.25">
      <c r="A11" s="41" t="s">
        <v>24</v>
      </c>
      <c r="B11" s="42">
        <f t="shared" si="0"/>
        <v>10</v>
      </c>
      <c r="C11" s="43">
        <v>2</v>
      </c>
      <c r="D11" s="42">
        <v>2022</v>
      </c>
      <c r="E11" s="44">
        <v>16232.999999998538</v>
      </c>
      <c r="F11" s="45">
        <v>0.93</v>
      </c>
      <c r="G11" s="44">
        <v>1455</v>
      </c>
      <c r="H11" s="45">
        <v>4.3899999999999997</v>
      </c>
      <c r="I11" s="44">
        <v>349</v>
      </c>
      <c r="J11" s="45">
        <v>1.72</v>
      </c>
      <c r="K11" s="44">
        <f>'[1]Shenzhen Daily'!I14</f>
        <v>0</v>
      </c>
      <c r="L11" s="44">
        <f>'[1]Shenzhen Daily'!J14</f>
        <v>0</v>
      </c>
    </row>
    <row r="12" spans="1:12" ht="15" x14ac:dyDescent="0.25">
      <c r="A12" s="41" t="s">
        <v>24</v>
      </c>
      <c r="B12" s="42">
        <f t="shared" si="0"/>
        <v>11</v>
      </c>
      <c r="C12" s="43">
        <v>2</v>
      </c>
      <c r="D12" s="42">
        <v>2022</v>
      </c>
      <c r="E12" s="44">
        <v>16440.000000001201</v>
      </c>
      <c r="F12" s="45">
        <v>0.93</v>
      </c>
      <c r="G12" s="44">
        <v>1285</v>
      </c>
      <c r="H12" s="45">
        <v>4.3899999999999997</v>
      </c>
      <c r="I12" s="44">
        <v>296</v>
      </c>
      <c r="J12" s="45">
        <v>1.72</v>
      </c>
      <c r="K12" s="44">
        <f>'[1]Shenzhen Daily'!I15</f>
        <v>0</v>
      </c>
      <c r="L12" s="44">
        <f>'[1]Shenzhen Daily'!J15</f>
        <v>0</v>
      </c>
    </row>
    <row r="13" spans="1:12" ht="15" x14ac:dyDescent="0.25">
      <c r="A13" s="41" t="s">
        <v>24</v>
      </c>
      <c r="B13" s="42">
        <f t="shared" si="0"/>
        <v>12</v>
      </c>
      <c r="C13" s="43">
        <v>2</v>
      </c>
      <c r="D13" s="42">
        <v>2022</v>
      </c>
      <c r="E13" s="44">
        <v>17138.999999999352</v>
      </c>
      <c r="F13" s="45">
        <v>0.93</v>
      </c>
      <c r="G13" s="44">
        <v>1334</v>
      </c>
      <c r="H13" s="45">
        <v>4.3899999999999997</v>
      </c>
      <c r="I13" s="44">
        <v>276</v>
      </c>
      <c r="J13" s="45">
        <v>1.72</v>
      </c>
      <c r="K13" s="44">
        <f>'[1]Shenzhen Daily'!I16</f>
        <v>0</v>
      </c>
      <c r="L13" s="44">
        <f>'[1]Shenzhen Daily'!J16</f>
        <v>0</v>
      </c>
    </row>
    <row r="14" spans="1:12" ht="15" x14ac:dyDescent="0.25">
      <c r="A14" s="41" t="s">
        <v>24</v>
      </c>
      <c r="B14" s="42">
        <f t="shared" si="0"/>
        <v>13</v>
      </c>
      <c r="C14" s="43">
        <v>2</v>
      </c>
      <c r="D14" s="42">
        <v>2022</v>
      </c>
      <c r="E14" s="44">
        <v>15170.000000000959</v>
      </c>
      <c r="F14" s="45">
        <v>0.93</v>
      </c>
      <c r="G14" s="44">
        <v>1294</v>
      </c>
      <c r="H14" s="45">
        <v>4.3899999999999997</v>
      </c>
      <c r="I14" s="44">
        <v>262</v>
      </c>
      <c r="J14" s="45">
        <v>1.72</v>
      </c>
      <c r="K14" s="44">
        <f>'[1]Shenzhen Daily'!I17</f>
        <v>0</v>
      </c>
      <c r="L14" s="44">
        <f>'[1]Shenzhen Daily'!J17</f>
        <v>0</v>
      </c>
    </row>
    <row r="15" spans="1:12" ht="15" x14ac:dyDescent="0.25">
      <c r="A15" s="41" t="s">
        <v>24</v>
      </c>
      <c r="B15" s="42">
        <f t="shared" si="0"/>
        <v>14</v>
      </c>
      <c r="C15" s="43">
        <v>2</v>
      </c>
      <c r="D15" s="42">
        <v>2022</v>
      </c>
      <c r="E15" s="44">
        <v>16498.999999999898</v>
      </c>
      <c r="F15" s="45">
        <v>0.93</v>
      </c>
      <c r="G15" s="44">
        <v>1407</v>
      </c>
      <c r="H15" s="45">
        <v>4.3899999999999997</v>
      </c>
      <c r="I15" s="44">
        <v>289</v>
      </c>
      <c r="J15" s="45">
        <v>1.72</v>
      </c>
      <c r="K15" s="44">
        <f>'[1]Shenzhen Daily'!I18</f>
        <v>0</v>
      </c>
      <c r="L15" s="44">
        <f>'[1]Shenzhen Daily'!J18</f>
        <v>0</v>
      </c>
    </row>
    <row r="16" spans="1:12" ht="15" x14ac:dyDescent="0.25">
      <c r="A16" s="41" t="s">
        <v>24</v>
      </c>
      <c r="B16" s="42">
        <f t="shared" si="0"/>
        <v>15</v>
      </c>
      <c r="C16" s="43">
        <v>2</v>
      </c>
      <c r="D16" s="42">
        <v>2022</v>
      </c>
      <c r="E16" s="44">
        <v>16883.999999999265</v>
      </c>
      <c r="F16" s="45">
        <v>0.93</v>
      </c>
      <c r="G16" s="44">
        <v>1443</v>
      </c>
      <c r="H16" s="45">
        <v>4.3899999999999997</v>
      </c>
      <c r="I16" s="44">
        <v>315</v>
      </c>
      <c r="J16" s="45">
        <v>1.72</v>
      </c>
      <c r="K16" s="44">
        <f>'[1]Shenzhen Daily'!I19</f>
        <v>0</v>
      </c>
      <c r="L16" s="44">
        <f>'[1]Shenzhen Daily'!J19</f>
        <v>0</v>
      </c>
    </row>
    <row r="17" spans="1:12" ht="15" x14ac:dyDescent="0.25">
      <c r="A17" s="41" t="s">
        <v>24</v>
      </c>
      <c r="B17" s="42">
        <f t="shared" si="0"/>
        <v>16</v>
      </c>
      <c r="C17" s="43">
        <v>2</v>
      </c>
      <c r="D17" s="42">
        <v>2022</v>
      </c>
      <c r="E17" s="44">
        <v>16585.000000000698</v>
      </c>
      <c r="F17" s="45">
        <v>0.93</v>
      </c>
      <c r="G17" s="44">
        <v>1401</v>
      </c>
      <c r="H17" s="45">
        <v>4.3899999999999997</v>
      </c>
      <c r="I17" s="44">
        <v>315</v>
      </c>
      <c r="J17" s="45">
        <v>1.72</v>
      </c>
      <c r="K17" s="44">
        <f>'[1]Shenzhen Daily'!I20</f>
        <v>0</v>
      </c>
      <c r="L17" s="44">
        <f>'[1]Shenzhen Daily'!J20</f>
        <v>0</v>
      </c>
    </row>
    <row r="18" spans="1:12" ht="15" x14ac:dyDescent="0.25">
      <c r="A18" s="41" t="s">
        <v>24</v>
      </c>
      <c r="B18" s="42">
        <f t="shared" si="0"/>
        <v>17</v>
      </c>
      <c r="C18" s="43">
        <v>2</v>
      </c>
      <c r="D18" s="42">
        <v>2022</v>
      </c>
      <c r="E18" s="44">
        <v>16266.000000000371</v>
      </c>
      <c r="F18" s="45">
        <v>0.93</v>
      </c>
      <c r="G18" s="44">
        <v>1424</v>
      </c>
      <c r="H18" s="45">
        <v>4.3899999999999997</v>
      </c>
      <c r="I18" s="44">
        <v>296</v>
      </c>
      <c r="J18" s="45">
        <v>1.72</v>
      </c>
      <c r="K18" s="44">
        <f>'[1]Shenzhen Daily'!I21</f>
        <v>0</v>
      </c>
      <c r="L18" s="44">
        <f>'[1]Shenzhen Daily'!J21</f>
        <v>0</v>
      </c>
    </row>
    <row r="19" spans="1:12" ht="15" x14ac:dyDescent="0.25">
      <c r="A19" s="41" t="s">
        <v>24</v>
      </c>
      <c r="B19" s="42">
        <f t="shared" si="0"/>
        <v>18</v>
      </c>
      <c r="C19" s="43">
        <v>2</v>
      </c>
      <c r="D19" s="42">
        <v>2022</v>
      </c>
      <c r="E19" s="44">
        <v>15669.999999999447</v>
      </c>
      <c r="F19" s="45">
        <v>0.93</v>
      </c>
      <c r="G19" s="44">
        <v>1415</v>
      </c>
      <c r="H19" s="45">
        <v>4.3899999999999997</v>
      </c>
      <c r="I19" s="44">
        <v>315</v>
      </c>
      <c r="J19" s="45">
        <v>1.72</v>
      </c>
      <c r="K19" s="44">
        <f>'[1]Shenzhen Daily'!I22</f>
        <v>0</v>
      </c>
      <c r="L19" s="44">
        <f>'[1]Shenzhen Daily'!J22</f>
        <v>0</v>
      </c>
    </row>
    <row r="20" spans="1:12" ht="15" x14ac:dyDescent="0.25">
      <c r="A20" s="41" t="s">
        <v>24</v>
      </c>
      <c r="B20" s="42">
        <f t="shared" si="0"/>
        <v>19</v>
      </c>
      <c r="C20" s="43">
        <v>2</v>
      </c>
      <c r="D20" s="42">
        <v>2022</v>
      </c>
      <c r="E20" s="44">
        <v>15482.999999999265</v>
      </c>
      <c r="F20" s="45">
        <v>0.93</v>
      </c>
      <c r="G20" s="44">
        <v>1571</v>
      </c>
      <c r="H20" s="45">
        <v>4.3899999999999997</v>
      </c>
      <c r="I20" s="44">
        <v>286</v>
      </c>
      <c r="J20" s="45">
        <v>1.72</v>
      </c>
      <c r="K20" s="44">
        <f>'[1]Shenzhen Daily'!I23</f>
        <v>0</v>
      </c>
      <c r="L20" s="44">
        <f>'[1]Shenzhen Daily'!J23</f>
        <v>0</v>
      </c>
    </row>
    <row r="21" spans="1:12" ht="15" x14ac:dyDescent="0.25">
      <c r="A21" s="41" t="s">
        <v>24</v>
      </c>
      <c r="B21" s="42">
        <f t="shared" si="0"/>
        <v>20</v>
      </c>
      <c r="C21" s="43">
        <v>2</v>
      </c>
      <c r="D21" s="42">
        <v>2022</v>
      </c>
      <c r="E21" s="44">
        <v>14325.999999999705</v>
      </c>
      <c r="F21" s="45">
        <v>0.93</v>
      </c>
      <c r="G21" s="44">
        <v>1700</v>
      </c>
      <c r="H21" s="45">
        <v>4.3899999999999997</v>
      </c>
      <c r="I21" s="44">
        <v>302</v>
      </c>
      <c r="J21" s="45">
        <v>1.72</v>
      </c>
      <c r="K21" s="44">
        <f>'[1]Shenzhen Daily'!I24</f>
        <v>0</v>
      </c>
      <c r="L21" s="44">
        <f>'[1]Shenzhen Daily'!J24</f>
        <v>0</v>
      </c>
    </row>
    <row r="22" spans="1:12" ht="15" x14ac:dyDescent="0.25">
      <c r="A22" s="41" t="s">
        <v>24</v>
      </c>
      <c r="B22" s="42">
        <f t="shared" si="0"/>
        <v>21</v>
      </c>
      <c r="C22" s="43">
        <v>2</v>
      </c>
      <c r="D22" s="42">
        <v>2022</v>
      </c>
      <c r="E22" s="44">
        <v>14284.000000001039</v>
      </c>
      <c r="F22" s="45">
        <v>0.93</v>
      </c>
      <c r="G22" s="44">
        <v>1777</v>
      </c>
      <c r="H22" s="45">
        <v>4.3899999999999997</v>
      </c>
      <c r="I22" s="44">
        <v>305</v>
      </c>
      <c r="J22" s="45">
        <v>1.72</v>
      </c>
      <c r="K22" s="44">
        <f>'[1]Shenzhen Daily'!I25</f>
        <v>0</v>
      </c>
      <c r="L22" s="44">
        <f>'[1]Shenzhen Daily'!J25</f>
        <v>0</v>
      </c>
    </row>
    <row r="23" spans="1:12" ht="15" x14ac:dyDescent="0.25">
      <c r="A23" s="41" t="s">
        <v>24</v>
      </c>
      <c r="B23" s="42">
        <f t="shared" si="0"/>
        <v>22</v>
      </c>
      <c r="C23" s="43">
        <v>2</v>
      </c>
      <c r="D23" s="42">
        <v>2022</v>
      </c>
      <c r="E23" s="44">
        <v>14894.99999999922</v>
      </c>
      <c r="F23" s="45">
        <v>0.93</v>
      </c>
      <c r="G23" s="44">
        <v>1858</v>
      </c>
      <c r="H23" s="45">
        <v>4.3899999999999997</v>
      </c>
      <c r="I23" s="44">
        <v>275</v>
      </c>
      <c r="J23" s="45">
        <v>1.72</v>
      </c>
      <c r="K23" s="44">
        <f>'[1]Shenzhen Daily'!I26</f>
        <v>0</v>
      </c>
      <c r="L23" s="44">
        <f>'[1]Shenzhen Daily'!J26</f>
        <v>0</v>
      </c>
    </row>
    <row r="24" spans="1:12" ht="15" x14ac:dyDescent="0.25">
      <c r="A24" s="41" t="s">
        <v>24</v>
      </c>
      <c r="B24" s="42">
        <f t="shared" si="0"/>
        <v>23</v>
      </c>
      <c r="C24" s="43">
        <v>2</v>
      </c>
      <c r="D24" s="42">
        <v>2022</v>
      </c>
      <c r="E24" s="44">
        <v>14854.000000001088</v>
      </c>
      <c r="F24" s="45">
        <v>0.93</v>
      </c>
      <c r="G24" s="44">
        <v>1886</v>
      </c>
      <c r="H24" s="45">
        <v>4.3899999999999997</v>
      </c>
      <c r="I24" s="44">
        <v>318</v>
      </c>
      <c r="J24" s="45">
        <v>1.72</v>
      </c>
      <c r="K24" s="44">
        <f>'[1]Shenzhen Daily'!I27</f>
        <v>0</v>
      </c>
      <c r="L24" s="44">
        <f>'[1]Shenzhen Daily'!J27</f>
        <v>0</v>
      </c>
    </row>
    <row r="25" spans="1:12" ht="15" x14ac:dyDescent="0.25">
      <c r="A25" s="41" t="s">
        <v>24</v>
      </c>
      <c r="B25" s="42">
        <f t="shared" si="0"/>
        <v>24</v>
      </c>
      <c r="C25" s="43">
        <v>2</v>
      </c>
      <c r="D25" s="42">
        <v>2022</v>
      </c>
      <c r="E25" s="44">
        <v>15394.999999999278</v>
      </c>
      <c r="F25" s="45">
        <v>0.93</v>
      </c>
      <c r="G25" s="44">
        <v>1854</v>
      </c>
      <c r="H25" s="45">
        <v>4.3899999999999997</v>
      </c>
      <c r="I25" s="44">
        <v>287</v>
      </c>
      <c r="J25" s="45">
        <v>1.72</v>
      </c>
      <c r="K25" s="44">
        <f>'[1]Shenzhen Daily'!I28</f>
        <v>0</v>
      </c>
      <c r="L25" s="44">
        <f>'[1]Shenzhen Daily'!J28</f>
        <v>0</v>
      </c>
    </row>
    <row r="26" spans="1:12" ht="15" x14ac:dyDescent="0.25">
      <c r="A26" s="41" t="s">
        <v>24</v>
      </c>
      <c r="B26" s="42">
        <f>B25+1</f>
        <v>25</v>
      </c>
      <c r="C26" s="43">
        <v>2</v>
      </c>
      <c r="D26" s="42">
        <v>2022</v>
      </c>
      <c r="E26" s="44">
        <v>14831.000000000518</v>
      </c>
      <c r="F26" s="45">
        <v>0.93</v>
      </c>
      <c r="G26" s="44">
        <v>1641</v>
      </c>
      <c r="H26" s="45">
        <v>4.3899999999999997</v>
      </c>
      <c r="I26" s="44">
        <v>295</v>
      </c>
      <c r="J26" s="45">
        <v>1.72</v>
      </c>
      <c r="K26" s="44">
        <f>'[1]Shenzhen Daily'!I29</f>
        <v>0</v>
      </c>
      <c r="L26" s="44">
        <f>'[1]Shenzhen Daily'!J29</f>
        <v>0</v>
      </c>
    </row>
    <row r="27" spans="1:12" ht="15" x14ac:dyDescent="0.25">
      <c r="A27" s="41" t="s">
        <v>24</v>
      </c>
      <c r="B27" s="42">
        <f t="shared" si="0"/>
        <v>26</v>
      </c>
      <c r="C27" s="43">
        <v>2</v>
      </c>
      <c r="D27" s="42">
        <v>2022</v>
      </c>
      <c r="E27" s="44">
        <v>16339.999999999203</v>
      </c>
      <c r="F27" s="45">
        <v>0.93</v>
      </c>
      <c r="G27" s="44">
        <v>1384</v>
      </c>
      <c r="H27" s="45">
        <v>4.3899999999999997</v>
      </c>
      <c r="I27" s="44">
        <v>323</v>
      </c>
      <c r="J27" s="45">
        <v>1.72</v>
      </c>
      <c r="K27" s="44">
        <f>'[1]Shenzhen Daily'!I30</f>
        <v>0</v>
      </c>
      <c r="L27" s="44">
        <f>'[1]Shenzhen Daily'!J30</f>
        <v>0</v>
      </c>
    </row>
    <row r="28" spans="1:12" ht="15" x14ac:dyDescent="0.25">
      <c r="A28" s="41" t="s">
        <v>24</v>
      </c>
      <c r="B28" s="42">
        <f t="shared" si="0"/>
        <v>27</v>
      </c>
      <c r="C28" s="43">
        <v>2</v>
      </c>
      <c r="D28" s="42">
        <v>2022</v>
      </c>
      <c r="E28" s="44">
        <v>13610.000000001015</v>
      </c>
      <c r="F28" s="45">
        <v>0.93</v>
      </c>
      <c r="G28" s="44">
        <v>1291</v>
      </c>
      <c r="H28" s="45">
        <v>4.3899999999999997</v>
      </c>
      <c r="I28" s="44">
        <v>259</v>
      </c>
      <c r="J28" s="45">
        <v>1.72</v>
      </c>
      <c r="K28" s="44">
        <f>'[1]Shenzhen Daily'!I31</f>
        <v>0</v>
      </c>
      <c r="L28" s="44">
        <f>'[1]Shenzhen Daily'!J31</f>
        <v>0</v>
      </c>
    </row>
    <row r="29" spans="1:12" ht="15" x14ac:dyDescent="0.25">
      <c r="A29" s="41" t="s">
        <v>24</v>
      </c>
      <c r="B29" s="42">
        <f t="shared" si="0"/>
        <v>28</v>
      </c>
      <c r="C29" s="43">
        <v>2</v>
      </c>
      <c r="D29" s="42">
        <v>2022</v>
      </c>
      <c r="E29" s="44">
        <v>14435.999999999467</v>
      </c>
      <c r="F29" s="45">
        <v>0.93</v>
      </c>
      <c r="G29" s="44">
        <v>1241</v>
      </c>
      <c r="H29" s="45">
        <v>4.3899999999999997</v>
      </c>
      <c r="I29" s="44">
        <v>256</v>
      </c>
      <c r="J29" s="45">
        <v>1.72</v>
      </c>
      <c r="K29" s="44">
        <f>'[1]Shenzhen Daily'!I32</f>
        <v>0</v>
      </c>
      <c r="L29" s="44">
        <f>'[1]Shenzhen Daily'!J32</f>
        <v>0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opLeftCell="A22" zoomScale="85" zoomScaleNormal="85" workbookViewId="0">
      <pane xSplit="1" topLeftCell="B1" activePane="topRight" state="frozen"/>
      <selection pane="topRight" activeCell="G32" sqref="G32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44592</v>
      </c>
      <c r="B4" s="29"/>
      <c r="C4" s="26">
        <v>112141</v>
      </c>
      <c r="D4" s="27"/>
      <c r="E4" s="26">
        <v>1511</v>
      </c>
      <c r="F4" s="28"/>
      <c r="G4" s="26">
        <v>291</v>
      </c>
      <c r="I4" s="18"/>
      <c r="J4" s="18"/>
    </row>
    <row r="5" spans="1:10" ht="33" customHeight="1" x14ac:dyDescent="0.15">
      <c r="A5" s="19">
        <v>44593</v>
      </c>
      <c r="B5" s="29"/>
      <c r="C5" s="20">
        <v>13198.999999999389</v>
      </c>
      <c r="D5" s="21" t="str">
        <f t="shared" ref="D5:D22" si="0">IF((C5-C4&lt;0), "0",C5-C4)</f>
        <v>0</v>
      </c>
      <c r="E5" s="20">
        <v>1335</v>
      </c>
      <c r="F5" s="21" t="str">
        <f>IF((E5-E4&lt;0), "0",E5-E4)</f>
        <v>0</v>
      </c>
      <c r="G5" s="20">
        <v>267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44594</v>
      </c>
      <c r="B6" s="29"/>
      <c r="C6" s="20">
        <v>13381.0000000002</v>
      </c>
      <c r="D6" s="21">
        <f t="shared" si="0"/>
        <v>182.00000000081127</v>
      </c>
      <c r="E6" s="20">
        <v>1332</v>
      </c>
      <c r="F6" s="21" t="str">
        <f t="shared" ref="F6:F32" si="1">IF((E6-E5&lt;0), "0",E6-E5)</f>
        <v>0</v>
      </c>
      <c r="G6" s="20">
        <v>225</v>
      </c>
      <c r="H6" s="21" t="str">
        <f t="shared" ref="H6:H32" si="2">IF((G6-G5&lt;0), "0",G6-G5)</f>
        <v>0</v>
      </c>
      <c r="I6" s="3"/>
      <c r="J6" s="3"/>
    </row>
    <row r="7" spans="1:10" ht="45" customHeight="1" x14ac:dyDescent="0.15">
      <c r="A7" s="19">
        <v>44595</v>
      </c>
      <c r="B7" s="29"/>
      <c r="C7" s="20">
        <v>13388.000000000648</v>
      </c>
      <c r="D7" s="21">
        <f t="shared" si="0"/>
        <v>7.0000000004474714</v>
      </c>
      <c r="E7" s="20">
        <v>1400</v>
      </c>
      <c r="F7" s="21">
        <f t="shared" si="1"/>
        <v>68</v>
      </c>
      <c r="G7" s="20">
        <v>230</v>
      </c>
      <c r="H7" s="21">
        <f t="shared" si="2"/>
        <v>5</v>
      </c>
      <c r="I7" s="3"/>
      <c r="J7" s="3"/>
    </row>
    <row r="8" spans="1:10" ht="45" customHeight="1" x14ac:dyDescent="0.15">
      <c r="A8" s="19">
        <v>44596</v>
      </c>
      <c r="B8" s="29"/>
      <c r="C8" s="20">
        <v>13371.99999999932</v>
      </c>
      <c r="D8" s="21" t="str">
        <f t="shared" si="0"/>
        <v>0</v>
      </c>
      <c r="E8" s="20">
        <v>1341</v>
      </c>
      <c r="F8" s="21" t="str">
        <f t="shared" si="1"/>
        <v>0</v>
      </c>
      <c r="G8" s="20">
        <v>276</v>
      </c>
      <c r="H8" s="21">
        <f t="shared" si="2"/>
        <v>46</v>
      </c>
      <c r="I8" s="3"/>
      <c r="J8" s="3"/>
    </row>
    <row r="9" spans="1:10" ht="45" customHeight="1" x14ac:dyDescent="0.15">
      <c r="A9" s="19">
        <v>44597</v>
      </c>
      <c r="B9" s="29"/>
      <c r="C9" s="20">
        <v>14925.999999999705</v>
      </c>
      <c r="D9" s="21">
        <f t="shared" si="0"/>
        <v>1554.0000000003856</v>
      </c>
      <c r="E9" s="20">
        <v>1423</v>
      </c>
      <c r="F9" s="21">
        <f t="shared" si="1"/>
        <v>82</v>
      </c>
      <c r="G9" s="20">
        <v>269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44598</v>
      </c>
      <c r="B10" s="29"/>
      <c r="C10" s="20">
        <v>14391.999999999905</v>
      </c>
      <c r="D10" s="21" t="str">
        <f t="shared" si="0"/>
        <v>0</v>
      </c>
      <c r="E10" s="20">
        <v>1274</v>
      </c>
      <c r="F10" s="21" t="str">
        <f t="shared" si="1"/>
        <v>0</v>
      </c>
      <c r="G10" s="20">
        <v>252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44599</v>
      </c>
      <c r="B11" s="29"/>
      <c r="C11" s="20">
        <v>14766.000000000418</v>
      </c>
      <c r="D11" s="21">
        <f t="shared" si="0"/>
        <v>374.00000000051296</v>
      </c>
      <c r="E11" s="20">
        <v>1383</v>
      </c>
      <c r="F11" s="21">
        <f t="shared" si="1"/>
        <v>109</v>
      </c>
      <c r="G11" s="20">
        <v>280</v>
      </c>
      <c r="H11" s="21">
        <f t="shared" si="2"/>
        <v>28</v>
      </c>
      <c r="I11" s="3"/>
      <c r="J11" s="3"/>
    </row>
    <row r="12" spans="1:10" ht="45" customHeight="1" x14ac:dyDescent="0.15">
      <c r="A12" s="19">
        <v>44600</v>
      </c>
      <c r="B12" s="29"/>
      <c r="C12" s="20">
        <v>14747.999999999636</v>
      </c>
      <c r="D12" s="21" t="str">
        <f t="shared" si="0"/>
        <v>0</v>
      </c>
      <c r="E12" s="20">
        <v>1034</v>
      </c>
      <c r="F12" s="21" t="str">
        <f t="shared" si="1"/>
        <v>0</v>
      </c>
      <c r="G12" s="20">
        <v>252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44601</v>
      </c>
      <c r="B13" s="29"/>
      <c r="C13" s="20">
        <v>14932.000000000835</v>
      </c>
      <c r="D13" s="21">
        <f t="shared" si="0"/>
        <v>184.00000000119871</v>
      </c>
      <c r="E13" s="20">
        <v>1406</v>
      </c>
      <c r="F13" s="21">
        <f t="shared" si="1"/>
        <v>372</v>
      </c>
      <c r="G13" s="20">
        <v>297</v>
      </c>
      <c r="H13" s="21">
        <f t="shared" si="2"/>
        <v>45</v>
      </c>
      <c r="I13" s="3"/>
      <c r="J13" s="3"/>
    </row>
    <row r="14" spans="1:10" ht="45" customHeight="1" x14ac:dyDescent="0.15">
      <c r="A14" s="19">
        <v>44602</v>
      </c>
      <c r="B14" s="29"/>
      <c r="C14" s="20">
        <v>16232.999999998538</v>
      </c>
      <c r="D14" s="21">
        <f t="shared" si="0"/>
        <v>1300.9999999977026</v>
      </c>
      <c r="E14" s="20">
        <v>1455</v>
      </c>
      <c r="F14" s="21">
        <f t="shared" si="1"/>
        <v>49</v>
      </c>
      <c r="G14" s="20">
        <v>349</v>
      </c>
      <c r="H14" s="21">
        <f t="shared" si="2"/>
        <v>52</v>
      </c>
      <c r="I14" s="3"/>
      <c r="J14" s="3"/>
    </row>
    <row r="15" spans="1:10" ht="45" customHeight="1" x14ac:dyDescent="0.15">
      <c r="A15" s="19">
        <v>44603</v>
      </c>
      <c r="B15" s="29"/>
      <c r="C15" s="20">
        <v>16440.000000001201</v>
      </c>
      <c r="D15" s="21">
        <f t="shared" si="0"/>
        <v>207.000000002663</v>
      </c>
      <c r="E15" s="20">
        <v>1285</v>
      </c>
      <c r="F15" s="21" t="str">
        <f t="shared" si="1"/>
        <v>0</v>
      </c>
      <c r="G15" s="20">
        <v>296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44604</v>
      </c>
      <c r="B16" s="29"/>
      <c r="C16" s="20">
        <v>17138.999999999352</v>
      </c>
      <c r="D16" s="21">
        <f t="shared" si="0"/>
        <v>698.99999999815191</v>
      </c>
      <c r="E16" s="20">
        <v>1334</v>
      </c>
      <c r="F16" s="21">
        <f t="shared" si="1"/>
        <v>49</v>
      </c>
      <c r="G16" s="20">
        <v>276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44605</v>
      </c>
      <c r="B17" s="29"/>
      <c r="C17" s="20">
        <v>15170.000000000959</v>
      </c>
      <c r="D17" s="21" t="str">
        <f t="shared" si="0"/>
        <v>0</v>
      </c>
      <c r="E17" s="20">
        <v>1294</v>
      </c>
      <c r="F17" s="21" t="str">
        <f t="shared" si="1"/>
        <v>0</v>
      </c>
      <c r="G17" s="20">
        <v>262</v>
      </c>
      <c r="H17" s="21" t="str">
        <f t="shared" si="2"/>
        <v>0</v>
      </c>
      <c r="I17" s="3"/>
      <c r="J17" s="3"/>
    </row>
    <row r="18" spans="1:10" ht="45" customHeight="1" x14ac:dyDescent="0.15">
      <c r="A18" s="19">
        <v>44606</v>
      </c>
      <c r="B18" s="29"/>
      <c r="C18" s="20">
        <v>16498.999999999898</v>
      </c>
      <c r="D18" s="21">
        <f t="shared" si="0"/>
        <v>1328.9999999989395</v>
      </c>
      <c r="E18" s="20">
        <v>1407</v>
      </c>
      <c r="F18" s="21">
        <f t="shared" si="1"/>
        <v>113</v>
      </c>
      <c r="G18" s="20">
        <v>289</v>
      </c>
      <c r="H18" s="21">
        <f t="shared" si="2"/>
        <v>27</v>
      </c>
      <c r="I18" s="3"/>
      <c r="J18" s="3"/>
    </row>
    <row r="19" spans="1:10" ht="45" customHeight="1" x14ac:dyDescent="0.15">
      <c r="A19" s="19">
        <v>44607</v>
      </c>
      <c r="B19" s="29"/>
      <c r="C19" s="20">
        <v>16883.999999999265</v>
      </c>
      <c r="D19" s="21">
        <f t="shared" si="0"/>
        <v>384.99999999936699</v>
      </c>
      <c r="E19" s="20">
        <v>1443</v>
      </c>
      <c r="F19" s="21">
        <f t="shared" si="1"/>
        <v>36</v>
      </c>
      <c r="G19" s="20">
        <v>315</v>
      </c>
      <c r="H19" s="21">
        <f t="shared" si="2"/>
        <v>26</v>
      </c>
      <c r="I19" s="3"/>
      <c r="J19" s="3"/>
    </row>
    <row r="20" spans="1:10" ht="45" customHeight="1" x14ac:dyDescent="0.15">
      <c r="A20" s="19">
        <v>44608</v>
      </c>
      <c r="B20" s="29"/>
      <c r="C20" s="20">
        <v>16585.000000000698</v>
      </c>
      <c r="D20" s="21" t="str">
        <f t="shared" si="0"/>
        <v>0</v>
      </c>
      <c r="E20" s="20">
        <v>1401</v>
      </c>
      <c r="F20" s="21" t="str">
        <f t="shared" si="1"/>
        <v>0</v>
      </c>
      <c r="G20" s="20">
        <v>315</v>
      </c>
      <c r="H20" s="21">
        <f t="shared" si="2"/>
        <v>0</v>
      </c>
      <c r="I20" s="3"/>
      <c r="J20" s="3"/>
    </row>
    <row r="21" spans="1:10" ht="45" customHeight="1" x14ac:dyDescent="0.15">
      <c r="A21" s="19">
        <v>44609</v>
      </c>
      <c r="B21" s="29"/>
      <c r="C21" s="20">
        <v>16266.000000000371</v>
      </c>
      <c r="D21" s="21" t="str">
        <f t="shared" si="0"/>
        <v>0</v>
      </c>
      <c r="E21" s="20">
        <v>1424</v>
      </c>
      <c r="F21" s="21">
        <f t="shared" si="1"/>
        <v>23</v>
      </c>
      <c r="G21" s="20">
        <v>296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44610</v>
      </c>
      <c r="B22" s="29"/>
      <c r="C22" s="20">
        <v>15669.999999999447</v>
      </c>
      <c r="D22" s="21" t="str">
        <f t="shared" si="0"/>
        <v>0</v>
      </c>
      <c r="E22" s="20">
        <v>1415</v>
      </c>
      <c r="F22" s="21" t="str">
        <f t="shared" si="1"/>
        <v>0</v>
      </c>
      <c r="G22" s="20">
        <v>315</v>
      </c>
      <c r="H22" s="21">
        <f t="shared" si="2"/>
        <v>19</v>
      </c>
      <c r="I22" s="3"/>
      <c r="J22" s="3"/>
    </row>
    <row r="23" spans="1:10" ht="45" customHeight="1" x14ac:dyDescent="0.15">
      <c r="A23" s="19">
        <v>44611</v>
      </c>
      <c r="B23" s="29"/>
      <c r="C23" s="20">
        <v>15482.999999999265</v>
      </c>
      <c r="D23" s="21" t="str">
        <f>IF((C23-C22&lt;0), "0",C23-C22)</f>
        <v>0</v>
      </c>
      <c r="E23" s="20">
        <v>1571</v>
      </c>
      <c r="F23" s="21">
        <f t="shared" si="1"/>
        <v>156</v>
      </c>
      <c r="G23" s="20">
        <v>286</v>
      </c>
      <c r="H23" s="21" t="str">
        <f t="shared" si="2"/>
        <v>0</v>
      </c>
      <c r="I23" s="3"/>
      <c r="J23" s="3"/>
    </row>
    <row r="24" spans="1:10" ht="45" customHeight="1" x14ac:dyDescent="0.15">
      <c r="A24" s="19">
        <v>44612</v>
      </c>
      <c r="B24" s="29"/>
      <c r="C24" s="20">
        <v>14325.999999999705</v>
      </c>
      <c r="D24" s="21" t="str">
        <f t="shared" ref="D24:D32" si="3">IF((C24-C23&lt;0), "0",C24-C23)</f>
        <v>0</v>
      </c>
      <c r="E24" s="20">
        <v>1700</v>
      </c>
      <c r="F24" s="21">
        <f t="shared" si="1"/>
        <v>129</v>
      </c>
      <c r="G24" s="20">
        <v>302</v>
      </c>
      <c r="H24" s="21">
        <f t="shared" si="2"/>
        <v>16</v>
      </c>
      <c r="I24" s="3"/>
      <c r="J24" s="3"/>
    </row>
    <row r="25" spans="1:10" ht="45" customHeight="1" x14ac:dyDescent="0.15">
      <c r="A25" s="19">
        <v>44613</v>
      </c>
      <c r="B25" s="29"/>
      <c r="C25" s="20">
        <v>14284.000000001039</v>
      </c>
      <c r="D25" s="21" t="str">
        <f t="shared" si="3"/>
        <v>0</v>
      </c>
      <c r="E25" s="20">
        <v>1777</v>
      </c>
      <c r="F25" s="21">
        <f t="shared" si="1"/>
        <v>77</v>
      </c>
      <c r="G25" s="20">
        <v>305</v>
      </c>
      <c r="H25" s="21">
        <f t="shared" si="2"/>
        <v>3</v>
      </c>
      <c r="I25" s="3"/>
      <c r="J25" s="3"/>
    </row>
    <row r="26" spans="1:10" ht="45" customHeight="1" x14ac:dyDescent="0.15">
      <c r="A26" s="19">
        <v>44614</v>
      </c>
      <c r="B26" s="29"/>
      <c r="C26" s="20">
        <v>14894.99999999922</v>
      </c>
      <c r="D26" s="21">
        <f t="shared" si="3"/>
        <v>610.99999999818101</v>
      </c>
      <c r="E26" s="20">
        <v>1858</v>
      </c>
      <c r="F26" s="21">
        <f t="shared" si="1"/>
        <v>81</v>
      </c>
      <c r="G26" s="20">
        <v>275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44615</v>
      </c>
      <c r="B27" s="29"/>
      <c r="C27" s="20">
        <v>14854.000000001088</v>
      </c>
      <c r="D27" s="21" t="str">
        <f t="shared" si="3"/>
        <v>0</v>
      </c>
      <c r="E27" s="20">
        <v>1886</v>
      </c>
      <c r="F27" s="21">
        <f t="shared" si="1"/>
        <v>28</v>
      </c>
      <c r="G27" s="20">
        <v>318</v>
      </c>
      <c r="H27" s="21">
        <f t="shared" si="2"/>
        <v>43</v>
      </c>
      <c r="I27" s="3"/>
      <c r="J27" s="3"/>
    </row>
    <row r="28" spans="1:10" ht="45" customHeight="1" x14ac:dyDescent="0.15">
      <c r="A28" s="19">
        <v>44616</v>
      </c>
      <c r="B28" s="29"/>
      <c r="C28" s="20">
        <v>15394.999999999278</v>
      </c>
      <c r="D28" s="21">
        <f t="shared" si="3"/>
        <v>540.99999999819011</v>
      </c>
      <c r="E28" s="20">
        <v>1854</v>
      </c>
      <c r="F28" s="21" t="str">
        <f t="shared" si="1"/>
        <v>0</v>
      </c>
      <c r="G28" s="20">
        <v>287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44617</v>
      </c>
      <c r="B29" s="29"/>
      <c r="C29" s="20">
        <v>14831.000000000518</v>
      </c>
      <c r="D29" s="21" t="str">
        <f t="shared" si="3"/>
        <v>0</v>
      </c>
      <c r="E29" s="20">
        <v>1641</v>
      </c>
      <c r="F29" s="21" t="str">
        <f t="shared" si="1"/>
        <v>0</v>
      </c>
      <c r="G29" s="20">
        <v>295</v>
      </c>
      <c r="H29" s="21">
        <f t="shared" si="2"/>
        <v>8</v>
      </c>
      <c r="I29" s="3"/>
      <c r="J29" s="3"/>
    </row>
    <row r="30" spans="1:10" ht="45" customHeight="1" x14ac:dyDescent="0.15">
      <c r="A30" s="19">
        <v>44618</v>
      </c>
      <c r="B30" s="29"/>
      <c r="C30" s="20">
        <v>16339.999999999203</v>
      </c>
      <c r="D30" s="21">
        <f t="shared" si="3"/>
        <v>1508.9999999986849</v>
      </c>
      <c r="E30" s="20">
        <v>1384</v>
      </c>
      <c r="F30" s="21" t="str">
        <f t="shared" si="1"/>
        <v>0</v>
      </c>
      <c r="G30" s="20">
        <v>323</v>
      </c>
      <c r="H30" s="21">
        <f t="shared" si="2"/>
        <v>28</v>
      </c>
      <c r="I30" s="3"/>
      <c r="J30" s="3"/>
    </row>
    <row r="31" spans="1:10" ht="45" customHeight="1" x14ac:dyDescent="0.15">
      <c r="A31" s="19">
        <v>44619</v>
      </c>
      <c r="B31" s="29"/>
      <c r="C31" s="20">
        <v>13610.000000001015</v>
      </c>
      <c r="D31" s="21" t="str">
        <f t="shared" si="3"/>
        <v>0</v>
      </c>
      <c r="E31" s="20">
        <v>1291</v>
      </c>
      <c r="F31" s="21" t="str">
        <f t="shared" si="1"/>
        <v>0</v>
      </c>
      <c r="G31" s="20">
        <v>259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44620</v>
      </c>
      <c r="B32" s="29"/>
      <c r="C32" s="20">
        <v>14435.999999999467</v>
      </c>
      <c r="D32" s="21">
        <f t="shared" si="3"/>
        <v>825.99999999845204</v>
      </c>
      <c r="E32" s="20">
        <v>1241</v>
      </c>
      <c r="F32" s="21" t="str">
        <f t="shared" si="1"/>
        <v>0</v>
      </c>
      <c r="G32" s="20">
        <v>256</v>
      </c>
      <c r="H32" s="21" t="str">
        <f t="shared" si="2"/>
        <v>0</v>
      </c>
      <c r="I32" s="3"/>
      <c r="J32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I2" sqref="I2:I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36" t="s">
        <v>12</v>
      </c>
      <c r="B1" s="36" t="s">
        <v>13</v>
      </c>
      <c r="C1" s="37" t="s">
        <v>14</v>
      </c>
      <c r="D1" s="36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 ht="15" x14ac:dyDescent="0.25">
      <c r="A2" s="41" t="s">
        <v>24</v>
      </c>
      <c r="B2" s="42">
        <v>1</v>
      </c>
      <c r="C2" s="43">
        <v>3</v>
      </c>
      <c r="D2" s="42">
        <v>2022</v>
      </c>
      <c r="E2" s="44">
        <v>13146.999999999343</v>
      </c>
      <c r="F2" s="45">
        <v>0.93</v>
      </c>
      <c r="G2" s="44">
        <v>1049</v>
      </c>
      <c r="H2" s="45">
        <v>4.3899999999999997</v>
      </c>
      <c r="I2" s="44">
        <v>220</v>
      </c>
      <c r="J2" s="45">
        <v>1.72</v>
      </c>
      <c r="K2" s="44">
        <f>'[1]Shenzhen Daily'!I5</f>
        <v>0</v>
      </c>
      <c r="L2" s="44">
        <f>'[1]Shenzhen Daily'!J5</f>
        <v>0</v>
      </c>
    </row>
    <row r="3" spans="1:12" ht="15" x14ac:dyDescent="0.25">
      <c r="A3" s="41" t="s">
        <v>24</v>
      </c>
      <c r="B3" s="42">
        <f>B2+1</f>
        <v>2</v>
      </c>
      <c r="C3" s="43">
        <v>3</v>
      </c>
      <c r="D3" s="42">
        <v>2022</v>
      </c>
      <c r="E3" s="44">
        <v>14247.000000000662</v>
      </c>
      <c r="F3" s="45">
        <v>0.93</v>
      </c>
      <c r="G3" s="44">
        <v>934</v>
      </c>
      <c r="H3" s="45">
        <v>4.3899999999999997</v>
      </c>
      <c r="I3" s="44">
        <v>200</v>
      </c>
      <c r="J3" s="45">
        <v>1.72</v>
      </c>
      <c r="K3" s="44">
        <f>'[1]Shenzhen Daily'!I6</f>
        <v>0</v>
      </c>
      <c r="L3" s="44">
        <f>'[1]Shenzhen Daily'!J6</f>
        <v>0</v>
      </c>
    </row>
    <row r="4" spans="1:12" ht="15" x14ac:dyDescent="0.25">
      <c r="A4" s="41" t="s">
        <v>24</v>
      </c>
      <c r="B4" s="42">
        <f t="shared" ref="B4:B32" si="0">B3+1</f>
        <v>3</v>
      </c>
      <c r="C4" s="43">
        <v>3</v>
      </c>
      <c r="D4" s="42">
        <v>2022</v>
      </c>
      <c r="E4" s="44">
        <v>13472.999999999194</v>
      </c>
      <c r="F4" s="45">
        <v>0.93</v>
      </c>
      <c r="G4" s="44">
        <v>971</v>
      </c>
      <c r="H4" s="45">
        <v>4.3899999999999997</v>
      </c>
      <c r="I4" s="44">
        <v>187</v>
      </c>
      <c r="J4" s="45">
        <v>1.72</v>
      </c>
      <c r="K4" s="44">
        <f>'[1]Shenzhen Daily'!I7</f>
        <v>0</v>
      </c>
      <c r="L4" s="44">
        <f>'[1]Shenzhen Daily'!J7</f>
        <v>0</v>
      </c>
    </row>
    <row r="5" spans="1:12" ht="15" x14ac:dyDescent="0.25">
      <c r="A5" s="41" t="s">
        <v>24</v>
      </c>
      <c r="B5" s="42">
        <f t="shared" si="0"/>
        <v>4</v>
      </c>
      <c r="C5" s="43">
        <v>3</v>
      </c>
      <c r="D5" s="42">
        <v>2022</v>
      </c>
      <c r="E5" s="44">
        <v>13484.000000000673</v>
      </c>
      <c r="F5" s="45">
        <v>0.93</v>
      </c>
      <c r="G5" s="44">
        <v>788</v>
      </c>
      <c r="H5" s="45">
        <v>4.3899999999999997</v>
      </c>
      <c r="I5" s="44">
        <v>214</v>
      </c>
      <c r="J5" s="45">
        <v>1.72</v>
      </c>
      <c r="K5" s="44">
        <f>'[1]Shenzhen Daily'!I8</f>
        <v>0</v>
      </c>
      <c r="L5" s="44">
        <f>'[1]Shenzhen Daily'!J8</f>
        <v>0</v>
      </c>
    </row>
    <row r="6" spans="1:12" ht="15" x14ac:dyDescent="0.25">
      <c r="A6" s="41" t="s">
        <v>24</v>
      </c>
      <c r="B6" s="42">
        <f t="shared" si="0"/>
        <v>5</v>
      </c>
      <c r="C6" s="43">
        <v>3</v>
      </c>
      <c r="D6" s="42">
        <v>2022</v>
      </c>
      <c r="E6" s="44">
        <v>13859.000000000266</v>
      </c>
      <c r="F6" s="45">
        <v>0.93</v>
      </c>
      <c r="G6" s="44">
        <v>745</v>
      </c>
      <c r="H6" s="45">
        <v>4.3899999999999997</v>
      </c>
      <c r="I6" s="44">
        <v>180</v>
      </c>
      <c r="J6" s="45">
        <v>1.72</v>
      </c>
      <c r="K6" s="44">
        <f>'[1]Shenzhen Daily'!I9</f>
        <v>0</v>
      </c>
      <c r="L6" s="44">
        <f>'[1]Shenzhen Daily'!J9</f>
        <v>0</v>
      </c>
    </row>
    <row r="7" spans="1:12" ht="15" x14ac:dyDescent="0.25">
      <c r="A7" s="41" t="s">
        <v>24</v>
      </c>
      <c r="B7" s="42">
        <f t="shared" si="0"/>
        <v>6</v>
      </c>
      <c r="C7" s="43">
        <v>3</v>
      </c>
      <c r="D7" s="42">
        <v>2022</v>
      </c>
      <c r="E7" s="44">
        <v>13663.999999999533</v>
      </c>
      <c r="F7" s="45">
        <v>0.93</v>
      </c>
      <c r="G7" s="44">
        <v>801</v>
      </c>
      <c r="H7" s="45">
        <v>4.3899999999999997</v>
      </c>
      <c r="I7" s="44">
        <v>188</v>
      </c>
      <c r="J7" s="45">
        <v>1.72</v>
      </c>
      <c r="K7" s="44">
        <f>'[1]Shenzhen Daily'!I10</f>
        <v>0</v>
      </c>
      <c r="L7" s="44">
        <f>'[1]Shenzhen Daily'!J10</f>
        <v>0</v>
      </c>
    </row>
    <row r="8" spans="1:12" ht="15" x14ac:dyDescent="0.25">
      <c r="A8" s="41" t="s">
        <v>24</v>
      </c>
      <c r="B8" s="42">
        <f t="shared" si="0"/>
        <v>7</v>
      </c>
      <c r="C8" s="43">
        <v>3</v>
      </c>
      <c r="D8" s="42">
        <v>2022</v>
      </c>
      <c r="E8" s="44">
        <v>12549.999999999727</v>
      </c>
      <c r="F8" s="45">
        <v>0.93</v>
      </c>
      <c r="G8" s="44">
        <v>791</v>
      </c>
      <c r="H8" s="45">
        <v>4.3899999999999997</v>
      </c>
      <c r="I8" s="44">
        <v>141</v>
      </c>
      <c r="J8" s="45">
        <v>1.72</v>
      </c>
      <c r="K8" s="44">
        <f>'[1]Shenzhen Daily'!I11</f>
        <v>0</v>
      </c>
      <c r="L8" s="44">
        <f>'[1]Shenzhen Daily'!J11</f>
        <v>0</v>
      </c>
    </row>
    <row r="9" spans="1:12" ht="15" x14ac:dyDescent="0.25">
      <c r="A9" s="41" t="s">
        <v>24</v>
      </c>
      <c r="B9" s="42">
        <f t="shared" si="0"/>
        <v>8</v>
      </c>
      <c r="C9" s="43">
        <v>3</v>
      </c>
      <c r="D9" s="42">
        <v>2022</v>
      </c>
      <c r="E9" s="44">
        <v>11785.999999999989</v>
      </c>
      <c r="F9" s="45">
        <v>0.93</v>
      </c>
      <c r="G9" s="44">
        <v>913</v>
      </c>
      <c r="H9" s="45">
        <v>4.3899999999999997</v>
      </c>
      <c r="I9" s="44">
        <v>157</v>
      </c>
      <c r="J9" s="45">
        <v>1.72</v>
      </c>
      <c r="K9" s="44">
        <f>'[1]Shenzhen Daily'!I12</f>
        <v>0</v>
      </c>
      <c r="L9" s="44">
        <f>'[1]Shenzhen Daily'!J12</f>
        <v>0</v>
      </c>
    </row>
    <row r="10" spans="1:12" ht="15" x14ac:dyDescent="0.25">
      <c r="A10" s="41" t="s">
        <v>24</v>
      </c>
      <c r="B10" s="42">
        <f t="shared" si="0"/>
        <v>9</v>
      </c>
      <c r="C10" s="43">
        <v>3</v>
      </c>
      <c r="D10" s="42">
        <v>2022</v>
      </c>
      <c r="E10" s="44">
        <v>11987.000000000524</v>
      </c>
      <c r="F10" s="45">
        <v>0.93</v>
      </c>
      <c r="G10" s="44">
        <v>970</v>
      </c>
      <c r="H10" s="45">
        <v>4.3899999999999997</v>
      </c>
      <c r="I10" s="44">
        <v>142</v>
      </c>
      <c r="J10" s="45">
        <v>1.72</v>
      </c>
      <c r="K10" s="44">
        <f>'[1]Shenzhen Daily'!I13</f>
        <v>0</v>
      </c>
      <c r="L10" s="44">
        <f>'[1]Shenzhen Daily'!J13</f>
        <v>0</v>
      </c>
    </row>
    <row r="11" spans="1:12" ht="15" x14ac:dyDescent="0.25">
      <c r="A11" s="41" t="s">
        <v>24</v>
      </c>
      <c r="B11" s="42">
        <f t="shared" si="0"/>
        <v>10</v>
      </c>
      <c r="C11" s="43">
        <v>3</v>
      </c>
      <c r="D11" s="42">
        <v>2022</v>
      </c>
      <c r="E11" s="44">
        <v>12414.999999999964</v>
      </c>
      <c r="F11" s="45">
        <v>0.93</v>
      </c>
      <c r="G11" s="44">
        <v>751</v>
      </c>
      <c r="H11" s="45">
        <v>4.3899999999999997</v>
      </c>
      <c r="I11" s="44">
        <v>156</v>
      </c>
      <c r="J11" s="45">
        <v>1.72</v>
      </c>
      <c r="K11" s="44">
        <f>'[1]Shenzhen Daily'!I14</f>
        <v>0</v>
      </c>
      <c r="L11" s="44">
        <f>'[1]Shenzhen Daily'!J14</f>
        <v>0</v>
      </c>
    </row>
    <row r="12" spans="1:12" ht="15" x14ac:dyDescent="0.25">
      <c r="A12" s="41" t="s">
        <v>24</v>
      </c>
      <c r="B12" s="42">
        <f t="shared" si="0"/>
        <v>11</v>
      </c>
      <c r="C12" s="43">
        <v>3</v>
      </c>
      <c r="D12" s="42">
        <v>2022</v>
      </c>
      <c r="E12" s="44">
        <v>13555.999999999403</v>
      </c>
      <c r="F12" s="45">
        <v>0.93</v>
      </c>
      <c r="G12" s="44">
        <v>701</v>
      </c>
      <c r="H12" s="45">
        <v>4.3899999999999997</v>
      </c>
      <c r="I12" s="44">
        <v>145</v>
      </c>
      <c r="J12" s="45">
        <v>1.72</v>
      </c>
      <c r="K12" s="44">
        <f>'[1]Shenzhen Daily'!I15</f>
        <v>0</v>
      </c>
      <c r="L12" s="44">
        <f>'[1]Shenzhen Daily'!J15</f>
        <v>0</v>
      </c>
    </row>
    <row r="13" spans="1:12" ht="15" x14ac:dyDescent="0.25">
      <c r="A13" s="41" t="s">
        <v>24</v>
      </c>
      <c r="B13" s="42">
        <f t="shared" si="0"/>
        <v>12</v>
      </c>
      <c r="C13" s="43">
        <v>3</v>
      </c>
      <c r="D13" s="42">
        <v>2022</v>
      </c>
      <c r="E13" s="44">
        <v>14256.999999999925</v>
      </c>
      <c r="F13" s="45">
        <v>0.93</v>
      </c>
      <c r="G13" s="44">
        <v>851</v>
      </c>
      <c r="H13" s="45">
        <v>4.3899999999999997</v>
      </c>
      <c r="I13" s="44">
        <v>164</v>
      </c>
      <c r="J13" s="45">
        <v>1.72</v>
      </c>
      <c r="K13" s="44">
        <f>'[1]Shenzhen Daily'!I16</f>
        <v>0</v>
      </c>
      <c r="L13" s="44">
        <f>'[1]Shenzhen Daily'!J16</f>
        <v>0</v>
      </c>
    </row>
    <row r="14" spans="1:12" ht="15" x14ac:dyDescent="0.25">
      <c r="A14" s="41" t="s">
        <v>24</v>
      </c>
      <c r="B14" s="42">
        <f t="shared" si="0"/>
        <v>13</v>
      </c>
      <c r="C14" s="43">
        <v>3</v>
      </c>
      <c r="D14" s="42">
        <v>2022</v>
      </c>
      <c r="E14" s="44">
        <v>14998.000000001264</v>
      </c>
      <c r="F14" s="45">
        <v>0.93</v>
      </c>
      <c r="G14" s="44">
        <v>747</v>
      </c>
      <c r="H14" s="45">
        <v>4.3899999999999997</v>
      </c>
      <c r="I14" s="44">
        <v>177</v>
      </c>
      <c r="J14" s="45">
        <v>1.72</v>
      </c>
      <c r="K14" s="44">
        <f>'[1]Shenzhen Daily'!I17</f>
        <v>0</v>
      </c>
      <c r="L14" s="44">
        <f>'[1]Shenzhen Daily'!J17</f>
        <v>0</v>
      </c>
    </row>
    <row r="15" spans="1:12" ht="15" x14ac:dyDescent="0.25">
      <c r="A15" s="41" t="s">
        <v>24</v>
      </c>
      <c r="B15" s="42">
        <f t="shared" si="0"/>
        <v>14</v>
      </c>
      <c r="C15" s="43">
        <v>3</v>
      </c>
      <c r="D15" s="42">
        <v>2022</v>
      </c>
      <c r="E15" s="44">
        <v>13414.999999998894</v>
      </c>
      <c r="F15" s="45">
        <v>0.93</v>
      </c>
      <c r="G15" s="44">
        <v>483</v>
      </c>
      <c r="H15" s="45">
        <v>4.3899999999999997</v>
      </c>
      <c r="I15" s="44">
        <v>138</v>
      </c>
      <c r="J15" s="45">
        <v>1.72</v>
      </c>
      <c r="K15" s="44">
        <f>'[1]Shenzhen Daily'!I18</f>
        <v>0</v>
      </c>
      <c r="L15" s="44">
        <f>'[1]Shenzhen Daily'!J18</f>
        <v>0</v>
      </c>
    </row>
    <row r="16" spans="1:12" ht="15" x14ac:dyDescent="0.25">
      <c r="A16" s="41" t="s">
        <v>24</v>
      </c>
      <c r="B16" s="42">
        <f t="shared" si="0"/>
        <v>15</v>
      </c>
      <c r="C16" s="43">
        <v>3</v>
      </c>
      <c r="D16" s="42">
        <v>2022</v>
      </c>
      <c r="E16" s="44">
        <v>12690.000000000156</v>
      </c>
      <c r="F16" s="45">
        <v>0.93</v>
      </c>
      <c r="G16" s="44">
        <v>687</v>
      </c>
      <c r="H16" s="45">
        <v>4.3899999999999997</v>
      </c>
      <c r="I16" s="44">
        <v>107</v>
      </c>
      <c r="J16" s="45">
        <v>1.72</v>
      </c>
      <c r="K16" s="44">
        <f>'[1]Shenzhen Daily'!I19</f>
        <v>0</v>
      </c>
      <c r="L16" s="44">
        <f>'[1]Shenzhen Daily'!J19</f>
        <v>0</v>
      </c>
    </row>
    <row r="17" spans="1:12" ht="15" x14ac:dyDescent="0.25">
      <c r="A17" s="41" t="s">
        <v>24</v>
      </c>
      <c r="B17" s="42">
        <f t="shared" si="0"/>
        <v>16</v>
      </c>
      <c r="C17" s="43">
        <v>3</v>
      </c>
      <c r="D17" s="42">
        <v>2022</v>
      </c>
      <c r="E17" s="44">
        <v>11401.00000000068</v>
      </c>
      <c r="F17" s="45">
        <v>0.93</v>
      </c>
      <c r="G17" s="44">
        <v>274</v>
      </c>
      <c r="H17" s="45">
        <v>4.3899999999999997</v>
      </c>
      <c r="I17" s="44">
        <v>77</v>
      </c>
      <c r="J17" s="45">
        <v>1.72</v>
      </c>
      <c r="K17" s="44">
        <f>'[1]Shenzhen Daily'!I20</f>
        <v>0</v>
      </c>
      <c r="L17" s="44">
        <f>'[1]Shenzhen Daily'!J20</f>
        <v>0</v>
      </c>
    </row>
    <row r="18" spans="1:12" ht="15" x14ac:dyDescent="0.25">
      <c r="A18" s="41" t="s">
        <v>24</v>
      </c>
      <c r="B18" s="42">
        <f t="shared" si="0"/>
        <v>17</v>
      </c>
      <c r="C18" s="43">
        <v>3</v>
      </c>
      <c r="D18" s="42">
        <v>2022</v>
      </c>
      <c r="E18" s="44">
        <v>12030.000000000018</v>
      </c>
      <c r="F18" s="45">
        <v>0.93</v>
      </c>
      <c r="G18" s="44">
        <v>257</v>
      </c>
      <c r="H18" s="45">
        <v>4.3899999999999997</v>
      </c>
      <c r="I18" s="44">
        <v>67</v>
      </c>
      <c r="J18" s="45">
        <v>1.72</v>
      </c>
      <c r="K18" s="44">
        <f>'[1]Shenzhen Daily'!I21</f>
        <v>0</v>
      </c>
      <c r="L18" s="44">
        <f>'[1]Shenzhen Daily'!J21</f>
        <v>0</v>
      </c>
    </row>
    <row r="19" spans="1:12" ht="15" x14ac:dyDescent="0.25">
      <c r="A19" s="41" t="s">
        <v>24</v>
      </c>
      <c r="B19" s="42">
        <f t="shared" si="0"/>
        <v>18</v>
      </c>
      <c r="C19" s="43">
        <v>3</v>
      </c>
      <c r="D19" s="42">
        <v>2022</v>
      </c>
      <c r="E19" s="44">
        <v>10141.000000000371</v>
      </c>
      <c r="F19" s="45">
        <v>0.93</v>
      </c>
      <c r="G19" s="44">
        <v>234</v>
      </c>
      <c r="H19" s="45">
        <v>4.3899999999999997</v>
      </c>
      <c r="I19" s="44">
        <v>43</v>
      </c>
      <c r="J19" s="45">
        <v>1.72</v>
      </c>
      <c r="K19" s="44">
        <f>'[1]Shenzhen Daily'!I22</f>
        <v>0</v>
      </c>
      <c r="L19" s="44">
        <f>'[1]Shenzhen Daily'!J22</f>
        <v>0</v>
      </c>
    </row>
    <row r="20" spans="1:12" ht="15" x14ac:dyDescent="0.25">
      <c r="A20" s="41" t="s">
        <v>24</v>
      </c>
      <c r="B20" s="42">
        <f t="shared" si="0"/>
        <v>19</v>
      </c>
      <c r="C20" s="43">
        <v>3</v>
      </c>
      <c r="D20" s="42">
        <v>2022</v>
      </c>
      <c r="E20" s="44">
        <v>10816.999999998836</v>
      </c>
      <c r="F20" s="45">
        <v>0.93</v>
      </c>
      <c r="G20" s="44">
        <v>184</v>
      </c>
      <c r="H20" s="45">
        <v>4.3899999999999997</v>
      </c>
      <c r="I20" s="44">
        <v>54</v>
      </c>
      <c r="J20" s="45">
        <v>1.72</v>
      </c>
      <c r="K20" s="44">
        <f>'[1]Shenzhen Daily'!I23</f>
        <v>0</v>
      </c>
      <c r="L20" s="44">
        <f>'[1]Shenzhen Daily'!J23</f>
        <v>0</v>
      </c>
    </row>
    <row r="21" spans="1:12" ht="15" x14ac:dyDescent="0.25">
      <c r="A21" s="41" t="s">
        <v>24</v>
      </c>
      <c r="B21" s="42">
        <f t="shared" si="0"/>
        <v>20</v>
      </c>
      <c r="C21" s="43">
        <v>3</v>
      </c>
      <c r="D21" s="42">
        <v>2022</v>
      </c>
      <c r="E21" s="44">
        <v>9741.9999999999618</v>
      </c>
      <c r="F21" s="45">
        <v>0.93</v>
      </c>
      <c r="G21" s="44">
        <v>186</v>
      </c>
      <c r="H21" s="45">
        <v>4.3899999999999997</v>
      </c>
      <c r="I21" s="44">
        <v>36</v>
      </c>
      <c r="J21" s="45">
        <v>1.72</v>
      </c>
      <c r="K21" s="44">
        <f>'[1]Shenzhen Daily'!I24</f>
        <v>0</v>
      </c>
      <c r="L21" s="44">
        <f>'[1]Shenzhen Daily'!J24</f>
        <v>0</v>
      </c>
    </row>
    <row r="22" spans="1:12" ht="15" x14ac:dyDescent="0.25">
      <c r="A22" s="41" t="s">
        <v>24</v>
      </c>
      <c r="B22" s="42">
        <f t="shared" si="0"/>
        <v>21</v>
      </c>
      <c r="C22" s="43">
        <v>3</v>
      </c>
      <c r="D22" s="42">
        <v>2022</v>
      </c>
      <c r="E22" s="44">
        <v>11626.000000000706</v>
      </c>
      <c r="F22" s="45">
        <v>0.93</v>
      </c>
      <c r="G22" s="44">
        <v>161</v>
      </c>
      <c r="H22" s="45">
        <v>4.3899999999999997</v>
      </c>
      <c r="I22" s="44">
        <v>47</v>
      </c>
      <c r="J22" s="45">
        <v>1.72</v>
      </c>
      <c r="K22" s="44">
        <f>'[1]Shenzhen Daily'!I25</f>
        <v>0</v>
      </c>
      <c r="L22" s="44">
        <f>'[1]Shenzhen Daily'!J25</f>
        <v>0</v>
      </c>
    </row>
    <row r="23" spans="1:12" ht="15" x14ac:dyDescent="0.25">
      <c r="A23" s="41" t="s">
        <v>24</v>
      </c>
      <c r="B23" s="42">
        <f t="shared" si="0"/>
        <v>22</v>
      </c>
      <c r="C23" s="43">
        <v>3</v>
      </c>
      <c r="D23" s="42">
        <v>2022</v>
      </c>
      <c r="E23" s="44">
        <v>11870.999999999502</v>
      </c>
      <c r="F23" s="45">
        <v>0.93</v>
      </c>
      <c r="G23" s="44">
        <v>298</v>
      </c>
      <c r="H23" s="45">
        <v>4.3899999999999997</v>
      </c>
      <c r="I23" s="44">
        <v>66</v>
      </c>
      <c r="J23" s="45">
        <v>1.72</v>
      </c>
      <c r="K23" s="44">
        <f>'[1]Shenzhen Daily'!I26</f>
        <v>0</v>
      </c>
      <c r="L23" s="44">
        <f>'[1]Shenzhen Daily'!J26</f>
        <v>0</v>
      </c>
    </row>
    <row r="24" spans="1:12" ht="15" x14ac:dyDescent="0.25">
      <c r="A24" s="41" t="s">
        <v>24</v>
      </c>
      <c r="B24" s="42">
        <f t="shared" si="0"/>
        <v>23</v>
      </c>
      <c r="C24" s="43">
        <v>3</v>
      </c>
      <c r="D24" s="42">
        <v>2022</v>
      </c>
      <c r="E24" s="44">
        <v>11299.999999999602</v>
      </c>
      <c r="F24" s="45">
        <v>0.93</v>
      </c>
      <c r="G24" s="44">
        <v>301</v>
      </c>
      <c r="H24" s="45">
        <v>4.3899999999999997</v>
      </c>
      <c r="I24" s="44">
        <v>127</v>
      </c>
      <c r="J24" s="45">
        <v>1.72</v>
      </c>
      <c r="K24" s="44">
        <f>'[1]Shenzhen Daily'!I27</f>
        <v>0</v>
      </c>
      <c r="L24" s="44">
        <f>'[1]Shenzhen Daily'!J27</f>
        <v>0</v>
      </c>
    </row>
    <row r="25" spans="1:12" ht="15" x14ac:dyDescent="0.25">
      <c r="A25" s="41" t="s">
        <v>24</v>
      </c>
      <c r="B25" s="42">
        <f t="shared" si="0"/>
        <v>24</v>
      </c>
      <c r="C25" s="43">
        <v>3</v>
      </c>
      <c r="D25" s="42">
        <v>2022</v>
      </c>
      <c r="E25" s="44">
        <v>9578.0000000003165</v>
      </c>
      <c r="F25" s="45">
        <v>0.93</v>
      </c>
      <c r="G25" s="44">
        <v>398</v>
      </c>
      <c r="H25" s="45">
        <v>4.3899999999999997</v>
      </c>
      <c r="I25" s="44">
        <v>76</v>
      </c>
      <c r="J25" s="45">
        <v>1.72</v>
      </c>
      <c r="K25" s="44">
        <f>'[1]Shenzhen Daily'!I28</f>
        <v>0</v>
      </c>
      <c r="L25" s="44">
        <f>'[1]Shenzhen Daily'!J28</f>
        <v>0</v>
      </c>
    </row>
    <row r="26" spans="1:12" ht="15" x14ac:dyDescent="0.25">
      <c r="A26" s="41" t="s">
        <v>24</v>
      </c>
      <c r="B26" s="42">
        <f>B25+1</f>
        <v>25</v>
      </c>
      <c r="C26" s="43">
        <v>3</v>
      </c>
      <c r="D26" s="42">
        <v>2022</v>
      </c>
      <c r="E26" s="44">
        <v>12275.000000000706</v>
      </c>
      <c r="F26" s="45">
        <v>0.93</v>
      </c>
      <c r="G26" s="44">
        <v>302</v>
      </c>
      <c r="H26" s="45">
        <v>4.3899999999999997</v>
      </c>
      <c r="I26" s="44">
        <v>106</v>
      </c>
      <c r="J26" s="45">
        <v>1.72</v>
      </c>
      <c r="K26" s="44">
        <f>'[1]Shenzhen Daily'!I29</f>
        <v>0</v>
      </c>
      <c r="L26" s="44">
        <f>'[1]Shenzhen Daily'!J29</f>
        <v>0</v>
      </c>
    </row>
    <row r="27" spans="1:12" ht="15" x14ac:dyDescent="0.25">
      <c r="A27" s="41" t="s">
        <v>24</v>
      </c>
      <c r="B27" s="42">
        <f t="shared" si="0"/>
        <v>26</v>
      </c>
      <c r="C27" s="43">
        <v>3</v>
      </c>
      <c r="D27" s="42">
        <v>2022</v>
      </c>
      <c r="E27" s="44">
        <v>248642.99999999948</v>
      </c>
      <c r="F27" s="45">
        <v>0.93</v>
      </c>
      <c r="G27" s="44">
        <v>1177</v>
      </c>
      <c r="H27" s="45">
        <v>4.3899999999999997</v>
      </c>
      <c r="I27" s="44">
        <v>202</v>
      </c>
      <c r="J27" s="45">
        <v>1.72</v>
      </c>
      <c r="K27" s="44">
        <f>'[1]Shenzhen Daily'!I30</f>
        <v>0</v>
      </c>
      <c r="L27" s="44">
        <f>'[1]Shenzhen Daily'!J30</f>
        <v>0</v>
      </c>
    </row>
    <row r="28" spans="1:12" ht="15" x14ac:dyDescent="0.25">
      <c r="A28" s="41" t="s">
        <v>24</v>
      </c>
      <c r="B28" s="42">
        <f t="shared" si="0"/>
        <v>27</v>
      </c>
      <c r="C28" s="43">
        <v>3</v>
      </c>
      <c r="D28" s="42">
        <v>2022</v>
      </c>
      <c r="E28" s="44">
        <v>17124.999999999658</v>
      </c>
      <c r="F28" s="45">
        <v>0.93</v>
      </c>
      <c r="G28" s="44">
        <v>1081</v>
      </c>
      <c r="H28" s="45">
        <v>4.3899999999999997</v>
      </c>
      <c r="I28" s="44">
        <v>200</v>
      </c>
      <c r="J28" s="45">
        <v>1.72</v>
      </c>
      <c r="K28" s="44">
        <f>'[1]Shenzhen Daily'!I31</f>
        <v>0</v>
      </c>
      <c r="L28" s="44">
        <f>'[1]Shenzhen Daily'!J31</f>
        <v>0</v>
      </c>
    </row>
    <row r="29" spans="1:12" ht="15" x14ac:dyDescent="0.25">
      <c r="A29" s="41" t="s">
        <v>24</v>
      </c>
      <c r="B29" s="42">
        <f t="shared" si="0"/>
        <v>28</v>
      </c>
      <c r="C29" s="43">
        <v>3</v>
      </c>
      <c r="D29" s="42">
        <v>2022</v>
      </c>
      <c r="E29" s="44">
        <v>15127.000000001281</v>
      </c>
      <c r="F29" s="45">
        <v>0.93</v>
      </c>
      <c r="G29" s="44">
        <v>709</v>
      </c>
      <c r="H29" s="45">
        <v>4.3899999999999997</v>
      </c>
      <c r="I29" s="44">
        <v>154</v>
      </c>
      <c r="J29" s="45">
        <v>1.72</v>
      </c>
      <c r="K29" s="44">
        <f>'[1]Shenzhen Daily'!I32</f>
        <v>0</v>
      </c>
      <c r="L29" s="44">
        <f>'[1]Shenzhen Daily'!J32</f>
        <v>0</v>
      </c>
    </row>
    <row r="30" spans="1:12" ht="15" x14ac:dyDescent="0.25">
      <c r="A30" s="41" t="s">
        <v>24</v>
      </c>
      <c r="B30" s="42">
        <f t="shared" si="0"/>
        <v>29</v>
      </c>
      <c r="C30" s="43">
        <v>2</v>
      </c>
      <c r="D30" s="42">
        <v>2022</v>
      </c>
      <c r="E30" s="44">
        <v>16615.999999999967</v>
      </c>
      <c r="F30" s="45">
        <v>0.93</v>
      </c>
      <c r="G30" s="44">
        <v>837</v>
      </c>
      <c r="H30" s="45">
        <v>4.3899999999999997</v>
      </c>
      <c r="I30" s="44">
        <v>195</v>
      </c>
      <c r="J30" s="45">
        <v>1.72</v>
      </c>
      <c r="K30" s="44">
        <f>'[2]Shenzhen Daily'!I33</f>
        <v>0</v>
      </c>
      <c r="L30" s="44">
        <f>'[2]Shenzhen Daily'!J33</f>
        <v>0</v>
      </c>
    </row>
    <row r="31" spans="1:12" ht="15" x14ac:dyDescent="0.25">
      <c r="A31" s="41" t="s">
        <v>24</v>
      </c>
      <c r="B31" s="42">
        <f t="shared" si="0"/>
        <v>30</v>
      </c>
      <c r="C31" s="43">
        <v>2</v>
      </c>
      <c r="D31" s="42">
        <v>2022</v>
      </c>
      <c r="E31" s="44">
        <v>18166.999999999716</v>
      </c>
      <c r="F31" s="45">
        <v>0.93</v>
      </c>
      <c r="G31" s="44">
        <v>870</v>
      </c>
      <c r="H31" s="45">
        <v>4.3899999999999997</v>
      </c>
      <c r="I31" s="44">
        <v>238</v>
      </c>
      <c r="J31" s="45">
        <v>1.72</v>
      </c>
      <c r="K31" s="44">
        <f>'[2]Shenzhen Daily'!I34</f>
        <v>0</v>
      </c>
      <c r="L31" s="44">
        <f>'[2]Shenzhen Daily'!J34</f>
        <v>0</v>
      </c>
    </row>
    <row r="32" spans="1:12" ht="15" x14ac:dyDescent="0.25">
      <c r="A32" s="41" t="s">
        <v>24</v>
      </c>
      <c r="B32" s="42">
        <f t="shared" si="0"/>
        <v>31</v>
      </c>
      <c r="C32" s="43">
        <v>2</v>
      </c>
      <c r="D32" s="42">
        <v>2022</v>
      </c>
      <c r="E32" s="44">
        <v>19756.9999999992</v>
      </c>
      <c r="F32" s="45">
        <v>0.93</v>
      </c>
      <c r="G32" s="44">
        <v>760</v>
      </c>
      <c r="H32" s="45">
        <v>4.3899999999999997</v>
      </c>
      <c r="I32" s="44">
        <v>249</v>
      </c>
      <c r="J32" s="45">
        <v>1.72</v>
      </c>
      <c r="K32" s="44">
        <f>'[2]Shenzhen Daily'!I35</f>
        <v>0</v>
      </c>
      <c r="L32" s="44">
        <f>'[2]Shenzhen Daily'!J35</f>
        <v>0</v>
      </c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24" workbookViewId="0">
      <selection activeCell="G5" sqref="G5: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44620</v>
      </c>
      <c r="B4" s="29"/>
      <c r="C4" s="14">
        <v>14435.999999999467</v>
      </c>
      <c r="D4" s="15"/>
      <c r="E4" s="14">
        <v>1241</v>
      </c>
      <c r="F4" s="16"/>
      <c r="G4" s="14">
        <v>256</v>
      </c>
      <c r="I4" s="18"/>
      <c r="J4" s="18"/>
    </row>
    <row r="5" spans="1:10" ht="33" customHeight="1" x14ac:dyDescent="0.15">
      <c r="A5" s="19">
        <v>44621</v>
      </c>
      <c r="B5" s="29"/>
      <c r="C5" s="20">
        <v>13146.999999999343</v>
      </c>
      <c r="D5" s="21" t="str">
        <f t="shared" ref="D5:D22" si="0">IF((C5-C4&lt;0), "0",C5-C4)</f>
        <v>0</v>
      </c>
      <c r="E5" s="20">
        <v>1049</v>
      </c>
      <c r="F5" s="21" t="str">
        <f>IF((E5-E4&lt;0), "0",E5-E4)</f>
        <v>0</v>
      </c>
      <c r="G5" s="20">
        <v>220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44622</v>
      </c>
      <c r="B6" s="29"/>
      <c r="C6" s="20">
        <v>14247.000000000662</v>
      </c>
      <c r="D6" s="21">
        <f t="shared" si="0"/>
        <v>1100.0000000013188</v>
      </c>
      <c r="E6" s="20">
        <v>934</v>
      </c>
      <c r="F6" s="21" t="str">
        <f t="shared" ref="F6:F35" si="1">IF((E6-E5&lt;0), "0",E6-E5)</f>
        <v>0</v>
      </c>
      <c r="G6" s="20">
        <v>200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44623</v>
      </c>
      <c r="B7" s="29"/>
      <c r="C7" s="20">
        <v>13472.999999999194</v>
      </c>
      <c r="D7" s="21" t="str">
        <f t="shared" si="0"/>
        <v>0</v>
      </c>
      <c r="E7" s="20">
        <v>971</v>
      </c>
      <c r="F7" s="21">
        <f t="shared" si="1"/>
        <v>37</v>
      </c>
      <c r="G7" s="20">
        <v>187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44624</v>
      </c>
      <c r="B8" s="29"/>
      <c r="C8" s="20">
        <v>13484.000000000673</v>
      </c>
      <c r="D8" s="21">
        <f t="shared" si="0"/>
        <v>11.000000001478838</v>
      </c>
      <c r="E8" s="20">
        <v>788</v>
      </c>
      <c r="F8" s="21" t="str">
        <f t="shared" si="1"/>
        <v>0</v>
      </c>
      <c r="G8" s="20">
        <v>214</v>
      </c>
      <c r="H8" s="21">
        <f t="shared" si="2"/>
        <v>27</v>
      </c>
      <c r="I8" s="3"/>
      <c r="J8" s="3"/>
    </row>
    <row r="9" spans="1:10" ht="45" customHeight="1" x14ac:dyDescent="0.15">
      <c r="A9" s="19">
        <v>44625</v>
      </c>
      <c r="B9" s="29"/>
      <c r="C9" s="20">
        <v>13859.000000000266</v>
      </c>
      <c r="D9" s="21">
        <f t="shared" si="0"/>
        <v>374.99999999959255</v>
      </c>
      <c r="E9" s="20">
        <v>745</v>
      </c>
      <c r="F9" s="21" t="str">
        <f t="shared" si="1"/>
        <v>0</v>
      </c>
      <c r="G9" s="20">
        <v>180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44626</v>
      </c>
      <c r="B10" s="29"/>
      <c r="C10" s="20">
        <v>13663.999999999533</v>
      </c>
      <c r="D10" s="21" t="str">
        <f t="shared" si="0"/>
        <v>0</v>
      </c>
      <c r="E10" s="20">
        <v>801</v>
      </c>
      <c r="F10" s="21">
        <f t="shared" si="1"/>
        <v>56</v>
      </c>
      <c r="G10" s="20">
        <v>188</v>
      </c>
      <c r="H10" s="21">
        <f t="shared" si="2"/>
        <v>8</v>
      </c>
      <c r="I10" s="3"/>
      <c r="J10" s="3"/>
    </row>
    <row r="11" spans="1:10" ht="45" customHeight="1" x14ac:dyDescent="0.15">
      <c r="A11" s="19">
        <v>44627</v>
      </c>
      <c r="B11" s="29"/>
      <c r="C11" s="20">
        <v>12549.999999999727</v>
      </c>
      <c r="D11" s="21" t="str">
        <f t="shared" si="0"/>
        <v>0</v>
      </c>
      <c r="E11" s="20">
        <v>791</v>
      </c>
      <c r="F11" s="21" t="str">
        <f t="shared" si="1"/>
        <v>0</v>
      </c>
      <c r="G11" s="20">
        <v>141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44628</v>
      </c>
      <c r="B12" s="29"/>
      <c r="C12" s="20">
        <v>11785.999999999989</v>
      </c>
      <c r="D12" s="21" t="str">
        <f t="shared" si="0"/>
        <v>0</v>
      </c>
      <c r="E12" s="20">
        <v>913</v>
      </c>
      <c r="F12" s="21">
        <f t="shared" si="1"/>
        <v>122</v>
      </c>
      <c r="G12" s="20">
        <v>157</v>
      </c>
      <c r="H12" s="21">
        <f t="shared" si="2"/>
        <v>16</v>
      </c>
      <c r="I12" s="3"/>
      <c r="J12" s="3"/>
    </row>
    <row r="13" spans="1:10" ht="45" customHeight="1" x14ac:dyDescent="0.15">
      <c r="A13" s="19">
        <v>44629</v>
      </c>
      <c r="B13" s="29"/>
      <c r="C13" s="20">
        <v>11987.000000000524</v>
      </c>
      <c r="D13" s="21">
        <f t="shared" si="0"/>
        <v>201.00000000053478</v>
      </c>
      <c r="E13" s="20">
        <v>970</v>
      </c>
      <c r="F13" s="21">
        <f t="shared" si="1"/>
        <v>57</v>
      </c>
      <c r="G13" s="20">
        <v>142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44630</v>
      </c>
      <c r="B14" s="29"/>
      <c r="C14" s="20">
        <v>12414.999999999964</v>
      </c>
      <c r="D14" s="21">
        <f t="shared" si="0"/>
        <v>427.99999999943975</v>
      </c>
      <c r="E14" s="20">
        <v>751</v>
      </c>
      <c r="F14" s="21" t="str">
        <f t="shared" si="1"/>
        <v>0</v>
      </c>
      <c r="G14" s="20">
        <v>156</v>
      </c>
      <c r="H14" s="21">
        <f t="shared" si="2"/>
        <v>14</v>
      </c>
      <c r="I14" s="3"/>
      <c r="J14" s="3"/>
    </row>
    <row r="15" spans="1:10" ht="45" customHeight="1" x14ac:dyDescent="0.15">
      <c r="A15" s="19">
        <v>44631</v>
      </c>
      <c r="B15" s="29"/>
      <c r="C15" s="20">
        <v>13555.999999999403</v>
      </c>
      <c r="D15" s="21">
        <f t="shared" si="0"/>
        <v>1140.9999999994398</v>
      </c>
      <c r="E15" s="20">
        <v>701</v>
      </c>
      <c r="F15" s="21" t="str">
        <f t="shared" si="1"/>
        <v>0</v>
      </c>
      <c r="G15" s="20">
        <v>145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44632</v>
      </c>
      <c r="B16" s="29"/>
      <c r="C16" s="20">
        <v>14256.999999999925</v>
      </c>
      <c r="D16" s="21">
        <f t="shared" si="0"/>
        <v>701.00000000052205</v>
      </c>
      <c r="E16" s="20">
        <v>851</v>
      </c>
      <c r="F16" s="21">
        <f t="shared" si="1"/>
        <v>150</v>
      </c>
      <c r="G16" s="20">
        <v>164</v>
      </c>
      <c r="H16" s="21">
        <f t="shared" si="2"/>
        <v>19</v>
      </c>
      <c r="I16" s="3"/>
      <c r="J16" s="3"/>
    </row>
    <row r="17" spans="1:10" ht="45" customHeight="1" x14ac:dyDescent="0.15">
      <c r="A17" s="19">
        <v>44633</v>
      </c>
      <c r="B17" s="29"/>
      <c r="C17" s="20">
        <v>14998.000000001264</v>
      </c>
      <c r="D17" s="21">
        <f t="shared" si="0"/>
        <v>741.00000000133878</v>
      </c>
      <c r="E17" s="20">
        <v>747</v>
      </c>
      <c r="F17" s="21" t="str">
        <f t="shared" si="1"/>
        <v>0</v>
      </c>
      <c r="G17" s="20">
        <v>177</v>
      </c>
      <c r="H17" s="21">
        <f t="shared" si="2"/>
        <v>13</v>
      </c>
      <c r="I17" s="3"/>
      <c r="J17" s="3"/>
    </row>
    <row r="18" spans="1:10" ht="45" customHeight="1" x14ac:dyDescent="0.15">
      <c r="A18" s="19">
        <v>44634</v>
      </c>
      <c r="B18" s="29"/>
      <c r="C18" s="20">
        <v>13414.999999998894</v>
      </c>
      <c r="D18" s="21" t="str">
        <f t="shared" si="0"/>
        <v>0</v>
      </c>
      <c r="E18" s="20">
        <v>483</v>
      </c>
      <c r="F18" s="21" t="str">
        <f t="shared" si="1"/>
        <v>0</v>
      </c>
      <c r="G18" s="20">
        <v>138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44635</v>
      </c>
      <c r="B19" s="29"/>
      <c r="C19" s="20">
        <v>12690.000000000156</v>
      </c>
      <c r="D19" s="21" t="str">
        <f t="shared" si="0"/>
        <v>0</v>
      </c>
      <c r="E19" s="20">
        <v>687</v>
      </c>
      <c r="F19" s="21">
        <f t="shared" si="1"/>
        <v>204</v>
      </c>
      <c r="G19" s="20">
        <v>107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44636</v>
      </c>
      <c r="B20" s="29"/>
      <c r="C20" s="20">
        <v>11401.00000000068</v>
      </c>
      <c r="D20" s="21" t="str">
        <f t="shared" si="0"/>
        <v>0</v>
      </c>
      <c r="E20" s="20">
        <v>274</v>
      </c>
      <c r="F20" s="21" t="str">
        <f t="shared" si="1"/>
        <v>0</v>
      </c>
      <c r="G20" s="20">
        <v>77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44637</v>
      </c>
      <c r="B21" s="29"/>
      <c r="C21" s="20">
        <v>12030.000000000018</v>
      </c>
      <c r="D21" s="21">
        <f t="shared" si="0"/>
        <v>628.99999999933789</v>
      </c>
      <c r="E21" s="20">
        <v>257</v>
      </c>
      <c r="F21" s="21" t="str">
        <f t="shared" si="1"/>
        <v>0</v>
      </c>
      <c r="G21" s="20">
        <v>67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44638</v>
      </c>
      <c r="B22" s="29"/>
      <c r="C22" s="20">
        <v>10141.000000000371</v>
      </c>
      <c r="D22" s="21" t="str">
        <f t="shared" si="0"/>
        <v>0</v>
      </c>
      <c r="E22" s="20">
        <v>234</v>
      </c>
      <c r="F22" s="21" t="str">
        <f t="shared" si="1"/>
        <v>0</v>
      </c>
      <c r="G22" s="20">
        <v>43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44639</v>
      </c>
      <c r="B23" s="29"/>
      <c r="C23" s="20">
        <v>10816.999999998836</v>
      </c>
      <c r="D23" s="21">
        <f>IF((C23-C22&lt;0), "0",C23-C22)</f>
        <v>675.99999999846477</v>
      </c>
      <c r="E23" s="20">
        <v>184</v>
      </c>
      <c r="F23" s="21" t="str">
        <f t="shared" si="1"/>
        <v>0</v>
      </c>
      <c r="G23" s="20">
        <v>54</v>
      </c>
      <c r="H23" s="21">
        <f t="shared" si="2"/>
        <v>11</v>
      </c>
      <c r="I23" s="3"/>
      <c r="J23" s="3"/>
    </row>
    <row r="24" spans="1:10" ht="45" customHeight="1" x14ac:dyDescent="0.15">
      <c r="A24" s="19">
        <v>44640</v>
      </c>
      <c r="B24" s="29"/>
      <c r="C24" s="20">
        <v>9741.9999999999618</v>
      </c>
      <c r="D24" s="21" t="str">
        <f t="shared" ref="D24:D35" si="3">IF((C24-C23&lt;0), "0",C24-C23)</f>
        <v>0</v>
      </c>
      <c r="E24" s="20">
        <v>186</v>
      </c>
      <c r="F24" s="21">
        <f t="shared" si="1"/>
        <v>2</v>
      </c>
      <c r="G24" s="20">
        <v>36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44641</v>
      </c>
      <c r="B25" s="29"/>
      <c r="C25" s="20">
        <v>11626.000000000706</v>
      </c>
      <c r="D25" s="21">
        <f t="shared" si="3"/>
        <v>1884.000000000744</v>
      </c>
      <c r="E25" s="20">
        <v>161</v>
      </c>
      <c r="F25" s="21" t="str">
        <f t="shared" si="1"/>
        <v>0</v>
      </c>
      <c r="G25" s="20">
        <v>47</v>
      </c>
      <c r="H25" s="21">
        <f t="shared" si="2"/>
        <v>11</v>
      </c>
      <c r="I25" s="3"/>
      <c r="J25" s="3"/>
    </row>
    <row r="26" spans="1:10" ht="45" customHeight="1" x14ac:dyDescent="0.15">
      <c r="A26" s="19">
        <v>44642</v>
      </c>
      <c r="B26" s="29"/>
      <c r="C26" s="20">
        <v>11870.999999999502</v>
      </c>
      <c r="D26" s="21">
        <f t="shared" si="3"/>
        <v>244.99999999879583</v>
      </c>
      <c r="E26" s="20">
        <v>298</v>
      </c>
      <c r="F26" s="21">
        <f t="shared" si="1"/>
        <v>137</v>
      </c>
      <c r="G26" s="20">
        <v>66</v>
      </c>
      <c r="H26" s="21">
        <f t="shared" si="2"/>
        <v>19</v>
      </c>
      <c r="I26" s="3"/>
      <c r="J26" s="3"/>
    </row>
    <row r="27" spans="1:10" ht="45" customHeight="1" x14ac:dyDescent="0.15">
      <c r="A27" s="19">
        <v>44643</v>
      </c>
      <c r="B27" s="29"/>
      <c r="C27" s="20">
        <v>11299.999999999602</v>
      </c>
      <c r="D27" s="21" t="str">
        <f t="shared" si="3"/>
        <v>0</v>
      </c>
      <c r="E27" s="20">
        <v>301</v>
      </c>
      <c r="F27" s="21">
        <f t="shared" si="1"/>
        <v>3</v>
      </c>
      <c r="G27" s="20">
        <v>127</v>
      </c>
      <c r="H27" s="21">
        <f t="shared" si="2"/>
        <v>61</v>
      </c>
      <c r="I27" s="3"/>
      <c r="J27" s="3"/>
    </row>
    <row r="28" spans="1:10" ht="45" customHeight="1" x14ac:dyDescent="0.15">
      <c r="A28" s="19">
        <v>44644</v>
      </c>
      <c r="B28" s="29"/>
      <c r="C28" s="20">
        <v>9578.0000000003165</v>
      </c>
      <c r="D28" s="21" t="str">
        <f t="shared" si="3"/>
        <v>0</v>
      </c>
      <c r="E28" s="20">
        <v>398</v>
      </c>
      <c r="F28" s="21">
        <f t="shared" si="1"/>
        <v>97</v>
      </c>
      <c r="G28" s="20">
        <v>76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44645</v>
      </c>
      <c r="B29" s="29"/>
      <c r="C29" s="20">
        <v>12275.000000000706</v>
      </c>
      <c r="D29" s="21">
        <f t="shared" si="3"/>
        <v>2697.0000000003893</v>
      </c>
      <c r="E29" s="20">
        <v>302</v>
      </c>
      <c r="F29" s="21" t="str">
        <f t="shared" si="1"/>
        <v>0</v>
      </c>
      <c r="G29" s="20">
        <v>106</v>
      </c>
      <c r="H29" s="21">
        <f t="shared" si="2"/>
        <v>30</v>
      </c>
      <c r="I29" s="3"/>
      <c r="J29" s="3"/>
    </row>
    <row r="30" spans="1:10" ht="45" customHeight="1" x14ac:dyDescent="0.15">
      <c r="A30" s="19">
        <v>44646</v>
      </c>
      <c r="B30" s="29"/>
      <c r="C30" s="20">
        <v>248642.99999999948</v>
      </c>
      <c r="D30" s="21">
        <f t="shared" si="3"/>
        <v>236367.99999999878</v>
      </c>
      <c r="E30" s="20">
        <v>1177</v>
      </c>
      <c r="F30" s="21">
        <f t="shared" si="1"/>
        <v>875</v>
      </c>
      <c r="G30" s="20">
        <v>202</v>
      </c>
      <c r="H30" s="21">
        <f t="shared" si="2"/>
        <v>96</v>
      </c>
      <c r="I30" s="3"/>
      <c r="J30" s="3"/>
    </row>
    <row r="31" spans="1:10" ht="45" customHeight="1" x14ac:dyDescent="0.15">
      <c r="A31" s="19">
        <v>44647</v>
      </c>
      <c r="B31" s="29"/>
      <c r="C31" s="20">
        <v>17124.999999999658</v>
      </c>
      <c r="D31" s="21" t="str">
        <f t="shared" si="3"/>
        <v>0</v>
      </c>
      <c r="E31" s="20">
        <v>1081</v>
      </c>
      <c r="F31" s="21" t="str">
        <f t="shared" si="1"/>
        <v>0</v>
      </c>
      <c r="G31" s="20">
        <v>200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44648</v>
      </c>
      <c r="B32" s="29"/>
      <c r="C32" s="20">
        <v>15127.000000001281</v>
      </c>
      <c r="D32" s="21" t="str">
        <f t="shared" si="3"/>
        <v>0</v>
      </c>
      <c r="E32" s="20">
        <v>709</v>
      </c>
      <c r="F32" s="21" t="str">
        <f t="shared" si="1"/>
        <v>0</v>
      </c>
      <c r="G32" s="20">
        <v>154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44649</v>
      </c>
      <c r="C33" s="20">
        <v>16615.999999999967</v>
      </c>
      <c r="D33" s="21">
        <f t="shared" si="3"/>
        <v>1488.9999999986867</v>
      </c>
      <c r="E33" s="20">
        <v>837</v>
      </c>
      <c r="F33" s="21">
        <f t="shared" si="1"/>
        <v>128</v>
      </c>
      <c r="G33" s="20">
        <v>195</v>
      </c>
      <c r="H33" s="21">
        <f t="shared" si="2"/>
        <v>41</v>
      </c>
      <c r="I33" s="3"/>
      <c r="J33" s="3"/>
    </row>
    <row r="34" spans="1:10" ht="45.6" customHeight="1" x14ac:dyDescent="0.15">
      <c r="A34" s="19">
        <v>44650</v>
      </c>
      <c r="C34" s="20">
        <v>18166.999999999716</v>
      </c>
      <c r="D34" s="21">
        <f t="shared" si="3"/>
        <v>1550.999999999749</v>
      </c>
      <c r="E34" s="20">
        <v>870</v>
      </c>
      <c r="F34" s="21">
        <f t="shared" si="1"/>
        <v>33</v>
      </c>
      <c r="G34" s="20">
        <v>238</v>
      </c>
      <c r="H34" s="21">
        <f t="shared" si="2"/>
        <v>43</v>
      </c>
      <c r="I34" s="3"/>
      <c r="J34" s="3"/>
    </row>
    <row r="35" spans="1:10" ht="47.45" customHeight="1" x14ac:dyDescent="0.15">
      <c r="A35" s="19">
        <v>44651</v>
      </c>
      <c r="C35" s="20">
        <v>19756.9999999992</v>
      </c>
      <c r="D35" s="21">
        <f t="shared" si="3"/>
        <v>1589.9999999994834</v>
      </c>
      <c r="E35" s="20">
        <v>760</v>
      </c>
      <c r="F35" s="21" t="str">
        <f t="shared" si="1"/>
        <v>0</v>
      </c>
      <c r="G35" s="20">
        <v>249</v>
      </c>
      <c r="H35" s="21">
        <f t="shared" si="2"/>
        <v>11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O10" sqref="O1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36" t="s">
        <v>12</v>
      </c>
      <c r="B1" s="36" t="s">
        <v>13</v>
      </c>
      <c r="C1" s="37" t="s">
        <v>14</v>
      </c>
      <c r="D1" s="36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 ht="15" x14ac:dyDescent="0.25">
      <c r="A2" s="41" t="s">
        <v>24</v>
      </c>
      <c r="B2" s="42">
        <v>1</v>
      </c>
      <c r="C2" s="43">
        <v>4</v>
      </c>
      <c r="D2" s="42">
        <v>2022</v>
      </c>
      <c r="E2" s="44">
        <v>17971.000000000302</v>
      </c>
      <c r="F2" s="45">
        <v>0.93</v>
      </c>
      <c r="G2" s="44">
        <v>866</v>
      </c>
      <c r="H2" s="45">
        <v>4.3899999999999997</v>
      </c>
      <c r="I2" s="44">
        <v>231</v>
      </c>
      <c r="J2" s="45">
        <v>1.72</v>
      </c>
      <c r="K2" s="44">
        <f>'[1]Shenzhen Daily'!I5</f>
        <v>0</v>
      </c>
      <c r="L2" s="44">
        <f>'[1]Shenzhen Daily'!J5</f>
        <v>0</v>
      </c>
    </row>
    <row r="3" spans="1:12" ht="15" x14ac:dyDescent="0.25">
      <c r="A3" s="41" t="s">
        <v>24</v>
      </c>
      <c r="B3" s="42">
        <f>B2+1</f>
        <v>2</v>
      </c>
      <c r="C3" s="43">
        <v>4</v>
      </c>
      <c r="D3" s="42">
        <v>2022</v>
      </c>
      <c r="E3" s="44">
        <v>15740.999999999762</v>
      </c>
      <c r="F3" s="45">
        <v>0.93</v>
      </c>
      <c r="G3" s="44">
        <v>1027</v>
      </c>
      <c r="H3" s="45">
        <v>4.3899999999999997</v>
      </c>
      <c r="I3" s="44">
        <v>239</v>
      </c>
      <c r="J3" s="45">
        <v>1.72</v>
      </c>
      <c r="K3" s="44">
        <f>'[1]Shenzhen Daily'!I6</f>
        <v>0</v>
      </c>
      <c r="L3" s="44">
        <f>'[1]Shenzhen Daily'!J6</f>
        <v>0</v>
      </c>
    </row>
    <row r="4" spans="1:12" ht="15" x14ac:dyDescent="0.25">
      <c r="A4" s="41" t="s">
        <v>24</v>
      </c>
      <c r="B4" s="42">
        <f t="shared" ref="B4:B31" si="0">B3+1</f>
        <v>3</v>
      </c>
      <c r="C4" s="43">
        <v>4</v>
      </c>
      <c r="D4" s="42">
        <v>2022</v>
      </c>
      <c r="E4" s="44">
        <v>17333.000000000171</v>
      </c>
      <c r="F4" s="45">
        <v>0.93</v>
      </c>
      <c r="G4" s="44">
        <v>822</v>
      </c>
      <c r="H4" s="45">
        <v>4.3899999999999997</v>
      </c>
      <c r="I4" s="44">
        <v>260</v>
      </c>
      <c r="J4" s="45">
        <v>1.72</v>
      </c>
      <c r="K4" s="44">
        <f>'[1]Shenzhen Daily'!I7</f>
        <v>0</v>
      </c>
      <c r="L4" s="44">
        <f>'[1]Shenzhen Daily'!J7</f>
        <v>0</v>
      </c>
    </row>
    <row r="5" spans="1:12" ht="15" x14ac:dyDescent="0.25">
      <c r="A5" s="41" t="s">
        <v>24</v>
      </c>
      <c r="B5" s="42">
        <f t="shared" si="0"/>
        <v>4</v>
      </c>
      <c r="C5" s="43">
        <v>4</v>
      </c>
      <c r="D5" s="42">
        <v>2022</v>
      </c>
      <c r="E5" s="44">
        <v>18095.99999999901</v>
      </c>
      <c r="F5" s="45">
        <v>0.93</v>
      </c>
      <c r="G5" s="44">
        <v>974</v>
      </c>
      <c r="H5" s="45">
        <v>4.3899999999999997</v>
      </c>
      <c r="I5" s="44">
        <v>268</v>
      </c>
      <c r="J5" s="45">
        <v>1.72</v>
      </c>
      <c r="K5" s="44">
        <f>'[1]Shenzhen Daily'!I8</f>
        <v>0</v>
      </c>
      <c r="L5" s="44">
        <f>'[1]Shenzhen Daily'!J8</f>
        <v>0</v>
      </c>
    </row>
    <row r="6" spans="1:12" ht="15" x14ac:dyDescent="0.25">
      <c r="A6" s="41" t="s">
        <v>24</v>
      </c>
      <c r="B6" s="42">
        <f t="shared" si="0"/>
        <v>5</v>
      </c>
      <c r="C6" s="43">
        <v>4</v>
      </c>
      <c r="D6" s="42">
        <v>2022</v>
      </c>
      <c r="E6" s="44">
        <v>19455.000000002201</v>
      </c>
      <c r="F6" s="45">
        <v>0.93</v>
      </c>
      <c r="G6" s="44">
        <v>1089</v>
      </c>
      <c r="H6" s="45">
        <v>4.3899999999999997</v>
      </c>
      <c r="I6" s="44">
        <v>252</v>
      </c>
      <c r="J6" s="45">
        <v>1.72</v>
      </c>
      <c r="K6" s="44">
        <f>'[1]Shenzhen Daily'!I9</f>
        <v>0</v>
      </c>
      <c r="L6" s="44">
        <f>'[1]Shenzhen Daily'!J9</f>
        <v>0</v>
      </c>
    </row>
    <row r="7" spans="1:12" ht="15" x14ac:dyDescent="0.25">
      <c r="A7" s="41" t="s">
        <v>24</v>
      </c>
      <c r="B7" s="42">
        <f t="shared" si="0"/>
        <v>6</v>
      </c>
      <c r="C7" s="43">
        <v>4</v>
      </c>
      <c r="D7" s="42">
        <v>2022</v>
      </c>
      <c r="E7" s="44">
        <v>19847.999999999374</v>
      </c>
      <c r="F7" s="45">
        <v>0.93</v>
      </c>
      <c r="G7" s="44">
        <v>1199</v>
      </c>
      <c r="H7" s="45">
        <v>4.3899999999999997</v>
      </c>
      <c r="I7" s="44">
        <v>312</v>
      </c>
      <c r="J7" s="45">
        <v>1.72</v>
      </c>
      <c r="K7" s="44">
        <f>'[1]Shenzhen Daily'!I10</f>
        <v>0</v>
      </c>
      <c r="L7" s="44">
        <f>'[1]Shenzhen Daily'!J10</f>
        <v>0</v>
      </c>
    </row>
    <row r="8" spans="1:12" ht="15" x14ac:dyDescent="0.25">
      <c r="A8" s="41" t="s">
        <v>24</v>
      </c>
      <c r="B8" s="42">
        <f t="shared" si="0"/>
        <v>7</v>
      </c>
      <c r="C8" s="43">
        <v>4</v>
      </c>
      <c r="D8" s="42">
        <v>2022</v>
      </c>
      <c r="E8" s="44">
        <v>21662.0000000004</v>
      </c>
      <c r="F8" s="45">
        <v>0.93</v>
      </c>
      <c r="G8" s="44">
        <v>1072</v>
      </c>
      <c r="H8" s="45">
        <v>4.3899999999999997</v>
      </c>
      <c r="I8" s="44">
        <v>260</v>
      </c>
      <c r="J8" s="45">
        <v>1.72</v>
      </c>
      <c r="K8" s="44">
        <f>'[1]Shenzhen Daily'!I11</f>
        <v>0</v>
      </c>
      <c r="L8" s="44">
        <f>'[1]Shenzhen Daily'!J11</f>
        <v>0</v>
      </c>
    </row>
    <row r="9" spans="1:12" ht="15" x14ac:dyDescent="0.25">
      <c r="A9" s="41" t="s">
        <v>24</v>
      </c>
      <c r="B9" s="42">
        <f t="shared" si="0"/>
        <v>8</v>
      </c>
      <c r="C9" s="43">
        <v>4</v>
      </c>
      <c r="D9" s="42">
        <v>2022</v>
      </c>
      <c r="E9" s="44">
        <v>22463.999999998639</v>
      </c>
      <c r="F9" s="45">
        <v>0.93</v>
      </c>
      <c r="G9" s="44">
        <v>1077</v>
      </c>
      <c r="H9" s="45">
        <v>4.3899999999999997</v>
      </c>
      <c r="I9" s="44">
        <v>308</v>
      </c>
      <c r="J9" s="45">
        <v>1.72</v>
      </c>
      <c r="K9" s="44">
        <f>'[1]Shenzhen Daily'!I12</f>
        <v>0</v>
      </c>
      <c r="L9" s="44">
        <f>'[1]Shenzhen Daily'!J12</f>
        <v>0</v>
      </c>
    </row>
    <row r="10" spans="1:12" ht="15" x14ac:dyDescent="0.25">
      <c r="A10" s="41" t="s">
        <v>24</v>
      </c>
      <c r="B10" s="42">
        <f t="shared" si="0"/>
        <v>9</v>
      </c>
      <c r="C10" s="43">
        <v>4</v>
      </c>
      <c r="D10" s="42">
        <v>2022</v>
      </c>
      <c r="E10" s="44">
        <v>23900.000000001175</v>
      </c>
      <c r="F10" s="45">
        <v>0.93</v>
      </c>
      <c r="G10" s="44">
        <v>1372</v>
      </c>
      <c r="H10" s="45">
        <v>4.3899999999999997</v>
      </c>
      <c r="I10" s="44">
        <v>330</v>
      </c>
      <c r="J10" s="45">
        <v>1.72</v>
      </c>
      <c r="K10" s="44">
        <f>'[1]Shenzhen Daily'!I13</f>
        <v>0</v>
      </c>
      <c r="L10" s="44">
        <f>'[1]Shenzhen Daily'!J13</f>
        <v>0</v>
      </c>
    </row>
    <row r="11" spans="1:12" ht="15" x14ac:dyDescent="0.25">
      <c r="A11" s="41" t="s">
        <v>24</v>
      </c>
      <c r="B11" s="42">
        <f t="shared" si="0"/>
        <v>10</v>
      </c>
      <c r="C11" s="43">
        <v>4</v>
      </c>
      <c r="D11" s="42">
        <v>2022</v>
      </c>
      <c r="E11" s="44">
        <v>23791.999999999243</v>
      </c>
      <c r="F11" s="45">
        <v>0.93</v>
      </c>
      <c r="G11" s="44">
        <v>1154</v>
      </c>
      <c r="H11" s="45">
        <v>4.3899999999999997</v>
      </c>
      <c r="I11" s="44">
        <v>288</v>
      </c>
      <c r="J11" s="45">
        <v>1.72</v>
      </c>
      <c r="K11" s="44">
        <f>'[1]Shenzhen Daily'!I14</f>
        <v>0</v>
      </c>
      <c r="L11" s="44">
        <f>'[1]Shenzhen Daily'!J14</f>
        <v>0</v>
      </c>
    </row>
    <row r="12" spans="1:12" ht="15" x14ac:dyDescent="0.25">
      <c r="A12" s="41" t="s">
        <v>24</v>
      </c>
      <c r="B12" s="42">
        <f t="shared" si="0"/>
        <v>11</v>
      </c>
      <c r="C12" s="43">
        <v>4</v>
      </c>
      <c r="D12" s="42">
        <v>2022</v>
      </c>
      <c r="E12" s="44">
        <v>24690.000000001037</v>
      </c>
      <c r="F12" s="45">
        <v>0.93</v>
      </c>
      <c r="G12" s="44">
        <v>1152</v>
      </c>
      <c r="H12" s="45">
        <v>4.3899999999999997</v>
      </c>
      <c r="I12" s="44">
        <v>365</v>
      </c>
      <c r="J12" s="45">
        <v>1.72</v>
      </c>
      <c r="K12" s="44">
        <f>'[1]Shenzhen Daily'!I15</f>
        <v>0</v>
      </c>
      <c r="L12" s="44">
        <f>'[1]Shenzhen Daily'!J15</f>
        <v>0</v>
      </c>
    </row>
    <row r="13" spans="1:12" ht="15" x14ac:dyDescent="0.25">
      <c r="A13" s="41" t="s">
        <v>24</v>
      </c>
      <c r="B13" s="42">
        <f t="shared" si="0"/>
        <v>12</v>
      </c>
      <c r="C13" s="43">
        <v>4</v>
      </c>
      <c r="D13" s="42">
        <v>2022</v>
      </c>
      <c r="E13" s="44">
        <v>26070.999999999956</v>
      </c>
      <c r="F13" s="45">
        <v>0.93</v>
      </c>
      <c r="G13" s="44">
        <v>1280</v>
      </c>
      <c r="H13" s="45">
        <v>4.3899999999999997</v>
      </c>
      <c r="I13" s="44">
        <v>313</v>
      </c>
      <c r="J13" s="45">
        <v>1.72</v>
      </c>
      <c r="K13" s="44">
        <f>'[1]Shenzhen Daily'!I16</f>
        <v>0</v>
      </c>
      <c r="L13" s="44">
        <f>'[1]Shenzhen Daily'!J16</f>
        <v>0</v>
      </c>
    </row>
    <row r="14" spans="1:12" ht="15" x14ac:dyDescent="0.25">
      <c r="A14" s="41" t="s">
        <v>24</v>
      </c>
      <c r="B14" s="42">
        <f t="shared" si="0"/>
        <v>13</v>
      </c>
      <c r="C14" s="43">
        <v>4</v>
      </c>
      <c r="D14" s="42">
        <v>2022</v>
      </c>
      <c r="E14" s="44">
        <v>25341.999999998698</v>
      </c>
      <c r="F14" s="45">
        <v>0.93</v>
      </c>
      <c r="G14" s="44">
        <v>1091</v>
      </c>
      <c r="H14" s="45">
        <v>4.3899999999999997</v>
      </c>
      <c r="I14" s="44">
        <v>363</v>
      </c>
      <c r="J14" s="45">
        <v>1.72</v>
      </c>
      <c r="K14" s="44">
        <f>'[1]Shenzhen Daily'!I17</f>
        <v>0</v>
      </c>
      <c r="L14" s="44">
        <f>'[1]Shenzhen Daily'!J17</f>
        <v>0</v>
      </c>
    </row>
    <row r="15" spans="1:12" ht="15" x14ac:dyDescent="0.25">
      <c r="A15" s="41" t="s">
        <v>24</v>
      </c>
      <c r="B15" s="42">
        <f t="shared" si="0"/>
        <v>14</v>
      </c>
      <c r="C15" s="43">
        <v>4</v>
      </c>
      <c r="D15" s="42">
        <v>2022</v>
      </c>
      <c r="E15" s="44">
        <v>25397.000000001048</v>
      </c>
      <c r="F15" s="45">
        <v>0.93</v>
      </c>
      <c r="G15" s="44">
        <v>1282</v>
      </c>
      <c r="H15" s="45">
        <v>4.3899999999999997</v>
      </c>
      <c r="I15" s="44">
        <v>353</v>
      </c>
      <c r="J15" s="45">
        <v>1.72</v>
      </c>
      <c r="K15" s="44">
        <f>'[1]Shenzhen Daily'!I18</f>
        <v>0</v>
      </c>
      <c r="L15" s="44">
        <f>'[1]Shenzhen Daily'!J18</f>
        <v>0</v>
      </c>
    </row>
    <row r="16" spans="1:12" ht="15" x14ac:dyDescent="0.25">
      <c r="A16" s="41" t="s">
        <v>24</v>
      </c>
      <c r="B16" s="42">
        <f t="shared" si="0"/>
        <v>15</v>
      </c>
      <c r="C16" s="43">
        <v>4</v>
      </c>
      <c r="D16" s="42">
        <v>2022</v>
      </c>
      <c r="E16" s="44">
        <v>26409.999999999294</v>
      </c>
      <c r="F16" s="45">
        <v>0.93</v>
      </c>
      <c r="G16" s="44">
        <v>1313</v>
      </c>
      <c r="H16" s="45">
        <v>4.3899999999999997</v>
      </c>
      <c r="I16" s="44">
        <v>339</v>
      </c>
      <c r="J16" s="45">
        <v>1.72</v>
      </c>
      <c r="K16" s="44">
        <f>'[1]Shenzhen Daily'!I19</f>
        <v>0</v>
      </c>
      <c r="L16" s="44">
        <f>'[1]Shenzhen Daily'!J19</f>
        <v>0</v>
      </c>
    </row>
    <row r="17" spans="1:12" ht="15" x14ac:dyDescent="0.25">
      <c r="A17" s="41" t="s">
        <v>24</v>
      </c>
      <c r="B17" s="42">
        <f t="shared" si="0"/>
        <v>16</v>
      </c>
      <c r="C17" s="43">
        <v>4</v>
      </c>
      <c r="D17" s="42">
        <v>2022</v>
      </c>
      <c r="E17" s="44">
        <v>26350.000000000131</v>
      </c>
      <c r="F17" s="45">
        <v>0.93</v>
      </c>
      <c r="G17" s="44">
        <v>1227</v>
      </c>
      <c r="H17" s="45">
        <v>4.3899999999999997</v>
      </c>
      <c r="I17" s="44">
        <v>383</v>
      </c>
      <c r="J17" s="45">
        <v>1.72</v>
      </c>
      <c r="K17" s="44">
        <f>'[1]Shenzhen Daily'!I20</f>
        <v>0</v>
      </c>
      <c r="L17" s="44">
        <f>'[1]Shenzhen Daily'!J20</f>
        <v>0</v>
      </c>
    </row>
    <row r="18" spans="1:12" ht="15" x14ac:dyDescent="0.25">
      <c r="A18" s="41" t="s">
        <v>24</v>
      </c>
      <c r="B18" s="42">
        <f t="shared" si="0"/>
        <v>17</v>
      </c>
      <c r="C18" s="43">
        <v>4</v>
      </c>
      <c r="D18" s="42">
        <v>2022</v>
      </c>
      <c r="E18" s="44">
        <v>23137.000000000575</v>
      </c>
      <c r="F18" s="45">
        <v>0.93</v>
      </c>
      <c r="G18" s="44">
        <v>1226</v>
      </c>
      <c r="H18" s="45">
        <v>4.3899999999999997</v>
      </c>
      <c r="I18" s="44">
        <v>367</v>
      </c>
      <c r="J18" s="45">
        <v>1.72</v>
      </c>
      <c r="K18" s="44">
        <f>'[1]Shenzhen Daily'!I21</f>
        <v>0</v>
      </c>
      <c r="L18" s="44">
        <f>'[1]Shenzhen Daily'!J21</f>
        <v>0</v>
      </c>
    </row>
    <row r="19" spans="1:12" ht="15" x14ac:dyDescent="0.25">
      <c r="A19" s="41" t="s">
        <v>24</v>
      </c>
      <c r="B19" s="42">
        <f t="shared" si="0"/>
        <v>18</v>
      </c>
      <c r="C19" s="43">
        <v>4</v>
      </c>
      <c r="D19" s="42">
        <v>2022</v>
      </c>
      <c r="E19" s="44">
        <v>24295.999999999425</v>
      </c>
      <c r="F19" s="45">
        <v>0.93</v>
      </c>
      <c r="G19" s="44">
        <v>1271</v>
      </c>
      <c r="H19" s="45">
        <v>4.3899999999999997</v>
      </c>
      <c r="I19" s="44">
        <v>386</v>
      </c>
      <c r="J19" s="45">
        <v>1.72</v>
      </c>
      <c r="K19" s="44">
        <f>'[1]Shenzhen Daily'!I22</f>
        <v>0</v>
      </c>
      <c r="L19" s="44">
        <f>'[1]Shenzhen Daily'!J22</f>
        <v>0</v>
      </c>
    </row>
    <row r="20" spans="1:12" ht="15" x14ac:dyDescent="0.25">
      <c r="A20" s="41" t="s">
        <v>24</v>
      </c>
      <c r="B20" s="42">
        <f t="shared" si="0"/>
        <v>19</v>
      </c>
      <c r="C20" s="43">
        <v>4</v>
      </c>
      <c r="D20" s="42">
        <v>2022</v>
      </c>
      <c r="E20" s="44">
        <v>21434.000000000193</v>
      </c>
      <c r="F20" s="45">
        <v>0.93</v>
      </c>
      <c r="G20" s="44">
        <v>1278</v>
      </c>
      <c r="H20" s="45">
        <v>4.3899999999999997</v>
      </c>
      <c r="I20" s="44">
        <v>340</v>
      </c>
      <c r="J20" s="45">
        <v>1.72</v>
      </c>
      <c r="K20" s="44">
        <f>'[1]Shenzhen Daily'!I23</f>
        <v>0</v>
      </c>
      <c r="L20" s="44">
        <f>'[1]Shenzhen Daily'!J23</f>
        <v>0</v>
      </c>
    </row>
    <row r="21" spans="1:12" ht="15" x14ac:dyDescent="0.25">
      <c r="A21" s="41" t="s">
        <v>24</v>
      </c>
      <c r="B21" s="42">
        <f t="shared" si="0"/>
        <v>20</v>
      </c>
      <c r="C21" s="43">
        <v>4</v>
      </c>
      <c r="D21" s="42">
        <v>2022</v>
      </c>
      <c r="E21" s="44">
        <v>22468.999999999556</v>
      </c>
      <c r="F21" s="45">
        <v>0.93</v>
      </c>
      <c r="G21" s="44">
        <v>1245</v>
      </c>
      <c r="H21" s="45">
        <v>4.3899999999999997</v>
      </c>
      <c r="I21" s="44">
        <v>379</v>
      </c>
      <c r="J21" s="45">
        <v>1.72</v>
      </c>
      <c r="K21" s="44">
        <f>'[1]Shenzhen Daily'!I24</f>
        <v>0</v>
      </c>
      <c r="L21" s="44">
        <f>'[1]Shenzhen Daily'!J24</f>
        <v>0</v>
      </c>
    </row>
    <row r="22" spans="1:12" ht="15" x14ac:dyDescent="0.25">
      <c r="A22" s="41" t="s">
        <v>24</v>
      </c>
      <c r="B22" s="42">
        <f t="shared" si="0"/>
        <v>21</v>
      </c>
      <c r="C22" s="43">
        <v>4</v>
      </c>
      <c r="D22" s="42">
        <v>2022</v>
      </c>
      <c r="E22" s="44">
        <v>23694.000000000924</v>
      </c>
      <c r="F22" s="45">
        <v>0.93</v>
      </c>
      <c r="G22" s="44">
        <v>1209</v>
      </c>
      <c r="H22" s="45">
        <v>4.3899999999999997</v>
      </c>
      <c r="I22" s="44">
        <v>414</v>
      </c>
      <c r="J22" s="45">
        <v>1.72</v>
      </c>
      <c r="K22" s="44">
        <f>'[1]Shenzhen Daily'!I25</f>
        <v>0</v>
      </c>
      <c r="L22" s="44">
        <f>'[1]Shenzhen Daily'!J25</f>
        <v>0</v>
      </c>
    </row>
    <row r="23" spans="1:12" ht="15" x14ac:dyDescent="0.25">
      <c r="A23" s="41" t="s">
        <v>24</v>
      </c>
      <c r="B23" s="42">
        <f t="shared" si="0"/>
        <v>22</v>
      </c>
      <c r="C23" s="43">
        <v>4</v>
      </c>
      <c r="D23" s="42">
        <v>2022</v>
      </c>
      <c r="E23" s="44">
        <v>26699.000000000015</v>
      </c>
      <c r="F23" s="45">
        <v>0.93</v>
      </c>
      <c r="G23" s="44">
        <v>1300</v>
      </c>
      <c r="H23" s="45">
        <v>4.3899999999999997</v>
      </c>
      <c r="I23" s="44">
        <v>413</v>
      </c>
      <c r="J23" s="45">
        <v>1.72</v>
      </c>
      <c r="K23" s="44">
        <f>'[1]Shenzhen Daily'!I26</f>
        <v>0</v>
      </c>
      <c r="L23" s="44">
        <f>'[1]Shenzhen Daily'!J26</f>
        <v>0</v>
      </c>
    </row>
    <row r="24" spans="1:12" ht="15" x14ac:dyDescent="0.25">
      <c r="A24" s="41" t="s">
        <v>24</v>
      </c>
      <c r="B24" s="42">
        <f t="shared" si="0"/>
        <v>23</v>
      </c>
      <c r="C24" s="43">
        <v>4</v>
      </c>
      <c r="D24" s="42">
        <v>2022</v>
      </c>
      <c r="E24" s="44">
        <v>27981.999999999309</v>
      </c>
      <c r="F24" s="45">
        <v>0.93</v>
      </c>
      <c r="G24" s="44">
        <v>1231</v>
      </c>
      <c r="H24" s="45">
        <v>4.3899999999999997</v>
      </c>
      <c r="I24" s="44">
        <v>442</v>
      </c>
      <c r="J24" s="45">
        <v>1.72</v>
      </c>
      <c r="K24" s="44">
        <f>'[1]Shenzhen Daily'!I27</f>
        <v>0</v>
      </c>
      <c r="L24" s="44">
        <f>'[1]Shenzhen Daily'!J27</f>
        <v>0</v>
      </c>
    </row>
    <row r="25" spans="1:12" ht="15" x14ac:dyDescent="0.25">
      <c r="A25" s="41" t="s">
        <v>24</v>
      </c>
      <c r="B25" s="42">
        <f t="shared" si="0"/>
        <v>24</v>
      </c>
      <c r="C25" s="43">
        <v>4</v>
      </c>
      <c r="D25" s="42">
        <v>2022</v>
      </c>
      <c r="E25" s="44">
        <v>25448.000000000044</v>
      </c>
      <c r="F25" s="45">
        <v>0.93</v>
      </c>
      <c r="G25" s="44">
        <v>1178</v>
      </c>
      <c r="H25" s="45">
        <v>4.3899999999999997</v>
      </c>
      <c r="I25" s="44">
        <v>511</v>
      </c>
      <c r="J25" s="45">
        <v>1.72</v>
      </c>
      <c r="K25" s="44">
        <f>'[1]Shenzhen Daily'!I28</f>
        <v>0</v>
      </c>
      <c r="L25" s="44">
        <f>'[1]Shenzhen Daily'!J28</f>
        <v>0</v>
      </c>
    </row>
    <row r="26" spans="1:12" ht="15" x14ac:dyDescent="0.25">
      <c r="A26" s="41" t="s">
        <v>24</v>
      </c>
      <c r="B26" s="42">
        <f>B25+1</f>
        <v>25</v>
      </c>
      <c r="C26" s="43">
        <v>4</v>
      </c>
      <c r="D26" s="42">
        <v>2022</v>
      </c>
      <c r="E26" s="44">
        <v>31541.999999999822</v>
      </c>
      <c r="F26" s="45">
        <v>0.93</v>
      </c>
      <c r="G26" s="44">
        <v>1122</v>
      </c>
      <c r="H26" s="45">
        <v>4.3899999999999997</v>
      </c>
      <c r="I26" s="44">
        <v>450</v>
      </c>
      <c r="J26" s="45">
        <v>1.72</v>
      </c>
      <c r="K26" s="44">
        <f>'[1]Shenzhen Daily'!I29</f>
        <v>0</v>
      </c>
      <c r="L26" s="44">
        <f>'[1]Shenzhen Daily'!J29</f>
        <v>0</v>
      </c>
    </row>
    <row r="27" spans="1:12" ht="15" x14ac:dyDescent="0.25">
      <c r="A27" s="41" t="s">
        <v>24</v>
      </c>
      <c r="B27" s="42">
        <f t="shared" si="0"/>
        <v>26</v>
      </c>
      <c r="C27" s="43">
        <v>4</v>
      </c>
      <c r="D27" s="42">
        <v>2022</v>
      </c>
      <c r="E27" s="44">
        <v>32167.000000000957</v>
      </c>
      <c r="F27" s="45">
        <v>0.93</v>
      </c>
      <c r="G27" s="44">
        <v>1376</v>
      </c>
      <c r="H27" s="45">
        <v>4.3899999999999997</v>
      </c>
      <c r="I27" s="44">
        <v>480</v>
      </c>
      <c r="J27" s="45">
        <v>1.72</v>
      </c>
      <c r="K27" s="44">
        <f>'[1]Shenzhen Daily'!I30</f>
        <v>0</v>
      </c>
      <c r="L27" s="44">
        <f>'[1]Shenzhen Daily'!J30</f>
        <v>0</v>
      </c>
    </row>
    <row r="28" spans="1:12" ht="15" x14ac:dyDescent="0.25">
      <c r="A28" s="41" t="s">
        <v>24</v>
      </c>
      <c r="B28" s="42">
        <f t="shared" si="0"/>
        <v>27</v>
      </c>
      <c r="C28" s="43">
        <v>4</v>
      </c>
      <c r="D28" s="42">
        <v>2022</v>
      </c>
      <c r="E28" s="44">
        <v>29865.999999999302</v>
      </c>
      <c r="F28" s="45">
        <v>0.93</v>
      </c>
      <c r="G28" s="44">
        <v>1279</v>
      </c>
      <c r="H28" s="45">
        <v>4.3899999999999997</v>
      </c>
      <c r="I28" s="44">
        <v>462</v>
      </c>
      <c r="J28" s="45">
        <v>1.72</v>
      </c>
      <c r="K28" s="44">
        <f>'[1]Shenzhen Daily'!I31</f>
        <v>0</v>
      </c>
      <c r="L28" s="44">
        <f>'[1]Shenzhen Daily'!J31</f>
        <v>0</v>
      </c>
    </row>
    <row r="29" spans="1:12" ht="15" x14ac:dyDescent="0.25">
      <c r="A29" s="41" t="s">
        <v>24</v>
      </c>
      <c r="B29" s="42">
        <f t="shared" si="0"/>
        <v>28</v>
      </c>
      <c r="C29" s="43">
        <v>4</v>
      </c>
      <c r="D29" s="42">
        <v>2022</v>
      </c>
      <c r="E29" s="44">
        <v>32526.999999998865</v>
      </c>
      <c r="F29" s="45">
        <v>0.93</v>
      </c>
      <c r="G29" s="44">
        <v>1327</v>
      </c>
      <c r="H29" s="45">
        <v>4.3899999999999997</v>
      </c>
      <c r="I29" s="44">
        <v>459</v>
      </c>
      <c r="J29" s="45">
        <v>1.72</v>
      </c>
      <c r="K29" s="44">
        <f>'[1]Shenzhen Daily'!I32</f>
        <v>0</v>
      </c>
      <c r="L29" s="44">
        <f>'[1]Shenzhen Daily'!J32</f>
        <v>0</v>
      </c>
    </row>
    <row r="30" spans="1:12" ht="15" x14ac:dyDescent="0.25">
      <c r="A30" s="41" t="s">
        <v>24</v>
      </c>
      <c r="B30" s="42">
        <f t="shared" si="0"/>
        <v>29</v>
      </c>
      <c r="C30" s="43">
        <v>4</v>
      </c>
      <c r="D30" s="42">
        <v>2022</v>
      </c>
      <c r="E30" s="44">
        <v>32956.000000001972</v>
      </c>
      <c r="F30" s="45">
        <v>0.93</v>
      </c>
      <c r="G30" s="44">
        <v>1323</v>
      </c>
      <c r="H30" s="45">
        <v>4.3899999999999997</v>
      </c>
      <c r="I30" s="44">
        <v>478</v>
      </c>
      <c r="J30" s="45">
        <v>1.72</v>
      </c>
      <c r="K30" s="44">
        <f>'[2]Shenzhen Daily'!I33</f>
        <v>0</v>
      </c>
      <c r="L30" s="44">
        <f>'[2]Shenzhen Daily'!J33</f>
        <v>0</v>
      </c>
    </row>
    <row r="31" spans="1:12" ht="15" x14ac:dyDescent="0.25">
      <c r="A31" s="41" t="s">
        <v>24</v>
      </c>
      <c r="B31" s="42">
        <f t="shared" si="0"/>
        <v>30</v>
      </c>
      <c r="C31" s="43">
        <v>4</v>
      </c>
      <c r="D31" s="42">
        <v>2022</v>
      </c>
      <c r="E31" s="44">
        <v>29049.999999998272</v>
      </c>
      <c r="F31" s="45">
        <v>0.93</v>
      </c>
      <c r="G31" s="44">
        <v>1327</v>
      </c>
      <c r="H31" s="45">
        <v>4.3899999999999997</v>
      </c>
      <c r="I31" s="44">
        <v>473</v>
      </c>
      <c r="J31" s="45">
        <v>1.72</v>
      </c>
      <c r="K31" s="44">
        <f>'[2]Shenzhen Daily'!I34</f>
        <v>0</v>
      </c>
      <c r="L31" s="44">
        <f>'[2]Shenzhen Daily'!J34</f>
        <v>0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G5" sqref="G5:G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44651</v>
      </c>
      <c r="B4" s="29"/>
      <c r="C4" s="14">
        <v>19756.9999999992</v>
      </c>
      <c r="D4" s="15"/>
      <c r="E4" s="14">
        <v>760</v>
      </c>
      <c r="F4" s="16"/>
      <c r="G4" s="14">
        <v>249</v>
      </c>
      <c r="I4" s="18"/>
      <c r="J4" s="18"/>
    </row>
    <row r="5" spans="1:10" ht="33" customHeight="1" x14ac:dyDescent="0.15">
      <c r="A5" s="19">
        <v>44652</v>
      </c>
      <c r="B5" s="29"/>
      <c r="C5" s="20">
        <v>17971.000000000302</v>
      </c>
      <c r="D5" s="21" t="str">
        <f t="shared" ref="D5:D22" si="0">IF((C5-C4&lt;0), "0",C5-C4)</f>
        <v>0</v>
      </c>
      <c r="E5" s="20">
        <v>866</v>
      </c>
      <c r="F5" s="21">
        <f>IF((E5-E4&lt;0), "0",E5-E4)</f>
        <v>106</v>
      </c>
      <c r="G5" s="20">
        <v>231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44653</v>
      </c>
      <c r="B6" s="29"/>
      <c r="C6" s="20">
        <v>15740.999999999762</v>
      </c>
      <c r="D6" s="21" t="str">
        <f t="shared" si="0"/>
        <v>0</v>
      </c>
      <c r="E6" s="20">
        <v>1027</v>
      </c>
      <c r="F6" s="21">
        <f t="shared" ref="F6:F34" si="1">IF((E6-E5&lt;0), "0",E6-E5)</f>
        <v>161</v>
      </c>
      <c r="G6" s="20">
        <v>239</v>
      </c>
      <c r="H6" s="21">
        <f t="shared" ref="H6:H34" si="2">IF((G6-G5&lt;0), "0",G6-G5)</f>
        <v>8</v>
      </c>
      <c r="I6" s="3"/>
      <c r="J6" s="3"/>
    </row>
    <row r="7" spans="1:10" ht="45" customHeight="1" x14ac:dyDescent="0.15">
      <c r="A7" s="19">
        <v>44654</v>
      </c>
      <c r="B7" s="29"/>
      <c r="C7" s="20">
        <v>17333.000000000171</v>
      </c>
      <c r="D7" s="21">
        <f t="shared" si="0"/>
        <v>1592.0000000004093</v>
      </c>
      <c r="E7" s="20">
        <v>822</v>
      </c>
      <c r="F7" s="21" t="str">
        <f t="shared" si="1"/>
        <v>0</v>
      </c>
      <c r="G7" s="20">
        <v>260</v>
      </c>
      <c r="H7" s="21">
        <f t="shared" si="2"/>
        <v>21</v>
      </c>
      <c r="I7" s="3"/>
      <c r="J7" s="3"/>
    </row>
    <row r="8" spans="1:10" ht="45" customHeight="1" x14ac:dyDescent="0.15">
      <c r="A8" s="19">
        <v>44655</v>
      </c>
      <c r="B8" s="29"/>
      <c r="C8" s="20">
        <v>18095.99999999901</v>
      </c>
      <c r="D8" s="21">
        <f t="shared" si="0"/>
        <v>762.99999999883948</v>
      </c>
      <c r="E8" s="20">
        <v>974</v>
      </c>
      <c r="F8" s="21">
        <f t="shared" si="1"/>
        <v>152</v>
      </c>
      <c r="G8" s="20">
        <v>268</v>
      </c>
      <c r="H8" s="21">
        <f t="shared" si="2"/>
        <v>8</v>
      </c>
      <c r="I8" s="3"/>
      <c r="J8" s="3"/>
    </row>
    <row r="9" spans="1:10" ht="45" customHeight="1" x14ac:dyDescent="0.15">
      <c r="A9" s="19">
        <v>44656</v>
      </c>
      <c r="B9" s="29"/>
      <c r="C9" s="20">
        <v>19455.000000002201</v>
      </c>
      <c r="D9" s="21">
        <f t="shared" si="0"/>
        <v>1359.0000000031905</v>
      </c>
      <c r="E9" s="20">
        <v>1089</v>
      </c>
      <c r="F9" s="21">
        <f t="shared" si="1"/>
        <v>115</v>
      </c>
      <c r="G9" s="20">
        <v>252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44657</v>
      </c>
      <c r="B10" s="29"/>
      <c r="C10" s="20">
        <v>19847.999999999374</v>
      </c>
      <c r="D10" s="21">
        <f t="shared" si="0"/>
        <v>392.99999999717329</v>
      </c>
      <c r="E10" s="20">
        <v>1199</v>
      </c>
      <c r="F10" s="21">
        <f t="shared" si="1"/>
        <v>110</v>
      </c>
      <c r="G10" s="20">
        <v>312</v>
      </c>
      <c r="H10" s="21">
        <f t="shared" si="2"/>
        <v>60</v>
      </c>
      <c r="I10" s="3"/>
      <c r="J10" s="3"/>
    </row>
    <row r="11" spans="1:10" ht="45" customHeight="1" x14ac:dyDescent="0.15">
      <c r="A11" s="19">
        <v>44658</v>
      </c>
      <c r="B11" s="29"/>
      <c r="C11" s="20">
        <v>21662.0000000004</v>
      </c>
      <c r="D11" s="21">
        <f t="shared" si="0"/>
        <v>1814.0000000010259</v>
      </c>
      <c r="E11" s="20">
        <v>1072</v>
      </c>
      <c r="F11" s="21" t="str">
        <f t="shared" si="1"/>
        <v>0</v>
      </c>
      <c r="G11" s="20">
        <v>260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44659</v>
      </c>
      <c r="B12" s="29"/>
      <c r="C12" s="20">
        <v>22463.999999998639</v>
      </c>
      <c r="D12" s="21">
        <f t="shared" si="0"/>
        <v>801.99999999823922</v>
      </c>
      <c r="E12" s="20">
        <v>1077</v>
      </c>
      <c r="F12" s="21">
        <f t="shared" si="1"/>
        <v>5</v>
      </c>
      <c r="G12" s="20">
        <v>308</v>
      </c>
      <c r="H12" s="21">
        <f t="shared" si="2"/>
        <v>48</v>
      </c>
      <c r="I12" s="3"/>
      <c r="J12" s="3"/>
    </row>
    <row r="13" spans="1:10" ht="45" customHeight="1" x14ac:dyDescent="0.15">
      <c r="A13" s="19">
        <v>44660</v>
      </c>
      <c r="B13" s="29"/>
      <c r="C13" s="20">
        <v>23900.000000001175</v>
      </c>
      <c r="D13" s="21">
        <f t="shared" si="0"/>
        <v>1436.0000000025357</v>
      </c>
      <c r="E13" s="20">
        <v>1372</v>
      </c>
      <c r="F13" s="21">
        <f t="shared" si="1"/>
        <v>295</v>
      </c>
      <c r="G13" s="20">
        <v>330</v>
      </c>
      <c r="H13" s="21">
        <f t="shared" si="2"/>
        <v>22</v>
      </c>
      <c r="I13" s="3"/>
      <c r="J13" s="3"/>
    </row>
    <row r="14" spans="1:10" ht="45" customHeight="1" x14ac:dyDescent="0.15">
      <c r="A14" s="19">
        <v>44661</v>
      </c>
      <c r="B14" s="29"/>
      <c r="C14" s="20">
        <v>23791.999999999243</v>
      </c>
      <c r="D14" s="21" t="str">
        <f t="shared" si="0"/>
        <v>0</v>
      </c>
      <c r="E14" s="20">
        <v>1154</v>
      </c>
      <c r="F14" s="21" t="str">
        <f t="shared" si="1"/>
        <v>0</v>
      </c>
      <c r="G14" s="20">
        <v>288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44662</v>
      </c>
      <c r="B15" s="29"/>
      <c r="C15" s="20">
        <v>24690.000000001037</v>
      </c>
      <c r="D15" s="21">
        <f t="shared" si="0"/>
        <v>898.00000000179352</v>
      </c>
      <c r="E15" s="20">
        <v>1152</v>
      </c>
      <c r="F15" s="21" t="str">
        <f t="shared" si="1"/>
        <v>0</v>
      </c>
      <c r="G15" s="20">
        <v>365</v>
      </c>
      <c r="H15" s="21">
        <f t="shared" si="2"/>
        <v>77</v>
      </c>
      <c r="I15" s="3"/>
      <c r="J15" s="3"/>
    </row>
    <row r="16" spans="1:10" ht="45" customHeight="1" x14ac:dyDescent="0.15">
      <c r="A16" s="19">
        <v>44663</v>
      </c>
      <c r="B16" s="29"/>
      <c r="C16" s="20">
        <v>26070.999999999956</v>
      </c>
      <c r="D16" s="21">
        <f t="shared" si="0"/>
        <v>1380.9999999989195</v>
      </c>
      <c r="E16" s="20">
        <v>1280</v>
      </c>
      <c r="F16" s="21">
        <f t="shared" si="1"/>
        <v>128</v>
      </c>
      <c r="G16" s="20">
        <v>313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44664</v>
      </c>
      <c r="B17" s="29"/>
      <c r="C17" s="20">
        <v>25341.999999998698</v>
      </c>
      <c r="D17" s="21" t="str">
        <f t="shared" si="0"/>
        <v>0</v>
      </c>
      <c r="E17" s="20">
        <v>1091</v>
      </c>
      <c r="F17" s="21" t="str">
        <f t="shared" si="1"/>
        <v>0</v>
      </c>
      <c r="G17" s="20">
        <v>363</v>
      </c>
      <c r="H17" s="21">
        <f t="shared" si="2"/>
        <v>50</v>
      </c>
      <c r="I17" s="3"/>
      <c r="J17" s="3"/>
    </row>
    <row r="18" spans="1:10" ht="45" customHeight="1" x14ac:dyDescent="0.15">
      <c r="A18" s="19">
        <v>44665</v>
      </c>
      <c r="B18" s="29"/>
      <c r="C18" s="20">
        <v>25397.000000001048</v>
      </c>
      <c r="D18" s="21">
        <f t="shared" si="0"/>
        <v>55.000000002350134</v>
      </c>
      <c r="E18" s="20">
        <v>1282</v>
      </c>
      <c r="F18" s="21">
        <f t="shared" si="1"/>
        <v>191</v>
      </c>
      <c r="G18" s="20">
        <v>353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44666</v>
      </c>
      <c r="B19" s="29"/>
      <c r="C19" s="20">
        <v>26409.999999999294</v>
      </c>
      <c r="D19" s="21">
        <f t="shared" si="0"/>
        <v>1012.9999999982465</v>
      </c>
      <c r="E19" s="20">
        <v>1313</v>
      </c>
      <c r="F19" s="21">
        <f t="shared" si="1"/>
        <v>31</v>
      </c>
      <c r="G19" s="20">
        <v>339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44667</v>
      </c>
      <c r="B20" s="29"/>
      <c r="C20" s="20">
        <v>26350.000000000131</v>
      </c>
      <c r="D20" s="21" t="str">
        <f t="shared" si="0"/>
        <v>0</v>
      </c>
      <c r="E20" s="20">
        <v>1227</v>
      </c>
      <c r="F20" s="21" t="str">
        <f t="shared" si="1"/>
        <v>0</v>
      </c>
      <c r="G20" s="20">
        <v>383</v>
      </c>
      <c r="H20" s="21">
        <f t="shared" si="2"/>
        <v>44</v>
      </c>
      <c r="I20" s="3"/>
      <c r="J20" s="3"/>
    </row>
    <row r="21" spans="1:10" ht="45" customHeight="1" x14ac:dyDescent="0.15">
      <c r="A21" s="19">
        <v>44668</v>
      </c>
      <c r="B21" s="29"/>
      <c r="C21" s="20">
        <v>23137.000000000575</v>
      </c>
      <c r="D21" s="21" t="str">
        <f t="shared" si="0"/>
        <v>0</v>
      </c>
      <c r="E21" s="20">
        <v>1226</v>
      </c>
      <c r="F21" s="21" t="str">
        <f t="shared" si="1"/>
        <v>0</v>
      </c>
      <c r="G21" s="20">
        <v>367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44669</v>
      </c>
      <c r="B22" s="29"/>
      <c r="C22" s="20">
        <v>24295.999999999425</v>
      </c>
      <c r="D22" s="21">
        <f t="shared" si="0"/>
        <v>1158.9999999988504</v>
      </c>
      <c r="E22" s="20">
        <v>1271</v>
      </c>
      <c r="F22" s="21">
        <f t="shared" si="1"/>
        <v>45</v>
      </c>
      <c r="G22" s="20">
        <v>386</v>
      </c>
      <c r="H22" s="21">
        <f t="shared" si="2"/>
        <v>19</v>
      </c>
      <c r="I22" s="3"/>
      <c r="J22" s="3"/>
    </row>
    <row r="23" spans="1:10" ht="45" customHeight="1" x14ac:dyDescent="0.15">
      <c r="A23" s="19">
        <v>44670</v>
      </c>
      <c r="B23" s="29"/>
      <c r="C23" s="20">
        <v>21434.000000000193</v>
      </c>
      <c r="D23" s="21" t="str">
        <f>IF((C23-C22&lt;0), "0",C23-C22)</f>
        <v>0</v>
      </c>
      <c r="E23" s="20">
        <v>1278</v>
      </c>
      <c r="F23" s="21">
        <f t="shared" si="1"/>
        <v>7</v>
      </c>
      <c r="G23" s="20">
        <v>340</v>
      </c>
      <c r="H23" s="21" t="str">
        <f t="shared" si="2"/>
        <v>0</v>
      </c>
      <c r="I23" s="3"/>
      <c r="J23" s="3"/>
    </row>
    <row r="24" spans="1:10" ht="45" customHeight="1" x14ac:dyDescent="0.15">
      <c r="A24" s="19">
        <v>44671</v>
      </c>
      <c r="B24" s="29"/>
      <c r="C24" s="20">
        <v>22468.999999999556</v>
      </c>
      <c r="D24" s="21">
        <f t="shared" ref="D24:D34" si="3">IF((C24-C23&lt;0), "0",C24-C23)</f>
        <v>1034.9999999993634</v>
      </c>
      <c r="E24" s="20">
        <v>1245</v>
      </c>
      <c r="F24" s="21" t="str">
        <f t="shared" si="1"/>
        <v>0</v>
      </c>
      <c r="G24" s="20">
        <v>379</v>
      </c>
      <c r="H24" s="21">
        <f t="shared" si="2"/>
        <v>39</v>
      </c>
      <c r="I24" s="3"/>
      <c r="J24" s="3"/>
    </row>
    <row r="25" spans="1:10" ht="45" customHeight="1" x14ac:dyDescent="0.15">
      <c r="A25" s="19">
        <v>44672</v>
      </c>
      <c r="B25" s="29"/>
      <c r="C25" s="20">
        <v>23694.000000000924</v>
      </c>
      <c r="D25" s="21">
        <f t="shared" si="3"/>
        <v>1225.0000000013679</v>
      </c>
      <c r="E25" s="20">
        <v>1209</v>
      </c>
      <c r="F25" s="21" t="str">
        <f t="shared" si="1"/>
        <v>0</v>
      </c>
      <c r="G25" s="20">
        <v>414</v>
      </c>
      <c r="H25" s="21">
        <f t="shared" si="2"/>
        <v>35</v>
      </c>
      <c r="I25" s="3"/>
      <c r="J25" s="3"/>
    </row>
    <row r="26" spans="1:10" ht="45" customHeight="1" x14ac:dyDescent="0.15">
      <c r="A26" s="19">
        <v>44673</v>
      </c>
      <c r="B26" s="29"/>
      <c r="C26" s="20">
        <v>26699.000000000015</v>
      </c>
      <c r="D26" s="21">
        <f t="shared" si="3"/>
        <v>3004.9999999990905</v>
      </c>
      <c r="E26" s="20">
        <v>1300</v>
      </c>
      <c r="F26" s="21">
        <f t="shared" si="1"/>
        <v>91</v>
      </c>
      <c r="G26" s="20">
        <v>413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44674</v>
      </c>
      <c r="B27" s="29"/>
      <c r="C27" s="20">
        <v>27981.999999999309</v>
      </c>
      <c r="D27" s="21">
        <f t="shared" si="3"/>
        <v>1282.9999999992942</v>
      </c>
      <c r="E27" s="20">
        <v>1231</v>
      </c>
      <c r="F27" s="21" t="str">
        <f t="shared" si="1"/>
        <v>0</v>
      </c>
      <c r="G27" s="20">
        <v>442</v>
      </c>
      <c r="H27" s="21">
        <f t="shared" si="2"/>
        <v>29</v>
      </c>
      <c r="I27" s="3"/>
      <c r="J27" s="3"/>
    </row>
    <row r="28" spans="1:10" ht="45" customHeight="1" x14ac:dyDescent="0.15">
      <c r="A28" s="19">
        <v>44675</v>
      </c>
      <c r="B28" s="29"/>
      <c r="C28" s="20">
        <v>25448.000000000044</v>
      </c>
      <c r="D28" s="21" t="str">
        <f t="shared" si="3"/>
        <v>0</v>
      </c>
      <c r="E28" s="20">
        <v>1178</v>
      </c>
      <c r="F28" s="21" t="str">
        <f t="shared" si="1"/>
        <v>0</v>
      </c>
      <c r="G28" s="20">
        <v>511</v>
      </c>
      <c r="H28" s="21">
        <f t="shared" si="2"/>
        <v>69</v>
      </c>
      <c r="I28" s="3"/>
      <c r="J28" s="3"/>
    </row>
    <row r="29" spans="1:10" ht="45" customHeight="1" x14ac:dyDescent="0.15">
      <c r="A29" s="19">
        <v>44676</v>
      </c>
      <c r="B29" s="29"/>
      <c r="C29" s="20">
        <v>31541.999999999822</v>
      </c>
      <c r="D29" s="21">
        <f t="shared" si="3"/>
        <v>6093.9999999997781</v>
      </c>
      <c r="E29" s="20">
        <v>1122</v>
      </c>
      <c r="F29" s="21" t="str">
        <f t="shared" si="1"/>
        <v>0</v>
      </c>
      <c r="G29" s="20">
        <v>450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44677</v>
      </c>
      <c r="B30" s="29"/>
      <c r="C30" s="20">
        <v>32167.000000000957</v>
      </c>
      <c r="D30" s="21">
        <f t="shared" si="3"/>
        <v>625.00000000113505</v>
      </c>
      <c r="E30" s="20">
        <v>1376</v>
      </c>
      <c r="F30" s="21">
        <f t="shared" si="1"/>
        <v>254</v>
      </c>
      <c r="G30" s="20">
        <v>480</v>
      </c>
      <c r="H30" s="21">
        <f t="shared" si="2"/>
        <v>30</v>
      </c>
      <c r="I30" s="3"/>
      <c r="J30" s="3"/>
    </row>
    <row r="31" spans="1:10" ht="45" customHeight="1" x14ac:dyDescent="0.15">
      <c r="A31" s="19">
        <v>44678</v>
      </c>
      <c r="B31" s="29"/>
      <c r="C31" s="20">
        <v>29865.999999999302</v>
      </c>
      <c r="D31" s="21" t="str">
        <f t="shared" si="3"/>
        <v>0</v>
      </c>
      <c r="E31" s="20">
        <v>1279</v>
      </c>
      <c r="F31" s="21" t="str">
        <f t="shared" si="1"/>
        <v>0</v>
      </c>
      <c r="G31" s="20">
        <v>462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44679</v>
      </c>
      <c r="B32" s="29"/>
      <c r="C32" s="20">
        <v>32526.999999998865</v>
      </c>
      <c r="D32" s="21">
        <f t="shared" si="3"/>
        <v>2660.9999999995634</v>
      </c>
      <c r="E32" s="20">
        <v>1327</v>
      </c>
      <c r="F32" s="21">
        <f t="shared" si="1"/>
        <v>48</v>
      </c>
      <c r="G32" s="20">
        <v>459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44680</v>
      </c>
      <c r="C33" s="20">
        <v>32956.000000001972</v>
      </c>
      <c r="D33" s="21">
        <f t="shared" si="3"/>
        <v>429.00000000310683</v>
      </c>
      <c r="E33" s="20">
        <v>1323</v>
      </c>
      <c r="F33" s="21" t="str">
        <f t="shared" si="1"/>
        <v>0</v>
      </c>
      <c r="G33" s="20">
        <v>478</v>
      </c>
      <c r="H33" s="21">
        <f t="shared" si="2"/>
        <v>19</v>
      </c>
      <c r="I33" s="3"/>
      <c r="J33" s="3"/>
    </row>
    <row r="34" spans="1:10" ht="45.6" customHeight="1" x14ac:dyDescent="0.15">
      <c r="A34" s="19">
        <v>44681</v>
      </c>
      <c r="C34" s="20">
        <v>29049.999999998272</v>
      </c>
      <c r="D34" s="21" t="str">
        <f t="shared" si="3"/>
        <v>0</v>
      </c>
      <c r="E34" s="20">
        <v>1327</v>
      </c>
      <c r="F34" s="21">
        <f t="shared" si="1"/>
        <v>4</v>
      </c>
      <c r="G34" s="20">
        <v>473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25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44681</v>
      </c>
      <c r="B4" s="29"/>
      <c r="C4" s="14">
        <v>29049.999999998272</v>
      </c>
      <c r="D4" s="15"/>
      <c r="E4" s="14">
        <v>1327</v>
      </c>
      <c r="F4" s="16"/>
      <c r="G4" s="14">
        <v>473</v>
      </c>
      <c r="I4" s="18"/>
      <c r="J4" s="18"/>
    </row>
    <row r="5" spans="1:10" ht="33" customHeight="1" x14ac:dyDescent="0.15">
      <c r="A5" s="19">
        <v>44682</v>
      </c>
      <c r="B5" s="29"/>
      <c r="C5" s="20">
        <v>26754.000000001091</v>
      </c>
      <c r="D5" s="21" t="str">
        <f t="shared" ref="D5:D22" si="0">IF((C5-C4&lt;0), "0",C5-C4)</f>
        <v>0</v>
      </c>
      <c r="E5" s="20">
        <v>1433</v>
      </c>
      <c r="F5" s="21">
        <f>IF((E5-E4&lt;0), "0",E5-E4)</f>
        <v>106</v>
      </c>
      <c r="G5" s="20">
        <v>419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44683</v>
      </c>
      <c r="B6" s="29"/>
      <c r="C6" s="20">
        <v>25151.000000000335</v>
      </c>
      <c r="D6" s="21" t="str">
        <f t="shared" si="0"/>
        <v>0</v>
      </c>
      <c r="E6" s="20">
        <v>1539</v>
      </c>
      <c r="F6" s="21">
        <f t="shared" ref="F6:F35" si="1">IF((E6-E5&lt;0), "0",E6-E5)</f>
        <v>106</v>
      </c>
      <c r="G6" s="20">
        <v>440</v>
      </c>
      <c r="H6" s="21">
        <f t="shared" ref="H6:H35" si="2">IF((G6-G5&lt;0), "0",G6-G5)</f>
        <v>21</v>
      </c>
      <c r="I6" s="3"/>
      <c r="J6" s="3"/>
    </row>
    <row r="7" spans="1:10" ht="45" customHeight="1" x14ac:dyDescent="0.15">
      <c r="A7" s="19">
        <v>44684</v>
      </c>
      <c r="B7" s="29"/>
      <c r="C7" s="20">
        <v>26051.999999999647</v>
      </c>
      <c r="D7" s="21">
        <f t="shared" si="0"/>
        <v>900.99999999931242</v>
      </c>
      <c r="E7" s="20">
        <v>1396</v>
      </c>
      <c r="F7" s="21" t="str">
        <f t="shared" si="1"/>
        <v>0</v>
      </c>
      <c r="G7" s="20">
        <v>418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44685</v>
      </c>
      <c r="B8" s="29"/>
      <c r="C8" s="20">
        <v>25597.999999998843</v>
      </c>
      <c r="D8" s="21" t="str">
        <f t="shared" si="0"/>
        <v>0</v>
      </c>
      <c r="E8" s="20">
        <v>1367</v>
      </c>
      <c r="F8" s="21" t="str">
        <f t="shared" si="1"/>
        <v>0</v>
      </c>
      <c r="G8" s="20">
        <v>438</v>
      </c>
      <c r="H8" s="21">
        <f t="shared" si="2"/>
        <v>20</v>
      </c>
      <c r="I8" s="3"/>
      <c r="J8" s="3"/>
    </row>
    <row r="9" spans="1:10" ht="45" customHeight="1" x14ac:dyDescent="0.15">
      <c r="A9" s="19">
        <v>44686</v>
      </c>
      <c r="B9" s="29"/>
      <c r="C9" s="20">
        <v>26232.00000000115</v>
      </c>
      <c r="D9" s="21">
        <f t="shared" si="0"/>
        <v>634.00000000230648</v>
      </c>
      <c r="E9" s="20">
        <v>1278</v>
      </c>
      <c r="F9" s="21" t="str">
        <f t="shared" si="1"/>
        <v>0</v>
      </c>
      <c r="G9" s="20">
        <v>527</v>
      </c>
      <c r="H9" s="21">
        <f t="shared" si="2"/>
        <v>89</v>
      </c>
      <c r="I9" s="3"/>
      <c r="J9" s="3"/>
    </row>
    <row r="10" spans="1:10" ht="45" customHeight="1" x14ac:dyDescent="0.15">
      <c r="A10" s="19">
        <v>44687</v>
      </c>
      <c r="B10" s="29"/>
      <c r="C10" s="20">
        <v>26846.999999999774</v>
      </c>
      <c r="D10" s="21">
        <f t="shared" si="0"/>
        <v>614.99999999862484</v>
      </c>
      <c r="E10" s="20">
        <v>1325</v>
      </c>
      <c r="F10" s="21">
        <f t="shared" si="1"/>
        <v>47</v>
      </c>
      <c r="G10" s="20">
        <v>403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44688</v>
      </c>
      <c r="B11" s="29"/>
      <c r="C11" s="20">
        <v>27778.999999999494</v>
      </c>
      <c r="D11" s="21">
        <f t="shared" si="0"/>
        <v>931.99999999971988</v>
      </c>
      <c r="E11" s="20">
        <v>1281</v>
      </c>
      <c r="F11" s="21" t="str">
        <f t="shared" si="1"/>
        <v>0</v>
      </c>
      <c r="G11" s="20">
        <v>399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44689</v>
      </c>
      <c r="B12" s="29"/>
      <c r="C12" s="20">
        <v>27100.000000001084</v>
      </c>
      <c r="D12" s="21" t="str">
        <f t="shared" si="0"/>
        <v>0</v>
      </c>
      <c r="E12" s="20">
        <v>1421</v>
      </c>
      <c r="F12" s="21">
        <f t="shared" si="1"/>
        <v>140</v>
      </c>
      <c r="G12" s="20">
        <v>482</v>
      </c>
      <c r="H12" s="21">
        <f t="shared" si="2"/>
        <v>83</v>
      </c>
      <c r="I12" s="3"/>
      <c r="J12" s="3"/>
    </row>
    <row r="13" spans="1:10" ht="45" customHeight="1" x14ac:dyDescent="0.15">
      <c r="A13" s="19">
        <v>44690</v>
      </c>
      <c r="B13" s="29"/>
      <c r="C13" s="20">
        <v>28712.999999999785</v>
      </c>
      <c r="D13" s="21">
        <f t="shared" si="0"/>
        <v>1612.9999999987012</v>
      </c>
      <c r="E13" s="20">
        <v>1263</v>
      </c>
      <c r="F13" s="21" t="str">
        <f t="shared" si="1"/>
        <v>0</v>
      </c>
      <c r="G13" s="20">
        <v>424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44691</v>
      </c>
      <c r="B14" s="29"/>
      <c r="C14" s="20">
        <v>30898.999999998312</v>
      </c>
      <c r="D14" s="21">
        <f t="shared" si="0"/>
        <v>2185.9999999985266</v>
      </c>
      <c r="E14" s="20">
        <v>1327</v>
      </c>
      <c r="F14" s="21">
        <f t="shared" si="1"/>
        <v>64</v>
      </c>
      <c r="G14" s="20">
        <v>453</v>
      </c>
      <c r="H14" s="21">
        <f t="shared" si="2"/>
        <v>29</v>
      </c>
      <c r="I14" s="3"/>
      <c r="J14" s="3"/>
    </row>
    <row r="15" spans="1:10" ht="45" customHeight="1" x14ac:dyDescent="0.15">
      <c r="A15" s="19">
        <v>44692</v>
      </c>
      <c r="B15" s="29"/>
      <c r="C15" s="20">
        <v>29195.000000001124</v>
      </c>
      <c r="D15" s="21" t="str">
        <f t="shared" si="0"/>
        <v>0</v>
      </c>
      <c r="E15" s="20">
        <v>1292</v>
      </c>
      <c r="F15" s="21" t="str">
        <f t="shared" si="1"/>
        <v>0</v>
      </c>
      <c r="G15" s="20">
        <v>379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44693</v>
      </c>
      <c r="B16" s="29"/>
      <c r="C16" s="20">
        <v>28584.999999999891</v>
      </c>
      <c r="D16" s="21" t="str">
        <f t="shared" si="0"/>
        <v>0</v>
      </c>
      <c r="E16" s="20">
        <v>1243</v>
      </c>
      <c r="F16" s="21" t="str">
        <f t="shared" si="1"/>
        <v>0</v>
      </c>
      <c r="G16" s="20">
        <v>297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44694</v>
      </c>
      <c r="B17" s="29"/>
      <c r="C17" s="20">
        <v>29735.999999999327</v>
      </c>
      <c r="D17" s="21">
        <f t="shared" si="0"/>
        <v>1150.9999999994361</v>
      </c>
      <c r="E17" s="20">
        <v>1315</v>
      </c>
      <c r="F17" s="21">
        <f t="shared" si="1"/>
        <v>72</v>
      </c>
      <c r="G17" s="20">
        <v>361</v>
      </c>
      <c r="H17" s="21">
        <f t="shared" si="2"/>
        <v>64</v>
      </c>
      <c r="I17" s="3"/>
      <c r="J17" s="3"/>
    </row>
    <row r="18" spans="1:10" ht="45" customHeight="1" x14ac:dyDescent="0.15">
      <c r="A18" s="19">
        <v>44695</v>
      </c>
      <c r="B18" s="29"/>
      <c r="C18" s="20">
        <v>29237.000000000335</v>
      </c>
      <c r="D18" s="21" t="str">
        <f t="shared" si="0"/>
        <v>0</v>
      </c>
      <c r="E18" s="20">
        <v>1413</v>
      </c>
      <c r="F18" s="21">
        <f t="shared" si="1"/>
        <v>98</v>
      </c>
      <c r="G18" s="20">
        <v>339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44696</v>
      </c>
      <c r="B19" s="29"/>
      <c r="C19" s="20">
        <v>28419.99999999988</v>
      </c>
      <c r="D19" s="21" t="str">
        <f t="shared" si="0"/>
        <v>0</v>
      </c>
      <c r="E19" s="20">
        <v>1413</v>
      </c>
      <c r="F19" s="21">
        <f t="shared" si="1"/>
        <v>0</v>
      </c>
      <c r="G19" s="20">
        <v>419</v>
      </c>
      <c r="H19" s="21">
        <f t="shared" si="2"/>
        <v>80</v>
      </c>
      <c r="I19" s="3"/>
      <c r="J19" s="3"/>
    </row>
    <row r="20" spans="1:10" ht="45" customHeight="1" x14ac:dyDescent="0.15">
      <c r="A20" s="19">
        <v>44697</v>
      </c>
      <c r="B20" s="29"/>
      <c r="C20" s="20">
        <v>25686.999999999862</v>
      </c>
      <c r="D20" s="21" t="str">
        <f t="shared" si="0"/>
        <v>0</v>
      </c>
      <c r="E20" s="20">
        <v>1402</v>
      </c>
      <c r="F20" s="21" t="str">
        <f t="shared" si="1"/>
        <v>0</v>
      </c>
      <c r="G20" s="20">
        <v>357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44698</v>
      </c>
      <c r="B21" s="29"/>
      <c r="C21" s="20">
        <v>26607.000000000346</v>
      </c>
      <c r="D21" s="21">
        <f t="shared" si="0"/>
        <v>920.00000000048385</v>
      </c>
      <c r="E21" s="20">
        <v>1436</v>
      </c>
      <c r="F21" s="21">
        <f t="shared" si="1"/>
        <v>34</v>
      </c>
      <c r="G21" s="20">
        <v>376</v>
      </c>
      <c r="H21" s="21">
        <f t="shared" si="2"/>
        <v>19</v>
      </c>
      <c r="I21" s="3"/>
      <c r="J21" s="3"/>
    </row>
    <row r="22" spans="1:10" ht="45" customHeight="1" x14ac:dyDescent="0.15">
      <c r="A22" s="19">
        <v>44699</v>
      </c>
      <c r="B22" s="29"/>
      <c r="C22" s="20">
        <v>26208.000000001193</v>
      </c>
      <c r="D22" s="21" t="str">
        <f t="shared" si="0"/>
        <v>0</v>
      </c>
      <c r="E22" s="20">
        <v>1396</v>
      </c>
      <c r="F22" s="21" t="str">
        <f t="shared" si="1"/>
        <v>0</v>
      </c>
      <c r="G22" s="20">
        <v>406</v>
      </c>
      <c r="H22" s="21">
        <f t="shared" si="2"/>
        <v>30</v>
      </c>
      <c r="I22" s="3"/>
      <c r="J22" s="3"/>
    </row>
    <row r="23" spans="1:10" ht="45" customHeight="1" x14ac:dyDescent="0.15">
      <c r="A23" s="19">
        <v>44700</v>
      </c>
      <c r="B23" s="29"/>
      <c r="C23" s="20">
        <v>26384.999999999425</v>
      </c>
      <c r="D23" s="21">
        <f>IF((C23-C22&lt;0), "0",C23-C22)</f>
        <v>176.99999999823194</v>
      </c>
      <c r="E23" s="20">
        <v>1445</v>
      </c>
      <c r="F23" s="21">
        <f t="shared" si="1"/>
        <v>49</v>
      </c>
      <c r="G23" s="20">
        <v>464</v>
      </c>
      <c r="H23" s="21">
        <f t="shared" si="2"/>
        <v>58</v>
      </c>
      <c r="I23" s="3"/>
      <c r="J23" s="3"/>
    </row>
    <row r="24" spans="1:10" ht="45" customHeight="1" x14ac:dyDescent="0.15">
      <c r="A24" s="19">
        <v>44701</v>
      </c>
      <c r="B24" s="29"/>
      <c r="C24" s="20">
        <v>29441.999999999833</v>
      </c>
      <c r="D24" s="21">
        <f t="shared" ref="D24:D35" si="3">IF((C24-C23&lt;0), "0",C24-C23)</f>
        <v>3057.0000000004075</v>
      </c>
      <c r="E24" s="20">
        <v>1395</v>
      </c>
      <c r="F24" s="21" t="str">
        <f t="shared" si="1"/>
        <v>0</v>
      </c>
      <c r="G24" s="20">
        <v>430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44702</v>
      </c>
      <c r="B25" s="29"/>
      <c r="C25" s="20">
        <v>29724.999999999738</v>
      </c>
      <c r="D25" s="21">
        <f t="shared" si="3"/>
        <v>282.99999999990541</v>
      </c>
      <c r="E25" s="20">
        <v>1349</v>
      </c>
      <c r="F25" s="21" t="str">
        <f t="shared" si="1"/>
        <v>0</v>
      </c>
      <c r="G25" s="20">
        <v>427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44703</v>
      </c>
      <c r="B26" s="29"/>
      <c r="C26" s="20">
        <v>29273.000000000422</v>
      </c>
      <c r="D26" s="21" t="str">
        <f t="shared" si="3"/>
        <v>0</v>
      </c>
      <c r="E26" s="20">
        <v>1434</v>
      </c>
      <c r="F26" s="21">
        <f t="shared" si="1"/>
        <v>85</v>
      </c>
      <c r="G26" s="20">
        <v>458</v>
      </c>
      <c r="H26" s="21">
        <f t="shared" si="2"/>
        <v>31</v>
      </c>
      <c r="I26" s="3"/>
      <c r="J26" s="3"/>
    </row>
    <row r="27" spans="1:10" ht="45" customHeight="1" x14ac:dyDescent="0.15">
      <c r="A27" s="19">
        <v>44704</v>
      </c>
      <c r="B27" s="29"/>
      <c r="C27" s="20">
        <v>28197.999999999342</v>
      </c>
      <c r="D27" s="21" t="str">
        <f t="shared" si="3"/>
        <v>0</v>
      </c>
      <c r="E27" s="20">
        <v>1409</v>
      </c>
      <c r="F27" s="21" t="str">
        <f t="shared" si="1"/>
        <v>0</v>
      </c>
      <c r="G27" s="20">
        <v>453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44705</v>
      </c>
      <c r="B28" s="29"/>
      <c r="C28" s="20">
        <v>29326.000000000196</v>
      </c>
      <c r="D28" s="21">
        <f t="shared" si="3"/>
        <v>1128.0000000008549</v>
      </c>
      <c r="E28" s="20">
        <v>1309</v>
      </c>
      <c r="F28" s="21" t="str">
        <f t="shared" si="1"/>
        <v>0</v>
      </c>
      <c r="G28" s="20">
        <v>442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44706</v>
      </c>
      <c r="B29" s="29"/>
      <c r="C29" s="20">
        <v>33824.000000000211</v>
      </c>
      <c r="D29" s="21">
        <f t="shared" si="3"/>
        <v>4498.0000000000146</v>
      </c>
      <c r="E29" s="20">
        <v>1414</v>
      </c>
      <c r="F29" s="21">
        <f t="shared" si="1"/>
        <v>105</v>
      </c>
      <c r="G29" s="20">
        <v>479</v>
      </c>
      <c r="H29" s="21">
        <f t="shared" si="2"/>
        <v>37</v>
      </c>
      <c r="I29" s="3"/>
      <c r="J29" s="3"/>
    </row>
    <row r="30" spans="1:10" ht="45" customHeight="1" x14ac:dyDescent="0.15">
      <c r="A30" s="19">
        <v>44707</v>
      </c>
      <c r="B30" s="29"/>
      <c r="C30" s="20">
        <v>33975.000000000284</v>
      </c>
      <c r="D30" s="21">
        <f t="shared" si="3"/>
        <v>151.00000000007276</v>
      </c>
      <c r="E30" s="20">
        <v>1478</v>
      </c>
      <c r="F30" s="21">
        <f t="shared" si="1"/>
        <v>64</v>
      </c>
      <c r="G30" s="20">
        <v>489</v>
      </c>
      <c r="H30" s="21">
        <f t="shared" si="2"/>
        <v>10</v>
      </c>
      <c r="I30" s="3"/>
      <c r="J30" s="3"/>
    </row>
    <row r="31" spans="1:10" ht="45" customHeight="1" x14ac:dyDescent="0.15">
      <c r="A31" s="19">
        <v>44708</v>
      </c>
      <c r="B31" s="29"/>
      <c r="C31" s="20">
        <v>32730.999999999491</v>
      </c>
      <c r="D31" s="21" t="str">
        <f t="shared" si="3"/>
        <v>0</v>
      </c>
      <c r="E31" s="20">
        <v>1439</v>
      </c>
      <c r="F31" s="21" t="str">
        <f t="shared" si="1"/>
        <v>0</v>
      </c>
      <c r="G31" s="20">
        <v>499</v>
      </c>
      <c r="H31" s="21">
        <f t="shared" si="2"/>
        <v>10</v>
      </c>
      <c r="I31" s="3"/>
      <c r="J31" s="3"/>
    </row>
    <row r="32" spans="1:10" ht="45" customHeight="1" x14ac:dyDescent="0.15">
      <c r="A32" s="19">
        <v>44709</v>
      </c>
      <c r="B32" s="29"/>
      <c r="C32" s="20">
        <v>35765.000000000502</v>
      </c>
      <c r="D32" s="21">
        <f t="shared" si="3"/>
        <v>3034.0000000010114</v>
      </c>
      <c r="E32" s="20">
        <v>1423</v>
      </c>
      <c r="F32" s="21" t="str">
        <f t="shared" si="1"/>
        <v>0</v>
      </c>
      <c r="G32" s="20">
        <v>497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44710</v>
      </c>
      <c r="C33" s="20">
        <v>34485.999999999993</v>
      </c>
      <c r="D33" s="21" t="str">
        <f t="shared" si="3"/>
        <v>0</v>
      </c>
      <c r="E33" s="20">
        <v>1335</v>
      </c>
      <c r="F33" s="21" t="str">
        <f t="shared" si="1"/>
        <v>0</v>
      </c>
      <c r="G33" s="20">
        <v>475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44711</v>
      </c>
      <c r="C34" s="20">
        <v>35948.000000000029</v>
      </c>
      <c r="D34" s="21">
        <f t="shared" si="3"/>
        <v>1462.0000000000364</v>
      </c>
      <c r="E34" s="20">
        <v>1317</v>
      </c>
      <c r="F34" s="21" t="str">
        <f t="shared" si="1"/>
        <v>0</v>
      </c>
      <c r="G34" s="20">
        <v>525</v>
      </c>
      <c r="H34" s="21">
        <f t="shared" si="2"/>
        <v>50</v>
      </c>
      <c r="I34" s="3"/>
      <c r="J34" s="3"/>
    </row>
    <row r="35" spans="1:10" ht="47.45" customHeight="1" x14ac:dyDescent="0.15">
      <c r="A35" s="19">
        <v>44712</v>
      </c>
      <c r="C35" s="20">
        <v>35663.999999999309</v>
      </c>
      <c r="D35" s="21" t="str">
        <f t="shared" si="3"/>
        <v>0</v>
      </c>
      <c r="E35" s="20">
        <v>1353</v>
      </c>
      <c r="F35" s="21">
        <f t="shared" si="1"/>
        <v>36</v>
      </c>
      <c r="G35" s="20">
        <v>468</v>
      </c>
      <c r="H35" s="21" t="str">
        <f t="shared" si="2"/>
        <v>0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23" workbookViewId="0">
      <selection activeCell="A5" sqref="A5:A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44712</v>
      </c>
      <c r="B4" s="29"/>
      <c r="C4" s="14">
        <v>35663.999999999309</v>
      </c>
      <c r="D4" s="15"/>
      <c r="E4" s="14">
        <v>1353</v>
      </c>
      <c r="F4" s="16"/>
      <c r="G4" s="14">
        <v>468</v>
      </c>
      <c r="I4" s="18"/>
      <c r="J4" s="18"/>
    </row>
    <row r="5" spans="1:10" ht="33" customHeight="1" x14ac:dyDescent="0.15">
      <c r="A5" s="19">
        <v>44713</v>
      </c>
      <c r="B5" s="29"/>
      <c r="C5" s="20">
        <v>35051.999999999745</v>
      </c>
      <c r="D5" s="21" t="str">
        <f t="shared" ref="D5:D22" si="0">IF((C5-C4&lt;0), "0",C5-C4)</f>
        <v>0</v>
      </c>
      <c r="E5" s="20">
        <v>1456</v>
      </c>
      <c r="F5" s="21">
        <f>IF((E5-E4&lt;0), "0",E5-E4)</f>
        <v>103</v>
      </c>
      <c r="G5" s="20">
        <v>514</v>
      </c>
      <c r="H5" s="21">
        <f>IF((G5-G4&lt;0), "0",G5-G4)</f>
        <v>46</v>
      </c>
      <c r="I5" s="22"/>
      <c r="J5" s="22"/>
    </row>
    <row r="6" spans="1:10" ht="45" customHeight="1" x14ac:dyDescent="0.15">
      <c r="A6" s="19">
        <v>44714</v>
      </c>
      <c r="B6" s="29"/>
      <c r="C6" s="20">
        <v>35066.000000001106</v>
      </c>
      <c r="D6" s="21">
        <f t="shared" si="0"/>
        <v>14.000000001360604</v>
      </c>
      <c r="E6" s="20">
        <v>1348</v>
      </c>
      <c r="F6" s="21" t="str">
        <f t="shared" ref="F6:F34" si="1">IF((E6-E5&lt;0), "0",E6-E5)</f>
        <v>0</v>
      </c>
      <c r="G6" s="20">
        <v>515</v>
      </c>
      <c r="H6" s="21">
        <f t="shared" ref="H6:H34" si="2">IF((G6-G5&lt;0), "0",G6-G5)</f>
        <v>1</v>
      </c>
      <c r="I6" s="3"/>
      <c r="J6" s="3"/>
    </row>
    <row r="7" spans="1:10" ht="45" customHeight="1" x14ac:dyDescent="0.15">
      <c r="A7" s="19">
        <v>44715</v>
      </c>
      <c r="B7" s="29"/>
      <c r="C7" s="20">
        <v>34513.99999999888</v>
      </c>
      <c r="D7" s="21" t="str">
        <f t="shared" si="0"/>
        <v>0</v>
      </c>
      <c r="E7" s="20">
        <v>1402</v>
      </c>
      <c r="F7" s="21">
        <f t="shared" si="1"/>
        <v>54</v>
      </c>
      <c r="G7" s="20">
        <v>497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44716</v>
      </c>
      <c r="B8" s="29"/>
      <c r="C8" s="20">
        <v>36587.000000001863</v>
      </c>
      <c r="D8" s="21">
        <f t="shared" si="0"/>
        <v>2073.0000000029831</v>
      </c>
      <c r="E8" s="20">
        <v>1358</v>
      </c>
      <c r="F8" s="21" t="str">
        <f t="shared" si="1"/>
        <v>0</v>
      </c>
      <c r="G8" s="20">
        <v>531</v>
      </c>
      <c r="H8" s="21">
        <f t="shared" si="2"/>
        <v>34</v>
      </c>
      <c r="I8" s="3"/>
      <c r="J8" s="3"/>
    </row>
    <row r="9" spans="1:10" ht="45" customHeight="1" x14ac:dyDescent="0.15">
      <c r="A9" s="19">
        <v>44717</v>
      </c>
      <c r="B9" s="29"/>
      <c r="C9" s="20">
        <v>36048.999999998734</v>
      </c>
      <c r="D9" s="21" t="str">
        <f t="shared" si="0"/>
        <v>0</v>
      </c>
      <c r="E9" s="20">
        <v>1411</v>
      </c>
      <c r="F9" s="21">
        <f t="shared" si="1"/>
        <v>53</v>
      </c>
      <c r="G9" s="20">
        <v>505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44718</v>
      </c>
      <c r="B10" s="29"/>
      <c r="C10" s="20">
        <v>34184.000000000058</v>
      </c>
      <c r="D10" s="21" t="str">
        <f t="shared" si="0"/>
        <v>0</v>
      </c>
      <c r="E10" s="20">
        <v>1259</v>
      </c>
      <c r="F10" s="21" t="str">
        <f t="shared" si="1"/>
        <v>0</v>
      </c>
      <c r="G10" s="20">
        <v>542</v>
      </c>
      <c r="H10" s="21">
        <f t="shared" si="2"/>
        <v>37</v>
      </c>
      <c r="I10" s="3"/>
      <c r="J10" s="3"/>
    </row>
    <row r="11" spans="1:10" ht="45" customHeight="1" x14ac:dyDescent="0.15">
      <c r="A11" s="19">
        <v>44719</v>
      </c>
      <c r="B11" s="29"/>
      <c r="C11" s="20">
        <v>35044.000000000087</v>
      </c>
      <c r="D11" s="21">
        <f t="shared" si="0"/>
        <v>860.0000000000291</v>
      </c>
      <c r="E11" s="20">
        <v>1351</v>
      </c>
      <c r="F11" s="21">
        <f t="shared" si="1"/>
        <v>92</v>
      </c>
      <c r="G11" s="20">
        <v>458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44720</v>
      </c>
      <c r="B12" s="29"/>
      <c r="C12" s="20">
        <v>31560.000000000506</v>
      </c>
      <c r="D12" s="21" t="str">
        <f t="shared" si="0"/>
        <v>0</v>
      </c>
      <c r="E12" s="20">
        <v>1343</v>
      </c>
      <c r="F12" s="21" t="str">
        <f t="shared" si="1"/>
        <v>0</v>
      </c>
      <c r="G12" s="20">
        <v>440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44721</v>
      </c>
      <c r="B13" s="29"/>
      <c r="C13" s="20">
        <v>33598.999999999498</v>
      </c>
      <c r="D13" s="21">
        <f t="shared" si="0"/>
        <v>2038.9999999989923</v>
      </c>
      <c r="E13" s="20">
        <v>1425</v>
      </c>
      <c r="F13" s="21">
        <f t="shared" si="1"/>
        <v>82</v>
      </c>
      <c r="G13" s="20">
        <v>504</v>
      </c>
      <c r="H13" s="21">
        <f t="shared" si="2"/>
        <v>64</v>
      </c>
      <c r="I13" s="3"/>
      <c r="J13" s="3"/>
    </row>
    <row r="14" spans="1:10" ht="45" customHeight="1" x14ac:dyDescent="0.15">
      <c r="A14" s="19">
        <v>44722</v>
      </c>
      <c r="B14" s="29"/>
      <c r="C14" s="20">
        <v>32987.999999999927</v>
      </c>
      <c r="D14" s="21" t="str">
        <f t="shared" si="0"/>
        <v>0</v>
      </c>
      <c r="E14" s="20">
        <v>1455</v>
      </c>
      <c r="F14" s="21">
        <f t="shared" si="1"/>
        <v>30</v>
      </c>
      <c r="G14" s="20">
        <v>518</v>
      </c>
      <c r="H14" s="21">
        <f t="shared" si="2"/>
        <v>14</v>
      </c>
      <c r="I14" s="3"/>
      <c r="J14" s="3"/>
    </row>
    <row r="15" spans="1:10" ht="45" customHeight="1" x14ac:dyDescent="0.15">
      <c r="A15" s="19">
        <v>44723</v>
      </c>
      <c r="B15" s="29"/>
      <c r="C15" s="20">
        <v>33634.999999999956</v>
      </c>
      <c r="D15" s="21">
        <f t="shared" si="0"/>
        <v>647.0000000000291</v>
      </c>
      <c r="E15" s="20">
        <v>1364</v>
      </c>
      <c r="F15" s="21" t="str">
        <f t="shared" si="1"/>
        <v>0</v>
      </c>
      <c r="G15" s="20">
        <v>454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44724</v>
      </c>
      <c r="B16" s="29"/>
      <c r="C16" s="20">
        <v>31920.999999999742</v>
      </c>
      <c r="D16" s="21" t="str">
        <f t="shared" si="0"/>
        <v>0</v>
      </c>
      <c r="E16" s="20">
        <v>1376</v>
      </c>
      <c r="F16" s="21">
        <f t="shared" si="1"/>
        <v>12</v>
      </c>
      <c r="G16" s="20">
        <v>460</v>
      </c>
      <c r="H16" s="21">
        <f t="shared" si="2"/>
        <v>6</v>
      </c>
      <c r="I16" s="3"/>
      <c r="J16" s="3"/>
    </row>
    <row r="17" spans="1:10" ht="45" customHeight="1" x14ac:dyDescent="0.15">
      <c r="A17" s="19">
        <v>44725</v>
      </c>
      <c r="B17" s="29"/>
      <c r="C17" s="20">
        <v>32270.000000000255</v>
      </c>
      <c r="D17" s="21">
        <f t="shared" si="0"/>
        <v>349.00000000051296</v>
      </c>
      <c r="E17" s="20">
        <v>1311</v>
      </c>
      <c r="F17" s="21" t="str">
        <f t="shared" si="1"/>
        <v>0</v>
      </c>
      <c r="G17" s="20">
        <v>383</v>
      </c>
      <c r="H17" s="21" t="str">
        <f t="shared" si="2"/>
        <v>0</v>
      </c>
      <c r="I17" s="3"/>
      <c r="J17" s="3"/>
    </row>
    <row r="18" spans="1:10" ht="45" customHeight="1" x14ac:dyDescent="0.15">
      <c r="A18" s="19">
        <v>44726</v>
      </c>
      <c r="B18" s="29"/>
      <c r="C18" s="20">
        <v>30488.000000000877</v>
      </c>
      <c r="D18" s="21" t="str">
        <f t="shared" si="0"/>
        <v>0</v>
      </c>
      <c r="E18" s="20">
        <v>1311</v>
      </c>
      <c r="F18" s="21">
        <f t="shared" si="1"/>
        <v>0</v>
      </c>
      <c r="G18" s="20">
        <v>543</v>
      </c>
      <c r="H18" s="21">
        <f t="shared" si="2"/>
        <v>160</v>
      </c>
      <c r="I18" s="3"/>
      <c r="J18" s="3"/>
    </row>
    <row r="19" spans="1:10" ht="45" customHeight="1" x14ac:dyDescent="0.15">
      <c r="A19" s="19">
        <v>44727</v>
      </c>
      <c r="B19" s="29"/>
      <c r="C19" s="20">
        <v>32419.99999999888</v>
      </c>
      <c r="D19" s="21">
        <f t="shared" si="0"/>
        <v>1931.9999999980027</v>
      </c>
      <c r="E19" s="20">
        <v>1332</v>
      </c>
      <c r="F19" s="21">
        <f t="shared" si="1"/>
        <v>21</v>
      </c>
      <c r="G19" s="20">
        <v>449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44728</v>
      </c>
      <c r="B20" s="29"/>
      <c r="C20" s="20">
        <v>32210.000000001179</v>
      </c>
      <c r="D20" s="21" t="str">
        <f t="shared" si="0"/>
        <v>0</v>
      </c>
      <c r="E20" s="20">
        <v>1347</v>
      </c>
      <c r="F20" s="21">
        <f t="shared" si="1"/>
        <v>15</v>
      </c>
      <c r="G20" s="20">
        <v>621</v>
      </c>
      <c r="H20" s="21">
        <f t="shared" si="2"/>
        <v>172</v>
      </c>
      <c r="I20" s="3"/>
      <c r="J20" s="3"/>
    </row>
    <row r="21" spans="1:10" ht="45" customHeight="1" x14ac:dyDescent="0.15">
      <c r="A21" s="19">
        <v>44729</v>
      </c>
      <c r="B21" s="29"/>
      <c r="C21" s="20">
        <v>32415.999999998585</v>
      </c>
      <c r="D21" s="21">
        <f t="shared" si="0"/>
        <v>205.99999999740612</v>
      </c>
      <c r="E21" s="20">
        <v>1317</v>
      </c>
      <c r="F21" s="21" t="str">
        <f t="shared" si="1"/>
        <v>0</v>
      </c>
      <c r="G21" s="20">
        <v>503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44730</v>
      </c>
      <c r="B22" s="29"/>
      <c r="C22" s="20">
        <v>35105.000000000829</v>
      </c>
      <c r="D22" s="21">
        <f t="shared" si="0"/>
        <v>2689.0000000022446</v>
      </c>
      <c r="E22" s="20">
        <v>1392</v>
      </c>
      <c r="F22" s="21">
        <f t="shared" si="1"/>
        <v>75</v>
      </c>
      <c r="G22" s="20">
        <v>509</v>
      </c>
      <c r="H22" s="21">
        <f t="shared" si="2"/>
        <v>6</v>
      </c>
      <c r="I22" s="3"/>
      <c r="J22" s="3"/>
    </row>
    <row r="23" spans="1:10" ht="45" customHeight="1" x14ac:dyDescent="0.15">
      <c r="A23" s="19">
        <v>44731</v>
      </c>
      <c r="B23" s="29"/>
      <c r="C23" s="20">
        <v>32935.999999999287</v>
      </c>
      <c r="D23" s="21" t="str">
        <f>IF((C23-C22&lt;0), "0",C23-C22)</f>
        <v>0</v>
      </c>
      <c r="E23" s="20">
        <v>1358</v>
      </c>
      <c r="F23" s="21" t="str">
        <f t="shared" si="1"/>
        <v>0</v>
      </c>
      <c r="G23" s="20">
        <v>425</v>
      </c>
      <c r="H23" s="21" t="str">
        <f t="shared" si="2"/>
        <v>0</v>
      </c>
      <c r="I23" s="3"/>
      <c r="J23" s="3"/>
    </row>
    <row r="24" spans="1:10" ht="45" customHeight="1" x14ac:dyDescent="0.15">
      <c r="A24" s="19">
        <v>44732</v>
      </c>
      <c r="B24" s="29"/>
      <c r="C24" s="20">
        <v>32928.000000001193</v>
      </c>
      <c r="D24" s="21" t="str">
        <f t="shared" ref="D24:D34" si="3">IF((C24-C23&lt;0), "0",C24-C23)</f>
        <v>0</v>
      </c>
      <c r="E24" s="20">
        <v>1152</v>
      </c>
      <c r="F24" s="21" t="str">
        <f t="shared" si="1"/>
        <v>0</v>
      </c>
      <c r="G24" s="20">
        <v>439</v>
      </c>
      <c r="H24" s="21">
        <f t="shared" si="2"/>
        <v>14</v>
      </c>
      <c r="I24" s="3"/>
      <c r="J24" s="3"/>
    </row>
    <row r="25" spans="1:10" ht="45" customHeight="1" x14ac:dyDescent="0.15">
      <c r="A25" s="19">
        <v>44733</v>
      </c>
      <c r="B25" s="29"/>
      <c r="C25" s="20">
        <v>30859.999999999258</v>
      </c>
      <c r="D25" s="21" t="str">
        <f t="shared" si="3"/>
        <v>0</v>
      </c>
      <c r="E25" s="20">
        <v>1107</v>
      </c>
      <c r="F25" s="21" t="str">
        <f t="shared" si="1"/>
        <v>0</v>
      </c>
      <c r="G25" s="20">
        <v>386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44734</v>
      </c>
      <c r="B26" s="29"/>
      <c r="C26" s="20">
        <v>30798.000000000418</v>
      </c>
      <c r="D26" s="21" t="str">
        <f t="shared" si="3"/>
        <v>0</v>
      </c>
      <c r="E26" s="20">
        <v>1121</v>
      </c>
      <c r="F26" s="21">
        <f t="shared" si="1"/>
        <v>14</v>
      </c>
      <c r="G26" s="20">
        <v>374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44735</v>
      </c>
      <c r="B27" s="29"/>
      <c r="C27" s="20">
        <v>31605.000000000291</v>
      </c>
      <c r="D27" s="21">
        <f t="shared" si="3"/>
        <v>806.99999999987267</v>
      </c>
      <c r="E27" s="20">
        <v>1093</v>
      </c>
      <c r="F27" s="21" t="str">
        <f t="shared" si="1"/>
        <v>0</v>
      </c>
      <c r="G27" s="20">
        <v>402</v>
      </c>
      <c r="H27" s="21">
        <f t="shared" si="2"/>
        <v>28</v>
      </c>
      <c r="I27" s="3"/>
      <c r="J27" s="3"/>
    </row>
    <row r="28" spans="1:10" ht="45" customHeight="1" x14ac:dyDescent="0.15">
      <c r="A28" s="19">
        <v>44736</v>
      </c>
      <c r="B28" s="29"/>
      <c r="C28" s="20">
        <v>32635.999999998974</v>
      </c>
      <c r="D28" s="21">
        <f t="shared" si="3"/>
        <v>1030.9999999986831</v>
      </c>
      <c r="E28" s="20">
        <v>1089</v>
      </c>
      <c r="F28" s="21" t="str">
        <f t="shared" si="1"/>
        <v>0</v>
      </c>
      <c r="G28" s="20">
        <v>400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44737</v>
      </c>
      <c r="B29" s="29"/>
      <c r="C29" s="20">
        <v>31315.000000000389</v>
      </c>
      <c r="D29" s="21" t="str">
        <f t="shared" si="3"/>
        <v>0</v>
      </c>
      <c r="E29" s="20">
        <v>1127</v>
      </c>
      <c r="F29" s="21">
        <f t="shared" si="1"/>
        <v>38</v>
      </c>
      <c r="G29" s="20">
        <v>401</v>
      </c>
      <c r="H29" s="21">
        <f t="shared" si="2"/>
        <v>1</v>
      </c>
      <c r="I29" s="3"/>
      <c r="J29" s="3"/>
    </row>
    <row r="30" spans="1:10" ht="45" customHeight="1" x14ac:dyDescent="0.15">
      <c r="A30" s="19">
        <v>44738</v>
      </c>
      <c r="B30" s="29"/>
      <c r="C30" s="20">
        <v>28051.000000001182</v>
      </c>
      <c r="D30" s="21" t="str">
        <f t="shared" si="3"/>
        <v>0</v>
      </c>
      <c r="E30" s="20">
        <v>1055</v>
      </c>
      <c r="F30" s="21" t="str">
        <f t="shared" si="1"/>
        <v>0</v>
      </c>
      <c r="G30" s="20">
        <v>354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44739</v>
      </c>
      <c r="B31" s="29"/>
      <c r="C31" s="20">
        <v>27610.999999998614</v>
      </c>
      <c r="D31" s="21" t="str">
        <f t="shared" si="3"/>
        <v>0</v>
      </c>
      <c r="E31" s="20">
        <v>927</v>
      </c>
      <c r="F31" s="21" t="str">
        <f t="shared" si="1"/>
        <v>0</v>
      </c>
      <c r="G31" s="20">
        <v>275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44740</v>
      </c>
      <c r="B32" s="29"/>
      <c r="C32" s="20">
        <v>28638.000000001215</v>
      </c>
      <c r="D32" s="21">
        <f t="shared" si="3"/>
        <v>1027.0000000026012</v>
      </c>
      <c r="E32" s="20">
        <v>939</v>
      </c>
      <c r="F32" s="21">
        <f t="shared" si="1"/>
        <v>12</v>
      </c>
      <c r="G32" s="20">
        <v>305</v>
      </c>
      <c r="H32" s="21">
        <f t="shared" si="2"/>
        <v>30</v>
      </c>
      <c r="I32" s="3"/>
      <c r="J32" s="3"/>
    </row>
    <row r="33" spans="1:10" ht="36" customHeight="1" x14ac:dyDescent="0.15">
      <c r="A33" s="19">
        <v>44741</v>
      </c>
      <c r="C33" s="20">
        <v>27718.999999997861</v>
      </c>
      <c r="D33" s="21" t="str">
        <f t="shared" si="3"/>
        <v>0</v>
      </c>
      <c r="E33" s="20">
        <v>902</v>
      </c>
      <c r="F33" s="21" t="str">
        <f t="shared" si="1"/>
        <v>0</v>
      </c>
      <c r="G33" s="20">
        <v>306</v>
      </c>
      <c r="H33" s="21">
        <f t="shared" si="2"/>
        <v>1</v>
      </c>
      <c r="I33" s="3"/>
      <c r="J33" s="3"/>
    </row>
    <row r="34" spans="1:10" ht="45.6" customHeight="1" x14ac:dyDescent="0.15">
      <c r="A34" s="19">
        <v>44742</v>
      </c>
      <c r="C34" s="20">
        <v>26902.000000001168</v>
      </c>
      <c r="D34" s="21" t="str">
        <f t="shared" si="3"/>
        <v>0</v>
      </c>
      <c r="E34" s="20">
        <v>830</v>
      </c>
      <c r="F34" s="21" t="str">
        <f t="shared" si="1"/>
        <v>0</v>
      </c>
      <c r="G34" s="20">
        <v>219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30" workbookViewId="0">
      <selection activeCell="A5" sqref="A5:A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44742</v>
      </c>
      <c r="B4" s="29"/>
      <c r="C4" s="14">
        <v>26902.000000001168</v>
      </c>
      <c r="D4" s="15"/>
      <c r="E4" s="14">
        <v>830</v>
      </c>
      <c r="F4" s="16"/>
      <c r="G4" s="14">
        <v>219</v>
      </c>
      <c r="I4" s="18"/>
      <c r="J4" s="18"/>
    </row>
    <row r="5" spans="1:10" ht="33" customHeight="1" x14ac:dyDescent="0.15">
      <c r="A5" s="19">
        <v>44743</v>
      </c>
      <c r="B5" s="29"/>
      <c r="C5" s="20">
        <v>26251.999999999523</v>
      </c>
      <c r="D5" s="21" t="str">
        <f t="shared" ref="D5:D22" si="0">IF((C5-C4&lt;0), "0",C5-C4)</f>
        <v>0</v>
      </c>
      <c r="E5" s="20">
        <v>860</v>
      </c>
      <c r="F5" s="21">
        <f>IF((E5-E4&lt;0), "0",E5-E4)</f>
        <v>30</v>
      </c>
      <c r="G5" s="20">
        <v>215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44744</v>
      </c>
      <c r="B6" s="29"/>
      <c r="C6" s="20">
        <v>27425.000000000611</v>
      </c>
      <c r="D6" s="21">
        <f t="shared" si="0"/>
        <v>1173.0000000010878</v>
      </c>
      <c r="E6" s="20">
        <v>860</v>
      </c>
      <c r="F6" s="21">
        <f t="shared" ref="F6:F35" si="1">IF((E6-E5&lt;0), "0",E6-E5)</f>
        <v>0</v>
      </c>
      <c r="G6" s="20">
        <v>265</v>
      </c>
      <c r="H6" s="21">
        <f t="shared" ref="H6:H35" si="2">IF((G6-G5&lt;0), "0",G6-G5)</f>
        <v>50</v>
      </c>
      <c r="I6" s="3"/>
      <c r="J6" s="3"/>
    </row>
    <row r="7" spans="1:10" ht="45" customHeight="1" x14ac:dyDescent="0.15">
      <c r="A7" s="19">
        <v>44745</v>
      </c>
      <c r="B7" s="29"/>
      <c r="C7" s="20">
        <v>25951.999999999243</v>
      </c>
      <c r="D7" s="21" t="str">
        <f t="shared" si="0"/>
        <v>0</v>
      </c>
      <c r="E7" s="20">
        <v>925</v>
      </c>
      <c r="F7" s="21">
        <f t="shared" si="1"/>
        <v>65</v>
      </c>
      <c r="G7" s="20">
        <v>222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44746</v>
      </c>
      <c r="B8" s="29"/>
      <c r="C8" s="20">
        <v>28010.000000000917</v>
      </c>
      <c r="D8" s="21">
        <f t="shared" si="0"/>
        <v>2058.0000000016735</v>
      </c>
      <c r="E8" s="20">
        <v>1024</v>
      </c>
      <c r="F8" s="21">
        <f t="shared" si="1"/>
        <v>99</v>
      </c>
      <c r="G8" s="20">
        <v>310</v>
      </c>
      <c r="H8" s="21">
        <f t="shared" si="2"/>
        <v>88</v>
      </c>
      <c r="I8" s="3"/>
      <c r="J8" s="3"/>
    </row>
    <row r="9" spans="1:10" ht="45" customHeight="1" x14ac:dyDescent="0.15">
      <c r="A9" s="19">
        <v>44747</v>
      </c>
      <c r="B9" s="29"/>
      <c r="C9" s="20">
        <v>27313.000000000193</v>
      </c>
      <c r="D9" s="21" t="str">
        <f t="shared" si="0"/>
        <v>0</v>
      </c>
      <c r="E9" s="20">
        <v>1100</v>
      </c>
      <c r="F9" s="21">
        <f t="shared" si="1"/>
        <v>76</v>
      </c>
      <c r="G9" s="20">
        <v>305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44748</v>
      </c>
      <c r="B10" s="29"/>
      <c r="C10" s="20">
        <v>31555.999999999571</v>
      </c>
      <c r="D10" s="21">
        <f t="shared" si="0"/>
        <v>4242.9999999993779</v>
      </c>
      <c r="E10" s="20">
        <v>1085</v>
      </c>
      <c r="F10" s="21" t="str">
        <f t="shared" si="1"/>
        <v>0</v>
      </c>
      <c r="G10" s="20">
        <v>655</v>
      </c>
      <c r="H10" s="21">
        <f t="shared" si="2"/>
        <v>350</v>
      </c>
      <c r="I10" s="3"/>
      <c r="J10" s="3"/>
    </row>
    <row r="11" spans="1:10" ht="45" customHeight="1" x14ac:dyDescent="0.15">
      <c r="A11" s="19">
        <v>44749</v>
      </c>
      <c r="B11" s="29"/>
      <c r="C11" s="20">
        <v>35392.999999999884</v>
      </c>
      <c r="D11" s="21">
        <f t="shared" si="0"/>
        <v>3837.0000000003129</v>
      </c>
      <c r="E11" s="20">
        <v>1232</v>
      </c>
      <c r="F11" s="21">
        <f t="shared" si="1"/>
        <v>147</v>
      </c>
      <c r="G11" s="20">
        <v>586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44750</v>
      </c>
      <c r="B12" s="29"/>
      <c r="C12" s="20">
        <v>31116.000000000153</v>
      </c>
      <c r="D12" s="21" t="str">
        <f t="shared" si="0"/>
        <v>0</v>
      </c>
      <c r="E12" s="20">
        <v>1197</v>
      </c>
      <c r="F12" s="21" t="str">
        <f t="shared" si="1"/>
        <v>0</v>
      </c>
      <c r="G12" s="20">
        <v>471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44751</v>
      </c>
      <c r="B13" s="29"/>
      <c r="C13" s="20">
        <v>35044.999999999629</v>
      </c>
      <c r="D13" s="21">
        <f t="shared" si="0"/>
        <v>3928.9999999994761</v>
      </c>
      <c r="E13" s="20">
        <v>1224</v>
      </c>
      <c r="F13" s="21">
        <f t="shared" si="1"/>
        <v>27</v>
      </c>
      <c r="G13" s="20">
        <v>618</v>
      </c>
      <c r="H13" s="21">
        <f t="shared" si="2"/>
        <v>147</v>
      </c>
      <c r="I13" s="3"/>
      <c r="J13" s="3"/>
    </row>
    <row r="14" spans="1:10" ht="45" customHeight="1" x14ac:dyDescent="0.15">
      <c r="A14" s="19">
        <v>44752</v>
      </c>
      <c r="B14" s="29"/>
      <c r="C14" s="20">
        <v>31044.999999999953</v>
      </c>
      <c r="D14" s="21" t="str">
        <f t="shared" si="0"/>
        <v>0</v>
      </c>
      <c r="E14" s="20">
        <v>1095</v>
      </c>
      <c r="F14" s="21" t="str">
        <f t="shared" si="1"/>
        <v>0</v>
      </c>
      <c r="G14" s="20">
        <v>557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44753</v>
      </c>
      <c r="B15" s="29"/>
      <c r="C15" s="20">
        <v>33572.000000000648</v>
      </c>
      <c r="D15" s="21">
        <f t="shared" si="0"/>
        <v>2527.0000000006949</v>
      </c>
      <c r="E15" s="20">
        <v>1110</v>
      </c>
      <c r="F15" s="21">
        <f t="shared" si="1"/>
        <v>15</v>
      </c>
      <c r="G15" s="20">
        <v>423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44754</v>
      </c>
      <c r="B16" s="29"/>
      <c r="C16" s="20">
        <v>33004.999999999651</v>
      </c>
      <c r="D16" s="21" t="str">
        <f t="shared" si="0"/>
        <v>0</v>
      </c>
      <c r="E16" s="20">
        <v>1153</v>
      </c>
      <c r="F16" s="21">
        <f t="shared" si="1"/>
        <v>43</v>
      </c>
      <c r="G16" s="20">
        <v>415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44755</v>
      </c>
      <c r="B17" s="29"/>
      <c r="C17" s="20">
        <v>33933.000000000393</v>
      </c>
      <c r="D17" s="21">
        <f t="shared" si="0"/>
        <v>928.00000000074215</v>
      </c>
      <c r="E17" s="20">
        <v>1057</v>
      </c>
      <c r="F17" s="21" t="str">
        <f t="shared" si="1"/>
        <v>0</v>
      </c>
      <c r="G17" s="20">
        <v>423</v>
      </c>
      <c r="H17" s="21">
        <f t="shared" si="2"/>
        <v>8</v>
      </c>
      <c r="I17" s="3"/>
      <c r="J17" s="3"/>
    </row>
    <row r="18" spans="1:10" ht="45" customHeight="1" x14ac:dyDescent="0.15">
      <c r="A18" s="19">
        <v>44756</v>
      </c>
      <c r="B18" s="29"/>
      <c r="C18" s="20">
        <v>33297.999999999702</v>
      </c>
      <c r="D18" s="21" t="str">
        <f t="shared" si="0"/>
        <v>0</v>
      </c>
      <c r="E18" s="20">
        <v>1153</v>
      </c>
      <c r="F18" s="21">
        <f t="shared" si="1"/>
        <v>96</v>
      </c>
      <c r="G18" s="20">
        <v>430</v>
      </c>
      <c r="H18" s="21">
        <f t="shared" si="2"/>
        <v>7</v>
      </c>
      <c r="I18" s="3"/>
      <c r="J18" s="3"/>
    </row>
    <row r="19" spans="1:10" ht="45" customHeight="1" x14ac:dyDescent="0.15">
      <c r="A19" s="19">
        <v>44757</v>
      </c>
      <c r="B19" s="29"/>
      <c r="C19" s="20">
        <v>34183.999999999352</v>
      </c>
      <c r="D19" s="21">
        <f t="shared" si="0"/>
        <v>885.99999999965075</v>
      </c>
      <c r="E19" s="20">
        <v>1147</v>
      </c>
      <c r="F19" s="21" t="str">
        <f t="shared" si="1"/>
        <v>0</v>
      </c>
      <c r="G19" s="20">
        <v>388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44758</v>
      </c>
      <c r="B20" s="29"/>
      <c r="C20" s="20">
        <v>34411.000000000909</v>
      </c>
      <c r="D20" s="21">
        <f t="shared" si="0"/>
        <v>227.00000000155705</v>
      </c>
      <c r="E20" s="20">
        <v>1198</v>
      </c>
      <c r="F20" s="21">
        <f t="shared" si="1"/>
        <v>51</v>
      </c>
      <c r="G20" s="20">
        <v>458</v>
      </c>
      <c r="H20" s="21">
        <f t="shared" si="2"/>
        <v>70</v>
      </c>
      <c r="I20" s="3"/>
      <c r="J20" s="3"/>
    </row>
    <row r="21" spans="1:10" ht="45" customHeight="1" x14ac:dyDescent="0.15">
      <c r="A21" s="19">
        <v>44759</v>
      </c>
      <c r="B21" s="29"/>
      <c r="C21" s="20">
        <v>32638.000000000506</v>
      </c>
      <c r="D21" s="21" t="str">
        <f t="shared" si="0"/>
        <v>0</v>
      </c>
      <c r="E21" s="20">
        <v>1112</v>
      </c>
      <c r="F21" s="21" t="str">
        <f t="shared" si="1"/>
        <v>0</v>
      </c>
      <c r="G21" s="20">
        <v>422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44760</v>
      </c>
      <c r="B22" s="29"/>
      <c r="C22" s="20">
        <v>32086.999999999105</v>
      </c>
      <c r="D22" s="21" t="str">
        <f t="shared" si="0"/>
        <v>0</v>
      </c>
      <c r="E22" s="20">
        <v>1122</v>
      </c>
      <c r="F22" s="21">
        <f t="shared" si="1"/>
        <v>10</v>
      </c>
      <c r="G22" s="20">
        <v>407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44761</v>
      </c>
      <c r="B23" s="29"/>
      <c r="C23" s="20">
        <v>33315.999999999622</v>
      </c>
      <c r="D23" s="21">
        <f>IF((C23-C22&lt;0), "0",C23-C22)</f>
        <v>1229.0000000005166</v>
      </c>
      <c r="E23" s="20">
        <v>1114</v>
      </c>
      <c r="F23" s="21" t="str">
        <f t="shared" si="1"/>
        <v>0</v>
      </c>
      <c r="G23" s="20">
        <v>407</v>
      </c>
      <c r="H23" s="21">
        <f t="shared" si="2"/>
        <v>0</v>
      </c>
      <c r="I23" s="3"/>
      <c r="J23" s="3"/>
    </row>
    <row r="24" spans="1:10" ht="45" customHeight="1" x14ac:dyDescent="0.15">
      <c r="A24" s="19">
        <v>44762</v>
      </c>
      <c r="B24" s="29"/>
      <c r="C24" s="20">
        <v>36761.999999999513</v>
      </c>
      <c r="D24" s="21">
        <f t="shared" ref="D24:D35" si="3">IF((C24-C23&lt;0), "0",C24-C23)</f>
        <v>3445.9999999998909</v>
      </c>
      <c r="E24" s="20">
        <v>1152</v>
      </c>
      <c r="F24" s="21">
        <f t="shared" si="1"/>
        <v>38</v>
      </c>
      <c r="G24" s="20">
        <v>473</v>
      </c>
      <c r="H24" s="21">
        <f t="shared" si="2"/>
        <v>66</v>
      </c>
      <c r="I24" s="3"/>
      <c r="J24" s="3"/>
    </row>
    <row r="25" spans="1:10" ht="45" customHeight="1" x14ac:dyDescent="0.15">
      <c r="A25" s="19">
        <v>44763</v>
      </c>
      <c r="B25" s="29"/>
      <c r="C25" s="20">
        <v>33185.000000001062</v>
      </c>
      <c r="D25" s="21" t="str">
        <f t="shared" si="3"/>
        <v>0</v>
      </c>
      <c r="E25" s="20">
        <v>1129</v>
      </c>
      <c r="F25" s="21" t="str">
        <f t="shared" si="1"/>
        <v>0</v>
      </c>
      <c r="G25" s="20">
        <v>404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44764</v>
      </c>
      <c r="B26" s="29"/>
      <c r="C26" s="20">
        <v>33858.999999999862</v>
      </c>
      <c r="D26" s="21">
        <f t="shared" si="3"/>
        <v>673.99999999879947</v>
      </c>
      <c r="E26" s="20">
        <v>1116</v>
      </c>
      <c r="F26" s="21" t="str">
        <f t="shared" si="1"/>
        <v>0</v>
      </c>
      <c r="G26" s="20">
        <v>443</v>
      </c>
      <c r="H26" s="21">
        <f t="shared" si="2"/>
        <v>39</v>
      </c>
      <c r="I26" s="3"/>
      <c r="J26" s="3"/>
    </row>
    <row r="27" spans="1:10" ht="45" customHeight="1" x14ac:dyDescent="0.15">
      <c r="A27" s="19">
        <v>44765</v>
      </c>
      <c r="B27" s="29"/>
      <c r="C27" s="20">
        <v>34568.999999999804</v>
      </c>
      <c r="D27" s="21">
        <f t="shared" si="3"/>
        <v>709.99999999994179</v>
      </c>
      <c r="E27" s="20">
        <v>1117</v>
      </c>
      <c r="F27" s="21">
        <f t="shared" si="1"/>
        <v>1</v>
      </c>
      <c r="G27" s="20">
        <v>407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44766</v>
      </c>
      <c r="B28" s="29"/>
      <c r="C28" s="20">
        <v>33930.000000000509</v>
      </c>
      <c r="D28" s="21" t="str">
        <f t="shared" si="3"/>
        <v>0</v>
      </c>
      <c r="E28" s="20">
        <v>1041</v>
      </c>
      <c r="F28" s="21" t="str">
        <f t="shared" si="1"/>
        <v>0</v>
      </c>
      <c r="G28" s="20">
        <v>416</v>
      </c>
      <c r="H28" s="21">
        <f t="shared" si="2"/>
        <v>9</v>
      </c>
      <c r="I28" s="3"/>
      <c r="J28" s="3"/>
    </row>
    <row r="29" spans="1:10" ht="45" customHeight="1" x14ac:dyDescent="0.15">
      <c r="A29" s="19">
        <v>44767</v>
      </c>
      <c r="B29" s="29"/>
      <c r="C29" s="20">
        <v>35166.000000000247</v>
      </c>
      <c r="D29" s="21">
        <f t="shared" si="3"/>
        <v>1235.9999999997381</v>
      </c>
      <c r="E29" s="20">
        <v>1008</v>
      </c>
      <c r="F29" s="21" t="str">
        <f t="shared" si="1"/>
        <v>0</v>
      </c>
      <c r="G29" s="20">
        <v>398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44768</v>
      </c>
      <c r="B30" s="29"/>
      <c r="C30" s="20">
        <v>35370.999999999141</v>
      </c>
      <c r="D30" s="21">
        <f t="shared" si="3"/>
        <v>204.99999999889405</v>
      </c>
      <c r="E30" s="20">
        <v>1073</v>
      </c>
      <c r="F30" s="21">
        <f t="shared" si="1"/>
        <v>65</v>
      </c>
      <c r="G30" s="20">
        <v>434</v>
      </c>
      <c r="H30" s="21">
        <f t="shared" si="2"/>
        <v>36</v>
      </c>
      <c r="I30" s="3"/>
      <c r="J30" s="3"/>
    </row>
    <row r="31" spans="1:10" ht="45" customHeight="1" x14ac:dyDescent="0.15">
      <c r="A31" s="19">
        <v>44769</v>
      </c>
      <c r="B31" s="29"/>
      <c r="C31" s="20">
        <v>34134.999999999549</v>
      </c>
      <c r="D31" s="21" t="str">
        <f t="shared" si="3"/>
        <v>0</v>
      </c>
      <c r="E31" s="20">
        <v>1107</v>
      </c>
      <c r="F31" s="21">
        <f t="shared" si="1"/>
        <v>34</v>
      </c>
      <c r="G31" s="20">
        <v>421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44770</v>
      </c>
      <c r="B32" s="29"/>
      <c r="C32" s="20">
        <v>34136.000000000546</v>
      </c>
      <c r="D32" s="21">
        <f t="shared" si="3"/>
        <v>1.0000000009968062</v>
      </c>
      <c r="E32" s="20">
        <v>1113</v>
      </c>
      <c r="F32" s="21">
        <f t="shared" si="1"/>
        <v>6</v>
      </c>
      <c r="G32" s="20">
        <v>431</v>
      </c>
      <c r="H32" s="21">
        <f t="shared" si="2"/>
        <v>10</v>
      </c>
      <c r="I32" s="3"/>
      <c r="J32" s="3"/>
    </row>
    <row r="33" spans="1:10" ht="36" customHeight="1" x14ac:dyDescent="0.15">
      <c r="A33" s="19">
        <v>44771</v>
      </c>
      <c r="C33" s="20">
        <v>34776.999999999949</v>
      </c>
      <c r="D33" s="21">
        <f t="shared" si="3"/>
        <v>640.99999999940337</v>
      </c>
      <c r="E33" s="20">
        <v>1165</v>
      </c>
      <c r="F33" s="21">
        <f t="shared" si="1"/>
        <v>52</v>
      </c>
      <c r="G33" s="20">
        <v>470</v>
      </c>
      <c r="H33" s="21">
        <f t="shared" si="2"/>
        <v>39</v>
      </c>
      <c r="I33" s="3"/>
      <c r="J33" s="3"/>
    </row>
    <row r="34" spans="1:10" ht="45.6" customHeight="1" x14ac:dyDescent="0.15">
      <c r="A34" s="19">
        <v>44772</v>
      </c>
      <c r="C34" s="20">
        <v>32021.000000000575</v>
      </c>
      <c r="D34" s="21" t="str">
        <f t="shared" si="3"/>
        <v>0</v>
      </c>
      <c r="E34" s="20">
        <v>1155</v>
      </c>
      <c r="F34" s="21" t="str">
        <f t="shared" si="1"/>
        <v>0</v>
      </c>
      <c r="G34" s="20">
        <v>424</v>
      </c>
      <c r="H34" s="21" t="str">
        <f t="shared" si="2"/>
        <v>0</v>
      </c>
      <c r="I34" s="3"/>
      <c r="J34" s="3"/>
    </row>
    <row r="35" spans="1:10" ht="47.45" customHeight="1" x14ac:dyDescent="0.15">
      <c r="A35" s="19">
        <v>44773</v>
      </c>
      <c r="C35" s="20">
        <v>34366.99999999936</v>
      </c>
      <c r="D35" s="21">
        <f t="shared" si="3"/>
        <v>2345.9999999987849</v>
      </c>
      <c r="E35" s="20">
        <v>1249</v>
      </c>
      <c r="F35" s="21">
        <f t="shared" si="1"/>
        <v>94</v>
      </c>
      <c r="G35" s="20">
        <v>458</v>
      </c>
      <c r="H35" s="21">
        <f t="shared" si="2"/>
        <v>34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34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44773</v>
      </c>
      <c r="B4" s="29"/>
      <c r="C4" s="14">
        <v>34366.99999999936</v>
      </c>
      <c r="D4" s="15"/>
      <c r="E4" s="14">
        <v>1249</v>
      </c>
      <c r="F4" s="16"/>
      <c r="G4" s="14">
        <v>458</v>
      </c>
      <c r="I4" s="18"/>
      <c r="J4" s="18"/>
    </row>
    <row r="5" spans="1:10" ht="33" customHeight="1" x14ac:dyDescent="0.15">
      <c r="A5" s="19">
        <v>44774</v>
      </c>
      <c r="B5" s="29"/>
      <c r="C5" s="20">
        <v>34794.999999999578</v>
      </c>
      <c r="D5" s="21">
        <f t="shared" ref="D5:D22" si="0">IF((C5-C4&lt;0), "0",C5-C4)</f>
        <v>428.00000000021828</v>
      </c>
      <c r="E5" s="20">
        <v>1172</v>
      </c>
      <c r="F5" s="21" t="str">
        <f>IF((E5-E4&lt;0), "0",E5-E4)</f>
        <v>0</v>
      </c>
      <c r="G5" s="20">
        <v>439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44775</v>
      </c>
      <c r="B6" s="29"/>
      <c r="C6" s="20">
        <v>33375.000000001011</v>
      </c>
      <c r="D6" s="21" t="str">
        <f t="shared" si="0"/>
        <v>0</v>
      </c>
      <c r="E6" s="20">
        <v>1101</v>
      </c>
      <c r="F6" s="21" t="str">
        <f t="shared" ref="F6:F35" si="1">IF((E6-E5&lt;0), "0",E6-E5)</f>
        <v>0</v>
      </c>
      <c r="G6" s="20">
        <v>433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44776</v>
      </c>
      <c r="B7" s="29"/>
      <c r="C7" s="20">
        <v>31991.999999999694</v>
      </c>
      <c r="D7" s="21" t="str">
        <f t="shared" si="0"/>
        <v>0</v>
      </c>
      <c r="E7" s="20">
        <v>1154</v>
      </c>
      <c r="F7" s="21">
        <f t="shared" si="1"/>
        <v>53</v>
      </c>
      <c r="G7" s="20">
        <v>405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44777</v>
      </c>
      <c r="B8" s="29"/>
      <c r="C8" s="20">
        <v>31541.999999999716</v>
      </c>
      <c r="D8" s="21" t="str">
        <f t="shared" si="0"/>
        <v>0</v>
      </c>
      <c r="E8" s="20">
        <v>1139</v>
      </c>
      <c r="F8" s="21" t="str">
        <f t="shared" si="1"/>
        <v>0</v>
      </c>
      <c r="G8" s="20">
        <v>384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44778</v>
      </c>
      <c r="B9" s="29"/>
      <c r="C9" s="20">
        <v>34530.000000000357</v>
      </c>
      <c r="D9" s="21">
        <f t="shared" si="0"/>
        <v>2988.0000000006403</v>
      </c>
      <c r="E9" s="20">
        <v>1223</v>
      </c>
      <c r="F9" s="21">
        <f t="shared" si="1"/>
        <v>84</v>
      </c>
      <c r="G9" s="20">
        <v>405</v>
      </c>
      <c r="H9" s="21">
        <f t="shared" si="2"/>
        <v>21</v>
      </c>
      <c r="I9" s="3"/>
      <c r="J9" s="3"/>
    </row>
    <row r="10" spans="1:10" ht="45" customHeight="1" x14ac:dyDescent="0.15">
      <c r="A10" s="19">
        <v>44779</v>
      </c>
      <c r="B10" s="29"/>
      <c r="C10" s="20">
        <v>32232.999999998752</v>
      </c>
      <c r="D10" s="21" t="str">
        <f t="shared" si="0"/>
        <v>0</v>
      </c>
      <c r="E10" s="20">
        <v>1191</v>
      </c>
      <c r="F10" s="21" t="str">
        <f t="shared" si="1"/>
        <v>0</v>
      </c>
      <c r="G10" s="20">
        <v>425</v>
      </c>
      <c r="H10" s="21">
        <f t="shared" si="2"/>
        <v>20</v>
      </c>
      <c r="I10" s="3"/>
      <c r="J10" s="3"/>
    </row>
    <row r="11" spans="1:10" ht="45" customHeight="1" x14ac:dyDescent="0.15">
      <c r="A11" s="19">
        <v>44780</v>
      </c>
      <c r="B11" s="29"/>
      <c r="C11" s="20">
        <v>32221.000000001884</v>
      </c>
      <c r="D11" s="21" t="str">
        <f t="shared" si="0"/>
        <v>0</v>
      </c>
      <c r="E11" s="20">
        <v>1137</v>
      </c>
      <c r="F11" s="21" t="str">
        <f t="shared" si="1"/>
        <v>0</v>
      </c>
      <c r="G11" s="20">
        <v>402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44781</v>
      </c>
      <c r="B12" s="29"/>
      <c r="C12" s="20">
        <v>34836.999999999003</v>
      </c>
      <c r="D12" s="21">
        <f t="shared" si="0"/>
        <v>2615.9999999971187</v>
      </c>
      <c r="E12" s="20">
        <v>1306</v>
      </c>
      <c r="F12" s="21">
        <f t="shared" si="1"/>
        <v>169</v>
      </c>
      <c r="G12" s="20">
        <v>440</v>
      </c>
      <c r="H12" s="21">
        <f t="shared" si="2"/>
        <v>38</v>
      </c>
      <c r="I12" s="3"/>
      <c r="J12" s="3"/>
    </row>
    <row r="13" spans="1:10" ht="45" customHeight="1" x14ac:dyDescent="0.15">
      <c r="A13" s="19">
        <v>44782</v>
      </c>
      <c r="B13" s="29"/>
      <c r="C13" s="20">
        <v>30830.000000001033</v>
      </c>
      <c r="D13" s="21" t="str">
        <f t="shared" si="0"/>
        <v>0</v>
      </c>
      <c r="E13" s="20">
        <v>1180</v>
      </c>
      <c r="F13" s="21" t="str">
        <f t="shared" si="1"/>
        <v>0</v>
      </c>
      <c r="G13" s="20">
        <v>371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44783</v>
      </c>
      <c r="B14" s="29"/>
      <c r="C14" s="20">
        <v>32711.999999999221</v>
      </c>
      <c r="D14" s="21">
        <f t="shared" si="0"/>
        <v>1881.9999999981883</v>
      </c>
      <c r="E14" s="20">
        <v>1241</v>
      </c>
      <c r="F14" s="21">
        <f t="shared" si="1"/>
        <v>61</v>
      </c>
      <c r="G14" s="20">
        <v>410</v>
      </c>
      <c r="H14" s="21">
        <f t="shared" si="2"/>
        <v>39</v>
      </c>
      <c r="I14" s="3"/>
      <c r="J14" s="3"/>
    </row>
    <row r="15" spans="1:10" ht="45" customHeight="1" x14ac:dyDescent="0.15">
      <c r="A15" s="19">
        <v>44784</v>
      </c>
      <c r="B15" s="29"/>
      <c r="C15" s="20">
        <v>29622.000000000822</v>
      </c>
      <c r="D15" s="21" t="str">
        <f t="shared" si="0"/>
        <v>0</v>
      </c>
      <c r="E15" s="20">
        <v>1367</v>
      </c>
      <c r="F15" s="21">
        <f t="shared" si="1"/>
        <v>126</v>
      </c>
      <c r="G15" s="20">
        <v>407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44785</v>
      </c>
      <c r="B16" s="29"/>
      <c r="C16" s="20">
        <v>34082.999999998574</v>
      </c>
      <c r="D16" s="21">
        <f t="shared" si="0"/>
        <v>4460.9999999977517</v>
      </c>
      <c r="E16" s="20">
        <v>1407</v>
      </c>
      <c r="F16" s="21">
        <f t="shared" si="1"/>
        <v>40</v>
      </c>
      <c r="G16" s="20">
        <v>436</v>
      </c>
      <c r="H16" s="21">
        <f t="shared" si="2"/>
        <v>29</v>
      </c>
      <c r="I16" s="3"/>
      <c r="J16" s="3"/>
    </row>
    <row r="17" spans="1:10" ht="45" customHeight="1" x14ac:dyDescent="0.15">
      <c r="A17" s="19">
        <v>44786</v>
      </c>
      <c r="B17" s="29"/>
      <c r="C17" s="20">
        <v>33145.000000001332</v>
      </c>
      <c r="D17" s="21" t="str">
        <f t="shared" si="0"/>
        <v>0</v>
      </c>
      <c r="E17" s="20">
        <v>1354</v>
      </c>
      <c r="F17" s="21" t="str">
        <f t="shared" si="1"/>
        <v>0</v>
      </c>
      <c r="G17" s="20">
        <v>440</v>
      </c>
      <c r="H17" s="21">
        <f t="shared" si="2"/>
        <v>4</v>
      </c>
      <c r="I17" s="3"/>
      <c r="J17" s="3"/>
    </row>
    <row r="18" spans="1:10" ht="45" customHeight="1" x14ac:dyDescent="0.15">
      <c r="A18" s="19">
        <v>44787</v>
      </c>
      <c r="B18" s="29"/>
      <c r="C18" s="20">
        <v>31505.999999999185</v>
      </c>
      <c r="D18" s="21" t="str">
        <f t="shared" si="0"/>
        <v>0</v>
      </c>
      <c r="E18" s="20">
        <v>1260</v>
      </c>
      <c r="F18" s="21" t="str">
        <f t="shared" si="1"/>
        <v>0</v>
      </c>
      <c r="G18" s="20">
        <v>405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44788</v>
      </c>
      <c r="B19" s="29"/>
      <c r="C19" s="20">
        <v>34443.000000000196</v>
      </c>
      <c r="D19" s="21">
        <f t="shared" si="0"/>
        <v>2937.0000000010114</v>
      </c>
      <c r="E19" s="20">
        <v>1242</v>
      </c>
      <c r="F19" s="21" t="str">
        <f t="shared" si="1"/>
        <v>0</v>
      </c>
      <c r="G19" s="20">
        <v>449</v>
      </c>
      <c r="H19" s="21">
        <f t="shared" si="2"/>
        <v>44</v>
      </c>
      <c r="I19" s="3"/>
      <c r="J19" s="3"/>
    </row>
    <row r="20" spans="1:10" ht="45" customHeight="1" x14ac:dyDescent="0.15">
      <c r="A20" s="19">
        <v>44789</v>
      </c>
      <c r="B20" s="29"/>
      <c r="C20" s="20">
        <v>37431.999999999753</v>
      </c>
      <c r="D20" s="21">
        <f t="shared" si="0"/>
        <v>2988.9999999995562</v>
      </c>
      <c r="E20" s="20">
        <v>1359</v>
      </c>
      <c r="F20" s="21">
        <f t="shared" si="1"/>
        <v>117</v>
      </c>
      <c r="G20" s="20">
        <v>504</v>
      </c>
      <c r="H20" s="21">
        <f t="shared" si="2"/>
        <v>55</v>
      </c>
      <c r="I20" s="3"/>
      <c r="J20" s="3"/>
    </row>
    <row r="21" spans="1:10" ht="45" customHeight="1" x14ac:dyDescent="0.15">
      <c r="A21" s="19">
        <v>44790</v>
      </c>
      <c r="B21" s="29"/>
      <c r="C21" s="20">
        <v>33812.000000000065</v>
      </c>
      <c r="D21" s="21" t="str">
        <f t="shared" si="0"/>
        <v>0</v>
      </c>
      <c r="E21" s="20">
        <v>1346</v>
      </c>
      <c r="F21" s="21" t="str">
        <f t="shared" si="1"/>
        <v>0</v>
      </c>
      <c r="G21" s="20">
        <v>428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44791</v>
      </c>
      <c r="B22" s="29"/>
      <c r="C22" s="20">
        <v>36224.999999999665</v>
      </c>
      <c r="D22" s="21">
        <f t="shared" si="0"/>
        <v>2412.9999999995998</v>
      </c>
      <c r="E22" s="20">
        <v>1464</v>
      </c>
      <c r="F22" s="21">
        <f t="shared" si="1"/>
        <v>118</v>
      </c>
      <c r="G22" s="20">
        <v>493</v>
      </c>
      <c r="H22" s="21">
        <f t="shared" si="2"/>
        <v>65</v>
      </c>
      <c r="I22" s="3"/>
      <c r="J22" s="3"/>
    </row>
    <row r="23" spans="1:10" ht="45" customHeight="1" x14ac:dyDescent="0.15">
      <c r="A23" s="19">
        <v>44792</v>
      </c>
      <c r="B23" s="29"/>
      <c r="C23" s="20">
        <v>32959.000000000684</v>
      </c>
      <c r="D23" s="21" t="str">
        <f>IF((C23-C22&lt;0), "0",C23-C22)</f>
        <v>0</v>
      </c>
      <c r="E23" s="20">
        <v>1390</v>
      </c>
      <c r="F23" s="21" t="str">
        <f t="shared" si="1"/>
        <v>0</v>
      </c>
      <c r="G23" s="20">
        <v>500</v>
      </c>
      <c r="H23" s="21">
        <f t="shared" si="2"/>
        <v>7</v>
      </c>
      <c r="I23" s="3"/>
      <c r="J23" s="3"/>
    </row>
    <row r="24" spans="1:10" ht="45" customHeight="1" x14ac:dyDescent="0.15">
      <c r="A24" s="19">
        <v>44793</v>
      </c>
      <c r="B24" s="29"/>
      <c r="C24" s="20">
        <v>35883.000000000189</v>
      </c>
      <c r="D24" s="21">
        <f t="shared" ref="D24:D35" si="3">IF((C24-C23&lt;0), "0",C24-C23)</f>
        <v>2923.9999999995052</v>
      </c>
      <c r="E24" s="20">
        <v>1490</v>
      </c>
      <c r="F24" s="21">
        <f t="shared" si="1"/>
        <v>100</v>
      </c>
      <c r="G24" s="20">
        <v>665</v>
      </c>
      <c r="H24" s="21">
        <f t="shared" si="2"/>
        <v>165</v>
      </c>
      <c r="I24" s="3"/>
      <c r="J24" s="3"/>
    </row>
    <row r="25" spans="1:10" ht="45" customHeight="1" x14ac:dyDescent="0.15">
      <c r="A25" s="19">
        <v>44794</v>
      </c>
      <c r="B25" s="29"/>
      <c r="C25" s="20">
        <v>37630.000000000371</v>
      </c>
      <c r="D25" s="21">
        <f t="shared" si="3"/>
        <v>1747.0000000001819</v>
      </c>
      <c r="E25" s="20">
        <v>1447</v>
      </c>
      <c r="F25" s="21" t="str">
        <f t="shared" si="1"/>
        <v>0</v>
      </c>
      <c r="G25" s="20">
        <v>869</v>
      </c>
      <c r="H25" s="21">
        <f t="shared" si="2"/>
        <v>204</v>
      </c>
      <c r="I25" s="3"/>
      <c r="J25" s="3"/>
    </row>
    <row r="26" spans="1:10" ht="45" customHeight="1" x14ac:dyDescent="0.15">
      <c r="A26" s="19">
        <v>44795</v>
      </c>
      <c r="B26" s="29"/>
      <c r="C26" s="20">
        <v>37993.000000000407</v>
      </c>
      <c r="D26" s="21">
        <f t="shared" si="3"/>
        <v>363.00000000003638</v>
      </c>
      <c r="E26" s="20">
        <v>1484</v>
      </c>
      <c r="F26" s="21">
        <f t="shared" si="1"/>
        <v>37</v>
      </c>
      <c r="G26" s="20">
        <v>688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44796</v>
      </c>
      <c r="B27" s="29"/>
      <c r="C27" s="20">
        <v>37739.99999999888</v>
      </c>
      <c r="D27" s="21" t="str">
        <f t="shared" si="3"/>
        <v>0</v>
      </c>
      <c r="E27" s="20">
        <v>1377</v>
      </c>
      <c r="F27" s="21" t="str">
        <f t="shared" si="1"/>
        <v>0</v>
      </c>
      <c r="G27" s="20">
        <v>488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44797</v>
      </c>
      <c r="B28" s="29"/>
      <c r="C28" s="20">
        <v>36153.000000000829</v>
      </c>
      <c r="D28" s="21" t="str">
        <f t="shared" si="3"/>
        <v>0</v>
      </c>
      <c r="E28" s="20">
        <v>1338</v>
      </c>
      <c r="F28" s="21" t="str">
        <f t="shared" si="1"/>
        <v>0</v>
      </c>
      <c r="G28" s="20">
        <v>499</v>
      </c>
      <c r="H28" s="21">
        <f t="shared" si="2"/>
        <v>11</v>
      </c>
      <c r="I28" s="3"/>
      <c r="J28" s="3"/>
    </row>
    <row r="29" spans="1:10" ht="45" customHeight="1" x14ac:dyDescent="0.15">
      <c r="A29" s="19">
        <v>44798</v>
      </c>
      <c r="B29" s="29"/>
      <c r="C29" s="20">
        <v>32290.999999999127</v>
      </c>
      <c r="D29" s="21" t="str">
        <f t="shared" si="3"/>
        <v>0</v>
      </c>
      <c r="E29" s="20">
        <v>1407</v>
      </c>
      <c r="F29" s="21">
        <f t="shared" si="1"/>
        <v>69</v>
      </c>
      <c r="G29" s="20">
        <v>431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44799</v>
      </c>
      <c r="B30" s="29"/>
      <c r="C30" s="20">
        <v>34568.000000000669</v>
      </c>
      <c r="D30" s="21">
        <f t="shared" si="3"/>
        <v>2277.0000000015425</v>
      </c>
      <c r="E30" s="20">
        <v>1345</v>
      </c>
      <c r="F30" s="21" t="str">
        <f t="shared" si="1"/>
        <v>0</v>
      </c>
      <c r="G30" s="20">
        <v>591</v>
      </c>
      <c r="H30" s="21">
        <f t="shared" si="2"/>
        <v>160</v>
      </c>
      <c r="I30" s="3"/>
      <c r="J30" s="3"/>
    </row>
    <row r="31" spans="1:10" ht="45" customHeight="1" x14ac:dyDescent="0.15">
      <c r="A31" s="19">
        <v>44800</v>
      </c>
      <c r="B31" s="29"/>
      <c r="C31" s="20">
        <v>36714.999999999491</v>
      </c>
      <c r="D31" s="21">
        <f t="shared" si="3"/>
        <v>2146.9999999988213</v>
      </c>
      <c r="E31" s="20">
        <v>1314</v>
      </c>
      <c r="F31" s="21" t="str">
        <f t="shared" si="1"/>
        <v>0</v>
      </c>
      <c r="G31" s="20">
        <v>651</v>
      </c>
      <c r="H31" s="21">
        <f t="shared" si="2"/>
        <v>60</v>
      </c>
      <c r="I31" s="3"/>
      <c r="J31" s="3"/>
    </row>
    <row r="32" spans="1:10" ht="45" customHeight="1" x14ac:dyDescent="0.15">
      <c r="A32" s="19">
        <v>44801</v>
      </c>
      <c r="B32" s="29"/>
      <c r="C32" s="20">
        <v>35662.999999999898</v>
      </c>
      <c r="D32" s="21" t="str">
        <f t="shared" si="3"/>
        <v>0</v>
      </c>
      <c r="E32" s="20">
        <v>1136</v>
      </c>
      <c r="F32" s="21" t="str">
        <f t="shared" si="1"/>
        <v>0</v>
      </c>
      <c r="G32" s="20">
        <v>547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44802</v>
      </c>
      <c r="C33" s="20">
        <v>36297.000000000589</v>
      </c>
      <c r="D33" s="21">
        <f t="shared" si="3"/>
        <v>634.00000000069122</v>
      </c>
      <c r="E33" s="20">
        <v>1400</v>
      </c>
      <c r="F33" s="21">
        <f t="shared" si="1"/>
        <v>264</v>
      </c>
      <c r="G33" s="20">
        <v>446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44803</v>
      </c>
      <c r="C34" s="20">
        <v>29109.999999999331</v>
      </c>
      <c r="D34" s="21" t="str">
        <f t="shared" si="3"/>
        <v>0</v>
      </c>
      <c r="E34" s="20">
        <v>1008</v>
      </c>
      <c r="F34" s="21" t="str">
        <f t="shared" si="1"/>
        <v>0</v>
      </c>
      <c r="G34" s="20">
        <v>342</v>
      </c>
      <c r="H34" s="21" t="str">
        <f t="shared" si="2"/>
        <v>0</v>
      </c>
      <c r="I34" s="3"/>
      <c r="J34" s="3"/>
    </row>
    <row r="35" spans="1:10" ht="47.45" customHeight="1" x14ac:dyDescent="0.15">
      <c r="A35" s="19">
        <v>44804</v>
      </c>
      <c r="C35" s="20">
        <v>28103.000000000582</v>
      </c>
      <c r="D35" s="21" t="str">
        <f t="shared" si="3"/>
        <v>0</v>
      </c>
      <c r="E35" s="20">
        <v>956</v>
      </c>
      <c r="F35" s="21" t="str">
        <f t="shared" si="1"/>
        <v>0</v>
      </c>
      <c r="G35" s="20">
        <v>300</v>
      </c>
      <c r="H35" s="21" t="str">
        <f t="shared" si="2"/>
        <v>0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31" workbookViewId="0">
      <selection activeCell="C34" sqref="C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44804</v>
      </c>
      <c r="B4" s="29"/>
      <c r="C4" s="14">
        <v>28103.000000000582</v>
      </c>
      <c r="D4" s="15"/>
      <c r="E4" s="14">
        <v>956</v>
      </c>
      <c r="F4" s="16"/>
      <c r="G4" s="14">
        <v>300</v>
      </c>
      <c r="I4" s="18"/>
      <c r="J4" s="18"/>
    </row>
    <row r="5" spans="1:10" ht="33" customHeight="1" x14ac:dyDescent="0.15">
      <c r="A5" s="19">
        <v>44805</v>
      </c>
      <c r="B5" s="29"/>
      <c r="C5" s="20">
        <v>26241.999999998916</v>
      </c>
      <c r="D5" s="21" t="str">
        <f t="shared" ref="D5:D22" si="0">IF((C5-C4&lt;0), "0",C5-C4)</f>
        <v>0</v>
      </c>
      <c r="E5" s="20">
        <v>853</v>
      </c>
      <c r="F5" s="21" t="str">
        <f>IF((E5-E4&lt;0), "0",E5-E4)</f>
        <v>0</v>
      </c>
      <c r="G5" s="20">
        <v>253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44806</v>
      </c>
      <c r="B6" s="29"/>
      <c r="C6" s="20">
        <v>24384.999999999938</v>
      </c>
      <c r="D6" s="21" t="str">
        <f t="shared" si="0"/>
        <v>0</v>
      </c>
      <c r="E6" s="20">
        <v>838</v>
      </c>
      <c r="F6" s="21" t="str">
        <f t="shared" ref="F6:F34" si="1">IF((E6-E5&lt;0), "0",E6-E5)</f>
        <v>0</v>
      </c>
      <c r="G6" s="20">
        <v>413</v>
      </c>
      <c r="H6" s="21">
        <f t="shared" ref="H6:H34" si="2">IF((G6-G5&lt;0), "0",G6-G5)</f>
        <v>160</v>
      </c>
      <c r="I6" s="3"/>
      <c r="J6" s="3"/>
    </row>
    <row r="7" spans="1:10" ht="45" customHeight="1" x14ac:dyDescent="0.15">
      <c r="A7" s="19">
        <v>44807</v>
      </c>
      <c r="B7" s="29"/>
      <c r="C7" s="20">
        <v>22708.999999999724</v>
      </c>
      <c r="D7" s="21" t="str">
        <f t="shared" si="0"/>
        <v>0</v>
      </c>
      <c r="E7" s="20">
        <v>722</v>
      </c>
      <c r="F7" s="21" t="str">
        <f t="shared" si="1"/>
        <v>0</v>
      </c>
      <c r="G7" s="20">
        <v>146</v>
      </c>
      <c r="H7" s="21" t="str">
        <f t="shared" si="2"/>
        <v>0</v>
      </c>
      <c r="I7" s="3"/>
      <c r="J7" s="3"/>
    </row>
    <row r="8" spans="1:10" ht="45" customHeight="1" x14ac:dyDescent="0.15">
      <c r="A8" s="19">
        <v>44808</v>
      </c>
      <c r="B8" s="29"/>
      <c r="C8" s="20">
        <v>22920.000000001019</v>
      </c>
      <c r="D8" s="21">
        <f t="shared" si="0"/>
        <v>211.00000000129512</v>
      </c>
      <c r="E8" s="20">
        <v>726</v>
      </c>
      <c r="F8" s="21">
        <f t="shared" si="1"/>
        <v>4</v>
      </c>
      <c r="G8" s="20">
        <v>267</v>
      </c>
      <c r="H8" s="21">
        <f t="shared" si="2"/>
        <v>121</v>
      </c>
      <c r="I8" s="3"/>
      <c r="J8" s="3"/>
    </row>
    <row r="9" spans="1:10" ht="45" customHeight="1" x14ac:dyDescent="0.15">
      <c r="A9" s="19">
        <v>44809</v>
      </c>
      <c r="B9" s="29"/>
      <c r="C9" s="20">
        <v>23992.999999999662</v>
      </c>
      <c r="D9" s="21">
        <f t="shared" si="0"/>
        <v>1072.999999998643</v>
      </c>
      <c r="E9" s="20">
        <v>799</v>
      </c>
      <c r="F9" s="21">
        <f t="shared" si="1"/>
        <v>73</v>
      </c>
      <c r="G9" s="20">
        <v>308</v>
      </c>
      <c r="H9" s="21">
        <f t="shared" si="2"/>
        <v>41</v>
      </c>
      <c r="I9" s="3"/>
      <c r="J9" s="3"/>
    </row>
    <row r="10" spans="1:10" ht="45" customHeight="1" x14ac:dyDescent="0.15">
      <c r="A10" s="19">
        <v>44810</v>
      </c>
      <c r="B10" s="29"/>
      <c r="C10" s="20">
        <v>26243.999999998923</v>
      </c>
      <c r="D10" s="21">
        <f t="shared" si="0"/>
        <v>2250.9999999992615</v>
      </c>
      <c r="E10" s="20">
        <v>845</v>
      </c>
      <c r="F10" s="21">
        <f t="shared" si="1"/>
        <v>46</v>
      </c>
      <c r="G10" s="20">
        <v>315</v>
      </c>
      <c r="H10" s="21">
        <f t="shared" si="2"/>
        <v>7</v>
      </c>
      <c r="I10" s="3"/>
      <c r="J10" s="3"/>
    </row>
    <row r="11" spans="1:10" ht="45" customHeight="1" x14ac:dyDescent="0.15">
      <c r="A11" s="19">
        <v>44811</v>
      </c>
      <c r="B11" s="29"/>
      <c r="C11" s="20">
        <v>26839.000000001237</v>
      </c>
      <c r="D11" s="21">
        <f t="shared" si="0"/>
        <v>595.00000000231375</v>
      </c>
      <c r="E11" s="20">
        <v>850</v>
      </c>
      <c r="F11" s="21">
        <f t="shared" si="1"/>
        <v>5</v>
      </c>
      <c r="G11" s="20">
        <v>276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44812</v>
      </c>
      <c r="B12" s="29"/>
      <c r="C12" s="20">
        <v>25821.999999999422</v>
      </c>
      <c r="D12" s="21" t="str">
        <f t="shared" si="0"/>
        <v>0</v>
      </c>
      <c r="E12" s="20">
        <v>844</v>
      </c>
      <c r="F12" s="21" t="str">
        <f t="shared" si="1"/>
        <v>0</v>
      </c>
      <c r="G12" s="20">
        <v>337</v>
      </c>
      <c r="H12" s="21">
        <f t="shared" si="2"/>
        <v>61</v>
      </c>
      <c r="I12" s="3"/>
      <c r="J12" s="3"/>
    </row>
    <row r="13" spans="1:10" ht="45" customHeight="1" x14ac:dyDescent="0.15">
      <c r="A13" s="19">
        <v>44813</v>
      </c>
      <c r="B13" s="29"/>
      <c r="C13" s="20">
        <v>25820.00000000008</v>
      </c>
      <c r="D13" s="21" t="str">
        <f t="shared" si="0"/>
        <v>0</v>
      </c>
      <c r="E13" s="20">
        <v>830</v>
      </c>
      <c r="F13" s="21" t="str">
        <f t="shared" si="1"/>
        <v>0</v>
      </c>
      <c r="G13" s="20">
        <v>297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44814</v>
      </c>
      <c r="B14" s="29"/>
      <c r="C14" s="20">
        <v>26835.000000000891</v>
      </c>
      <c r="D14" s="21">
        <f t="shared" si="0"/>
        <v>1015.0000000008113</v>
      </c>
      <c r="E14" s="20">
        <v>913</v>
      </c>
      <c r="F14" s="21">
        <f t="shared" si="1"/>
        <v>83</v>
      </c>
      <c r="G14" s="20">
        <v>325</v>
      </c>
      <c r="H14" s="21">
        <f t="shared" si="2"/>
        <v>28</v>
      </c>
      <c r="I14" s="3"/>
      <c r="J14" s="3"/>
    </row>
    <row r="15" spans="1:10" ht="45" customHeight="1" x14ac:dyDescent="0.15">
      <c r="A15" s="19">
        <v>44815</v>
      </c>
      <c r="B15" s="29"/>
      <c r="C15" s="20">
        <v>28410.999999999094</v>
      </c>
      <c r="D15" s="21">
        <f t="shared" si="0"/>
        <v>1575.9999999982028</v>
      </c>
      <c r="E15" s="20">
        <v>908</v>
      </c>
      <c r="F15" s="21" t="str">
        <f t="shared" si="1"/>
        <v>0</v>
      </c>
      <c r="G15" s="20">
        <v>316</v>
      </c>
      <c r="H15" s="21" t="str">
        <f t="shared" si="2"/>
        <v>0</v>
      </c>
      <c r="I15" s="3"/>
      <c r="J15" s="3"/>
    </row>
    <row r="16" spans="1:10" ht="45" customHeight="1" x14ac:dyDescent="0.15">
      <c r="A16" s="19">
        <v>44816</v>
      </c>
      <c r="B16" s="29"/>
      <c r="C16" s="20">
        <v>25768.000000000604</v>
      </c>
      <c r="D16" s="21" t="str">
        <f t="shared" si="0"/>
        <v>0</v>
      </c>
      <c r="E16" s="20">
        <v>992</v>
      </c>
      <c r="F16" s="21">
        <f t="shared" si="1"/>
        <v>84</v>
      </c>
      <c r="G16" s="20">
        <v>281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44817</v>
      </c>
      <c r="B17" s="29"/>
      <c r="C17" s="20">
        <v>26895.999999999411</v>
      </c>
      <c r="D17" s="21">
        <f t="shared" si="0"/>
        <v>1127.9999999988067</v>
      </c>
      <c r="E17" s="20">
        <v>861</v>
      </c>
      <c r="F17" s="21" t="str">
        <f t="shared" si="1"/>
        <v>0</v>
      </c>
      <c r="G17" s="20">
        <v>307</v>
      </c>
      <c r="H17" s="21">
        <f t="shared" si="2"/>
        <v>26</v>
      </c>
      <c r="I17" s="3"/>
      <c r="J17" s="3"/>
    </row>
    <row r="18" spans="1:10" ht="45" customHeight="1" x14ac:dyDescent="0.15">
      <c r="A18" s="19">
        <v>44818</v>
      </c>
      <c r="B18" s="29"/>
      <c r="C18" s="20">
        <v>26030.999999999513</v>
      </c>
      <c r="D18" s="21" t="str">
        <f t="shared" si="0"/>
        <v>0</v>
      </c>
      <c r="E18" s="20">
        <v>897</v>
      </c>
      <c r="F18" s="21">
        <f t="shared" si="1"/>
        <v>36</v>
      </c>
      <c r="G18" s="20">
        <v>316</v>
      </c>
      <c r="H18" s="21">
        <f t="shared" si="2"/>
        <v>9</v>
      </c>
      <c r="I18" s="3"/>
      <c r="J18" s="3"/>
    </row>
    <row r="19" spans="1:10" ht="45" customHeight="1" x14ac:dyDescent="0.15">
      <c r="A19" s="19">
        <v>44819</v>
      </c>
      <c r="B19" s="29"/>
      <c r="C19" s="20">
        <v>26795.000000000859</v>
      </c>
      <c r="D19" s="21">
        <f t="shared" si="0"/>
        <v>764.00000000134605</v>
      </c>
      <c r="E19" s="20">
        <v>920</v>
      </c>
      <c r="F19" s="21">
        <f t="shared" si="1"/>
        <v>23</v>
      </c>
      <c r="G19" s="20">
        <v>324</v>
      </c>
      <c r="H19" s="21">
        <f t="shared" si="2"/>
        <v>8</v>
      </c>
      <c r="I19" s="3"/>
      <c r="J19" s="3"/>
    </row>
    <row r="20" spans="1:10" ht="45" customHeight="1" x14ac:dyDescent="0.15">
      <c r="A20" s="19">
        <v>44820</v>
      </c>
      <c r="B20" s="29"/>
      <c r="C20" s="20">
        <v>27992.000000000146</v>
      </c>
      <c r="D20" s="21">
        <f t="shared" si="0"/>
        <v>1196.999999999287</v>
      </c>
      <c r="E20" s="20">
        <v>962</v>
      </c>
      <c r="F20" s="21">
        <f t="shared" si="1"/>
        <v>42</v>
      </c>
      <c r="G20" s="20">
        <v>307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44821</v>
      </c>
      <c r="B21" s="29"/>
      <c r="C21" s="20">
        <v>29760.000000000309</v>
      </c>
      <c r="D21" s="21">
        <f t="shared" si="0"/>
        <v>1768.0000000001637</v>
      </c>
      <c r="E21" s="20">
        <v>977</v>
      </c>
      <c r="F21" s="21">
        <f t="shared" si="1"/>
        <v>15</v>
      </c>
      <c r="G21" s="20">
        <v>382</v>
      </c>
      <c r="H21" s="21">
        <f t="shared" si="2"/>
        <v>75</v>
      </c>
      <c r="I21" s="3"/>
      <c r="J21" s="3"/>
    </row>
    <row r="22" spans="1:10" ht="45" customHeight="1" x14ac:dyDescent="0.15">
      <c r="A22" s="19">
        <v>44822</v>
      </c>
      <c r="B22" s="29"/>
      <c r="C22" s="20">
        <v>27036.999999999673</v>
      </c>
      <c r="D22" s="21" t="str">
        <f t="shared" si="0"/>
        <v>0</v>
      </c>
      <c r="E22" s="20">
        <v>1009</v>
      </c>
      <c r="F22" s="21">
        <f t="shared" si="1"/>
        <v>32</v>
      </c>
      <c r="G22" s="20">
        <v>342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44823</v>
      </c>
      <c r="B23" s="29"/>
      <c r="C23" s="20">
        <v>31767.999999998803</v>
      </c>
      <c r="D23" s="21">
        <f>IF((C23-C22&lt;0), "0",C23-C22)</f>
        <v>4730.9999999991305</v>
      </c>
      <c r="E23" s="20">
        <v>890</v>
      </c>
      <c r="F23" s="21" t="str">
        <f t="shared" si="1"/>
        <v>0</v>
      </c>
      <c r="G23" s="20">
        <v>343</v>
      </c>
      <c r="H23" s="21">
        <f t="shared" si="2"/>
        <v>1</v>
      </c>
      <c r="I23" s="3"/>
      <c r="J23" s="3"/>
    </row>
    <row r="24" spans="1:10" ht="45" customHeight="1" x14ac:dyDescent="0.15">
      <c r="A24" s="19">
        <v>44824</v>
      </c>
      <c r="B24" s="29"/>
      <c r="C24" s="20">
        <v>31985.000000000993</v>
      </c>
      <c r="D24" s="21">
        <f t="shared" ref="D24:D34" si="3">IF((C24-C23&lt;0), "0",C24-C23)</f>
        <v>217.00000000219006</v>
      </c>
      <c r="E24" s="20">
        <v>854</v>
      </c>
      <c r="F24" s="21" t="str">
        <f t="shared" si="1"/>
        <v>0</v>
      </c>
      <c r="G24" s="20">
        <v>343</v>
      </c>
      <c r="H24" s="21">
        <f t="shared" si="2"/>
        <v>0</v>
      </c>
      <c r="I24" s="3"/>
      <c r="J24" s="3"/>
    </row>
    <row r="25" spans="1:10" ht="45" customHeight="1" x14ac:dyDescent="0.15">
      <c r="A25" s="19">
        <v>44825</v>
      </c>
      <c r="B25" s="29"/>
      <c r="C25" s="20">
        <v>29896.000000000175</v>
      </c>
      <c r="D25" s="21" t="str">
        <f t="shared" si="3"/>
        <v>0</v>
      </c>
      <c r="E25" s="20">
        <v>965</v>
      </c>
      <c r="F25" s="21">
        <f t="shared" si="1"/>
        <v>111</v>
      </c>
      <c r="G25" s="20">
        <v>474</v>
      </c>
      <c r="H25" s="21">
        <f t="shared" si="2"/>
        <v>131</v>
      </c>
      <c r="I25" s="3"/>
      <c r="J25" s="3"/>
    </row>
    <row r="26" spans="1:10" ht="45" customHeight="1" x14ac:dyDescent="0.15">
      <c r="A26" s="19">
        <v>44826</v>
      </c>
      <c r="B26" s="29"/>
      <c r="C26" s="20">
        <v>31335.999999999414</v>
      </c>
      <c r="D26" s="21">
        <f t="shared" si="3"/>
        <v>1439.9999999992397</v>
      </c>
      <c r="E26" s="20">
        <v>981</v>
      </c>
      <c r="F26" s="21">
        <f t="shared" si="1"/>
        <v>16</v>
      </c>
      <c r="G26" s="20">
        <v>381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44827</v>
      </c>
      <c r="B27" s="29"/>
      <c r="C27" s="20">
        <v>32990.000000000131</v>
      </c>
      <c r="D27" s="21">
        <f t="shared" si="3"/>
        <v>1654.0000000007167</v>
      </c>
      <c r="E27" s="20">
        <v>1044</v>
      </c>
      <c r="F27" s="21">
        <f t="shared" si="1"/>
        <v>63</v>
      </c>
      <c r="G27" s="20">
        <v>430</v>
      </c>
      <c r="H27" s="21">
        <f t="shared" si="2"/>
        <v>49</v>
      </c>
      <c r="I27" s="3"/>
      <c r="J27" s="3"/>
    </row>
    <row r="28" spans="1:10" ht="45" customHeight="1" x14ac:dyDescent="0.15">
      <c r="A28" s="19">
        <v>44828</v>
      </c>
      <c r="B28" s="29"/>
      <c r="C28" s="20">
        <v>30710.999999999738</v>
      </c>
      <c r="D28" s="21" t="str">
        <f t="shared" si="3"/>
        <v>0</v>
      </c>
      <c r="E28" s="20">
        <v>1122</v>
      </c>
      <c r="F28" s="21">
        <f t="shared" si="1"/>
        <v>78</v>
      </c>
      <c r="G28" s="20">
        <v>393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44829</v>
      </c>
      <c r="B29" s="29"/>
      <c r="C29" s="20">
        <v>29388.000000000618</v>
      </c>
      <c r="D29" s="21" t="str">
        <f t="shared" si="3"/>
        <v>0</v>
      </c>
      <c r="E29" s="20">
        <v>1133</v>
      </c>
      <c r="F29" s="21">
        <f t="shared" si="1"/>
        <v>11</v>
      </c>
      <c r="G29" s="20">
        <v>396</v>
      </c>
      <c r="H29" s="21">
        <f t="shared" si="2"/>
        <v>3</v>
      </c>
      <c r="I29" s="3"/>
      <c r="J29" s="3"/>
    </row>
    <row r="30" spans="1:10" ht="45" customHeight="1" x14ac:dyDescent="0.15">
      <c r="A30" s="19">
        <v>44830</v>
      </c>
      <c r="B30" s="29"/>
      <c r="C30" s="20">
        <v>29869.999999999985</v>
      </c>
      <c r="D30" s="21">
        <f t="shared" si="3"/>
        <v>481.99999999936699</v>
      </c>
      <c r="E30" s="20">
        <v>1089</v>
      </c>
      <c r="F30" s="21" t="str">
        <f t="shared" si="1"/>
        <v>0</v>
      </c>
      <c r="G30" s="20">
        <v>381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44831</v>
      </c>
      <c r="B31" s="29"/>
      <c r="C31" s="20">
        <v>33698.999999999556</v>
      </c>
      <c r="D31" s="21">
        <f t="shared" si="3"/>
        <v>3828.9999999995707</v>
      </c>
      <c r="E31" s="20">
        <v>1158</v>
      </c>
      <c r="F31" s="21">
        <f t="shared" si="1"/>
        <v>69</v>
      </c>
      <c r="G31" s="20">
        <v>428</v>
      </c>
      <c r="H31" s="21">
        <f t="shared" si="2"/>
        <v>47</v>
      </c>
      <c r="I31" s="3"/>
      <c r="J31" s="3"/>
    </row>
    <row r="32" spans="1:10" ht="45" customHeight="1" x14ac:dyDescent="0.15">
      <c r="A32" s="19">
        <v>44832</v>
      </c>
      <c r="B32" s="29"/>
      <c r="C32" s="20">
        <v>33074.999999998974</v>
      </c>
      <c r="D32" s="21" t="str">
        <f t="shared" si="3"/>
        <v>0</v>
      </c>
      <c r="E32" s="20">
        <v>1120</v>
      </c>
      <c r="F32" s="21" t="str">
        <f t="shared" si="1"/>
        <v>0</v>
      </c>
      <c r="G32" s="20">
        <v>409</v>
      </c>
      <c r="H32" s="21" t="str">
        <f t="shared" si="2"/>
        <v>0</v>
      </c>
      <c r="I32" s="3"/>
      <c r="J32" s="3"/>
    </row>
    <row r="33" spans="1:10" ht="36" customHeight="1" x14ac:dyDescent="0.15">
      <c r="A33" s="19">
        <v>44833</v>
      </c>
      <c r="C33" s="20">
        <v>31252.000000001175</v>
      </c>
      <c r="D33" s="21" t="str">
        <f t="shared" si="3"/>
        <v>0</v>
      </c>
      <c r="E33" s="20">
        <v>1128</v>
      </c>
      <c r="F33" s="21">
        <f t="shared" si="1"/>
        <v>8</v>
      </c>
      <c r="G33" s="20">
        <v>379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44834</v>
      </c>
      <c r="C34" s="20">
        <v>29464</v>
      </c>
      <c r="D34" s="21" t="str">
        <f t="shared" si="3"/>
        <v>0</v>
      </c>
      <c r="E34" s="20">
        <v>920</v>
      </c>
      <c r="F34" s="21" t="str">
        <f t="shared" si="1"/>
        <v>0</v>
      </c>
      <c r="G34" s="20">
        <v>345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A28" workbookViewId="0">
      <selection activeCell="G35" sqref="G35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44834</v>
      </c>
      <c r="B4" s="29"/>
      <c r="C4" s="14">
        <v>29464</v>
      </c>
      <c r="D4" s="15"/>
      <c r="E4" s="14">
        <v>920</v>
      </c>
      <c r="F4" s="16"/>
      <c r="G4" s="14">
        <v>345</v>
      </c>
      <c r="I4" s="18"/>
      <c r="J4" s="18"/>
    </row>
    <row r="5" spans="1:10" ht="33" customHeight="1" x14ac:dyDescent="0.15">
      <c r="A5" s="19">
        <v>44835</v>
      </c>
      <c r="B5" s="29"/>
      <c r="C5" s="20">
        <v>30143.999999999214</v>
      </c>
      <c r="D5" s="21">
        <f t="shared" ref="D5:D22" si="0">IF((C5-C4&lt;0), "0",C5-C4)</f>
        <v>679.9999999992142</v>
      </c>
      <c r="E5" s="20">
        <v>868</v>
      </c>
      <c r="F5" s="21" t="str">
        <f>IF((E5-E4&lt;0), "0",E5-E4)</f>
        <v>0</v>
      </c>
      <c r="G5" s="20">
        <v>405</v>
      </c>
      <c r="H5" s="21">
        <f>IF((G5-G4&lt;0), "0",G5-G4)</f>
        <v>60</v>
      </c>
      <c r="I5" s="22"/>
      <c r="J5" s="22"/>
    </row>
    <row r="6" spans="1:10" ht="45" customHeight="1" x14ac:dyDescent="0.15">
      <c r="A6" s="19">
        <v>44836</v>
      </c>
      <c r="B6" s="29"/>
      <c r="C6" s="20">
        <v>32670.000000000808</v>
      </c>
      <c r="D6" s="21">
        <f t="shared" si="0"/>
        <v>2526.0000000015934</v>
      </c>
      <c r="E6" s="20">
        <v>1102</v>
      </c>
      <c r="F6" s="21">
        <f t="shared" ref="F6:F35" si="1">IF((E6-E5&lt;0), "0",E6-E5)</f>
        <v>234</v>
      </c>
      <c r="G6" s="20">
        <v>426</v>
      </c>
      <c r="H6" s="21">
        <f t="shared" ref="H6:H35" si="2">IF((G6-G5&lt;0), "0",G6-G5)</f>
        <v>21</v>
      </c>
      <c r="I6" s="3"/>
      <c r="J6" s="3"/>
    </row>
    <row r="7" spans="1:10" ht="45" customHeight="1" x14ac:dyDescent="0.15">
      <c r="A7" s="19">
        <v>44837</v>
      </c>
      <c r="B7" s="29"/>
      <c r="C7" s="20">
        <v>33088.999999998989</v>
      </c>
      <c r="D7" s="21">
        <f t="shared" si="0"/>
        <v>418.99999999818101</v>
      </c>
      <c r="E7" s="20">
        <v>1060</v>
      </c>
      <c r="F7" s="21" t="str">
        <f t="shared" si="1"/>
        <v>0</v>
      </c>
      <c r="G7" s="20">
        <v>437</v>
      </c>
      <c r="H7" s="21">
        <f t="shared" si="2"/>
        <v>11</v>
      </c>
      <c r="I7" s="3"/>
      <c r="J7" s="3"/>
    </row>
    <row r="8" spans="1:10" ht="45" customHeight="1" x14ac:dyDescent="0.15">
      <c r="A8" s="19">
        <v>44838</v>
      </c>
      <c r="B8" s="29"/>
      <c r="C8" s="20">
        <v>32947.000000000684</v>
      </c>
      <c r="D8" s="21" t="str">
        <f t="shared" si="0"/>
        <v>0</v>
      </c>
      <c r="E8" s="20">
        <v>1112</v>
      </c>
      <c r="F8" s="21">
        <f t="shared" si="1"/>
        <v>52</v>
      </c>
      <c r="G8" s="20">
        <v>432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44839</v>
      </c>
      <c r="B9" s="29"/>
      <c r="C9" s="20">
        <v>32002.9999999996</v>
      </c>
      <c r="D9" s="21" t="str">
        <f t="shared" si="0"/>
        <v>0</v>
      </c>
      <c r="E9" s="20">
        <v>1117</v>
      </c>
      <c r="F9" s="21">
        <f t="shared" si="1"/>
        <v>5</v>
      </c>
      <c r="G9" s="20">
        <v>407</v>
      </c>
      <c r="H9" s="21" t="str">
        <f t="shared" si="2"/>
        <v>0</v>
      </c>
      <c r="I9" s="3"/>
      <c r="J9" s="3"/>
    </row>
    <row r="10" spans="1:10" ht="45" customHeight="1" x14ac:dyDescent="0.15">
      <c r="A10" s="19">
        <v>44840</v>
      </c>
      <c r="B10" s="29"/>
      <c r="C10" s="20">
        <v>33575.999999998974</v>
      </c>
      <c r="D10" s="21">
        <f t="shared" si="0"/>
        <v>1572.9999999993743</v>
      </c>
      <c r="E10" s="20">
        <v>1197</v>
      </c>
      <c r="F10" s="21">
        <f t="shared" si="1"/>
        <v>80</v>
      </c>
      <c r="G10" s="20">
        <v>461</v>
      </c>
      <c r="H10" s="21">
        <f t="shared" si="2"/>
        <v>54</v>
      </c>
      <c r="I10" s="3"/>
      <c r="J10" s="3"/>
    </row>
    <row r="11" spans="1:10" ht="45" customHeight="1" x14ac:dyDescent="0.15">
      <c r="A11" s="19">
        <v>44841</v>
      </c>
      <c r="B11" s="29"/>
      <c r="C11" s="20">
        <v>29322.000000000793</v>
      </c>
      <c r="D11" s="21" t="str">
        <f t="shared" si="0"/>
        <v>0</v>
      </c>
      <c r="E11" s="20">
        <v>1109</v>
      </c>
      <c r="F11" s="21" t="str">
        <f t="shared" si="1"/>
        <v>0</v>
      </c>
      <c r="G11" s="20">
        <v>434</v>
      </c>
      <c r="H11" s="21" t="str">
        <f t="shared" si="2"/>
        <v>0</v>
      </c>
      <c r="I11" s="3"/>
      <c r="J11" s="3"/>
    </row>
    <row r="12" spans="1:10" ht="45" customHeight="1" x14ac:dyDescent="0.15">
      <c r="A12" s="19">
        <v>44842</v>
      </c>
      <c r="B12" s="29"/>
      <c r="C12" s="20">
        <v>28278.999999999825</v>
      </c>
      <c r="D12" s="21" t="str">
        <f t="shared" si="0"/>
        <v>0</v>
      </c>
      <c r="E12" s="20">
        <v>1023</v>
      </c>
      <c r="F12" s="21" t="str">
        <f t="shared" si="1"/>
        <v>0</v>
      </c>
      <c r="G12" s="20">
        <v>397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44843</v>
      </c>
      <c r="B13" s="29"/>
      <c r="C13" s="20">
        <v>24716.000000000084</v>
      </c>
      <c r="D13" s="21" t="str">
        <f t="shared" si="0"/>
        <v>0</v>
      </c>
      <c r="E13" s="20">
        <v>1025</v>
      </c>
      <c r="F13" s="21">
        <f t="shared" si="1"/>
        <v>2</v>
      </c>
      <c r="G13" s="20">
        <v>360</v>
      </c>
      <c r="H13" s="21" t="str">
        <f t="shared" si="2"/>
        <v>0</v>
      </c>
      <c r="I13" s="3"/>
      <c r="J13" s="3"/>
    </row>
    <row r="14" spans="1:10" ht="45" customHeight="1" x14ac:dyDescent="0.15">
      <c r="A14" s="19">
        <v>44844</v>
      </c>
      <c r="B14" s="29"/>
      <c r="C14" s="20">
        <v>24742.00000000052</v>
      </c>
      <c r="D14" s="21">
        <f t="shared" si="0"/>
        <v>26.000000000436557</v>
      </c>
      <c r="E14" s="20">
        <v>1030</v>
      </c>
      <c r="F14" s="21">
        <f t="shared" si="1"/>
        <v>5</v>
      </c>
      <c r="G14" s="20">
        <v>308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44845</v>
      </c>
      <c r="B15" s="29"/>
      <c r="C15" s="20">
        <v>24200.000000000189</v>
      </c>
      <c r="D15" s="21" t="str">
        <f t="shared" si="0"/>
        <v>0</v>
      </c>
      <c r="E15" s="20">
        <v>1111</v>
      </c>
      <c r="F15" s="21">
        <f t="shared" si="1"/>
        <v>81</v>
      </c>
      <c r="G15" s="20">
        <v>374</v>
      </c>
      <c r="H15" s="21">
        <f t="shared" si="2"/>
        <v>66</v>
      </c>
      <c r="I15" s="3"/>
      <c r="J15" s="3"/>
    </row>
    <row r="16" spans="1:10" ht="45" customHeight="1" x14ac:dyDescent="0.15">
      <c r="A16" s="19">
        <v>44846</v>
      </c>
      <c r="B16" s="29"/>
      <c r="C16" s="20">
        <v>24275.9999999996</v>
      </c>
      <c r="D16" s="21">
        <f t="shared" si="0"/>
        <v>75.999999999410647</v>
      </c>
      <c r="E16" s="20">
        <v>1182</v>
      </c>
      <c r="F16" s="21">
        <f t="shared" si="1"/>
        <v>71</v>
      </c>
      <c r="G16" s="20">
        <v>357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44847</v>
      </c>
      <c r="B17" s="29"/>
      <c r="C17" s="20">
        <v>24677.999999999331</v>
      </c>
      <c r="D17" s="21">
        <f t="shared" si="0"/>
        <v>401.99999999973079</v>
      </c>
      <c r="E17" s="20">
        <v>1152</v>
      </c>
      <c r="F17" s="21" t="str">
        <f t="shared" si="1"/>
        <v>0</v>
      </c>
      <c r="G17" s="20">
        <v>369</v>
      </c>
      <c r="H17" s="21">
        <f t="shared" si="2"/>
        <v>12</v>
      </c>
      <c r="I17" s="3"/>
      <c r="J17" s="3"/>
    </row>
    <row r="18" spans="1:10" ht="45" customHeight="1" x14ac:dyDescent="0.15">
      <c r="A18" s="19">
        <v>44848</v>
      </c>
      <c r="B18" s="29"/>
      <c r="C18" s="20">
        <v>25951.000000001004</v>
      </c>
      <c r="D18" s="21">
        <f t="shared" si="0"/>
        <v>1273.0000000016735</v>
      </c>
      <c r="E18" s="20">
        <v>1160</v>
      </c>
      <c r="F18" s="21">
        <f t="shared" si="1"/>
        <v>8</v>
      </c>
      <c r="G18" s="20">
        <v>385</v>
      </c>
      <c r="H18" s="21">
        <f t="shared" si="2"/>
        <v>16</v>
      </c>
      <c r="I18" s="3"/>
      <c r="J18" s="3"/>
    </row>
    <row r="19" spans="1:10" ht="45" customHeight="1" x14ac:dyDescent="0.15">
      <c r="A19" s="19">
        <v>44849</v>
      </c>
      <c r="B19" s="29"/>
      <c r="C19" s="20">
        <v>26247.999999999425</v>
      </c>
      <c r="D19" s="21">
        <f t="shared" si="0"/>
        <v>296.99999999842112</v>
      </c>
      <c r="E19" s="20">
        <v>1093</v>
      </c>
      <c r="F19" s="21" t="str">
        <f t="shared" si="1"/>
        <v>0</v>
      </c>
      <c r="G19" s="20">
        <v>340</v>
      </c>
      <c r="H19" s="21" t="str">
        <f t="shared" si="2"/>
        <v>0</v>
      </c>
      <c r="I19" s="3"/>
      <c r="J19" s="3"/>
    </row>
    <row r="20" spans="1:10" ht="45" customHeight="1" x14ac:dyDescent="0.15">
      <c r="A20" s="19">
        <v>44850</v>
      </c>
      <c r="B20" s="29"/>
      <c r="C20" s="20">
        <v>26436.999999999349</v>
      </c>
      <c r="D20" s="21">
        <f t="shared" si="0"/>
        <v>188.9999999999236</v>
      </c>
      <c r="E20" s="20">
        <v>1212</v>
      </c>
      <c r="F20" s="21">
        <f t="shared" si="1"/>
        <v>119</v>
      </c>
      <c r="G20" s="20">
        <v>389</v>
      </c>
      <c r="H20" s="21">
        <f t="shared" si="2"/>
        <v>49</v>
      </c>
      <c r="I20" s="3"/>
      <c r="J20" s="3"/>
    </row>
    <row r="21" spans="1:10" ht="45" customHeight="1" x14ac:dyDescent="0.15">
      <c r="A21" s="19">
        <v>44851</v>
      </c>
      <c r="B21" s="29"/>
      <c r="C21" s="20">
        <v>25980.000000000946</v>
      </c>
      <c r="D21" s="21" t="str">
        <f t="shared" si="0"/>
        <v>0</v>
      </c>
      <c r="E21" s="20">
        <v>1255</v>
      </c>
      <c r="F21" s="21">
        <f t="shared" si="1"/>
        <v>43</v>
      </c>
      <c r="G21" s="20">
        <v>367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44852</v>
      </c>
      <c r="B22" s="29"/>
      <c r="C22" s="20">
        <v>24647.000000000982</v>
      </c>
      <c r="D22" s="21" t="str">
        <f t="shared" si="0"/>
        <v>0</v>
      </c>
      <c r="E22" s="20">
        <v>1149</v>
      </c>
      <c r="F22" s="21" t="str">
        <f t="shared" si="1"/>
        <v>0</v>
      </c>
      <c r="G22" s="20">
        <v>347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44853</v>
      </c>
      <c r="B23" s="29"/>
      <c r="C23" s="20">
        <v>25952.999999998967</v>
      </c>
      <c r="D23" s="21">
        <f>IF((C23-C22&lt;0), "0",C23-C22)</f>
        <v>1305.9999999979846</v>
      </c>
      <c r="E23" s="20">
        <v>1330</v>
      </c>
      <c r="F23" s="21">
        <f t="shared" si="1"/>
        <v>181</v>
      </c>
      <c r="G23" s="20">
        <v>373</v>
      </c>
      <c r="H23" s="21">
        <f t="shared" si="2"/>
        <v>26</v>
      </c>
      <c r="I23" s="3"/>
      <c r="J23" s="3"/>
    </row>
    <row r="24" spans="1:10" ht="45" customHeight="1" x14ac:dyDescent="0.15">
      <c r="A24" s="19">
        <v>44854</v>
      </c>
      <c r="B24" s="29"/>
      <c r="C24" s="20">
        <v>25035.999999999509</v>
      </c>
      <c r="D24" s="21" t="str">
        <f t="shared" ref="D24:D35" si="3">IF((C24-C23&lt;0), "0",C24-C23)</f>
        <v>0</v>
      </c>
      <c r="E24" s="20">
        <v>1227</v>
      </c>
      <c r="F24" s="21" t="str">
        <f t="shared" si="1"/>
        <v>0</v>
      </c>
      <c r="G24" s="20">
        <v>353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44855</v>
      </c>
      <c r="B25" s="29"/>
      <c r="C25" s="20">
        <v>25061.000000000931</v>
      </c>
      <c r="D25" s="21">
        <f t="shared" si="3"/>
        <v>25.00000000142245</v>
      </c>
      <c r="E25" s="20">
        <v>1298</v>
      </c>
      <c r="F25" s="21">
        <f t="shared" si="1"/>
        <v>71</v>
      </c>
      <c r="G25" s="20">
        <v>346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44856</v>
      </c>
      <c r="B26" s="29"/>
      <c r="C26" s="20">
        <v>33760.999999999403</v>
      </c>
      <c r="D26" s="21">
        <f t="shared" si="3"/>
        <v>8699.999999998472</v>
      </c>
      <c r="E26" s="20">
        <v>1256</v>
      </c>
      <c r="F26" s="21" t="str">
        <f t="shared" si="1"/>
        <v>0</v>
      </c>
      <c r="G26" s="20">
        <v>433</v>
      </c>
      <c r="H26" s="21">
        <f t="shared" si="2"/>
        <v>87</v>
      </c>
      <c r="I26" s="3"/>
      <c r="J26" s="3"/>
    </row>
    <row r="27" spans="1:10" ht="45" customHeight="1" x14ac:dyDescent="0.15">
      <c r="A27" s="19">
        <v>44857</v>
      </c>
      <c r="B27" s="29"/>
      <c r="C27" s="20">
        <v>23454.99999999984</v>
      </c>
      <c r="D27" s="21" t="str">
        <f t="shared" si="3"/>
        <v>0</v>
      </c>
      <c r="E27" s="20">
        <v>1168</v>
      </c>
      <c r="F27" s="21" t="str">
        <f t="shared" si="1"/>
        <v>0</v>
      </c>
      <c r="G27" s="20">
        <v>347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44858</v>
      </c>
      <c r="B28" s="29"/>
      <c r="C28" s="20">
        <v>26419.999999999498</v>
      </c>
      <c r="D28" s="21">
        <f t="shared" si="3"/>
        <v>2964.999999999658</v>
      </c>
      <c r="E28" s="20">
        <v>1216</v>
      </c>
      <c r="F28" s="21">
        <f t="shared" si="1"/>
        <v>48</v>
      </c>
      <c r="G28" s="20">
        <v>362</v>
      </c>
      <c r="H28" s="21">
        <f t="shared" si="2"/>
        <v>15</v>
      </c>
      <c r="I28" s="3"/>
      <c r="J28" s="3"/>
    </row>
    <row r="29" spans="1:10" ht="45" customHeight="1" x14ac:dyDescent="0.15">
      <c r="A29" s="19">
        <v>44859</v>
      </c>
      <c r="B29" s="29"/>
      <c r="C29" s="20">
        <v>23524.000000001055</v>
      </c>
      <c r="D29" s="21" t="str">
        <f t="shared" si="3"/>
        <v>0</v>
      </c>
      <c r="E29" s="20">
        <v>1201</v>
      </c>
      <c r="F29" s="21" t="str">
        <f t="shared" si="1"/>
        <v>0</v>
      </c>
      <c r="G29" s="20">
        <v>365</v>
      </c>
      <c r="H29" s="21">
        <f t="shared" si="2"/>
        <v>3</v>
      </c>
      <c r="I29" s="3"/>
      <c r="J29" s="3"/>
    </row>
    <row r="30" spans="1:10" ht="45" customHeight="1" x14ac:dyDescent="0.15">
      <c r="A30" s="19">
        <v>44860</v>
      </c>
      <c r="B30" s="29"/>
      <c r="C30" s="20">
        <v>28257.999999999472</v>
      </c>
      <c r="D30" s="21">
        <f t="shared" si="3"/>
        <v>4733.9999999984175</v>
      </c>
      <c r="E30" s="20">
        <v>1336</v>
      </c>
      <c r="F30" s="21">
        <f t="shared" si="1"/>
        <v>135</v>
      </c>
      <c r="G30" s="20">
        <v>359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44861</v>
      </c>
      <c r="B31" s="29"/>
      <c r="C31" s="20">
        <v>24731.000000000615</v>
      </c>
      <c r="D31" s="21" t="str">
        <f t="shared" si="3"/>
        <v>0</v>
      </c>
      <c r="E31" s="20">
        <v>1170</v>
      </c>
      <c r="F31" s="21" t="str">
        <f t="shared" si="1"/>
        <v>0</v>
      </c>
      <c r="G31" s="20">
        <v>378</v>
      </c>
      <c r="H31" s="21">
        <f t="shared" si="2"/>
        <v>19</v>
      </c>
      <c r="I31" s="3"/>
      <c r="J31" s="3"/>
    </row>
    <row r="32" spans="1:10" ht="45" customHeight="1" x14ac:dyDescent="0.15">
      <c r="A32" s="19">
        <v>44862</v>
      </c>
      <c r="B32" s="29"/>
      <c r="C32" s="20">
        <v>28812.999999999574</v>
      </c>
      <c r="D32" s="21">
        <f t="shared" si="3"/>
        <v>4081.9999999989595</v>
      </c>
      <c r="E32" s="20">
        <v>1359</v>
      </c>
      <c r="F32" s="21">
        <f t="shared" si="1"/>
        <v>189</v>
      </c>
      <c r="G32" s="20">
        <v>424</v>
      </c>
      <c r="H32" s="21">
        <f t="shared" si="2"/>
        <v>46</v>
      </c>
      <c r="I32" s="3"/>
      <c r="J32" s="3"/>
    </row>
    <row r="33" spans="1:10" ht="36" customHeight="1" x14ac:dyDescent="0.15">
      <c r="A33" s="19">
        <v>44863</v>
      </c>
      <c r="C33" s="20">
        <v>26575.00000000064</v>
      </c>
      <c r="D33" s="21" t="str">
        <f t="shared" si="3"/>
        <v>0</v>
      </c>
      <c r="E33" s="20">
        <v>1209</v>
      </c>
      <c r="F33" s="21" t="str">
        <f t="shared" si="1"/>
        <v>0</v>
      </c>
      <c r="G33" s="20">
        <v>365</v>
      </c>
      <c r="H33" s="21" t="str">
        <f t="shared" si="2"/>
        <v>0</v>
      </c>
      <c r="I33" s="3"/>
      <c r="J33" s="3"/>
    </row>
    <row r="34" spans="1:10" ht="45.6" customHeight="1" x14ac:dyDescent="0.15">
      <c r="A34" s="19">
        <v>44864</v>
      </c>
      <c r="C34" s="20">
        <v>25337.99999999916</v>
      </c>
      <c r="D34" s="21" t="str">
        <f t="shared" si="3"/>
        <v>0</v>
      </c>
      <c r="E34" s="20">
        <v>1341</v>
      </c>
      <c r="F34" s="21">
        <f t="shared" si="1"/>
        <v>132</v>
      </c>
      <c r="G34" s="20">
        <v>362</v>
      </c>
      <c r="H34" s="21" t="str">
        <f t="shared" si="2"/>
        <v>0</v>
      </c>
      <c r="I34" s="3"/>
      <c r="J34" s="3"/>
    </row>
    <row r="35" spans="1:10" ht="47.45" customHeight="1" x14ac:dyDescent="0.15">
      <c r="A35" s="19">
        <v>44865</v>
      </c>
      <c r="C35" s="20">
        <v>25621.000000000546</v>
      </c>
      <c r="D35" s="21">
        <f t="shared" si="3"/>
        <v>283.00000000138607</v>
      </c>
      <c r="E35" s="20">
        <v>1321</v>
      </c>
      <c r="F35" s="21" t="str">
        <f t="shared" si="1"/>
        <v>0</v>
      </c>
      <c r="G35" s="20">
        <v>371</v>
      </c>
      <c r="H35" s="21">
        <f t="shared" si="2"/>
        <v>9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28" workbookViewId="0">
      <selection activeCell="G34" sqref="G3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44865</v>
      </c>
      <c r="B4" s="29"/>
      <c r="C4" s="14">
        <v>25621.000000000546</v>
      </c>
      <c r="D4" s="15"/>
      <c r="E4" s="14">
        <v>1321</v>
      </c>
      <c r="F4" s="16"/>
      <c r="G4" s="14">
        <v>371</v>
      </c>
      <c r="I4" s="18"/>
      <c r="J4" s="18"/>
    </row>
    <row r="5" spans="1:10" ht="33" customHeight="1" x14ac:dyDescent="0.15">
      <c r="A5" s="19">
        <v>44866</v>
      </c>
      <c r="B5" s="29"/>
      <c r="C5" s="20">
        <v>26041.820000000644</v>
      </c>
      <c r="D5" s="21">
        <f t="shared" ref="D5:D22" si="0">IF((C5-C4&lt;0), "0",C5-C4)</f>
        <v>420.82000000009793</v>
      </c>
      <c r="E5" s="20">
        <v>1267</v>
      </c>
      <c r="F5" s="21" t="str">
        <f>IF((E5-E4&lt;0), "0",E5-E4)</f>
        <v>0</v>
      </c>
      <c r="G5" s="20">
        <v>363</v>
      </c>
      <c r="H5" s="21" t="str">
        <f>IF((G5-G4&lt;0), "0",G5-G4)</f>
        <v>0</v>
      </c>
      <c r="I5" s="22"/>
      <c r="J5" s="22"/>
    </row>
    <row r="6" spans="1:10" ht="45" customHeight="1" x14ac:dyDescent="0.15">
      <c r="A6" s="19">
        <v>44867</v>
      </c>
      <c r="B6" s="29"/>
      <c r="C6" s="20">
        <v>24658.999999999454</v>
      </c>
      <c r="D6" s="21" t="str">
        <f t="shared" si="0"/>
        <v>0</v>
      </c>
      <c r="E6" s="20">
        <v>1264</v>
      </c>
      <c r="F6" s="21" t="str">
        <f t="shared" ref="F6:F34" si="1">IF((E6-E5&lt;0), "0",E6-E5)</f>
        <v>0</v>
      </c>
      <c r="G6" s="20">
        <v>318</v>
      </c>
      <c r="H6" s="21" t="str">
        <f t="shared" ref="H6:H34" si="2">IF((G6-G5&lt;0), "0",G6-G5)</f>
        <v>0</v>
      </c>
      <c r="I6" s="3"/>
      <c r="J6" s="3"/>
    </row>
    <row r="7" spans="1:10" ht="45" customHeight="1" x14ac:dyDescent="0.15">
      <c r="A7" s="19">
        <v>44868</v>
      </c>
      <c r="B7" s="29"/>
      <c r="C7" s="20">
        <v>26805.999999999782</v>
      </c>
      <c r="D7" s="21">
        <f t="shared" si="0"/>
        <v>2147.0000000003274</v>
      </c>
      <c r="E7" s="20">
        <v>1385</v>
      </c>
      <c r="F7" s="21">
        <f t="shared" si="1"/>
        <v>121</v>
      </c>
      <c r="G7" s="20">
        <v>346</v>
      </c>
      <c r="H7" s="21">
        <f t="shared" si="2"/>
        <v>28</v>
      </c>
      <c r="I7" s="3"/>
      <c r="J7" s="3"/>
    </row>
    <row r="8" spans="1:10" ht="45" customHeight="1" x14ac:dyDescent="0.15">
      <c r="A8" s="19">
        <v>44869</v>
      </c>
      <c r="B8" s="29"/>
      <c r="C8" s="20">
        <v>26876.000000000196</v>
      </c>
      <c r="D8" s="21">
        <f t="shared" si="0"/>
        <v>70.00000000041473</v>
      </c>
      <c r="E8" s="20">
        <v>1332</v>
      </c>
      <c r="F8" s="21" t="str">
        <f t="shared" si="1"/>
        <v>0</v>
      </c>
      <c r="G8" s="20">
        <v>367</v>
      </c>
      <c r="H8" s="21">
        <f t="shared" si="2"/>
        <v>21</v>
      </c>
      <c r="I8" s="3"/>
      <c r="J8" s="3"/>
    </row>
    <row r="9" spans="1:10" ht="45" customHeight="1" x14ac:dyDescent="0.15">
      <c r="A9" s="19">
        <v>44870</v>
      </c>
      <c r="B9" s="29"/>
      <c r="C9" s="20">
        <v>26468.999999999418</v>
      </c>
      <c r="D9" s="21" t="str">
        <f t="shared" si="0"/>
        <v>0</v>
      </c>
      <c r="E9" s="20">
        <v>1363</v>
      </c>
      <c r="F9" s="21">
        <f t="shared" si="1"/>
        <v>31</v>
      </c>
      <c r="G9" s="20">
        <v>386</v>
      </c>
      <c r="H9" s="21">
        <f t="shared" si="2"/>
        <v>19</v>
      </c>
      <c r="I9" s="3"/>
      <c r="J9" s="3"/>
    </row>
    <row r="10" spans="1:10" ht="45" customHeight="1" x14ac:dyDescent="0.15">
      <c r="A10" s="19">
        <v>44871</v>
      </c>
      <c r="B10" s="29"/>
      <c r="C10" s="20">
        <v>24443.000000000189</v>
      </c>
      <c r="D10" s="21" t="str">
        <f t="shared" si="0"/>
        <v>0</v>
      </c>
      <c r="E10" s="20">
        <v>1265</v>
      </c>
      <c r="F10" s="21" t="str">
        <f t="shared" si="1"/>
        <v>0</v>
      </c>
      <c r="G10" s="20">
        <v>323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44872</v>
      </c>
      <c r="B11" s="29"/>
      <c r="C11" s="20">
        <v>25754.999999999865</v>
      </c>
      <c r="D11" s="21">
        <f t="shared" si="0"/>
        <v>1311.9999999996762</v>
      </c>
      <c r="E11" s="20">
        <v>1328</v>
      </c>
      <c r="F11" s="21">
        <f t="shared" si="1"/>
        <v>63</v>
      </c>
      <c r="G11" s="20">
        <v>341</v>
      </c>
      <c r="H11" s="21">
        <f t="shared" si="2"/>
        <v>18</v>
      </c>
      <c r="I11" s="3"/>
      <c r="J11" s="3"/>
    </row>
    <row r="12" spans="1:10" ht="45" customHeight="1" x14ac:dyDescent="0.15">
      <c r="A12" s="19">
        <v>44873</v>
      </c>
      <c r="B12" s="29"/>
      <c r="C12" s="20">
        <v>23651.000000001026</v>
      </c>
      <c r="D12" s="21" t="str">
        <f t="shared" si="0"/>
        <v>0</v>
      </c>
      <c r="E12" s="20">
        <v>1342</v>
      </c>
      <c r="F12" s="21">
        <f t="shared" si="1"/>
        <v>14</v>
      </c>
      <c r="G12" s="20">
        <v>330</v>
      </c>
      <c r="H12" s="21" t="str">
        <f t="shared" si="2"/>
        <v>0</v>
      </c>
      <c r="I12" s="3"/>
      <c r="J12" s="3"/>
    </row>
    <row r="13" spans="1:10" ht="45" customHeight="1" x14ac:dyDescent="0.15">
      <c r="A13" s="19">
        <v>44874</v>
      </c>
      <c r="B13" s="29"/>
      <c r="C13" s="20">
        <v>27788.99999999893</v>
      </c>
      <c r="D13" s="21">
        <f t="shared" si="0"/>
        <v>4137.9999999979045</v>
      </c>
      <c r="E13" s="20">
        <v>1345</v>
      </c>
      <c r="F13" s="21">
        <f t="shared" si="1"/>
        <v>3</v>
      </c>
      <c r="G13" s="20">
        <v>360</v>
      </c>
      <c r="H13" s="21">
        <f t="shared" si="2"/>
        <v>30</v>
      </c>
      <c r="I13" s="3"/>
      <c r="J13" s="3"/>
    </row>
    <row r="14" spans="1:10" ht="45" customHeight="1" x14ac:dyDescent="0.15">
      <c r="A14" s="19">
        <v>44875</v>
      </c>
      <c r="B14" s="29"/>
      <c r="C14" s="20">
        <v>27275.000000001171</v>
      </c>
      <c r="D14" s="21" t="str">
        <f t="shared" si="0"/>
        <v>0</v>
      </c>
      <c r="E14" s="20">
        <v>1196</v>
      </c>
      <c r="F14" s="21" t="str">
        <f t="shared" si="1"/>
        <v>0</v>
      </c>
      <c r="G14" s="20">
        <v>337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44876</v>
      </c>
      <c r="B15" s="29"/>
      <c r="C15" s="20">
        <v>25377.999999999894</v>
      </c>
      <c r="D15" s="21" t="str">
        <f t="shared" si="0"/>
        <v>0</v>
      </c>
      <c r="E15" s="20">
        <v>1305</v>
      </c>
      <c r="F15" s="21">
        <f t="shared" si="1"/>
        <v>109</v>
      </c>
      <c r="G15" s="20">
        <v>362</v>
      </c>
      <c r="H15" s="21">
        <f t="shared" si="2"/>
        <v>25</v>
      </c>
      <c r="I15" s="3"/>
      <c r="J15" s="3"/>
    </row>
    <row r="16" spans="1:10" ht="45" customHeight="1" x14ac:dyDescent="0.15">
      <c r="A16" s="19">
        <v>44877</v>
      </c>
      <c r="B16" s="29"/>
      <c r="C16" s="20">
        <v>27732.999999999614</v>
      </c>
      <c r="D16" s="21">
        <f t="shared" si="0"/>
        <v>2354.9999999997199</v>
      </c>
      <c r="E16" s="20">
        <v>1280</v>
      </c>
      <c r="F16" s="21" t="str">
        <f t="shared" si="1"/>
        <v>0</v>
      </c>
      <c r="G16" s="20">
        <v>378</v>
      </c>
      <c r="H16" s="21">
        <f t="shared" si="2"/>
        <v>16</v>
      </c>
      <c r="I16" s="3"/>
      <c r="J16" s="3"/>
    </row>
    <row r="17" spans="1:10" ht="45" customHeight="1" x14ac:dyDescent="0.15">
      <c r="A17" s="19">
        <v>44878</v>
      </c>
      <c r="B17" s="29"/>
      <c r="C17" s="20">
        <v>30613.000000000757</v>
      </c>
      <c r="D17" s="21">
        <f t="shared" si="0"/>
        <v>2880.0000000011423</v>
      </c>
      <c r="E17" s="20">
        <v>1376</v>
      </c>
      <c r="F17" s="21">
        <f t="shared" si="1"/>
        <v>96</v>
      </c>
      <c r="G17" s="20">
        <v>389</v>
      </c>
      <c r="H17" s="21">
        <f t="shared" si="2"/>
        <v>11</v>
      </c>
      <c r="I17" s="3"/>
      <c r="J17" s="3"/>
    </row>
    <row r="18" spans="1:10" ht="45" customHeight="1" x14ac:dyDescent="0.15">
      <c r="A18" s="19">
        <v>44879</v>
      </c>
      <c r="B18" s="29"/>
      <c r="C18" s="20">
        <v>24710.999999998996</v>
      </c>
      <c r="D18" s="21" t="str">
        <f t="shared" si="0"/>
        <v>0</v>
      </c>
      <c r="E18" s="20">
        <v>1231</v>
      </c>
      <c r="F18" s="21" t="str">
        <f t="shared" si="1"/>
        <v>0</v>
      </c>
      <c r="G18" s="20">
        <v>357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44880</v>
      </c>
      <c r="B19" s="29"/>
      <c r="C19" s="20">
        <v>30331.99999999928</v>
      </c>
      <c r="D19" s="21">
        <f t="shared" si="0"/>
        <v>5621.0000000002838</v>
      </c>
      <c r="E19" s="20">
        <v>1332</v>
      </c>
      <c r="F19" s="21">
        <f t="shared" si="1"/>
        <v>101</v>
      </c>
      <c r="G19" s="20">
        <v>394</v>
      </c>
      <c r="H19" s="21">
        <f t="shared" si="2"/>
        <v>37</v>
      </c>
      <c r="I19" s="3"/>
      <c r="J19" s="3"/>
    </row>
    <row r="20" spans="1:10" ht="45" customHeight="1" x14ac:dyDescent="0.15">
      <c r="A20" s="19">
        <v>44881</v>
      </c>
      <c r="B20" s="29"/>
      <c r="C20" s="20">
        <v>27391.999999999582</v>
      </c>
      <c r="D20" s="21" t="str">
        <f t="shared" si="0"/>
        <v>0</v>
      </c>
      <c r="E20" s="20">
        <v>1350</v>
      </c>
      <c r="F20" s="21">
        <f t="shared" si="1"/>
        <v>18</v>
      </c>
      <c r="G20" s="20">
        <v>379</v>
      </c>
      <c r="H20" s="21" t="str">
        <f t="shared" si="2"/>
        <v>0</v>
      </c>
      <c r="I20" s="3"/>
      <c r="J20" s="3"/>
    </row>
    <row r="21" spans="1:10" ht="45" customHeight="1" x14ac:dyDescent="0.15">
      <c r="A21" s="19">
        <v>44882</v>
      </c>
      <c r="B21" s="29"/>
      <c r="C21" s="20">
        <v>30229.000000001797</v>
      </c>
      <c r="D21" s="21">
        <f t="shared" si="0"/>
        <v>2837.0000000022155</v>
      </c>
      <c r="E21" s="20">
        <v>1259</v>
      </c>
      <c r="F21" s="21" t="str">
        <f t="shared" si="1"/>
        <v>0</v>
      </c>
      <c r="G21" s="20">
        <v>369</v>
      </c>
      <c r="H21" s="21" t="str">
        <f t="shared" si="2"/>
        <v>0</v>
      </c>
      <c r="I21" s="3"/>
      <c r="J21" s="3"/>
    </row>
    <row r="22" spans="1:10" ht="45" customHeight="1" x14ac:dyDescent="0.15">
      <c r="A22" s="19">
        <v>44883</v>
      </c>
      <c r="B22" s="29"/>
      <c r="C22" s="20">
        <v>30518.999999999229</v>
      </c>
      <c r="D22" s="21">
        <f t="shared" si="0"/>
        <v>289.99999999743159</v>
      </c>
      <c r="E22" s="20">
        <v>1399</v>
      </c>
      <c r="F22" s="21">
        <f t="shared" si="1"/>
        <v>140</v>
      </c>
      <c r="G22" s="20">
        <v>412</v>
      </c>
      <c r="H22" s="21">
        <f t="shared" si="2"/>
        <v>43</v>
      </c>
      <c r="I22" s="3"/>
      <c r="J22" s="3"/>
    </row>
    <row r="23" spans="1:10" ht="45" customHeight="1" x14ac:dyDescent="0.15">
      <c r="A23" s="19">
        <v>44884</v>
      </c>
      <c r="B23" s="29"/>
      <c r="C23" s="20">
        <v>30829.000000000909</v>
      </c>
      <c r="D23" s="21">
        <f>IF((C23-C22&lt;0), "0",C23-C22)</f>
        <v>310.00000000168075</v>
      </c>
      <c r="E23" s="20">
        <v>1530</v>
      </c>
      <c r="F23" s="21">
        <f t="shared" si="1"/>
        <v>131</v>
      </c>
      <c r="G23" s="20">
        <v>422</v>
      </c>
      <c r="H23" s="21">
        <f t="shared" si="2"/>
        <v>10</v>
      </c>
      <c r="I23" s="3"/>
      <c r="J23" s="3"/>
    </row>
    <row r="24" spans="1:10" ht="45" customHeight="1" x14ac:dyDescent="0.15">
      <c r="A24" s="19">
        <v>44885</v>
      </c>
      <c r="B24" s="29"/>
      <c r="C24" s="20">
        <v>29681.999999998647</v>
      </c>
      <c r="D24" s="21" t="str">
        <f t="shared" ref="D24:D34" si="3">IF((C24-C23&lt;0), "0",C24-C23)</f>
        <v>0</v>
      </c>
      <c r="E24" s="20">
        <v>1433</v>
      </c>
      <c r="F24" s="21" t="str">
        <f t="shared" si="1"/>
        <v>0</v>
      </c>
      <c r="G24" s="20">
        <v>390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44886</v>
      </c>
      <c r="B25" s="29"/>
      <c r="C25" s="20">
        <v>25606.000000000873</v>
      </c>
      <c r="D25" s="21" t="str">
        <f t="shared" si="3"/>
        <v>0</v>
      </c>
      <c r="E25" s="20">
        <v>1330</v>
      </c>
      <c r="F25" s="21" t="str">
        <f t="shared" si="1"/>
        <v>0</v>
      </c>
      <c r="G25" s="20">
        <v>372</v>
      </c>
      <c r="H25" s="21" t="str">
        <f t="shared" si="2"/>
        <v>0</v>
      </c>
      <c r="I25" s="3"/>
      <c r="J25" s="3"/>
    </row>
    <row r="26" spans="1:10" ht="45" customHeight="1" x14ac:dyDescent="0.15">
      <c r="A26" s="19">
        <v>44887</v>
      </c>
      <c r="B26" s="29"/>
      <c r="C26" s="20">
        <v>27289.999999999665</v>
      </c>
      <c r="D26" s="21">
        <f t="shared" si="3"/>
        <v>1683.9999999987922</v>
      </c>
      <c r="E26" s="20">
        <v>1312</v>
      </c>
      <c r="F26" s="21" t="str">
        <f t="shared" si="1"/>
        <v>0</v>
      </c>
      <c r="G26" s="20">
        <v>382</v>
      </c>
      <c r="H26" s="21">
        <f t="shared" si="2"/>
        <v>10</v>
      </c>
      <c r="I26" s="3"/>
      <c r="J26" s="3"/>
    </row>
    <row r="27" spans="1:10" ht="45" customHeight="1" x14ac:dyDescent="0.15">
      <c r="A27" s="19">
        <v>44888</v>
      </c>
      <c r="B27" s="29"/>
      <c r="C27" s="20">
        <v>27239.000000000324</v>
      </c>
      <c r="D27" s="21" t="str">
        <f t="shared" si="3"/>
        <v>0</v>
      </c>
      <c r="E27" s="20">
        <v>1302</v>
      </c>
      <c r="F27" s="21" t="str">
        <f t="shared" si="1"/>
        <v>0</v>
      </c>
      <c r="G27" s="20">
        <v>373</v>
      </c>
      <c r="H27" s="21" t="str">
        <f t="shared" si="2"/>
        <v>0</v>
      </c>
      <c r="I27" s="3"/>
      <c r="J27" s="3"/>
    </row>
    <row r="28" spans="1:10" ht="45" customHeight="1" x14ac:dyDescent="0.15">
      <c r="A28" s="19">
        <v>44889</v>
      </c>
      <c r="B28" s="29"/>
      <c r="C28" s="20">
        <v>27017.999999999134</v>
      </c>
      <c r="D28" s="21" t="str">
        <f t="shared" si="3"/>
        <v>0</v>
      </c>
      <c r="E28" s="20">
        <v>1362</v>
      </c>
      <c r="F28" s="21">
        <f t="shared" si="1"/>
        <v>60</v>
      </c>
      <c r="G28" s="20">
        <v>402</v>
      </c>
      <c r="H28" s="21">
        <f t="shared" si="2"/>
        <v>29</v>
      </c>
      <c r="I28" s="3"/>
      <c r="J28" s="3"/>
    </row>
    <row r="29" spans="1:10" ht="45" customHeight="1" x14ac:dyDescent="0.15">
      <c r="A29" s="19">
        <v>44890</v>
      </c>
      <c r="B29" s="29"/>
      <c r="C29" s="20">
        <v>29310.999999998901</v>
      </c>
      <c r="D29" s="21">
        <f t="shared" si="3"/>
        <v>2292.9999999997672</v>
      </c>
      <c r="E29" s="20">
        <v>1395</v>
      </c>
      <c r="F29" s="21">
        <f t="shared" si="1"/>
        <v>33</v>
      </c>
      <c r="G29" s="20">
        <v>420</v>
      </c>
      <c r="H29" s="21">
        <f t="shared" si="2"/>
        <v>18</v>
      </c>
      <c r="I29" s="3"/>
      <c r="J29" s="3"/>
    </row>
    <row r="30" spans="1:10" ht="45" customHeight="1" x14ac:dyDescent="0.15">
      <c r="A30" s="19">
        <v>44891</v>
      </c>
      <c r="B30" s="29"/>
      <c r="C30" s="20">
        <v>26012.000000001506</v>
      </c>
      <c r="D30" s="21" t="str">
        <f t="shared" si="3"/>
        <v>0</v>
      </c>
      <c r="E30" s="20">
        <v>1264</v>
      </c>
      <c r="F30" s="21" t="str">
        <f t="shared" si="1"/>
        <v>0</v>
      </c>
      <c r="G30" s="20">
        <v>374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44892</v>
      </c>
      <c r="B31" s="29"/>
      <c r="C31" s="20">
        <v>26733.000000000589</v>
      </c>
      <c r="D31" s="21">
        <f t="shared" si="3"/>
        <v>720.99999999908323</v>
      </c>
      <c r="E31" s="20">
        <v>1305</v>
      </c>
      <c r="F31" s="21">
        <f t="shared" si="1"/>
        <v>41</v>
      </c>
      <c r="G31" s="20">
        <v>353</v>
      </c>
      <c r="H31" s="21" t="str">
        <f t="shared" si="2"/>
        <v>0</v>
      </c>
      <c r="I31" s="3"/>
      <c r="J31" s="3"/>
    </row>
    <row r="32" spans="1:10" ht="45" customHeight="1" x14ac:dyDescent="0.15">
      <c r="A32" s="19">
        <v>44893</v>
      </c>
      <c r="B32" s="29"/>
      <c r="C32" s="20">
        <v>27928.9999999998</v>
      </c>
      <c r="D32" s="21">
        <f t="shared" si="3"/>
        <v>1195.9999999992106</v>
      </c>
      <c r="E32" s="20">
        <v>1214</v>
      </c>
      <c r="F32" s="21" t="str">
        <f t="shared" si="1"/>
        <v>0</v>
      </c>
      <c r="G32" s="20">
        <v>365</v>
      </c>
      <c r="H32" s="21">
        <f t="shared" si="2"/>
        <v>12</v>
      </c>
      <c r="I32" s="3"/>
      <c r="J32" s="3"/>
    </row>
    <row r="33" spans="1:10" ht="36" customHeight="1" x14ac:dyDescent="0.15">
      <c r="A33" s="19">
        <v>44894</v>
      </c>
      <c r="C33" s="20">
        <v>29336.000000001026</v>
      </c>
      <c r="D33" s="21">
        <f t="shared" si="3"/>
        <v>1407.000000001226</v>
      </c>
      <c r="E33" s="20">
        <v>1230</v>
      </c>
      <c r="F33" s="21">
        <f t="shared" si="1"/>
        <v>16</v>
      </c>
      <c r="G33" s="20">
        <v>366</v>
      </c>
      <c r="H33" s="21">
        <f t="shared" si="2"/>
        <v>1</v>
      </c>
      <c r="I33" s="3"/>
      <c r="J33" s="3"/>
    </row>
    <row r="34" spans="1:10" ht="45.6" customHeight="1" x14ac:dyDescent="0.15">
      <c r="A34" s="19">
        <v>44895</v>
      </c>
      <c r="C34" s="20">
        <v>27600.999999999869</v>
      </c>
      <c r="D34" s="21" t="str">
        <f t="shared" si="3"/>
        <v>0</v>
      </c>
      <c r="E34" s="20">
        <v>1399</v>
      </c>
      <c r="F34" s="21">
        <f t="shared" si="1"/>
        <v>169</v>
      </c>
      <c r="G34" s="20">
        <v>327</v>
      </c>
      <c r="H34" s="21" t="str">
        <f t="shared" si="2"/>
        <v>0</v>
      </c>
      <c r="I34" s="3"/>
      <c r="J34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O4" sqref="O4"/>
    </sheetView>
  </sheetViews>
  <sheetFormatPr defaultRowHeight="13.5" x14ac:dyDescent="0.15"/>
  <cols>
    <col min="1" max="1" width="14" style="4" customWidth="1"/>
    <col min="2" max="2" width="2" style="4" customWidth="1"/>
    <col min="3" max="3" width="11.85546875" style="23" customWidth="1"/>
    <col min="4" max="4" width="13.5703125" style="24" customWidth="1"/>
    <col min="5" max="5" width="14.85546875" style="4" customWidth="1"/>
    <col min="6" max="6" width="14.85546875" style="23" customWidth="1"/>
    <col min="7" max="7" width="8.85546875" style="4" customWidth="1"/>
    <col min="8" max="8" width="12.5703125" style="4" customWidth="1"/>
    <col min="9" max="10" width="13" style="25" customWidth="1"/>
    <col min="11" max="254" width="9.140625" style="4"/>
    <col min="255" max="255" width="14" style="4" customWidth="1"/>
    <col min="256" max="256" width="2" style="4" customWidth="1"/>
    <col min="257" max="257" width="11.85546875" style="4" customWidth="1"/>
    <col min="258" max="258" width="13.5703125" style="4" customWidth="1"/>
    <col min="259" max="260" width="13.85546875" style="4" customWidth="1"/>
    <col min="261" max="262" width="14.85546875" style="4" customWidth="1"/>
    <col min="263" max="263" width="8.85546875" style="4" customWidth="1"/>
    <col min="264" max="264" width="12.5703125" style="4" customWidth="1"/>
    <col min="265" max="266" width="13" style="4" customWidth="1"/>
    <col min="267" max="510" width="9.140625" style="4"/>
    <col min="511" max="511" width="14" style="4" customWidth="1"/>
    <col min="512" max="512" width="2" style="4" customWidth="1"/>
    <col min="513" max="513" width="11.85546875" style="4" customWidth="1"/>
    <col min="514" max="514" width="13.5703125" style="4" customWidth="1"/>
    <col min="515" max="516" width="13.85546875" style="4" customWidth="1"/>
    <col min="517" max="518" width="14.85546875" style="4" customWidth="1"/>
    <col min="519" max="519" width="8.85546875" style="4" customWidth="1"/>
    <col min="520" max="520" width="12.5703125" style="4" customWidth="1"/>
    <col min="521" max="522" width="13" style="4" customWidth="1"/>
    <col min="523" max="766" width="9.140625" style="4"/>
    <col min="767" max="767" width="14" style="4" customWidth="1"/>
    <col min="768" max="768" width="2" style="4" customWidth="1"/>
    <col min="769" max="769" width="11.85546875" style="4" customWidth="1"/>
    <col min="770" max="770" width="13.5703125" style="4" customWidth="1"/>
    <col min="771" max="772" width="13.85546875" style="4" customWidth="1"/>
    <col min="773" max="774" width="14.85546875" style="4" customWidth="1"/>
    <col min="775" max="775" width="8.85546875" style="4" customWidth="1"/>
    <col min="776" max="776" width="12.5703125" style="4" customWidth="1"/>
    <col min="777" max="778" width="13" style="4" customWidth="1"/>
    <col min="779" max="1022" width="9.140625" style="4"/>
    <col min="1023" max="1023" width="14" style="4" customWidth="1"/>
    <col min="1024" max="1024" width="2" style="4" customWidth="1"/>
    <col min="1025" max="1025" width="11.85546875" style="4" customWidth="1"/>
    <col min="1026" max="1026" width="13.5703125" style="4" customWidth="1"/>
    <col min="1027" max="1028" width="13.85546875" style="4" customWidth="1"/>
    <col min="1029" max="1030" width="14.85546875" style="4" customWidth="1"/>
    <col min="1031" max="1031" width="8.85546875" style="4" customWidth="1"/>
    <col min="1032" max="1032" width="12.5703125" style="4" customWidth="1"/>
    <col min="1033" max="1034" width="13" style="4" customWidth="1"/>
    <col min="1035" max="1278" width="9.140625" style="4"/>
    <col min="1279" max="1279" width="14" style="4" customWidth="1"/>
    <col min="1280" max="1280" width="2" style="4" customWidth="1"/>
    <col min="1281" max="1281" width="11.85546875" style="4" customWidth="1"/>
    <col min="1282" max="1282" width="13.5703125" style="4" customWidth="1"/>
    <col min="1283" max="1284" width="13.85546875" style="4" customWidth="1"/>
    <col min="1285" max="1286" width="14.85546875" style="4" customWidth="1"/>
    <col min="1287" max="1287" width="8.85546875" style="4" customWidth="1"/>
    <col min="1288" max="1288" width="12.5703125" style="4" customWidth="1"/>
    <col min="1289" max="1290" width="13" style="4" customWidth="1"/>
    <col min="1291" max="1534" width="9.140625" style="4"/>
    <col min="1535" max="1535" width="14" style="4" customWidth="1"/>
    <col min="1536" max="1536" width="2" style="4" customWidth="1"/>
    <col min="1537" max="1537" width="11.85546875" style="4" customWidth="1"/>
    <col min="1538" max="1538" width="13.5703125" style="4" customWidth="1"/>
    <col min="1539" max="1540" width="13.85546875" style="4" customWidth="1"/>
    <col min="1541" max="1542" width="14.85546875" style="4" customWidth="1"/>
    <col min="1543" max="1543" width="8.85546875" style="4" customWidth="1"/>
    <col min="1544" max="1544" width="12.5703125" style="4" customWidth="1"/>
    <col min="1545" max="1546" width="13" style="4" customWidth="1"/>
    <col min="1547" max="1790" width="9.140625" style="4"/>
    <col min="1791" max="1791" width="14" style="4" customWidth="1"/>
    <col min="1792" max="1792" width="2" style="4" customWidth="1"/>
    <col min="1793" max="1793" width="11.85546875" style="4" customWidth="1"/>
    <col min="1794" max="1794" width="13.5703125" style="4" customWidth="1"/>
    <col min="1795" max="1796" width="13.85546875" style="4" customWidth="1"/>
    <col min="1797" max="1798" width="14.85546875" style="4" customWidth="1"/>
    <col min="1799" max="1799" width="8.85546875" style="4" customWidth="1"/>
    <col min="1800" max="1800" width="12.5703125" style="4" customWidth="1"/>
    <col min="1801" max="1802" width="13" style="4" customWidth="1"/>
    <col min="1803" max="2046" width="9.140625" style="4"/>
    <col min="2047" max="2047" width="14" style="4" customWidth="1"/>
    <col min="2048" max="2048" width="2" style="4" customWidth="1"/>
    <col min="2049" max="2049" width="11.85546875" style="4" customWidth="1"/>
    <col min="2050" max="2050" width="13.5703125" style="4" customWidth="1"/>
    <col min="2051" max="2052" width="13.85546875" style="4" customWidth="1"/>
    <col min="2053" max="2054" width="14.85546875" style="4" customWidth="1"/>
    <col min="2055" max="2055" width="8.85546875" style="4" customWidth="1"/>
    <col min="2056" max="2056" width="12.5703125" style="4" customWidth="1"/>
    <col min="2057" max="2058" width="13" style="4" customWidth="1"/>
    <col min="2059" max="2302" width="9.140625" style="4"/>
    <col min="2303" max="2303" width="14" style="4" customWidth="1"/>
    <col min="2304" max="2304" width="2" style="4" customWidth="1"/>
    <col min="2305" max="2305" width="11.85546875" style="4" customWidth="1"/>
    <col min="2306" max="2306" width="13.5703125" style="4" customWidth="1"/>
    <col min="2307" max="2308" width="13.85546875" style="4" customWidth="1"/>
    <col min="2309" max="2310" width="14.85546875" style="4" customWidth="1"/>
    <col min="2311" max="2311" width="8.85546875" style="4" customWidth="1"/>
    <col min="2312" max="2312" width="12.5703125" style="4" customWidth="1"/>
    <col min="2313" max="2314" width="13" style="4" customWidth="1"/>
    <col min="2315" max="2558" width="9.140625" style="4"/>
    <col min="2559" max="2559" width="14" style="4" customWidth="1"/>
    <col min="2560" max="2560" width="2" style="4" customWidth="1"/>
    <col min="2561" max="2561" width="11.85546875" style="4" customWidth="1"/>
    <col min="2562" max="2562" width="13.5703125" style="4" customWidth="1"/>
    <col min="2563" max="2564" width="13.85546875" style="4" customWidth="1"/>
    <col min="2565" max="2566" width="14.85546875" style="4" customWidth="1"/>
    <col min="2567" max="2567" width="8.85546875" style="4" customWidth="1"/>
    <col min="2568" max="2568" width="12.5703125" style="4" customWidth="1"/>
    <col min="2569" max="2570" width="13" style="4" customWidth="1"/>
    <col min="2571" max="2814" width="9.140625" style="4"/>
    <col min="2815" max="2815" width="14" style="4" customWidth="1"/>
    <col min="2816" max="2816" width="2" style="4" customWidth="1"/>
    <col min="2817" max="2817" width="11.85546875" style="4" customWidth="1"/>
    <col min="2818" max="2818" width="13.5703125" style="4" customWidth="1"/>
    <col min="2819" max="2820" width="13.85546875" style="4" customWidth="1"/>
    <col min="2821" max="2822" width="14.85546875" style="4" customWidth="1"/>
    <col min="2823" max="2823" width="8.85546875" style="4" customWidth="1"/>
    <col min="2824" max="2824" width="12.5703125" style="4" customWidth="1"/>
    <col min="2825" max="2826" width="13" style="4" customWidth="1"/>
    <col min="2827" max="3070" width="9.140625" style="4"/>
    <col min="3071" max="3071" width="14" style="4" customWidth="1"/>
    <col min="3072" max="3072" width="2" style="4" customWidth="1"/>
    <col min="3073" max="3073" width="11.85546875" style="4" customWidth="1"/>
    <col min="3074" max="3074" width="13.5703125" style="4" customWidth="1"/>
    <col min="3075" max="3076" width="13.85546875" style="4" customWidth="1"/>
    <col min="3077" max="3078" width="14.85546875" style="4" customWidth="1"/>
    <col min="3079" max="3079" width="8.85546875" style="4" customWidth="1"/>
    <col min="3080" max="3080" width="12.5703125" style="4" customWidth="1"/>
    <col min="3081" max="3082" width="13" style="4" customWidth="1"/>
    <col min="3083" max="3326" width="9.140625" style="4"/>
    <col min="3327" max="3327" width="14" style="4" customWidth="1"/>
    <col min="3328" max="3328" width="2" style="4" customWidth="1"/>
    <col min="3329" max="3329" width="11.85546875" style="4" customWidth="1"/>
    <col min="3330" max="3330" width="13.5703125" style="4" customWidth="1"/>
    <col min="3331" max="3332" width="13.85546875" style="4" customWidth="1"/>
    <col min="3333" max="3334" width="14.85546875" style="4" customWidth="1"/>
    <col min="3335" max="3335" width="8.85546875" style="4" customWidth="1"/>
    <col min="3336" max="3336" width="12.5703125" style="4" customWidth="1"/>
    <col min="3337" max="3338" width="13" style="4" customWidth="1"/>
    <col min="3339" max="3582" width="9.140625" style="4"/>
    <col min="3583" max="3583" width="14" style="4" customWidth="1"/>
    <col min="3584" max="3584" width="2" style="4" customWidth="1"/>
    <col min="3585" max="3585" width="11.85546875" style="4" customWidth="1"/>
    <col min="3586" max="3586" width="13.5703125" style="4" customWidth="1"/>
    <col min="3587" max="3588" width="13.85546875" style="4" customWidth="1"/>
    <col min="3589" max="3590" width="14.85546875" style="4" customWidth="1"/>
    <col min="3591" max="3591" width="8.85546875" style="4" customWidth="1"/>
    <col min="3592" max="3592" width="12.5703125" style="4" customWidth="1"/>
    <col min="3593" max="3594" width="13" style="4" customWidth="1"/>
    <col min="3595" max="3838" width="9.140625" style="4"/>
    <col min="3839" max="3839" width="14" style="4" customWidth="1"/>
    <col min="3840" max="3840" width="2" style="4" customWidth="1"/>
    <col min="3841" max="3841" width="11.85546875" style="4" customWidth="1"/>
    <col min="3842" max="3842" width="13.5703125" style="4" customWidth="1"/>
    <col min="3843" max="3844" width="13.85546875" style="4" customWidth="1"/>
    <col min="3845" max="3846" width="14.85546875" style="4" customWidth="1"/>
    <col min="3847" max="3847" width="8.85546875" style="4" customWidth="1"/>
    <col min="3848" max="3848" width="12.5703125" style="4" customWidth="1"/>
    <col min="3849" max="3850" width="13" style="4" customWidth="1"/>
    <col min="3851" max="4094" width="9.140625" style="4"/>
    <col min="4095" max="4095" width="14" style="4" customWidth="1"/>
    <col min="4096" max="4096" width="2" style="4" customWidth="1"/>
    <col min="4097" max="4097" width="11.85546875" style="4" customWidth="1"/>
    <col min="4098" max="4098" width="13.5703125" style="4" customWidth="1"/>
    <col min="4099" max="4100" width="13.85546875" style="4" customWidth="1"/>
    <col min="4101" max="4102" width="14.85546875" style="4" customWidth="1"/>
    <col min="4103" max="4103" width="8.85546875" style="4" customWidth="1"/>
    <col min="4104" max="4104" width="12.5703125" style="4" customWidth="1"/>
    <col min="4105" max="4106" width="13" style="4" customWidth="1"/>
    <col min="4107" max="4350" width="9.140625" style="4"/>
    <col min="4351" max="4351" width="14" style="4" customWidth="1"/>
    <col min="4352" max="4352" width="2" style="4" customWidth="1"/>
    <col min="4353" max="4353" width="11.85546875" style="4" customWidth="1"/>
    <col min="4354" max="4354" width="13.5703125" style="4" customWidth="1"/>
    <col min="4355" max="4356" width="13.85546875" style="4" customWidth="1"/>
    <col min="4357" max="4358" width="14.85546875" style="4" customWidth="1"/>
    <col min="4359" max="4359" width="8.85546875" style="4" customWidth="1"/>
    <col min="4360" max="4360" width="12.5703125" style="4" customWidth="1"/>
    <col min="4361" max="4362" width="13" style="4" customWidth="1"/>
    <col min="4363" max="4606" width="9.140625" style="4"/>
    <col min="4607" max="4607" width="14" style="4" customWidth="1"/>
    <col min="4608" max="4608" width="2" style="4" customWidth="1"/>
    <col min="4609" max="4609" width="11.85546875" style="4" customWidth="1"/>
    <col min="4610" max="4610" width="13.5703125" style="4" customWidth="1"/>
    <col min="4611" max="4612" width="13.85546875" style="4" customWidth="1"/>
    <col min="4613" max="4614" width="14.85546875" style="4" customWidth="1"/>
    <col min="4615" max="4615" width="8.85546875" style="4" customWidth="1"/>
    <col min="4616" max="4616" width="12.5703125" style="4" customWidth="1"/>
    <col min="4617" max="4618" width="13" style="4" customWidth="1"/>
    <col min="4619" max="4862" width="9.140625" style="4"/>
    <col min="4863" max="4863" width="14" style="4" customWidth="1"/>
    <col min="4864" max="4864" width="2" style="4" customWidth="1"/>
    <col min="4865" max="4865" width="11.85546875" style="4" customWidth="1"/>
    <col min="4866" max="4866" width="13.5703125" style="4" customWidth="1"/>
    <col min="4867" max="4868" width="13.85546875" style="4" customWidth="1"/>
    <col min="4869" max="4870" width="14.85546875" style="4" customWidth="1"/>
    <col min="4871" max="4871" width="8.85546875" style="4" customWidth="1"/>
    <col min="4872" max="4872" width="12.5703125" style="4" customWidth="1"/>
    <col min="4873" max="4874" width="13" style="4" customWidth="1"/>
    <col min="4875" max="5118" width="9.140625" style="4"/>
    <col min="5119" max="5119" width="14" style="4" customWidth="1"/>
    <col min="5120" max="5120" width="2" style="4" customWidth="1"/>
    <col min="5121" max="5121" width="11.85546875" style="4" customWidth="1"/>
    <col min="5122" max="5122" width="13.5703125" style="4" customWidth="1"/>
    <col min="5123" max="5124" width="13.85546875" style="4" customWidth="1"/>
    <col min="5125" max="5126" width="14.85546875" style="4" customWidth="1"/>
    <col min="5127" max="5127" width="8.85546875" style="4" customWidth="1"/>
    <col min="5128" max="5128" width="12.5703125" style="4" customWidth="1"/>
    <col min="5129" max="5130" width="13" style="4" customWidth="1"/>
    <col min="5131" max="5374" width="9.140625" style="4"/>
    <col min="5375" max="5375" width="14" style="4" customWidth="1"/>
    <col min="5376" max="5376" width="2" style="4" customWidth="1"/>
    <col min="5377" max="5377" width="11.85546875" style="4" customWidth="1"/>
    <col min="5378" max="5378" width="13.5703125" style="4" customWidth="1"/>
    <col min="5379" max="5380" width="13.85546875" style="4" customWidth="1"/>
    <col min="5381" max="5382" width="14.85546875" style="4" customWidth="1"/>
    <col min="5383" max="5383" width="8.85546875" style="4" customWidth="1"/>
    <col min="5384" max="5384" width="12.5703125" style="4" customWidth="1"/>
    <col min="5385" max="5386" width="13" style="4" customWidth="1"/>
    <col min="5387" max="5630" width="9.140625" style="4"/>
    <col min="5631" max="5631" width="14" style="4" customWidth="1"/>
    <col min="5632" max="5632" width="2" style="4" customWidth="1"/>
    <col min="5633" max="5633" width="11.85546875" style="4" customWidth="1"/>
    <col min="5634" max="5634" width="13.5703125" style="4" customWidth="1"/>
    <col min="5635" max="5636" width="13.85546875" style="4" customWidth="1"/>
    <col min="5637" max="5638" width="14.85546875" style="4" customWidth="1"/>
    <col min="5639" max="5639" width="8.85546875" style="4" customWidth="1"/>
    <col min="5640" max="5640" width="12.5703125" style="4" customWidth="1"/>
    <col min="5641" max="5642" width="13" style="4" customWidth="1"/>
    <col min="5643" max="5886" width="9.140625" style="4"/>
    <col min="5887" max="5887" width="14" style="4" customWidth="1"/>
    <col min="5888" max="5888" width="2" style="4" customWidth="1"/>
    <col min="5889" max="5889" width="11.85546875" style="4" customWidth="1"/>
    <col min="5890" max="5890" width="13.5703125" style="4" customWidth="1"/>
    <col min="5891" max="5892" width="13.85546875" style="4" customWidth="1"/>
    <col min="5893" max="5894" width="14.85546875" style="4" customWidth="1"/>
    <col min="5895" max="5895" width="8.85546875" style="4" customWidth="1"/>
    <col min="5896" max="5896" width="12.5703125" style="4" customWidth="1"/>
    <col min="5897" max="5898" width="13" style="4" customWidth="1"/>
    <col min="5899" max="6142" width="9.140625" style="4"/>
    <col min="6143" max="6143" width="14" style="4" customWidth="1"/>
    <col min="6144" max="6144" width="2" style="4" customWidth="1"/>
    <col min="6145" max="6145" width="11.85546875" style="4" customWidth="1"/>
    <col min="6146" max="6146" width="13.5703125" style="4" customWidth="1"/>
    <col min="6147" max="6148" width="13.85546875" style="4" customWidth="1"/>
    <col min="6149" max="6150" width="14.85546875" style="4" customWidth="1"/>
    <col min="6151" max="6151" width="8.85546875" style="4" customWidth="1"/>
    <col min="6152" max="6152" width="12.5703125" style="4" customWidth="1"/>
    <col min="6153" max="6154" width="13" style="4" customWidth="1"/>
    <col min="6155" max="6398" width="9.140625" style="4"/>
    <col min="6399" max="6399" width="14" style="4" customWidth="1"/>
    <col min="6400" max="6400" width="2" style="4" customWidth="1"/>
    <col min="6401" max="6401" width="11.85546875" style="4" customWidth="1"/>
    <col min="6402" max="6402" width="13.5703125" style="4" customWidth="1"/>
    <col min="6403" max="6404" width="13.85546875" style="4" customWidth="1"/>
    <col min="6405" max="6406" width="14.85546875" style="4" customWidth="1"/>
    <col min="6407" max="6407" width="8.85546875" style="4" customWidth="1"/>
    <col min="6408" max="6408" width="12.5703125" style="4" customWidth="1"/>
    <col min="6409" max="6410" width="13" style="4" customWidth="1"/>
    <col min="6411" max="6654" width="9.140625" style="4"/>
    <col min="6655" max="6655" width="14" style="4" customWidth="1"/>
    <col min="6656" max="6656" width="2" style="4" customWidth="1"/>
    <col min="6657" max="6657" width="11.85546875" style="4" customWidth="1"/>
    <col min="6658" max="6658" width="13.5703125" style="4" customWidth="1"/>
    <col min="6659" max="6660" width="13.85546875" style="4" customWidth="1"/>
    <col min="6661" max="6662" width="14.85546875" style="4" customWidth="1"/>
    <col min="6663" max="6663" width="8.85546875" style="4" customWidth="1"/>
    <col min="6664" max="6664" width="12.5703125" style="4" customWidth="1"/>
    <col min="6665" max="6666" width="13" style="4" customWidth="1"/>
    <col min="6667" max="6910" width="9.140625" style="4"/>
    <col min="6911" max="6911" width="14" style="4" customWidth="1"/>
    <col min="6912" max="6912" width="2" style="4" customWidth="1"/>
    <col min="6913" max="6913" width="11.85546875" style="4" customWidth="1"/>
    <col min="6914" max="6914" width="13.5703125" style="4" customWidth="1"/>
    <col min="6915" max="6916" width="13.85546875" style="4" customWidth="1"/>
    <col min="6917" max="6918" width="14.85546875" style="4" customWidth="1"/>
    <col min="6919" max="6919" width="8.85546875" style="4" customWidth="1"/>
    <col min="6920" max="6920" width="12.5703125" style="4" customWidth="1"/>
    <col min="6921" max="6922" width="13" style="4" customWidth="1"/>
    <col min="6923" max="7166" width="9.140625" style="4"/>
    <col min="7167" max="7167" width="14" style="4" customWidth="1"/>
    <col min="7168" max="7168" width="2" style="4" customWidth="1"/>
    <col min="7169" max="7169" width="11.85546875" style="4" customWidth="1"/>
    <col min="7170" max="7170" width="13.5703125" style="4" customWidth="1"/>
    <col min="7171" max="7172" width="13.85546875" style="4" customWidth="1"/>
    <col min="7173" max="7174" width="14.85546875" style="4" customWidth="1"/>
    <col min="7175" max="7175" width="8.85546875" style="4" customWidth="1"/>
    <col min="7176" max="7176" width="12.5703125" style="4" customWidth="1"/>
    <col min="7177" max="7178" width="13" style="4" customWidth="1"/>
    <col min="7179" max="7422" width="9.140625" style="4"/>
    <col min="7423" max="7423" width="14" style="4" customWidth="1"/>
    <col min="7424" max="7424" width="2" style="4" customWidth="1"/>
    <col min="7425" max="7425" width="11.85546875" style="4" customWidth="1"/>
    <col min="7426" max="7426" width="13.5703125" style="4" customWidth="1"/>
    <col min="7427" max="7428" width="13.85546875" style="4" customWidth="1"/>
    <col min="7429" max="7430" width="14.85546875" style="4" customWidth="1"/>
    <col min="7431" max="7431" width="8.85546875" style="4" customWidth="1"/>
    <col min="7432" max="7432" width="12.5703125" style="4" customWidth="1"/>
    <col min="7433" max="7434" width="13" style="4" customWidth="1"/>
    <col min="7435" max="7678" width="9.140625" style="4"/>
    <col min="7679" max="7679" width="14" style="4" customWidth="1"/>
    <col min="7680" max="7680" width="2" style="4" customWidth="1"/>
    <col min="7681" max="7681" width="11.85546875" style="4" customWidth="1"/>
    <col min="7682" max="7682" width="13.5703125" style="4" customWidth="1"/>
    <col min="7683" max="7684" width="13.85546875" style="4" customWidth="1"/>
    <col min="7685" max="7686" width="14.85546875" style="4" customWidth="1"/>
    <col min="7687" max="7687" width="8.85546875" style="4" customWidth="1"/>
    <col min="7688" max="7688" width="12.5703125" style="4" customWidth="1"/>
    <col min="7689" max="7690" width="13" style="4" customWidth="1"/>
    <col min="7691" max="7934" width="9.140625" style="4"/>
    <col min="7935" max="7935" width="14" style="4" customWidth="1"/>
    <col min="7936" max="7936" width="2" style="4" customWidth="1"/>
    <col min="7937" max="7937" width="11.85546875" style="4" customWidth="1"/>
    <col min="7938" max="7938" width="13.5703125" style="4" customWidth="1"/>
    <col min="7939" max="7940" width="13.85546875" style="4" customWidth="1"/>
    <col min="7941" max="7942" width="14.85546875" style="4" customWidth="1"/>
    <col min="7943" max="7943" width="8.85546875" style="4" customWidth="1"/>
    <col min="7944" max="7944" width="12.5703125" style="4" customWidth="1"/>
    <col min="7945" max="7946" width="13" style="4" customWidth="1"/>
    <col min="7947" max="8190" width="9.140625" style="4"/>
    <col min="8191" max="8191" width="14" style="4" customWidth="1"/>
    <col min="8192" max="8192" width="2" style="4" customWidth="1"/>
    <col min="8193" max="8193" width="11.85546875" style="4" customWidth="1"/>
    <col min="8194" max="8194" width="13.5703125" style="4" customWidth="1"/>
    <col min="8195" max="8196" width="13.85546875" style="4" customWidth="1"/>
    <col min="8197" max="8198" width="14.85546875" style="4" customWidth="1"/>
    <col min="8199" max="8199" width="8.85546875" style="4" customWidth="1"/>
    <col min="8200" max="8200" width="12.5703125" style="4" customWidth="1"/>
    <col min="8201" max="8202" width="13" style="4" customWidth="1"/>
    <col min="8203" max="8446" width="9.140625" style="4"/>
    <col min="8447" max="8447" width="14" style="4" customWidth="1"/>
    <col min="8448" max="8448" width="2" style="4" customWidth="1"/>
    <col min="8449" max="8449" width="11.85546875" style="4" customWidth="1"/>
    <col min="8450" max="8450" width="13.5703125" style="4" customWidth="1"/>
    <col min="8451" max="8452" width="13.85546875" style="4" customWidth="1"/>
    <col min="8453" max="8454" width="14.85546875" style="4" customWidth="1"/>
    <col min="8455" max="8455" width="8.85546875" style="4" customWidth="1"/>
    <col min="8456" max="8456" width="12.5703125" style="4" customWidth="1"/>
    <col min="8457" max="8458" width="13" style="4" customWidth="1"/>
    <col min="8459" max="8702" width="9.140625" style="4"/>
    <col min="8703" max="8703" width="14" style="4" customWidth="1"/>
    <col min="8704" max="8704" width="2" style="4" customWidth="1"/>
    <col min="8705" max="8705" width="11.85546875" style="4" customWidth="1"/>
    <col min="8706" max="8706" width="13.5703125" style="4" customWidth="1"/>
    <col min="8707" max="8708" width="13.85546875" style="4" customWidth="1"/>
    <col min="8709" max="8710" width="14.85546875" style="4" customWidth="1"/>
    <col min="8711" max="8711" width="8.85546875" style="4" customWidth="1"/>
    <col min="8712" max="8712" width="12.5703125" style="4" customWidth="1"/>
    <col min="8713" max="8714" width="13" style="4" customWidth="1"/>
    <col min="8715" max="8958" width="9.140625" style="4"/>
    <col min="8959" max="8959" width="14" style="4" customWidth="1"/>
    <col min="8960" max="8960" width="2" style="4" customWidth="1"/>
    <col min="8961" max="8961" width="11.85546875" style="4" customWidth="1"/>
    <col min="8962" max="8962" width="13.5703125" style="4" customWidth="1"/>
    <col min="8963" max="8964" width="13.85546875" style="4" customWidth="1"/>
    <col min="8965" max="8966" width="14.85546875" style="4" customWidth="1"/>
    <col min="8967" max="8967" width="8.85546875" style="4" customWidth="1"/>
    <col min="8968" max="8968" width="12.5703125" style="4" customWidth="1"/>
    <col min="8969" max="8970" width="13" style="4" customWidth="1"/>
    <col min="8971" max="9214" width="9.140625" style="4"/>
    <col min="9215" max="9215" width="14" style="4" customWidth="1"/>
    <col min="9216" max="9216" width="2" style="4" customWidth="1"/>
    <col min="9217" max="9217" width="11.85546875" style="4" customWidth="1"/>
    <col min="9218" max="9218" width="13.5703125" style="4" customWidth="1"/>
    <col min="9219" max="9220" width="13.85546875" style="4" customWidth="1"/>
    <col min="9221" max="9222" width="14.85546875" style="4" customWidth="1"/>
    <col min="9223" max="9223" width="8.85546875" style="4" customWidth="1"/>
    <col min="9224" max="9224" width="12.5703125" style="4" customWidth="1"/>
    <col min="9225" max="9226" width="13" style="4" customWidth="1"/>
    <col min="9227" max="9470" width="9.140625" style="4"/>
    <col min="9471" max="9471" width="14" style="4" customWidth="1"/>
    <col min="9472" max="9472" width="2" style="4" customWidth="1"/>
    <col min="9473" max="9473" width="11.85546875" style="4" customWidth="1"/>
    <col min="9474" max="9474" width="13.5703125" style="4" customWidth="1"/>
    <col min="9475" max="9476" width="13.85546875" style="4" customWidth="1"/>
    <col min="9477" max="9478" width="14.85546875" style="4" customWidth="1"/>
    <col min="9479" max="9479" width="8.85546875" style="4" customWidth="1"/>
    <col min="9480" max="9480" width="12.5703125" style="4" customWidth="1"/>
    <col min="9481" max="9482" width="13" style="4" customWidth="1"/>
    <col min="9483" max="9726" width="9.140625" style="4"/>
    <col min="9727" max="9727" width="14" style="4" customWidth="1"/>
    <col min="9728" max="9728" width="2" style="4" customWidth="1"/>
    <col min="9729" max="9729" width="11.85546875" style="4" customWidth="1"/>
    <col min="9730" max="9730" width="13.5703125" style="4" customWidth="1"/>
    <col min="9731" max="9732" width="13.85546875" style="4" customWidth="1"/>
    <col min="9733" max="9734" width="14.85546875" style="4" customWidth="1"/>
    <col min="9735" max="9735" width="8.85546875" style="4" customWidth="1"/>
    <col min="9736" max="9736" width="12.5703125" style="4" customWidth="1"/>
    <col min="9737" max="9738" width="13" style="4" customWidth="1"/>
    <col min="9739" max="9982" width="9.140625" style="4"/>
    <col min="9983" max="9983" width="14" style="4" customWidth="1"/>
    <col min="9984" max="9984" width="2" style="4" customWidth="1"/>
    <col min="9985" max="9985" width="11.85546875" style="4" customWidth="1"/>
    <col min="9986" max="9986" width="13.5703125" style="4" customWidth="1"/>
    <col min="9987" max="9988" width="13.85546875" style="4" customWidth="1"/>
    <col min="9989" max="9990" width="14.85546875" style="4" customWidth="1"/>
    <col min="9991" max="9991" width="8.85546875" style="4" customWidth="1"/>
    <col min="9992" max="9992" width="12.5703125" style="4" customWidth="1"/>
    <col min="9993" max="9994" width="13" style="4" customWidth="1"/>
    <col min="9995" max="10238" width="9.140625" style="4"/>
    <col min="10239" max="10239" width="14" style="4" customWidth="1"/>
    <col min="10240" max="10240" width="2" style="4" customWidth="1"/>
    <col min="10241" max="10241" width="11.85546875" style="4" customWidth="1"/>
    <col min="10242" max="10242" width="13.5703125" style="4" customWidth="1"/>
    <col min="10243" max="10244" width="13.85546875" style="4" customWidth="1"/>
    <col min="10245" max="10246" width="14.85546875" style="4" customWidth="1"/>
    <col min="10247" max="10247" width="8.85546875" style="4" customWidth="1"/>
    <col min="10248" max="10248" width="12.5703125" style="4" customWidth="1"/>
    <col min="10249" max="10250" width="13" style="4" customWidth="1"/>
    <col min="10251" max="10494" width="9.140625" style="4"/>
    <col min="10495" max="10495" width="14" style="4" customWidth="1"/>
    <col min="10496" max="10496" width="2" style="4" customWidth="1"/>
    <col min="10497" max="10497" width="11.85546875" style="4" customWidth="1"/>
    <col min="10498" max="10498" width="13.5703125" style="4" customWidth="1"/>
    <col min="10499" max="10500" width="13.85546875" style="4" customWidth="1"/>
    <col min="10501" max="10502" width="14.85546875" style="4" customWidth="1"/>
    <col min="10503" max="10503" width="8.85546875" style="4" customWidth="1"/>
    <col min="10504" max="10504" width="12.5703125" style="4" customWidth="1"/>
    <col min="10505" max="10506" width="13" style="4" customWidth="1"/>
    <col min="10507" max="10750" width="9.140625" style="4"/>
    <col min="10751" max="10751" width="14" style="4" customWidth="1"/>
    <col min="10752" max="10752" width="2" style="4" customWidth="1"/>
    <col min="10753" max="10753" width="11.85546875" style="4" customWidth="1"/>
    <col min="10754" max="10754" width="13.5703125" style="4" customWidth="1"/>
    <col min="10755" max="10756" width="13.85546875" style="4" customWidth="1"/>
    <col min="10757" max="10758" width="14.85546875" style="4" customWidth="1"/>
    <col min="10759" max="10759" width="8.85546875" style="4" customWidth="1"/>
    <col min="10760" max="10760" width="12.5703125" style="4" customWidth="1"/>
    <col min="10761" max="10762" width="13" style="4" customWidth="1"/>
    <col min="10763" max="11006" width="9.140625" style="4"/>
    <col min="11007" max="11007" width="14" style="4" customWidth="1"/>
    <col min="11008" max="11008" width="2" style="4" customWidth="1"/>
    <col min="11009" max="11009" width="11.85546875" style="4" customWidth="1"/>
    <col min="11010" max="11010" width="13.5703125" style="4" customWidth="1"/>
    <col min="11011" max="11012" width="13.85546875" style="4" customWidth="1"/>
    <col min="11013" max="11014" width="14.85546875" style="4" customWidth="1"/>
    <col min="11015" max="11015" width="8.85546875" style="4" customWidth="1"/>
    <col min="11016" max="11016" width="12.5703125" style="4" customWidth="1"/>
    <col min="11017" max="11018" width="13" style="4" customWidth="1"/>
    <col min="11019" max="11262" width="9.140625" style="4"/>
    <col min="11263" max="11263" width="14" style="4" customWidth="1"/>
    <col min="11264" max="11264" width="2" style="4" customWidth="1"/>
    <col min="11265" max="11265" width="11.85546875" style="4" customWidth="1"/>
    <col min="11266" max="11266" width="13.5703125" style="4" customWidth="1"/>
    <col min="11267" max="11268" width="13.85546875" style="4" customWidth="1"/>
    <col min="11269" max="11270" width="14.85546875" style="4" customWidth="1"/>
    <col min="11271" max="11271" width="8.85546875" style="4" customWidth="1"/>
    <col min="11272" max="11272" width="12.5703125" style="4" customWidth="1"/>
    <col min="11273" max="11274" width="13" style="4" customWidth="1"/>
    <col min="11275" max="11518" width="9.140625" style="4"/>
    <col min="11519" max="11519" width="14" style="4" customWidth="1"/>
    <col min="11520" max="11520" width="2" style="4" customWidth="1"/>
    <col min="11521" max="11521" width="11.85546875" style="4" customWidth="1"/>
    <col min="11522" max="11522" width="13.5703125" style="4" customWidth="1"/>
    <col min="11523" max="11524" width="13.85546875" style="4" customWidth="1"/>
    <col min="11525" max="11526" width="14.85546875" style="4" customWidth="1"/>
    <col min="11527" max="11527" width="8.85546875" style="4" customWidth="1"/>
    <col min="11528" max="11528" width="12.5703125" style="4" customWidth="1"/>
    <col min="11529" max="11530" width="13" style="4" customWidth="1"/>
    <col min="11531" max="11774" width="9.140625" style="4"/>
    <col min="11775" max="11775" width="14" style="4" customWidth="1"/>
    <col min="11776" max="11776" width="2" style="4" customWidth="1"/>
    <col min="11777" max="11777" width="11.85546875" style="4" customWidth="1"/>
    <col min="11778" max="11778" width="13.5703125" style="4" customWidth="1"/>
    <col min="11779" max="11780" width="13.85546875" style="4" customWidth="1"/>
    <col min="11781" max="11782" width="14.85546875" style="4" customWidth="1"/>
    <col min="11783" max="11783" width="8.85546875" style="4" customWidth="1"/>
    <col min="11784" max="11784" width="12.5703125" style="4" customWidth="1"/>
    <col min="11785" max="11786" width="13" style="4" customWidth="1"/>
    <col min="11787" max="12030" width="9.140625" style="4"/>
    <col min="12031" max="12031" width="14" style="4" customWidth="1"/>
    <col min="12032" max="12032" width="2" style="4" customWidth="1"/>
    <col min="12033" max="12033" width="11.85546875" style="4" customWidth="1"/>
    <col min="12034" max="12034" width="13.5703125" style="4" customWidth="1"/>
    <col min="12035" max="12036" width="13.85546875" style="4" customWidth="1"/>
    <col min="12037" max="12038" width="14.85546875" style="4" customWidth="1"/>
    <col min="12039" max="12039" width="8.85546875" style="4" customWidth="1"/>
    <col min="12040" max="12040" width="12.5703125" style="4" customWidth="1"/>
    <col min="12041" max="12042" width="13" style="4" customWidth="1"/>
    <col min="12043" max="12286" width="9.140625" style="4"/>
    <col min="12287" max="12287" width="14" style="4" customWidth="1"/>
    <col min="12288" max="12288" width="2" style="4" customWidth="1"/>
    <col min="12289" max="12289" width="11.85546875" style="4" customWidth="1"/>
    <col min="12290" max="12290" width="13.5703125" style="4" customWidth="1"/>
    <col min="12291" max="12292" width="13.85546875" style="4" customWidth="1"/>
    <col min="12293" max="12294" width="14.85546875" style="4" customWidth="1"/>
    <col min="12295" max="12295" width="8.85546875" style="4" customWidth="1"/>
    <col min="12296" max="12296" width="12.5703125" style="4" customWidth="1"/>
    <col min="12297" max="12298" width="13" style="4" customWidth="1"/>
    <col min="12299" max="12542" width="9.140625" style="4"/>
    <col min="12543" max="12543" width="14" style="4" customWidth="1"/>
    <col min="12544" max="12544" width="2" style="4" customWidth="1"/>
    <col min="12545" max="12545" width="11.85546875" style="4" customWidth="1"/>
    <col min="12546" max="12546" width="13.5703125" style="4" customWidth="1"/>
    <col min="12547" max="12548" width="13.85546875" style="4" customWidth="1"/>
    <col min="12549" max="12550" width="14.85546875" style="4" customWidth="1"/>
    <col min="12551" max="12551" width="8.85546875" style="4" customWidth="1"/>
    <col min="12552" max="12552" width="12.5703125" style="4" customWidth="1"/>
    <col min="12553" max="12554" width="13" style="4" customWidth="1"/>
    <col min="12555" max="12798" width="9.140625" style="4"/>
    <col min="12799" max="12799" width="14" style="4" customWidth="1"/>
    <col min="12800" max="12800" width="2" style="4" customWidth="1"/>
    <col min="12801" max="12801" width="11.85546875" style="4" customWidth="1"/>
    <col min="12802" max="12802" width="13.5703125" style="4" customWidth="1"/>
    <col min="12803" max="12804" width="13.85546875" style="4" customWidth="1"/>
    <col min="12805" max="12806" width="14.85546875" style="4" customWidth="1"/>
    <col min="12807" max="12807" width="8.85546875" style="4" customWidth="1"/>
    <col min="12808" max="12808" width="12.5703125" style="4" customWidth="1"/>
    <col min="12809" max="12810" width="13" style="4" customWidth="1"/>
    <col min="12811" max="13054" width="9.140625" style="4"/>
    <col min="13055" max="13055" width="14" style="4" customWidth="1"/>
    <col min="13056" max="13056" width="2" style="4" customWidth="1"/>
    <col min="13057" max="13057" width="11.85546875" style="4" customWidth="1"/>
    <col min="13058" max="13058" width="13.5703125" style="4" customWidth="1"/>
    <col min="13059" max="13060" width="13.85546875" style="4" customWidth="1"/>
    <col min="13061" max="13062" width="14.85546875" style="4" customWidth="1"/>
    <col min="13063" max="13063" width="8.85546875" style="4" customWidth="1"/>
    <col min="13064" max="13064" width="12.5703125" style="4" customWidth="1"/>
    <col min="13065" max="13066" width="13" style="4" customWidth="1"/>
    <col min="13067" max="13310" width="9.140625" style="4"/>
    <col min="13311" max="13311" width="14" style="4" customWidth="1"/>
    <col min="13312" max="13312" width="2" style="4" customWidth="1"/>
    <col min="13313" max="13313" width="11.85546875" style="4" customWidth="1"/>
    <col min="13314" max="13314" width="13.5703125" style="4" customWidth="1"/>
    <col min="13315" max="13316" width="13.85546875" style="4" customWidth="1"/>
    <col min="13317" max="13318" width="14.85546875" style="4" customWidth="1"/>
    <col min="13319" max="13319" width="8.85546875" style="4" customWidth="1"/>
    <col min="13320" max="13320" width="12.5703125" style="4" customWidth="1"/>
    <col min="13321" max="13322" width="13" style="4" customWidth="1"/>
    <col min="13323" max="13566" width="9.140625" style="4"/>
    <col min="13567" max="13567" width="14" style="4" customWidth="1"/>
    <col min="13568" max="13568" width="2" style="4" customWidth="1"/>
    <col min="13569" max="13569" width="11.85546875" style="4" customWidth="1"/>
    <col min="13570" max="13570" width="13.5703125" style="4" customWidth="1"/>
    <col min="13571" max="13572" width="13.85546875" style="4" customWidth="1"/>
    <col min="13573" max="13574" width="14.85546875" style="4" customWidth="1"/>
    <col min="13575" max="13575" width="8.85546875" style="4" customWidth="1"/>
    <col min="13576" max="13576" width="12.5703125" style="4" customWidth="1"/>
    <col min="13577" max="13578" width="13" style="4" customWidth="1"/>
    <col min="13579" max="13822" width="9.140625" style="4"/>
    <col min="13823" max="13823" width="14" style="4" customWidth="1"/>
    <col min="13824" max="13824" width="2" style="4" customWidth="1"/>
    <col min="13825" max="13825" width="11.85546875" style="4" customWidth="1"/>
    <col min="13826" max="13826" width="13.5703125" style="4" customWidth="1"/>
    <col min="13827" max="13828" width="13.85546875" style="4" customWidth="1"/>
    <col min="13829" max="13830" width="14.85546875" style="4" customWidth="1"/>
    <col min="13831" max="13831" width="8.85546875" style="4" customWidth="1"/>
    <col min="13832" max="13832" width="12.5703125" style="4" customWidth="1"/>
    <col min="13833" max="13834" width="13" style="4" customWidth="1"/>
    <col min="13835" max="14078" width="9.140625" style="4"/>
    <col min="14079" max="14079" width="14" style="4" customWidth="1"/>
    <col min="14080" max="14080" width="2" style="4" customWidth="1"/>
    <col min="14081" max="14081" width="11.85546875" style="4" customWidth="1"/>
    <col min="14082" max="14082" width="13.5703125" style="4" customWidth="1"/>
    <col min="14083" max="14084" width="13.85546875" style="4" customWidth="1"/>
    <col min="14085" max="14086" width="14.85546875" style="4" customWidth="1"/>
    <col min="14087" max="14087" width="8.85546875" style="4" customWidth="1"/>
    <col min="14088" max="14088" width="12.5703125" style="4" customWidth="1"/>
    <col min="14089" max="14090" width="13" style="4" customWidth="1"/>
    <col min="14091" max="14334" width="9.140625" style="4"/>
    <col min="14335" max="14335" width="14" style="4" customWidth="1"/>
    <col min="14336" max="14336" width="2" style="4" customWidth="1"/>
    <col min="14337" max="14337" width="11.85546875" style="4" customWidth="1"/>
    <col min="14338" max="14338" width="13.5703125" style="4" customWidth="1"/>
    <col min="14339" max="14340" width="13.85546875" style="4" customWidth="1"/>
    <col min="14341" max="14342" width="14.85546875" style="4" customWidth="1"/>
    <col min="14343" max="14343" width="8.85546875" style="4" customWidth="1"/>
    <col min="14344" max="14344" width="12.5703125" style="4" customWidth="1"/>
    <col min="14345" max="14346" width="13" style="4" customWidth="1"/>
    <col min="14347" max="14590" width="9.140625" style="4"/>
    <col min="14591" max="14591" width="14" style="4" customWidth="1"/>
    <col min="14592" max="14592" width="2" style="4" customWidth="1"/>
    <col min="14593" max="14593" width="11.85546875" style="4" customWidth="1"/>
    <col min="14594" max="14594" width="13.5703125" style="4" customWidth="1"/>
    <col min="14595" max="14596" width="13.85546875" style="4" customWidth="1"/>
    <col min="14597" max="14598" width="14.85546875" style="4" customWidth="1"/>
    <col min="14599" max="14599" width="8.85546875" style="4" customWidth="1"/>
    <col min="14600" max="14600" width="12.5703125" style="4" customWidth="1"/>
    <col min="14601" max="14602" width="13" style="4" customWidth="1"/>
    <col min="14603" max="14846" width="9.140625" style="4"/>
    <col min="14847" max="14847" width="14" style="4" customWidth="1"/>
    <col min="14848" max="14848" width="2" style="4" customWidth="1"/>
    <col min="14849" max="14849" width="11.85546875" style="4" customWidth="1"/>
    <col min="14850" max="14850" width="13.5703125" style="4" customWidth="1"/>
    <col min="14851" max="14852" width="13.85546875" style="4" customWidth="1"/>
    <col min="14853" max="14854" width="14.85546875" style="4" customWidth="1"/>
    <col min="14855" max="14855" width="8.85546875" style="4" customWidth="1"/>
    <col min="14856" max="14856" width="12.5703125" style="4" customWidth="1"/>
    <col min="14857" max="14858" width="13" style="4" customWidth="1"/>
    <col min="14859" max="15102" width="9.140625" style="4"/>
    <col min="15103" max="15103" width="14" style="4" customWidth="1"/>
    <col min="15104" max="15104" width="2" style="4" customWidth="1"/>
    <col min="15105" max="15105" width="11.85546875" style="4" customWidth="1"/>
    <col min="15106" max="15106" width="13.5703125" style="4" customWidth="1"/>
    <col min="15107" max="15108" width="13.85546875" style="4" customWidth="1"/>
    <col min="15109" max="15110" width="14.85546875" style="4" customWidth="1"/>
    <col min="15111" max="15111" width="8.85546875" style="4" customWidth="1"/>
    <col min="15112" max="15112" width="12.5703125" style="4" customWidth="1"/>
    <col min="15113" max="15114" width="13" style="4" customWidth="1"/>
    <col min="15115" max="15358" width="9.140625" style="4"/>
    <col min="15359" max="15359" width="14" style="4" customWidth="1"/>
    <col min="15360" max="15360" width="2" style="4" customWidth="1"/>
    <col min="15361" max="15361" width="11.85546875" style="4" customWidth="1"/>
    <col min="15362" max="15362" width="13.5703125" style="4" customWidth="1"/>
    <col min="15363" max="15364" width="13.85546875" style="4" customWidth="1"/>
    <col min="15365" max="15366" width="14.85546875" style="4" customWidth="1"/>
    <col min="15367" max="15367" width="8.85546875" style="4" customWidth="1"/>
    <col min="15368" max="15368" width="12.5703125" style="4" customWidth="1"/>
    <col min="15369" max="15370" width="13" style="4" customWidth="1"/>
    <col min="15371" max="15614" width="9.140625" style="4"/>
    <col min="15615" max="15615" width="14" style="4" customWidth="1"/>
    <col min="15616" max="15616" width="2" style="4" customWidth="1"/>
    <col min="15617" max="15617" width="11.85546875" style="4" customWidth="1"/>
    <col min="15618" max="15618" width="13.5703125" style="4" customWidth="1"/>
    <col min="15619" max="15620" width="13.85546875" style="4" customWidth="1"/>
    <col min="15621" max="15622" width="14.85546875" style="4" customWidth="1"/>
    <col min="15623" max="15623" width="8.85546875" style="4" customWidth="1"/>
    <col min="15624" max="15624" width="12.5703125" style="4" customWidth="1"/>
    <col min="15625" max="15626" width="13" style="4" customWidth="1"/>
    <col min="15627" max="15870" width="9.140625" style="4"/>
    <col min="15871" max="15871" width="14" style="4" customWidth="1"/>
    <col min="15872" max="15872" width="2" style="4" customWidth="1"/>
    <col min="15873" max="15873" width="11.85546875" style="4" customWidth="1"/>
    <col min="15874" max="15874" width="13.5703125" style="4" customWidth="1"/>
    <col min="15875" max="15876" width="13.85546875" style="4" customWidth="1"/>
    <col min="15877" max="15878" width="14.85546875" style="4" customWidth="1"/>
    <col min="15879" max="15879" width="8.85546875" style="4" customWidth="1"/>
    <col min="15880" max="15880" width="12.5703125" style="4" customWidth="1"/>
    <col min="15881" max="15882" width="13" style="4" customWidth="1"/>
    <col min="15883" max="16126" width="9.140625" style="4"/>
    <col min="16127" max="16127" width="14" style="4" customWidth="1"/>
    <col min="16128" max="16128" width="2" style="4" customWidth="1"/>
    <col min="16129" max="16129" width="11.85546875" style="4" customWidth="1"/>
    <col min="16130" max="16130" width="13.5703125" style="4" customWidth="1"/>
    <col min="16131" max="16132" width="13.85546875" style="4" customWidth="1"/>
    <col min="16133" max="16134" width="14.85546875" style="4" customWidth="1"/>
    <col min="16135" max="16135" width="8.85546875" style="4" customWidth="1"/>
    <col min="16136" max="16136" width="12.5703125" style="4" customWidth="1"/>
    <col min="16137" max="16138" width="13" style="4" customWidth="1"/>
    <col min="16139" max="16384" width="9.140625" style="4"/>
  </cols>
  <sheetData>
    <row r="1" spans="1:10" ht="10.5" customHeight="1" thickBot="1" x14ac:dyDescent="0.45">
      <c r="A1" s="1"/>
      <c r="B1" s="29"/>
      <c r="C1" s="1"/>
      <c r="D1" s="2"/>
      <c r="E1" s="1"/>
      <c r="F1" s="1"/>
      <c r="G1" s="30"/>
      <c r="H1" s="30"/>
      <c r="I1" s="3"/>
      <c r="J1" s="3"/>
    </row>
    <row r="2" spans="1:10" ht="35.25" customHeight="1" thickBot="1" x14ac:dyDescent="0.2">
      <c r="A2" s="5" t="s">
        <v>0</v>
      </c>
      <c r="B2" s="29"/>
      <c r="C2" s="31" t="s">
        <v>10</v>
      </c>
      <c r="D2" s="32"/>
      <c r="E2" s="33" t="s">
        <v>11</v>
      </c>
      <c r="F2" s="33"/>
      <c r="G2" s="34" t="s">
        <v>1</v>
      </c>
      <c r="H2" s="35"/>
      <c r="I2" s="6"/>
      <c r="J2" s="6"/>
    </row>
    <row r="3" spans="1:10" ht="44.25" customHeight="1" x14ac:dyDescent="0.15">
      <c r="A3" s="7" t="s">
        <v>2</v>
      </c>
      <c r="B3" s="29"/>
      <c r="C3" s="8" t="s">
        <v>3</v>
      </c>
      <c r="D3" s="9" t="s">
        <v>4</v>
      </c>
      <c r="E3" s="10" t="s">
        <v>5</v>
      </c>
      <c r="F3" s="10" t="s">
        <v>4</v>
      </c>
      <c r="G3" s="10" t="s">
        <v>6</v>
      </c>
      <c r="H3" s="11" t="s">
        <v>7</v>
      </c>
      <c r="I3" s="12" t="s">
        <v>8</v>
      </c>
      <c r="J3" s="12" t="s">
        <v>9</v>
      </c>
    </row>
    <row r="4" spans="1:10" s="17" customFormat="1" ht="35.25" customHeight="1" x14ac:dyDescent="0.15">
      <c r="A4" s="13">
        <v>44895</v>
      </c>
      <c r="B4" s="29"/>
      <c r="C4" s="14">
        <v>27600.999999999869</v>
      </c>
      <c r="D4" s="15"/>
      <c r="E4" s="14">
        <v>1399</v>
      </c>
      <c r="F4" s="16"/>
      <c r="G4" s="14">
        <v>327</v>
      </c>
      <c r="I4" s="18"/>
      <c r="J4" s="18"/>
    </row>
    <row r="5" spans="1:10" ht="33" customHeight="1" x14ac:dyDescent="0.15">
      <c r="A5" s="19">
        <v>44896</v>
      </c>
      <c r="B5" s="29"/>
      <c r="C5" s="20">
        <v>19224.999999997657</v>
      </c>
      <c r="D5" s="21" t="str">
        <f t="shared" ref="D5:D22" si="0">IF((C5-C4&lt;0), "0",C5-C4)</f>
        <v>0</v>
      </c>
      <c r="E5" s="20">
        <v>1363</v>
      </c>
      <c r="F5" s="21" t="str">
        <f>IF((E5-E4&lt;0), "0",E5-E4)</f>
        <v>0</v>
      </c>
      <c r="G5" s="20">
        <v>360</v>
      </c>
      <c r="H5" s="21">
        <f>IF((G5-G4&lt;0), "0",G5-G4)</f>
        <v>33</v>
      </c>
      <c r="I5" s="22"/>
      <c r="J5" s="22"/>
    </row>
    <row r="6" spans="1:10" ht="45" customHeight="1" x14ac:dyDescent="0.15">
      <c r="A6" s="19">
        <v>44897</v>
      </c>
      <c r="B6" s="29"/>
      <c r="C6" s="20">
        <v>18580.000000000593</v>
      </c>
      <c r="D6" s="21" t="str">
        <f t="shared" si="0"/>
        <v>0</v>
      </c>
      <c r="E6" s="20">
        <v>1450</v>
      </c>
      <c r="F6" s="21">
        <f t="shared" ref="F6:F35" si="1">IF((E6-E5&lt;0), "0",E6-E5)</f>
        <v>87</v>
      </c>
      <c r="G6" s="20">
        <v>236</v>
      </c>
      <c r="H6" s="21" t="str">
        <f t="shared" ref="H6:H35" si="2">IF((G6-G5&lt;0), "0",G6-G5)</f>
        <v>0</v>
      </c>
      <c r="I6" s="3"/>
      <c r="J6" s="3"/>
    </row>
    <row r="7" spans="1:10" ht="45" customHeight="1" x14ac:dyDescent="0.15">
      <c r="A7" s="19">
        <v>44898</v>
      </c>
      <c r="B7" s="29"/>
      <c r="C7" s="20">
        <v>21210.000000000473</v>
      </c>
      <c r="D7" s="21">
        <f t="shared" si="0"/>
        <v>2629.9999999998799</v>
      </c>
      <c r="E7" s="20">
        <v>1645</v>
      </c>
      <c r="F7" s="21">
        <f t="shared" si="1"/>
        <v>195</v>
      </c>
      <c r="G7" s="20">
        <v>419</v>
      </c>
      <c r="H7" s="21">
        <f t="shared" si="2"/>
        <v>183</v>
      </c>
      <c r="I7" s="3"/>
      <c r="J7" s="3"/>
    </row>
    <row r="8" spans="1:10" ht="45" customHeight="1" x14ac:dyDescent="0.15">
      <c r="A8" s="19">
        <v>44899</v>
      </c>
      <c r="B8" s="29"/>
      <c r="C8" s="20">
        <v>21873.000000000124</v>
      </c>
      <c r="D8" s="21">
        <f t="shared" si="0"/>
        <v>662.99999999965075</v>
      </c>
      <c r="E8" s="20">
        <v>1331</v>
      </c>
      <c r="F8" s="21" t="str">
        <f t="shared" si="1"/>
        <v>0</v>
      </c>
      <c r="G8" s="20">
        <v>341</v>
      </c>
      <c r="H8" s="21" t="str">
        <f t="shared" si="2"/>
        <v>0</v>
      </c>
      <c r="I8" s="3"/>
      <c r="J8" s="3"/>
    </row>
    <row r="9" spans="1:10" ht="45" customHeight="1" x14ac:dyDescent="0.15">
      <c r="A9" s="19">
        <v>44900</v>
      </c>
      <c r="B9" s="29"/>
      <c r="C9" s="20">
        <v>21306.000000000073</v>
      </c>
      <c r="D9" s="21" t="str">
        <f t="shared" si="0"/>
        <v>0</v>
      </c>
      <c r="E9" s="20">
        <v>1394</v>
      </c>
      <c r="F9" s="21">
        <f t="shared" si="1"/>
        <v>63</v>
      </c>
      <c r="G9" s="20">
        <v>423</v>
      </c>
      <c r="H9" s="21">
        <f t="shared" si="2"/>
        <v>82</v>
      </c>
      <c r="I9" s="3"/>
      <c r="J9" s="3"/>
    </row>
    <row r="10" spans="1:10" ht="45" customHeight="1" x14ac:dyDescent="0.15">
      <c r="A10" s="19">
        <v>44901</v>
      </c>
      <c r="B10" s="29"/>
      <c r="C10" s="20">
        <v>18261.000000000393</v>
      </c>
      <c r="D10" s="21" t="str">
        <f t="shared" si="0"/>
        <v>0</v>
      </c>
      <c r="E10" s="20">
        <v>1397</v>
      </c>
      <c r="F10" s="21">
        <f t="shared" si="1"/>
        <v>3</v>
      </c>
      <c r="G10" s="20">
        <v>303</v>
      </c>
      <c r="H10" s="21" t="str">
        <f t="shared" si="2"/>
        <v>0</v>
      </c>
      <c r="I10" s="3"/>
      <c r="J10" s="3"/>
    </row>
    <row r="11" spans="1:10" ht="45" customHeight="1" x14ac:dyDescent="0.15">
      <c r="A11" s="19">
        <v>44902</v>
      </c>
      <c r="B11" s="29"/>
      <c r="C11" s="20">
        <v>20761.999999999607</v>
      </c>
      <c r="D11" s="21">
        <f t="shared" si="0"/>
        <v>2500.9999999992142</v>
      </c>
      <c r="E11" s="20">
        <v>1475</v>
      </c>
      <c r="F11" s="21">
        <f t="shared" si="1"/>
        <v>78</v>
      </c>
      <c r="G11" s="20">
        <v>335</v>
      </c>
      <c r="H11" s="21">
        <f t="shared" si="2"/>
        <v>32</v>
      </c>
      <c r="I11" s="3"/>
      <c r="J11" s="3"/>
    </row>
    <row r="12" spans="1:10" ht="45" customHeight="1" x14ac:dyDescent="0.15">
      <c r="A12" s="19">
        <v>44903</v>
      </c>
      <c r="B12" s="29"/>
      <c r="C12" s="20">
        <v>20885.999999999764</v>
      </c>
      <c r="D12" s="21">
        <f t="shared" si="0"/>
        <v>124.00000000015643</v>
      </c>
      <c r="E12" s="20">
        <v>1398</v>
      </c>
      <c r="F12" s="21" t="str">
        <f t="shared" si="1"/>
        <v>0</v>
      </c>
      <c r="G12" s="20">
        <v>349</v>
      </c>
      <c r="H12" s="21">
        <f t="shared" si="2"/>
        <v>14</v>
      </c>
      <c r="I12" s="3"/>
      <c r="J12" s="3"/>
    </row>
    <row r="13" spans="1:10" ht="45" customHeight="1" x14ac:dyDescent="0.15">
      <c r="A13" s="19">
        <v>44904</v>
      </c>
      <c r="B13" s="29"/>
      <c r="C13" s="20">
        <v>22673.999999999887</v>
      </c>
      <c r="D13" s="21">
        <f t="shared" si="0"/>
        <v>1788.0000000001237</v>
      </c>
      <c r="E13" s="20">
        <v>1564</v>
      </c>
      <c r="F13" s="21">
        <f t="shared" si="1"/>
        <v>166</v>
      </c>
      <c r="G13" s="20">
        <v>355</v>
      </c>
      <c r="H13" s="21">
        <f t="shared" si="2"/>
        <v>6</v>
      </c>
      <c r="I13" s="3"/>
      <c r="J13" s="3"/>
    </row>
    <row r="14" spans="1:10" ht="45" customHeight="1" x14ac:dyDescent="0.15">
      <c r="A14" s="19">
        <v>44905</v>
      </c>
      <c r="B14" s="29"/>
      <c r="C14" s="20">
        <v>19957.000000000062</v>
      </c>
      <c r="D14" s="21" t="str">
        <f t="shared" si="0"/>
        <v>0</v>
      </c>
      <c r="E14" s="20">
        <v>1588</v>
      </c>
      <c r="F14" s="21">
        <f t="shared" si="1"/>
        <v>24</v>
      </c>
      <c r="G14" s="20">
        <v>333</v>
      </c>
      <c r="H14" s="21" t="str">
        <f t="shared" si="2"/>
        <v>0</v>
      </c>
      <c r="I14" s="3"/>
      <c r="J14" s="3"/>
    </row>
    <row r="15" spans="1:10" ht="45" customHeight="1" x14ac:dyDescent="0.15">
      <c r="A15" s="19">
        <v>44906</v>
      </c>
      <c r="B15" s="29"/>
      <c r="C15" s="20">
        <v>20377.000000000709</v>
      </c>
      <c r="D15" s="21">
        <f t="shared" si="0"/>
        <v>420.00000000064756</v>
      </c>
      <c r="E15" s="20">
        <v>1495</v>
      </c>
      <c r="F15" s="21" t="str">
        <f t="shared" si="1"/>
        <v>0</v>
      </c>
      <c r="G15" s="20">
        <v>341</v>
      </c>
      <c r="H15" s="21">
        <f t="shared" si="2"/>
        <v>8</v>
      </c>
      <c r="I15" s="3"/>
      <c r="J15" s="3"/>
    </row>
    <row r="16" spans="1:10" ht="45" customHeight="1" x14ac:dyDescent="0.15">
      <c r="A16" s="19">
        <v>44907</v>
      </c>
      <c r="B16" s="29"/>
      <c r="C16" s="20">
        <v>17375.99999999857</v>
      </c>
      <c r="D16" s="21" t="str">
        <f t="shared" si="0"/>
        <v>0</v>
      </c>
      <c r="E16" s="20">
        <v>1382</v>
      </c>
      <c r="F16" s="21" t="str">
        <f t="shared" si="1"/>
        <v>0</v>
      </c>
      <c r="G16" s="20">
        <v>325</v>
      </c>
      <c r="H16" s="21" t="str">
        <f t="shared" si="2"/>
        <v>0</v>
      </c>
      <c r="I16" s="3"/>
      <c r="J16" s="3"/>
    </row>
    <row r="17" spans="1:10" ht="45" customHeight="1" x14ac:dyDescent="0.15">
      <c r="A17" s="19">
        <v>44908</v>
      </c>
      <c r="B17" s="29"/>
      <c r="C17" s="20">
        <v>19484.000000000713</v>
      </c>
      <c r="D17" s="21">
        <f t="shared" si="0"/>
        <v>2108.0000000021428</v>
      </c>
      <c r="E17" s="20">
        <v>1510</v>
      </c>
      <c r="F17" s="21">
        <f t="shared" si="1"/>
        <v>128</v>
      </c>
      <c r="G17" s="20">
        <v>325</v>
      </c>
      <c r="H17" s="21">
        <f t="shared" si="2"/>
        <v>0</v>
      </c>
      <c r="I17" s="3"/>
      <c r="J17" s="3"/>
    </row>
    <row r="18" spans="1:10" ht="45" customHeight="1" x14ac:dyDescent="0.15">
      <c r="A18" s="19">
        <v>44909</v>
      </c>
      <c r="B18" s="29"/>
      <c r="C18" s="20">
        <v>19508.000000001084</v>
      </c>
      <c r="D18" s="21">
        <f t="shared" si="0"/>
        <v>24.000000000371074</v>
      </c>
      <c r="E18" s="20">
        <v>1644</v>
      </c>
      <c r="F18" s="21">
        <f t="shared" si="1"/>
        <v>134</v>
      </c>
      <c r="G18" s="20">
        <v>291</v>
      </c>
      <c r="H18" s="21" t="str">
        <f t="shared" si="2"/>
        <v>0</v>
      </c>
      <c r="I18" s="3"/>
      <c r="J18" s="3"/>
    </row>
    <row r="19" spans="1:10" ht="45" customHeight="1" x14ac:dyDescent="0.15">
      <c r="A19" s="19">
        <v>44910</v>
      </c>
      <c r="B19" s="29"/>
      <c r="C19" s="20">
        <v>19787.999999999545</v>
      </c>
      <c r="D19" s="21">
        <f t="shared" si="0"/>
        <v>279.99999999846113</v>
      </c>
      <c r="E19" s="20">
        <v>1738</v>
      </c>
      <c r="F19" s="21">
        <f t="shared" si="1"/>
        <v>94</v>
      </c>
      <c r="G19" s="20">
        <v>299</v>
      </c>
      <c r="H19" s="21">
        <f t="shared" si="2"/>
        <v>8</v>
      </c>
      <c r="I19" s="3"/>
      <c r="J19" s="3"/>
    </row>
    <row r="20" spans="1:10" ht="45" customHeight="1" x14ac:dyDescent="0.15">
      <c r="A20" s="19">
        <v>44911</v>
      </c>
      <c r="B20" s="29"/>
      <c r="C20" s="20">
        <v>20214.999999999629</v>
      </c>
      <c r="D20" s="21">
        <f t="shared" si="0"/>
        <v>427.00000000008367</v>
      </c>
      <c r="E20" s="20">
        <v>1846</v>
      </c>
      <c r="F20" s="21">
        <f t="shared" si="1"/>
        <v>108</v>
      </c>
      <c r="G20" s="20">
        <v>370</v>
      </c>
      <c r="H20" s="21">
        <f t="shared" si="2"/>
        <v>71</v>
      </c>
      <c r="I20" s="3"/>
      <c r="J20" s="3"/>
    </row>
    <row r="21" spans="1:10" ht="45" customHeight="1" x14ac:dyDescent="0.15">
      <c r="A21" s="19">
        <v>44912</v>
      </c>
      <c r="B21" s="29"/>
      <c r="C21" s="20">
        <v>19156.999999999294</v>
      </c>
      <c r="D21" s="21" t="str">
        <f t="shared" si="0"/>
        <v>0</v>
      </c>
      <c r="E21" s="20">
        <v>1942</v>
      </c>
      <c r="F21" s="21">
        <f t="shared" si="1"/>
        <v>96</v>
      </c>
      <c r="G21" s="20">
        <v>469</v>
      </c>
      <c r="H21" s="21">
        <f t="shared" si="2"/>
        <v>99</v>
      </c>
      <c r="I21" s="3"/>
      <c r="J21" s="3"/>
    </row>
    <row r="22" spans="1:10" ht="45" customHeight="1" x14ac:dyDescent="0.15">
      <c r="A22" s="19">
        <v>44913</v>
      </c>
      <c r="B22" s="29"/>
      <c r="C22" s="20">
        <v>21353.000000000626</v>
      </c>
      <c r="D22" s="21">
        <f t="shared" si="0"/>
        <v>2196.0000000013315</v>
      </c>
      <c r="E22" s="20">
        <v>2078</v>
      </c>
      <c r="F22" s="21">
        <f t="shared" si="1"/>
        <v>136</v>
      </c>
      <c r="G22" s="20">
        <v>285</v>
      </c>
      <c r="H22" s="21" t="str">
        <f t="shared" si="2"/>
        <v>0</v>
      </c>
      <c r="I22" s="3"/>
      <c r="J22" s="3"/>
    </row>
    <row r="23" spans="1:10" ht="45" customHeight="1" x14ac:dyDescent="0.15">
      <c r="A23" s="19">
        <v>44914</v>
      </c>
      <c r="B23" s="29"/>
      <c r="C23" s="20">
        <v>14147.000000000662</v>
      </c>
      <c r="D23" s="21" t="str">
        <f>IF((C23-C22&lt;0), "0",C23-C22)</f>
        <v>0</v>
      </c>
      <c r="E23" s="20">
        <v>1387</v>
      </c>
      <c r="F23" s="21" t="str">
        <f t="shared" si="1"/>
        <v>0</v>
      </c>
      <c r="G23" s="20">
        <v>336</v>
      </c>
      <c r="H23" s="21">
        <f t="shared" si="2"/>
        <v>51</v>
      </c>
      <c r="I23" s="3"/>
      <c r="J23" s="3"/>
    </row>
    <row r="24" spans="1:10" ht="45" customHeight="1" x14ac:dyDescent="0.15">
      <c r="A24" s="19">
        <v>44915</v>
      </c>
      <c r="B24" s="29"/>
      <c r="C24" s="20">
        <v>19016.999999998574</v>
      </c>
      <c r="D24" s="21">
        <f t="shared" ref="D24:D35" si="3">IF((C24-C23&lt;0), "0",C24-C23)</f>
        <v>4869.9999999979118</v>
      </c>
      <c r="E24" s="20">
        <v>1479</v>
      </c>
      <c r="F24" s="21">
        <f t="shared" si="1"/>
        <v>92</v>
      </c>
      <c r="G24" s="20">
        <v>313</v>
      </c>
      <c r="H24" s="21" t="str">
        <f t="shared" si="2"/>
        <v>0</v>
      </c>
      <c r="I24" s="3"/>
      <c r="J24" s="3"/>
    </row>
    <row r="25" spans="1:10" ht="45" customHeight="1" x14ac:dyDescent="0.15">
      <c r="A25" s="19">
        <v>44916</v>
      </c>
      <c r="B25" s="29"/>
      <c r="C25" s="20">
        <v>19315.000000000775</v>
      </c>
      <c r="D25" s="21">
        <f t="shared" si="3"/>
        <v>298.00000000220098</v>
      </c>
      <c r="E25" s="20">
        <v>1481</v>
      </c>
      <c r="F25" s="21">
        <f t="shared" si="1"/>
        <v>2</v>
      </c>
      <c r="G25" s="20">
        <v>318</v>
      </c>
      <c r="H25" s="21">
        <f t="shared" si="2"/>
        <v>5</v>
      </c>
      <c r="I25" s="3"/>
      <c r="J25" s="3"/>
    </row>
    <row r="26" spans="1:10" ht="45" customHeight="1" x14ac:dyDescent="0.15">
      <c r="A26" s="19">
        <v>44917</v>
      </c>
      <c r="B26" s="29"/>
      <c r="C26" s="20">
        <v>17695.000000001113</v>
      </c>
      <c r="D26" s="21" t="str">
        <f t="shared" si="3"/>
        <v>0</v>
      </c>
      <c r="E26" s="20">
        <v>1473</v>
      </c>
      <c r="F26" s="21" t="str">
        <f t="shared" si="1"/>
        <v>0</v>
      </c>
      <c r="G26" s="20">
        <v>314</v>
      </c>
      <c r="H26" s="21" t="str">
        <f t="shared" si="2"/>
        <v>0</v>
      </c>
      <c r="I26" s="3"/>
      <c r="J26" s="3"/>
    </row>
    <row r="27" spans="1:10" ht="45" customHeight="1" x14ac:dyDescent="0.15">
      <c r="A27" s="19">
        <v>44918</v>
      </c>
      <c r="B27" s="29"/>
      <c r="C27" s="20">
        <v>21615.999999999171</v>
      </c>
      <c r="D27" s="21">
        <f t="shared" si="3"/>
        <v>3920.9999999980573</v>
      </c>
      <c r="E27" s="20">
        <v>1573</v>
      </c>
      <c r="F27" s="21">
        <f t="shared" si="1"/>
        <v>100</v>
      </c>
      <c r="G27" s="20">
        <v>358</v>
      </c>
      <c r="H27" s="21">
        <f t="shared" si="2"/>
        <v>44</v>
      </c>
      <c r="I27" s="3"/>
      <c r="J27" s="3"/>
    </row>
    <row r="28" spans="1:10" ht="45" customHeight="1" x14ac:dyDescent="0.15">
      <c r="A28" s="19">
        <v>44919</v>
      </c>
      <c r="B28" s="29"/>
      <c r="C28" s="20">
        <v>18472.99999999892</v>
      </c>
      <c r="D28" s="21" t="str">
        <f t="shared" si="3"/>
        <v>0</v>
      </c>
      <c r="E28" s="20">
        <v>1452</v>
      </c>
      <c r="F28" s="21" t="str">
        <f t="shared" si="1"/>
        <v>0</v>
      </c>
      <c r="G28" s="20">
        <v>357</v>
      </c>
      <c r="H28" s="21" t="str">
        <f t="shared" si="2"/>
        <v>0</v>
      </c>
      <c r="I28" s="3"/>
      <c r="J28" s="3"/>
    </row>
    <row r="29" spans="1:10" ht="45" customHeight="1" x14ac:dyDescent="0.15">
      <c r="A29" s="19">
        <v>44920</v>
      </c>
      <c r="B29" s="29"/>
      <c r="C29" s="20">
        <v>16711.000000001084</v>
      </c>
      <c r="D29" s="21" t="str">
        <f t="shared" si="3"/>
        <v>0</v>
      </c>
      <c r="E29" s="20">
        <v>1480</v>
      </c>
      <c r="F29" s="21">
        <f t="shared" si="1"/>
        <v>28</v>
      </c>
      <c r="G29" s="20">
        <v>322</v>
      </c>
      <c r="H29" s="21" t="str">
        <f t="shared" si="2"/>
        <v>0</v>
      </c>
      <c r="I29" s="3"/>
      <c r="J29" s="3"/>
    </row>
    <row r="30" spans="1:10" ht="45" customHeight="1" x14ac:dyDescent="0.15">
      <c r="A30" s="19">
        <v>44921</v>
      </c>
      <c r="B30" s="29"/>
      <c r="C30" s="20">
        <v>17011.000000000076</v>
      </c>
      <c r="D30" s="21">
        <f t="shared" si="3"/>
        <v>299.99999999899228</v>
      </c>
      <c r="E30" s="20">
        <v>1393</v>
      </c>
      <c r="F30" s="21" t="str">
        <f t="shared" si="1"/>
        <v>0</v>
      </c>
      <c r="G30" s="20">
        <v>278</v>
      </c>
      <c r="H30" s="21" t="str">
        <f t="shared" si="2"/>
        <v>0</v>
      </c>
      <c r="I30" s="3"/>
      <c r="J30" s="3"/>
    </row>
    <row r="31" spans="1:10" ht="45" customHeight="1" x14ac:dyDescent="0.15">
      <c r="A31" s="19">
        <v>44922</v>
      </c>
      <c r="B31" s="29"/>
      <c r="C31" s="20">
        <v>16201.999999999816</v>
      </c>
      <c r="D31" s="21" t="str">
        <f t="shared" si="3"/>
        <v>0</v>
      </c>
      <c r="E31" s="20">
        <v>1198</v>
      </c>
      <c r="F31" s="21" t="str">
        <f t="shared" si="1"/>
        <v>0</v>
      </c>
      <c r="G31" s="20">
        <v>280</v>
      </c>
      <c r="H31" s="21">
        <f t="shared" si="2"/>
        <v>2</v>
      </c>
      <c r="I31" s="3"/>
      <c r="J31" s="3"/>
    </row>
    <row r="32" spans="1:10" ht="45" customHeight="1" x14ac:dyDescent="0.15">
      <c r="A32" s="19">
        <v>44923</v>
      </c>
      <c r="B32" s="29"/>
      <c r="C32" s="20">
        <v>17328.000000000116</v>
      </c>
      <c r="D32" s="21">
        <f t="shared" si="3"/>
        <v>1126.0000000003001</v>
      </c>
      <c r="E32" s="20">
        <v>1353</v>
      </c>
      <c r="F32" s="21">
        <f t="shared" si="1"/>
        <v>155</v>
      </c>
      <c r="G32" s="20">
        <v>285</v>
      </c>
      <c r="H32" s="21">
        <f t="shared" si="2"/>
        <v>5</v>
      </c>
      <c r="I32" s="3"/>
      <c r="J32" s="3"/>
    </row>
    <row r="33" spans="1:10" ht="36" customHeight="1" x14ac:dyDescent="0.15">
      <c r="A33" s="19">
        <v>44924</v>
      </c>
      <c r="C33" s="20">
        <v>16240.000000000178</v>
      </c>
      <c r="D33" s="21" t="str">
        <f t="shared" si="3"/>
        <v>0</v>
      </c>
      <c r="E33" s="20">
        <v>1394</v>
      </c>
      <c r="F33" s="21">
        <f t="shared" si="1"/>
        <v>41</v>
      </c>
      <c r="G33" s="20">
        <v>298</v>
      </c>
      <c r="H33" s="21">
        <f t="shared" si="2"/>
        <v>13</v>
      </c>
      <c r="I33" s="3"/>
      <c r="J33" s="3"/>
    </row>
    <row r="34" spans="1:10" ht="45.6" customHeight="1" x14ac:dyDescent="0.15">
      <c r="A34" s="19">
        <v>44925</v>
      </c>
      <c r="C34" s="20">
        <v>16916.999999998294</v>
      </c>
      <c r="D34" s="21">
        <f t="shared" si="3"/>
        <v>676.99999999811553</v>
      </c>
      <c r="E34" s="20">
        <v>1418</v>
      </c>
      <c r="F34" s="21">
        <f t="shared" si="1"/>
        <v>24</v>
      </c>
      <c r="G34" s="20">
        <v>330</v>
      </c>
      <c r="H34" s="21">
        <f t="shared" si="2"/>
        <v>32</v>
      </c>
      <c r="I34" s="3"/>
      <c r="J34" s="3"/>
    </row>
    <row r="35" spans="1:10" ht="47.45" customHeight="1" x14ac:dyDescent="0.15">
      <c r="A35" s="19">
        <v>44926</v>
      </c>
      <c r="C35" s="20">
        <v>17731.000000000877</v>
      </c>
      <c r="D35" s="21">
        <f t="shared" si="3"/>
        <v>814.00000000258296</v>
      </c>
      <c r="E35" s="20">
        <v>1391</v>
      </c>
      <c r="F35" s="21" t="str">
        <f t="shared" si="1"/>
        <v>0</v>
      </c>
      <c r="G35" s="20">
        <v>322</v>
      </c>
      <c r="H35" s="21" t="str">
        <f t="shared" si="2"/>
        <v>0</v>
      </c>
      <c r="I35" s="3"/>
      <c r="J35" s="3"/>
    </row>
  </sheetData>
  <mergeCells count="5">
    <mergeCell ref="B1:B32"/>
    <mergeCell ref="G1:H1"/>
    <mergeCell ref="C2:D2"/>
    <mergeCell ref="E2:F2"/>
    <mergeCell ref="G2:H2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1月</vt:lpstr>
      <vt:lpstr>TOTAL2</vt:lpstr>
      <vt:lpstr>2月</vt:lpstr>
      <vt:lpstr>TOTAL3</vt:lpstr>
      <vt:lpstr>3月</vt:lpstr>
      <vt:lpstr>TOTAL4</vt:lpstr>
      <vt:lpstr>4月</vt:lpstr>
      <vt:lpstr>5月</vt:lpstr>
      <vt:lpstr>6月</vt:lpstr>
      <vt:lpstr>7月</vt:lpstr>
      <vt:lpstr>8月</vt:lpstr>
      <vt:lpstr>9月 </vt:lpstr>
      <vt:lpstr>10月 </vt:lpstr>
      <vt:lpstr>11月 </vt:lpstr>
      <vt:lpstr>12月 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2023-02-22T08:08:12Z</dcterms:modified>
</cp:coreProperties>
</file>