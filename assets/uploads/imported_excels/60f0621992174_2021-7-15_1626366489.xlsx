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<sst xmlns="http://schemas.openxmlformats.org/spreadsheetml/2006/main" count="313" uniqueCount="148">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</sst>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26899.99999999992</v>
      </c>
      <c r="F33" s="17">
        <f t="shared" ref="F33:BC33" si="1">SUM(F2:F32)</f>
        <v>35899.999999999818</v>
      </c>
      <c r="G33" s="17">
        <f t="shared" si="1"/>
        <v>33300.000000000102</v>
      </c>
      <c r="H33" s="17">
        <f t="shared" si="1"/>
        <v>17000.000000000124</v>
      </c>
      <c r="I33" s="17">
        <f t="shared" si="1"/>
        <v>25599.999999999854</v>
      </c>
      <c r="J33" s="17">
        <f t="shared" si="1"/>
        <v>12999.999999999898</v>
      </c>
      <c r="K33" s="17">
        <f t="shared" si="1"/>
        <v>63</v>
      </c>
      <c r="L33" s="17">
        <f t="shared" si="1"/>
        <v>29</v>
      </c>
      <c r="M33" s="17">
        <f t="shared" si="1"/>
        <v>10364.599999999977</v>
      </c>
      <c r="N33" s="17">
        <f t="shared" si="1"/>
        <v>3996.8000000000466</v>
      </c>
      <c r="O33" s="17">
        <f t="shared" si="1"/>
        <v>3510.0000000000477</v>
      </c>
      <c r="P33" s="17">
        <f t="shared" si="1"/>
        <v>31800.000000000051</v>
      </c>
      <c r="Q33" s="17">
        <f t="shared" si="1"/>
        <v>3670.0000000000159</v>
      </c>
      <c r="R33" s="17">
        <f t="shared" si="1"/>
        <v>3399.9999999999773</v>
      </c>
      <c r="S33" s="17">
        <f t="shared" si="1"/>
        <v>4370.0000000000045</v>
      </c>
      <c r="T33" s="17">
        <f t="shared" si="1"/>
        <v>456</v>
      </c>
      <c r="U33" s="35">
        <f t="shared" si="1"/>
        <v>9419.9999999999582</v>
      </c>
      <c r="V33" s="35">
        <f t="shared" si="1"/>
        <v>2370.0000000000045</v>
      </c>
      <c r="W33" s="35">
        <f t="shared" si="1"/>
        <v>1919.9999999999875</v>
      </c>
      <c r="X33" s="35">
        <f t="shared" si="1"/>
        <v>1469.9999999999989</v>
      </c>
      <c r="Y33" s="35">
        <f t="shared" si="1"/>
        <v>2330.0000000000127</v>
      </c>
      <c r="Z33" s="35">
        <f t="shared" si="1"/>
        <v>2439.9999999999977</v>
      </c>
      <c r="AA33" s="35">
        <f t="shared" si="1"/>
        <v>2439.9999999999977</v>
      </c>
      <c r="AB33" s="35">
        <f t="shared" si="1"/>
        <v>990.00000000000909</v>
      </c>
      <c r="AC33" s="35">
        <f t="shared" si="1"/>
        <v>649.99999999997726</v>
      </c>
      <c r="AD33" s="35">
        <f t="shared" si="1"/>
        <v>320.00000000005002</v>
      </c>
      <c r="AE33" s="35">
        <f t="shared" si="1"/>
        <v>1129.9999999999955</v>
      </c>
      <c r="AF33" s="17">
        <f t="shared" si="1"/>
        <v>408</v>
      </c>
      <c r="AG33" s="32">
        <f t="shared" si="1"/>
        <v>539.99999999999204</v>
      </c>
      <c r="AH33" s="32">
        <f t="shared" si="1"/>
        <v>370.00000000000455</v>
      </c>
      <c r="AI33" s="32">
        <f t="shared" si="1"/>
        <v>390.00000000001478</v>
      </c>
      <c r="AJ33" s="32">
        <f t="shared" si="1"/>
        <v>520.00000000001023</v>
      </c>
      <c r="AK33" s="32">
        <f t="shared" si="1"/>
        <v>500</v>
      </c>
      <c r="AL33" s="32">
        <f t="shared" si="1"/>
        <v>368</v>
      </c>
      <c r="AM33" s="32">
        <f t="shared" si="1"/>
        <v>400.00000000000568</v>
      </c>
      <c r="AN33" s="32">
        <f t="shared" si="1"/>
        <v>556</v>
      </c>
      <c r="AO33" s="32">
        <f t="shared" si="1"/>
        <v>330.00000000001251</v>
      </c>
      <c r="AP33" s="32">
        <f t="shared" si="1"/>
        <v>602</v>
      </c>
      <c r="AQ33" s="17">
        <f t="shared" si="1"/>
        <v>485.19999999999709</v>
      </c>
      <c r="AR33" s="17">
        <f t="shared" si="1"/>
        <v>127.69999999999891</v>
      </c>
      <c r="AS33" s="17">
        <f t="shared" si="1"/>
        <v>70</v>
      </c>
      <c r="AT33" s="17">
        <f t="shared" si="1"/>
        <v>468.59999999999854</v>
      </c>
      <c r="AU33" s="17">
        <f t="shared" si="1"/>
        <v>3779</v>
      </c>
      <c r="AV33" s="17">
        <f t="shared" si="1"/>
        <v>8259.9999999999909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95.238000000000014</v>
      </c>
      <c r="BC33" s="17">
        <f t="shared" si="1"/>
        <v>118</v>
      </c>
    </row>
    <row r="35" spans="5:55" x14ac:dyDescent="0.25">
      <c r="E35" s="38">
        <f>E33/E37</f>
        <v>0.22944778996571036</v>
      </c>
      <c r="G35" s="29">
        <f>G33-M36</f>
        <v>18938.600000000079</v>
      </c>
      <c r="AE35" s="35">
        <f>SUM(U33:AE33)</f>
        <v>25479.999999999989</v>
      </c>
      <c r="AG35" s="32">
        <f>SUM(AG33:AP33)</f>
        <v>4576.00000000004</v>
      </c>
    </row>
    <row r="36" spans="5:55" x14ac:dyDescent="0.25">
      <c r="G36" s="29">
        <f>G35-633*14</f>
        <v>10076.600000000079</v>
      </c>
      <c r="M36" s="29">
        <f>M33+N33</f>
        <v>14361.400000000023</v>
      </c>
    </row>
    <row r="37" spans="5:55" x14ac:dyDescent="0.25">
      <c r="E37" s="17">
        <f>E33+F33+G33+H33+J33-633*14</f>
        <v>117237.99999999987</v>
      </c>
      <c r="G37" s="37">
        <f>M36/E37</f>
        <v>0.12249782493730735</v>
      </c>
      <c r="M37" s="35">
        <f>AE35</f>
        <v>25479.999999999989</v>
      </c>
    </row>
    <row r="38" spans="5:55" x14ac:dyDescent="0.25">
      <c r="L38" s="27">
        <f>M38/E37</f>
        <v>3.9031713267029845E-2</v>
      </c>
      <c r="M38" s="29">
        <f>AG35</f>
        <v>4576.00000000004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E1" zoomScale="80" zoomScaleNormal="80" workbookViewId="0">
      <pane ySplit="1" topLeftCell="A2" activePane="bottomLeft" state="frozen"/>
      <selection pane="bottomLeft" activeCell="CO18" sqref="CO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4"/>
        <v>0</v>
      </c>
      <c r="M18" s="58"/>
      <c r="N18" s="64" t="str">
        <f t="shared" si="5"/>
        <v/>
      </c>
      <c r="O18" s="58"/>
      <c r="P18" s="67" t="str">
        <f t="shared" si="44"/>
        <v/>
      </c>
      <c r="Q18" s="58"/>
      <c r="R18" s="67" t="str">
        <f t="shared" si="6"/>
        <v/>
      </c>
      <c r="S18" s="58"/>
      <c r="T18" s="67" t="str">
        <f t="shared" si="7"/>
        <v/>
      </c>
      <c r="U18" s="58"/>
      <c r="V18" s="67" t="str">
        <f t="shared" si="8"/>
        <v/>
      </c>
      <c r="W18" s="58"/>
      <c r="X18" s="65" t="str">
        <f t="shared" si="9"/>
        <v/>
      </c>
      <c r="Y18" s="58"/>
      <c r="Z18" s="65" t="str">
        <f t="shared" si="10"/>
        <v/>
      </c>
      <c r="AA18" s="58"/>
      <c r="AB18" s="65" t="str">
        <f t="shared" si="11"/>
        <v/>
      </c>
      <c r="AC18" s="58"/>
      <c r="AD18" s="65" t="str">
        <f t="shared" si="12"/>
        <v/>
      </c>
      <c r="AE18" s="58"/>
      <c r="AF18" s="65" t="str">
        <f t="shared" si="13"/>
        <v/>
      </c>
      <c r="AG18" s="58"/>
      <c r="AH18" s="67" t="str">
        <f t="shared" si="14"/>
        <v/>
      </c>
      <c r="AI18" s="58"/>
      <c r="AJ18" s="65" t="str">
        <f t="shared" si="15"/>
        <v/>
      </c>
      <c r="AK18" s="58"/>
      <c r="AL18" s="65" t="str">
        <f t="shared" si="15"/>
        <v/>
      </c>
      <c r="AM18" s="58"/>
      <c r="AN18" s="65" t="str">
        <f t="shared" si="15"/>
        <v/>
      </c>
      <c r="AO18" s="58"/>
      <c r="AP18" s="65" t="str">
        <f t="shared" si="15"/>
        <v/>
      </c>
      <c r="AQ18" s="58"/>
      <c r="AR18" s="65" t="str">
        <f t="shared" si="16"/>
        <v/>
      </c>
      <c r="AS18" s="58"/>
      <c r="AT18" s="65" t="str">
        <f t="shared" si="17"/>
        <v/>
      </c>
      <c r="AU18" s="58"/>
      <c r="AV18" s="65" t="str">
        <f t="shared" si="18"/>
        <v/>
      </c>
      <c r="AW18" s="58"/>
      <c r="AX18" s="65" t="str">
        <f t="shared" si="19"/>
        <v/>
      </c>
      <c r="AY18" s="58"/>
      <c r="AZ18" s="65" t="str">
        <f t="shared" si="20"/>
        <v/>
      </c>
      <c r="BA18" s="58"/>
      <c r="BB18" s="65" t="str">
        <f t="shared" si="21"/>
        <v/>
      </c>
      <c r="BC18" s="58"/>
      <c r="BD18" s="65" t="str">
        <f t="shared" si="22"/>
        <v/>
      </c>
      <c r="BE18" s="59"/>
      <c r="BF18" s="67" t="str">
        <f t="shared" si="39"/>
        <v/>
      </c>
      <c r="BG18" s="60"/>
      <c r="BH18" s="65" t="str">
        <f t="shared" si="23"/>
        <v/>
      </c>
      <c r="BI18" s="60"/>
      <c r="BJ18" s="65" t="str">
        <f t="shared" si="40"/>
        <v/>
      </c>
      <c r="BK18" s="60"/>
      <c r="BL18" s="65" t="str">
        <f t="shared" si="24"/>
        <v/>
      </c>
      <c r="BM18" s="60"/>
      <c r="BN18" s="65" t="str">
        <f t="shared" si="25"/>
        <v/>
      </c>
      <c r="BO18" s="60"/>
      <c r="BP18" s="65" t="str">
        <f t="shared" si="26"/>
        <v/>
      </c>
      <c r="BQ18" s="60"/>
      <c r="BR18" s="65" t="str">
        <f t="shared" si="27"/>
        <v/>
      </c>
      <c r="BS18" s="60"/>
      <c r="BT18" s="65" t="str">
        <f t="shared" si="42"/>
        <v/>
      </c>
      <c r="BU18" s="60"/>
      <c r="BV18" s="65" t="str">
        <f t="shared" si="29"/>
        <v/>
      </c>
      <c r="BW18" s="60"/>
      <c r="BX18" s="65" t="str">
        <f t="shared" si="30"/>
        <v/>
      </c>
      <c r="BY18" s="60"/>
      <c r="BZ18" s="67" t="str">
        <f t="shared" si="31"/>
        <v/>
      </c>
      <c r="CA18" s="60"/>
      <c r="CB18" s="67" t="str">
        <f t="shared" si="32"/>
        <v/>
      </c>
      <c r="CC18" s="60"/>
      <c r="CD18" s="67" t="str">
        <f t="shared" si="33"/>
        <v/>
      </c>
      <c r="CE18" s="60"/>
      <c r="CF18" s="67" t="str">
        <f t="shared" si="34"/>
        <v/>
      </c>
      <c r="CG18" s="60"/>
      <c r="CH18" s="67" t="str">
        <f t="shared" si="35"/>
        <v/>
      </c>
      <c r="CI18" s="60"/>
      <c r="CJ18" s="67" t="str">
        <f t="shared" si="36"/>
        <v/>
      </c>
      <c r="CK18" s="60"/>
      <c r="CL18" s="64" t="str">
        <f t="shared" si="37"/>
        <v/>
      </c>
      <c r="CM18" s="65" t="e">
        <f t="shared" si="41"/>
        <v>#VALUE!</v>
      </c>
      <c r="CN18" s="62">
        <v>0</v>
      </c>
      <c r="CO18" s="62">
        <v>0</v>
      </c>
      <c r="CP18" s="68"/>
      <c r="CQ18" s="67" t="str">
        <f t="shared" si="38"/>
        <v/>
      </c>
      <c r="CR18" s="68"/>
      <c r="CS18" s="67" t="str">
        <f t="shared" si="38"/>
        <v/>
      </c>
      <c r="CT18" s="75"/>
      <c r="CU18" s="67" t="str">
        <f t="shared" si="38"/>
        <v/>
      </c>
      <c r="CV18" s="68"/>
      <c r="CW18" s="67" t="str">
        <f t="shared" si="38"/>
        <v/>
      </c>
    </row>
    <row r="19" spans="1:101" ht="25.5" customHeight="1" thickBot="1" x14ac:dyDescent="0.45">
      <c r="A19" s="63">
        <v>44393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C22" sqref="C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7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7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-198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2021-07-15T16:27:17Z</dcterms:modified>
</cp:coreProperties>
</file>