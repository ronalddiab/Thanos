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K2" i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Y40" i="3" l="1"/>
  <c r="U39" i="3"/>
  <c r="P39" i="3"/>
  <c r="I32" i="2" s="1"/>
  <c r="N39" i="3"/>
  <c r="H39" i="3"/>
  <c r="G32" i="2" s="1"/>
  <c r="F39" i="3"/>
  <c r="F32" i="2" s="1"/>
  <c r="D39" i="3"/>
  <c r="V38" i="3"/>
  <c r="U38" i="3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E30" i="1" s="1"/>
  <c r="U36" i="3"/>
  <c r="P36" i="3"/>
  <c r="I29" i="2" s="1"/>
  <c r="N36" i="3"/>
  <c r="H29" i="2" s="1"/>
  <c r="G29" i="1" s="1"/>
  <c r="H36" i="3"/>
  <c r="G29" i="2" s="1"/>
  <c r="F36" i="3"/>
  <c r="F29" i="2" s="1"/>
  <c r="D36" i="3"/>
  <c r="E29" i="2" s="1"/>
  <c r="E29" i="1" s="1"/>
  <c r="U35" i="3"/>
  <c r="P35" i="3"/>
  <c r="N35" i="3"/>
  <c r="H35" i="3"/>
  <c r="G28" i="2" s="1"/>
  <c r="F35" i="3"/>
  <c r="F28" i="2" s="1"/>
  <c r="D35" i="3"/>
  <c r="E28" i="2" s="1"/>
  <c r="V34" i="3"/>
  <c r="U34" i="3"/>
  <c r="P34" i="3"/>
  <c r="N34" i="3"/>
  <c r="H27" i="2" s="1"/>
  <c r="H34" i="3"/>
  <c r="G27" i="2" s="1"/>
  <c r="F34" i="3"/>
  <c r="F27" i="2" s="1"/>
  <c r="D34" i="3"/>
  <c r="E27" i="2" s="1"/>
  <c r="E27" i="1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G25" i="1" s="1"/>
  <c r="H32" i="3"/>
  <c r="G25" i="2" s="1"/>
  <c r="F32" i="3"/>
  <c r="F25" i="2" s="1"/>
  <c r="D32" i="3"/>
  <c r="E25" i="2" s="1"/>
  <c r="V31" i="3"/>
  <c r="U31" i="3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E23" i="1" s="1"/>
  <c r="U29" i="3"/>
  <c r="V29" i="3" s="1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E21" i="1" s="1"/>
  <c r="V27" i="3"/>
  <c r="U27" i="3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E19" i="1" s="1"/>
  <c r="U25" i="3"/>
  <c r="P25" i="3"/>
  <c r="I18" i="2" s="1"/>
  <c r="N25" i="3"/>
  <c r="H18" i="2" s="1"/>
  <c r="H25" i="3"/>
  <c r="G18" i="2" s="1"/>
  <c r="F25" i="3"/>
  <c r="F18" i="2" s="1"/>
  <c r="D25" i="3"/>
  <c r="E18" i="2" s="1"/>
  <c r="E18" i="1" s="1"/>
  <c r="U24" i="3"/>
  <c r="P24" i="3"/>
  <c r="I17" i="2" s="1"/>
  <c r="N24" i="3"/>
  <c r="H17" i="2" s="1"/>
  <c r="G17" i="1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E16" i="1" s="1"/>
  <c r="U22" i="3"/>
  <c r="P22" i="3"/>
  <c r="I15" i="2" s="1"/>
  <c r="N22" i="3"/>
  <c r="H15" i="2" s="1"/>
  <c r="G15" i="1" s="1"/>
  <c r="H22" i="3"/>
  <c r="G15" i="2" s="1"/>
  <c r="F22" i="3"/>
  <c r="F15" i="2" s="1"/>
  <c r="D22" i="3"/>
  <c r="E15" i="2" s="1"/>
  <c r="V21" i="3"/>
  <c r="U21" i="3"/>
  <c r="P21" i="3"/>
  <c r="I14" i="2" s="1"/>
  <c r="N21" i="3"/>
  <c r="H14" i="2" s="1"/>
  <c r="G14" i="1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E13" i="1" s="1"/>
  <c r="U19" i="3"/>
  <c r="P19" i="3"/>
  <c r="I12" i="2" s="1"/>
  <c r="N19" i="3"/>
  <c r="H12" i="2" s="1"/>
  <c r="G12" i="1" s="1"/>
  <c r="H19" i="3"/>
  <c r="G12" i="2" s="1"/>
  <c r="F19" i="3"/>
  <c r="F12" i="2" s="1"/>
  <c r="D19" i="3"/>
  <c r="E12" i="2" s="1"/>
  <c r="U18" i="3"/>
  <c r="V18" i="3" s="1"/>
  <c r="P18" i="3"/>
  <c r="N18" i="3"/>
  <c r="H18" i="3"/>
  <c r="F18" i="3"/>
  <c r="D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N17" i="3"/>
  <c r="H17" i="3"/>
  <c r="F17" i="3"/>
  <c r="D17" i="3"/>
  <c r="U16" i="3"/>
  <c r="V16" i="3" s="1"/>
  <c r="P16" i="3"/>
  <c r="Q16" i="3" s="1"/>
  <c r="N16" i="3"/>
  <c r="H16" i="3"/>
  <c r="F16" i="3"/>
  <c r="D16" i="3"/>
  <c r="U15" i="3"/>
  <c r="V15" i="3" s="1"/>
  <c r="P15" i="3"/>
  <c r="N15" i="3"/>
  <c r="H15" i="3"/>
  <c r="F15" i="3"/>
  <c r="D15" i="3"/>
  <c r="U14" i="3"/>
  <c r="V14" i="3" s="1"/>
  <c r="P14" i="3"/>
  <c r="R14" i="3" s="1"/>
  <c r="N14" i="3"/>
  <c r="H14" i="3"/>
  <c r="F14" i="3"/>
  <c r="D14" i="3"/>
  <c r="U13" i="3"/>
  <c r="V13" i="3" s="1"/>
  <c r="P13" i="3"/>
  <c r="R13" i="3" s="1"/>
  <c r="N13" i="3"/>
  <c r="H13" i="3"/>
  <c r="F13" i="3"/>
  <c r="D13" i="3"/>
  <c r="U12" i="3"/>
  <c r="V12" i="3" s="1"/>
  <c r="P12" i="3"/>
  <c r="N12" i="3"/>
  <c r="H12" i="3"/>
  <c r="F12" i="3"/>
  <c r="D12" i="3"/>
  <c r="U11" i="3"/>
  <c r="V11" i="3" s="1"/>
  <c r="P11" i="3"/>
  <c r="N11" i="3"/>
  <c r="H11" i="3"/>
  <c r="F11" i="3"/>
  <c r="D11" i="3"/>
  <c r="U10" i="3"/>
  <c r="V10" i="3" s="1"/>
  <c r="P10" i="3"/>
  <c r="R10" i="3" s="1"/>
  <c r="N10" i="3"/>
  <c r="H10" i="3"/>
  <c r="F10" i="3"/>
  <c r="D10" i="3"/>
  <c r="I10" i="3" s="1"/>
  <c r="K10" i="3" s="1"/>
  <c r="B10" i="3"/>
  <c r="B11" i="3" s="1"/>
  <c r="B12" i="3" s="1"/>
  <c r="B13" i="3" s="1"/>
  <c r="B14" i="3" s="1"/>
  <c r="B15" i="3" s="1"/>
  <c r="B16" i="3" s="1"/>
  <c r="U9" i="3"/>
  <c r="P9" i="3"/>
  <c r="N9" i="3"/>
  <c r="H9" i="3"/>
  <c r="F9" i="3"/>
  <c r="D9" i="3"/>
  <c r="U6" i="3"/>
  <c r="V6" i="3" s="1"/>
  <c r="P6" i="3"/>
  <c r="N6" i="3"/>
  <c r="Q6" i="3" s="1"/>
  <c r="R6" i="3" s="1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I24" i="1" l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Q34" i="3"/>
  <c r="I27" i="2"/>
  <c r="G27" i="1" s="1"/>
  <c r="G31" i="1"/>
  <c r="G24" i="1"/>
  <c r="R35" i="3"/>
  <c r="X35" i="3" s="1"/>
  <c r="Z35" i="3" s="1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6" i="1"/>
  <c r="G13" i="1"/>
  <c r="R23" i="3"/>
  <c r="I16" i="2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X12" i="3" s="1"/>
  <c r="Z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X34" i="3"/>
  <c r="Z34" i="3" s="1"/>
  <c r="R20" i="3"/>
  <c r="R11" i="3"/>
  <c r="X11" i="3" s="1"/>
  <c r="Z11" i="3" s="1"/>
  <c r="R16" i="3"/>
  <c r="X16" i="3" s="1"/>
  <c r="Z16" i="3" s="1"/>
  <c r="R18" i="3"/>
  <c r="Q24" i="3"/>
  <c r="R25" i="3"/>
  <c r="Q32" i="3"/>
  <c r="R33" i="3"/>
  <c r="I13" i="3"/>
  <c r="K13" i="3" s="1"/>
  <c r="X13" i="3" s="1"/>
  <c r="Z13" i="3" s="1"/>
  <c r="I14" i="3"/>
  <c r="K14" i="3" s="1"/>
  <c r="X14" i="3" s="1"/>
  <c r="Z14" i="3" s="1"/>
  <c r="I24" i="3"/>
  <c r="K24" i="3" s="1"/>
  <c r="X24" i="3" s="1"/>
  <c r="Z24" i="3" s="1"/>
  <c r="I25" i="3"/>
  <c r="K25" i="3" s="1"/>
  <c r="I32" i="3"/>
  <c r="K32" i="3" s="1"/>
  <c r="X32" i="3" s="1"/>
  <c r="Z32" i="3" s="1"/>
  <c r="I33" i="3"/>
  <c r="K33" i="3" s="1"/>
  <c r="I22" i="3"/>
  <c r="K22" i="3" s="1"/>
  <c r="X22" i="3" s="1"/>
  <c r="Z22" i="3" s="1"/>
  <c r="I23" i="3"/>
  <c r="K23" i="3" s="1"/>
  <c r="X23" i="3" s="1"/>
  <c r="Z23" i="3" s="1"/>
  <c r="I30" i="3"/>
  <c r="K30" i="3" s="1"/>
  <c r="X30" i="3" s="1"/>
  <c r="Z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X36" i="3" s="1"/>
  <c r="Z36" i="3" s="1"/>
  <c r="I37" i="3"/>
  <c r="K37" i="3" s="1"/>
  <c r="X10" i="3"/>
  <c r="Z10" i="3" s="1"/>
  <c r="E40" i="3"/>
  <c r="I9" i="3"/>
  <c r="T40" i="3"/>
  <c r="V9" i="3"/>
  <c r="X15" i="3"/>
  <c r="Z15" i="3" s="1"/>
  <c r="I17" i="3"/>
  <c r="K17" i="3" s="1"/>
  <c r="G40" i="3"/>
  <c r="I18" i="3"/>
  <c r="K18" i="3" s="1"/>
  <c r="Q21" i="3"/>
  <c r="I26" i="3"/>
  <c r="K26" i="3" s="1"/>
  <c r="X39" i="3"/>
  <c r="Z39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27" i="3"/>
  <c r="Z27" i="3" s="1"/>
  <c r="V40" i="3" l="1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<sst xmlns="http://schemas.openxmlformats.org/spreadsheetml/2006/main" count="310" uniqueCount="123">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</sst>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6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4" sqref="M24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5</v>
      </c>
      <c r="D2" s="7">
        <v>2020</v>
      </c>
      <c r="E2" s="9">
        <f>submetering!E2+submetering!F2+submetering!G2</f>
        <v>3726</v>
      </c>
      <c r="F2" s="7">
        <v>0.251</v>
      </c>
      <c r="G2" s="9">
        <f>submetering!H2+submetering!I2</f>
        <v>469</v>
      </c>
      <c r="H2" s="7">
        <v>0.57181599999999999</v>
      </c>
      <c r="I2" s="9">
        <f>HOTEL!U9</f>
        <v>28</v>
      </c>
      <c r="J2" s="7">
        <v>2.855</v>
      </c>
      <c r="K2" s="7">
        <f>HOTEL!Y9</f>
        <v>8</v>
      </c>
    </row>
    <row r="3" spans="1:11" s="12" customFormat="1" x14ac:dyDescent="0.25">
      <c r="A3" s="7" t="s">
        <v>11</v>
      </c>
      <c r="B3" s="11">
        <f>B2+1</f>
        <v>2</v>
      </c>
      <c r="C3" s="8">
        <v>5</v>
      </c>
      <c r="D3" s="7">
        <v>2020</v>
      </c>
      <c r="E3" s="9">
        <f>submetering!E3+submetering!F3+submetering!G3</f>
        <v>3616</v>
      </c>
      <c r="F3" s="7">
        <v>0.251</v>
      </c>
      <c r="G3" s="9">
        <f>submetering!H3+submetering!I3</f>
        <v>461</v>
      </c>
      <c r="H3" s="7">
        <v>0.57181599999999999</v>
      </c>
      <c r="I3" s="9">
        <f>HOTEL!U10</f>
        <v>21</v>
      </c>
      <c r="J3" s="7">
        <v>2.855</v>
      </c>
      <c r="K3" s="7">
        <f>HOTEL!Y10</f>
        <v>8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5</v>
      </c>
      <c r="D4" s="7">
        <v>2020</v>
      </c>
      <c r="E4" s="9">
        <f>submetering!E4+submetering!F4+submetering!G4</f>
        <v>3778</v>
      </c>
      <c r="F4" s="7">
        <v>0.251</v>
      </c>
      <c r="G4" s="9">
        <f>submetering!H4+submetering!I4</f>
        <v>489</v>
      </c>
      <c r="H4" s="7">
        <v>0.57181599999999999</v>
      </c>
      <c r="I4" s="9">
        <f>HOTEL!U11</f>
        <v>171</v>
      </c>
      <c r="J4" s="7">
        <v>2.855</v>
      </c>
      <c r="K4" s="7">
        <f>HOTEL!Y11</f>
        <v>8</v>
      </c>
    </row>
    <row r="5" spans="1:11" s="12" customFormat="1" x14ac:dyDescent="0.25">
      <c r="A5" s="7" t="s">
        <v>11</v>
      </c>
      <c r="B5" s="11">
        <f t="shared" si="0"/>
        <v>4</v>
      </c>
      <c r="C5" s="8">
        <v>5</v>
      </c>
      <c r="D5" s="7">
        <v>2020</v>
      </c>
      <c r="E5" s="9">
        <f>submetering!E5+submetering!F5+submetering!G5</f>
        <v>3683</v>
      </c>
      <c r="F5" s="7">
        <v>0.251</v>
      </c>
      <c r="G5" s="9">
        <f>submetering!H5+submetering!I5</f>
        <v>429</v>
      </c>
      <c r="H5" s="7">
        <v>0.57181599999999999</v>
      </c>
      <c r="I5" s="9">
        <f>HOTEL!U12</f>
        <v>208</v>
      </c>
      <c r="J5" s="7">
        <v>2.855</v>
      </c>
      <c r="K5" s="7">
        <f>HOTEL!Y12</f>
        <v>8</v>
      </c>
    </row>
    <row r="6" spans="1:11" s="12" customFormat="1" x14ac:dyDescent="0.25">
      <c r="A6" s="7" t="s">
        <v>11</v>
      </c>
      <c r="B6" s="11">
        <f t="shared" si="0"/>
        <v>5</v>
      </c>
      <c r="C6" s="8">
        <v>5</v>
      </c>
      <c r="D6" s="7">
        <v>2020</v>
      </c>
      <c r="E6" s="9">
        <f>submetering!E6+submetering!F6+submetering!G6</f>
        <v>3799</v>
      </c>
      <c r="F6" s="7">
        <v>0.251</v>
      </c>
      <c r="G6" s="9">
        <f>submetering!H6+submetering!I6</f>
        <v>551</v>
      </c>
      <c r="H6" s="7">
        <v>0.57181599999999999</v>
      </c>
      <c r="I6" s="9">
        <f>HOTEL!U13</f>
        <v>247</v>
      </c>
      <c r="J6" s="7">
        <v>2.855</v>
      </c>
      <c r="K6" s="7">
        <f>HOTEL!Y13</f>
        <v>8</v>
      </c>
    </row>
    <row r="7" spans="1:11" s="12" customFormat="1" x14ac:dyDescent="0.25">
      <c r="A7" s="7" t="s">
        <v>11</v>
      </c>
      <c r="B7" s="11">
        <f t="shared" si="0"/>
        <v>6</v>
      </c>
      <c r="C7" s="8">
        <v>5</v>
      </c>
      <c r="D7" s="7">
        <v>2020</v>
      </c>
      <c r="E7" s="9">
        <f>submetering!E7+submetering!F7+submetering!G7</f>
        <v>4383</v>
      </c>
      <c r="F7" s="7">
        <v>0.251</v>
      </c>
      <c r="G7" s="9">
        <f>submetering!H7+submetering!I7</f>
        <v>477</v>
      </c>
      <c r="H7" s="7">
        <v>0.57181599999999999</v>
      </c>
      <c r="I7" s="9">
        <f>HOTEL!U14</f>
        <v>107</v>
      </c>
      <c r="J7" s="7">
        <v>2.855</v>
      </c>
      <c r="K7" s="7">
        <f>HOTEL!Y14</f>
        <v>8</v>
      </c>
    </row>
    <row r="8" spans="1:11" s="12" customFormat="1" x14ac:dyDescent="0.25">
      <c r="A8" s="7" t="s">
        <v>11</v>
      </c>
      <c r="B8" s="11">
        <f t="shared" si="0"/>
        <v>7</v>
      </c>
      <c r="C8" s="8">
        <v>5</v>
      </c>
      <c r="D8" s="7">
        <v>2020</v>
      </c>
      <c r="E8" s="9">
        <f>submetering!E8+submetering!F8+submetering!G8</f>
        <v>4670</v>
      </c>
      <c r="F8" s="7">
        <v>0.251</v>
      </c>
      <c r="G8" s="9">
        <f>submetering!H8+submetering!I8</f>
        <v>420</v>
      </c>
      <c r="H8" s="7">
        <v>0.57181599999999999</v>
      </c>
      <c r="I8" s="9">
        <f>HOTEL!U15</f>
        <v>156</v>
      </c>
      <c r="J8" s="7">
        <v>2.855</v>
      </c>
      <c r="K8" s="7">
        <f>HOTEL!Y15</f>
        <v>8</v>
      </c>
    </row>
    <row r="9" spans="1:11" s="12" customFormat="1" x14ac:dyDescent="0.25">
      <c r="A9" s="7" t="s">
        <v>11</v>
      </c>
      <c r="B9" s="11">
        <f t="shared" si="0"/>
        <v>8</v>
      </c>
      <c r="C9" s="8">
        <v>5</v>
      </c>
      <c r="D9" s="7">
        <v>2020</v>
      </c>
      <c r="E9" s="9">
        <f>submetering!E9+submetering!F9+submetering!G9</f>
        <v>4411</v>
      </c>
      <c r="F9" s="7">
        <v>0.251</v>
      </c>
      <c r="G9" s="9">
        <f>submetering!H9+submetering!I9</f>
        <v>449</v>
      </c>
      <c r="H9" s="7">
        <v>0.57181599999999999</v>
      </c>
      <c r="I9" s="9">
        <f>HOTEL!U16</f>
        <v>83</v>
      </c>
      <c r="J9" s="7">
        <v>2.855</v>
      </c>
      <c r="K9" s="7">
        <f>HOTEL!Y16</f>
        <v>8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5</v>
      </c>
      <c r="D10" s="7">
        <v>2020</v>
      </c>
      <c r="E10" s="9">
        <f>submetering!E10+submetering!F10+submetering!G10</f>
        <v>4458</v>
      </c>
      <c r="F10" s="7">
        <v>0.251</v>
      </c>
      <c r="G10" s="9">
        <f>submetering!H10+submetering!I10</f>
        <v>443</v>
      </c>
      <c r="H10" s="7">
        <v>0.57181599999999999</v>
      </c>
      <c r="I10" s="9">
        <f>HOTEL!U17</f>
        <v>201</v>
      </c>
      <c r="J10" s="7">
        <v>2.855</v>
      </c>
      <c r="K10" s="7">
        <f>HOTEL!Y17</f>
        <v>8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5</v>
      </c>
      <c r="D11" s="7">
        <v>2020</v>
      </c>
      <c r="E11" s="9">
        <f>submetering!E11+submetering!F11+submetering!G11</f>
        <v>4434</v>
      </c>
      <c r="F11" s="7">
        <v>0.251</v>
      </c>
      <c r="G11" s="9">
        <f>submetering!H11+submetering!I11</f>
        <v>413</v>
      </c>
      <c r="H11" s="7">
        <v>0.57181599999999999</v>
      </c>
      <c r="I11" s="9">
        <f>HOTEL!U18</f>
        <v>123</v>
      </c>
      <c r="J11" s="7">
        <v>2.855</v>
      </c>
      <c r="K11" s="7">
        <f>HOTEL!Y18</f>
        <v>8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5</v>
      </c>
      <c r="D12" s="7">
        <v>2020</v>
      </c>
      <c r="E12" s="9">
        <f>submetering!E12+submetering!F12+submetering!G12</f>
        <v>4435</v>
      </c>
      <c r="F12" s="7">
        <v>0.251</v>
      </c>
      <c r="G12" s="9">
        <f>submetering!H12+submetering!I12</f>
        <v>403</v>
      </c>
      <c r="H12" s="7">
        <v>0.57181599999999999</v>
      </c>
      <c r="I12" s="9">
        <f>HOTEL!U19</f>
        <v>268</v>
      </c>
      <c r="J12" s="7">
        <v>2.855</v>
      </c>
      <c r="K12" s="7">
        <f>HOTEL!Y19</f>
        <v>8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5</v>
      </c>
      <c r="D13" s="7">
        <v>2020</v>
      </c>
      <c r="E13" s="9">
        <f>submetering!E13+submetering!F13+submetering!G13</f>
        <v>4485</v>
      </c>
      <c r="F13" s="7">
        <v>0.251</v>
      </c>
      <c r="G13" s="9">
        <f>submetering!H13+submetering!I13</f>
        <v>518</v>
      </c>
      <c r="H13" s="7">
        <v>0.57181599999999999</v>
      </c>
      <c r="I13" s="9">
        <f>HOTEL!U20</f>
        <v>235</v>
      </c>
      <c r="J13" s="7">
        <v>2.855</v>
      </c>
      <c r="K13" s="7">
        <f>HOTEL!Y20</f>
        <v>8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5</v>
      </c>
      <c r="D14" s="7">
        <v>2020</v>
      </c>
      <c r="E14" s="9">
        <f>submetering!E14+submetering!F14+submetering!G14</f>
        <v>4299</v>
      </c>
      <c r="F14" s="7">
        <v>0.251</v>
      </c>
      <c r="G14" s="9">
        <f>submetering!H14+submetering!I14</f>
        <v>392</v>
      </c>
      <c r="H14" s="7">
        <v>0.57181599999999999</v>
      </c>
      <c r="I14" s="9">
        <f>HOTEL!U21</f>
        <v>100</v>
      </c>
      <c r="J14" s="7">
        <v>2.855</v>
      </c>
      <c r="K14" s="7">
        <f>HOTEL!Y21</f>
        <v>8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5</v>
      </c>
      <c r="D15" s="7">
        <v>2020</v>
      </c>
      <c r="E15" s="9">
        <f>submetering!E15+submetering!F15+submetering!G15</f>
        <v>4524</v>
      </c>
      <c r="F15" s="7">
        <v>0.251</v>
      </c>
      <c r="G15" s="9">
        <f>submetering!H15+submetering!I15</f>
        <v>389</v>
      </c>
      <c r="H15" s="7">
        <v>0.57181599999999999</v>
      </c>
      <c r="I15" s="9">
        <f>HOTEL!U22</f>
        <v>261</v>
      </c>
      <c r="J15" s="7">
        <v>2.855</v>
      </c>
      <c r="K15" s="7">
        <f>HOTEL!Y22</f>
        <v>8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5</v>
      </c>
      <c r="D16" s="7">
        <v>2020</v>
      </c>
      <c r="E16" s="9">
        <f>submetering!E16+submetering!F16+submetering!G16</f>
        <v>4457</v>
      </c>
      <c r="F16" s="7">
        <v>0.251</v>
      </c>
      <c r="G16" s="9">
        <f>submetering!H16+submetering!I16</f>
        <v>387</v>
      </c>
      <c r="H16" s="7">
        <v>0.57181599999999999</v>
      </c>
      <c r="I16" s="9">
        <f>HOTEL!U23</f>
        <v>167</v>
      </c>
      <c r="J16" s="7">
        <v>2.855</v>
      </c>
      <c r="K16" s="7">
        <f>HOTEL!Y23</f>
        <v>8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5</v>
      </c>
      <c r="D17" s="7">
        <v>2020</v>
      </c>
      <c r="E17" s="9">
        <f>submetering!E17+submetering!F17+submetering!G17</f>
        <v>4673</v>
      </c>
      <c r="F17" s="7">
        <v>0.251</v>
      </c>
      <c r="G17" s="9">
        <f>submetering!H17+submetering!I17</f>
        <v>401</v>
      </c>
      <c r="H17" s="7">
        <v>0.57181599999999999</v>
      </c>
      <c r="I17" s="9">
        <f>HOTEL!U24</f>
        <v>262</v>
      </c>
      <c r="J17" s="7">
        <v>2.855</v>
      </c>
      <c r="K17" s="7">
        <f>HOTEL!Y24</f>
        <v>8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5</v>
      </c>
      <c r="D18" s="7">
        <v>2020</v>
      </c>
      <c r="E18" s="9">
        <f>submetering!E18+submetering!F18+submetering!G18</f>
        <v>4299</v>
      </c>
      <c r="F18" s="7">
        <v>0.251</v>
      </c>
      <c r="G18" s="9">
        <f>submetering!H18+submetering!I18</f>
        <v>418</v>
      </c>
      <c r="H18" s="7">
        <v>0.57181599999999999</v>
      </c>
      <c r="I18" s="9">
        <f>HOTEL!U25</f>
        <v>122</v>
      </c>
      <c r="J18" s="7">
        <v>2.855</v>
      </c>
      <c r="K18" s="7">
        <f>HOTEL!Y25</f>
        <v>8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5</v>
      </c>
      <c r="D19" s="7">
        <v>2020</v>
      </c>
      <c r="E19" s="9">
        <f>submetering!E19+submetering!F19+submetering!G19</f>
        <v>4339</v>
      </c>
      <c r="F19" s="7">
        <v>0.251</v>
      </c>
      <c r="G19" s="9">
        <f>submetering!H19+submetering!I19</f>
        <v>426</v>
      </c>
      <c r="H19" s="7">
        <v>0.57181599999999999</v>
      </c>
      <c r="I19" s="9">
        <f>HOTEL!U26</f>
        <v>210</v>
      </c>
      <c r="J19" s="7">
        <v>2.855</v>
      </c>
      <c r="K19" s="7">
        <f>HOTEL!Y26</f>
        <v>8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5</v>
      </c>
      <c r="D20" s="7">
        <v>2020</v>
      </c>
      <c r="E20" s="9">
        <f>submetering!E20+submetering!F20+submetering!G20</f>
        <v>4437</v>
      </c>
      <c r="F20" s="7">
        <v>0.251</v>
      </c>
      <c r="G20" s="9">
        <f>submetering!H20+submetering!I20</f>
        <v>510</v>
      </c>
      <c r="H20" s="7">
        <v>0.57181599999999999</v>
      </c>
      <c r="I20" s="9">
        <f>HOTEL!U27</f>
        <v>286</v>
      </c>
      <c r="J20" s="7">
        <v>2.855</v>
      </c>
      <c r="K20" s="7">
        <f>HOTEL!Y27</f>
        <v>8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5</v>
      </c>
      <c r="D21" s="7">
        <v>2020</v>
      </c>
      <c r="E21" s="9">
        <f>submetering!E21+submetering!F21+submetering!G21</f>
        <v>4561</v>
      </c>
      <c r="F21" s="7">
        <v>0.251</v>
      </c>
      <c r="G21" s="9">
        <f>submetering!H21+submetering!I21</f>
        <v>415</v>
      </c>
      <c r="H21" s="7">
        <v>0.57181599999999999</v>
      </c>
      <c r="I21" s="9">
        <f>HOTEL!U28</f>
        <v>107</v>
      </c>
      <c r="J21" s="7">
        <v>2.855</v>
      </c>
      <c r="K21" s="7">
        <f>HOTEL!Y28</f>
        <v>8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5</v>
      </c>
      <c r="D22" s="7">
        <v>2020</v>
      </c>
      <c r="E22" s="9">
        <f>submetering!E22+submetering!F22+submetering!G22</f>
        <v>4375</v>
      </c>
      <c r="F22" s="7">
        <v>0.251</v>
      </c>
      <c r="G22" s="9">
        <f>submetering!H22+submetering!I22</f>
        <v>390</v>
      </c>
      <c r="H22" s="7">
        <v>0.57181599999999999</v>
      </c>
      <c r="I22" s="9">
        <f>HOTEL!U29</f>
        <v>242</v>
      </c>
      <c r="J22" s="7">
        <v>2.855</v>
      </c>
      <c r="K22" s="7">
        <f>HOTEL!Y29</f>
        <v>7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5</v>
      </c>
      <c r="D23" s="7">
        <v>2020</v>
      </c>
      <c r="E23" s="9">
        <f>submetering!E23+submetering!F23+submetering!G23</f>
        <v>4457</v>
      </c>
      <c r="F23" s="7">
        <v>0.251</v>
      </c>
      <c r="G23" s="9">
        <f>submetering!H23+submetering!I23</f>
        <v>375</v>
      </c>
      <c r="H23" s="7">
        <v>0.57181599999999999</v>
      </c>
      <c r="I23" s="9">
        <f>HOTEL!U30</f>
        <v>113</v>
      </c>
      <c r="J23" s="7">
        <v>2.855</v>
      </c>
      <c r="K23" s="7">
        <f>HOTEL!Y30</f>
        <v>7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5</v>
      </c>
      <c r="D24" s="7">
        <v>2020</v>
      </c>
      <c r="E24" s="9">
        <f>submetering!E24+submetering!F24+submetering!G24</f>
        <v>4474</v>
      </c>
      <c r="F24" s="7">
        <v>0.251</v>
      </c>
      <c r="G24" s="9">
        <f>submetering!H24+submetering!I24</f>
        <v>370</v>
      </c>
      <c r="H24" s="7">
        <v>0.57181599999999999</v>
      </c>
      <c r="I24" s="9">
        <f>HOTEL!U31</f>
        <v>249</v>
      </c>
      <c r="J24" s="7">
        <v>2.855</v>
      </c>
      <c r="K24" s="7">
        <f>HOTEL!Y31</f>
        <v>7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5</v>
      </c>
      <c r="D25" s="7">
        <v>2020</v>
      </c>
      <c r="E25" s="9">
        <f>submetering!E25+submetering!F25+submetering!G25</f>
        <v>4455</v>
      </c>
      <c r="F25" s="7">
        <v>0.251</v>
      </c>
      <c r="G25" s="9">
        <f>submetering!H25+submetering!I25</f>
        <v>319</v>
      </c>
      <c r="H25" s="7">
        <v>0.57181599999999999</v>
      </c>
      <c r="I25" s="9">
        <f>HOTEL!U32</f>
        <v>64</v>
      </c>
      <c r="J25" s="7">
        <v>2.855</v>
      </c>
      <c r="K25" s="7">
        <f>HOTEL!Y32</f>
        <v>7</v>
      </c>
    </row>
    <row r="26" spans="1:11" s="12" customFormat="1" x14ac:dyDescent="0.25">
      <c r="A26" s="7" t="s">
        <v>11</v>
      </c>
      <c r="B26" s="11">
        <f>B25+1</f>
        <v>25</v>
      </c>
      <c r="C26" s="8">
        <v>5</v>
      </c>
      <c r="D26" s="7">
        <v>2020</v>
      </c>
      <c r="E26" s="9">
        <f>submetering!E26+submetering!F26+submetering!G26</f>
        <v>4401</v>
      </c>
      <c r="F26" s="7">
        <v>0.251</v>
      </c>
      <c r="G26" s="9">
        <f>submetering!H26+submetering!I26</f>
        <v>416</v>
      </c>
      <c r="H26" s="7">
        <v>0.57181599999999999</v>
      </c>
      <c r="I26" s="9">
        <f>HOTEL!U33</f>
        <v>206</v>
      </c>
      <c r="J26" s="7">
        <v>2.855</v>
      </c>
      <c r="K26" s="7">
        <f>HOTEL!Y33</f>
        <v>7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5</v>
      </c>
      <c r="D27" s="7">
        <v>2020</v>
      </c>
      <c r="E27" s="9">
        <f>submetering!E27+submetering!F27+submetering!G27</f>
        <v>4485</v>
      </c>
      <c r="F27" s="7">
        <v>0.251</v>
      </c>
      <c r="G27" s="9">
        <f>submetering!H27+submetering!I27</f>
        <v>345</v>
      </c>
      <c r="H27" s="7">
        <v>0.57181599999999999</v>
      </c>
      <c r="I27" s="9">
        <f>HOTEL!U34</f>
        <v>290</v>
      </c>
      <c r="J27" s="7">
        <v>2.855</v>
      </c>
      <c r="K27" s="7">
        <f>HOTEL!Y34</f>
        <v>7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5</v>
      </c>
      <c r="D28" s="7">
        <v>2020</v>
      </c>
      <c r="E28" s="9">
        <f>submetering!E28+submetering!F28+submetering!G28</f>
        <v>4117</v>
      </c>
      <c r="F28" s="7">
        <v>0.251</v>
      </c>
      <c r="G28" s="9">
        <f>submetering!H28+submetering!I28</f>
        <v>415</v>
      </c>
      <c r="H28" s="7">
        <v>0.57181599999999999</v>
      </c>
      <c r="I28" s="9">
        <f>HOTEL!U35</f>
        <v>161</v>
      </c>
      <c r="J28" s="7">
        <v>2.855</v>
      </c>
      <c r="K28" s="7">
        <f>HOTEL!Y35</f>
        <v>7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5</v>
      </c>
      <c r="D29" s="7">
        <v>2020</v>
      </c>
      <c r="E29" s="9">
        <f>submetering!E29+submetering!F29+submetering!G29</f>
        <v>4129</v>
      </c>
      <c r="F29" s="7">
        <v>0.251</v>
      </c>
      <c r="G29" s="9">
        <f>submetering!H29+submetering!I29</f>
        <v>331</v>
      </c>
      <c r="H29" s="7">
        <v>0.57181599999999999</v>
      </c>
      <c r="I29" s="9">
        <f>HOTEL!U36</f>
        <v>229</v>
      </c>
      <c r="J29" s="7">
        <v>2.855</v>
      </c>
      <c r="K29" s="7">
        <f>HOTEL!Y36</f>
        <v>7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5</v>
      </c>
      <c r="D30" s="7">
        <v>2020</v>
      </c>
      <c r="E30" s="9">
        <f>submetering!E30+submetering!F30+submetering!G30</f>
        <v>6326</v>
      </c>
      <c r="F30" s="7">
        <v>0.251</v>
      </c>
      <c r="G30" s="9">
        <f>submetering!H30+submetering!I30</f>
        <v>349</v>
      </c>
      <c r="H30" s="7">
        <v>0.57181599999999999</v>
      </c>
      <c r="I30" s="9">
        <f>HOTEL!U37</f>
        <v>109</v>
      </c>
      <c r="J30" s="7">
        <v>2.855</v>
      </c>
      <c r="K30" s="7">
        <f>HOTEL!Y37</f>
        <v>7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5</v>
      </c>
      <c r="D31" s="7">
        <v>2020</v>
      </c>
      <c r="E31" s="9">
        <f>submetering!E31+submetering!F31+submetering!G31</f>
        <v>5935</v>
      </c>
      <c r="F31" s="7">
        <v>0.251</v>
      </c>
      <c r="G31" s="9">
        <f>submetering!H31+submetering!I31</f>
        <v>416</v>
      </c>
      <c r="H31" s="7">
        <v>0.57181599999999999</v>
      </c>
      <c r="I31" s="9">
        <f>HOTEL!U38</f>
        <v>280</v>
      </c>
      <c r="J31" s="7">
        <v>2.855</v>
      </c>
      <c r="K31" s="7">
        <f>HOTEL!Y38</f>
        <v>7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5</v>
      </c>
      <c r="D32" s="7">
        <v>2020</v>
      </c>
      <c r="E32" s="9">
        <f>submetering!E32+submetering!F32+submetering!G32</f>
        <v>5783</v>
      </c>
      <c r="F32" s="7">
        <v>0.251</v>
      </c>
      <c r="G32" s="9">
        <f>submetering!H32+submetering!I32</f>
        <v>376</v>
      </c>
      <c r="H32" s="7">
        <v>0.57181599999999999</v>
      </c>
      <c r="I32" s="9">
        <f>HOTEL!U39</f>
        <v>121</v>
      </c>
      <c r="J32" s="7">
        <v>2.855</v>
      </c>
      <c r="K32" s="7">
        <f>HOTEL!Y39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L15" sqref="L15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5</v>
      </c>
      <c r="D2" s="13">
        <v>2020</v>
      </c>
      <c r="E2" s="16">
        <f>HOTEL!D9</f>
        <v>1312</v>
      </c>
      <c r="F2" s="16">
        <f>HOTEL!F9</f>
        <v>1288</v>
      </c>
      <c r="G2" s="16">
        <f>HOTEL!H9</f>
        <v>1126</v>
      </c>
      <c r="H2" s="16">
        <f>HOTEL!N9</f>
        <v>38</v>
      </c>
      <c r="I2" s="16">
        <f>HOTEL!P9</f>
        <v>431</v>
      </c>
      <c r="J2" s="16">
        <f>HOTEL!U9</f>
        <v>28</v>
      </c>
      <c r="K2" s="16">
        <v>8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5</v>
      </c>
      <c r="D3" s="13">
        <v>2020</v>
      </c>
      <c r="E3" s="16">
        <f>HOTEL!D10</f>
        <v>1268</v>
      </c>
      <c r="F3" s="16">
        <f>HOTEL!F10</f>
        <v>1257</v>
      </c>
      <c r="G3" s="16">
        <f>HOTEL!H10</f>
        <v>1091</v>
      </c>
      <c r="H3" s="16">
        <f>HOTEL!N10</f>
        <v>36</v>
      </c>
      <c r="I3" s="16">
        <f>HOTEL!P10</f>
        <v>425</v>
      </c>
      <c r="J3" s="16">
        <f>HOTEL!U10</f>
        <v>21</v>
      </c>
      <c r="K3" s="16">
        <v>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5</v>
      </c>
      <c r="D4" s="13">
        <v>2020</v>
      </c>
      <c r="E4" s="16">
        <f>HOTEL!D11</f>
        <v>1217</v>
      </c>
      <c r="F4" s="16">
        <f>HOTEL!F11</f>
        <v>1370</v>
      </c>
      <c r="G4" s="16">
        <f>HOTEL!H11</f>
        <v>1191</v>
      </c>
      <c r="H4" s="16">
        <f>HOTEL!N11</f>
        <v>34</v>
      </c>
      <c r="I4" s="16">
        <f>HOTEL!P11</f>
        <v>455</v>
      </c>
      <c r="J4" s="16">
        <f>HOTEL!U11</f>
        <v>171</v>
      </c>
      <c r="K4" s="16">
        <v>8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5</v>
      </c>
      <c r="D5" s="13">
        <v>2020</v>
      </c>
      <c r="E5" s="16">
        <f>HOTEL!D12</f>
        <v>1396</v>
      </c>
      <c r="F5" s="16">
        <f>HOTEL!F12</f>
        <v>1215</v>
      </c>
      <c r="G5" s="16">
        <f>HOTEL!H12</f>
        <v>1072</v>
      </c>
      <c r="H5" s="16">
        <f>HOTEL!N12</f>
        <v>37</v>
      </c>
      <c r="I5" s="16">
        <f>HOTEL!P12</f>
        <v>392</v>
      </c>
      <c r="J5" s="16">
        <f>HOTEL!U12</f>
        <v>208</v>
      </c>
      <c r="K5" s="16">
        <v>8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5</v>
      </c>
      <c r="D6" s="13">
        <v>2020</v>
      </c>
      <c r="E6" s="16">
        <f>HOTEL!D13</f>
        <v>1323</v>
      </c>
      <c r="F6" s="16">
        <f>HOTEL!F13</f>
        <v>1316</v>
      </c>
      <c r="G6" s="16">
        <f>HOTEL!H13</f>
        <v>1160</v>
      </c>
      <c r="H6" s="16">
        <f>HOTEL!N13</f>
        <v>31</v>
      </c>
      <c r="I6" s="16">
        <f>HOTEL!P13</f>
        <v>520</v>
      </c>
      <c r="J6" s="16">
        <f>HOTEL!U13</f>
        <v>247</v>
      </c>
      <c r="K6" s="16">
        <v>8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5</v>
      </c>
      <c r="D7" s="13">
        <v>2020</v>
      </c>
      <c r="E7" s="16">
        <f>HOTEL!D14</f>
        <v>1515</v>
      </c>
      <c r="F7" s="16">
        <f>HOTEL!F14</f>
        <v>1509</v>
      </c>
      <c r="G7" s="16">
        <f>HOTEL!H14</f>
        <v>1359</v>
      </c>
      <c r="H7" s="16">
        <f>HOTEL!N14</f>
        <v>27</v>
      </c>
      <c r="I7" s="16">
        <f>HOTEL!P14</f>
        <v>450</v>
      </c>
      <c r="J7" s="16">
        <f>HOTEL!U14</f>
        <v>107</v>
      </c>
      <c r="K7" s="16">
        <v>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5</v>
      </c>
      <c r="D8" s="13">
        <v>2020</v>
      </c>
      <c r="E8" s="16">
        <f>HOTEL!D15</f>
        <v>1620</v>
      </c>
      <c r="F8" s="16">
        <f>HOTEL!F15</f>
        <v>1603</v>
      </c>
      <c r="G8" s="16">
        <f>HOTEL!H15</f>
        <v>1447</v>
      </c>
      <c r="H8" s="16">
        <f>HOTEL!N15</f>
        <v>30</v>
      </c>
      <c r="I8" s="16">
        <f>HOTEL!P15</f>
        <v>390</v>
      </c>
      <c r="J8" s="16">
        <f>HOTEL!U15</f>
        <v>156</v>
      </c>
      <c r="K8" s="16">
        <v>8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5</v>
      </c>
      <c r="D9" s="13">
        <v>2020</v>
      </c>
      <c r="E9" s="16">
        <f>HOTEL!D16</f>
        <v>1536</v>
      </c>
      <c r="F9" s="16">
        <f>HOTEL!F16</f>
        <v>1521</v>
      </c>
      <c r="G9" s="16">
        <f>HOTEL!H16</f>
        <v>1354</v>
      </c>
      <c r="H9" s="16">
        <f>HOTEL!N16</f>
        <v>30</v>
      </c>
      <c r="I9" s="16">
        <f>HOTEL!P16</f>
        <v>419</v>
      </c>
      <c r="J9" s="16">
        <f>HOTEL!U16</f>
        <v>83</v>
      </c>
      <c r="K9" s="16">
        <v>8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5</v>
      </c>
      <c r="D10" s="13">
        <v>2020</v>
      </c>
      <c r="E10" s="16">
        <f>HOTEL!D17</f>
        <v>1551</v>
      </c>
      <c r="F10" s="16">
        <f>HOTEL!F17</f>
        <v>1534</v>
      </c>
      <c r="G10" s="16">
        <f>HOTEL!H17</f>
        <v>1373</v>
      </c>
      <c r="H10" s="16">
        <f>HOTEL!N17</f>
        <v>38</v>
      </c>
      <c r="I10" s="16">
        <f>HOTEL!P17</f>
        <v>405</v>
      </c>
      <c r="J10" s="16">
        <f>HOTEL!U17</f>
        <v>201</v>
      </c>
      <c r="K10" s="16">
        <v>8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5</v>
      </c>
      <c r="D11" s="13">
        <v>2020</v>
      </c>
      <c r="E11" s="16">
        <f>HOTEL!D18</f>
        <v>1539</v>
      </c>
      <c r="F11" s="16">
        <f>HOTEL!F18</f>
        <v>1528</v>
      </c>
      <c r="G11" s="16">
        <f>HOTEL!H18</f>
        <v>1367</v>
      </c>
      <c r="H11" s="16">
        <f>HOTEL!N18</f>
        <v>35</v>
      </c>
      <c r="I11" s="16">
        <f>HOTEL!P18</f>
        <v>378</v>
      </c>
      <c r="J11" s="16">
        <f>HOTEL!U18</f>
        <v>123</v>
      </c>
      <c r="K11" s="16">
        <v>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5</v>
      </c>
      <c r="D12" s="13">
        <v>2020</v>
      </c>
      <c r="E12" s="16">
        <f>HOTEL!D19</f>
        <v>1540</v>
      </c>
      <c r="F12" s="16">
        <f>HOTEL!F19</f>
        <v>1528</v>
      </c>
      <c r="G12" s="16">
        <f>HOTEL!H19</f>
        <v>1367</v>
      </c>
      <c r="H12" s="16">
        <f>HOTEL!N19</f>
        <v>37</v>
      </c>
      <c r="I12" s="16">
        <f>HOTEL!P19</f>
        <v>366</v>
      </c>
      <c r="J12" s="16">
        <f>HOTEL!U19</f>
        <v>268</v>
      </c>
      <c r="K12" s="16">
        <f>HOTEL!Y19</f>
        <v>8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5</v>
      </c>
      <c r="D13" s="13">
        <v>2020</v>
      </c>
      <c r="E13" s="16">
        <f>HOTEL!D20</f>
        <v>1553</v>
      </c>
      <c r="F13" s="16">
        <f>HOTEL!F20</f>
        <v>1552</v>
      </c>
      <c r="G13" s="16">
        <f>HOTEL!H20</f>
        <v>1380</v>
      </c>
      <c r="H13" s="16">
        <f>HOTEL!N20</f>
        <v>26</v>
      </c>
      <c r="I13" s="16">
        <f>HOTEL!P20</f>
        <v>492</v>
      </c>
      <c r="J13" s="16">
        <f>HOTEL!U20</f>
        <v>235</v>
      </c>
      <c r="K13" s="16">
        <f>HOTEL!Y20</f>
        <v>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5</v>
      </c>
      <c r="D14" s="13">
        <v>2020</v>
      </c>
      <c r="E14" s="16">
        <f>HOTEL!D21</f>
        <v>1496</v>
      </c>
      <c r="F14" s="16">
        <f>HOTEL!F21</f>
        <v>1485</v>
      </c>
      <c r="G14" s="16">
        <f>HOTEL!H21</f>
        <v>1318</v>
      </c>
      <c r="H14" s="16">
        <f>HOTEL!N21</f>
        <v>31</v>
      </c>
      <c r="I14" s="16">
        <f>HOTEL!P21</f>
        <v>361</v>
      </c>
      <c r="J14" s="16">
        <f>HOTEL!U21</f>
        <v>100</v>
      </c>
      <c r="K14" s="16">
        <f>HOTEL!Y21</f>
        <v>8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5</v>
      </c>
      <c r="D15" s="13">
        <v>2020</v>
      </c>
      <c r="E15" s="16">
        <f>HOTEL!D22</f>
        <v>1572</v>
      </c>
      <c r="F15" s="16">
        <f>HOTEL!F22</f>
        <v>1550</v>
      </c>
      <c r="G15" s="16">
        <f>HOTEL!H22</f>
        <v>1402</v>
      </c>
      <c r="H15" s="16">
        <f>HOTEL!N22</f>
        <v>36</v>
      </c>
      <c r="I15" s="16">
        <f>HOTEL!P22</f>
        <v>353</v>
      </c>
      <c r="J15" s="16">
        <f>HOTEL!U22</f>
        <v>261</v>
      </c>
      <c r="K15" s="16">
        <f>HOTEL!Y22</f>
        <v>8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5</v>
      </c>
      <c r="D16" s="13">
        <v>2020</v>
      </c>
      <c r="E16" s="16">
        <f>HOTEL!D23</f>
        <v>1555</v>
      </c>
      <c r="F16" s="16">
        <f>HOTEL!F23</f>
        <v>1529</v>
      </c>
      <c r="G16" s="16">
        <f>HOTEL!H23</f>
        <v>1373</v>
      </c>
      <c r="H16" s="16">
        <f>HOTEL!N23</f>
        <v>37</v>
      </c>
      <c r="I16" s="16">
        <f>HOTEL!P23</f>
        <v>350</v>
      </c>
      <c r="J16" s="16">
        <f>HOTEL!U23</f>
        <v>167</v>
      </c>
      <c r="K16" s="16">
        <f>HOTEL!Y23</f>
        <v>8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5</v>
      </c>
      <c r="D17" s="13">
        <v>2020</v>
      </c>
      <c r="E17" s="16">
        <f>HOTEL!D24</f>
        <v>1635</v>
      </c>
      <c r="F17" s="16">
        <f>HOTEL!F24</f>
        <v>1598</v>
      </c>
      <c r="G17" s="16">
        <f>HOTEL!H24</f>
        <v>1440</v>
      </c>
      <c r="H17" s="16">
        <f>HOTEL!N24</f>
        <v>34</v>
      </c>
      <c r="I17" s="16">
        <f>HOTEL!P24</f>
        <v>367</v>
      </c>
      <c r="J17" s="16">
        <f>HOTEL!U24</f>
        <v>262</v>
      </c>
      <c r="K17" s="16">
        <f>HOTEL!Y24</f>
        <v>8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5</v>
      </c>
      <c r="D18" s="13">
        <v>2020</v>
      </c>
      <c r="E18" s="16">
        <f>HOTEL!D25</f>
        <v>1510</v>
      </c>
      <c r="F18" s="16">
        <f>HOTEL!F25</f>
        <v>1471</v>
      </c>
      <c r="G18" s="16">
        <f>HOTEL!H25</f>
        <v>1318</v>
      </c>
      <c r="H18" s="16">
        <f>HOTEL!N25</f>
        <v>33</v>
      </c>
      <c r="I18" s="16">
        <f>HOTEL!P25</f>
        <v>385</v>
      </c>
      <c r="J18" s="16">
        <f>HOTEL!U25</f>
        <v>122</v>
      </c>
      <c r="K18" s="16">
        <f>HOTEL!Y25</f>
        <v>8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5</v>
      </c>
      <c r="D19" s="13">
        <v>2020</v>
      </c>
      <c r="E19" s="16">
        <f>HOTEL!D26</f>
        <v>1562</v>
      </c>
      <c r="F19" s="16">
        <f>HOTEL!F26</f>
        <v>1458</v>
      </c>
      <c r="G19" s="16">
        <f>HOTEL!H26</f>
        <v>1319</v>
      </c>
      <c r="H19" s="16">
        <f>HOTEL!N26</f>
        <v>32</v>
      </c>
      <c r="I19" s="16">
        <f>HOTEL!P26</f>
        <v>394</v>
      </c>
      <c r="J19" s="16">
        <f>HOTEL!U26</f>
        <v>210</v>
      </c>
      <c r="K19" s="16">
        <f>HOTEL!Y26</f>
        <v>8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5</v>
      </c>
      <c r="D20" s="13">
        <v>2020</v>
      </c>
      <c r="E20" s="16">
        <f>HOTEL!D27</f>
        <v>1515</v>
      </c>
      <c r="F20" s="16">
        <f>HOTEL!F27</f>
        <v>1530</v>
      </c>
      <c r="G20" s="16">
        <f>HOTEL!H27</f>
        <v>1392</v>
      </c>
      <c r="H20" s="16">
        <f>HOTEL!N27</f>
        <v>40</v>
      </c>
      <c r="I20" s="16">
        <f>HOTEL!P27</f>
        <v>470</v>
      </c>
      <c r="J20" s="16">
        <f>HOTEL!U27</f>
        <v>286</v>
      </c>
      <c r="K20" s="16">
        <f>HOTEL!Y27</f>
        <v>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5</v>
      </c>
      <c r="D21" s="13">
        <v>2020</v>
      </c>
      <c r="E21" s="16">
        <f>HOTEL!D28</f>
        <v>1599</v>
      </c>
      <c r="F21" s="16">
        <f>HOTEL!F28</f>
        <v>1552</v>
      </c>
      <c r="G21" s="16">
        <f>HOTEL!H28</f>
        <v>1410</v>
      </c>
      <c r="H21" s="16">
        <f>HOTEL!N28</f>
        <v>36</v>
      </c>
      <c r="I21" s="16">
        <f>HOTEL!P28</f>
        <v>379</v>
      </c>
      <c r="J21" s="16">
        <f>HOTEL!U28</f>
        <v>107</v>
      </c>
      <c r="K21" s="16">
        <f>HOTEL!Y28</f>
        <v>8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5</v>
      </c>
      <c r="D22" s="13">
        <v>2020</v>
      </c>
      <c r="E22" s="16">
        <f>HOTEL!D29</f>
        <v>1535</v>
      </c>
      <c r="F22" s="16">
        <f>HOTEL!F29</f>
        <v>1494</v>
      </c>
      <c r="G22" s="16">
        <f>HOTEL!H29</f>
        <v>1346</v>
      </c>
      <c r="H22" s="16">
        <f>HOTEL!N29</f>
        <v>32</v>
      </c>
      <c r="I22" s="16">
        <f>HOTEL!P29</f>
        <v>358</v>
      </c>
      <c r="J22" s="16">
        <f>HOTEL!U29</f>
        <v>242</v>
      </c>
      <c r="K22" s="16">
        <f>HOTEL!Y29</f>
        <v>7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5</v>
      </c>
      <c r="D23" s="13">
        <v>2020</v>
      </c>
      <c r="E23" s="16">
        <f>HOTEL!D30</f>
        <v>1561</v>
      </c>
      <c r="F23" s="16">
        <f>HOTEL!F30</f>
        <v>1518</v>
      </c>
      <c r="G23" s="16">
        <f>HOTEL!H30</f>
        <v>1378</v>
      </c>
      <c r="H23" s="16">
        <f>HOTEL!N30</f>
        <v>33</v>
      </c>
      <c r="I23" s="16">
        <f>HOTEL!P30</f>
        <v>342</v>
      </c>
      <c r="J23" s="16">
        <f>HOTEL!U30</f>
        <v>113</v>
      </c>
      <c r="K23" s="16">
        <f>HOTEL!Y30</f>
        <v>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5</v>
      </c>
      <c r="D24" s="13">
        <v>2020</v>
      </c>
      <c r="E24" s="16">
        <f>HOTEL!D31</f>
        <v>1575</v>
      </c>
      <c r="F24" s="16">
        <f>HOTEL!F31</f>
        <v>1525</v>
      </c>
      <c r="G24" s="16">
        <f>HOTEL!H31</f>
        <v>1374</v>
      </c>
      <c r="H24" s="16">
        <f>HOTEL!N31</f>
        <v>31</v>
      </c>
      <c r="I24" s="16">
        <f>HOTEL!P31</f>
        <v>339</v>
      </c>
      <c r="J24" s="16">
        <f>HOTEL!U31</f>
        <v>249</v>
      </c>
      <c r="K24" s="16">
        <f>HOTEL!Y31</f>
        <v>7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5</v>
      </c>
      <c r="D25" s="13">
        <v>2020</v>
      </c>
      <c r="E25" s="16">
        <f>HOTEL!D32</f>
        <v>1555</v>
      </c>
      <c r="F25" s="16">
        <f>HOTEL!F32</f>
        <v>1522</v>
      </c>
      <c r="G25" s="16">
        <f>HOTEL!H32</f>
        <v>1378</v>
      </c>
      <c r="H25" s="16">
        <f>HOTEL!N32</f>
        <v>35</v>
      </c>
      <c r="I25" s="16">
        <f>HOTEL!P32</f>
        <v>284</v>
      </c>
      <c r="J25" s="16">
        <f>HOTEL!U32</f>
        <v>64</v>
      </c>
      <c r="K25" s="16">
        <f>HOTEL!Y32</f>
        <v>7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5</v>
      </c>
      <c r="D26" s="13">
        <v>2020</v>
      </c>
      <c r="E26" s="16">
        <f>HOTEL!D33</f>
        <v>1500</v>
      </c>
      <c r="F26" s="16">
        <f>HOTEL!F33</f>
        <v>1507</v>
      </c>
      <c r="G26" s="16">
        <f>HOTEL!H33</f>
        <v>1394</v>
      </c>
      <c r="H26" s="16">
        <f>HOTEL!N33</f>
        <v>34</v>
      </c>
      <c r="I26" s="16">
        <f>HOTEL!P33</f>
        <v>382</v>
      </c>
      <c r="J26" s="16">
        <f>HOTEL!U33</f>
        <v>206</v>
      </c>
      <c r="K26" s="16">
        <f>HOTEL!Y33</f>
        <v>7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5</v>
      </c>
      <c r="D27" s="13">
        <v>2020</v>
      </c>
      <c r="E27" s="16">
        <f>HOTEL!D34</f>
        <v>1610</v>
      </c>
      <c r="F27" s="16">
        <f>HOTEL!F34</f>
        <v>1529</v>
      </c>
      <c r="G27" s="16">
        <f>HOTEL!H34</f>
        <v>1346</v>
      </c>
      <c r="H27" s="16">
        <f>HOTEL!N34</f>
        <v>32</v>
      </c>
      <c r="I27" s="16">
        <f>HOTEL!P34</f>
        <v>313</v>
      </c>
      <c r="J27" s="16">
        <f>HOTEL!U34</f>
        <v>290</v>
      </c>
      <c r="K27" s="16">
        <f>HOTEL!Y34</f>
        <v>7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5</v>
      </c>
      <c r="D28" s="13">
        <v>2020</v>
      </c>
      <c r="E28" s="16">
        <f>HOTEL!D35</f>
        <v>1432</v>
      </c>
      <c r="F28" s="16">
        <f>HOTEL!F35</f>
        <v>1425</v>
      </c>
      <c r="G28" s="16">
        <f>HOTEL!H35</f>
        <v>1260</v>
      </c>
      <c r="H28" s="16">
        <f>HOTEL!N35</f>
        <v>36</v>
      </c>
      <c r="I28" s="16">
        <f>HOTEL!P35</f>
        <v>379</v>
      </c>
      <c r="J28" s="16">
        <f>HOTEL!U35</f>
        <v>161</v>
      </c>
      <c r="K28" s="16">
        <f>HOTEL!Y35</f>
        <v>7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5</v>
      </c>
      <c r="D29" s="13">
        <v>2020</v>
      </c>
      <c r="E29" s="16">
        <f>HOTEL!D36</f>
        <v>1437</v>
      </c>
      <c r="F29" s="16">
        <f>HOTEL!F36</f>
        <v>1425</v>
      </c>
      <c r="G29" s="16">
        <f>HOTEL!H36</f>
        <v>1267</v>
      </c>
      <c r="H29" s="16">
        <f>HOTEL!N36</f>
        <v>30</v>
      </c>
      <c r="I29" s="16">
        <f>HOTEL!P36</f>
        <v>301</v>
      </c>
      <c r="J29" s="16">
        <f>HOTEL!U36</f>
        <v>229</v>
      </c>
      <c r="K29" s="16">
        <f>HOTEL!Y36</f>
        <v>7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5</v>
      </c>
      <c r="D30" s="13">
        <v>2020</v>
      </c>
      <c r="E30" s="16">
        <f>HOTEL!D37</f>
        <v>2186</v>
      </c>
      <c r="F30" s="16">
        <f>HOTEL!F37</f>
        <v>2161</v>
      </c>
      <c r="G30" s="16">
        <f>HOTEL!H37</f>
        <v>1979</v>
      </c>
      <c r="H30" s="16">
        <f>HOTEL!N37</f>
        <v>39</v>
      </c>
      <c r="I30" s="16">
        <f>HOTEL!P37</f>
        <v>310</v>
      </c>
      <c r="J30" s="16">
        <f>HOTEL!U37</f>
        <v>109</v>
      </c>
      <c r="K30" s="16">
        <f>HOTEL!Y37</f>
        <v>7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5</v>
      </c>
      <c r="D31" s="13">
        <v>2020</v>
      </c>
      <c r="E31" s="16">
        <f>HOTEL!D38</f>
        <v>2067</v>
      </c>
      <c r="F31" s="16">
        <f>HOTEL!F38</f>
        <v>2022</v>
      </c>
      <c r="G31" s="16">
        <f>HOTEL!H38</f>
        <v>1846</v>
      </c>
      <c r="H31" s="16">
        <f>HOTEL!N38</f>
        <v>33</v>
      </c>
      <c r="I31" s="16">
        <f>HOTEL!P38</f>
        <v>383</v>
      </c>
      <c r="J31" s="16">
        <f>HOTEL!U38</f>
        <v>280</v>
      </c>
      <c r="K31" s="16">
        <f>HOTEL!Y38</f>
        <v>7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5</v>
      </c>
      <c r="D32" s="13">
        <v>2020</v>
      </c>
      <c r="E32" s="16">
        <f>HOTEL!D39</f>
        <v>2105</v>
      </c>
      <c r="F32" s="16">
        <f>HOTEL!F39</f>
        <v>1947</v>
      </c>
      <c r="G32" s="16">
        <f>HOTEL!H39</f>
        <v>1731</v>
      </c>
      <c r="H32" s="16">
        <f>HOTEL!N39</f>
        <v>38</v>
      </c>
      <c r="I32" s="16">
        <f>HOTEL!P39</f>
        <v>338</v>
      </c>
      <c r="J32" s="16">
        <f>HOTEL!U39</f>
        <v>121</v>
      </c>
      <c r="K32" s="16">
        <f>HOTEL!Y39</f>
        <v>7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10" workbookViewId="0">
      <selection activeCell="Y39" sqref="Y39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35"/>
      <c r="C1" s="135"/>
      <c r="D1" s="135"/>
      <c r="E1" s="135"/>
      <c r="F1" s="136" t="s">
        <v>95</v>
      </c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6" t="s">
        <v>122</v>
      </c>
      <c r="X1" s="137"/>
      <c r="Y1" s="137"/>
      <c r="Z1" s="138"/>
    </row>
    <row r="2" spans="1:27" x14ac:dyDescent="0.25">
      <c r="A2" s="13"/>
      <c r="B2" s="135"/>
      <c r="C2" s="135"/>
      <c r="D2" s="135"/>
      <c r="E2" s="135"/>
      <c r="F2" s="139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1"/>
      <c r="W2" s="139"/>
      <c r="X2" s="140"/>
      <c r="Y2" s="140"/>
      <c r="Z2" s="141"/>
    </row>
    <row r="3" spans="1:27" x14ac:dyDescent="0.25">
      <c r="A3" s="13"/>
      <c r="B3" s="135"/>
      <c r="C3" s="135"/>
      <c r="D3" s="135"/>
      <c r="E3" s="135"/>
      <c r="F3" s="139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139">
        <v>2020</v>
      </c>
      <c r="X3" s="140"/>
      <c r="Y3" s="140"/>
      <c r="Z3" s="141"/>
    </row>
    <row r="4" spans="1:27" x14ac:dyDescent="0.25">
      <c r="A4" s="13"/>
      <c r="B4" s="135"/>
      <c r="C4" s="135"/>
      <c r="D4" s="135"/>
      <c r="E4" s="135"/>
      <c r="F4" s="142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4"/>
      <c r="W4" s="142"/>
      <c r="X4" s="143"/>
      <c r="Y4" s="143"/>
      <c r="Z4" s="14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4262644</v>
      </c>
      <c r="D6" s="36"/>
      <c r="E6" s="37">
        <v>4217229</v>
      </c>
      <c r="F6" s="38"/>
      <c r="G6" s="35">
        <v>4000293</v>
      </c>
      <c r="H6" s="39">
        <f>G6-G5</f>
        <v>4000293</v>
      </c>
      <c r="I6" s="40"/>
      <c r="J6" s="41">
        <f>D6+F6+H6</f>
        <v>4000293</v>
      </c>
      <c r="K6" s="41" t="e">
        <f>D6*0.152+F6*0.238+H6*0.115+#REF!*0.218</f>
        <v>#REF!</v>
      </c>
      <c r="L6" s="42"/>
      <c r="M6" s="43">
        <v>97237</v>
      </c>
      <c r="N6" s="39" t="e">
        <f>M6-#REF!</f>
        <v>#REF!</v>
      </c>
      <c r="O6" s="44">
        <v>1793903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170284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45" t="s">
        <v>97</v>
      </c>
      <c r="D7" s="146"/>
      <c r="E7" s="146"/>
      <c r="F7" s="146"/>
      <c r="G7" s="146"/>
      <c r="H7" s="146"/>
      <c r="I7" s="146"/>
      <c r="J7" s="146"/>
      <c r="K7" s="147"/>
      <c r="L7" s="49"/>
      <c r="M7" s="145" t="s">
        <v>98</v>
      </c>
      <c r="N7" s="146"/>
      <c r="O7" s="146"/>
      <c r="P7" s="146"/>
      <c r="Q7" s="146"/>
      <c r="R7" s="147"/>
      <c r="S7" s="49"/>
      <c r="T7" s="148" t="s">
        <v>99</v>
      </c>
      <c r="U7" s="148"/>
      <c r="V7" s="14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119</v>
      </c>
      <c r="B9" s="67">
        <v>1</v>
      </c>
      <c r="C9" s="68">
        <v>4263956</v>
      </c>
      <c r="D9" s="69">
        <f>IF((C9-C6&lt;0), "0",C9-C6)</f>
        <v>1312</v>
      </c>
      <c r="E9" s="70">
        <v>4218517</v>
      </c>
      <c r="F9" s="69">
        <f>IF((E9-E6&lt;0), "0",E9-E6)</f>
        <v>1288</v>
      </c>
      <c r="G9" s="70">
        <v>4001419</v>
      </c>
      <c r="H9" s="69">
        <f>IF((G9-G6&lt;0), "0",G9-G6)</f>
        <v>1126</v>
      </c>
      <c r="I9" s="71">
        <f>SUM(H9,F9,D9)</f>
        <v>3726</v>
      </c>
      <c r="J9" s="72">
        <v>0.98</v>
      </c>
      <c r="K9" s="73">
        <f>I9*0.251</f>
        <v>935.226</v>
      </c>
      <c r="L9" s="74"/>
      <c r="M9" s="70">
        <v>97275</v>
      </c>
      <c r="N9" s="69">
        <f>IF((M9-M6&lt;0), "0",M9-M6)</f>
        <v>38</v>
      </c>
      <c r="O9" s="70">
        <v>1794334</v>
      </c>
      <c r="P9" s="69">
        <f>IF((O9-O6&lt;0), "0",O9-O6)</f>
        <v>431</v>
      </c>
      <c r="Q9" s="75">
        <f t="shared" ref="Q9:Q39" si="0">N9+P9</f>
        <v>469</v>
      </c>
      <c r="R9" s="76">
        <f>(P9+N9)*0.056*10.211</f>
        <v>268.18170400000002</v>
      </c>
      <c r="S9" s="77"/>
      <c r="T9" s="78">
        <v>170312</v>
      </c>
      <c r="U9" s="69">
        <f>IF((T9-T6&lt;0), "0",T9-T6)</f>
        <v>28</v>
      </c>
      <c r="V9" s="79">
        <f>U9*(1.315+1.54)</f>
        <v>79.94</v>
      </c>
      <c r="W9" s="80"/>
      <c r="X9" s="81">
        <f t="shared" ref="X9:X39" si="1">K9+R9+V9</f>
        <v>1283.347704</v>
      </c>
      <c r="Y9" s="82">
        <v>8</v>
      </c>
      <c r="Z9" s="83">
        <f>X9/Y9</f>
        <v>160.418463</v>
      </c>
    </row>
    <row r="10" spans="1:27" x14ac:dyDescent="0.25">
      <c r="A10" s="13" t="s">
        <v>120</v>
      </c>
      <c r="B10" s="67">
        <f>B9+1</f>
        <v>2</v>
      </c>
      <c r="C10" s="68">
        <v>4265224</v>
      </c>
      <c r="D10" s="69">
        <f>IF((C10-C9&lt;0), "0",C10-C9)</f>
        <v>1268</v>
      </c>
      <c r="E10" s="68">
        <v>4219774</v>
      </c>
      <c r="F10" s="69">
        <f>IF((E10-E9&lt;0), "0",E10-E9)</f>
        <v>1257</v>
      </c>
      <c r="G10" s="70">
        <v>4002510</v>
      </c>
      <c r="H10" s="69">
        <f>IF((G10-G9&lt;0), "0",G10-G9)</f>
        <v>1091</v>
      </c>
      <c r="I10" s="71">
        <f t="shared" ref="I10:I39" si="2">SUM(H10,F10,D10)</f>
        <v>3616</v>
      </c>
      <c r="J10" s="72">
        <v>0.98</v>
      </c>
      <c r="K10" s="73">
        <f t="shared" ref="K10:K39" si="3">I10*0.251</f>
        <v>907.61599999999999</v>
      </c>
      <c r="L10" s="74"/>
      <c r="M10" s="70">
        <v>97311</v>
      </c>
      <c r="N10" s="69">
        <f>IF((M10-M9&lt;0), "0",M10-M9)</f>
        <v>36</v>
      </c>
      <c r="O10" s="70">
        <v>1794759</v>
      </c>
      <c r="P10" s="69">
        <f>IF((O10-O9&lt;0), "0",O10-O9)</f>
        <v>425</v>
      </c>
      <c r="Q10" s="75">
        <f t="shared" si="0"/>
        <v>461</v>
      </c>
      <c r="R10" s="76">
        <f t="shared" ref="R10:R39" si="4">(P10+N10)*0.056*10.211</f>
        <v>263.60717599999998</v>
      </c>
      <c r="S10" s="77"/>
      <c r="T10" s="78">
        <v>170333</v>
      </c>
      <c r="U10" s="69">
        <f>IF((T10-T9&lt;0), "0",T10-T9)</f>
        <v>21</v>
      </c>
      <c r="V10" s="79">
        <f t="shared" ref="V10:V39" si="5">U10*(1.315+1.54)</f>
        <v>59.954999999999998</v>
      </c>
      <c r="W10" s="80"/>
      <c r="X10" s="84">
        <f t="shared" si="1"/>
        <v>1231.1781759999999</v>
      </c>
      <c r="Y10" s="85">
        <v>8</v>
      </c>
      <c r="Z10" s="86">
        <f t="shared" ref="Z10:Z39" si="6">X10/Y10</f>
        <v>153.89727199999999</v>
      </c>
    </row>
    <row r="11" spans="1:27" x14ac:dyDescent="0.25">
      <c r="A11" s="13" t="s">
        <v>96</v>
      </c>
      <c r="B11" s="67">
        <f t="shared" ref="B11:B38" si="7">B10+1</f>
        <v>3</v>
      </c>
      <c r="C11" s="68">
        <v>4266441</v>
      </c>
      <c r="D11" s="69">
        <f t="shared" ref="D11:D39" si="8">IF((C11-C10&lt;0), "0",C11-C10)</f>
        <v>1217</v>
      </c>
      <c r="E11" s="68">
        <v>4221144</v>
      </c>
      <c r="F11" s="69">
        <f t="shared" ref="F11:F39" si="9">IF((E11-E10&lt;0), "0",E11-E10)</f>
        <v>1370</v>
      </c>
      <c r="G11" s="70">
        <v>4003701</v>
      </c>
      <c r="H11" s="69">
        <f t="shared" ref="H11:H39" si="10">IF((G11-G10&lt;0), "0",G11-G10)</f>
        <v>1191</v>
      </c>
      <c r="I11" s="71">
        <f t="shared" si="2"/>
        <v>3778</v>
      </c>
      <c r="J11" s="72">
        <v>0.98</v>
      </c>
      <c r="K11" s="73">
        <f t="shared" si="3"/>
        <v>948.27800000000002</v>
      </c>
      <c r="L11" s="74"/>
      <c r="M11" s="70">
        <v>97345</v>
      </c>
      <c r="N11" s="69">
        <f t="shared" ref="N11:N39" si="11">IF((M11-M10&lt;0), "0",M11-M10)</f>
        <v>34</v>
      </c>
      <c r="O11" s="70">
        <v>1795214</v>
      </c>
      <c r="P11" s="69">
        <f t="shared" ref="P11:P39" si="12">IF((O11-O10&lt;0), "0",O11-O10)</f>
        <v>455</v>
      </c>
      <c r="Q11" s="75">
        <f t="shared" si="0"/>
        <v>489</v>
      </c>
      <c r="R11" s="76">
        <f t="shared" si="4"/>
        <v>279.61802399999999</v>
      </c>
      <c r="S11" s="77"/>
      <c r="T11" s="87">
        <v>170504</v>
      </c>
      <c r="U11" s="69">
        <f t="shared" ref="U11:U39" si="13">IF((T11-T10&lt;0), "0",T11-T10)</f>
        <v>171</v>
      </c>
      <c r="V11" s="79">
        <f t="shared" si="5"/>
        <v>488.20499999999998</v>
      </c>
      <c r="W11" s="80"/>
      <c r="X11" s="84">
        <f t="shared" si="1"/>
        <v>1716.1010240000001</v>
      </c>
      <c r="Y11" s="85">
        <v>8</v>
      </c>
      <c r="Z11" s="86">
        <f t="shared" si="6"/>
        <v>214.51262800000001</v>
      </c>
    </row>
    <row r="12" spans="1:27" x14ac:dyDescent="0.25">
      <c r="A12" s="13" t="s">
        <v>121</v>
      </c>
      <c r="B12" s="67">
        <f t="shared" si="7"/>
        <v>4</v>
      </c>
      <c r="C12" s="68">
        <v>4267837</v>
      </c>
      <c r="D12" s="69">
        <f t="shared" si="8"/>
        <v>1396</v>
      </c>
      <c r="E12" s="68">
        <v>4222359</v>
      </c>
      <c r="F12" s="69">
        <f t="shared" si="9"/>
        <v>1215</v>
      </c>
      <c r="G12" s="70">
        <v>4004773</v>
      </c>
      <c r="H12" s="69">
        <f t="shared" si="10"/>
        <v>1072</v>
      </c>
      <c r="I12" s="71">
        <f t="shared" si="2"/>
        <v>3683</v>
      </c>
      <c r="J12" s="72">
        <v>0.98</v>
      </c>
      <c r="K12" s="73">
        <f t="shared" si="3"/>
        <v>924.43299999999999</v>
      </c>
      <c r="L12" s="74"/>
      <c r="M12" s="70">
        <v>97382</v>
      </c>
      <c r="N12" s="69">
        <f t="shared" si="11"/>
        <v>37</v>
      </c>
      <c r="O12" s="70">
        <v>1795606</v>
      </c>
      <c r="P12" s="69">
        <f t="shared" si="12"/>
        <v>392</v>
      </c>
      <c r="Q12" s="75">
        <f t="shared" si="0"/>
        <v>429</v>
      </c>
      <c r="R12" s="76">
        <f t="shared" si="4"/>
        <v>245.30906400000001</v>
      </c>
      <c r="S12" s="77"/>
      <c r="T12" s="78">
        <v>170712</v>
      </c>
      <c r="U12" s="69">
        <f t="shared" si="13"/>
        <v>208</v>
      </c>
      <c r="V12" s="79">
        <f t="shared" si="5"/>
        <v>593.84</v>
      </c>
      <c r="W12" s="80"/>
      <c r="X12" s="84">
        <f t="shared" si="1"/>
        <v>1763.5820640000002</v>
      </c>
      <c r="Y12" s="85">
        <v>8</v>
      </c>
      <c r="Z12" s="86">
        <f t="shared" si="6"/>
        <v>220.44775800000002</v>
      </c>
    </row>
    <row r="13" spans="1:27" x14ac:dyDescent="0.25">
      <c r="A13" s="13" t="s">
        <v>116</v>
      </c>
      <c r="B13" s="67">
        <f t="shared" si="7"/>
        <v>5</v>
      </c>
      <c r="C13" s="88">
        <v>4269160</v>
      </c>
      <c r="D13" s="69">
        <f t="shared" si="8"/>
        <v>1323</v>
      </c>
      <c r="E13" s="68">
        <v>4223675</v>
      </c>
      <c r="F13" s="69">
        <f t="shared" si="9"/>
        <v>1316</v>
      </c>
      <c r="G13" s="88">
        <v>4005933</v>
      </c>
      <c r="H13" s="69">
        <f t="shared" si="10"/>
        <v>1160</v>
      </c>
      <c r="I13" s="71">
        <f t="shared" si="2"/>
        <v>3799</v>
      </c>
      <c r="J13" s="72">
        <v>0.98</v>
      </c>
      <c r="K13" s="73">
        <f t="shared" si="3"/>
        <v>953.54899999999998</v>
      </c>
      <c r="L13" s="74"/>
      <c r="M13" s="70">
        <v>97413</v>
      </c>
      <c r="N13" s="69">
        <f t="shared" si="11"/>
        <v>31</v>
      </c>
      <c r="O13" s="68">
        <v>1796126</v>
      </c>
      <c r="P13" s="69">
        <f t="shared" si="12"/>
        <v>520</v>
      </c>
      <c r="Q13" s="75">
        <f t="shared" si="0"/>
        <v>551</v>
      </c>
      <c r="R13" s="76">
        <f t="shared" si="4"/>
        <v>315.07061600000003</v>
      </c>
      <c r="S13" s="77"/>
      <c r="T13" s="89">
        <v>170959</v>
      </c>
      <c r="U13" s="69">
        <f t="shared" si="13"/>
        <v>247</v>
      </c>
      <c r="V13" s="79">
        <f t="shared" si="5"/>
        <v>705.18499999999995</v>
      </c>
      <c r="W13" s="80"/>
      <c r="X13" s="84">
        <f t="shared" si="1"/>
        <v>1973.8046159999999</v>
      </c>
      <c r="Y13" s="85">
        <v>8</v>
      </c>
      <c r="Z13" s="86">
        <f t="shared" si="6"/>
        <v>246.72557699999999</v>
      </c>
    </row>
    <row r="14" spans="1:27" x14ac:dyDescent="0.25">
      <c r="A14" s="13" t="s">
        <v>117</v>
      </c>
      <c r="B14" s="67">
        <f t="shared" si="7"/>
        <v>6</v>
      </c>
      <c r="C14" s="68">
        <v>4270675</v>
      </c>
      <c r="D14" s="69">
        <f t="shared" si="8"/>
        <v>1515</v>
      </c>
      <c r="E14" s="68">
        <v>4225184</v>
      </c>
      <c r="F14" s="69">
        <f t="shared" si="9"/>
        <v>1509</v>
      </c>
      <c r="G14" s="88">
        <v>4007292</v>
      </c>
      <c r="H14" s="69">
        <f t="shared" si="10"/>
        <v>1359</v>
      </c>
      <c r="I14" s="71">
        <f t="shared" si="2"/>
        <v>4383</v>
      </c>
      <c r="J14" s="72">
        <v>0.98</v>
      </c>
      <c r="K14" s="73">
        <f t="shared" si="3"/>
        <v>1100.133</v>
      </c>
      <c r="L14" s="74"/>
      <c r="M14" s="70">
        <v>97440</v>
      </c>
      <c r="N14" s="69">
        <f t="shared" si="11"/>
        <v>27</v>
      </c>
      <c r="O14" s="68">
        <v>1796576</v>
      </c>
      <c r="P14" s="69">
        <f t="shared" si="12"/>
        <v>450</v>
      </c>
      <c r="Q14" s="75">
        <f t="shared" si="0"/>
        <v>477</v>
      </c>
      <c r="R14" s="76">
        <f t="shared" si="4"/>
        <v>272.75623200000001</v>
      </c>
      <c r="S14" s="77"/>
      <c r="T14" s="89">
        <v>171066</v>
      </c>
      <c r="U14" s="69">
        <f t="shared" si="13"/>
        <v>107</v>
      </c>
      <c r="V14" s="79">
        <f t="shared" si="5"/>
        <v>305.48500000000001</v>
      </c>
      <c r="W14" s="80"/>
      <c r="X14" s="84">
        <f t="shared" si="1"/>
        <v>1678.3742320000001</v>
      </c>
      <c r="Y14" s="85">
        <v>8</v>
      </c>
      <c r="Z14" s="86">
        <f t="shared" si="6"/>
        <v>209.79677900000002</v>
      </c>
    </row>
    <row r="15" spans="1:27" x14ac:dyDescent="0.25">
      <c r="A15" s="13" t="s">
        <v>118</v>
      </c>
      <c r="B15" s="67">
        <f t="shared" si="7"/>
        <v>7</v>
      </c>
      <c r="C15" s="68">
        <v>4272295</v>
      </c>
      <c r="D15" s="69">
        <f t="shared" si="8"/>
        <v>1620</v>
      </c>
      <c r="E15" s="68">
        <v>4226787</v>
      </c>
      <c r="F15" s="69">
        <f t="shared" si="9"/>
        <v>1603</v>
      </c>
      <c r="G15" s="68">
        <v>4008739</v>
      </c>
      <c r="H15" s="69">
        <f t="shared" si="10"/>
        <v>1447</v>
      </c>
      <c r="I15" s="71">
        <f t="shared" si="2"/>
        <v>4670</v>
      </c>
      <c r="J15" s="72">
        <v>0.98</v>
      </c>
      <c r="K15" s="73">
        <f t="shared" si="3"/>
        <v>1172.17</v>
      </c>
      <c r="L15" s="74"/>
      <c r="M15" s="70">
        <v>97470</v>
      </c>
      <c r="N15" s="69">
        <f t="shared" si="11"/>
        <v>30</v>
      </c>
      <c r="O15" s="68">
        <v>1796966</v>
      </c>
      <c r="P15" s="69">
        <f t="shared" si="12"/>
        <v>390</v>
      </c>
      <c r="Q15" s="75">
        <f t="shared" si="0"/>
        <v>420</v>
      </c>
      <c r="R15" s="76">
        <f t="shared" si="4"/>
        <v>240.16272000000001</v>
      </c>
      <c r="S15" s="77"/>
      <c r="T15" s="89">
        <v>171222</v>
      </c>
      <c r="U15" s="69">
        <f t="shared" si="13"/>
        <v>156</v>
      </c>
      <c r="V15" s="79">
        <f t="shared" si="5"/>
        <v>445.38</v>
      </c>
      <c r="W15" s="80"/>
      <c r="X15" s="84">
        <f t="shared" si="1"/>
        <v>1857.71272</v>
      </c>
      <c r="Y15" s="85">
        <v>8</v>
      </c>
      <c r="Z15" s="86">
        <f t="shared" si="6"/>
        <v>232.21409</v>
      </c>
    </row>
    <row r="16" spans="1:27" x14ac:dyDescent="0.25">
      <c r="A16" s="13" t="s">
        <v>119</v>
      </c>
      <c r="B16" s="67">
        <f t="shared" si="7"/>
        <v>8</v>
      </c>
      <c r="C16" s="68">
        <v>4273831</v>
      </c>
      <c r="D16" s="69">
        <f t="shared" si="8"/>
        <v>1536</v>
      </c>
      <c r="E16" s="68">
        <v>4228308</v>
      </c>
      <c r="F16" s="69">
        <f t="shared" si="9"/>
        <v>1521</v>
      </c>
      <c r="G16" s="68">
        <v>4010093</v>
      </c>
      <c r="H16" s="69">
        <f t="shared" si="10"/>
        <v>1354</v>
      </c>
      <c r="I16" s="71">
        <f t="shared" si="2"/>
        <v>4411</v>
      </c>
      <c r="J16" s="72">
        <v>0.97</v>
      </c>
      <c r="K16" s="73">
        <f t="shared" si="3"/>
        <v>1107.1610000000001</v>
      </c>
      <c r="L16" s="74"/>
      <c r="M16" s="70">
        <v>97500</v>
      </c>
      <c r="N16" s="69">
        <f t="shared" si="11"/>
        <v>30</v>
      </c>
      <c r="O16" s="68">
        <v>1797385</v>
      </c>
      <c r="P16" s="69">
        <f t="shared" si="12"/>
        <v>419</v>
      </c>
      <c r="Q16" s="75">
        <f t="shared" si="0"/>
        <v>449</v>
      </c>
      <c r="R16" s="76">
        <f t="shared" si="4"/>
        <v>256.745384</v>
      </c>
      <c r="S16" s="77"/>
      <c r="T16" s="89">
        <v>171305</v>
      </c>
      <c r="U16" s="69">
        <f t="shared" si="13"/>
        <v>83</v>
      </c>
      <c r="V16" s="79">
        <f t="shared" si="5"/>
        <v>236.965</v>
      </c>
      <c r="W16" s="80"/>
      <c r="X16" s="84">
        <f t="shared" si="1"/>
        <v>1600.871384</v>
      </c>
      <c r="Y16" s="85">
        <v>8</v>
      </c>
      <c r="Z16" s="86">
        <f t="shared" si="6"/>
        <v>200.108923</v>
      </c>
    </row>
    <row r="17" spans="1:26" x14ac:dyDescent="0.25">
      <c r="A17" s="13" t="s">
        <v>120</v>
      </c>
      <c r="B17" s="67">
        <v>9</v>
      </c>
      <c r="C17" s="90">
        <v>4275382</v>
      </c>
      <c r="D17" s="69">
        <f t="shared" si="8"/>
        <v>1551</v>
      </c>
      <c r="E17" s="90">
        <v>4229842</v>
      </c>
      <c r="F17" s="69">
        <f t="shared" si="9"/>
        <v>1534</v>
      </c>
      <c r="G17" s="90">
        <v>4011466</v>
      </c>
      <c r="H17" s="69">
        <f t="shared" si="10"/>
        <v>1373</v>
      </c>
      <c r="I17" s="71">
        <f t="shared" si="2"/>
        <v>4458</v>
      </c>
      <c r="J17" s="72">
        <v>0.96</v>
      </c>
      <c r="K17" s="73">
        <f t="shared" si="3"/>
        <v>1118.9580000000001</v>
      </c>
      <c r="L17" s="74"/>
      <c r="M17" s="90">
        <v>97538</v>
      </c>
      <c r="N17" s="69">
        <f t="shared" si="11"/>
        <v>38</v>
      </c>
      <c r="O17" s="90">
        <v>1797790</v>
      </c>
      <c r="P17" s="69">
        <f t="shared" si="12"/>
        <v>405</v>
      </c>
      <c r="Q17" s="75">
        <f t="shared" si="0"/>
        <v>443</v>
      </c>
      <c r="R17" s="76">
        <f t="shared" si="4"/>
        <v>253.31448800000001</v>
      </c>
      <c r="S17" s="77"/>
      <c r="T17" s="91">
        <v>171506</v>
      </c>
      <c r="U17" s="69">
        <f t="shared" si="13"/>
        <v>201</v>
      </c>
      <c r="V17" s="79">
        <f t="shared" si="5"/>
        <v>573.85500000000002</v>
      </c>
      <c r="W17" s="80"/>
      <c r="X17" s="84">
        <f t="shared" si="1"/>
        <v>1946.1274880000001</v>
      </c>
      <c r="Y17" s="85">
        <v>8</v>
      </c>
      <c r="Z17" s="86">
        <f t="shared" si="6"/>
        <v>243.26593600000001</v>
      </c>
    </row>
    <row r="18" spans="1:26" x14ac:dyDescent="0.25">
      <c r="A18" s="13" t="s">
        <v>96</v>
      </c>
      <c r="B18" s="92">
        <f t="shared" si="7"/>
        <v>10</v>
      </c>
      <c r="C18" s="90">
        <v>4276921</v>
      </c>
      <c r="D18" s="69">
        <f t="shared" si="8"/>
        <v>1539</v>
      </c>
      <c r="E18" s="68">
        <v>4231370</v>
      </c>
      <c r="F18" s="69">
        <f t="shared" si="9"/>
        <v>1528</v>
      </c>
      <c r="G18" s="68">
        <v>4012833</v>
      </c>
      <c r="H18" s="69">
        <f t="shared" si="10"/>
        <v>1367</v>
      </c>
      <c r="I18" s="71">
        <f t="shared" si="2"/>
        <v>4434</v>
      </c>
      <c r="J18" s="72">
        <v>0.97</v>
      </c>
      <c r="K18" s="73">
        <f t="shared" si="3"/>
        <v>1112.934</v>
      </c>
      <c r="L18" s="93"/>
      <c r="M18" s="70">
        <v>97573</v>
      </c>
      <c r="N18" s="69">
        <f t="shared" si="11"/>
        <v>35</v>
      </c>
      <c r="O18" s="68">
        <v>1798168</v>
      </c>
      <c r="P18" s="69">
        <f t="shared" si="12"/>
        <v>378</v>
      </c>
      <c r="Q18" s="75">
        <f t="shared" si="0"/>
        <v>413</v>
      </c>
      <c r="R18" s="76">
        <f t="shared" si="4"/>
        <v>236.160008</v>
      </c>
      <c r="S18" s="94"/>
      <c r="T18" s="89">
        <v>171629</v>
      </c>
      <c r="U18" s="69">
        <f t="shared" si="13"/>
        <v>123</v>
      </c>
      <c r="V18" s="79">
        <f t="shared" si="5"/>
        <v>351.16500000000002</v>
      </c>
      <c r="W18" s="80"/>
      <c r="X18" s="84">
        <f t="shared" si="1"/>
        <v>1700.259008</v>
      </c>
      <c r="Y18" s="85">
        <v>8</v>
      </c>
      <c r="Z18" s="95">
        <f t="shared" si="6"/>
        <v>212.532376</v>
      </c>
    </row>
    <row r="19" spans="1:26" x14ac:dyDescent="0.25">
      <c r="A19" s="13" t="s">
        <v>121</v>
      </c>
      <c r="B19" s="96">
        <f t="shared" si="7"/>
        <v>11</v>
      </c>
      <c r="C19" s="68">
        <v>4278461</v>
      </c>
      <c r="D19" s="69">
        <f t="shared" si="8"/>
        <v>1540</v>
      </c>
      <c r="E19" s="68">
        <v>4232898</v>
      </c>
      <c r="F19" s="69">
        <f t="shared" si="9"/>
        <v>1528</v>
      </c>
      <c r="G19" s="68">
        <v>4014200</v>
      </c>
      <c r="H19" s="69">
        <f t="shared" si="10"/>
        <v>1367</v>
      </c>
      <c r="I19" s="71">
        <f t="shared" si="2"/>
        <v>4435</v>
      </c>
      <c r="J19" s="72">
        <v>0.97</v>
      </c>
      <c r="K19" s="73">
        <f t="shared" si="3"/>
        <v>1113.1849999999999</v>
      </c>
      <c r="L19" s="74"/>
      <c r="M19" s="70">
        <v>97610</v>
      </c>
      <c r="N19" s="69">
        <f t="shared" si="11"/>
        <v>37</v>
      </c>
      <c r="O19" s="97">
        <v>1798534</v>
      </c>
      <c r="P19" s="69">
        <f t="shared" si="12"/>
        <v>366</v>
      </c>
      <c r="Q19" s="75">
        <f t="shared" si="0"/>
        <v>403</v>
      </c>
      <c r="R19" s="76">
        <f t="shared" si="4"/>
        <v>230.44184800000002</v>
      </c>
      <c r="S19" s="77"/>
      <c r="T19" s="98">
        <v>171897</v>
      </c>
      <c r="U19" s="69">
        <f t="shared" si="13"/>
        <v>268</v>
      </c>
      <c r="V19" s="79">
        <f t="shared" si="5"/>
        <v>765.14</v>
      </c>
      <c r="W19" s="80"/>
      <c r="X19" s="84">
        <f t="shared" si="1"/>
        <v>2108.7668479999998</v>
      </c>
      <c r="Y19" s="85">
        <v>8</v>
      </c>
      <c r="Z19" s="83">
        <f t="shared" si="6"/>
        <v>263.59585599999997</v>
      </c>
    </row>
    <row r="20" spans="1:26" x14ac:dyDescent="0.25">
      <c r="A20" s="13" t="s">
        <v>116</v>
      </c>
      <c r="B20" s="67">
        <f t="shared" si="7"/>
        <v>12</v>
      </c>
      <c r="C20" s="68">
        <v>4280014</v>
      </c>
      <c r="D20" s="69">
        <f t="shared" si="8"/>
        <v>1553</v>
      </c>
      <c r="E20" s="68">
        <v>4234450</v>
      </c>
      <c r="F20" s="69">
        <f t="shared" si="9"/>
        <v>1552</v>
      </c>
      <c r="G20" s="68">
        <v>4015580</v>
      </c>
      <c r="H20" s="69">
        <f t="shared" si="10"/>
        <v>1380</v>
      </c>
      <c r="I20" s="71">
        <f t="shared" si="2"/>
        <v>4485</v>
      </c>
      <c r="J20" s="72">
        <v>0.97</v>
      </c>
      <c r="K20" s="73">
        <f t="shared" si="3"/>
        <v>1125.7349999999999</v>
      </c>
      <c r="L20" s="74"/>
      <c r="M20" s="70">
        <v>97636</v>
      </c>
      <c r="N20" s="69">
        <f t="shared" si="11"/>
        <v>26</v>
      </c>
      <c r="O20" s="68">
        <v>1799026</v>
      </c>
      <c r="P20" s="69">
        <f t="shared" si="12"/>
        <v>492</v>
      </c>
      <c r="Q20" s="75">
        <f t="shared" si="0"/>
        <v>518</v>
      </c>
      <c r="R20" s="76">
        <f t="shared" si="4"/>
        <v>296.20068800000001</v>
      </c>
      <c r="S20" s="77"/>
      <c r="T20" s="89">
        <v>172132</v>
      </c>
      <c r="U20" s="69">
        <f t="shared" si="13"/>
        <v>235</v>
      </c>
      <c r="V20" s="79">
        <f t="shared" si="5"/>
        <v>670.92499999999995</v>
      </c>
      <c r="W20" s="80"/>
      <c r="X20" s="84">
        <f t="shared" si="1"/>
        <v>2092.8606879999998</v>
      </c>
      <c r="Y20" s="85">
        <v>8</v>
      </c>
      <c r="Z20" s="86">
        <f t="shared" si="6"/>
        <v>261.60758599999997</v>
      </c>
    </row>
    <row r="21" spans="1:26" x14ac:dyDescent="0.25">
      <c r="A21" s="13" t="s">
        <v>117</v>
      </c>
      <c r="B21" s="67">
        <f t="shared" si="7"/>
        <v>13</v>
      </c>
      <c r="C21" s="90">
        <v>4281510</v>
      </c>
      <c r="D21" s="69">
        <f t="shared" si="8"/>
        <v>1496</v>
      </c>
      <c r="E21" s="68">
        <v>4235935</v>
      </c>
      <c r="F21" s="69">
        <f t="shared" si="9"/>
        <v>1485</v>
      </c>
      <c r="G21" s="68">
        <v>4016898</v>
      </c>
      <c r="H21" s="69">
        <f t="shared" si="10"/>
        <v>1318</v>
      </c>
      <c r="I21" s="71">
        <f t="shared" si="2"/>
        <v>4299</v>
      </c>
      <c r="J21" s="72">
        <v>0.98</v>
      </c>
      <c r="K21" s="73">
        <f t="shared" si="3"/>
        <v>1079.049</v>
      </c>
      <c r="L21" s="74"/>
      <c r="M21" s="70">
        <v>97667</v>
      </c>
      <c r="N21" s="69">
        <f t="shared" si="11"/>
        <v>31</v>
      </c>
      <c r="O21" s="68">
        <v>1799387</v>
      </c>
      <c r="P21" s="69">
        <f t="shared" si="12"/>
        <v>361</v>
      </c>
      <c r="Q21" s="75">
        <f t="shared" si="0"/>
        <v>392</v>
      </c>
      <c r="R21" s="76">
        <f t="shared" si="4"/>
        <v>224.15187200000003</v>
      </c>
      <c r="S21" s="77"/>
      <c r="T21" s="89">
        <v>172232</v>
      </c>
      <c r="U21" s="69">
        <f t="shared" si="13"/>
        <v>100</v>
      </c>
      <c r="V21" s="79">
        <f t="shared" si="5"/>
        <v>285.5</v>
      </c>
      <c r="W21" s="80"/>
      <c r="X21" s="84">
        <f t="shared" si="1"/>
        <v>1588.7008719999999</v>
      </c>
      <c r="Y21" s="85">
        <v>8</v>
      </c>
      <c r="Z21" s="86">
        <f t="shared" si="6"/>
        <v>198.58760899999999</v>
      </c>
    </row>
    <row r="22" spans="1:26" x14ac:dyDescent="0.25">
      <c r="A22" s="13" t="s">
        <v>118</v>
      </c>
      <c r="B22" s="67">
        <f t="shared" si="7"/>
        <v>14</v>
      </c>
      <c r="C22" s="90">
        <v>4283082</v>
      </c>
      <c r="D22" s="69">
        <f t="shared" si="8"/>
        <v>1572</v>
      </c>
      <c r="E22" s="68">
        <v>4237485</v>
      </c>
      <c r="F22" s="69">
        <f t="shared" si="9"/>
        <v>1550</v>
      </c>
      <c r="G22" s="68">
        <v>4018300</v>
      </c>
      <c r="H22" s="69">
        <f t="shared" si="10"/>
        <v>1402</v>
      </c>
      <c r="I22" s="71">
        <f t="shared" si="2"/>
        <v>4524</v>
      </c>
      <c r="J22" s="72">
        <v>0.97</v>
      </c>
      <c r="K22" s="73">
        <f t="shared" si="3"/>
        <v>1135.5240000000001</v>
      </c>
      <c r="L22" s="74"/>
      <c r="M22" s="70">
        <v>97703</v>
      </c>
      <c r="N22" s="69">
        <f t="shared" si="11"/>
        <v>36</v>
      </c>
      <c r="O22" s="68">
        <v>1799740</v>
      </c>
      <c r="P22" s="69">
        <f t="shared" si="12"/>
        <v>353</v>
      </c>
      <c r="Q22" s="75">
        <f t="shared" si="0"/>
        <v>389</v>
      </c>
      <c r="R22" s="76">
        <f t="shared" si="4"/>
        <v>222.43642399999999</v>
      </c>
      <c r="S22" s="77"/>
      <c r="T22" s="89">
        <v>172493</v>
      </c>
      <c r="U22" s="69">
        <f t="shared" si="13"/>
        <v>261</v>
      </c>
      <c r="V22" s="79">
        <f t="shared" si="5"/>
        <v>745.15499999999997</v>
      </c>
      <c r="W22" s="80"/>
      <c r="X22" s="84">
        <f t="shared" si="1"/>
        <v>2103.1154240000001</v>
      </c>
      <c r="Y22" s="85">
        <v>8</v>
      </c>
      <c r="Z22" s="86">
        <f t="shared" si="6"/>
        <v>262.88942800000001</v>
      </c>
    </row>
    <row r="23" spans="1:26" x14ac:dyDescent="0.25">
      <c r="A23" s="13" t="s">
        <v>119</v>
      </c>
      <c r="B23" s="67">
        <f t="shared" si="7"/>
        <v>15</v>
      </c>
      <c r="C23" s="68">
        <v>4284637</v>
      </c>
      <c r="D23" s="69">
        <f t="shared" si="8"/>
        <v>1555</v>
      </c>
      <c r="E23" s="68">
        <v>4239014</v>
      </c>
      <c r="F23" s="69">
        <f t="shared" si="9"/>
        <v>1529</v>
      </c>
      <c r="G23" s="68">
        <v>4019673</v>
      </c>
      <c r="H23" s="69">
        <f t="shared" si="10"/>
        <v>1373</v>
      </c>
      <c r="I23" s="71">
        <f t="shared" si="2"/>
        <v>4457</v>
      </c>
      <c r="J23" s="72">
        <v>0.97</v>
      </c>
      <c r="K23" s="73">
        <f t="shared" si="3"/>
        <v>1118.7070000000001</v>
      </c>
      <c r="L23" s="74"/>
      <c r="M23" s="70">
        <v>97740</v>
      </c>
      <c r="N23" s="69">
        <f t="shared" si="11"/>
        <v>37</v>
      </c>
      <c r="O23" s="68">
        <v>1800090</v>
      </c>
      <c r="P23" s="69">
        <f t="shared" si="12"/>
        <v>350</v>
      </c>
      <c r="Q23" s="75">
        <f t="shared" si="0"/>
        <v>387</v>
      </c>
      <c r="R23" s="76">
        <f t="shared" si="4"/>
        <v>221.29279200000002</v>
      </c>
      <c r="S23" s="77"/>
      <c r="T23" s="89">
        <v>172660</v>
      </c>
      <c r="U23" s="69">
        <f t="shared" si="13"/>
        <v>167</v>
      </c>
      <c r="V23" s="79">
        <f t="shared" si="5"/>
        <v>476.78500000000003</v>
      </c>
      <c r="W23" s="80"/>
      <c r="X23" s="84">
        <f t="shared" si="1"/>
        <v>1816.7847920000002</v>
      </c>
      <c r="Y23" s="85">
        <v>8</v>
      </c>
      <c r="Z23" s="86">
        <f t="shared" si="6"/>
        <v>227.09809900000002</v>
      </c>
    </row>
    <row r="24" spans="1:26" x14ac:dyDescent="0.25">
      <c r="A24" s="13" t="s">
        <v>120</v>
      </c>
      <c r="B24" s="67">
        <f t="shared" si="7"/>
        <v>16</v>
      </c>
      <c r="C24" s="68">
        <v>4286272</v>
      </c>
      <c r="D24" s="69">
        <f t="shared" si="8"/>
        <v>1635</v>
      </c>
      <c r="E24" s="68">
        <v>4240612</v>
      </c>
      <c r="F24" s="69">
        <f t="shared" si="9"/>
        <v>1598</v>
      </c>
      <c r="G24" s="68">
        <v>4021113</v>
      </c>
      <c r="H24" s="69">
        <f t="shared" si="10"/>
        <v>1440</v>
      </c>
      <c r="I24" s="71">
        <f t="shared" si="2"/>
        <v>4673</v>
      </c>
      <c r="J24" s="72">
        <v>0.98</v>
      </c>
      <c r="K24" s="73">
        <f t="shared" si="3"/>
        <v>1172.923</v>
      </c>
      <c r="L24" s="74"/>
      <c r="M24" s="70">
        <v>97774</v>
      </c>
      <c r="N24" s="69">
        <f t="shared" si="11"/>
        <v>34</v>
      </c>
      <c r="O24" s="68">
        <v>1800457</v>
      </c>
      <c r="P24" s="69">
        <f t="shared" si="12"/>
        <v>367</v>
      </c>
      <c r="Q24" s="75">
        <f t="shared" si="0"/>
        <v>401</v>
      </c>
      <c r="R24" s="76">
        <f t="shared" si="4"/>
        <v>229.298216</v>
      </c>
      <c r="S24" s="77"/>
      <c r="T24" s="89">
        <v>172922</v>
      </c>
      <c r="U24" s="69">
        <f t="shared" si="13"/>
        <v>262</v>
      </c>
      <c r="V24" s="79">
        <f t="shared" si="5"/>
        <v>748.01</v>
      </c>
      <c r="W24" s="80"/>
      <c r="X24" s="84">
        <f t="shared" si="1"/>
        <v>2150.2312160000001</v>
      </c>
      <c r="Y24" s="85">
        <v>8</v>
      </c>
      <c r="Z24" s="86">
        <f t="shared" si="6"/>
        <v>268.77890200000002</v>
      </c>
    </row>
    <row r="25" spans="1:26" x14ac:dyDescent="0.25">
      <c r="A25" s="13" t="s">
        <v>96</v>
      </c>
      <c r="B25" s="67">
        <f t="shared" si="7"/>
        <v>17</v>
      </c>
      <c r="C25" s="68">
        <v>4287782</v>
      </c>
      <c r="D25" s="69">
        <f t="shared" si="8"/>
        <v>1510</v>
      </c>
      <c r="E25" s="68">
        <v>4242083</v>
      </c>
      <c r="F25" s="69">
        <f t="shared" si="9"/>
        <v>1471</v>
      </c>
      <c r="G25" s="68">
        <v>4022431</v>
      </c>
      <c r="H25" s="69">
        <f t="shared" si="10"/>
        <v>1318</v>
      </c>
      <c r="I25" s="71">
        <f t="shared" si="2"/>
        <v>4299</v>
      </c>
      <c r="J25" s="72">
        <v>0.98</v>
      </c>
      <c r="K25" s="73">
        <f t="shared" si="3"/>
        <v>1079.049</v>
      </c>
      <c r="L25" s="74"/>
      <c r="M25" s="70">
        <v>97807</v>
      </c>
      <c r="N25" s="69">
        <f t="shared" si="11"/>
        <v>33</v>
      </c>
      <c r="O25" s="68">
        <v>1800842</v>
      </c>
      <c r="P25" s="69">
        <f t="shared" si="12"/>
        <v>385</v>
      </c>
      <c r="Q25" s="75">
        <f t="shared" si="0"/>
        <v>418</v>
      </c>
      <c r="R25" s="76">
        <f t="shared" si="4"/>
        <v>239.01908800000001</v>
      </c>
      <c r="S25" s="77"/>
      <c r="T25" s="89">
        <v>173044</v>
      </c>
      <c r="U25" s="69">
        <f t="shared" si="13"/>
        <v>122</v>
      </c>
      <c r="V25" s="79">
        <f t="shared" si="5"/>
        <v>348.31</v>
      </c>
      <c r="W25" s="80"/>
      <c r="X25" s="84">
        <f t="shared" si="1"/>
        <v>1666.3780879999999</v>
      </c>
      <c r="Y25" s="85">
        <v>8</v>
      </c>
      <c r="Z25" s="86">
        <f t="shared" si="6"/>
        <v>208.29726099999999</v>
      </c>
    </row>
    <row r="26" spans="1:26" x14ac:dyDescent="0.25">
      <c r="A26" s="13" t="s">
        <v>121</v>
      </c>
      <c r="B26" s="67">
        <f t="shared" si="7"/>
        <v>18</v>
      </c>
      <c r="C26" s="68">
        <v>4289344</v>
      </c>
      <c r="D26" s="69">
        <f t="shared" si="8"/>
        <v>1562</v>
      </c>
      <c r="E26" s="68">
        <v>4243541</v>
      </c>
      <c r="F26" s="69">
        <f t="shared" si="9"/>
        <v>1458</v>
      </c>
      <c r="G26" s="68">
        <v>4023750</v>
      </c>
      <c r="H26" s="69">
        <f t="shared" si="10"/>
        <v>1319</v>
      </c>
      <c r="I26" s="71">
        <f t="shared" si="2"/>
        <v>4339</v>
      </c>
      <c r="J26" s="72">
        <v>0.98</v>
      </c>
      <c r="K26" s="73">
        <f t="shared" si="3"/>
        <v>1089.0889999999999</v>
      </c>
      <c r="L26" s="74"/>
      <c r="M26" s="70">
        <v>97839</v>
      </c>
      <c r="N26" s="69">
        <f t="shared" si="11"/>
        <v>32</v>
      </c>
      <c r="O26" s="68">
        <v>1801236</v>
      </c>
      <c r="P26" s="69">
        <f t="shared" si="12"/>
        <v>394</v>
      </c>
      <c r="Q26" s="75">
        <f t="shared" si="0"/>
        <v>426</v>
      </c>
      <c r="R26" s="76">
        <f t="shared" si="4"/>
        <v>243.59361600000003</v>
      </c>
      <c r="S26" s="77"/>
      <c r="T26" s="89">
        <v>173254</v>
      </c>
      <c r="U26" s="69">
        <f t="shared" si="13"/>
        <v>210</v>
      </c>
      <c r="V26" s="79">
        <f t="shared" si="5"/>
        <v>599.54999999999995</v>
      </c>
      <c r="W26" s="80"/>
      <c r="X26" s="84">
        <f t="shared" si="1"/>
        <v>1932.232616</v>
      </c>
      <c r="Y26" s="85">
        <v>8</v>
      </c>
      <c r="Z26" s="86">
        <f t="shared" si="6"/>
        <v>241.529077</v>
      </c>
    </row>
    <row r="27" spans="1:26" x14ac:dyDescent="0.25">
      <c r="A27" s="13" t="s">
        <v>116</v>
      </c>
      <c r="B27" s="67">
        <f t="shared" si="7"/>
        <v>19</v>
      </c>
      <c r="C27" s="68">
        <v>4290859</v>
      </c>
      <c r="D27" s="69">
        <f t="shared" si="8"/>
        <v>1515</v>
      </c>
      <c r="E27" s="68">
        <v>4245071</v>
      </c>
      <c r="F27" s="69">
        <f t="shared" si="9"/>
        <v>1530</v>
      </c>
      <c r="G27" s="68">
        <v>4025142</v>
      </c>
      <c r="H27" s="69">
        <f t="shared" si="10"/>
        <v>1392</v>
      </c>
      <c r="I27" s="71">
        <f t="shared" si="2"/>
        <v>4437</v>
      </c>
      <c r="J27" s="72">
        <v>0.98</v>
      </c>
      <c r="K27" s="73">
        <f t="shared" si="3"/>
        <v>1113.6869999999999</v>
      </c>
      <c r="L27" s="99"/>
      <c r="M27" s="70">
        <v>97879</v>
      </c>
      <c r="N27" s="69">
        <f t="shared" si="11"/>
        <v>40</v>
      </c>
      <c r="O27" s="68">
        <v>1801706</v>
      </c>
      <c r="P27" s="69">
        <f t="shared" si="12"/>
        <v>470</v>
      </c>
      <c r="Q27" s="75">
        <f t="shared" si="0"/>
        <v>510</v>
      </c>
      <c r="R27" s="76">
        <f t="shared" si="4"/>
        <v>291.62616000000003</v>
      </c>
      <c r="S27" s="77"/>
      <c r="T27" s="89">
        <v>173540</v>
      </c>
      <c r="U27" s="69">
        <f t="shared" si="13"/>
        <v>286</v>
      </c>
      <c r="V27" s="79">
        <f t="shared" si="5"/>
        <v>816.53</v>
      </c>
      <c r="W27" s="80"/>
      <c r="X27" s="84">
        <f t="shared" si="1"/>
        <v>2221.8431599999999</v>
      </c>
      <c r="Y27" s="85">
        <v>8</v>
      </c>
      <c r="Z27" s="86">
        <f t="shared" si="6"/>
        <v>277.73039499999999</v>
      </c>
    </row>
    <row r="28" spans="1:26" x14ac:dyDescent="0.25">
      <c r="A28" s="13" t="s">
        <v>117</v>
      </c>
      <c r="B28" s="92">
        <f t="shared" si="7"/>
        <v>20</v>
      </c>
      <c r="C28" s="90">
        <v>4292458</v>
      </c>
      <c r="D28" s="69">
        <f t="shared" si="8"/>
        <v>1599</v>
      </c>
      <c r="E28" s="90">
        <v>4246623</v>
      </c>
      <c r="F28" s="69">
        <f t="shared" si="9"/>
        <v>1552</v>
      </c>
      <c r="G28" s="90">
        <v>4026552</v>
      </c>
      <c r="H28" s="69">
        <f t="shared" si="10"/>
        <v>1410</v>
      </c>
      <c r="I28" s="71">
        <f t="shared" si="2"/>
        <v>4561</v>
      </c>
      <c r="J28" s="72">
        <v>0.98</v>
      </c>
      <c r="K28" s="73">
        <f t="shared" si="3"/>
        <v>1144.8109999999999</v>
      </c>
      <c r="L28" s="100"/>
      <c r="M28" s="70">
        <v>97915</v>
      </c>
      <c r="N28" s="69">
        <f t="shared" si="11"/>
        <v>36</v>
      </c>
      <c r="O28" s="68">
        <v>1802085</v>
      </c>
      <c r="P28" s="69">
        <f t="shared" si="12"/>
        <v>379</v>
      </c>
      <c r="Q28" s="75">
        <f t="shared" si="0"/>
        <v>415</v>
      </c>
      <c r="R28" s="76">
        <f t="shared" si="4"/>
        <v>237.30364000000003</v>
      </c>
      <c r="S28" s="68"/>
      <c r="T28" s="89">
        <v>173647</v>
      </c>
      <c r="U28" s="69">
        <f t="shared" si="13"/>
        <v>107</v>
      </c>
      <c r="V28" s="79">
        <f t="shared" si="5"/>
        <v>305.48500000000001</v>
      </c>
      <c r="W28" s="80"/>
      <c r="X28" s="101">
        <f t="shared" si="1"/>
        <v>1687.5996399999999</v>
      </c>
      <c r="Y28" s="85">
        <v>8</v>
      </c>
      <c r="Z28" s="95">
        <f t="shared" si="6"/>
        <v>210.94995499999999</v>
      </c>
    </row>
    <row r="29" spans="1:26" x14ac:dyDescent="0.25">
      <c r="A29" s="13" t="s">
        <v>118</v>
      </c>
      <c r="B29" s="96">
        <f t="shared" si="7"/>
        <v>21</v>
      </c>
      <c r="C29" s="68">
        <v>4293993</v>
      </c>
      <c r="D29" s="69">
        <f t="shared" si="8"/>
        <v>1535</v>
      </c>
      <c r="E29" s="68">
        <v>4248117</v>
      </c>
      <c r="F29" s="69">
        <f t="shared" si="9"/>
        <v>1494</v>
      </c>
      <c r="G29" s="68">
        <v>4027898</v>
      </c>
      <c r="H29" s="69">
        <f t="shared" si="10"/>
        <v>1346</v>
      </c>
      <c r="I29" s="71">
        <f t="shared" si="2"/>
        <v>4375</v>
      </c>
      <c r="J29" s="72">
        <v>0.98</v>
      </c>
      <c r="K29" s="73">
        <f t="shared" si="3"/>
        <v>1098.125</v>
      </c>
      <c r="L29" s="74"/>
      <c r="M29" s="70">
        <v>97947</v>
      </c>
      <c r="N29" s="69">
        <f t="shared" si="11"/>
        <v>32</v>
      </c>
      <c r="O29" s="68">
        <v>1802443</v>
      </c>
      <c r="P29" s="69">
        <f t="shared" si="12"/>
        <v>358</v>
      </c>
      <c r="Q29" s="75">
        <f t="shared" si="0"/>
        <v>390</v>
      </c>
      <c r="R29" s="76">
        <f t="shared" si="4"/>
        <v>223.00824</v>
      </c>
      <c r="S29" s="77"/>
      <c r="T29" s="89">
        <v>173889</v>
      </c>
      <c r="U29" s="69">
        <f t="shared" si="13"/>
        <v>242</v>
      </c>
      <c r="V29" s="79">
        <f t="shared" si="5"/>
        <v>690.91</v>
      </c>
      <c r="W29" s="80"/>
      <c r="X29" s="81">
        <f t="shared" si="1"/>
        <v>2012.04324</v>
      </c>
      <c r="Y29" s="85">
        <v>7</v>
      </c>
      <c r="Z29" s="83">
        <f t="shared" si="6"/>
        <v>287.43474857142854</v>
      </c>
    </row>
    <row r="30" spans="1:26" x14ac:dyDescent="0.25">
      <c r="A30" s="13" t="s">
        <v>119</v>
      </c>
      <c r="B30" s="67">
        <f t="shared" si="7"/>
        <v>22</v>
      </c>
      <c r="C30" s="68">
        <v>4295554</v>
      </c>
      <c r="D30" s="69">
        <f t="shared" si="8"/>
        <v>1561</v>
      </c>
      <c r="E30" s="68">
        <v>4249635</v>
      </c>
      <c r="F30" s="69">
        <f t="shared" si="9"/>
        <v>1518</v>
      </c>
      <c r="G30" s="68">
        <v>4029276</v>
      </c>
      <c r="H30" s="69">
        <f t="shared" si="10"/>
        <v>1378</v>
      </c>
      <c r="I30" s="71">
        <f t="shared" si="2"/>
        <v>4457</v>
      </c>
      <c r="J30" s="72">
        <v>0.98</v>
      </c>
      <c r="K30" s="73">
        <f t="shared" si="3"/>
        <v>1118.7070000000001</v>
      </c>
      <c r="L30" s="74"/>
      <c r="M30" s="70">
        <v>97980</v>
      </c>
      <c r="N30" s="69">
        <f t="shared" si="11"/>
        <v>33</v>
      </c>
      <c r="O30" s="68">
        <v>1802785</v>
      </c>
      <c r="P30" s="69">
        <f t="shared" si="12"/>
        <v>342</v>
      </c>
      <c r="Q30" s="75">
        <f t="shared" si="0"/>
        <v>375</v>
      </c>
      <c r="R30" s="76">
        <f t="shared" si="4"/>
        <v>214.43100000000001</v>
      </c>
      <c r="S30" s="77"/>
      <c r="T30" s="89">
        <v>174002</v>
      </c>
      <c r="U30" s="69">
        <f t="shared" si="13"/>
        <v>113</v>
      </c>
      <c r="V30" s="79">
        <f t="shared" si="5"/>
        <v>322.61500000000001</v>
      </c>
      <c r="W30" s="80"/>
      <c r="X30" s="84">
        <f t="shared" si="1"/>
        <v>1655.7530000000002</v>
      </c>
      <c r="Y30" s="85">
        <v>7</v>
      </c>
      <c r="Z30" s="86">
        <f t="shared" si="6"/>
        <v>236.53614285714289</v>
      </c>
    </row>
    <row r="31" spans="1:26" x14ac:dyDescent="0.25">
      <c r="A31" s="13" t="s">
        <v>120</v>
      </c>
      <c r="B31" s="67">
        <f t="shared" si="7"/>
        <v>23</v>
      </c>
      <c r="C31" s="68">
        <v>4297129</v>
      </c>
      <c r="D31" s="69">
        <f t="shared" si="8"/>
        <v>1575</v>
      </c>
      <c r="E31" s="68">
        <v>4251160</v>
      </c>
      <c r="F31" s="69">
        <f t="shared" si="9"/>
        <v>1525</v>
      </c>
      <c r="G31" s="68">
        <v>4030650</v>
      </c>
      <c r="H31" s="69">
        <f t="shared" si="10"/>
        <v>1374</v>
      </c>
      <c r="I31" s="71">
        <f t="shared" si="2"/>
        <v>4474</v>
      </c>
      <c r="J31" s="72">
        <v>0.98</v>
      </c>
      <c r="K31" s="73">
        <f t="shared" si="3"/>
        <v>1122.9739999999999</v>
      </c>
      <c r="L31" s="74"/>
      <c r="M31" s="70">
        <v>98011</v>
      </c>
      <c r="N31" s="69">
        <f t="shared" si="11"/>
        <v>31</v>
      </c>
      <c r="O31" s="68">
        <v>1803124</v>
      </c>
      <c r="P31" s="69">
        <f t="shared" si="12"/>
        <v>339</v>
      </c>
      <c r="Q31" s="75">
        <f t="shared" si="0"/>
        <v>370</v>
      </c>
      <c r="R31" s="76">
        <f t="shared" si="4"/>
        <v>211.57192000000001</v>
      </c>
      <c r="S31" s="77"/>
      <c r="T31" s="89">
        <v>174251</v>
      </c>
      <c r="U31" s="69">
        <f t="shared" si="13"/>
        <v>249</v>
      </c>
      <c r="V31" s="79">
        <f t="shared" si="5"/>
        <v>710.89499999999998</v>
      </c>
      <c r="W31" s="80"/>
      <c r="X31" s="102">
        <f t="shared" si="1"/>
        <v>2045.44092</v>
      </c>
      <c r="Y31" s="85">
        <v>7</v>
      </c>
      <c r="Z31" s="86">
        <f t="shared" si="6"/>
        <v>292.20584571428572</v>
      </c>
    </row>
    <row r="32" spans="1:26" x14ac:dyDescent="0.25">
      <c r="A32" s="13" t="s">
        <v>96</v>
      </c>
      <c r="B32" s="67">
        <f t="shared" si="7"/>
        <v>24</v>
      </c>
      <c r="C32" s="68">
        <v>4298684</v>
      </c>
      <c r="D32" s="69">
        <f t="shared" si="8"/>
        <v>1555</v>
      </c>
      <c r="E32" s="68">
        <v>4252682</v>
      </c>
      <c r="F32" s="69">
        <f t="shared" si="9"/>
        <v>1522</v>
      </c>
      <c r="G32" s="68">
        <v>4032028</v>
      </c>
      <c r="H32" s="69">
        <f t="shared" si="10"/>
        <v>1378</v>
      </c>
      <c r="I32" s="71">
        <f t="shared" si="2"/>
        <v>4455</v>
      </c>
      <c r="J32" s="72">
        <v>0.98</v>
      </c>
      <c r="K32" s="73">
        <f t="shared" si="3"/>
        <v>1118.2049999999999</v>
      </c>
      <c r="L32" s="74"/>
      <c r="M32" s="70">
        <v>98046</v>
      </c>
      <c r="N32" s="69">
        <f t="shared" si="11"/>
        <v>35</v>
      </c>
      <c r="O32" s="68">
        <v>1803408</v>
      </c>
      <c r="P32" s="69">
        <f t="shared" si="12"/>
        <v>284</v>
      </c>
      <c r="Q32" s="75">
        <f t="shared" si="0"/>
        <v>319</v>
      </c>
      <c r="R32" s="76">
        <f t="shared" si="4"/>
        <v>182.40930400000002</v>
      </c>
      <c r="S32" s="77"/>
      <c r="T32" s="89">
        <v>174315</v>
      </c>
      <c r="U32" s="69">
        <f t="shared" si="13"/>
        <v>64</v>
      </c>
      <c r="V32" s="79">
        <f t="shared" si="5"/>
        <v>182.72</v>
      </c>
      <c r="W32" s="80"/>
      <c r="X32" s="102">
        <f t="shared" si="1"/>
        <v>1483.334304</v>
      </c>
      <c r="Y32" s="85">
        <v>7</v>
      </c>
      <c r="Z32" s="86">
        <f t="shared" si="6"/>
        <v>211.90490057142856</v>
      </c>
    </row>
    <row r="33" spans="1:26" x14ac:dyDescent="0.25">
      <c r="A33" s="13" t="s">
        <v>121</v>
      </c>
      <c r="B33" s="67">
        <f t="shared" si="7"/>
        <v>25</v>
      </c>
      <c r="C33" s="68">
        <v>4300184</v>
      </c>
      <c r="D33" s="69">
        <f t="shared" si="8"/>
        <v>1500</v>
      </c>
      <c r="E33" s="68">
        <v>4254189</v>
      </c>
      <c r="F33" s="69">
        <f t="shared" si="9"/>
        <v>1507</v>
      </c>
      <c r="G33" s="68">
        <v>4033422</v>
      </c>
      <c r="H33" s="69">
        <f t="shared" si="10"/>
        <v>1394</v>
      </c>
      <c r="I33" s="71">
        <f t="shared" si="2"/>
        <v>4401</v>
      </c>
      <c r="J33" s="72">
        <v>0.98</v>
      </c>
      <c r="K33" s="73">
        <f t="shared" si="3"/>
        <v>1104.6510000000001</v>
      </c>
      <c r="L33" s="74"/>
      <c r="M33" s="70">
        <v>98080</v>
      </c>
      <c r="N33" s="69">
        <f t="shared" si="11"/>
        <v>34</v>
      </c>
      <c r="O33" s="68">
        <v>1803790</v>
      </c>
      <c r="P33" s="69">
        <f t="shared" si="12"/>
        <v>382</v>
      </c>
      <c r="Q33" s="75">
        <f t="shared" si="0"/>
        <v>416</v>
      </c>
      <c r="R33" s="76">
        <f t="shared" si="4"/>
        <v>237.87545600000001</v>
      </c>
      <c r="S33" s="77"/>
      <c r="T33" s="89">
        <v>174521</v>
      </c>
      <c r="U33" s="69">
        <f t="shared" si="13"/>
        <v>206</v>
      </c>
      <c r="V33" s="79">
        <f t="shared" si="5"/>
        <v>588.13</v>
      </c>
      <c r="W33" s="80"/>
      <c r="X33" s="102">
        <f t="shared" si="1"/>
        <v>1930.6564560000002</v>
      </c>
      <c r="Y33" s="85">
        <v>7</v>
      </c>
      <c r="Z33" s="86">
        <f t="shared" si="6"/>
        <v>275.80806514285717</v>
      </c>
    </row>
    <row r="34" spans="1:26" x14ac:dyDescent="0.25">
      <c r="A34" s="13" t="s">
        <v>116</v>
      </c>
      <c r="B34" s="67">
        <f t="shared" si="7"/>
        <v>26</v>
      </c>
      <c r="C34" s="90">
        <v>4301794</v>
      </c>
      <c r="D34" s="69">
        <f t="shared" si="8"/>
        <v>1610</v>
      </c>
      <c r="E34" s="68">
        <v>4255718</v>
      </c>
      <c r="F34" s="69">
        <f t="shared" si="9"/>
        <v>1529</v>
      </c>
      <c r="G34" s="68">
        <v>4034768</v>
      </c>
      <c r="H34" s="69">
        <f t="shared" si="10"/>
        <v>1346</v>
      </c>
      <c r="I34" s="71">
        <f t="shared" si="2"/>
        <v>4485</v>
      </c>
      <c r="J34" s="72">
        <v>0.98</v>
      </c>
      <c r="K34" s="73">
        <f t="shared" si="3"/>
        <v>1125.7349999999999</v>
      </c>
      <c r="L34" s="74"/>
      <c r="M34" s="70">
        <v>98112</v>
      </c>
      <c r="N34" s="69">
        <f t="shared" si="11"/>
        <v>32</v>
      </c>
      <c r="O34" s="68">
        <v>1804103</v>
      </c>
      <c r="P34" s="69">
        <f t="shared" si="12"/>
        <v>313</v>
      </c>
      <c r="Q34" s="75">
        <f t="shared" si="0"/>
        <v>345</v>
      </c>
      <c r="R34" s="76">
        <f t="shared" si="4"/>
        <v>197.27652</v>
      </c>
      <c r="S34" s="77"/>
      <c r="T34" s="89">
        <v>174811</v>
      </c>
      <c r="U34" s="69">
        <f t="shared" si="13"/>
        <v>290</v>
      </c>
      <c r="V34" s="79">
        <f t="shared" si="5"/>
        <v>827.95</v>
      </c>
      <c r="W34" s="80"/>
      <c r="X34" s="102">
        <f t="shared" si="1"/>
        <v>2150.9615199999998</v>
      </c>
      <c r="Y34" s="85">
        <v>7</v>
      </c>
      <c r="Z34" s="86">
        <f t="shared" si="6"/>
        <v>307.28021714285711</v>
      </c>
    </row>
    <row r="35" spans="1:26" x14ac:dyDescent="0.25">
      <c r="A35" s="13" t="s">
        <v>117</v>
      </c>
      <c r="B35" s="67">
        <f t="shared" si="7"/>
        <v>27</v>
      </c>
      <c r="C35" s="90">
        <v>4303226</v>
      </c>
      <c r="D35" s="69">
        <f t="shared" si="8"/>
        <v>1432</v>
      </c>
      <c r="E35" s="68">
        <v>4257143</v>
      </c>
      <c r="F35" s="69">
        <f t="shared" si="9"/>
        <v>1425</v>
      </c>
      <c r="G35" s="68">
        <v>4036028</v>
      </c>
      <c r="H35" s="69">
        <f t="shared" si="10"/>
        <v>1260</v>
      </c>
      <c r="I35" s="71">
        <f t="shared" si="2"/>
        <v>4117</v>
      </c>
      <c r="J35" s="72">
        <v>0.98</v>
      </c>
      <c r="K35" s="73">
        <f t="shared" si="3"/>
        <v>1033.367</v>
      </c>
      <c r="L35" s="74"/>
      <c r="M35" s="70">
        <v>98148</v>
      </c>
      <c r="N35" s="69">
        <f t="shared" si="11"/>
        <v>36</v>
      </c>
      <c r="O35" s="68">
        <v>1804482</v>
      </c>
      <c r="P35" s="69">
        <f t="shared" si="12"/>
        <v>379</v>
      </c>
      <c r="Q35" s="75">
        <f t="shared" si="0"/>
        <v>415</v>
      </c>
      <c r="R35" s="76">
        <f t="shared" si="4"/>
        <v>237.30364000000003</v>
      </c>
      <c r="S35" s="77"/>
      <c r="T35" s="89">
        <v>174972</v>
      </c>
      <c r="U35" s="69">
        <f t="shared" si="13"/>
        <v>161</v>
      </c>
      <c r="V35" s="79">
        <f t="shared" si="5"/>
        <v>459.65499999999997</v>
      </c>
      <c r="W35" s="80"/>
      <c r="X35" s="102">
        <f t="shared" si="1"/>
        <v>1730.32564</v>
      </c>
      <c r="Y35" s="85">
        <v>7</v>
      </c>
      <c r="Z35" s="86">
        <f t="shared" si="6"/>
        <v>247.18937714285715</v>
      </c>
    </row>
    <row r="36" spans="1:26" x14ac:dyDescent="0.25">
      <c r="A36" s="13" t="s">
        <v>118</v>
      </c>
      <c r="B36" s="67">
        <f>B35+1</f>
        <v>28</v>
      </c>
      <c r="C36" s="90">
        <v>4304663</v>
      </c>
      <c r="D36" s="69">
        <f t="shared" si="8"/>
        <v>1437</v>
      </c>
      <c r="E36" s="103">
        <v>4258568</v>
      </c>
      <c r="F36" s="69">
        <f t="shared" si="9"/>
        <v>1425</v>
      </c>
      <c r="G36" s="103">
        <v>4037295</v>
      </c>
      <c r="H36" s="69">
        <f t="shared" si="10"/>
        <v>1267</v>
      </c>
      <c r="I36" s="71">
        <f t="shared" si="2"/>
        <v>4129</v>
      </c>
      <c r="J36" s="72">
        <v>0.98</v>
      </c>
      <c r="K36" s="73">
        <f t="shared" si="3"/>
        <v>1036.3789999999999</v>
      </c>
      <c r="L36" s="74"/>
      <c r="M36" s="70">
        <v>98178</v>
      </c>
      <c r="N36" s="69">
        <f t="shared" si="11"/>
        <v>30</v>
      </c>
      <c r="O36" s="68">
        <v>1804783</v>
      </c>
      <c r="P36" s="69">
        <f t="shared" si="12"/>
        <v>301</v>
      </c>
      <c r="Q36" s="75">
        <f t="shared" si="0"/>
        <v>331</v>
      </c>
      <c r="R36" s="76">
        <f t="shared" si="4"/>
        <v>189.27109600000003</v>
      </c>
      <c r="S36" s="77"/>
      <c r="T36" s="89">
        <v>175201</v>
      </c>
      <c r="U36" s="69">
        <f t="shared" si="13"/>
        <v>229</v>
      </c>
      <c r="V36" s="79">
        <f t="shared" si="5"/>
        <v>653.79499999999996</v>
      </c>
      <c r="W36" s="80"/>
      <c r="X36" s="102">
        <f t="shared" si="1"/>
        <v>1879.4450959999999</v>
      </c>
      <c r="Y36" s="85">
        <v>7</v>
      </c>
      <c r="Z36" s="86">
        <f t="shared" si="6"/>
        <v>268.49215657142855</v>
      </c>
    </row>
    <row r="37" spans="1:26" x14ac:dyDescent="0.25">
      <c r="A37" s="13" t="s">
        <v>119</v>
      </c>
      <c r="B37" s="67">
        <f t="shared" si="7"/>
        <v>29</v>
      </c>
      <c r="C37" s="90">
        <v>4306849</v>
      </c>
      <c r="D37" s="69">
        <f t="shared" si="8"/>
        <v>2186</v>
      </c>
      <c r="E37" s="103">
        <v>4260729</v>
      </c>
      <c r="F37" s="69">
        <f t="shared" si="9"/>
        <v>2161</v>
      </c>
      <c r="G37" s="103">
        <v>4039274</v>
      </c>
      <c r="H37" s="69">
        <f t="shared" si="10"/>
        <v>1979</v>
      </c>
      <c r="I37" s="71">
        <f t="shared" si="2"/>
        <v>6326</v>
      </c>
      <c r="J37" s="72">
        <v>0.99</v>
      </c>
      <c r="K37" s="73">
        <f t="shared" si="3"/>
        <v>1587.826</v>
      </c>
      <c r="L37" s="74"/>
      <c r="M37" s="70">
        <v>98217</v>
      </c>
      <c r="N37" s="69">
        <f t="shared" si="11"/>
        <v>39</v>
      </c>
      <c r="O37" s="68">
        <v>1805093</v>
      </c>
      <c r="P37" s="69">
        <f t="shared" si="12"/>
        <v>310</v>
      </c>
      <c r="Q37" s="75">
        <f t="shared" si="0"/>
        <v>349</v>
      </c>
      <c r="R37" s="76">
        <f t="shared" si="4"/>
        <v>199.563784</v>
      </c>
      <c r="S37" s="77"/>
      <c r="T37" s="89">
        <v>175310</v>
      </c>
      <c r="U37" s="69">
        <f t="shared" si="13"/>
        <v>109</v>
      </c>
      <c r="V37" s="79">
        <f t="shared" si="5"/>
        <v>311.19499999999999</v>
      </c>
      <c r="W37" s="80"/>
      <c r="X37" s="102">
        <f t="shared" si="1"/>
        <v>2098.5847840000001</v>
      </c>
      <c r="Y37" s="80">
        <v>7</v>
      </c>
      <c r="Z37" s="86">
        <f t="shared" si="6"/>
        <v>299.79782628571428</v>
      </c>
    </row>
    <row r="38" spans="1:26" x14ac:dyDescent="0.25">
      <c r="A38" s="13" t="s">
        <v>120</v>
      </c>
      <c r="B38" s="67">
        <f t="shared" si="7"/>
        <v>30</v>
      </c>
      <c r="C38" s="68">
        <v>4308916</v>
      </c>
      <c r="D38" s="69">
        <f t="shared" si="8"/>
        <v>2067</v>
      </c>
      <c r="E38" s="90">
        <v>4262751</v>
      </c>
      <c r="F38" s="69">
        <f t="shared" si="9"/>
        <v>2022</v>
      </c>
      <c r="G38" s="90">
        <v>4041120</v>
      </c>
      <c r="H38" s="69">
        <f t="shared" si="10"/>
        <v>1846</v>
      </c>
      <c r="I38" s="71">
        <f t="shared" si="2"/>
        <v>5935</v>
      </c>
      <c r="J38" s="72">
        <v>0.99</v>
      </c>
      <c r="K38" s="73">
        <f t="shared" si="3"/>
        <v>1489.6849999999999</v>
      </c>
      <c r="L38" s="74"/>
      <c r="M38" s="70">
        <v>98250</v>
      </c>
      <c r="N38" s="69">
        <f t="shared" si="11"/>
        <v>33</v>
      </c>
      <c r="O38" s="68">
        <v>1805476</v>
      </c>
      <c r="P38" s="69">
        <f t="shared" si="12"/>
        <v>383</v>
      </c>
      <c r="Q38" s="75">
        <f t="shared" si="0"/>
        <v>416</v>
      </c>
      <c r="R38" s="76">
        <f t="shared" si="4"/>
        <v>237.87545600000001</v>
      </c>
      <c r="S38" s="77"/>
      <c r="T38" s="89">
        <v>175590</v>
      </c>
      <c r="U38" s="69">
        <f t="shared" si="13"/>
        <v>280</v>
      </c>
      <c r="V38" s="79">
        <f t="shared" si="5"/>
        <v>799.4</v>
      </c>
      <c r="W38" s="80"/>
      <c r="X38" s="102">
        <f t="shared" si="1"/>
        <v>2526.9604559999998</v>
      </c>
      <c r="Y38" s="80">
        <v>7</v>
      </c>
      <c r="Z38" s="86">
        <f t="shared" si="6"/>
        <v>360.99435085714282</v>
      </c>
    </row>
    <row r="39" spans="1:26" x14ac:dyDescent="0.25">
      <c r="A39" s="13" t="s">
        <v>96</v>
      </c>
      <c r="B39" s="104">
        <v>31</v>
      </c>
      <c r="C39" s="105">
        <v>4311021</v>
      </c>
      <c r="D39" s="69">
        <f t="shared" si="8"/>
        <v>2105</v>
      </c>
      <c r="E39" s="106">
        <v>4264698</v>
      </c>
      <c r="F39" s="69">
        <f t="shared" si="9"/>
        <v>1947</v>
      </c>
      <c r="G39" s="88">
        <v>4042851</v>
      </c>
      <c r="H39" s="69">
        <f t="shared" si="10"/>
        <v>1731</v>
      </c>
      <c r="I39" s="71">
        <f t="shared" si="2"/>
        <v>5783</v>
      </c>
      <c r="J39" s="72">
        <v>0.99</v>
      </c>
      <c r="K39" s="73">
        <f t="shared" si="3"/>
        <v>1451.5329999999999</v>
      </c>
      <c r="L39" s="74"/>
      <c r="M39" s="105">
        <v>98288</v>
      </c>
      <c r="N39" s="69">
        <f t="shared" si="11"/>
        <v>38</v>
      </c>
      <c r="O39" s="105">
        <v>1805814</v>
      </c>
      <c r="P39" s="69">
        <f t="shared" si="12"/>
        <v>338</v>
      </c>
      <c r="Q39" s="75">
        <f t="shared" si="0"/>
        <v>376</v>
      </c>
      <c r="R39" s="76">
        <f t="shared" si="4"/>
        <v>215.00281600000002</v>
      </c>
      <c r="S39" s="77"/>
      <c r="T39" s="107">
        <v>175711</v>
      </c>
      <c r="U39" s="69">
        <f t="shared" si="13"/>
        <v>121</v>
      </c>
      <c r="V39" s="79">
        <f t="shared" si="5"/>
        <v>345.45499999999998</v>
      </c>
      <c r="W39" s="80"/>
      <c r="X39" s="102">
        <f t="shared" si="1"/>
        <v>2011.9908159999998</v>
      </c>
      <c r="Y39" s="80">
        <v>7</v>
      </c>
      <c r="Z39" s="86">
        <f t="shared" si="6"/>
        <v>287.4272594285714</v>
      </c>
    </row>
    <row r="40" spans="1:26" x14ac:dyDescent="0.25">
      <c r="A40" s="13"/>
      <c r="B40" s="108"/>
      <c r="C40" s="150">
        <f>SUMIF(D9:D39,"&gt;0")</f>
        <v>48377</v>
      </c>
      <c r="D40" s="151"/>
      <c r="E40" s="152">
        <f>SUMIF(F9:F39,"&gt;0")</f>
        <v>47469</v>
      </c>
      <c r="F40" s="153"/>
      <c r="G40" s="150">
        <f>SUMIF(H9:H39,"&gt;0")</f>
        <v>42558</v>
      </c>
      <c r="H40" s="153"/>
      <c r="I40" s="109">
        <f>SUMIF(I9:I39,"&gt;0")</f>
        <v>138404</v>
      </c>
      <c r="J40" s="110"/>
      <c r="K40" s="111">
        <f>SUMIF(K9:K39,"&gt;0")</f>
        <v>34739.404000000002</v>
      </c>
      <c r="L40" s="109"/>
      <c r="M40" s="150">
        <f>SUMIF(N9:N39,"&gt;0")</f>
        <v>1051</v>
      </c>
      <c r="N40" s="153"/>
      <c r="O40" s="150">
        <f>SUMIF(P9:P39,"&gt;0")</f>
        <v>11911</v>
      </c>
      <c r="P40" s="153"/>
      <c r="Q40" s="110">
        <f>SUMIF(Q9:Q39,"&gt;0")</f>
        <v>12962</v>
      </c>
      <c r="R40" s="111">
        <f>SUMIF(R9:R39,"&gt;0")</f>
        <v>7411.8789919999999</v>
      </c>
      <c r="S40" s="112"/>
      <c r="T40" s="134">
        <f>SUMIF(U9:U39,"&gt;0")</f>
        <v>5427</v>
      </c>
      <c r="U40" s="134"/>
      <c r="V40" s="113">
        <f>SUMIF(V9:V39,"&gt;0")</f>
        <v>15494.085000000001</v>
      </c>
      <c r="W40" s="114"/>
      <c r="X40" s="115">
        <f>SUMIF(X9:X39,"&gt;0")</f>
        <v>57645.367992</v>
      </c>
      <c r="Y40" s="116">
        <f>SUM(Y9:Y39)</f>
        <v>237</v>
      </c>
      <c r="Z40" s="117">
        <f>(SUMIF(Z9:Z36,"&gt;0")/31)</f>
        <v>214.25275560368667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tabSelected="1" topLeftCell="A8" zoomScaleNormal="100" workbookViewId="0">
      <selection activeCell="P41" sqref="P41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x14ac:dyDescent="0.25">
      <c r="A8">
        <v>1</v>
      </c>
      <c r="B8" s="128">
        <v>50213</v>
      </c>
      <c r="C8" s="129">
        <v>79459</v>
      </c>
      <c r="D8" s="129">
        <v>15579</v>
      </c>
      <c r="E8" s="129">
        <v>13720</v>
      </c>
      <c r="F8" s="129">
        <v>191991</v>
      </c>
      <c r="G8" s="129">
        <v>3584</v>
      </c>
      <c r="H8" s="129">
        <v>1647</v>
      </c>
      <c r="I8" s="129">
        <v>388523</v>
      </c>
      <c r="J8" s="129">
        <v>69655</v>
      </c>
      <c r="K8" s="129">
        <v>7923</v>
      </c>
      <c r="L8" s="129">
        <v>30095</v>
      </c>
      <c r="M8" s="129">
        <v>52384</v>
      </c>
      <c r="N8" s="129">
        <v>39180</v>
      </c>
      <c r="O8" s="129">
        <v>185565</v>
      </c>
      <c r="P8" s="129">
        <v>383079</v>
      </c>
      <c r="Q8" s="129">
        <v>2898</v>
      </c>
      <c r="R8" s="129">
        <v>18651</v>
      </c>
      <c r="S8" s="129">
        <v>25503</v>
      </c>
      <c r="T8" s="129">
        <v>282250</v>
      </c>
      <c r="U8" s="129">
        <v>383954</v>
      </c>
      <c r="V8" s="129">
        <v>41150</v>
      </c>
      <c r="W8" s="129">
        <v>5478</v>
      </c>
      <c r="X8" s="129">
        <v>14154</v>
      </c>
      <c r="Y8" s="129">
        <v>88717</v>
      </c>
      <c r="Z8" s="129">
        <v>540</v>
      </c>
      <c r="AA8" s="129">
        <v>173609</v>
      </c>
      <c r="AB8" s="129">
        <v>7932</v>
      </c>
      <c r="AC8" s="129">
        <v>1987</v>
      </c>
      <c r="AD8" s="129">
        <v>18405</v>
      </c>
      <c r="AE8" s="129">
        <v>79084</v>
      </c>
      <c r="AF8" s="129">
        <v>209626</v>
      </c>
      <c r="AG8" s="129">
        <v>1138803</v>
      </c>
      <c r="AH8" s="129">
        <v>11181</v>
      </c>
      <c r="AI8" s="129">
        <v>483932</v>
      </c>
      <c r="AJ8" s="129">
        <v>649556</v>
      </c>
      <c r="AK8" s="129">
        <v>9331</v>
      </c>
      <c r="AL8" s="129">
        <v>29798</v>
      </c>
      <c r="AM8" s="130">
        <v>29074</v>
      </c>
      <c r="AN8" s="129">
        <v>602227</v>
      </c>
      <c r="AO8" s="131">
        <v>5287</v>
      </c>
      <c r="AP8" s="131">
        <v>0</v>
      </c>
      <c r="AQ8" s="131">
        <v>111193</v>
      </c>
      <c r="AR8" s="129">
        <v>220425</v>
      </c>
      <c r="AS8" s="129">
        <v>64376</v>
      </c>
      <c r="AT8" s="129">
        <v>579</v>
      </c>
      <c r="AU8" s="129">
        <v>107508</v>
      </c>
      <c r="AV8" s="129">
        <v>44659</v>
      </c>
      <c r="AW8" s="129">
        <v>38388</v>
      </c>
      <c r="AX8" s="129">
        <v>179325</v>
      </c>
      <c r="AY8" s="129">
        <v>491814</v>
      </c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</row>
    <row r="9" spans="1:83" x14ac:dyDescent="0.25">
      <c r="A9">
        <v>2</v>
      </c>
      <c r="B9" s="119">
        <v>50233</v>
      </c>
      <c r="C9" s="119">
        <v>79462</v>
      </c>
      <c r="D9" s="119">
        <v>15591</v>
      </c>
      <c r="E9" s="119">
        <v>13720</v>
      </c>
      <c r="F9" s="119">
        <v>192029</v>
      </c>
      <c r="G9" s="119">
        <v>3587</v>
      </c>
      <c r="H9" s="119">
        <v>1663</v>
      </c>
      <c r="I9" s="119">
        <v>388770</v>
      </c>
      <c r="J9" s="119">
        <v>69680</v>
      </c>
      <c r="K9" s="119">
        <v>7923</v>
      </c>
      <c r="L9" s="119">
        <v>30103</v>
      </c>
      <c r="M9" s="119">
        <v>52397</v>
      </c>
      <c r="N9" s="119">
        <v>39199</v>
      </c>
      <c r="O9" s="119">
        <v>185688</v>
      </c>
      <c r="P9" s="119">
        <v>383275</v>
      </c>
      <c r="Q9" s="119">
        <v>2902</v>
      </c>
      <c r="R9" s="119">
        <v>18670</v>
      </c>
      <c r="S9" s="119">
        <v>25503</v>
      </c>
      <c r="T9" s="119">
        <v>282413</v>
      </c>
      <c r="U9" s="119">
        <v>384156</v>
      </c>
      <c r="V9" s="119">
        <v>41181</v>
      </c>
      <c r="W9" s="119">
        <v>5481</v>
      </c>
      <c r="X9" s="119">
        <v>14162</v>
      </c>
      <c r="Y9" s="119">
        <v>88795</v>
      </c>
      <c r="Z9" s="119">
        <v>540</v>
      </c>
      <c r="AA9" s="119">
        <v>173689</v>
      </c>
      <c r="AB9" s="119">
        <v>7950</v>
      </c>
      <c r="AC9" s="119">
        <v>1987</v>
      </c>
      <c r="AD9" s="119">
        <v>18416</v>
      </c>
      <c r="AE9" s="119">
        <v>79162</v>
      </c>
      <c r="AF9" s="119">
        <v>209731</v>
      </c>
      <c r="AG9" s="119">
        <v>1139230</v>
      </c>
      <c r="AH9" s="119">
        <v>11184</v>
      </c>
      <c r="AI9" s="119">
        <v>483950</v>
      </c>
      <c r="AJ9" s="119">
        <v>649901</v>
      </c>
      <c r="AK9" s="119">
        <v>9331</v>
      </c>
      <c r="AL9" s="133">
        <v>29813</v>
      </c>
      <c r="AM9" s="119">
        <v>29091</v>
      </c>
      <c r="AN9" s="123">
        <v>602490</v>
      </c>
      <c r="AO9" s="123">
        <v>5289</v>
      </c>
      <c r="AP9" s="123">
        <v>0</v>
      </c>
      <c r="AQ9" s="119">
        <v>111236</v>
      </c>
      <c r="AR9" s="119">
        <v>220537</v>
      </c>
      <c r="AS9" s="119">
        <v>64418</v>
      </c>
      <c r="AT9" s="119">
        <v>579</v>
      </c>
      <c r="AU9" s="119">
        <v>107536</v>
      </c>
      <c r="AV9" s="119">
        <v>44669</v>
      </c>
      <c r="AW9" s="119">
        <v>38401</v>
      </c>
      <c r="AX9" s="119">
        <v>179446</v>
      </c>
      <c r="AY9" s="119">
        <v>492112</v>
      </c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</row>
    <row r="10" spans="1:83" x14ac:dyDescent="0.25">
      <c r="A10">
        <v>3</v>
      </c>
      <c r="B10" s="119">
        <v>50258</v>
      </c>
      <c r="C10" s="119">
        <v>79468</v>
      </c>
      <c r="D10" s="119">
        <v>15601</v>
      </c>
      <c r="E10" s="119">
        <v>13720</v>
      </c>
      <c r="F10" s="119">
        <v>192063</v>
      </c>
      <c r="G10" s="119">
        <v>3590</v>
      </c>
      <c r="H10" s="119">
        <v>1677</v>
      </c>
      <c r="I10" s="119">
        <v>389015</v>
      </c>
      <c r="J10" s="119">
        <v>69706</v>
      </c>
      <c r="K10" s="119">
        <v>7923</v>
      </c>
      <c r="L10" s="119">
        <v>30113</v>
      </c>
      <c r="M10" s="119">
        <v>52413</v>
      </c>
      <c r="N10" s="119">
        <v>39219</v>
      </c>
      <c r="O10" s="119">
        <v>185808</v>
      </c>
      <c r="P10" s="119">
        <v>383487</v>
      </c>
      <c r="Q10" s="119">
        <v>2905</v>
      </c>
      <c r="R10" s="119">
        <v>18687</v>
      </c>
      <c r="S10" s="119">
        <v>25503</v>
      </c>
      <c r="T10" s="119">
        <v>282594</v>
      </c>
      <c r="U10" s="119">
        <v>384347</v>
      </c>
      <c r="V10" s="119">
        <v>41209</v>
      </c>
      <c r="W10" s="119">
        <v>5485</v>
      </c>
      <c r="X10" s="119">
        <v>14169</v>
      </c>
      <c r="Y10" s="119">
        <v>88876</v>
      </c>
      <c r="Z10" s="119">
        <v>540</v>
      </c>
      <c r="AA10" s="119">
        <v>173774</v>
      </c>
      <c r="AB10" s="119">
        <v>7960</v>
      </c>
      <c r="AC10" s="119">
        <v>1987</v>
      </c>
      <c r="AD10" s="119">
        <v>18426</v>
      </c>
      <c r="AE10" s="123">
        <v>79236</v>
      </c>
      <c r="AF10" s="123">
        <v>209833</v>
      </c>
      <c r="AG10" s="132">
        <v>1139664</v>
      </c>
      <c r="AH10" s="123">
        <v>11187</v>
      </c>
      <c r="AI10" s="123">
        <v>483967</v>
      </c>
      <c r="AJ10" s="123">
        <v>650224</v>
      </c>
      <c r="AK10" s="123">
        <v>9331</v>
      </c>
      <c r="AL10" s="123">
        <v>29828</v>
      </c>
      <c r="AM10" s="123">
        <v>29107</v>
      </c>
      <c r="AN10" s="123">
        <v>602741</v>
      </c>
      <c r="AO10" s="123">
        <v>5290</v>
      </c>
      <c r="AP10" s="123">
        <v>0</v>
      </c>
      <c r="AQ10" s="123">
        <v>111288</v>
      </c>
      <c r="AR10" s="123">
        <v>220661</v>
      </c>
      <c r="AS10" s="123">
        <v>64471</v>
      </c>
      <c r="AT10" s="123">
        <v>579</v>
      </c>
      <c r="AU10" s="123">
        <v>107561</v>
      </c>
      <c r="AV10" s="123">
        <v>44687</v>
      </c>
      <c r="AW10" s="123">
        <v>38422</v>
      </c>
      <c r="AX10" s="123">
        <v>179564</v>
      </c>
      <c r="AY10" s="123">
        <v>492414</v>
      </c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</row>
    <row r="11" spans="1:83" x14ac:dyDescent="0.25">
      <c r="A11">
        <v>4</v>
      </c>
      <c r="B11" s="119">
        <v>50281</v>
      </c>
      <c r="C11" s="119">
        <v>79471</v>
      </c>
      <c r="D11" s="119">
        <v>15609</v>
      </c>
      <c r="E11" s="119">
        <v>13720</v>
      </c>
      <c r="F11" s="119">
        <v>192099</v>
      </c>
      <c r="G11" s="119">
        <v>3593</v>
      </c>
      <c r="H11" s="119">
        <v>1689</v>
      </c>
      <c r="I11" s="119">
        <v>389255</v>
      </c>
      <c r="J11" s="119">
        <v>69734</v>
      </c>
      <c r="K11" s="119">
        <v>7923</v>
      </c>
      <c r="L11" s="119">
        <v>30122</v>
      </c>
      <c r="M11" s="119">
        <v>52431</v>
      </c>
      <c r="N11" s="119">
        <v>39237</v>
      </c>
      <c r="O11" s="119">
        <v>185931</v>
      </c>
      <c r="P11" s="119">
        <v>383864</v>
      </c>
      <c r="Q11" s="119">
        <v>2909</v>
      </c>
      <c r="R11" s="119">
        <v>18705</v>
      </c>
      <c r="S11" s="119">
        <v>25503</v>
      </c>
      <c r="T11" s="119">
        <v>282748</v>
      </c>
      <c r="U11" s="119">
        <v>384583</v>
      </c>
      <c r="V11" s="119">
        <v>41239</v>
      </c>
      <c r="W11" s="119">
        <v>5488</v>
      </c>
      <c r="X11" s="119">
        <v>14173</v>
      </c>
      <c r="Y11" s="119">
        <v>88959</v>
      </c>
      <c r="Z11" s="119">
        <v>540</v>
      </c>
      <c r="AA11" s="119">
        <v>173877</v>
      </c>
      <c r="AB11" s="119">
        <v>7978</v>
      </c>
      <c r="AC11" s="119">
        <v>1987</v>
      </c>
      <c r="AD11" s="119">
        <v>18437</v>
      </c>
      <c r="AE11" s="119">
        <v>79315</v>
      </c>
      <c r="AF11" s="119">
        <v>209946</v>
      </c>
      <c r="AG11" s="119">
        <v>1140031</v>
      </c>
      <c r="AH11" s="119">
        <v>11188</v>
      </c>
      <c r="AI11" s="119">
        <v>483985</v>
      </c>
      <c r="AJ11" s="119">
        <v>650572</v>
      </c>
      <c r="AK11" s="119">
        <v>9331</v>
      </c>
      <c r="AL11" s="133">
        <v>29844</v>
      </c>
      <c r="AM11" s="119">
        <v>29124</v>
      </c>
      <c r="AN11" s="123">
        <v>603055</v>
      </c>
      <c r="AO11" s="123">
        <v>5291</v>
      </c>
      <c r="AP11" s="123">
        <v>0</v>
      </c>
      <c r="AQ11" s="119">
        <v>111367</v>
      </c>
      <c r="AR11" s="119">
        <v>220781</v>
      </c>
      <c r="AS11" s="119">
        <v>64509</v>
      </c>
      <c r="AT11" s="119">
        <v>579</v>
      </c>
      <c r="AU11" s="119">
        <v>107593</v>
      </c>
      <c r="AV11" s="119">
        <v>44703</v>
      </c>
      <c r="AW11" s="119">
        <v>38433</v>
      </c>
      <c r="AX11" s="119">
        <v>179739</v>
      </c>
      <c r="AY11" s="119">
        <v>492726</v>
      </c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</row>
    <row r="12" spans="1:83" x14ac:dyDescent="0.25">
      <c r="A12">
        <v>5</v>
      </c>
      <c r="B12" s="119">
        <v>50310</v>
      </c>
      <c r="C12" s="119">
        <v>79478</v>
      </c>
      <c r="D12" s="119">
        <v>15626</v>
      </c>
      <c r="E12" s="119">
        <v>13722</v>
      </c>
      <c r="F12" s="119">
        <v>192140</v>
      </c>
      <c r="G12" s="119">
        <v>3596</v>
      </c>
      <c r="H12" s="119">
        <v>1692</v>
      </c>
      <c r="I12" s="119">
        <v>389473</v>
      </c>
      <c r="J12" s="119">
        <v>69771</v>
      </c>
      <c r="K12" s="119">
        <v>7923</v>
      </c>
      <c r="L12" s="119">
        <v>30136</v>
      </c>
      <c r="M12" s="119">
        <v>52479</v>
      </c>
      <c r="N12" s="119">
        <v>39258</v>
      </c>
      <c r="O12" s="119">
        <v>186062</v>
      </c>
      <c r="P12" s="119">
        <v>384242</v>
      </c>
      <c r="Q12" s="119">
        <v>2913</v>
      </c>
      <c r="R12" s="119">
        <v>18715</v>
      </c>
      <c r="S12" s="119">
        <v>25503</v>
      </c>
      <c r="T12" s="119">
        <v>282903</v>
      </c>
      <c r="U12" s="119">
        <v>384820</v>
      </c>
      <c r="V12" s="119">
        <v>41274</v>
      </c>
      <c r="W12" s="119">
        <v>5488</v>
      </c>
      <c r="X12" s="119">
        <v>14186</v>
      </c>
      <c r="Y12" s="119">
        <v>89042</v>
      </c>
      <c r="Z12" s="119">
        <v>540</v>
      </c>
      <c r="AA12" s="119">
        <v>173980</v>
      </c>
      <c r="AB12" s="119">
        <v>7996</v>
      </c>
      <c r="AC12" s="119">
        <v>1989</v>
      </c>
      <c r="AD12" s="119">
        <v>18448</v>
      </c>
      <c r="AE12" s="119">
        <v>79395</v>
      </c>
      <c r="AF12" s="119">
        <v>210060</v>
      </c>
      <c r="AG12" s="119">
        <v>1140399</v>
      </c>
      <c r="AH12" s="119">
        <v>11190</v>
      </c>
      <c r="AI12" s="119">
        <v>484004</v>
      </c>
      <c r="AJ12" s="119">
        <v>650920</v>
      </c>
      <c r="AK12" s="119">
        <v>9331</v>
      </c>
      <c r="AL12" s="119">
        <v>29859</v>
      </c>
      <c r="AM12" s="119">
        <v>29142</v>
      </c>
      <c r="AN12" s="119">
        <v>603370</v>
      </c>
      <c r="AO12" s="119">
        <v>5293</v>
      </c>
      <c r="AP12" s="119">
        <v>0</v>
      </c>
      <c r="AQ12" s="119">
        <v>111446</v>
      </c>
      <c r="AR12" s="119">
        <v>220902</v>
      </c>
      <c r="AS12" s="119">
        <v>64547</v>
      </c>
      <c r="AT12" s="119">
        <v>581</v>
      </c>
      <c r="AU12" s="119">
        <v>107625</v>
      </c>
      <c r="AV12" s="119">
        <v>44703</v>
      </c>
      <c r="AW12" s="119">
        <v>38443</v>
      </c>
      <c r="AX12" s="119">
        <v>179814</v>
      </c>
      <c r="AY12" s="119">
        <v>493038</v>
      </c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</row>
    <row r="13" spans="1:83" x14ac:dyDescent="0.25">
      <c r="A13">
        <v>6</v>
      </c>
      <c r="B13" s="119">
        <v>50340</v>
      </c>
      <c r="C13" s="119">
        <v>79487</v>
      </c>
      <c r="D13" s="119">
        <v>15630</v>
      </c>
      <c r="E13" s="119">
        <v>13723</v>
      </c>
      <c r="F13" s="119">
        <v>192177</v>
      </c>
      <c r="G13" s="119">
        <v>3599</v>
      </c>
      <c r="H13" s="119">
        <v>1702</v>
      </c>
      <c r="I13" s="119">
        <v>389714</v>
      </c>
      <c r="J13" s="119">
        <v>69799</v>
      </c>
      <c r="K13" s="119">
        <v>7923</v>
      </c>
      <c r="L13" s="119">
        <v>30147</v>
      </c>
      <c r="M13" s="119">
        <v>52492</v>
      </c>
      <c r="N13" s="119">
        <v>39279</v>
      </c>
      <c r="O13" s="119">
        <v>186184</v>
      </c>
      <c r="P13" s="119">
        <v>384699</v>
      </c>
      <c r="Q13" s="119">
        <v>2916</v>
      </c>
      <c r="R13" s="119">
        <v>18751</v>
      </c>
      <c r="S13" s="119">
        <v>25503</v>
      </c>
      <c r="T13" s="119">
        <v>283109</v>
      </c>
      <c r="U13" s="119">
        <v>385014</v>
      </c>
      <c r="V13" s="119">
        <v>41306</v>
      </c>
      <c r="W13" s="119">
        <v>5489</v>
      </c>
      <c r="X13" s="119">
        <v>14192</v>
      </c>
      <c r="Y13" s="119">
        <v>89131</v>
      </c>
      <c r="Z13" s="119">
        <v>540</v>
      </c>
      <c r="AA13" s="119">
        <v>174067</v>
      </c>
      <c r="AB13" s="119">
        <v>8003</v>
      </c>
      <c r="AC13" s="119">
        <v>1989</v>
      </c>
      <c r="AD13" s="119">
        <v>18458</v>
      </c>
      <c r="AE13" s="119">
        <v>79470</v>
      </c>
      <c r="AF13" s="119">
        <v>210164</v>
      </c>
      <c r="AG13" s="119">
        <v>1140886</v>
      </c>
      <c r="AH13" s="119">
        <v>11191</v>
      </c>
      <c r="AI13" s="119">
        <v>484021</v>
      </c>
      <c r="AJ13" s="119">
        <v>651180</v>
      </c>
      <c r="AK13" s="119">
        <v>9331</v>
      </c>
      <c r="AL13" s="133">
        <v>29875</v>
      </c>
      <c r="AM13" s="119">
        <v>29159</v>
      </c>
      <c r="AN13" s="123">
        <v>603618</v>
      </c>
      <c r="AO13" s="123">
        <v>5294</v>
      </c>
      <c r="AP13" s="123">
        <v>0</v>
      </c>
      <c r="AQ13" s="119">
        <v>111507</v>
      </c>
      <c r="AR13" s="119">
        <v>221070</v>
      </c>
      <c r="AS13" s="119">
        <v>64607</v>
      </c>
      <c r="AT13" s="119">
        <v>582</v>
      </c>
      <c r="AU13" s="119">
        <v>107654</v>
      </c>
      <c r="AV13" s="119">
        <v>44730</v>
      </c>
      <c r="AW13" s="119">
        <v>38473</v>
      </c>
      <c r="AX13" s="119">
        <v>179938</v>
      </c>
      <c r="AY13" s="119">
        <v>493405</v>
      </c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</row>
    <row r="14" spans="1:83" x14ac:dyDescent="0.25">
      <c r="A14">
        <v>7</v>
      </c>
      <c r="B14" s="119">
        <v>50369</v>
      </c>
      <c r="C14" s="119">
        <v>79498</v>
      </c>
      <c r="D14" s="119">
        <v>15646</v>
      </c>
      <c r="E14" s="119">
        <v>13723</v>
      </c>
      <c r="F14" s="119">
        <v>192214</v>
      </c>
      <c r="G14" s="119">
        <v>3602</v>
      </c>
      <c r="H14" s="119">
        <v>1709</v>
      </c>
      <c r="I14" s="119">
        <v>389951</v>
      </c>
      <c r="J14" s="119">
        <v>69817</v>
      </c>
      <c r="K14" s="119">
        <v>7923</v>
      </c>
      <c r="L14" s="119">
        <v>30159</v>
      </c>
      <c r="M14" s="119">
        <v>52503</v>
      </c>
      <c r="N14" s="119">
        <v>39299</v>
      </c>
      <c r="O14" s="119">
        <v>186305</v>
      </c>
      <c r="P14" s="119">
        <v>384965</v>
      </c>
      <c r="Q14" s="119">
        <v>2919</v>
      </c>
      <c r="R14" s="119">
        <v>18772</v>
      </c>
      <c r="S14" s="119">
        <v>25503</v>
      </c>
      <c r="T14" s="119">
        <v>283249</v>
      </c>
      <c r="U14" s="119">
        <v>385197</v>
      </c>
      <c r="V14" s="119">
        <v>41337</v>
      </c>
      <c r="W14" s="119">
        <v>5490</v>
      </c>
      <c r="X14" s="119">
        <v>14200</v>
      </c>
      <c r="Y14" s="119">
        <v>89216</v>
      </c>
      <c r="Z14" s="119">
        <v>540</v>
      </c>
      <c r="AA14" s="119">
        <v>174167</v>
      </c>
      <c r="AB14" s="119">
        <v>8020</v>
      </c>
      <c r="AC14" s="119">
        <v>1989</v>
      </c>
      <c r="AD14" s="119">
        <v>18469</v>
      </c>
      <c r="AE14" s="119">
        <v>79544</v>
      </c>
      <c r="AF14" s="119">
        <v>210268</v>
      </c>
      <c r="AG14" s="119">
        <v>1141310</v>
      </c>
      <c r="AH14" s="119">
        <v>11192</v>
      </c>
      <c r="AI14" s="119">
        <v>484039</v>
      </c>
      <c r="AJ14" s="119">
        <v>651495</v>
      </c>
      <c r="AK14" s="119">
        <v>9331</v>
      </c>
      <c r="AL14" s="133">
        <v>29890</v>
      </c>
      <c r="AM14" s="119">
        <v>29176</v>
      </c>
      <c r="AN14" s="123">
        <v>603700</v>
      </c>
      <c r="AO14" s="123">
        <v>5296</v>
      </c>
      <c r="AP14" s="123">
        <v>0</v>
      </c>
      <c r="AQ14" s="119">
        <v>111578</v>
      </c>
      <c r="AR14" s="119">
        <v>221242</v>
      </c>
      <c r="AS14" s="119">
        <v>64652</v>
      </c>
      <c r="AT14" s="119">
        <v>582</v>
      </c>
      <c r="AU14" s="119">
        <v>107689</v>
      </c>
      <c r="AV14" s="119">
        <v>44758</v>
      </c>
      <c r="AW14" s="119">
        <v>38501</v>
      </c>
      <c r="AX14" s="119">
        <v>180089</v>
      </c>
      <c r="AY14" s="119">
        <v>493705</v>
      </c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</row>
    <row r="15" spans="1:83" x14ac:dyDescent="0.25">
      <c r="A15">
        <v>8</v>
      </c>
      <c r="B15" s="119">
        <v>50394</v>
      </c>
      <c r="C15" s="119">
        <v>79510</v>
      </c>
      <c r="D15" s="119">
        <v>15663</v>
      </c>
      <c r="E15" s="119">
        <v>13723</v>
      </c>
      <c r="F15" s="119">
        <v>192251</v>
      </c>
      <c r="G15" s="119">
        <v>3605</v>
      </c>
      <c r="H15" s="119">
        <v>1719</v>
      </c>
      <c r="I15" s="119">
        <v>390220</v>
      </c>
      <c r="J15" s="119">
        <v>69840</v>
      </c>
      <c r="K15" s="119">
        <v>7923</v>
      </c>
      <c r="L15" s="119">
        <v>30170</v>
      </c>
      <c r="M15" s="119">
        <v>52531</v>
      </c>
      <c r="N15" s="119">
        <v>39318</v>
      </c>
      <c r="O15" s="119">
        <v>186426</v>
      </c>
      <c r="P15" s="119">
        <v>385147</v>
      </c>
      <c r="Q15" s="119">
        <v>2923</v>
      </c>
      <c r="R15" s="119">
        <v>18793</v>
      </c>
      <c r="S15" s="119">
        <v>25503</v>
      </c>
      <c r="T15" s="119">
        <v>283389</v>
      </c>
      <c r="U15" s="119">
        <v>385428</v>
      </c>
      <c r="V15" s="119">
        <v>41367</v>
      </c>
      <c r="W15" s="119">
        <v>5493</v>
      </c>
      <c r="X15" s="119">
        <v>14209</v>
      </c>
      <c r="Y15" s="119">
        <v>89299</v>
      </c>
      <c r="Z15" s="119">
        <v>540</v>
      </c>
      <c r="AA15" s="119">
        <v>174291</v>
      </c>
      <c r="AB15" s="119">
        <v>8026</v>
      </c>
      <c r="AC15" s="119">
        <v>1989</v>
      </c>
      <c r="AD15" s="119">
        <v>18480</v>
      </c>
      <c r="AE15" s="119">
        <v>79617</v>
      </c>
      <c r="AF15" s="119">
        <v>210377</v>
      </c>
      <c r="AG15" s="119">
        <v>1141729</v>
      </c>
      <c r="AH15" s="119">
        <v>11194</v>
      </c>
      <c r="AI15" s="119">
        <v>484056</v>
      </c>
      <c r="AJ15" s="119">
        <v>651820</v>
      </c>
      <c r="AK15" s="119">
        <v>9331</v>
      </c>
      <c r="AL15" s="133">
        <v>29905</v>
      </c>
      <c r="AM15" s="119">
        <v>29192</v>
      </c>
      <c r="AN15" s="123">
        <v>603820</v>
      </c>
      <c r="AO15" s="123">
        <v>5297</v>
      </c>
      <c r="AP15" s="123">
        <v>0</v>
      </c>
      <c r="AQ15" s="119">
        <v>111672</v>
      </c>
      <c r="AR15" s="119">
        <v>221404</v>
      </c>
      <c r="AS15" s="119">
        <v>64697</v>
      </c>
      <c r="AT15" s="119">
        <v>583</v>
      </c>
      <c r="AU15" s="119">
        <v>107725</v>
      </c>
      <c r="AV15" s="119">
        <v>44786</v>
      </c>
      <c r="AW15" s="119">
        <v>38540</v>
      </c>
      <c r="AX15" s="119">
        <v>180179</v>
      </c>
      <c r="AY15" s="119">
        <v>494051</v>
      </c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</row>
    <row r="16" spans="1:83" x14ac:dyDescent="0.25">
      <c r="A16">
        <v>9</v>
      </c>
      <c r="B16" s="119">
        <v>50419</v>
      </c>
      <c r="C16" s="119">
        <v>79526</v>
      </c>
      <c r="D16" s="119">
        <v>15682</v>
      </c>
      <c r="E16" s="119">
        <v>13723</v>
      </c>
      <c r="F16" s="119">
        <v>192288</v>
      </c>
      <c r="G16" s="119">
        <v>3608</v>
      </c>
      <c r="H16" s="119">
        <v>1733</v>
      </c>
      <c r="I16" s="119">
        <v>390472</v>
      </c>
      <c r="J16" s="119">
        <v>69862</v>
      </c>
      <c r="K16" s="119">
        <v>7923</v>
      </c>
      <c r="L16" s="119">
        <v>30182</v>
      </c>
      <c r="M16" s="119">
        <v>52565</v>
      </c>
      <c r="N16" s="119">
        <v>39337</v>
      </c>
      <c r="O16" s="119">
        <v>186546</v>
      </c>
      <c r="P16" s="119">
        <v>385618</v>
      </c>
      <c r="Q16" s="119">
        <v>2929</v>
      </c>
      <c r="R16" s="119">
        <v>18813</v>
      </c>
      <c r="S16" s="119">
        <v>25503</v>
      </c>
      <c r="T16" s="119">
        <v>283528</v>
      </c>
      <c r="U16" s="119">
        <v>385662</v>
      </c>
      <c r="V16" s="119">
        <v>41398</v>
      </c>
      <c r="W16" s="119">
        <v>5493</v>
      </c>
      <c r="X16" s="119">
        <v>14220</v>
      </c>
      <c r="Y16" s="119">
        <v>89381</v>
      </c>
      <c r="Z16" s="119">
        <v>540</v>
      </c>
      <c r="AA16" s="119">
        <v>174384</v>
      </c>
      <c r="AB16" s="119">
        <v>8034</v>
      </c>
      <c r="AC16" s="119">
        <v>1989</v>
      </c>
      <c r="AD16" s="119">
        <v>18490</v>
      </c>
      <c r="AE16" s="119">
        <v>79690</v>
      </c>
      <c r="AF16" s="119">
        <v>210492</v>
      </c>
      <c r="AG16" s="119">
        <v>1142153</v>
      </c>
      <c r="AH16" s="119">
        <v>11196</v>
      </c>
      <c r="AI16" s="119">
        <v>484074</v>
      </c>
      <c r="AJ16" s="119">
        <v>652069</v>
      </c>
      <c r="AK16" s="119">
        <v>9331</v>
      </c>
      <c r="AL16" s="133">
        <v>29921</v>
      </c>
      <c r="AM16" s="119">
        <v>29209</v>
      </c>
      <c r="AN16" s="123">
        <v>603900</v>
      </c>
      <c r="AO16" s="123">
        <v>5298</v>
      </c>
      <c r="AP16" s="123">
        <v>0</v>
      </c>
      <c r="AQ16" s="119">
        <v>111702</v>
      </c>
      <c r="AR16" s="119">
        <v>221558</v>
      </c>
      <c r="AS16" s="119">
        <v>64742</v>
      </c>
      <c r="AT16" s="119">
        <v>584</v>
      </c>
      <c r="AU16" s="119">
        <v>107762</v>
      </c>
      <c r="AV16" s="119">
        <v>44815</v>
      </c>
      <c r="AW16" s="119">
        <v>38575</v>
      </c>
      <c r="AX16" s="119">
        <v>180302</v>
      </c>
      <c r="AY16" s="119">
        <v>494370</v>
      </c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</row>
    <row r="17" spans="1:83" x14ac:dyDescent="0.25">
      <c r="A17">
        <v>10</v>
      </c>
      <c r="B17" s="119">
        <v>50447</v>
      </c>
      <c r="C17" s="119">
        <v>79529</v>
      </c>
      <c r="D17" s="119">
        <v>15693</v>
      </c>
      <c r="E17" s="119">
        <v>13723</v>
      </c>
      <c r="F17" s="119">
        <v>192325</v>
      </c>
      <c r="G17" s="119">
        <v>3612</v>
      </c>
      <c r="H17" s="119">
        <v>1745</v>
      </c>
      <c r="I17" s="119">
        <v>390706</v>
      </c>
      <c r="J17" s="119">
        <v>69882</v>
      </c>
      <c r="K17" s="119">
        <v>7923</v>
      </c>
      <c r="L17" s="119">
        <v>30191</v>
      </c>
      <c r="M17" s="119">
        <v>52603</v>
      </c>
      <c r="N17" s="119">
        <v>39356</v>
      </c>
      <c r="O17" s="119">
        <v>186667</v>
      </c>
      <c r="P17" s="119">
        <v>385815</v>
      </c>
      <c r="Q17" s="119">
        <v>2934</v>
      </c>
      <c r="R17" s="119">
        <v>18832</v>
      </c>
      <c r="S17" s="119">
        <v>25503</v>
      </c>
      <c r="T17" s="119">
        <v>283681</v>
      </c>
      <c r="U17" s="119">
        <v>385906</v>
      </c>
      <c r="V17" s="119">
        <v>41430</v>
      </c>
      <c r="W17" s="119">
        <v>5495</v>
      </c>
      <c r="X17" s="119">
        <v>14230</v>
      </c>
      <c r="Y17" s="119">
        <v>89461</v>
      </c>
      <c r="Z17" s="119">
        <v>540</v>
      </c>
      <c r="AA17" s="119">
        <v>174477</v>
      </c>
      <c r="AB17" s="119">
        <v>8051</v>
      </c>
      <c r="AC17" s="119">
        <v>1989</v>
      </c>
      <c r="AD17" s="119">
        <v>18501</v>
      </c>
      <c r="AE17" s="119">
        <v>79764</v>
      </c>
      <c r="AF17" s="119">
        <v>210628</v>
      </c>
      <c r="AG17" s="119">
        <v>1142577</v>
      </c>
      <c r="AH17" s="119">
        <v>11198</v>
      </c>
      <c r="AI17" s="119">
        <v>484092</v>
      </c>
      <c r="AJ17" s="119">
        <v>652452</v>
      </c>
      <c r="AK17" s="119">
        <v>9331</v>
      </c>
      <c r="AL17" s="133">
        <v>29936</v>
      </c>
      <c r="AM17" s="119">
        <v>29226</v>
      </c>
      <c r="AN17" s="123">
        <v>604181</v>
      </c>
      <c r="AO17" s="123">
        <v>5300</v>
      </c>
      <c r="AP17" s="123">
        <v>0</v>
      </c>
      <c r="AQ17" s="119">
        <v>111759</v>
      </c>
      <c r="AR17" s="119">
        <v>221708</v>
      </c>
      <c r="AS17" s="119">
        <v>64785</v>
      </c>
      <c r="AT17" s="119">
        <v>584</v>
      </c>
      <c r="AU17" s="119">
        <v>107799</v>
      </c>
      <c r="AV17" s="119">
        <v>44843</v>
      </c>
      <c r="AW17" s="119">
        <v>38609</v>
      </c>
      <c r="AX17" s="119">
        <v>180422</v>
      </c>
      <c r="AY17" s="119">
        <v>494624</v>
      </c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</row>
    <row r="18" spans="1:83" x14ac:dyDescent="0.25">
      <c r="A18">
        <v>11</v>
      </c>
      <c r="B18" s="119">
        <v>50476</v>
      </c>
      <c r="C18" s="119">
        <v>79531</v>
      </c>
      <c r="D18" s="119">
        <v>15707</v>
      </c>
      <c r="E18" s="119">
        <v>13723</v>
      </c>
      <c r="F18" s="119">
        <v>192362</v>
      </c>
      <c r="G18" s="119">
        <v>3615</v>
      </c>
      <c r="H18" s="119">
        <v>1774</v>
      </c>
      <c r="I18" s="119">
        <v>390997</v>
      </c>
      <c r="J18" s="119">
        <v>69911</v>
      </c>
      <c r="K18" s="119">
        <v>7924</v>
      </c>
      <c r="L18" s="119">
        <v>30201</v>
      </c>
      <c r="M18" s="119">
        <v>52636</v>
      </c>
      <c r="N18" s="119">
        <v>39376</v>
      </c>
      <c r="O18" s="119">
        <v>186785</v>
      </c>
      <c r="P18" s="119">
        <v>386294</v>
      </c>
      <c r="Q18" s="119">
        <v>2940</v>
      </c>
      <c r="R18" s="119">
        <v>18851</v>
      </c>
      <c r="S18" s="119">
        <v>25503</v>
      </c>
      <c r="T18" s="119">
        <v>283847</v>
      </c>
      <c r="U18" s="119">
        <v>386113</v>
      </c>
      <c r="V18" s="119">
        <v>41460</v>
      </c>
      <c r="W18" s="119">
        <v>5498</v>
      </c>
      <c r="X18" s="119">
        <v>14238</v>
      </c>
      <c r="Y18" s="119">
        <v>89546</v>
      </c>
      <c r="Z18" s="119">
        <v>540</v>
      </c>
      <c r="AA18" s="119">
        <v>174607</v>
      </c>
      <c r="AB18" s="119">
        <v>8068</v>
      </c>
      <c r="AC18" s="119">
        <v>1990</v>
      </c>
      <c r="AD18" s="119">
        <v>18512</v>
      </c>
      <c r="AE18" s="119">
        <v>79837</v>
      </c>
      <c r="AF18" s="119">
        <v>210758</v>
      </c>
      <c r="AG18" s="119">
        <v>1142998</v>
      </c>
      <c r="AH18" s="119">
        <v>11206</v>
      </c>
      <c r="AI18" s="119">
        <v>484109</v>
      </c>
      <c r="AJ18" s="119">
        <v>652768</v>
      </c>
      <c r="AK18" s="119">
        <v>9331</v>
      </c>
      <c r="AL18" s="133">
        <v>29951</v>
      </c>
      <c r="AM18" s="119">
        <v>29243</v>
      </c>
      <c r="AN18" s="123">
        <v>604496</v>
      </c>
      <c r="AO18" s="123">
        <v>5301</v>
      </c>
      <c r="AP18" s="123">
        <v>0</v>
      </c>
      <c r="AQ18" s="119">
        <v>111826</v>
      </c>
      <c r="AR18" s="119">
        <v>221863</v>
      </c>
      <c r="AS18" s="119">
        <v>64839</v>
      </c>
      <c r="AT18" s="119">
        <v>585</v>
      </c>
      <c r="AU18" s="119">
        <v>107828</v>
      </c>
      <c r="AV18" s="119">
        <v>44870</v>
      </c>
      <c r="AW18" s="119">
        <v>38641</v>
      </c>
      <c r="AX18" s="119">
        <v>180542</v>
      </c>
      <c r="AY18" s="119">
        <v>494854</v>
      </c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</row>
    <row r="19" spans="1:83" x14ac:dyDescent="0.25">
      <c r="A19">
        <v>12</v>
      </c>
      <c r="B19" s="119">
        <v>50505</v>
      </c>
      <c r="C19" s="119">
        <v>79532</v>
      </c>
      <c r="D19" s="119">
        <v>15715</v>
      </c>
      <c r="E19" s="119">
        <v>13723</v>
      </c>
      <c r="F19" s="119">
        <v>192400</v>
      </c>
      <c r="G19" s="119">
        <v>3619</v>
      </c>
      <c r="H19" s="119">
        <v>1789</v>
      </c>
      <c r="I19" s="119">
        <v>391253</v>
      </c>
      <c r="J19" s="119">
        <v>69927</v>
      </c>
      <c r="K19" s="119">
        <v>7924</v>
      </c>
      <c r="L19" s="119">
        <v>30213</v>
      </c>
      <c r="M19" s="119">
        <v>52664</v>
      </c>
      <c r="N19" s="119">
        <v>39395</v>
      </c>
      <c r="O19" s="119">
        <v>186905</v>
      </c>
      <c r="P19" s="119">
        <v>386795</v>
      </c>
      <c r="Q19" s="119">
        <v>2945</v>
      </c>
      <c r="R19" s="119">
        <v>18869</v>
      </c>
      <c r="S19" s="119">
        <v>25503</v>
      </c>
      <c r="T19" s="119">
        <v>283995</v>
      </c>
      <c r="U19" s="119">
        <v>386315</v>
      </c>
      <c r="V19" s="119">
        <v>41492</v>
      </c>
      <c r="W19" s="119">
        <v>5504</v>
      </c>
      <c r="X19" s="119">
        <v>14248</v>
      </c>
      <c r="Y19" s="119">
        <v>89632</v>
      </c>
      <c r="Z19" s="119">
        <v>540</v>
      </c>
      <c r="AA19" s="119">
        <v>174697</v>
      </c>
      <c r="AB19" s="119">
        <v>8077</v>
      </c>
      <c r="AC19" s="119">
        <v>1992</v>
      </c>
      <c r="AD19" s="119">
        <v>18522</v>
      </c>
      <c r="AE19" s="119">
        <v>79910</v>
      </c>
      <c r="AF19" s="119">
        <v>210880</v>
      </c>
      <c r="AG19" s="119">
        <v>1143430</v>
      </c>
      <c r="AH19" s="119">
        <v>11214</v>
      </c>
      <c r="AI19" s="119">
        <v>484127</v>
      </c>
      <c r="AJ19" s="119">
        <v>653085</v>
      </c>
      <c r="AK19" s="119">
        <v>9331</v>
      </c>
      <c r="AL19" s="133">
        <v>29967</v>
      </c>
      <c r="AM19" s="119">
        <v>29260</v>
      </c>
      <c r="AN19" s="123">
        <v>604775</v>
      </c>
      <c r="AO19" s="123">
        <v>5302</v>
      </c>
      <c r="AP19" s="123">
        <v>0</v>
      </c>
      <c r="AQ19" s="119">
        <v>111888</v>
      </c>
      <c r="AR19" s="119">
        <v>222025</v>
      </c>
      <c r="AS19" s="119">
        <v>64889</v>
      </c>
      <c r="AT19" s="119">
        <v>585</v>
      </c>
      <c r="AU19" s="119">
        <v>107843</v>
      </c>
      <c r="AV19" s="119">
        <v>44896</v>
      </c>
      <c r="AW19" s="119">
        <v>38673</v>
      </c>
      <c r="AX19" s="119">
        <v>180663</v>
      </c>
      <c r="AY19" s="119">
        <v>495048</v>
      </c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</row>
    <row r="20" spans="1:83" x14ac:dyDescent="0.25">
      <c r="A20">
        <v>13</v>
      </c>
      <c r="B20" s="119">
        <v>50536</v>
      </c>
      <c r="C20" s="119">
        <v>79539</v>
      </c>
      <c r="D20" s="119">
        <v>15726</v>
      </c>
      <c r="E20" s="119">
        <v>13723</v>
      </c>
      <c r="F20" s="119">
        <v>192437</v>
      </c>
      <c r="G20" s="119">
        <v>3622</v>
      </c>
      <c r="H20" s="119">
        <v>1801</v>
      </c>
      <c r="I20" s="119">
        <v>391478</v>
      </c>
      <c r="J20" s="119">
        <v>69945</v>
      </c>
      <c r="K20" s="119">
        <v>7924</v>
      </c>
      <c r="L20" s="119">
        <v>30221</v>
      </c>
      <c r="M20" s="119">
        <v>52695</v>
      </c>
      <c r="N20" s="119">
        <v>39415</v>
      </c>
      <c r="O20" s="119">
        <v>187025</v>
      </c>
      <c r="P20" s="119">
        <v>387309</v>
      </c>
      <c r="Q20" s="119">
        <v>2950</v>
      </c>
      <c r="R20" s="119">
        <v>18889</v>
      </c>
      <c r="S20" s="119">
        <v>25503</v>
      </c>
      <c r="T20" s="119">
        <v>284198</v>
      </c>
      <c r="U20" s="119">
        <v>386501</v>
      </c>
      <c r="V20" s="119">
        <v>41523</v>
      </c>
      <c r="W20" s="119">
        <v>5514</v>
      </c>
      <c r="X20" s="119">
        <v>14257</v>
      </c>
      <c r="Y20" s="119">
        <v>89719</v>
      </c>
      <c r="Z20" s="119">
        <v>540</v>
      </c>
      <c r="AA20" s="119">
        <v>174791</v>
      </c>
      <c r="AB20" s="119">
        <v>8091</v>
      </c>
      <c r="AC20" s="119">
        <v>1993</v>
      </c>
      <c r="AD20" s="119">
        <v>18533</v>
      </c>
      <c r="AE20" s="119">
        <v>79985</v>
      </c>
      <c r="AF20" s="119">
        <v>210924</v>
      </c>
      <c r="AG20" s="119">
        <v>1143901</v>
      </c>
      <c r="AH20" s="119">
        <v>11215</v>
      </c>
      <c r="AI20" s="119">
        <v>484150</v>
      </c>
      <c r="AJ20" s="123">
        <v>653353</v>
      </c>
      <c r="AK20" s="123">
        <v>9331</v>
      </c>
      <c r="AL20" s="133">
        <v>29982</v>
      </c>
      <c r="AM20" s="123">
        <v>29278</v>
      </c>
      <c r="AN20" s="123">
        <v>605216</v>
      </c>
      <c r="AO20" s="123">
        <v>5304</v>
      </c>
      <c r="AP20" s="123">
        <v>0</v>
      </c>
      <c r="AQ20" s="123">
        <v>111946</v>
      </c>
      <c r="AR20" s="123">
        <v>222181</v>
      </c>
      <c r="AS20" s="123">
        <v>64948</v>
      </c>
      <c r="AT20" s="123">
        <v>586</v>
      </c>
      <c r="AU20" s="123">
        <v>107858</v>
      </c>
      <c r="AV20" s="123">
        <v>44924</v>
      </c>
      <c r="AW20" s="123">
        <v>38706</v>
      </c>
      <c r="AX20" s="123">
        <v>180716</v>
      </c>
      <c r="AY20" s="123">
        <v>495238</v>
      </c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</row>
    <row r="21" spans="1:83" x14ac:dyDescent="0.25">
      <c r="A21">
        <v>14</v>
      </c>
      <c r="B21" s="119">
        <v>50564</v>
      </c>
      <c r="C21" s="119">
        <v>79540</v>
      </c>
      <c r="D21" s="119">
        <v>15732</v>
      </c>
      <c r="E21" s="119">
        <v>13723</v>
      </c>
      <c r="F21" s="119">
        <v>192511</v>
      </c>
      <c r="G21" s="119">
        <v>3626</v>
      </c>
      <c r="H21" s="119">
        <v>1810</v>
      </c>
      <c r="I21" s="119">
        <v>391752</v>
      </c>
      <c r="J21" s="119">
        <v>69962</v>
      </c>
      <c r="K21" s="119">
        <v>7924</v>
      </c>
      <c r="L21" s="119">
        <v>30236</v>
      </c>
      <c r="M21" s="119">
        <v>52722</v>
      </c>
      <c r="N21" s="119">
        <v>39434</v>
      </c>
      <c r="O21" s="119">
        <v>187143</v>
      </c>
      <c r="P21" s="119">
        <v>387851</v>
      </c>
      <c r="Q21" s="119">
        <v>2954</v>
      </c>
      <c r="R21" s="119">
        <v>18909</v>
      </c>
      <c r="S21" s="119">
        <v>25503</v>
      </c>
      <c r="T21" s="119">
        <v>284330</v>
      </c>
      <c r="U21" s="119">
        <v>386698</v>
      </c>
      <c r="V21" s="119">
        <v>41554</v>
      </c>
      <c r="W21" s="119">
        <v>5523</v>
      </c>
      <c r="X21" s="119">
        <v>14267</v>
      </c>
      <c r="Y21" s="119">
        <v>89803</v>
      </c>
      <c r="Z21" s="119">
        <v>540</v>
      </c>
      <c r="AA21" s="119">
        <v>174872</v>
      </c>
      <c r="AB21" s="119">
        <v>8098</v>
      </c>
      <c r="AC21" s="119">
        <v>1995</v>
      </c>
      <c r="AD21" s="119">
        <v>18544</v>
      </c>
      <c r="AE21" s="119">
        <v>80059</v>
      </c>
      <c r="AF21" s="119">
        <v>211087</v>
      </c>
      <c r="AG21" s="119">
        <v>1144335</v>
      </c>
      <c r="AH21" s="119">
        <v>11216</v>
      </c>
      <c r="AI21" s="119">
        <v>484162</v>
      </c>
      <c r="AJ21" s="123">
        <v>653617</v>
      </c>
      <c r="AK21" s="123">
        <v>9331</v>
      </c>
      <c r="AL21" s="133">
        <v>29997</v>
      </c>
      <c r="AM21" s="123">
        <v>29294</v>
      </c>
      <c r="AN21" s="123">
        <v>605589</v>
      </c>
      <c r="AO21" s="123">
        <v>5305</v>
      </c>
      <c r="AP21" s="123">
        <v>0</v>
      </c>
      <c r="AQ21" s="123">
        <v>112005</v>
      </c>
      <c r="AR21" s="123">
        <v>222329</v>
      </c>
      <c r="AS21" s="123">
        <v>64991</v>
      </c>
      <c r="AT21" s="123">
        <v>587</v>
      </c>
      <c r="AU21" s="123">
        <v>107872</v>
      </c>
      <c r="AV21" s="123">
        <v>44953</v>
      </c>
      <c r="AW21" s="123">
        <v>38739</v>
      </c>
      <c r="AX21" s="123">
        <v>180747</v>
      </c>
      <c r="AY21" s="123">
        <v>495433</v>
      </c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2"/>
      <c r="CD21" s="132"/>
      <c r="CE21" s="132"/>
    </row>
    <row r="22" spans="1:83" x14ac:dyDescent="0.25">
      <c r="A22">
        <v>15</v>
      </c>
      <c r="B22" s="119">
        <v>50591</v>
      </c>
      <c r="C22" s="119">
        <v>79548</v>
      </c>
      <c r="D22" s="119">
        <v>15734</v>
      </c>
      <c r="E22" s="119">
        <v>13723</v>
      </c>
      <c r="F22" s="119">
        <v>192551</v>
      </c>
      <c r="G22" s="119">
        <v>3629</v>
      </c>
      <c r="H22" s="119">
        <v>1815</v>
      </c>
      <c r="I22" s="119">
        <v>392019</v>
      </c>
      <c r="J22" s="119">
        <v>69983</v>
      </c>
      <c r="K22" s="119">
        <v>7924</v>
      </c>
      <c r="L22" s="119">
        <v>30249</v>
      </c>
      <c r="M22" s="119">
        <v>52754</v>
      </c>
      <c r="N22" s="119">
        <v>39453</v>
      </c>
      <c r="O22" s="119">
        <v>187260</v>
      </c>
      <c r="P22" s="119">
        <v>388373</v>
      </c>
      <c r="Q22" s="119">
        <v>2958</v>
      </c>
      <c r="R22" s="119">
        <v>18928</v>
      </c>
      <c r="S22" s="119">
        <v>25503</v>
      </c>
      <c r="T22" s="119">
        <v>284478</v>
      </c>
      <c r="U22" s="119">
        <v>386915</v>
      </c>
      <c r="V22" s="119">
        <v>41585</v>
      </c>
      <c r="W22" s="119">
        <v>5526</v>
      </c>
      <c r="X22" s="119">
        <v>14278</v>
      </c>
      <c r="Y22" s="119">
        <v>89892</v>
      </c>
      <c r="Z22" s="119">
        <v>540</v>
      </c>
      <c r="AA22" s="119">
        <v>174951</v>
      </c>
      <c r="AB22" s="119">
        <v>8112</v>
      </c>
      <c r="AC22" s="119">
        <v>1995</v>
      </c>
      <c r="AD22" s="119">
        <v>18555</v>
      </c>
      <c r="AE22" s="119">
        <v>80133</v>
      </c>
      <c r="AF22" s="119">
        <v>211199</v>
      </c>
      <c r="AG22" s="119">
        <v>1144765</v>
      </c>
      <c r="AH22" s="119">
        <v>11216</v>
      </c>
      <c r="AI22" s="119">
        <v>484179</v>
      </c>
      <c r="AJ22" s="123">
        <v>653895</v>
      </c>
      <c r="AK22" s="123">
        <v>9331</v>
      </c>
      <c r="AL22" s="133">
        <v>30012</v>
      </c>
      <c r="AM22" s="123">
        <v>29311</v>
      </c>
      <c r="AN22" s="123">
        <v>606128</v>
      </c>
      <c r="AO22" s="123">
        <v>5307</v>
      </c>
      <c r="AP22" s="123">
        <v>0</v>
      </c>
      <c r="AQ22" s="123">
        <v>112059</v>
      </c>
      <c r="AR22" s="123">
        <v>222471</v>
      </c>
      <c r="AS22" s="123">
        <v>65034</v>
      </c>
      <c r="AT22" s="123">
        <v>587</v>
      </c>
      <c r="AU22" s="123">
        <v>107886</v>
      </c>
      <c r="AV22" s="123">
        <v>44980</v>
      </c>
      <c r="AW22" s="123">
        <v>38772</v>
      </c>
      <c r="AX22" s="123">
        <v>180775</v>
      </c>
      <c r="AY22" s="123">
        <v>495662</v>
      </c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2"/>
      <c r="BZ22" s="132"/>
      <c r="CA22" s="132"/>
      <c r="CB22" s="132"/>
      <c r="CC22" s="132"/>
      <c r="CD22" s="132"/>
      <c r="CE22" s="132"/>
    </row>
    <row r="23" spans="1:83" x14ac:dyDescent="0.25">
      <c r="A23">
        <v>16</v>
      </c>
      <c r="B23" s="119">
        <v>50617</v>
      </c>
      <c r="C23" s="119">
        <v>79556</v>
      </c>
      <c r="D23" s="119">
        <v>15745</v>
      </c>
      <c r="E23" s="119">
        <v>13723</v>
      </c>
      <c r="F23" s="119">
        <v>192591</v>
      </c>
      <c r="G23" s="119">
        <v>3632</v>
      </c>
      <c r="H23" s="119">
        <v>1826</v>
      </c>
      <c r="I23" s="119">
        <v>392302</v>
      </c>
      <c r="J23" s="119">
        <v>70004</v>
      </c>
      <c r="K23" s="119">
        <v>7924</v>
      </c>
      <c r="L23" s="119">
        <v>30258</v>
      </c>
      <c r="M23" s="119">
        <v>52762</v>
      </c>
      <c r="N23" s="119">
        <v>39472</v>
      </c>
      <c r="O23" s="119">
        <v>187379</v>
      </c>
      <c r="P23" s="119">
        <v>388648</v>
      </c>
      <c r="Q23" s="119">
        <v>2962</v>
      </c>
      <c r="R23" s="119">
        <v>18943</v>
      </c>
      <c r="S23" s="119">
        <v>25503</v>
      </c>
      <c r="T23" s="119">
        <v>284600</v>
      </c>
      <c r="U23" s="119">
        <v>387119</v>
      </c>
      <c r="V23" s="119">
        <v>41617</v>
      </c>
      <c r="W23" s="119">
        <v>5528</v>
      </c>
      <c r="X23" s="119">
        <v>14288</v>
      </c>
      <c r="Y23" s="119">
        <v>89969</v>
      </c>
      <c r="Z23" s="119">
        <v>540</v>
      </c>
      <c r="AA23" s="119">
        <v>175055</v>
      </c>
      <c r="AB23" s="119">
        <v>8116</v>
      </c>
      <c r="AC23" s="119">
        <v>1997</v>
      </c>
      <c r="AD23" s="119">
        <v>18566</v>
      </c>
      <c r="AE23" s="119">
        <v>80207</v>
      </c>
      <c r="AF23" s="119">
        <v>211306</v>
      </c>
      <c r="AG23" s="119">
        <v>1145192</v>
      </c>
      <c r="AH23" s="119">
        <v>11216</v>
      </c>
      <c r="AI23" s="119">
        <v>484197</v>
      </c>
      <c r="AJ23" s="119">
        <v>654221</v>
      </c>
      <c r="AK23" s="119">
        <v>9331</v>
      </c>
      <c r="AL23" s="133">
        <v>30030</v>
      </c>
      <c r="AM23" s="119">
        <v>29327</v>
      </c>
      <c r="AN23" s="123">
        <v>606618</v>
      </c>
      <c r="AO23" s="123">
        <v>5308</v>
      </c>
      <c r="AP23" s="123">
        <v>0</v>
      </c>
      <c r="AQ23" s="119">
        <v>112111</v>
      </c>
      <c r="AR23" s="119">
        <v>222629</v>
      </c>
      <c r="AS23" s="119">
        <v>65078</v>
      </c>
      <c r="AT23" s="119">
        <v>588</v>
      </c>
      <c r="AU23" s="119">
        <v>107915</v>
      </c>
      <c r="AV23" s="119">
        <v>44989</v>
      </c>
      <c r="AW23" s="119">
        <v>38776</v>
      </c>
      <c r="AX23" s="119">
        <v>180803</v>
      </c>
      <c r="AY23" s="119">
        <v>495903</v>
      </c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132"/>
      <c r="CB23" s="132"/>
      <c r="CC23" s="132"/>
      <c r="CD23" s="132"/>
      <c r="CE23" s="132"/>
    </row>
    <row r="24" spans="1:83" x14ac:dyDescent="0.25">
      <c r="A24">
        <v>17</v>
      </c>
      <c r="B24" s="119">
        <v>50643</v>
      </c>
      <c r="C24" s="119">
        <v>79564</v>
      </c>
      <c r="D24" s="119">
        <v>15757</v>
      </c>
      <c r="E24" s="119">
        <v>13723</v>
      </c>
      <c r="F24" s="119">
        <v>192631</v>
      </c>
      <c r="G24" s="119">
        <v>3636</v>
      </c>
      <c r="H24" s="119">
        <v>1837</v>
      </c>
      <c r="I24" s="119">
        <v>392585</v>
      </c>
      <c r="J24" s="119">
        <v>70026</v>
      </c>
      <c r="K24" s="119">
        <v>7924</v>
      </c>
      <c r="L24" s="119">
        <v>30268</v>
      </c>
      <c r="M24" s="119">
        <v>52771</v>
      </c>
      <c r="N24" s="119">
        <v>39491</v>
      </c>
      <c r="O24" s="119">
        <v>187499</v>
      </c>
      <c r="P24" s="119">
        <v>388923</v>
      </c>
      <c r="Q24" s="119">
        <v>2967</v>
      </c>
      <c r="R24" s="119">
        <v>18959</v>
      </c>
      <c r="S24" s="119">
        <v>25503</v>
      </c>
      <c r="T24" s="119">
        <v>284722</v>
      </c>
      <c r="U24" s="119">
        <v>387324</v>
      </c>
      <c r="V24" s="119">
        <v>41649</v>
      </c>
      <c r="W24" s="119">
        <v>5530</v>
      </c>
      <c r="X24" s="119">
        <v>14299</v>
      </c>
      <c r="Y24" s="119">
        <v>90047</v>
      </c>
      <c r="Z24" s="119">
        <v>540</v>
      </c>
      <c r="AA24" s="119">
        <v>175160</v>
      </c>
      <c r="AB24" s="119">
        <v>8119</v>
      </c>
      <c r="AC24" s="119">
        <v>1999</v>
      </c>
      <c r="AD24" s="119">
        <v>18577</v>
      </c>
      <c r="AE24" s="119">
        <v>80282</v>
      </c>
      <c r="AF24" s="119">
        <v>211414</v>
      </c>
      <c r="AG24" s="119">
        <v>1145620</v>
      </c>
      <c r="AH24" s="119">
        <v>11216</v>
      </c>
      <c r="AI24" s="119">
        <v>484215</v>
      </c>
      <c r="AJ24" s="119">
        <v>654547</v>
      </c>
      <c r="AK24" s="119">
        <v>9331</v>
      </c>
      <c r="AL24" s="133">
        <v>30044</v>
      </c>
      <c r="AM24" s="119">
        <v>29236</v>
      </c>
      <c r="AN24" s="123">
        <v>607109</v>
      </c>
      <c r="AO24" s="123">
        <v>5309</v>
      </c>
      <c r="AP24" s="123">
        <v>0</v>
      </c>
      <c r="AQ24" s="119">
        <v>112164</v>
      </c>
      <c r="AR24" s="119">
        <v>222788</v>
      </c>
      <c r="AS24" s="119">
        <v>65123</v>
      </c>
      <c r="AT24" s="119">
        <v>588</v>
      </c>
      <c r="AU24" s="119">
        <v>107915</v>
      </c>
      <c r="AV24" s="119">
        <v>44989</v>
      </c>
      <c r="AW24" s="119">
        <v>38780</v>
      </c>
      <c r="AX24" s="119">
        <v>180832</v>
      </c>
      <c r="AY24" s="119">
        <v>496144</v>
      </c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</row>
    <row r="25" spans="1:83" x14ac:dyDescent="0.25">
      <c r="A25">
        <v>18</v>
      </c>
      <c r="B25" s="119">
        <v>50671</v>
      </c>
      <c r="C25" s="119">
        <v>79570</v>
      </c>
      <c r="D25" s="119">
        <v>15763</v>
      </c>
      <c r="E25" s="119">
        <v>13723</v>
      </c>
      <c r="F25" s="119">
        <v>192670</v>
      </c>
      <c r="G25" s="119">
        <v>3639</v>
      </c>
      <c r="H25" s="119">
        <v>1850</v>
      </c>
      <c r="I25" s="119">
        <v>392874</v>
      </c>
      <c r="J25" s="119">
        <v>70052</v>
      </c>
      <c r="K25" s="119">
        <v>7924</v>
      </c>
      <c r="L25" s="119">
        <v>30288</v>
      </c>
      <c r="M25" s="119">
        <v>52785</v>
      </c>
      <c r="N25" s="119">
        <v>39515</v>
      </c>
      <c r="O25" s="119">
        <v>187618</v>
      </c>
      <c r="P25" s="119">
        <v>389157</v>
      </c>
      <c r="Q25" s="119">
        <v>2971</v>
      </c>
      <c r="R25" s="119">
        <v>18984</v>
      </c>
      <c r="S25" s="119">
        <v>25503</v>
      </c>
      <c r="T25" s="119">
        <v>284856</v>
      </c>
      <c r="U25" s="119">
        <v>387528</v>
      </c>
      <c r="V25" s="119">
        <v>41680</v>
      </c>
      <c r="W25" s="119">
        <v>5532</v>
      </c>
      <c r="X25" s="119">
        <v>14305</v>
      </c>
      <c r="Y25" s="119">
        <v>90130</v>
      </c>
      <c r="Z25" s="119">
        <v>540</v>
      </c>
      <c r="AA25" s="119">
        <v>175199</v>
      </c>
      <c r="AB25" s="119">
        <v>8137</v>
      </c>
      <c r="AC25" s="119">
        <v>2000</v>
      </c>
      <c r="AD25" s="119">
        <v>18587</v>
      </c>
      <c r="AE25" s="119">
        <v>80355</v>
      </c>
      <c r="AF25" s="119">
        <v>211524</v>
      </c>
      <c r="AG25" s="119">
        <v>1146049</v>
      </c>
      <c r="AH25" s="119">
        <v>11216</v>
      </c>
      <c r="AI25" s="119">
        <v>484233</v>
      </c>
      <c r="AJ25" s="119">
        <v>654848</v>
      </c>
      <c r="AK25" s="119">
        <v>9331</v>
      </c>
      <c r="AL25" s="133">
        <v>30059</v>
      </c>
      <c r="AM25" s="119">
        <v>29363</v>
      </c>
      <c r="AN25" s="123">
        <v>607614</v>
      </c>
      <c r="AO25" s="123">
        <v>5311</v>
      </c>
      <c r="AP25" s="123">
        <v>0</v>
      </c>
      <c r="AQ25" s="119">
        <v>112212</v>
      </c>
      <c r="AR25" s="119">
        <v>222954</v>
      </c>
      <c r="AS25" s="119">
        <v>65166</v>
      </c>
      <c r="AT25" s="119">
        <v>589</v>
      </c>
      <c r="AU25" s="119">
        <v>107971</v>
      </c>
      <c r="AV25" s="119">
        <v>44998</v>
      </c>
      <c r="AW25" s="119">
        <v>38789</v>
      </c>
      <c r="AX25" s="119">
        <v>180858</v>
      </c>
      <c r="AY25" s="119">
        <v>496353</v>
      </c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2"/>
      <c r="BM25" s="132"/>
      <c r="BN25" s="132"/>
      <c r="BO25" s="132"/>
      <c r="BP25" s="132"/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132"/>
      <c r="CB25" s="132"/>
      <c r="CC25" s="132"/>
      <c r="CD25" s="132"/>
      <c r="CE25" s="132"/>
    </row>
    <row r="26" spans="1:83" x14ac:dyDescent="0.25">
      <c r="A26">
        <v>19</v>
      </c>
      <c r="B26" s="119">
        <v>50699</v>
      </c>
      <c r="C26" s="119">
        <v>79574</v>
      </c>
      <c r="D26" s="119">
        <v>15766</v>
      </c>
      <c r="E26" s="119">
        <v>13723</v>
      </c>
      <c r="F26" s="119">
        <v>192711</v>
      </c>
      <c r="G26" s="119">
        <v>3642</v>
      </c>
      <c r="H26" s="119">
        <v>1868</v>
      </c>
      <c r="I26" s="119">
        <v>393197</v>
      </c>
      <c r="J26" s="119">
        <v>70075</v>
      </c>
      <c r="K26" s="119">
        <v>7924</v>
      </c>
      <c r="L26" s="119">
        <v>30305</v>
      </c>
      <c r="M26" s="119">
        <v>52794</v>
      </c>
      <c r="N26" s="119">
        <v>39531</v>
      </c>
      <c r="O26" s="119">
        <v>187741</v>
      </c>
      <c r="P26" s="119">
        <v>389545</v>
      </c>
      <c r="Q26" s="119">
        <v>2975</v>
      </c>
      <c r="R26" s="119">
        <v>19013</v>
      </c>
      <c r="S26" s="119">
        <v>25503</v>
      </c>
      <c r="T26" s="119">
        <v>284995</v>
      </c>
      <c r="U26" s="119">
        <v>387731</v>
      </c>
      <c r="V26" s="119">
        <v>41712</v>
      </c>
      <c r="W26" s="119">
        <v>5535</v>
      </c>
      <c r="X26" s="119">
        <v>14312</v>
      </c>
      <c r="Y26" s="119">
        <v>90212</v>
      </c>
      <c r="Z26" s="119">
        <v>540</v>
      </c>
      <c r="AA26" s="119">
        <v>175287</v>
      </c>
      <c r="AB26" s="119">
        <v>8154</v>
      </c>
      <c r="AC26" s="119">
        <v>2000</v>
      </c>
      <c r="AD26" s="119">
        <v>18598</v>
      </c>
      <c r="AE26" s="119">
        <v>80434</v>
      </c>
      <c r="AF26" s="119">
        <v>211635</v>
      </c>
      <c r="AG26" s="119">
        <v>1146497</v>
      </c>
      <c r="AH26" s="119">
        <v>11216</v>
      </c>
      <c r="AI26" s="119">
        <v>484251</v>
      </c>
      <c r="AJ26" s="119">
        <v>655141</v>
      </c>
      <c r="AK26" s="119">
        <v>9331</v>
      </c>
      <c r="AL26" s="133">
        <v>30075</v>
      </c>
      <c r="AM26" s="119">
        <v>29380</v>
      </c>
      <c r="AN26" s="123">
        <v>608072</v>
      </c>
      <c r="AO26" s="123">
        <v>5312</v>
      </c>
      <c r="AP26" s="123">
        <v>0</v>
      </c>
      <c r="AQ26" s="119">
        <v>112255</v>
      </c>
      <c r="AR26" s="119">
        <v>223136</v>
      </c>
      <c r="AS26" s="119">
        <v>65207</v>
      </c>
      <c r="AT26" s="119">
        <v>590</v>
      </c>
      <c r="AU26" s="119">
        <v>108041</v>
      </c>
      <c r="AV26" s="119">
        <v>45001</v>
      </c>
      <c r="AW26" s="119">
        <v>38791</v>
      </c>
      <c r="AX26" s="119">
        <v>180886</v>
      </c>
      <c r="AY26" s="119">
        <v>496598</v>
      </c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132"/>
      <c r="CB26" s="132"/>
      <c r="CC26" s="132"/>
      <c r="CD26" s="132"/>
      <c r="CE26" s="132"/>
    </row>
    <row r="27" spans="1:83" x14ac:dyDescent="0.25">
      <c r="A27">
        <v>20</v>
      </c>
      <c r="B27" s="119">
        <v>50727</v>
      </c>
      <c r="C27" s="119">
        <v>79584</v>
      </c>
      <c r="D27" s="119">
        <v>15775</v>
      </c>
      <c r="E27" s="119">
        <v>13723</v>
      </c>
      <c r="F27" s="119">
        <v>192748</v>
      </c>
      <c r="G27" s="119">
        <v>3645</v>
      </c>
      <c r="H27" s="119">
        <v>1874</v>
      </c>
      <c r="I27" s="119">
        <v>393499</v>
      </c>
      <c r="J27" s="119">
        <v>70105</v>
      </c>
      <c r="K27" s="119">
        <v>7924</v>
      </c>
      <c r="L27" s="119">
        <v>30324</v>
      </c>
      <c r="M27" s="119">
        <v>52794</v>
      </c>
      <c r="N27" s="119">
        <v>39551</v>
      </c>
      <c r="O27" s="119">
        <v>187858</v>
      </c>
      <c r="P27" s="119">
        <v>389744</v>
      </c>
      <c r="Q27" s="119">
        <v>2978</v>
      </c>
      <c r="R27" s="119">
        <v>19037</v>
      </c>
      <c r="S27" s="119">
        <v>25503</v>
      </c>
      <c r="T27" s="119">
        <v>285175</v>
      </c>
      <c r="U27" s="119">
        <v>387928</v>
      </c>
      <c r="V27" s="119">
        <v>41743</v>
      </c>
      <c r="W27" s="119">
        <v>5538</v>
      </c>
      <c r="X27" s="119">
        <v>14319</v>
      </c>
      <c r="Y27" s="119">
        <v>90295</v>
      </c>
      <c r="Z27" s="119">
        <v>540</v>
      </c>
      <c r="AA27" s="119">
        <v>175356</v>
      </c>
      <c r="AB27" s="119">
        <v>8169</v>
      </c>
      <c r="AC27" s="119">
        <v>2000</v>
      </c>
      <c r="AD27" s="119">
        <v>18609</v>
      </c>
      <c r="AE27" s="119">
        <v>80511</v>
      </c>
      <c r="AF27" s="119">
        <v>211735</v>
      </c>
      <c r="AG27" s="119">
        <v>1146954</v>
      </c>
      <c r="AH27" s="119">
        <v>11216</v>
      </c>
      <c r="AI27" s="119">
        <v>484268</v>
      </c>
      <c r="AJ27" s="119">
        <v>655459</v>
      </c>
      <c r="AK27" s="119">
        <v>9331</v>
      </c>
      <c r="AL27" s="133">
        <v>30090</v>
      </c>
      <c r="AM27" s="119">
        <v>29397</v>
      </c>
      <c r="AN27" s="123">
        <v>608550</v>
      </c>
      <c r="AO27" s="123">
        <v>5313</v>
      </c>
      <c r="AP27" s="123">
        <v>0</v>
      </c>
      <c r="AQ27" s="119">
        <v>112300</v>
      </c>
      <c r="AR27" s="119">
        <v>223314</v>
      </c>
      <c r="AS27" s="119">
        <v>65256</v>
      </c>
      <c r="AT27" s="119">
        <v>590</v>
      </c>
      <c r="AU27" s="119">
        <v>108109</v>
      </c>
      <c r="AV27" s="119">
        <v>45003</v>
      </c>
      <c r="AW27" s="119">
        <v>38794</v>
      </c>
      <c r="AX27" s="119">
        <v>180914</v>
      </c>
      <c r="AY27" s="119">
        <v>496822</v>
      </c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</row>
    <row r="28" spans="1:83" x14ac:dyDescent="0.25">
      <c r="A28">
        <v>21</v>
      </c>
      <c r="B28" s="119">
        <v>50753</v>
      </c>
      <c r="C28" s="119">
        <v>79598</v>
      </c>
      <c r="D28" s="119">
        <v>15783</v>
      </c>
      <c r="E28" s="119">
        <v>13724</v>
      </c>
      <c r="F28" s="119">
        <v>192786</v>
      </c>
      <c r="G28" s="119">
        <v>3648</v>
      </c>
      <c r="H28" s="119">
        <v>1893</v>
      </c>
      <c r="I28" s="119">
        <v>393805</v>
      </c>
      <c r="J28" s="119">
        <v>70136</v>
      </c>
      <c r="K28" s="119">
        <v>7924</v>
      </c>
      <c r="L28" s="119">
        <v>30333</v>
      </c>
      <c r="M28" s="119">
        <v>52797</v>
      </c>
      <c r="N28" s="119">
        <v>39574</v>
      </c>
      <c r="O28" s="119">
        <v>187977</v>
      </c>
      <c r="P28" s="119">
        <v>389992</v>
      </c>
      <c r="Q28" s="119">
        <v>2980</v>
      </c>
      <c r="R28" s="119">
        <v>19063</v>
      </c>
      <c r="S28" s="119">
        <v>25503</v>
      </c>
      <c r="T28" s="119">
        <v>285292</v>
      </c>
      <c r="U28" s="119">
        <v>388132</v>
      </c>
      <c r="V28" s="119">
        <v>41774</v>
      </c>
      <c r="W28" s="119">
        <v>5542</v>
      </c>
      <c r="X28" s="119">
        <v>14328</v>
      </c>
      <c r="Y28" s="119">
        <v>90376</v>
      </c>
      <c r="Z28" s="119">
        <v>540</v>
      </c>
      <c r="AA28" s="119">
        <v>175445</v>
      </c>
      <c r="AB28" s="119">
        <v>8169</v>
      </c>
      <c r="AC28" s="119">
        <v>2000</v>
      </c>
      <c r="AD28" s="119">
        <v>18620</v>
      </c>
      <c r="AE28" s="119">
        <v>80587</v>
      </c>
      <c r="AF28" s="119">
        <v>211839</v>
      </c>
      <c r="AG28" s="119">
        <v>1147407</v>
      </c>
      <c r="AH28" s="119">
        <v>11216</v>
      </c>
      <c r="AI28" s="119">
        <v>484286</v>
      </c>
      <c r="AJ28" s="119">
        <v>655733</v>
      </c>
      <c r="AK28" s="119">
        <v>9331</v>
      </c>
      <c r="AL28" s="133">
        <v>30103</v>
      </c>
      <c r="AM28" s="119">
        <v>29414</v>
      </c>
      <c r="AN28" s="123">
        <v>608996</v>
      </c>
      <c r="AO28" s="123">
        <v>5315</v>
      </c>
      <c r="AP28" s="123">
        <v>0</v>
      </c>
      <c r="AQ28" s="119">
        <v>112345</v>
      </c>
      <c r="AR28" s="119">
        <v>223488</v>
      </c>
      <c r="AS28" s="119">
        <v>65292</v>
      </c>
      <c r="AT28" s="119">
        <v>591</v>
      </c>
      <c r="AU28" s="119">
        <v>108177</v>
      </c>
      <c r="AV28" s="119">
        <v>45003</v>
      </c>
      <c r="AW28" s="119">
        <v>38794</v>
      </c>
      <c r="AX28" s="119">
        <v>180940</v>
      </c>
      <c r="AY28" s="119">
        <v>497015</v>
      </c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</row>
    <row r="29" spans="1:83" x14ac:dyDescent="0.25">
      <c r="A29">
        <v>22</v>
      </c>
      <c r="B29" s="119">
        <v>50779</v>
      </c>
      <c r="C29" s="119">
        <v>79609</v>
      </c>
      <c r="D29" s="119">
        <v>15787</v>
      </c>
      <c r="E29" s="119">
        <v>13724</v>
      </c>
      <c r="F29" s="119">
        <v>192823</v>
      </c>
      <c r="G29" s="119">
        <v>3651</v>
      </c>
      <c r="H29" s="119">
        <v>1903</v>
      </c>
      <c r="I29" s="119">
        <v>394088</v>
      </c>
      <c r="J29" s="119">
        <v>70168</v>
      </c>
      <c r="K29" s="119">
        <v>7924</v>
      </c>
      <c r="L29" s="119">
        <v>30340</v>
      </c>
      <c r="M29" s="119">
        <v>52806</v>
      </c>
      <c r="N29" s="119">
        <v>39593</v>
      </c>
      <c r="O29" s="119">
        <v>188099</v>
      </c>
      <c r="P29" s="119">
        <v>390507</v>
      </c>
      <c r="Q29" s="119">
        <v>2983</v>
      </c>
      <c r="R29" s="119">
        <v>19087</v>
      </c>
      <c r="S29" s="119">
        <v>25503</v>
      </c>
      <c r="T29" s="119">
        <v>285417</v>
      </c>
      <c r="U29" s="119">
        <v>388338</v>
      </c>
      <c r="V29" s="119">
        <v>41806</v>
      </c>
      <c r="W29" s="119">
        <v>5542</v>
      </c>
      <c r="X29" s="119">
        <v>14337</v>
      </c>
      <c r="Y29" s="119">
        <v>90451</v>
      </c>
      <c r="Z29" s="119">
        <v>540</v>
      </c>
      <c r="AA29" s="119">
        <v>175522</v>
      </c>
      <c r="AB29" s="119">
        <v>8186</v>
      </c>
      <c r="AC29" s="119">
        <v>2000</v>
      </c>
      <c r="AD29" s="119">
        <v>18630</v>
      </c>
      <c r="AE29" s="119">
        <v>80665</v>
      </c>
      <c r="AF29" s="119">
        <v>211937</v>
      </c>
      <c r="AG29" s="119">
        <v>1147867</v>
      </c>
      <c r="AH29" s="119">
        <v>11216</v>
      </c>
      <c r="AI29" s="119">
        <v>484304</v>
      </c>
      <c r="AJ29" s="119">
        <v>656004</v>
      </c>
      <c r="AK29" s="119">
        <v>9331</v>
      </c>
      <c r="AL29" s="133">
        <v>30121</v>
      </c>
      <c r="AM29" s="119">
        <v>29431</v>
      </c>
      <c r="AN29" s="123">
        <v>609490</v>
      </c>
      <c r="AO29" s="123">
        <v>5316</v>
      </c>
      <c r="AP29" s="123">
        <v>0</v>
      </c>
      <c r="AQ29" s="119">
        <v>112389</v>
      </c>
      <c r="AR29" s="119">
        <v>223663</v>
      </c>
      <c r="AS29" s="119">
        <v>65328</v>
      </c>
      <c r="AT29" s="119">
        <v>592</v>
      </c>
      <c r="AU29" s="119">
        <v>108247</v>
      </c>
      <c r="AV29" s="119">
        <v>45003</v>
      </c>
      <c r="AW29" s="119">
        <v>38794</v>
      </c>
      <c r="AX29" s="119">
        <v>180967</v>
      </c>
      <c r="AY29" s="119">
        <v>497230</v>
      </c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</row>
    <row r="30" spans="1:83" x14ac:dyDescent="0.25">
      <c r="A30">
        <v>23</v>
      </c>
      <c r="B30" s="119">
        <v>50807</v>
      </c>
      <c r="C30" s="119">
        <v>79614</v>
      </c>
      <c r="D30" s="119">
        <v>15794</v>
      </c>
      <c r="E30" s="119">
        <v>13724</v>
      </c>
      <c r="F30" s="119">
        <v>192859</v>
      </c>
      <c r="G30" s="119">
        <v>3655</v>
      </c>
      <c r="H30" s="119">
        <v>1903</v>
      </c>
      <c r="I30" s="119">
        <v>394355</v>
      </c>
      <c r="J30" s="119">
        <v>70198</v>
      </c>
      <c r="K30" s="119">
        <v>7924</v>
      </c>
      <c r="L30" s="119">
        <v>30348</v>
      </c>
      <c r="M30" s="119">
        <v>52818</v>
      </c>
      <c r="N30" s="119">
        <v>39612</v>
      </c>
      <c r="O30" s="119">
        <v>188219</v>
      </c>
      <c r="P30" s="119">
        <v>390820</v>
      </c>
      <c r="Q30" s="119">
        <v>2987</v>
      </c>
      <c r="R30" s="119">
        <v>19107</v>
      </c>
      <c r="S30" s="119">
        <v>25503</v>
      </c>
      <c r="T30" s="119">
        <v>285548</v>
      </c>
      <c r="U30" s="119">
        <v>388582</v>
      </c>
      <c r="V30" s="119">
        <v>41836</v>
      </c>
      <c r="W30" s="119">
        <v>5542</v>
      </c>
      <c r="X30" s="119">
        <v>14344</v>
      </c>
      <c r="Y30" s="119">
        <v>90521</v>
      </c>
      <c r="Z30" s="119">
        <v>540</v>
      </c>
      <c r="AA30" s="119">
        <v>175601</v>
      </c>
      <c r="AB30" s="119">
        <v>8200</v>
      </c>
      <c r="AC30" s="119">
        <v>2000</v>
      </c>
      <c r="AD30" s="119">
        <v>18641</v>
      </c>
      <c r="AE30" s="119">
        <v>80742</v>
      </c>
      <c r="AF30" s="119">
        <v>212032</v>
      </c>
      <c r="AG30" s="119">
        <v>1148165</v>
      </c>
      <c r="AH30" s="119">
        <v>11216</v>
      </c>
      <c r="AI30" s="119">
        <v>484322</v>
      </c>
      <c r="AJ30" s="119">
        <v>656327</v>
      </c>
      <c r="AK30" s="119">
        <v>9331</v>
      </c>
      <c r="AL30" s="133">
        <v>30139</v>
      </c>
      <c r="AM30" s="119">
        <v>29448</v>
      </c>
      <c r="AN30" s="123">
        <v>609952</v>
      </c>
      <c r="AO30" s="123">
        <v>5317</v>
      </c>
      <c r="AP30" s="123">
        <v>0</v>
      </c>
      <c r="AQ30" s="119">
        <v>112430</v>
      </c>
      <c r="AR30" s="123">
        <v>223831</v>
      </c>
      <c r="AS30" s="119">
        <v>65361</v>
      </c>
      <c r="AT30" s="119">
        <v>592</v>
      </c>
      <c r="AU30" s="119">
        <v>108301</v>
      </c>
      <c r="AV30" s="119">
        <v>45008</v>
      </c>
      <c r="AW30" s="119">
        <v>38794</v>
      </c>
      <c r="AX30" s="119">
        <v>180993</v>
      </c>
      <c r="AY30" s="119">
        <v>497492</v>
      </c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</row>
    <row r="31" spans="1:83" x14ac:dyDescent="0.25">
      <c r="A31">
        <v>24</v>
      </c>
      <c r="B31" s="119">
        <v>50835</v>
      </c>
      <c r="C31" s="119">
        <v>79619</v>
      </c>
      <c r="D31" s="119">
        <v>15801</v>
      </c>
      <c r="E31" s="119">
        <v>13724</v>
      </c>
      <c r="F31" s="119">
        <v>192896</v>
      </c>
      <c r="G31" s="119">
        <v>3658</v>
      </c>
      <c r="H31" s="119">
        <v>1903</v>
      </c>
      <c r="I31" s="119">
        <v>394622</v>
      </c>
      <c r="J31" s="119">
        <v>70229</v>
      </c>
      <c r="K31" s="119">
        <v>7924</v>
      </c>
      <c r="L31" s="119">
        <v>30356</v>
      </c>
      <c r="M31" s="119">
        <v>52831</v>
      </c>
      <c r="N31" s="119">
        <v>39631</v>
      </c>
      <c r="O31" s="119">
        <v>188340</v>
      </c>
      <c r="P31" s="119">
        <v>391133</v>
      </c>
      <c r="Q31" s="119">
        <v>2990</v>
      </c>
      <c r="R31" s="119">
        <v>19127</v>
      </c>
      <c r="S31" s="119">
        <v>25503</v>
      </c>
      <c r="T31" s="119">
        <v>285680</v>
      </c>
      <c r="U31" s="119">
        <v>388787</v>
      </c>
      <c r="V31" s="119">
        <v>41870</v>
      </c>
      <c r="W31" s="119">
        <v>5543</v>
      </c>
      <c r="X31" s="119">
        <v>14353</v>
      </c>
      <c r="Y31" s="119">
        <v>90591</v>
      </c>
      <c r="Z31" s="119">
        <v>540</v>
      </c>
      <c r="AA31" s="119">
        <v>175680</v>
      </c>
      <c r="AB31" s="119">
        <v>8215</v>
      </c>
      <c r="AC31" s="119">
        <v>2000</v>
      </c>
      <c r="AD31" s="119">
        <v>18655</v>
      </c>
      <c r="AE31" s="119">
        <v>80819</v>
      </c>
      <c r="AF31" s="119">
        <v>212127</v>
      </c>
      <c r="AG31" s="119">
        <v>1148464</v>
      </c>
      <c r="AH31" s="119">
        <v>11216</v>
      </c>
      <c r="AI31" s="119">
        <v>484339</v>
      </c>
      <c r="AJ31" s="119">
        <v>656651</v>
      </c>
      <c r="AK31" s="119">
        <v>9331</v>
      </c>
      <c r="AL31" s="133">
        <v>30151</v>
      </c>
      <c r="AM31" s="119">
        <v>29465</v>
      </c>
      <c r="AN31" s="123">
        <v>610414</v>
      </c>
      <c r="AO31" s="123">
        <v>5319</v>
      </c>
      <c r="AP31" s="123">
        <v>0</v>
      </c>
      <c r="AQ31" s="119">
        <v>112472</v>
      </c>
      <c r="AR31" s="119">
        <v>223999</v>
      </c>
      <c r="AS31" s="119">
        <v>65395</v>
      </c>
      <c r="AT31" s="119">
        <v>593</v>
      </c>
      <c r="AU31" s="119">
        <v>108356</v>
      </c>
      <c r="AV31" s="119">
        <v>45013</v>
      </c>
      <c r="AW31" s="119">
        <v>38806</v>
      </c>
      <c r="AX31" s="119">
        <v>181020</v>
      </c>
      <c r="AY31" s="119">
        <v>497754</v>
      </c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</row>
    <row r="32" spans="1:83" x14ac:dyDescent="0.25">
      <c r="A32">
        <v>25</v>
      </c>
      <c r="B32" s="119">
        <v>50863</v>
      </c>
      <c r="C32" s="119">
        <v>79619</v>
      </c>
      <c r="D32" s="119">
        <v>15806</v>
      </c>
      <c r="E32" s="119">
        <v>13730</v>
      </c>
      <c r="F32" s="119">
        <v>192934</v>
      </c>
      <c r="G32" s="119">
        <v>3661</v>
      </c>
      <c r="H32" s="119">
        <v>1912</v>
      </c>
      <c r="I32" s="119">
        <v>394911</v>
      </c>
      <c r="J32" s="119">
        <v>70270</v>
      </c>
      <c r="K32" s="119">
        <v>7925</v>
      </c>
      <c r="L32" s="119">
        <v>30364</v>
      </c>
      <c r="M32" s="119">
        <v>52839</v>
      </c>
      <c r="N32" s="119">
        <v>39650</v>
      </c>
      <c r="O32" s="119">
        <v>188462</v>
      </c>
      <c r="P32" s="119">
        <v>391542</v>
      </c>
      <c r="Q32" s="119">
        <v>2995</v>
      </c>
      <c r="R32" s="119">
        <v>19148</v>
      </c>
      <c r="S32" s="119">
        <v>25503</v>
      </c>
      <c r="T32" s="119">
        <v>285841</v>
      </c>
      <c r="U32" s="119">
        <v>389030</v>
      </c>
      <c r="V32" s="119">
        <v>41902</v>
      </c>
      <c r="W32" s="119">
        <v>5545</v>
      </c>
      <c r="X32" s="119">
        <v>14360</v>
      </c>
      <c r="Y32" s="119">
        <v>90661</v>
      </c>
      <c r="Z32" s="119">
        <v>540</v>
      </c>
      <c r="AA32" s="119">
        <v>175774</v>
      </c>
      <c r="AB32" s="119">
        <v>8220</v>
      </c>
      <c r="AC32" s="119">
        <v>2002</v>
      </c>
      <c r="AD32" s="119">
        <v>18666</v>
      </c>
      <c r="AE32" s="119">
        <v>80895</v>
      </c>
      <c r="AF32" s="119">
        <v>212223</v>
      </c>
      <c r="AG32" s="119">
        <v>1149252</v>
      </c>
      <c r="AH32" s="119">
        <v>11216</v>
      </c>
      <c r="AI32" s="119">
        <v>484357</v>
      </c>
      <c r="AJ32" s="119">
        <v>656959</v>
      </c>
      <c r="AK32" s="119">
        <v>9331</v>
      </c>
      <c r="AL32" s="133">
        <v>30167</v>
      </c>
      <c r="AM32" s="119">
        <v>29482</v>
      </c>
      <c r="AN32" s="123">
        <v>610899</v>
      </c>
      <c r="AO32" s="123">
        <v>5320</v>
      </c>
      <c r="AP32" s="123">
        <v>0</v>
      </c>
      <c r="AQ32" s="119">
        <v>112518</v>
      </c>
      <c r="AR32" s="119">
        <v>224172</v>
      </c>
      <c r="AS32" s="119">
        <v>65437</v>
      </c>
      <c r="AT32" s="119">
        <v>593</v>
      </c>
      <c r="AU32" s="119">
        <v>108395</v>
      </c>
      <c r="AV32" s="119">
        <v>45018</v>
      </c>
      <c r="AW32" s="119">
        <v>38812</v>
      </c>
      <c r="AX32" s="119">
        <v>181046</v>
      </c>
      <c r="AY32" s="119">
        <v>498011</v>
      </c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</row>
    <row r="33" spans="1:83" x14ac:dyDescent="0.25">
      <c r="A33">
        <v>26</v>
      </c>
      <c r="B33" s="119">
        <v>50897</v>
      </c>
      <c r="C33" s="119">
        <v>79619</v>
      </c>
      <c r="D33" s="119">
        <v>15817</v>
      </c>
      <c r="E33" s="119">
        <v>13734</v>
      </c>
      <c r="F33" s="119">
        <v>192972</v>
      </c>
      <c r="G33" s="119">
        <v>3664</v>
      </c>
      <c r="H33" s="119">
        <v>1920</v>
      </c>
      <c r="I33" s="119">
        <v>395188</v>
      </c>
      <c r="J33" s="119">
        <v>70308</v>
      </c>
      <c r="K33" s="119">
        <v>7925</v>
      </c>
      <c r="L33" s="119">
        <v>30373</v>
      </c>
      <c r="M33" s="119">
        <v>52847</v>
      </c>
      <c r="N33" s="119">
        <v>39671</v>
      </c>
      <c r="O33" s="119">
        <v>188582</v>
      </c>
      <c r="P33" s="119">
        <v>392059</v>
      </c>
      <c r="Q33" s="119">
        <v>2998</v>
      </c>
      <c r="R33" s="119">
        <v>19169</v>
      </c>
      <c r="S33" s="119">
        <v>25503</v>
      </c>
      <c r="T33" s="119">
        <v>285980</v>
      </c>
      <c r="U33" s="119">
        <v>389280</v>
      </c>
      <c r="V33" s="119">
        <v>41933</v>
      </c>
      <c r="W33" s="119">
        <v>5546</v>
      </c>
      <c r="X33" s="119">
        <v>14369</v>
      </c>
      <c r="Y33" s="119">
        <v>90739</v>
      </c>
      <c r="Z33" s="119">
        <v>540</v>
      </c>
      <c r="AA33" s="119">
        <v>175875</v>
      </c>
      <c r="AB33" s="119">
        <v>8237</v>
      </c>
      <c r="AC33" s="119">
        <v>2003</v>
      </c>
      <c r="AD33" s="119">
        <v>18676</v>
      </c>
      <c r="AE33" s="119">
        <v>80971</v>
      </c>
      <c r="AF33" s="119">
        <v>212318</v>
      </c>
      <c r="AG33" s="119">
        <v>1149793</v>
      </c>
      <c r="AH33" s="119">
        <v>11216</v>
      </c>
      <c r="AI33" s="119">
        <v>484374</v>
      </c>
      <c r="AJ33" s="119">
        <v>657281</v>
      </c>
      <c r="AK33" s="119">
        <v>9331</v>
      </c>
      <c r="AL33" s="133">
        <v>30182</v>
      </c>
      <c r="AM33" s="119">
        <v>29499</v>
      </c>
      <c r="AN33" s="123">
        <v>611331</v>
      </c>
      <c r="AO33" s="123">
        <v>5322</v>
      </c>
      <c r="AP33" s="123">
        <v>0</v>
      </c>
      <c r="AQ33" s="119">
        <v>112562</v>
      </c>
      <c r="AR33" s="119">
        <v>224341</v>
      </c>
      <c r="AS33" s="119">
        <v>65468</v>
      </c>
      <c r="AT33" s="119">
        <v>594</v>
      </c>
      <c r="AU33" s="119">
        <v>108407</v>
      </c>
      <c r="AV33" s="119">
        <v>45023</v>
      </c>
      <c r="AW33" s="119">
        <v>38818</v>
      </c>
      <c r="AX33" s="119">
        <v>181072</v>
      </c>
      <c r="AY33" s="119">
        <v>498255</v>
      </c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</row>
    <row r="34" spans="1:83" x14ac:dyDescent="0.25">
      <c r="A34">
        <v>27</v>
      </c>
      <c r="B34" s="119">
        <v>50929</v>
      </c>
      <c r="C34" s="119">
        <v>79620</v>
      </c>
      <c r="D34" s="119">
        <v>15829</v>
      </c>
      <c r="E34" s="119">
        <v>13734</v>
      </c>
      <c r="F34" s="119">
        <v>193010</v>
      </c>
      <c r="G34" s="119">
        <v>3668</v>
      </c>
      <c r="H34" s="119">
        <v>1934</v>
      </c>
      <c r="I34" s="119">
        <v>395473</v>
      </c>
      <c r="J34" s="119">
        <v>70345</v>
      </c>
      <c r="K34" s="119">
        <v>7925</v>
      </c>
      <c r="L34" s="119">
        <v>30381</v>
      </c>
      <c r="M34" s="119">
        <v>52850</v>
      </c>
      <c r="N34" s="119">
        <v>39695</v>
      </c>
      <c r="O34" s="119">
        <v>188703</v>
      </c>
      <c r="P34" s="119">
        <v>392354</v>
      </c>
      <c r="Q34" s="119">
        <v>3002</v>
      </c>
      <c r="R34" s="119">
        <v>19190</v>
      </c>
      <c r="S34" s="119">
        <v>25503</v>
      </c>
      <c r="T34" s="119">
        <v>286171</v>
      </c>
      <c r="U34" s="119">
        <v>389507</v>
      </c>
      <c r="V34" s="119">
        <v>41967</v>
      </c>
      <c r="W34" s="119">
        <v>5548</v>
      </c>
      <c r="X34" s="119">
        <v>14380</v>
      </c>
      <c r="Y34" s="119">
        <v>90822</v>
      </c>
      <c r="Z34" s="119">
        <v>540</v>
      </c>
      <c r="AA34" s="119">
        <v>175959</v>
      </c>
      <c r="AB34" s="119">
        <v>8247</v>
      </c>
      <c r="AC34" s="119">
        <v>2005</v>
      </c>
      <c r="AD34" s="119">
        <v>18687</v>
      </c>
      <c r="AE34" s="119">
        <v>81046</v>
      </c>
      <c r="AF34" s="119">
        <v>212427</v>
      </c>
      <c r="AG34" s="119">
        <v>1150250</v>
      </c>
      <c r="AH34" s="119">
        <v>11256</v>
      </c>
      <c r="AI34" s="119">
        <v>484392</v>
      </c>
      <c r="AJ34" s="119">
        <v>657388</v>
      </c>
      <c r="AK34" s="119">
        <v>9331</v>
      </c>
      <c r="AL34" s="133">
        <v>30197</v>
      </c>
      <c r="AM34" s="119">
        <v>29516</v>
      </c>
      <c r="AN34" s="123">
        <v>611837</v>
      </c>
      <c r="AO34" s="123">
        <v>5323</v>
      </c>
      <c r="AP34" s="123">
        <v>0</v>
      </c>
      <c r="AQ34" s="119">
        <v>112605</v>
      </c>
      <c r="AR34" s="119">
        <v>224512</v>
      </c>
      <c r="AS34" s="119">
        <v>65518</v>
      </c>
      <c r="AT34" s="119">
        <v>595</v>
      </c>
      <c r="AU34" s="119">
        <v>108420</v>
      </c>
      <c r="AV34" s="119">
        <v>45028</v>
      </c>
      <c r="AW34" s="119">
        <v>38823</v>
      </c>
      <c r="AX34" s="119">
        <v>181098</v>
      </c>
      <c r="AY34" s="119">
        <v>498514</v>
      </c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</row>
    <row r="35" spans="1:83" x14ac:dyDescent="0.25">
      <c r="A35">
        <v>28</v>
      </c>
      <c r="B35" s="119">
        <v>50957</v>
      </c>
      <c r="C35" s="119">
        <v>79620</v>
      </c>
      <c r="D35" s="119">
        <v>15839</v>
      </c>
      <c r="E35" s="119">
        <v>13748</v>
      </c>
      <c r="F35" s="119">
        <v>193052</v>
      </c>
      <c r="G35" s="119">
        <v>3677</v>
      </c>
      <c r="H35" s="119">
        <v>1942</v>
      </c>
      <c r="I35" s="119">
        <v>395738</v>
      </c>
      <c r="J35" s="119">
        <v>70377</v>
      </c>
      <c r="K35" s="119">
        <v>7925</v>
      </c>
      <c r="L35" s="119">
        <v>30390</v>
      </c>
      <c r="M35" s="119">
        <v>52877</v>
      </c>
      <c r="N35" s="119">
        <v>39718</v>
      </c>
      <c r="O35" s="119">
        <v>188825</v>
      </c>
      <c r="P35" s="119">
        <v>392528</v>
      </c>
      <c r="Q35" s="119">
        <v>3006</v>
      </c>
      <c r="R35" s="119">
        <v>19210</v>
      </c>
      <c r="S35" s="119">
        <v>25503</v>
      </c>
      <c r="T35" s="119">
        <v>286295</v>
      </c>
      <c r="U35" s="119">
        <v>389747</v>
      </c>
      <c r="V35" s="119">
        <v>42000</v>
      </c>
      <c r="W35" s="119">
        <v>5550</v>
      </c>
      <c r="X35" s="119">
        <v>14390</v>
      </c>
      <c r="Y35" s="119">
        <v>90911</v>
      </c>
      <c r="Z35" s="119">
        <v>540</v>
      </c>
      <c r="AA35" s="119">
        <v>176075</v>
      </c>
      <c r="AB35" s="119">
        <v>8247</v>
      </c>
      <c r="AC35" s="119">
        <v>2006</v>
      </c>
      <c r="AD35" s="119">
        <v>18699</v>
      </c>
      <c r="AE35" s="119">
        <v>81121</v>
      </c>
      <c r="AF35" s="119">
        <v>212534</v>
      </c>
      <c r="AG35" s="119">
        <v>1150738</v>
      </c>
      <c r="AH35" s="119">
        <v>11256</v>
      </c>
      <c r="AI35" s="119">
        <v>484410</v>
      </c>
      <c r="AJ35" s="119">
        <v>657983</v>
      </c>
      <c r="AK35" s="119">
        <v>9331</v>
      </c>
      <c r="AL35" s="133">
        <v>30312</v>
      </c>
      <c r="AM35" s="119">
        <v>29533</v>
      </c>
      <c r="AN35" s="123">
        <v>612261</v>
      </c>
      <c r="AO35" s="123">
        <v>5324</v>
      </c>
      <c r="AP35" s="123">
        <v>0</v>
      </c>
      <c r="AQ35" s="119">
        <v>112652</v>
      </c>
      <c r="AR35" s="119">
        <v>224675</v>
      </c>
      <c r="AS35" s="119">
        <v>65554</v>
      </c>
      <c r="AT35" s="119">
        <v>595</v>
      </c>
      <c r="AU35" s="119">
        <v>108432</v>
      </c>
      <c r="AV35" s="119">
        <v>45034</v>
      </c>
      <c r="AW35" s="119">
        <v>38830</v>
      </c>
      <c r="AX35" s="119">
        <v>181123</v>
      </c>
      <c r="AY35" s="119">
        <v>498792</v>
      </c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</row>
    <row r="36" spans="1:83" x14ac:dyDescent="0.25">
      <c r="A36">
        <v>29</v>
      </c>
      <c r="B36" s="119">
        <v>50987</v>
      </c>
      <c r="C36" s="119">
        <v>79625</v>
      </c>
      <c r="D36" s="119">
        <v>15849</v>
      </c>
      <c r="E36" s="119">
        <v>13752</v>
      </c>
      <c r="F36" s="119">
        <v>193094</v>
      </c>
      <c r="G36" s="119">
        <v>3680</v>
      </c>
      <c r="H36" s="119">
        <v>1953</v>
      </c>
      <c r="I36" s="119">
        <v>396009</v>
      </c>
      <c r="J36" s="119">
        <v>70397</v>
      </c>
      <c r="K36" s="119">
        <v>7925</v>
      </c>
      <c r="L36" s="119">
        <v>30398</v>
      </c>
      <c r="M36" s="119">
        <v>52897</v>
      </c>
      <c r="N36" s="119">
        <v>39743</v>
      </c>
      <c r="O36" s="119">
        <v>188945</v>
      </c>
      <c r="P36" s="119">
        <v>392720</v>
      </c>
      <c r="Q36" s="119">
        <v>3010</v>
      </c>
      <c r="R36" s="119">
        <v>19220</v>
      </c>
      <c r="S36" s="119">
        <v>25503</v>
      </c>
      <c r="T36" s="119">
        <v>286446</v>
      </c>
      <c r="U36" s="119">
        <v>389996</v>
      </c>
      <c r="V36" s="119">
        <v>42035</v>
      </c>
      <c r="W36" s="119">
        <v>5551</v>
      </c>
      <c r="X36" s="119">
        <v>14399</v>
      </c>
      <c r="Y36" s="119">
        <v>90996</v>
      </c>
      <c r="Z36" s="119">
        <v>540</v>
      </c>
      <c r="AA36" s="119">
        <v>176195</v>
      </c>
      <c r="AB36" s="119">
        <v>8259</v>
      </c>
      <c r="AC36" s="119">
        <v>2007</v>
      </c>
      <c r="AD36" s="119">
        <v>18714</v>
      </c>
      <c r="AE36" s="119">
        <v>81195</v>
      </c>
      <c r="AF36" s="119">
        <v>212645</v>
      </c>
      <c r="AG36" s="119">
        <v>1151214</v>
      </c>
      <c r="AH36" s="119">
        <v>11261</v>
      </c>
      <c r="AI36" s="119">
        <v>484427</v>
      </c>
      <c r="AJ36" s="119">
        <v>658459</v>
      </c>
      <c r="AK36" s="119">
        <v>9331</v>
      </c>
      <c r="AL36" s="133">
        <v>30432</v>
      </c>
      <c r="AM36" s="119">
        <v>29550</v>
      </c>
      <c r="AN36" s="123">
        <v>612754</v>
      </c>
      <c r="AO36" s="123">
        <v>5326</v>
      </c>
      <c r="AP36" s="123">
        <v>0</v>
      </c>
      <c r="AQ36" s="119">
        <v>112696</v>
      </c>
      <c r="AR36" s="119">
        <v>224845</v>
      </c>
      <c r="AS36" s="119">
        <v>65596</v>
      </c>
      <c r="AT36" s="119">
        <v>596</v>
      </c>
      <c r="AU36" s="119">
        <v>108443</v>
      </c>
      <c r="AV36" s="119">
        <v>45039</v>
      </c>
      <c r="AW36" s="119">
        <v>38836</v>
      </c>
      <c r="AX36" s="119">
        <v>181147</v>
      </c>
      <c r="AY36" s="119">
        <v>499061</v>
      </c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</row>
    <row r="37" spans="1:83" ht="15.75" thickBot="1" x14ac:dyDescent="0.3">
      <c r="A37">
        <v>30</v>
      </c>
      <c r="B37" s="154">
        <v>51016</v>
      </c>
      <c r="C37" s="119">
        <v>79628</v>
      </c>
      <c r="D37" s="119">
        <v>15867</v>
      </c>
      <c r="E37" s="119">
        <v>13759</v>
      </c>
      <c r="F37" s="119">
        <v>193134</v>
      </c>
      <c r="G37" s="119">
        <v>3680</v>
      </c>
      <c r="H37" s="119">
        <v>1955</v>
      </c>
      <c r="I37" s="119">
        <v>396258</v>
      </c>
      <c r="J37" s="119">
        <v>70422</v>
      </c>
      <c r="K37" s="119">
        <v>7925</v>
      </c>
      <c r="L37" s="119">
        <v>30406</v>
      </c>
      <c r="M37" s="119">
        <v>52908</v>
      </c>
      <c r="N37" s="119">
        <v>39764</v>
      </c>
      <c r="O37" s="119">
        <v>189067</v>
      </c>
      <c r="P37" s="119">
        <v>393078</v>
      </c>
      <c r="Q37" s="119">
        <v>3014</v>
      </c>
      <c r="R37" s="119">
        <v>192231</v>
      </c>
      <c r="S37" s="119">
        <v>25503</v>
      </c>
      <c r="T37" s="119">
        <v>286567</v>
      </c>
      <c r="U37" s="119">
        <v>390230</v>
      </c>
      <c r="V37" s="119">
        <v>42064</v>
      </c>
      <c r="W37" s="119">
        <v>5551</v>
      </c>
      <c r="X37" s="119">
        <v>14409</v>
      </c>
      <c r="Y37" s="119">
        <v>91085</v>
      </c>
      <c r="Z37" s="119">
        <v>540</v>
      </c>
      <c r="AA37" s="119">
        <v>176275</v>
      </c>
      <c r="AB37" s="119">
        <v>8269</v>
      </c>
      <c r="AC37" s="119">
        <v>2007</v>
      </c>
      <c r="AD37" s="119">
        <v>18721</v>
      </c>
      <c r="AE37" s="119">
        <v>81273</v>
      </c>
      <c r="AF37" s="119">
        <v>212753</v>
      </c>
      <c r="AG37" s="119">
        <v>1151665</v>
      </c>
      <c r="AH37" s="119">
        <v>11267</v>
      </c>
      <c r="AI37" s="119">
        <v>484444</v>
      </c>
      <c r="AJ37" s="119">
        <v>658658</v>
      </c>
      <c r="AK37" s="119">
        <v>9331</v>
      </c>
      <c r="AL37" s="133">
        <v>30524</v>
      </c>
      <c r="AM37" s="119">
        <v>29567</v>
      </c>
      <c r="AN37" s="123">
        <v>613065</v>
      </c>
      <c r="AO37" s="123">
        <v>5327</v>
      </c>
      <c r="AP37" s="123">
        <v>0</v>
      </c>
      <c r="AQ37" s="119">
        <v>112741</v>
      </c>
      <c r="AR37" s="119">
        <v>224992</v>
      </c>
      <c r="AS37" s="119">
        <v>65629</v>
      </c>
      <c r="AT37" s="119">
        <v>596</v>
      </c>
      <c r="AU37" s="119">
        <v>108452</v>
      </c>
      <c r="AV37" s="119">
        <v>45044</v>
      </c>
      <c r="AW37" s="119">
        <v>38839</v>
      </c>
      <c r="AX37" s="119">
        <v>181173</v>
      </c>
      <c r="AY37" s="155">
        <v>499328</v>
      </c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</row>
    <row r="38" spans="1:83" ht="15.75" thickBot="1" x14ac:dyDescent="0.3">
      <c r="A38">
        <v>31</v>
      </c>
      <c r="B38" s="118">
        <v>51046</v>
      </c>
      <c r="C38" s="119">
        <v>79631</v>
      </c>
      <c r="D38" s="120">
        <v>15885</v>
      </c>
      <c r="E38" s="120">
        <v>13761</v>
      </c>
      <c r="F38" s="120">
        <v>193174</v>
      </c>
      <c r="G38" s="120">
        <v>3681</v>
      </c>
      <c r="H38" s="119">
        <v>1957</v>
      </c>
      <c r="I38" s="120">
        <v>396508</v>
      </c>
      <c r="J38" s="120">
        <v>70448</v>
      </c>
      <c r="K38" s="120">
        <v>7925</v>
      </c>
      <c r="L38" s="120">
        <v>30416</v>
      </c>
      <c r="M38" s="120">
        <v>52919</v>
      </c>
      <c r="N38" s="120">
        <v>39785</v>
      </c>
      <c r="O38" s="120">
        <v>189189</v>
      </c>
      <c r="P38" s="120">
        <v>393437</v>
      </c>
      <c r="Q38" s="120">
        <v>3017</v>
      </c>
      <c r="R38" s="120">
        <v>19258</v>
      </c>
      <c r="S38" s="120">
        <v>25503</v>
      </c>
      <c r="T38" s="120">
        <v>286687</v>
      </c>
      <c r="U38" s="120">
        <v>390465</v>
      </c>
      <c r="V38" s="120">
        <v>42093</v>
      </c>
      <c r="W38" s="120">
        <v>5552</v>
      </c>
      <c r="X38" s="120">
        <v>14422</v>
      </c>
      <c r="Y38" s="120">
        <v>91174</v>
      </c>
      <c r="Z38" s="119">
        <v>540</v>
      </c>
      <c r="AA38" s="120">
        <v>176352</v>
      </c>
      <c r="AB38" s="120">
        <v>8279</v>
      </c>
      <c r="AC38" s="120">
        <v>2008</v>
      </c>
      <c r="AD38" s="120">
        <v>18727</v>
      </c>
      <c r="AE38" s="120">
        <v>81351</v>
      </c>
      <c r="AF38" s="120">
        <v>212862</v>
      </c>
      <c r="AG38" s="120">
        <v>1152117</v>
      </c>
      <c r="AH38" s="120">
        <v>11271</v>
      </c>
      <c r="AI38" s="120">
        <v>484464</v>
      </c>
      <c r="AJ38" s="120">
        <v>658857</v>
      </c>
      <c r="AK38" s="120">
        <v>9331</v>
      </c>
      <c r="AL38" s="121">
        <v>30616</v>
      </c>
      <c r="AM38" s="120">
        <v>29584</v>
      </c>
      <c r="AN38" s="122">
        <v>613376</v>
      </c>
      <c r="AO38" s="122">
        <v>5329</v>
      </c>
      <c r="AP38" s="123">
        <v>0</v>
      </c>
      <c r="AQ38" s="120">
        <v>112787</v>
      </c>
      <c r="AR38" s="120">
        <v>225139</v>
      </c>
      <c r="AS38" s="120">
        <v>65663</v>
      </c>
      <c r="AT38" s="120">
        <v>597</v>
      </c>
      <c r="AU38" s="120">
        <v>108470</v>
      </c>
      <c r="AV38" s="120">
        <v>45049</v>
      </c>
      <c r="AW38" s="120">
        <v>38846</v>
      </c>
      <c r="AX38" s="120">
        <v>181200</v>
      </c>
      <c r="AY38" s="124">
        <v>499595</v>
      </c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2020-06-03T10:47:20Z</dcterms:modified>
</cp:coreProperties>
</file>