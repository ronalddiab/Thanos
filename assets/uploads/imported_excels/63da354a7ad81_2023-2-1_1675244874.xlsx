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967" documentId="13_ncr:1_{83C287CF-C334-4BE5-BF29-FA1D4D504CBD}" xr6:coauthVersionLast="47" xr6:coauthVersionMax="47" xr10:uidLastSave="{7B913020-7857-4769-BF69-4D140DBCB4AB}"/>
  <bookViews>
    <workbookView xWindow="-120" yWindow="-120" windowWidth="29040" windowHeight="1584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6" l="1"/>
  <c r="I38" i="6"/>
  <c r="G38" i="6"/>
  <c r="K36" i="6"/>
  <c r="K37" i="6"/>
  <c r="I36" i="6"/>
  <c r="I37" i="6"/>
  <c r="G36" i="6"/>
  <c r="G37" i="6"/>
  <c r="E36" i="6"/>
  <c r="E37" i="6"/>
  <c r="E38" i="6"/>
  <c r="K35" i="6"/>
  <c r="I35" i="6"/>
  <c r="G35" i="6"/>
  <c r="E35" i="6"/>
  <c r="K34" i="6"/>
  <c r="I34" i="6"/>
  <c r="G34" i="6"/>
  <c r="E34" i="6"/>
  <c r="K33" i="6"/>
  <c r="I33" i="6"/>
  <c r="G33" i="6"/>
  <c r="E33" i="6"/>
  <c r="K32" i="6"/>
  <c r="I32" i="6"/>
  <c r="G32" i="6"/>
  <c r="E32" i="6"/>
  <c r="K29" i="6"/>
  <c r="I29" i="6"/>
  <c r="I30" i="6"/>
  <c r="G30" i="6"/>
  <c r="G29" i="6"/>
  <c r="G31" i="6"/>
  <c r="E29" i="6"/>
  <c r="E30" i="6"/>
  <c r="E31" i="6"/>
  <c r="K28" i="6"/>
  <c r="I28" i="6"/>
  <c r="G28" i="6"/>
  <c r="E28" i="6"/>
  <c r="K27" i="6"/>
  <c r="I27" i="6"/>
  <c r="G27" i="6"/>
  <c r="E27" i="6"/>
  <c r="K25" i="6"/>
  <c r="K26" i="6"/>
  <c r="I26" i="6"/>
  <c r="G26" i="6"/>
  <c r="E26" i="6"/>
  <c r="I25" i="6"/>
  <c r="G25" i="6"/>
  <c r="E25" i="6"/>
  <c r="K22" i="6"/>
  <c r="K23" i="6"/>
  <c r="K24" i="6"/>
  <c r="I22" i="6"/>
  <c r="I23" i="6"/>
  <c r="I24" i="6"/>
  <c r="G22" i="6"/>
  <c r="G23" i="6"/>
  <c r="G24" i="6"/>
  <c r="E22" i="6"/>
  <c r="E23" i="6"/>
  <c r="E24" i="6"/>
  <c r="K21" i="6"/>
  <c r="I21" i="6"/>
  <c r="G21" i="6"/>
  <c r="E21" i="6"/>
  <c r="K20" i="6"/>
  <c r="I20" i="6"/>
  <c r="G20" i="6"/>
  <c r="E20" i="6"/>
  <c r="K19" i="6"/>
  <c r="I19" i="6"/>
  <c r="G19" i="6"/>
  <c r="E19" i="6"/>
  <c r="K18" i="6"/>
  <c r="I18" i="6"/>
  <c r="G18" i="6"/>
  <c r="E18" i="6"/>
  <c r="G17" i="6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35" i="4"/>
  <c r="P36" i="4"/>
  <c r="P37" i="4"/>
  <c r="P38" i="4"/>
  <c r="P39" i="4"/>
  <c r="P40" i="4"/>
  <c r="P41" i="4"/>
  <c r="P42" i="4"/>
  <c r="E17" i="19"/>
  <c r="E18" i="19"/>
  <c r="E19" i="19"/>
  <c r="K11" i="6"/>
  <c r="I11" i="6"/>
  <c r="G11" i="6"/>
  <c r="E11" i="6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30" i="6"/>
  <c r="K31" i="6"/>
  <c r="K40" i="6"/>
  <c r="I31" i="6"/>
  <c r="I40" i="6"/>
  <c r="G40" i="6"/>
  <c r="E40" i="6"/>
  <c r="C40" i="6"/>
  <c r="I2" i="21"/>
  <c r="H2" i="21"/>
  <c r="E16" i="6"/>
  <c r="K17" i="6"/>
  <c r="I17" i="6"/>
  <c r="E17" i="6"/>
  <c r="L17" i="2" l="1"/>
  <c r="E9" i="21" s="1"/>
  <c r="N16" i="2"/>
  <c r="G8" i="21" s="1"/>
  <c r="L16" i="2"/>
  <c r="E8" i="21" s="1"/>
  <c r="N40" i="2"/>
  <c r="G32" i="21" s="1"/>
  <c r="M40" i="2"/>
  <c r="F32" i="21" s="1"/>
  <c r="L40" i="2"/>
  <c r="E32" i="21" s="1"/>
  <c r="E32" i="22" s="1"/>
  <c r="F40" i="2"/>
  <c r="I32" i="22" s="1"/>
  <c r="N39" i="2"/>
  <c r="G31" i="21" s="1"/>
  <c r="M39" i="2"/>
  <c r="F31" i="21" s="1"/>
  <c r="L39" i="2"/>
  <c r="E31" i="21" s="1"/>
  <c r="E31" i="22" s="1"/>
  <c r="F39" i="2"/>
  <c r="I31" i="22" s="1"/>
  <c r="N38" i="2"/>
  <c r="G30" i="21" s="1"/>
  <c r="M38" i="2"/>
  <c r="F30" i="21" s="1"/>
  <c r="L38" i="2"/>
  <c r="E30" i="21" s="1"/>
  <c r="E30" i="22" s="1"/>
  <c r="F38" i="2"/>
  <c r="I30" i="22" s="1"/>
  <c r="N37" i="2"/>
  <c r="G29" i="21" s="1"/>
  <c r="M37" i="2"/>
  <c r="F29" i="21" s="1"/>
  <c r="L37" i="2"/>
  <c r="E29" i="21" s="1"/>
  <c r="E29" i="22" s="1"/>
  <c r="F37" i="2"/>
  <c r="N36" i="2"/>
  <c r="G28" i="21" s="1"/>
  <c r="M36" i="2"/>
  <c r="F28" i="21" s="1"/>
  <c r="L36" i="2"/>
  <c r="E28" i="21" s="1"/>
  <c r="E28" i="22" s="1"/>
  <c r="F36" i="2"/>
  <c r="I28" i="22" s="1"/>
  <c r="N35" i="2"/>
  <c r="G27" i="21" s="1"/>
  <c r="M35" i="2"/>
  <c r="F27" i="21" s="1"/>
  <c r="L35" i="2"/>
  <c r="E27" i="21" s="1"/>
  <c r="E27" i="22" s="1"/>
  <c r="F35" i="2"/>
  <c r="N34" i="2"/>
  <c r="G26" i="21" s="1"/>
  <c r="M34" i="2"/>
  <c r="F26" i="21" s="1"/>
  <c r="L34" i="2"/>
  <c r="E26" i="21" s="1"/>
  <c r="E26" i="22" s="1"/>
  <c r="F34" i="2"/>
  <c r="I26" i="22" s="1"/>
  <c r="N33" i="2"/>
  <c r="G25" i="21" s="1"/>
  <c r="M33" i="2"/>
  <c r="F25" i="21" s="1"/>
  <c r="L33" i="2"/>
  <c r="E25" i="21" s="1"/>
  <c r="E25" i="22" s="1"/>
  <c r="F33" i="2"/>
  <c r="I25" i="22" s="1"/>
  <c r="N32" i="2"/>
  <c r="G24" i="21" s="1"/>
  <c r="M32" i="2"/>
  <c r="F24" i="21" s="1"/>
  <c r="L32" i="2"/>
  <c r="E24" i="21" s="1"/>
  <c r="E24" i="22" s="1"/>
  <c r="F32" i="2"/>
  <c r="I24" i="22" s="1"/>
  <c r="N31" i="2"/>
  <c r="G23" i="21" s="1"/>
  <c r="M31" i="2"/>
  <c r="F23" i="21" s="1"/>
  <c r="L31" i="2"/>
  <c r="E23" i="21" s="1"/>
  <c r="E23" i="22" s="1"/>
  <c r="F31" i="2"/>
  <c r="I23" i="22" s="1"/>
  <c r="N30" i="2"/>
  <c r="G22" i="21" s="1"/>
  <c r="M30" i="2"/>
  <c r="F22" i="21" s="1"/>
  <c r="L30" i="2"/>
  <c r="E22" i="21" s="1"/>
  <c r="E22" i="22" s="1"/>
  <c r="F30" i="2"/>
  <c r="I22" i="22" s="1"/>
  <c r="N29" i="2"/>
  <c r="G21" i="21" s="1"/>
  <c r="M29" i="2"/>
  <c r="F21" i="21" s="1"/>
  <c r="L29" i="2"/>
  <c r="E21" i="21" s="1"/>
  <c r="E21" i="22" s="1"/>
  <c r="F29" i="2"/>
  <c r="I21" i="22" s="1"/>
  <c r="N28" i="2"/>
  <c r="G20" i="21" s="1"/>
  <c r="M28" i="2"/>
  <c r="F20" i="21" s="1"/>
  <c r="L28" i="2"/>
  <c r="E20" i="21" s="1"/>
  <c r="E20" i="22" s="1"/>
  <c r="F28" i="2"/>
  <c r="I20" i="22" s="1"/>
  <c r="N27" i="2"/>
  <c r="G19" i="21" s="1"/>
  <c r="M27" i="2"/>
  <c r="F19" i="21" s="1"/>
  <c r="L27" i="2"/>
  <c r="E19" i="21" s="1"/>
  <c r="E19" i="22" s="1"/>
  <c r="F27" i="2"/>
  <c r="I19" i="22" s="1"/>
  <c r="N26" i="2"/>
  <c r="G18" i="21" s="1"/>
  <c r="M26" i="2"/>
  <c r="F18" i="21" s="1"/>
  <c r="L26" i="2"/>
  <c r="E18" i="21" s="1"/>
  <c r="E18" i="22" s="1"/>
  <c r="F26" i="2"/>
  <c r="I18" i="22" s="1"/>
  <c r="N25" i="2"/>
  <c r="G17" i="21" s="1"/>
  <c r="M25" i="2"/>
  <c r="F17" i="21" s="1"/>
  <c r="L25" i="2"/>
  <c r="E17" i="21" s="1"/>
  <c r="E17" i="22" s="1"/>
  <c r="F25" i="2"/>
  <c r="N24" i="2"/>
  <c r="G16" i="21" s="1"/>
  <c r="M24" i="2"/>
  <c r="F16" i="21" s="1"/>
  <c r="L24" i="2"/>
  <c r="E16" i="21" s="1"/>
  <c r="E16" i="22" s="1"/>
  <c r="F24" i="2"/>
  <c r="N23" i="2"/>
  <c r="G15" i="21" s="1"/>
  <c r="M23" i="2"/>
  <c r="F15" i="21" s="1"/>
  <c r="L23" i="2"/>
  <c r="E15" i="21" s="1"/>
  <c r="E15" i="22" s="1"/>
  <c r="F23" i="2"/>
  <c r="N22" i="2"/>
  <c r="G14" i="21" s="1"/>
  <c r="M22" i="2"/>
  <c r="F14" i="21" s="1"/>
  <c r="L22" i="2"/>
  <c r="E14" i="21" s="1"/>
  <c r="E14" i="22" s="1"/>
  <c r="F22" i="2"/>
  <c r="I14" i="22" s="1"/>
  <c r="N21" i="2"/>
  <c r="G13" i="21" s="1"/>
  <c r="M21" i="2"/>
  <c r="F13" i="21" s="1"/>
  <c r="L21" i="2"/>
  <c r="E13" i="21" s="1"/>
  <c r="E13" i="22" s="1"/>
  <c r="F21" i="2"/>
  <c r="H21" i="2" s="1"/>
  <c r="N20" i="2"/>
  <c r="G12" i="21" s="1"/>
  <c r="M20" i="2"/>
  <c r="F12" i="21" s="1"/>
  <c r="L20" i="2"/>
  <c r="E12" i="21" s="1"/>
  <c r="E12" i="22" s="1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G3" i="21" s="1"/>
  <c r="M11" i="2"/>
  <c r="F3" i="21" s="1"/>
  <c r="L11" i="2"/>
  <c r="E3" i="21" s="1"/>
  <c r="E3" i="22" s="1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C23" i="4" s="1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 s="1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X21" i="2" s="1"/>
  <c r="V39" i="2"/>
  <c r="X39" i="2" s="1"/>
  <c r="V26" i="2"/>
  <c r="X26" i="2" s="1"/>
  <c r="V25" i="2"/>
  <c r="X25" i="2" s="1"/>
  <c r="V31" i="2"/>
  <c r="X31" i="2" s="1"/>
  <c r="V32" i="2"/>
  <c r="X32" i="2" s="1"/>
  <c r="V38" i="2"/>
  <c r="X38" i="2" s="1"/>
  <c r="V17" i="2"/>
  <c r="X17" i="2" s="1"/>
  <c r="V18" i="2"/>
  <c r="X18" i="2" s="1"/>
  <c r="V30" i="2"/>
  <c r="X30" i="2" s="1"/>
  <c r="V35" i="2"/>
  <c r="X35" i="2" s="1"/>
  <c r="V27" i="2"/>
  <c r="X27" i="2" s="1"/>
  <c r="V24" i="2"/>
  <c r="X24" i="2" s="1"/>
  <c r="V36" i="2"/>
  <c r="X36" i="2" s="1"/>
  <c r="V40" i="2"/>
  <c r="X40" i="2" s="1"/>
  <c r="V33" i="2"/>
  <c r="X33" i="2" s="1"/>
  <c r="V20" i="2"/>
  <c r="X20" i="2" s="1"/>
  <c r="V22" i="2"/>
  <c r="X22" i="2" s="1"/>
  <c r="V34" i="2"/>
  <c r="X34" i="2" s="1"/>
  <c r="V37" i="2"/>
  <c r="X37" i="2" s="1"/>
  <c r="V16" i="2"/>
  <c r="X16" i="2" s="1"/>
  <c r="V19" i="2"/>
  <c r="X19" i="2" s="1"/>
  <c r="V23" i="2"/>
  <c r="X23" i="2" s="1"/>
  <c r="V29" i="2"/>
  <c r="X29" i="2" s="1"/>
  <c r="V28" i="2"/>
  <c r="X28" i="2" s="1"/>
  <c r="G34" i="4"/>
  <c r="E34" i="4"/>
  <c r="C34" i="4"/>
  <c r="G23" i="4"/>
  <c r="E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X11" i="2" s="1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P4" i="4" s="1"/>
  <c r="G3" i="22" l="1"/>
  <c r="G4" i="22"/>
  <c r="G6" i="22"/>
  <c r="M25" i="22"/>
  <c r="M16" i="22"/>
  <c r="M15" i="22"/>
  <c r="M13" i="22"/>
  <c r="Q41" i="2"/>
  <c r="O41" i="2"/>
  <c r="M3" i="22"/>
  <c r="V10" i="2"/>
  <c r="X10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<sst xmlns="http://schemas.openxmlformats.org/spreadsheetml/2006/main" count="510" uniqueCount="206">
  <si>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</si>
  <si>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</si>
  <si>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</si>
  <si>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</si>
  <si>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</si>
  <si>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</si>
  <si>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</si>
  <si>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</si>
  <si>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</si>
  <si>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</si>
  <si>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</si>
  <si>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</si>
  <si>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</si>
  <si>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</si>
  <si>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</si>
  <si>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</si>
  <si>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</si>
  <si>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</si>
  <si>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</si>
  <si>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</si>
  <si>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</si>
  <si>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</si>
  <si>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</si>
  <si>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</si>
  <si>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</si>
  <si>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</si>
  <si>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</si>
  <si>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</si>
  <si>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</si>
  <si>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</si>
  <si>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</si>
  <si>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</si>
  <si>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</si>
  <si>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</si>
  <si>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</si>
  <si>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</si>
  <si>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</si>
  <si>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</si>
  <si>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</si>
  <si>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</si>
  <si>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</si>
  <si>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 2023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</si>
  <si>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</si>
  <si>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</si>
  <si>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</si>
  <si>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</si>
  <si>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</si>
  <si>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</si>
  <si>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</si>
  <si>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</si>
  <si>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</si>
  <si>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</si>
  <si>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</si>
  <si>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</si>
  <si>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</si>
  <si>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</si>
  <si>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</si>
  <si>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</si>
  <si>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</si>
  <si>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</si>
  <si>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</si>
  <si>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</si>
  <si>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</si>
  <si>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</si>
  <si>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</si>
  <si>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</si>
  <si>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</si>
  <si>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</si>
  <si>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</si>
  <si>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</si>
  <si>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</si>
  <si>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</si>
  <si>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</si>
  <si>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</si>
  <si>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</si>
  <si>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</si>
  <si>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</si>
  <si>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</si>
  <si>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</si>
  <si>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</si>
  <si>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</si>
  <si>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</si>
  <si>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</si>
  <si>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</si>
  <si>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</si>
  <si>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</si>
  <si>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</si>
  <si>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</si>
  <si>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</si>
  <si>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</si>
  <si>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</si>
  <si>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</si>
  <si>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</si>
  <si>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</si>
  <si>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</si>
  <si>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</si>
  <si>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</si>
  <si>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</si>
  <si>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</si>
  <si>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</si>
  <si>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</si>
  <si>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</si>
  <si>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</si>
  <si>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</si>
  <si>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</si>
  <si>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</si>
  <si>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</si>
  <si>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</si>
  <si>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</si>
  <si>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</si>
  <si>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</si>
  <si>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</si>
  <si>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</si>
  <si>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</si>
  <si>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</si>
  <si>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</si>
  <si>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</si>
  <si>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</si>
  <si>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</si>
  <si>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</si>
  <si>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</si>
  <si>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</si>
  <si>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</si>
  <si>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</si>
  <si>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</si>
  <si>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</si>
  <si>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</si>
  <si>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</si>
  <si>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</si>
  <si>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</si>
  <si>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</si>
  <si>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Fév 2023</t>
  </si>
  <si>
    <t>01jours</t>
  </si>
  <si>
    <t>Estimation de la consommation d'Eau Sanitaire Fév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</si>
  <si>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</si>
  <si>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</si>
  <si>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</si>
  <si>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</si>
  <si>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</si>
  <si>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</si>
  <si>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</si>
  <si>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</si>
  <si>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</si>
  <si>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</si>
  <si>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</si>
  <si>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</si>
  <si>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</si>
  <si>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</si>
  <si>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</si>
  <si>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</si>
  <si>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</si>
  <si>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</si>
  <si>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</si>
  <si>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</si>
  <si>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</si>
  <si>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Fév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</si>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</sst>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50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0" fillId="0" borderId="55" xfId="0" applyBorder="1"/>
    <xf numFmtId="0" fontId="27" fillId="0" borderId="41" xfId="0" applyFont="1" applyBorder="1"/>
    <xf numFmtId="165" fontId="27" fillId="17" borderId="55" xfId="0" applyNumberFormat="1" applyFont="1" applyFill="1" applyBorder="1" applyAlignment="1">
      <alignment horizontal="center" vertical="center"/>
    </xf>
    <xf numFmtId="0" fontId="27" fillId="20" borderId="55" xfId="0" applyFont="1" applyFill="1" applyBorder="1" applyAlignment="1">
      <alignment horizontal="center" vertical="center"/>
    </xf>
    <xf numFmtId="0" fontId="27" fillId="0" borderId="60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29" fillId="0" borderId="55" xfId="0" applyFont="1" applyBorder="1" applyAlignment="1">
      <alignment horizontal="center"/>
    </xf>
    <xf numFmtId="0" fontId="28" fillId="0" borderId="55" xfId="0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0" fontId="28" fillId="0" borderId="41" xfId="0" applyFont="1" applyBorder="1" applyAlignment="1">
      <alignment vertical="center" wrapText="1"/>
    </xf>
    <xf numFmtId="0" fontId="0" fillId="0" borderId="62" xfId="0" applyBorder="1"/>
    <xf numFmtId="0" fontId="29" fillId="0" borderId="56" xfId="0" applyFont="1" applyBorder="1" applyAlignment="1">
      <alignment horizontal="center" vertical="center" wrapText="1"/>
    </xf>
    <xf numFmtId="0" fontId="30" fillId="17" borderId="61" xfId="0" applyFont="1" applyFill="1" applyBorder="1"/>
    <xf numFmtId="0" fontId="0" fillId="0" borderId="64" xfId="0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0" fillId="0" borderId="55" xfId="0" applyBorder="1" applyAlignment="1">
      <alignment horizontal="left"/>
    </xf>
    <xf numFmtId="0" fontId="0" fillId="0" borderId="62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5" xfId="0" applyFont="1" applyBorder="1" applyAlignment="1">
      <alignment horizontal="left" vertical="center"/>
    </xf>
    <xf numFmtId="0" fontId="29" fillId="0" borderId="55" xfId="0" applyFont="1" applyBorder="1" applyAlignment="1">
      <alignment horizontal="center" vertical="center"/>
    </xf>
    <xf numFmtId="0" fontId="29" fillId="18" borderId="55" xfId="0" applyFont="1" applyFill="1" applyBorder="1" applyAlignment="1">
      <alignment horizontal="center" vertical="center"/>
    </xf>
    <xf numFmtId="0" fontId="44" fillId="17" borderId="61" xfId="0" applyFont="1" applyFill="1" applyBorder="1" applyAlignment="1">
      <alignment horizontal="left"/>
    </xf>
    <xf numFmtId="0" fontId="0" fillId="0" borderId="23" xfId="0" applyBorder="1" applyAlignment="1">
      <alignment horizontal="center"/>
    </xf>
    <xf numFmtId="0" fontId="29" fillId="0" borderId="56" xfId="0" applyFont="1" applyBorder="1" applyAlignment="1">
      <alignment horizontal="center" vertical="center"/>
    </xf>
    <xf numFmtId="0" fontId="29" fillId="0" borderId="62" xfId="0" applyFont="1" applyBorder="1" applyAlignment="1">
      <alignment horizontal="center" wrapText="1"/>
    </xf>
    <xf numFmtId="0" fontId="29" fillId="0" borderId="55" xfId="0" applyFont="1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 readingOrder="2"/>
    </xf>
    <xf numFmtId="14" fontId="0" fillId="0" borderId="22" xfId="0" applyNumberFormat="1" applyBorder="1" applyAlignment="1">
      <alignment horizontal="center" vertical="center" readingOrder="2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28" fillId="0" borderId="55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5841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276225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0096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41"/>
  <sheetViews>
    <sheetView workbookViewId="0">
      <selection activeCell="C2" sqref="C2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  <col min="19" max="19" width="6.7109375" customWidth="1"/>
  </cols>
  <sheetData>
    <row r="1" spans="1:36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36">
      <c r="A2" s="127" t="s">
        <v>13</v>
      </c>
      <c r="B2" s="131">
        <v>1</v>
      </c>
      <c r="C2" s="131">
        <v>2</v>
      </c>
      <c r="D2" s="132">
        <v>2023</v>
      </c>
      <c r="E2" s="128">
        <f>submetering!E2+submetering!F2+submetering!G2</f>
        <v>11995</v>
      </c>
      <c r="F2" s="125">
        <v>1.05</v>
      </c>
      <c r="G2" s="125">
        <f>'Consommation mensuel énergie'!V10</f>
        <v>0</v>
      </c>
      <c r="H2" s="125">
        <v>12.53</v>
      </c>
      <c r="I2" s="125">
        <f>'Consommation mensuel énergie'!F10</f>
        <v>104</v>
      </c>
      <c r="J2" s="125">
        <v>11.4</v>
      </c>
      <c r="K2" s="128">
        <f>'Consommation mensuel énergie'!D10</f>
        <v>0</v>
      </c>
      <c r="L2" s="128">
        <f>'Consommation mensuel énergie'!E10</f>
        <v>0</v>
      </c>
      <c r="M2" s="124" t="e">
        <f>E2*F2+G2*H2+#REF!*#REF!+I2*J2</f>
        <v>#REF!</v>
      </c>
    </row>
    <row r="3" spans="1:36">
      <c r="A3" s="127" t="s">
        <v>13</v>
      </c>
      <c r="B3" s="131">
        <f>B2+1</f>
        <v>2</v>
      </c>
      <c r="C3" s="131">
        <v>2</v>
      </c>
      <c r="D3" s="132">
        <v>2023</v>
      </c>
      <c r="E3" s="128">
        <f>submetering!E3+submetering!F3+submetering!G3</f>
        <v>0</v>
      </c>
      <c r="F3" s="125">
        <v>1.05</v>
      </c>
      <c r="G3" s="125">
        <f>'Consommation mensuel énergie'!V11</f>
        <v>0</v>
      </c>
      <c r="H3" s="125">
        <v>12.53</v>
      </c>
      <c r="I3" s="125">
        <f>'Consommation mensuel énergie'!F11</f>
        <v>0</v>
      </c>
      <c r="J3" s="125">
        <v>11.4</v>
      </c>
      <c r="K3" s="128">
        <f>'Consommation mensuel énergie'!D11</f>
        <v>0</v>
      </c>
      <c r="L3" s="128">
        <f>'Consommation mensuel énergie'!E11</f>
        <v>0</v>
      </c>
      <c r="M3" s="124" t="e">
        <f>E3*F3+G3*H3+#REF!*#REF!+I3*J3</f>
        <v>#REF!</v>
      </c>
    </row>
    <row r="4" spans="1:36">
      <c r="A4" s="127" t="s">
        <v>13</v>
      </c>
      <c r="B4" s="131">
        <f t="shared" ref="B4:B25" si="0">B3+1</f>
        <v>3</v>
      </c>
      <c r="C4" s="131">
        <v>2</v>
      </c>
      <c r="D4" s="132">
        <v>2023</v>
      </c>
      <c r="E4" s="128">
        <f>submetering!E4+submetering!F4+submetering!G4</f>
        <v>0</v>
      </c>
      <c r="F4" s="125">
        <v>1.05</v>
      </c>
      <c r="G4" s="125">
        <f>'Consommation mensuel énergie'!V12</f>
        <v>0</v>
      </c>
      <c r="H4" s="125">
        <v>12.53</v>
      </c>
      <c r="I4" s="125">
        <f>'Consommation mensuel énergie'!F12</f>
        <v>0</v>
      </c>
      <c r="J4" s="125">
        <v>11.4</v>
      </c>
      <c r="K4" s="128">
        <f>'Consommation mensuel énergie'!D12</f>
        <v>0</v>
      </c>
      <c r="L4" s="128">
        <f>'Consommation mensuel énergie'!E12</f>
        <v>0</v>
      </c>
      <c r="M4" s="124" t="e">
        <f>E4*F4+G4*H4+#REF!*#REF!+I4*J4</f>
        <v>#REF!</v>
      </c>
    </row>
    <row r="5" spans="1:36">
      <c r="A5" s="127" t="s">
        <v>13</v>
      </c>
      <c r="B5" s="131">
        <f t="shared" si="0"/>
        <v>4</v>
      </c>
      <c r="C5" s="131">
        <v>2</v>
      </c>
      <c r="D5" s="132">
        <v>2023</v>
      </c>
      <c r="E5" s="128">
        <f>submetering!E5+submetering!F5+submetering!G5</f>
        <v>0</v>
      </c>
      <c r="F5" s="125">
        <v>1.05</v>
      </c>
      <c r="G5" s="125">
        <f>'Consommation mensuel énergie'!V13</f>
        <v>0</v>
      </c>
      <c r="H5" s="125">
        <v>12.53</v>
      </c>
      <c r="I5" s="125">
        <f>'Consommation mensuel énergie'!F13</f>
        <v>0</v>
      </c>
      <c r="J5" s="125">
        <v>11.4</v>
      </c>
      <c r="K5" s="128">
        <f>'Consommation mensuel énergie'!D13</f>
        <v>0</v>
      </c>
      <c r="L5" s="128">
        <f>'Consommation mensuel énergie'!E13</f>
        <v>0</v>
      </c>
      <c r="M5" s="124" t="e">
        <f>E5*F5+G5*H5+#REF!*#REF!+I5*J5</f>
        <v>#REF!</v>
      </c>
    </row>
    <row r="6" spans="1:36">
      <c r="A6" s="127" t="s">
        <v>13</v>
      </c>
      <c r="B6" s="131">
        <f t="shared" si="0"/>
        <v>5</v>
      </c>
      <c r="C6" s="131">
        <v>2</v>
      </c>
      <c r="D6" s="132">
        <v>2023</v>
      </c>
      <c r="E6" s="128">
        <f>submetering!E6+submetering!F6+submetering!G6</f>
        <v>0</v>
      </c>
      <c r="F6" s="125">
        <v>1.05</v>
      </c>
      <c r="G6" s="125">
        <f>'Consommation mensuel énergie'!V14</f>
        <v>0</v>
      </c>
      <c r="H6" s="125">
        <v>12.53</v>
      </c>
      <c r="I6" s="125">
        <f>'Consommation mensuel énergie'!F14</f>
        <v>0</v>
      </c>
      <c r="J6" s="125">
        <v>11.4</v>
      </c>
      <c r="K6" s="128">
        <f>'Consommation mensuel énergie'!D14</f>
        <v>0</v>
      </c>
      <c r="L6" s="128">
        <f>'Consommation mensuel énergie'!E14</f>
        <v>0</v>
      </c>
      <c r="M6" s="124" t="e">
        <f>E6*F6+G6*H6+#REF!*#REF!+I6*J6</f>
        <v>#REF!</v>
      </c>
    </row>
    <row r="7" spans="1:36">
      <c r="A7" s="127" t="s">
        <v>13</v>
      </c>
      <c r="B7" s="131">
        <f t="shared" si="0"/>
        <v>6</v>
      </c>
      <c r="C7" s="131">
        <v>2</v>
      </c>
      <c r="D7" s="132">
        <v>2023</v>
      </c>
      <c r="E7" s="128">
        <f>submetering!E7+submetering!F7+submetering!G7</f>
        <v>0</v>
      </c>
      <c r="F7" s="125">
        <v>1.05</v>
      </c>
      <c r="G7" s="125">
        <f>'Consommation mensuel énergie'!V15</f>
        <v>0</v>
      </c>
      <c r="H7" s="125">
        <v>12.53</v>
      </c>
      <c r="I7" s="125">
        <f>'Consommation mensuel énergie'!F15</f>
        <v>0</v>
      </c>
      <c r="J7" s="125">
        <v>11.4</v>
      </c>
      <c r="K7" s="128">
        <f>'Consommation mensuel énergie'!D15</f>
        <v>0</v>
      </c>
      <c r="L7" s="128">
        <f>'Consommation mensuel énergie'!E15</f>
        <v>0</v>
      </c>
      <c r="M7" s="124" t="e">
        <f>E7*F7+G7*H7+#REF!*#REF!+I7*J7</f>
        <v>#REF!</v>
      </c>
    </row>
    <row r="8" spans="1:36">
      <c r="A8" s="127" t="s">
        <v>13</v>
      </c>
      <c r="B8" s="131">
        <f t="shared" si="0"/>
        <v>7</v>
      </c>
      <c r="C8" s="131">
        <v>2</v>
      </c>
      <c r="D8" s="132">
        <v>2023</v>
      </c>
      <c r="E8" s="128">
        <f>submetering!E8+submetering!F8+submetering!G8</f>
        <v>0</v>
      </c>
      <c r="F8" s="125">
        <v>1.05</v>
      </c>
      <c r="G8" s="125">
        <f>'Consommation mensuel énergie'!V16</f>
        <v>0</v>
      </c>
      <c r="H8" s="125">
        <v>12.53</v>
      </c>
      <c r="I8" s="125">
        <f>'Consommation mensuel énergie'!F16</f>
        <v>0</v>
      </c>
      <c r="J8" s="125">
        <v>11.4</v>
      </c>
      <c r="K8" s="128">
        <f>'Consommation mensuel énergie'!D16</f>
        <v>0</v>
      </c>
      <c r="L8" s="128">
        <f>'Consommation mensuel énergie'!E16</f>
        <v>0</v>
      </c>
      <c r="M8" s="124" t="e">
        <f>E8*F8+G8*H8+#REF!*#REF!+I8*J8</f>
        <v>#REF!</v>
      </c>
      <c r="AH8">
        <v>479.98815000000002</v>
      </c>
      <c r="AJ8">
        <v>6014.2515194999996</v>
      </c>
    </row>
    <row r="9" spans="1:36">
      <c r="A9" s="127" t="s">
        <v>13</v>
      </c>
      <c r="B9" s="131">
        <f t="shared" si="0"/>
        <v>8</v>
      </c>
      <c r="C9" s="131">
        <v>2</v>
      </c>
      <c r="D9" s="132">
        <v>2023</v>
      </c>
      <c r="E9" s="128">
        <f>submetering!E9+submetering!F9+submetering!G9</f>
        <v>0</v>
      </c>
      <c r="F9" s="125">
        <v>1.05</v>
      </c>
      <c r="G9" s="125">
        <f>'Consommation mensuel énergie'!V17</f>
        <v>0</v>
      </c>
      <c r="H9" s="125">
        <v>12.53</v>
      </c>
      <c r="I9" s="125">
        <f>'Consommation mensuel énergie'!F17</f>
        <v>0</v>
      </c>
      <c r="J9" s="125">
        <v>11.4</v>
      </c>
      <c r="K9" s="128">
        <f>'Consommation mensuel énergie'!D17</f>
        <v>0</v>
      </c>
      <c r="L9" s="128">
        <f>'Consommation mensuel énergie'!E17</f>
        <v>0</v>
      </c>
      <c r="M9" s="124" t="e">
        <f>E9*F9+G9*H9+#REF!*#REF!+I9*J9</f>
        <v>#REF!</v>
      </c>
      <c r="AH9">
        <v>0</v>
      </c>
      <c r="AJ9">
        <v>0</v>
      </c>
    </row>
    <row r="10" spans="1:36">
      <c r="A10" s="127" t="s">
        <v>13</v>
      </c>
      <c r="B10" s="131">
        <f t="shared" si="0"/>
        <v>9</v>
      </c>
      <c r="C10" s="131">
        <v>2</v>
      </c>
      <c r="D10" s="132">
        <v>2023</v>
      </c>
      <c r="E10" s="128">
        <f>submetering!E10+submetering!F10+submetering!G10</f>
        <v>0</v>
      </c>
      <c r="F10" s="125">
        <v>1.05</v>
      </c>
      <c r="G10" s="125">
        <f>'Consommation mensuel énergie'!V18</f>
        <v>0</v>
      </c>
      <c r="H10" s="125">
        <v>12.53</v>
      </c>
      <c r="I10" s="125">
        <f>'Consommation mensuel énergie'!F18</f>
        <v>0</v>
      </c>
      <c r="J10" s="125">
        <v>11.4</v>
      </c>
      <c r="K10" s="128">
        <f>'Consommation mensuel énergie'!D18</f>
        <v>0</v>
      </c>
      <c r="L10" s="128">
        <f>'Consommation mensuel énergie'!E18</f>
        <v>0</v>
      </c>
      <c r="M10" s="124" t="e">
        <f>E10*F10+G10*H10+#REF!*#REF!+I10*J10</f>
        <v>#REF!</v>
      </c>
    </row>
    <row r="11" spans="1:36">
      <c r="A11" s="127" t="s">
        <v>13</v>
      </c>
      <c r="B11" s="131">
        <f t="shared" si="0"/>
        <v>10</v>
      </c>
      <c r="C11" s="131">
        <v>2</v>
      </c>
      <c r="D11" s="132">
        <v>2023</v>
      </c>
      <c r="E11" s="128">
        <f>submetering!E11+submetering!F11+submetering!G11</f>
        <v>0</v>
      </c>
      <c r="F11" s="125">
        <v>1.05</v>
      </c>
      <c r="G11" s="125">
        <f>'Consommation mensuel énergie'!V19</f>
        <v>0</v>
      </c>
      <c r="H11" s="125">
        <v>12.53</v>
      </c>
      <c r="I11" s="125">
        <f>'Consommation mensuel énergie'!F19</f>
        <v>0</v>
      </c>
      <c r="J11" s="125">
        <v>11.4</v>
      </c>
      <c r="K11" s="128">
        <f>'Consommation mensuel énergie'!D19</f>
        <v>0</v>
      </c>
      <c r="L11" s="128">
        <f>'Consommation mensuel énergie'!E19</f>
        <v>0</v>
      </c>
      <c r="M11" s="124" t="e">
        <f>E11*F11+G11*H11+#REF!*#REF!+I11*J11</f>
        <v>#REF!</v>
      </c>
    </row>
    <row r="12" spans="1:36">
      <c r="A12" s="127" t="s">
        <v>13</v>
      </c>
      <c r="B12" s="131">
        <f t="shared" si="0"/>
        <v>11</v>
      </c>
      <c r="C12" s="131">
        <v>2</v>
      </c>
      <c r="D12" s="132">
        <v>2023</v>
      </c>
      <c r="E12" s="128">
        <f>submetering!E12+submetering!F12+submetering!G12</f>
        <v>0</v>
      </c>
      <c r="F12" s="125">
        <v>1.05</v>
      </c>
      <c r="G12" s="125">
        <f>'Consommation mensuel énergie'!V20</f>
        <v>0</v>
      </c>
      <c r="H12" s="125">
        <v>12.53</v>
      </c>
      <c r="I12" s="125">
        <f>'Consommation mensuel énergie'!F20</f>
        <v>0</v>
      </c>
      <c r="J12" s="125">
        <v>11.4</v>
      </c>
      <c r="K12" s="128">
        <f>'Consommation mensuel énergie'!D20</f>
        <v>0</v>
      </c>
      <c r="L12" s="128">
        <f>'Consommation mensuel énergie'!E20</f>
        <v>0</v>
      </c>
      <c r="M12" s="124" t="e">
        <f>E12*F12+G12*H12+#REF!*#REF!+I12*J12</f>
        <v>#REF!</v>
      </c>
    </row>
    <row r="13" spans="1:36">
      <c r="A13" s="127" t="s">
        <v>13</v>
      </c>
      <c r="B13" s="131">
        <f t="shared" si="0"/>
        <v>12</v>
      </c>
      <c r="C13" s="131">
        <v>2</v>
      </c>
      <c r="D13" s="132">
        <v>2023</v>
      </c>
      <c r="E13" s="128">
        <f>submetering!E13+submetering!F13+submetering!G13</f>
        <v>0</v>
      </c>
      <c r="F13" s="125">
        <v>1.05</v>
      </c>
      <c r="G13" s="125">
        <f>'Consommation mensuel énergie'!V21</f>
        <v>0</v>
      </c>
      <c r="H13" s="125">
        <v>12.53</v>
      </c>
      <c r="I13" s="125">
        <f>'Consommation mensuel énergie'!F21</f>
        <v>0</v>
      </c>
      <c r="J13" s="125">
        <v>11.4</v>
      </c>
      <c r="K13" s="128">
        <f>'Consommation mensuel énergie'!D21</f>
        <v>0</v>
      </c>
      <c r="L13" s="128">
        <f>'Consommation mensuel énergie'!E21</f>
        <v>0</v>
      </c>
      <c r="M13" s="124" t="e">
        <f>E13*F13+G13*H13+#REF!*#REF!+I13*J13</f>
        <v>#REF!</v>
      </c>
    </row>
    <row r="14" spans="1:36">
      <c r="A14" s="127" t="s">
        <v>13</v>
      </c>
      <c r="B14" s="131">
        <f t="shared" si="0"/>
        <v>13</v>
      </c>
      <c r="C14" s="131">
        <v>2</v>
      </c>
      <c r="D14" s="132">
        <v>2023</v>
      </c>
      <c r="E14" s="128">
        <f>submetering!E14+submetering!F14+submetering!G14</f>
        <v>0</v>
      </c>
      <c r="F14" s="125">
        <v>1.05</v>
      </c>
      <c r="G14" s="125">
        <f>'Consommation mensuel énergie'!V22</f>
        <v>0</v>
      </c>
      <c r="H14" s="125">
        <v>12.53</v>
      </c>
      <c r="I14" s="125">
        <f>'Consommation mensuel énergie'!F22</f>
        <v>0</v>
      </c>
      <c r="J14" s="125">
        <v>11.4</v>
      </c>
      <c r="K14" s="128">
        <f>'Consommation mensuel énergie'!D22</f>
        <v>0</v>
      </c>
      <c r="L14" s="128">
        <f>'Consommation mensuel énergie'!E22</f>
        <v>0</v>
      </c>
      <c r="M14" s="124" t="e">
        <f>E14*F14+G14*H14+#REF!*#REF!+I14*J14</f>
        <v>#REF!</v>
      </c>
    </row>
    <row r="15" spans="1:36">
      <c r="A15" s="127" t="s">
        <v>13</v>
      </c>
      <c r="B15" s="131">
        <f t="shared" si="0"/>
        <v>14</v>
      </c>
      <c r="C15" s="131">
        <v>2</v>
      </c>
      <c r="D15" s="132">
        <v>2023</v>
      </c>
      <c r="E15" s="128">
        <f>submetering!E15+submetering!F15+submetering!G15</f>
        <v>0</v>
      </c>
      <c r="F15" s="125">
        <v>1.05</v>
      </c>
      <c r="G15" s="125">
        <f>'Consommation mensuel énergie'!V23</f>
        <v>0</v>
      </c>
      <c r="H15" s="125">
        <v>12.53</v>
      </c>
      <c r="I15" s="125">
        <f>'Consommation mensuel énergie'!F23</f>
        <v>0</v>
      </c>
      <c r="J15" s="125">
        <v>11.4</v>
      </c>
      <c r="K15" s="128">
        <f>'Consommation mensuel énergie'!D23</f>
        <v>0</v>
      </c>
      <c r="L15" s="128">
        <f>'Consommation mensuel énergie'!E23</f>
        <v>0</v>
      </c>
      <c r="M15" s="124" t="e">
        <f>E15*F15+G15*H15+#REF!*#REF!+I15*J15</f>
        <v>#REF!</v>
      </c>
    </row>
    <row r="16" spans="1:36">
      <c r="A16" s="127" t="s">
        <v>13</v>
      </c>
      <c r="B16" s="131">
        <f t="shared" si="0"/>
        <v>15</v>
      </c>
      <c r="C16" s="131">
        <v>2</v>
      </c>
      <c r="D16" s="132">
        <v>2023</v>
      </c>
      <c r="E16" s="128">
        <f>submetering!E16+submetering!F16+submetering!G16</f>
        <v>0</v>
      </c>
      <c r="F16" s="125">
        <v>1.05</v>
      </c>
      <c r="G16" s="125">
        <f>'Consommation mensuel énergie'!V24</f>
        <v>0</v>
      </c>
      <c r="H16" s="125">
        <v>12.53</v>
      </c>
      <c r="I16" s="125">
        <f>'Consommation mensuel énergie'!F24</f>
        <v>0</v>
      </c>
      <c r="J16" s="125">
        <v>11.4</v>
      </c>
      <c r="K16" s="128">
        <f>'Consommation mensuel énergie'!D24</f>
        <v>0</v>
      </c>
      <c r="L16" s="128">
        <f>'Consommation mensuel énergie'!E24</f>
        <v>0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2</v>
      </c>
      <c r="D17" s="132">
        <v>2023</v>
      </c>
      <c r="E17" s="128">
        <f>submetering!E17+submetering!F17+submetering!G17</f>
        <v>0</v>
      </c>
      <c r="F17" s="125">
        <v>1.05</v>
      </c>
      <c r="G17" s="125">
        <f>'Consommation mensuel énergie'!V25</f>
        <v>0</v>
      </c>
      <c r="H17" s="125">
        <v>12.53</v>
      </c>
      <c r="I17" s="125">
        <f>'Consommation mensuel énergie'!F25</f>
        <v>0</v>
      </c>
      <c r="J17" s="125">
        <v>11.4</v>
      </c>
      <c r="K17" s="128">
        <f>'Consommation mensuel énergie'!D25</f>
        <v>0</v>
      </c>
      <c r="L17" s="128">
        <f>'Consommation mensuel énergie'!E25</f>
        <v>0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2</v>
      </c>
      <c r="D18" s="132">
        <v>2023</v>
      </c>
      <c r="E18" s="128">
        <f>submetering!E18+submetering!F18+submetering!G18</f>
        <v>0</v>
      </c>
      <c r="F18" s="125">
        <v>1.05</v>
      </c>
      <c r="G18" s="125">
        <f>'Consommation mensuel énergie'!V26</f>
        <v>0</v>
      </c>
      <c r="H18" s="125">
        <v>12.53</v>
      </c>
      <c r="I18" s="125">
        <f>'Consommation mensuel énergie'!F26</f>
        <v>0</v>
      </c>
      <c r="J18" s="125">
        <v>11.4</v>
      </c>
      <c r="K18" s="128">
        <f>'Consommation mensuel énergie'!D26</f>
        <v>0</v>
      </c>
      <c r="L18" s="128">
        <f>'Consommation mensuel énergie'!E26</f>
        <v>0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2</v>
      </c>
      <c r="D19" s="132">
        <v>2023</v>
      </c>
      <c r="E19" s="128">
        <f>submetering!E19+submetering!F19+submetering!G19</f>
        <v>0</v>
      </c>
      <c r="F19" s="125">
        <v>1.05</v>
      </c>
      <c r="G19" s="125">
        <f>'Consommation mensuel énergie'!V27</f>
        <v>0</v>
      </c>
      <c r="H19" s="125">
        <v>12.53</v>
      </c>
      <c r="I19" s="125">
        <f>'Consommation mensuel énergie'!F27</f>
        <v>0</v>
      </c>
      <c r="J19" s="125">
        <v>11.4</v>
      </c>
      <c r="K19" s="128">
        <f>'Consommation mensuel énergie'!D27</f>
        <v>0</v>
      </c>
      <c r="L19" s="128">
        <f>'Consommation mensuel énergie'!E27</f>
        <v>0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2</v>
      </c>
      <c r="D20" s="132">
        <v>2023</v>
      </c>
      <c r="E20" s="128">
        <f>submetering!E20+submetering!F20+submetering!G20</f>
        <v>0</v>
      </c>
      <c r="F20" s="125">
        <v>1.05</v>
      </c>
      <c r="G20" s="125">
        <f>'Consommation mensuel énergie'!V28</f>
        <v>0</v>
      </c>
      <c r="H20" s="125">
        <v>12.53</v>
      </c>
      <c r="I20" s="125">
        <f>'Consommation mensuel énergie'!F28</f>
        <v>0</v>
      </c>
      <c r="J20" s="125">
        <v>11.4</v>
      </c>
      <c r="K20" s="128">
        <f>'Consommation mensuel énergie'!D28</f>
        <v>0</v>
      </c>
      <c r="L20" s="128">
        <f>'Consommation mensuel énergie'!E28</f>
        <v>0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2</v>
      </c>
      <c r="D21" s="132">
        <v>2023</v>
      </c>
      <c r="E21" s="128">
        <f>submetering!E21+submetering!F21+submetering!G21</f>
        <v>0</v>
      </c>
      <c r="F21" s="125">
        <v>1.05</v>
      </c>
      <c r="G21" s="125">
        <f>'Consommation mensuel énergie'!V29</f>
        <v>0</v>
      </c>
      <c r="H21" s="125">
        <v>12.53</v>
      </c>
      <c r="I21" s="125">
        <f>'Consommation mensuel énergie'!F29</f>
        <v>0</v>
      </c>
      <c r="J21" s="125">
        <v>11.4</v>
      </c>
      <c r="K21" s="128">
        <f>'Consommation mensuel énergie'!D29</f>
        <v>0</v>
      </c>
      <c r="L21" s="128">
        <f>'Consommation mensuel énergie'!E29</f>
        <v>0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2</v>
      </c>
      <c r="D22" s="132">
        <v>2023</v>
      </c>
      <c r="E22" s="128">
        <f>submetering!E22+submetering!F22+submetering!G22</f>
        <v>0</v>
      </c>
      <c r="F22" s="125">
        <v>1.05</v>
      </c>
      <c r="G22" s="125">
        <f>'Consommation mensuel énergie'!V30</f>
        <v>0</v>
      </c>
      <c r="H22" s="125">
        <v>12.53</v>
      </c>
      <c r="I22" s="125">
        <f>'Consommation mensuel énergie'!F30</f>
        <v>0</v>
      </c>
      <c r="J22" s="125">
        <v>11.4</v>
      </c>
      <c r="K22" s="128">
        <f>'Consommation mensuel énergie'!D30</f>
        <v>0</v>
      </c>
      <c r="L22" s="128">
        <f>'Consommation mensuel énergie'!E30</f>
        <v>0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2</v>
      </c>
      <c r="D23" s="132">
        <v>2023</v>
      </c>
      <c r="E23" s="128">
        <f>submetering!E23+submetering!F23+submetering!G23</f>
        <v>0</v>
      </c>
      <c r="F23" s="125">
        <v>1.05</v>
      </c>
      <c r="G23" s="125">
        <f>'Consommation mensuel énergie'!V31</f>
        <v>0</v>
      </c>
      <c r="H23" s="125">
        <v>12.53</v>
      </c>
      <c r="I23" s="125">
        <f>'Consommation mensuel énergie'!F31</f>
        <v>0</v>
      </c>
      <c r="J23" s="125">
        <v>11.4</v>
      </c>
      <c r="K23" s="128">
        <f>'Consommation mensuel énergie'!D31</f>
        <v>0</v>
      </c>
      <c r="L23" s="128">
        <f>'Consommation mensuel énergie'!E31</f>
        <v>0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2</v>
      </c>
      <c r="D24" s="132">
        <v>2023</v>
      </c>
      <c r="E24" s="128">
        <f>submetering!E24+submetering!F24+submetering!G24</f>
        <v>0</v>
      </c>
      <c r="F24" s="125">
        <v>1.05</v>
      </c>
      <c r="G24" s="125">
        <f>'Consommation mensuel énergie'!V32</f>
        <v>0</v>
      </c>
      <c r="H24" s="125">
        <v>12.53</v>
      </c>
      <c r="I24" s="125">
        <f>'Consommation mensuel énergie'!F32</f>
        <v>0</v>
      </c>
      <c r="J24" s="125">
        <v>11.4</v>
      </c>
      <c r="K24" s="128">
        <f>'Consommation mensuel énergie'!D32</f>
        <v>0</v>
      </c>
      <c r="L24" s="128">
        <f>'Consommation mensuel énergie'!E32</f>
        <v>0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2</v>
      </c>
      <c r="D25" s="132">
        <v>2023</v>
      </c>
      <c r="E25" s="128">
        <f>submetering!E25+submetering!F25+submetering!G25</f>
        <v>0</v>
      </c>
      <c r="F25" s="125">
        <v>1.05</v>
      </c>
      <c r="G25" s="125">
        <f>'Consommation mensuel énergie'!V33</f>
        <v>0</v>
      </c>
      <c r="H25" s="125">
        <v>12.53</v>
      </c>
      <c r="I25" s="125">
        <f>'Consommation mensuel énergie'!F33</f>
        <v>0</v>
      </c>
      <c r="J25" s="125">
        <v>11.4</v>
      </c>
      <c r="K25" s="128">
        <f>'Consommation mensuel énergie'!D33</f>
        <v>0</v>
      </c>
      <c r="L25" s="128">
        <f>'Consommation mensuel énergie'!E33</f>
        <v>0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2</v>
      </c>
      <c r="D26" s="132">
        <v>2023</v>
      </c>
      <c r="E26" s="128">
        <f>submetering!E26+submetering!F26+submetering!G26</f>
        <v>0</v>
      </c>
      <c r="F26" s="125">
        <v>1.05</v>
      </c>
      <c r="G26" s="125">
        <f>'Consommation mensuel énergie'!V34</f>
        <v>0</v>
      </c>
      <c r="H26" s="125">
        <v>12.53</v>
      </c>
      <c r="I26" s="125">
        <f>'Consommation mensuel énergie'!F34</f>
        <v>0</v>
      </c>
      <c r="J26" s="125">
        <v>11.4</v>
      </c>
      <c r="K26" s="128">
        <f>'Consommation mensuel énergie'!D34</f>
        <v>0</v>
      </c>
      <c r="L26" s="128">
        <f>'Consommation mensuel énergie'!E34</f>
        <v>0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2</v>
      </c>
      <c r="D27" s="132">
        <v>2023</v>
      </c>
      <c r="E27" s="128">
        <f>submetering!E27+submetering!F27+submetering!G27</f>
        <v>0</v>
      </c>
      <c r="F27" s="125">
        <v>1.05</v>
      </c>
      <c r="G27" s="125">
        <f>'Consommation mensuel énergie'!V35</f>
        <v>0</v>
      </c>
      <c r="H27" s="125">
        <v>12.53</v>
      </c>
      <c r="I27" s="125">
        <f>'Consommation mensuel énergie'!F35</f>
        <v>0</v>
      </c>
      <c r="J27" s="125">
        <v>11.4</v>
      </c>
      <c r="K27" s="128">
        <f>'Consommation mensuel énergie'!D35</f>
        <v>0</v>
      </c>
      <c r="L27" s="128">
        <f>'Consommation mensuel énergie'!E35</f>
        <v>0</v>
      </c>
      <c r="M27" s="124"/>
    </row>
    <row r="28" spans="1:13">
      <c r="A28" s="127" t="s">
        <v>13</v>
      </c>
      <c r="B28" s="131">
        <f t="shared" si="1"/>
        <v>27</v>
      </c>
      <c r="C28" s="131">
        <v>2</v>
      </c>
      <c r="D28" s="132">
        <v>2023</v>
      </c>
      <c r="E28" s="128">
        <f>submetering!E28+submetering!F28+submetering!G28</f>
        <v>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0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2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C32" sqref="C32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2</v>
      </c>
      <c r="D2" s="132">
        <v>2023</v>
      </c>
      <c r="E2" s="128">
        <f>'Consommation mensuel énergie'!L10</f>
        <v>3791</v>
      </c>
      <c r="F2" s="128">
        <f>'Consommation mensuel énergie'!M10</f>
        <v>5841</v>
      </c>
      <c r="G2" s="128">
        <f>'Consommation mensuel énergie'!N10</f>
        <v>2363</v>
      </c>
      <c r="H2" s="128">
        <f>'Consommation mensuel énergie'!D10</f>
        <v>0</v>
      </c>
      <c r="I2" s="128">
        <f>'Consommation mensuel énergie'!E10</f>
        <v>0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2</v>
      </c>
      <c r="D3" s="132">
        <v>2023</v>
      </c>
      <c r="E3" s="128">
        <f>'Consommation mensuel énergie'!L11</f>
        <v>0</v>
      </c>
      <c r="F3" s="128">
        <f>'Consommation mensuel énergie'!M11</f>
        <v>0</v>
      </c>
      <c r="G3" s="128">
        <f>'Consommation mensuel énergie'!N11</f>
        <v>0</v>
      </c>
      <c r="H3" s="128">
        <f>'Consommation mensuel énergie'!D11</f>
        <v>0</v>
      </c>
      <c r="I3" s="128">
        <f>'Consommation mensuel énergie'!E11</f>
        <v>0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2</v>
      </c>
      <c r="D4" s="132">
        <v>2023</v>
      </c>
      <c r="E4" s="128">
        <f>'Consommation mensuel énergie'!L12</f>
        <v>0</v>
      </c>
      <c r="F4" s="128">
        <f>'Consommation mensuel énergie'!M12</f>
        <v>0</v>
      </c>
      <c r="G4" s="128">
        <f>'Consommation mensuel énergie'!N12</f>
        <v>0</v>
      </c>
      <c r="H4" s="128">
        <f>'Consommation mensuel énergie'!D12</f>
        <v>0</v>
      </c>
      <c r="I4" s="128">
        <f>'Consommation mensuel énergie'!E12</f>
        <v>0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2</v>
      </c>
      <c r="D5" s="132">
        <v>2023</v>
      </c>
      <c r="E5" s="128">
        <f>'Consommation mensuel énergie'!L13</f>
        <v>0</v>
      </c>
      <c r="F5" s="128">
        <f>'Consommation mensuel énergie'!M13</f>
        <v>0</v>
      </c>
      <c r="G5" s="128">
        <f>'Consommation mensuel énergie'!N13</f>
        <v>0</v>
      </c>
      <c r="H5" s="128">
        <f>'Consommation mensuel énergie'!D13</f>
        <v>0</v>
      </c>
      <c r="I5" s="128">
        <f>'Consommation mensuel énergie'!E13</f>
        <v>0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2</v>
      </c>
      <c r="D6" s="132">
        <v>2023</v>
      </c>
      <c r="E6" s="128">
        <f>'Consommation mensuel énergie'!L14</f>
        <v>0</v>
      </c>
      <c r="F6" s="128">
        <f>'Consommation mensuel énergie'!M14</f>
        <v>0</v>
      </c>
      <c r="G6" s="128">
        <f>'Consommation mensuel énergie'!N14</f>
        <v>0</v>
      </c>
      <c r="H6" s="128">
        <f>'Consommation mensuel énergie'!D14</f>
        <v>0</v>
      </c>
      <c r="I6" s="128">
        <f>'Consommation mensuel énergie'!E14</f>
        <v>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2</v>
      </c>
      <c r="D7" s="132">
        <v>2023</v>
      </c>
      <c r="E7" s="128">
        <f>'Consommation mensuel énergie'!L15</f>
        <v>0</v>
      </c>
      <c r="F7" s="128">
        <f>'Consommation mensuel énergie'!M15</f>
        <v>0</v>
      </c>
      <c r="G7" s="128">
        <f>'Consommation mensuel énergie'!N15</f>
        <v>0</v>
      </c>
      <c r="H7" s="128">
        <f>'Consommation mensuel énergie'!D15</f>
        <v>0</v>
      </c>
      <c r="I7" s="128">
        <f>'Consommation mensuel énergie'!E15</f>
        <v>0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2</v>
      </c>
      <c r="D8" s="132">
        <v>2023</v>
      </c>
      <c r="E8" s="128">
        <f>'Consommation mensuel énergie'!L16</f>
        <v>0</v>
      </c>
      <c r="F8" s="128">
        <f>'Consommation mensuel énergie'!M16</f>
        <v>0</v>
      </c>
      <c r="G8" s="128">
        <f>'Consommation mensuel énergie'!N16</f>
        <v>0</v>
      </c>
      <c r="H8" s="128">
        <f>'Consommation mensuel énergie'!D16</f>
        <v>0</v>
      </c>
      <c r="I8" s="128">
        <f>'Consommation mensuel énergie'!E16</f>
        <v>0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2</v>
      </c>
      <c r="D9" s="132">
        <v>2023</v>
      </c>
      <c r="E9" s="128">
        <f>'Consommation mensuel énergie'!L17</f>
        <v>0</v>
      </c>
      <c r="F9" s="128">
        <f>'Consommation mensuel énergie'!M17</f>
        <v>0</v>
      </c>
      <c r="G9" s="128">
        <f>'Consommation mensuel énergie'!N17</f>
        <v>0</v>
      </c>
      <c r="H9" s="128">
        <f>'Consommation mensuel énergie'!D17</f>
        <v>0</v>
      </c>
      <c r="I9" s="128">
        <f>'Consommation mensuel énergie'!E17</f>
        <v>0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2</v>
      </c>
      <c r="D10" s="132">
        <v>2023</v>
      </c>
      <c r="E10" s="128">
        <f>'Consommation mensuel énergie'!L18</f>
        <v>0</v>
      </c>
      <c r="F10" s="128">
        <f>'Consommation mensuel énergie'!M18</f>
        <v>0</v>
      </c>
      <c r="G10" s="128">
        <f>'Consommation mensuel énergie'!N18</f>
        <v>0</v>
      </c>
      <c r="H10" s="128">
        <f>'Consommation mensuel énergie'!D18</f>
        <v>0</v>
      </c>
      <c r="I10" s="128">
        <f>'Consommation mensuel énergie'!E18</f>
        <v>0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2</v>
      </c>
      <c r="D11" s="132">
        <v>2023</v>
      </c>
      <c r="E11" s="128">
        <f>'Consommation mensuel énergie'!L19</f>
        <v>0</v>
      </c>
      <c r="F11" s="128">
        <f>'Consommation mensuel énergie'!M19</f>
        <v>0</v>
      </c>
      <c r="G11" s="128">
        <f>'Consommation mensuel énergie'!N19</f>
        <v>0</v>
      </c>
      <c r="H11" s="128">
        <f>'Consommation mensuel énergie'!D19</f>
        <v>0</v>
      </c>
      <c r="I11" s="128">
        <f>'Consommation mensuel énergie'!E19</f>
        <v>0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2</v>
      </c>
      <c r="D12" s="132">
        <v>2023</v>
      </c>
      <c r="E12" s="128">
        <f>'Consommation mensuel énergie'!L20</f>
        <v>0</v>
      </c>
      <c r="F12" s="128">
        <f>'Consommation mensuel énergie'!M20</f>
        <v>0</v>
      </c>
      <c r="G12" s="128">
        <f>'Consommation mensuel énergie'!N20</f>
        <v>0</v>
      </c>
      <c r="H12" s="128">
        <f>'Consommation mensuel énergie'!D20</f>
        <v>0</v>
      </c>
      <c r="I12" s="128">
        <f>'Consommation mensuel énergie'!E20</f>
        <v>0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2</v>
      </c>
      <c r="D13" s="132">
        <v>2023</v>
      </c>
      <c r="E13" s="128">
        <f>'Consommation mensuel énergie'!L21</f>
        <v>0</v>
      </c>
      <c r="F13" s="128">
        <f>'Consommation mensuel énergie'!M21</f>
        <v>0</v>
      </c>
      <c r="G13" s="128">
        <f>'Consommation mensuel énergie'!N21</f>
        <v>0</v>
      </c>
      <c r="H13" s="128">
        <f>'Consommation mensuel énergie'!D21</f>
        <v>0</v>
      </c>
      <c r="I13" s="128">
        <f>'Consommation mensuel énergie'!E21</f>
        <v>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2</v>
      </c>
      <c r="D14" s="132">
        <v>2023</v>
      </c>
      <c r="E14" s="128">
        <f>'Consommation mensuel énergie'!L22</f>
        <v>0</v>
      </c>
      <c r="F14" s="128">
        <f>'Consommation mensuel énergie'!M22</f>
        <v>0</v>
      </c>
      <c r="G14" s="128">
        <f>'Consommation mensuel énergie'!N22</f>
        <v>0</v>
      </c>
      <c r="H14" s="128">
        <f>'Consommation mensuel énergie'!D22</f>
        <v>0</v>
      </c>
      <c r="I14" s="128">
        <f>'Consommation mensuel énergie'!E22</f>
        <v>0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2</v>
      </c>
      <c r="D15" s="132">
        <v>2023</v>
      </c>
      <c r="E15" s="128">
        <f>'Consommation mensuel énergie'!L23</f>
        <v>0</v>
      </c>
      <c r="F15" s="128">
        <f>'Consommation mensuel énergie'!M23</f>
        <v>0</v>
      </c>
      <c r="G15" s="128">
        <f>'Consommation mensuel énergie'!N23</f>
        <v>0</v>
      </c>
      <c r="H15" s="128">
        <f>'Consommation mensuel énergie'!D23</f>
        <v>0</v>
      </c>
      <c r="I15" s="128">
        <f>'Consommation mensuel énergie'!E23</f>
        <v>0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2</v>
      </c>
      <c r="D16" s="132">
        <v>2023</v>
      </c>
      <c r="E16" s="128">
        <f>'Consommation mensuel énergie'!L24</f>
        <v>0</v>
      </c>
      <c r="F16" s="128">
        <f>'Consommation mensuel énergie'!M24</f>
        <v>0</v>
      </c>
      <c r="G16" s="128">
        <f>'Consommation mensuel énergie'!N24</f>
        <v>0</v>
      </c>
      <c r="H16" s="128">
        <f>'Consommation mensuel énergie'!D24</f>
        <v>0</v>
      </c>
      <c r="I16" s="128">
        <f>'Consommation mensuel énergie'!E24</f>
        <v>0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2</v>
      </c>
      <c r="D17" s="132">
        <v>2023</v>
      </c>
      <c r="E17" s="128">
        <f>'Consommation mensuel énergie'!L25</f>
        <v>0</v>
      </c>
      <c r="F17" s="128">
        <f>'Consommation mensuel énergie'!M25</f>
        <v>0</v>
      </c>
      <c r="G17" s="128">
        <f>'Consommation mensuel énergie'!N25</f>
        <v>0</v>
      </c>
      <c r="H17" s="128">
        <f>'Consommation mensuel énergie'!D25</f>
        <v>0</v>
      </c>
      <c r="I17" s="128">
        <f>'Consommation mensuel énergie'!E25</f>
        <v>0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2</v>
      </c>
      <c r="D18" s="132">
        <v>2023</v>
      </c>
      <c r="E18" s="128">
        <f>'Consommation mensuel énergie'!L26</f>
        <v>0</v>
      </c>
      <c r="F18" s="128">
        <f>'Consommation mensuel énergie'!M26</f>
        <v>0</v>
      </c>
      <c r="G18" s="128">
        <f>'Consommation mensuel énergie'!N26</f>
        <v>0</v>
      </c>
      <c r="H18" s="128">
        <f>'Consommation mensuel énergie'!D26</f>
        <v>0</v>
      </c>
      <c r="I18" s="128">
        <f>'Consommation mensuel énergie'!E26</f>
        <v>0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2</v>
      </c>
      <c r="D19" s="132">
        <v>2023</v>
      </c>
      <c r="E19" s="128">
        <f>'Consommation mensuel énergie'!L27</f>
        <v>0</v>
      </c>
      <c r="F19" s="128">
        <f>'Consommation mensuel énergie'!M27</f>
        <v>0</v>
      </c>
      <c r="G19" s="128">
        <f>'Consommation mensuel énergie'!N27</f>
        <v>0</v>
      </c>
      <c r="H19" s="128">
        <f>'Consommation mensuel énergie'!D27</f>
        <v>0</v>
      </c>
      <c r="I19" s="128">
        <f>'Consommation mensuel énergie'!E27</f>
        <v>0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2</v>
      </c>
      <c r="D20" s="132">
        <v>2023</v>
      </c>
      <c r="E20" s="128">
        <f>'Consommation mensuel énergie'!L28</f>
        <v>0</v>
      </c>
      <c r="F20" s="128">
        <f>'Consommation mensuel énergie'!M28</f>
        <v>0</v>
      </c>
      <c r="G20" s="128">
        <f>'Consommation mensuel énergie'!N28</f>
        <v>0</v>
      </c>
      <c r="H20" s="128">
        <f>'Consommation mensuel énergie'!D28</f>
        <v>0</v>
      </c>
      <c r="I20" s="128">
        <f>'Consommation mensuel énergie'!E28</f>
        <v>0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2</v>
      </c>
      <c r="D21" s="132">
        <v>2023</v>
      </c>
      <c r="E21" s="128">
        <f>'Consommation mensuel énergie'!L29</f>
        <v>0</v>
      </c>
      <c r="F21" s="128">
        <f>'Consommation mensuel énergie'!M29</f>
        <v>0</v>
      </c>
      <c r="G21" s="128">
        <f>'Consommation mensuel énergie'!N29</f>
        <v>0</v>
      </c>
      <c r="H21" s="128">
        <f>'Consommation mensuel énergie'!D29</f>
        <v>0</v>
      </c>
      <c r="I21" s="128">
        <f>'Consommation mensuel énergie'!E29</f>
        <v>0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2</v>
      </c>
      <c r="D22" s="132">
        <v>2023</v>
      </c>
      <c r="E22" s="128">
        <f>'Consommation mensuel énergie'!L30</f>
        <v>0</v>
      </c>
      <c r="F22" s="128">
        <f>'Consommation mensuel énergie'!M30</f>
        <v>0</v>
      </c>
      <c r="G22" s="128">
        <f>'Consommation mensuel énergie'!N30</f>
        <v>0</v>
      </c>
      <c r="H22" s="128">
        <f>'Consommation mensuel énergie'!D30</f>
        <v>0</v>
      </c>
      <c r="I22" s="128">
        <f>'Consommation mensuel énergie'!E30</f>
        <v>0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2</v>
      </c>
      <c r="D23" s="132">
        <v>2023</v>
      </c>
      <c r="E23" s="128">
        <f>'Consommation mensuel énergie'!L31</f>
        <v>0</v>
      </c>
      <c r="F23" s="128">
        <f>'Consommation mensuel énergie'!M31</f>
        <v>0</v>
      </c>
      <c r="G23" s="128">
        <f>'Consommation mensuel énergie'!N31</f>
        <v>0</v>
      </c>
      <c r="H23" s="128">
        <f>'Consommation mensuel énergie'!D31</f>
        <v>0</v>
      </c>
      <c r="I23" s="128">
        <f>'Consommation mensuel énergie'!E31</f>
        <v>0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2</v>
      </c>
      <c r="D24" s="132">
        <v>2023</v>
      </c>
      <c r="E24" s="128">
        <f>'Consommation mensuel énergie'!L32</f>
        <v>0</v>
      </c>
      <c r="F24" s="128">
        <f>'Consommation mensuel énergie'!M32</f>
        <v>0</v>
      </c>
      <c r="G24" s="128">
        <f>'Consommation mensuel énergie'!N32</f>
        <v>0</v>
      </c>
      <c r="H24" s="128">
        <f>'Consommation mensuel énergie'!D32</f>
        <v>0</v>
      </c>
      <c r="I24" s="128">
        <f>'Consommation mensuel énergie'!E32</f>
        <v>0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2</v>
      </c>
      <c r="D25" s="132">
        <v>2023</v>
      </c>
      <c r="E25" s="128">
        <f>'Consommation mensuel énergie'!L33</f>
        <v>0</v>
      </c>
      <c r="F25" s="128">
        <f>'Consommation mensuel énergie'!M33</f>
        <v>0</v>
      </c>
      <c r="G25" s="128">
        <f>'Consommation mensuel énergie'!N33</f>
        <v>0</v>
      </c>
      <c r="H25" s="128">
        <f>'Consommation mensuel énergie'!D33</f>
        <v>0</v>
      </c>
      <c r="I25" s="128">
        <f>'Consommation mensuel énergie'!E33</f>
        <v>0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2</v>
      </c>
      <c r="D26" s="132">
        <v>2023</v>
      </c>
      <c r="E26" s="128">
        <f>'Consommation mensuel énergie'!L34</f>
        <v>0</v>
      </c>
      <c r="F26" s="128">
        <f>'Consommation mensuel énergie'!M34</f>
        <v>0</v>
      </c>
      <c r="G26" s="128">
        <f>'Consommation mensuel énergie'!N34</f>
        <v>0</v>
      </c>
      <c r="H26" s="128">
        <f>'Consommation mensuel énergie'!D34</f>
        <v>0</v>
      </c>
      <c r="I26" s="128">
        <f>'Consommation mensuel énergie'!E34</f>
        <v>0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2</v>
      </c>
      <c r="D27" s="132">
        <v>2023</v>
      </c>
      <c r="E27" s="128">
        <f>'Consommation mensuel énergie'!L35</f>
        <v>0</v>
      </c>
      <c r="F27" s="128">
        <f>'Consommation mensuel énergie'!M35</f>
        <v>0</v>
      </c>
      <c r="G27" s="128">
        <f>'Consommation mensuel énergie'!N35</f>
        <v>0</v>
      </c>
      <c r="H27" s="128">
        <f>'Consommation mensuel énergie'!D35</f>
        <v>0</v>
      </c>
      <c r="I27" s="128">
        <f>'Consommation mensuel énergie'!E35</f>
        <v>0</v>
      </c>
      <c r="J27" s="124"/>
    </row>
    <row r="28" spans="1:10">
      <c r="A28" s="127" t="s">
        <v>13</v>
      </c>
      <c r="B28" s="131">
        <f t="shared" si="1"/>
        <v>27</v>
      </c>
      <c r="C28" s="131">
        <v>2</v>
      </c>
      <c r="D28" s="132">
        <v>2023</v>
      </c>
      <c r="E28" s="128">
        <f>'Consommation mensuel énergie'!L36</f>
        <v>0</v>
      </c>
      <c r="F28" s="128">
        <f>'Consommation mensuel énergie'!M36</f>
        <v>0</v>
      </c>
      <c r="G28" s="128">
        <f>'Consommation mensuel énergie'!N36</f>
        <v>0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2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bottomRight" activeCell="Z17" sqref="Z1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28" width="11.42578125" style="9"/>
    <col min="29" max="29" width="18.5703125" style="9" customWidth="1"/>
    <col min="30" max="30" width="11.42578125" style="9"/>
    <col min="31" max="31" width="17.7109375" style="9" customWidth="1"/>
    <col min="32" max="32" width="11.42578125" style="9"/>
    <col min="33" max="33" width="16.5703125" style="9" customWidth="1"/>
    <col min="34" max="34" width="11.42578125" style="9"/>
    <col min="35" max="35" width="16.85546875" style="9" customWidth="1"/>
    <col min="36" max="16384" width="11.42578125" style="9"/>
  </cols>
  <sheetData>
    <row r="1" spans="1:24" ht="18.75" thickBot="1"/>
    <row r="2" spans="1:24" ht="100.5" customHeight="1" thickBot="1">
      <c r="A2" s="247"/>
      <c r="B2" s="248"/>
      <c r="C2" s="248"/>
      <c r="D2" s="248"/>
      <c r="E2" s="248"/>
      <c r="F2" s="248"/>
      <c r="G2" s="248"/>
      <c r="H2" s="249"/>
      <c r="I2" s="258" t="s">
        <v>17</v>
      </c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</row>
    <row r="3" spans="1:24" ht="15" hidden="1" customHeight="1" thickBot="1"/>
    <row r="4" spans="1:24" ht="39" hidden="1" customHeight="1" thickBot="1">
      <c r="A4" s="250"/>
      <c r="B4" s="250"/>
      <c r="C4" s="250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50"/>
      <c r="B5" s="250"/>
      <c r="C5" s="250"/>
      <c r="D5" s="5"/>
      <c r="E5" s="5"/>
      <c r="F5" s="5"/>
      <c r="G5" s="5"/>
      <c r="H5" s="5"/>
      <c r="I5" s="5"/>
      <c r="J5" s="5"/>
      <c r="K5" s="5"/>
      <c r="L5" s="5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</row>
    <row r="6" spans="1:24" s="5" customFormat="1" ht="44.25" hidden="1" customHeight="1" thickBot="1">
      <c r="A6" s="3"/>
      <c r="B6" s="3"/>
      <c r="C6" s="3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</row>
    <row r="7" spans="1:24" s="5" customFormat="1" ht="18.75" hidden="1" customHeight="1" thickBot="1">
      <c r="F7" s="251"/>
      <c r="G7" s="251"/>
      <c r="H7" s="251"/>
      <c r="I7" s="251"/>
      <c r="J7" s="251"/>
      <c r="K7" s="251"/>
      <c r="L7" s="251"/>
      <c r="M7" s="251"/>
      <c r="N7" s="260"/>
      <c r="O7" s="260"/>
      <c r="P7" s="251"/>
      <c r="Q7" s="251"/>
      <c r="R7" s="251"/>
      <c r="S7" s="251"/>
      <c r="T7" s="251"/>
      <c r="U7" s="251"/>
      <c r="V7" s="251"/>
      <c r="W7" s="251"/>
      <c r="X7" s="251"/>
    </row>
    <row r="8" spans="1:24" ht="18.75" customHeight="1" thickBot="1">
      <c r="A8" s="251"/>
      <c r="B8" s="262" t="s">
        <v>19</v>
      </c>
      <c r="C8" s="4"/>
      <c r="D8" s="263" t="s">
        <v>20</v>
      </c>
      <c r="E8" s="263" t="s">
        <v>21</v>
      </c>
      <c r="F8" s="245" t="s">
        <v>22</v>
      </c>
      <c r="G8" s="2"/>
      <c r="H8" s="252" t="s">
        <v>23</v>
      </c>
      <c r="I8" s="253"/>
      <c r="J8" s="254"/>
      <c r="K8" s="240" t="s">
        <v>24</v>
      </c>
      <c r="L8" s="244" t="s">
        <v>25</v>
      </c>
      <c r="M8" s="244"/>
      <c r="N8" s="244"/>
      <c r="O8" s="244" t="s">
        <v>26</v>
      </c>
      <c r="P8" s="2"/>
      <c r="Q8" s="242" t="s">
        <v>23</v>
      </c>
      <c r="R8" s="2"/>
      <c r="S8" s="242" t="s">
        <v>27</v>
      </c>
      <c r="T8" s="2"/>
      <c r="U8" s="242" t="s">
        <v>28</v>
      </c>
      <c r="V8" s="265" t="s">
        <v>29</v>
      </c>
      <c r="W8" s="2"/>
      <c r="X8" s="242" t="s">
        <v>23</v>
      </c>
    </row>
    <row r="9" spans="1:24" ht="59.25" customHeight="1" thickBot="1">
      <c r="A9" s="251"/>
      <c r="B9" s="262"/>
      <c r="C9" s="4"/>
      <c r="D9" s="264"/>
      <c r="E9" s="264"/>
      <c r="F9" s="246"/>
      <c r="G9" s="2"/>
      <c r="H9" s="255"/>
      <c r="I9" s="256"/>
      <c r="J9" s="257"/>
      <c r="K9" s="241"/>
      <c r="L9" s="146" t="s">
        <v>30</v>
      </c>
      <c r="M9" s="146" t="s">
        <v>31</v>
      </c>
      <c r="N9" s="146" t="s">
        <v>32</v>
      </c>
      <c r="O9" s="261"/>
      <c r="P9" s="2"/>
      <c r="Q9" s="243"/>
      <c r="R9" s="2"/>
      <c r="S9" s="243"/>
      <c r="T9" s="2"/>
      <c r="U9" s="243"/>
      <c r="V9" s="266"/>
      <c r="W9" s="2"/>
      <c r="X9" s="243"/>
    </row>
    <row r="10" spans="1:24" ht="32.25" customHeight="1">
      <c r="A10" s="2"/>
      <c r="B10" s="6">
        <v>44958</v>
      </c>
      <c r="C10" s="7"/>
      <c r="D10" s="134"/>
      <c r="E10" s="188"/>
      <c r="F10" s="13">
        <f>'Suivi EAU-ELEC'!E9</f>
        <v>104</v>
      </c>
      <c r="G10" s="11"/>
      <c r="H10" s="236">
        <f>F10*8.79</f>
        <v>914.15999999999985</v>
      </c>
      <c r="I10" s="237"/>
      <c r="J10" s="237"/>
      <c r="K10" s="54">
        <v>42278</v>
      </c>
      <c r="L10" s="84">
        <f>'Suivi EAU-ELEC'!G9</f>
        <v>3791</v>
      </c>
      <c r="M10" s="85">
        <f>'Suivi EAU-ELEC'!I9</f>
        <v>5841</v>
      </c>
      <c r="N10" s="85">
        <f>'Suivi EAU-ELEC'!K9</f>
        <v>2363</v>
      </c>
      <c r="O10" s="85">
        <f>L10+M10+N10</f>
        <v>11995</v>
      </c>
      <c r="P10" s="11"/>
      <c r="Q10" s="34">
        <f>L10*0.6985+M10*0.9514+N10*1.3304</f>
        <v>11348.876100000001</v>
      </c>
      <c r="R10" s="11"/>
      <c r="S10" s="28"/>
      <c r="T10" s="11"/>
      <c r="U10" s="28"/>
      <c r="V10" s="137">
        <f>'Suvi Gaz'!O4</f>
        <v>0</v>
      </c>
      <c r="W10" s="11"/>
      <c r="X10" s="34">
        <f>V10*12.53</f>
        <v>0</v>
      </c>
    </row>
    <row r="11" spans="1:24" ht="32.25" customHeight="1">
      <c r="A11" s="2"/>
      <c r="B11" s="6">
        <v>44959</v>
      </c>
      <c r="C11" s="7"/>
      <c r="D11" s="134"/>
      <c r="E11" s="134"/>
      <c r="F11" s="187">
        <f>'Suivi EAU-ELEC'!E10</f>
        <v>0</v>
      </c>
      <c r="G11" s="11"/>
      <c r="H11" s="236">
        <f t="shared" ref="H11:H21" si="0">F11*8.79</f>
        <v>0</v>
      </c>
      <c r="I11" s="237"/>
      <c r="J11" s="237"/>
      <c r="K11" s="54">
        <v>42279</v>
      </c>
      <c r="L11" s="84">
        <f>'Suivi EAU-ELEC'!G10</f>
        <v>0</v>
      </c>
      <c r="M11" s="85">
        <f>'Suivi EAU-ELEC'!I10</f>
        <v>0</v>
      </c>
      <c r="N11" s="85">
        <f>'Suivi EAU-ELEC'!K10</f>
        <v>0</v>
      </c>
      <c r="O11" s="85">
        <f>L11+M11+N11</f>
        <v>0</v>
      </c>
      <c r="P11" s="11"/>
      <c r="Q11" s="34">
        <f>L11*0.6985+M11*0.9514+N14*1.3304</f>
        <v>0</v>
      </c>
      <c r="R11" s="11"/>
      <c r="S11" s="28"/>
      <c r="T11" s="11"/>
      <c r="U11" s="28"/>
      <c r="V11" s="137">
        <f>'Suvi Gaz'!O5</f>
        <v>0</v>
      </c>
      <c r="W11" s="11"/>
      <c r="X11" s="34">
        <f t="shared" ref="X11:X40" si="1">V11*12.53</f>
        <v>0</v>
      </c>
    </row>
    <row r="12" spans="1:24" ht="32.25" customHeight="1">
      <c r="A12" s="2"/>
      <c r="B12" s="6">
        <v>44960</v>
      </c>
      <c r="C12" s="7"/>
      <c r="D12" s="134"/>
      <c r="E12" s="134"/>
      <c r="F12" s="13">
        <f>'Suivi EAU-ELEC'!E11</f>
        <v>0</v>
      </c>
      <c r="G12" s="11"/>
      <c r="H12" s="236">
        <f t="shared" si="0"/>
        <v>0</v>
      </c>
      <c r="I12" s="237"/>
      <c r="J12" s="237"/>
      <c r="K12" s="54">
        <v>42280</v>
      </c>
      <c r="L12" s="84">
        <f>'Suivi EAU-ELEC'!G11</f>
        <v>0</v>
      </c>
      <c r="M12" s="85">
        <f>'Suivi EAU-ELEC'!I11</f>
        <v>0</v>
      </c>
      <c r="N12" s="85">
        <f>'Suivi EAU-ELEC'!K11</f>
        <v>0</v>
      </c>
      <c r="O12" s="85">
        <f>L12+M12+N12</f>
        <v>0</v>
      </c>
      <c r="P12" s="11"/>
      <c r="Q12" s="34">
        <f>L12*0.6985+M12*0.9514+N12*1.3304</f>
        <v>0</v>
      </c>
      <c r="R12" s="11"/>
      <c r="S12" s="28"/>
      <c r="T12" s="11"/>
      <c r="U12" s="28"/>
      <c r="V12" s="137">
        <f>'Suvi Gaz'!O6</f>
        <v>0</v>
      </c>
      <c r="W12" s="11"/>
      <c r="X12" s="34">
        <f t="shared" si="1"/>
        <v>0</v>
      </c>
    </row>
    <row r="13" spans="1:24" ht="32.25" customHeight="1">
      <c r="A13" s="2"/>
      <c r="B13" s="6">
        <v>44961</v>
      </c>
      <c r="C13" s="7"/>
      <c r="D13" s="134"/>
      <c r="E13" s="134"/>
      <c r="F13" s="13">
        <f>'Suivi EAU-ELEC'!E12</f>
        <v>0</v>
      </c>
      <c r="G13" s="11"/>
      <c r="H13" s="236">
        <f t="shared" si="0"/>
        <v>0</v>
      </c>
      <c r="I13" s="237"/>
      <c r="J13" s="237"/>
      <c r="K13" s="54">
        <v>42281</v>
      </c>
      <c r="L13" s="84">
        <f>'Suivi EAU-ELEC'!G12</f>
        <v>0</v>
      </c>
      <c r="M13" s="85">
        <f>'Suivi EAU-ELEC'!I12</f>
        <v>0</v>
      </c>
      <c r="N13" s="85">
        <f>'Suivi EAU-ELEC'!K12</f>
        <v>0</v>
      </c>
      <c r="O13" s="85">
        <f t="shared" ref="O13:O40" si="2">L13+M13+N13</f>
        <v>0</v>
      </c>
      <c r="P13" s="11"/>
      <c r="Q13" s="34">
        <f t="shared" ref="Q13:Q40" si="3">L13*0.6985+M13*0.9514+N13*1.3304</f>
        <v>0</v>
      </c>
      <c r="R13" s="11"/>
      <c r="S13" s="28"/>
      <c r="T13" s="11"/>
      <c r="U13" s="28"/>
      <c r="V13" s="137">
        <f>'Suvi Gaz'!O7</f>
        <v>0</v>
      </c>
      <c r="W13" s="11"/>
      <c r="X13" s="34">
        <f t="shared" si="1"/>
        <v>0</v>
      </c>
    </row>
    <row r="14" spans="1:24" ht="32.25" customHeight="1">
      <c r="A14" s="2"/>
      <c r="B14" s="6">
        <v>44962</v>
      </c>
      <c r="C14" s="7"/>
      <c r="D14" s="134"/>
      <c r="E14" s="134"/>
      <c r="F14" s="13">
        <f>'Suivi EAU-ELEC'!E13</f>
        <v>0</v>
      </c>
      <c r="G14" s="12"/>
      <c r="H14" s="236">
        <f t="shared" si="0"/>
        <v>0</v>
      </c>
      <c r="I14" s="237"/>
      <c r="J14" s="237"/>
      <c r="K14" s="54">
        <v>42282</v>
      </c>
      <c r="L14" s="84">
        <f>'Suivi EAU-ELEC'!G13</f>
        <v>0</v>
      </c>
      <c r="M14" s="85">
        <f>'Suivi EAU-ELEC'!I13</f>
        <v>0</v>
      </c>
      <c r="N14" s="85">
        <f>'Suivi EAU-ELEC'!K13</f>
        <v>0</v>
      </c>
      <c r="O14" s="85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37">
        <f>'Suvi Gaz'!O8</f>
        <v>0</v>
      </c>
      <c r="W14" s="11"/>
      <c r="X14" s="34">
        <f t="shared" si="1"/>
        <v>0</v>
      </c>
    </row>
    <row r="15" spans="1:24" ht="32.25" customHeight="1">
      <c r="A15" s="5"/>
      <c r="B15" s="6">
        <v>44963</v>
      </c>
      <c r="C15" s="7"/>
      <c r="D15" s="134"/>
      <c r="E15" s="134"/>
      <c r="F15" s="13">
        <f>'Suivi EAU-ELEC'!E14</f>
        <v>0</v>
      </c>
      <c r="G15" s="11"/>
      <c r="H15" s="236">
        <f t="shared" si="0"/>
        <v>0</v>
      </c>
      <c r="I15" s="237"/>
      <c r="J15" s="237"/>
      <c r="K15" s="54">
        <v>42283</v>
      </c>
      <c r="L15" s="84">
        <f>'Suivi EAU-ELEC'!G14</f>
        <v>0</v>
      </c>
      <c r="M15" s="85">
        <f>'Suivi EAU-ELEC'!I14</f>
        <v>0</v>
      </c>
      <c r="N15" s="85">
        <f>'Suivi EAU-ELEC'!K14</f>
        <v>0</v>
      </c>
      <c r="O15" s="85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37">
        <f>'Suvi Gaz'!O9</f>
        <v>0</v>
      </c>
      <c r="W15" s="11"/>
      <c r="X15" s="34">
        <f t="shared" si="1"/>
        <v>0</v>
      </c>
    </row>
    <row r="16" spans="1:24" ht="32.25" customHeight="1">
      <c r="A16" s="5"/>
      <c r="B16" s="6">
        <v>44964</v>
      </c>
      <c r="C16" s="7"/>
      <c r="D16" s="134"/>
      <c r="E16" s="134"/>
      <c r="F16" s="13">
        <f>'Suivi EAU-ELEC'!E15</f>
        <v>0</v>
      </c>
      <c r="G16" s="11"/>
      <c r="H16" s="236">
        <f t="shared" si="0"/>
        <v>0</v>
      </c>
      <c r="I16" s="237"/>
      <c r="J16" s="237"/>
      <c r="K16" s="54">
        <v>42284</v>
      </c>
      <c r="L16" s="84">
        <f>'Suivi EAU-ELEC'!G15</f>
        <v>0</v>
      </c>
      <c r="M16" s="85">
        <f>'Suivi EAU-ELEC'!I15</f>
        <v>0</v>
      </c>
      <c r="N16" s="85">
        <f>'Suivi EAU-ELEC'!K15</f>
        <v>0</v>
      </c>
      <c r="O16" s="85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37">
        <f>'Suvi Gaz'!O10</f>
        <v>0</v>
      </c>
      <c r="W16" s="11"/>
      <c r="X16" s="34">
        <f t="shared" si="1"/>
        <v>0</v>
      </c>
    </row>
    <row r="17" spans="1:24" s="5" customFormat="1" ht="32.25" customHeight="1">
      <c r="A17" s="2"/>
      <c r="B17" s="6">
        <v>44965</v>
      </c>
      <c r="C17" s="7"/>
      <c r="D17" s="134"/>
      <c r="E17" s="134"/>
      <c r="F17" s="13">
        <f>'Suivi EAU-ELEC'!E16</f>
        <v>0</v>
      </c>
      <c r="G17" s="11"/>
      <c r="H17" s="236">
        <f t="shared" si="0"/>
        <v>0</v>
      </c>
      <c r="I17" s="237"/>
      <c r="J17" s="237"/>
      <c r="K17" s="54">
        <v>42285</v>
      </c>
      <c r="L17" s="84">
        <f>'Suivi EAU-ELEC'!G16</f>
        <v>0</v>
      </c>
      <c r="M17" s="85">
        <f>'Suivi EAU-ELEC'!I16</f>
        <v>0</v>
      </c>
      <c r="N17" s="85">
        <f>'Suivi EAU-ELEC'!K16</f>
        <v>0</v>
      </c>
      <c r="O17" s="85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37">
        <f>'Suvi Gaz'!O11</f>
        <v>0</v>
      </c>
      <c r="W17" s="11"/>
      <c r="X17" s="34">
        <f t="shared" si="1"/>
        <v>0</v>
      </c>
    </row>
    <row r="18" spans="1:24" ht="32.25" customHeight="1">
      <c r="A18" s="2"/>
      <c r="B18" s="6">
        <v>44966</v>
      </c>
      <c r="C18" s="7"/>
      <c r="D18" s="134"/>
      <c r="E18" s="134"/>
      <c r="F18" s="13">
        <f>'Suivi EAU-ELEC'!E17</f>
        <v>0</v>
      </c>
      <c r="G18" s="11"/>
      <c r="H18" s="236">
        <f t="shared" si="0"/>
        <v>0</v>
      </c>
      <c r="I18" s="237"/>
      <c r="J18" s="237"/>
      <c r="K18" s="54">
        <v>42286</v>
      </c>
      <c r="L18" s="84">
        <f>'Suivi EAU-ELEC'!G17</f>
        <v>0</v>
      </c>
      <c r="M18" s="85">
        <f>'Suivi EAU-ELEC'!I17</f>
        <v>0</v>
      </c>
      <c r="N18" s="85">
        <f>'Suivi EAU-ELEC'!K17</f>
        <v>0</v>
      </c>
      <c r="O18" s="85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37">
        <f>'Suvi Gaz'!O12</f>
        <v>0</v>
      </c>
      <c r="W18" s="11"/>
      <c r="X18" s="34">
        <f t="shared" si="1"/>
        <v>0</v>
      </c>
    </row>
    <row r="19" spans="1:24" ht="32.25" customHeight="1">
      <c r="A19" s="2"/>
      <c r="B19" s="6">
        <v>44967</v>
      </c>
      <c r="C19" s="7"/>
      <c r="D19" s="134"/>
      <c r="E19" s="134"/>
      <c r="F19" s="13">
        <f>'Suivi EAU-ELEC'!E18</f>
        <v>0</v>
      </c>
      <c r="G19" s="12"/>
      <c r="H19" s="236">
        <f t="shared" si="0"/>
        <v>0</v>
      </c>
      <c r="I19" s="237"/>
      <c r="J19" s="237"/>
      <c r="K19" s="54">
        <v>42287</v>
      </c>
      <c r="L19" s="84">
        <f>'Suivi EAU-ELEC'!G18</f>
        <v>0</v>
      </c>
      <c r="M19" s="85">
        <f>'Suivi EAU-ELEC'!I18</f>
        <v>0</v>
      </c>
      <c r="N19" s="85">
        <f>'Suivi EAU-ELEC'!K18</f>
        <v>0</v>
      </c>
      <c r="O19" s="85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37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44968</v>
      </c>
      <c r="C20" s="7"/>
      <c r="D20" s="134"/>
      <c r="E20" s="134"/>
      <c r="F20" s="13">
        <f>'Suivi EAU-ELEC'!E19</f>
        <v>0</v>
      </c>
      <c r="G20" s="12"/>
      <c r="H20" s="236">
        <f t="shared" si="0"/>
        <v>0</v>
      </c>
      <c r="I20" s="237"/>
      <c r="J20" s="237"/>
      <c r="K20" s="54">
        <v>42288</v>
      </c>
      <c r="L20" s="84">
        <f>'Suivi EAU-ELEC'!G19</f>
        <v>0</v>
      </c>
      <c r="M20" s="85">
        <f>'Suivi EAU-ELEC'!I19</f>
        <v>0</v>
      </c>
      <c r="N20" s="85">
        <f>'Suivi EAU-ELEC'!K19</f>
        <v>0</v>
      </c>
      <c r="O20" s="85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37">
        <f>'Suvi Gaz'!O14</f>
        <v>0</v>
      </c>
      <c r="W20" s="11"/>
      <c r="X20" s="34">
        <f t="shared" si="1"/>
        <v>0</v>
      </c>
    </row>
    <row r="21" spans="1:24" ht="32.25" customHeight="1">
      <c r="A21" s="2"/>
      <c r="B21" s="6">
        <v>44969</v>
      </c>
      <c r="C21" s="7"/>
      <c r="D21" s="134"/>
      <c r="E21" s="134"/>
      <c r="F21" s="13">
        <f>'Suivi EAU-ELEC'!E20</f>
        <v>0</v>
      </c>
      <c r="G21" s="12"/>
      <c r="H21" s="236">
        <f t="shared" si="0"/>
        <v>0</v>
      </c>
      <c r="I21" s="237"/>
      <c r="J21" s="237"/>
      <c r="K21" s="54">
        <v>42289</v>
      </c>
      <c r="L21" s="84">
        <f>'Suivi EAU-ELEC'!G20</f>
        <v>0</v>
      </c>
      <c r="M21" s="85">
        <f>'Suivi EAU-ELEC'!I20</f>
        <v>0</v>
      </c>
      <c r="N21" s="85">
        <f>'Suivi EAU-ELEC'!K20</f>
        <v>0</v>
      </c>
      <c r="O21" s="85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37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44970</v>
      </c>
      <c r="C22" s="7"/>
      <c r="D22" s="134"/>
      <c r="E22" s="134"/>
      <c r="F22" s="13">
        <f>'Suivi EAU-ELEC'!E21</f>
        <v>0</v>
      </c>
      <c r="G22" s="12"/>
      <c r="H22" s="236">
        <f t="shared" ref="H22:H35" si="4">F22*8.79</f>
        <v>0</v>
      </c>
      <c r="I22" s="237"/>
      <c r="J22" s="237"/>
      <c r="K22" s="54">
        <v>42290</v>
      </c>
      <c r="L22" s="84">
        <f>'Suivi EAU-ELEC'!G21</f>
        <v>0</v>
      </c>
      <c r="M22" s="85">
        <f>'Suivi EAU-ELEC'!I21</f>
        <v>0</v>
      </c>
      <c r="N22" s="85">
        <f>'Suivi EAU-ELEC'!K21</f>
        <v>0</v>
      </c>
      <c r="O22" s="85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37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44971</v>
      </c>
      <c r="C23" s="7"/>
      <c r="D23" s="134"/>
      <c r="E23" s="134"/>
      <c r="F23" s="13">
        <f>'Suivi EAU-ELEC'!E22</f>
        <v>0</v>
      </c>
      <c r="G23" s="14"/>
      <c r="H23" s="236">
        <f t="shared" si="4"/>
        <v>0</v>
      </c>
      <c r="I23" s="237"/>
      <c r="J23" s="237"/>
      <c r="K23" s="54">
        <v>42291</v>
      </c>
      <c r="L23" s="84">
        <f>'Suivi EAU-ELEC'!G22</f>
        <v>0</v>
      </c>
      <c r="M23" s="85">
        <f>'Suivi EAU-ELEC'!I22</f>
        <v>0</v>
      </c>
      <c r="N23" s="85">
        <f>'Suivi EAU-ELEC'!K22</f>
        <v>0</v>
      </c>
      <c r="O23" s="85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37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44972</v>
      </c>
      <c r="C24" s="7"/>
      <c r="D24" s="134"/>
      <c r="E24" s="134"/>
      <c r="F24" s="13">
        <f>'Suivi EAU-ELEC'!E23</f>
        <v>0</v>
      </c>
      <c r="G24" s="14"/>
      <c r="H24" s="236">
        <f t="shared" si="4"/>
        <v>0</v>
      </c>
      <c r="I24" s="237"/>
      <c r="J24" s="237"/>
      <c r="K24" s="54">
        <v>42292</v>
      </c>
      <c r="L24" s="84">
        <f>'Suivi EAU-ELEC'!G23</f>
        <v>0</v>
      </c>
      <c r="M24" s="85">
        <f>'Suivi EAU-ELEC'!I23</f>
        <v>0</v>
      </c>
      <c r="N24" s="85">
        <f>'Suivi EAU-ELEC'!K23</f>
        <v>0</v>
      </c>
      <c r="O24" s="85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37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44973</v>
      </c>
      <c r="C25" s="7"/>
      <c r="D25" s="134"/>
      <c r="E25" s="134"/>
      <c r="F25" s="13">
        <f>'Suivi EAU-ELEC'!E24</f>
        <v>0</v>
      </c>
      <c r="G25" s="14"/>
      <c r="H25" s="236">
        <f t="shared" si="4"/>
        <v>0</v>
      </c>
      <c r="I25" s="237"/>
      <c r="J25" s="237"/>
      <c r="K25" s="54">
        <v>42293</v>
      </c>
      <c r="L25" s="84">
        <f>'Suivi EAU-ELEC'!G24</f>
        <v>0</v>
      </c>
      <c r="M25" s="85">
        <f>'Suivi EAU-ELEC'!I24</f>
        <v>0</v>
      </c>
      <c r="N25" s="85">
        <f>'Suivi EAU-ELEC'!K24</f>
        <v>0</v>
      </c>
      <c r="O25" s="85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37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44974</v>
      </c>
      <c r="C26" s="7"/>
      <c r="D26" s="134"/>
      <c r="E26" s="134"/>
      <c r="F26" s="13">
        <f>'Suivi EAU-ELEC'!E25</f>
        <v>0</v>
      </c>
      <c r="G26" s="14"/>
      <c r="H26" s="236">
        <f t="shared" si="4"/>
        <v>0</v>
      </c>
      <c r="I26" s="237"/>
      <c r="J26" s="237"/>
      <c r="K26" s="54">
        <v>42294</v>
      </c>
      <c r="L26" s="84">
        <f>'Suivi EAU-ELEC'!G25</f>
        <v>0</v>
      </c>
      <c r="M26" s="85">
        <f>'Suivi EAU-ELEC'!I25</f>
        <v>0</v>
      </c>
      <c r="N26" s="85">
        <f>'Suivi EAU-ELEC'!K25</f>
        <v>0</v>
      </c>
      <c r="O26" s="85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37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44975</v>
      </c>
      <c r="C27" s="7"/>
      <c r="D27" s="134"/>
      <c r="E27" s="134"/>
      <c r="F27" s="13">
        <f>'Suivi EAU-ELEC'!E26</f>
        <v>0</v>
      </c>
      <c r="G27" s="14"/>
      <c r="H27" s="236">
        <f t="shared" si="4"/>
        <v>0</v>
      </c>
      <c r="I27" s="237"/>
      <c r="J27" s="237"/>
      <c r="K27" s="54">
        <v>42295</v>
      </c>
      <c r="L27" s="84">
        <f>'Suivi EAU-ELEC'!G26</f>
        <v>0</v>
      </c>
      <c r="M27" s="85">
        <f>'Suivi EAU-ELEC'!I26</f>
        <v>0</v>
      </c>
      <c r="N27" s="85">
        <f>'Suivi EAU-ELEC'!K26</f>
        <v>0</v>
      </c>
      <c r="O27" s="85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37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44976</v>
      </c>
      <c r="C28" s="7"/>
      <c r="D28" s="134"/>
      <c r="E28" s="134"/>
      <c r="F28" s="13">
        <f>'Suivi EAU-ELEC'!E27</f>
        <v>0</v>
      </c>
      <c r="G28" s="11"/>
      <c r="H28" s="236">
        <f t="shared" si="4"/>
        <v>0</v>
      </c>
      <c r="I28" s="237"/>
      <c r="J28" s="237"/>
      <c r="K28" s="54">
        <v>42296</v>
      </c>
      <c r="L28" s="84">
        <f>'Suivi EAU-ELEC'!G27</f>
        <v>0</v>
      </c>
      <c r="M28" s="85">
        <f>'Suivi EAU-ELEC'!I27</f>
        <v>0</v>
      </c>
      <c r="N28" s="85">
        <f>'Suivi EAU-ELEC'!K27</f>
        <v>0</v>
      </c>
      <c r="O28" s="85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37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44977</v>
      </c>
      <c r="C29" s="7"/>
      <c r="D29" s="134"/>
      <c r="E29" s="134"/>
      <c r="F29" s="13">
        <f>'Suivi EAU-ELEC'!E28</f>
        <v>0</v>
      </c>
      <c r="G29" s="11"/>
      <c r="H29" s="236">
        <f t="shared" si="4"/>
        <v>0</v>
      </c>
      <c r="I29" s="237"/>
      <c r="J29" s="237"/>
      <c r="K29" s="54">
        <v>42297</v>
      </c>
      <c r="L29" s="84">
        <f>'Suivi EAU-ELEC'!G28</f>
        <v>0</v>
      </c>
      <c r="M29" s="85">
        <f>'Suivi EAU-ELEC'!I28</f>
        <v>0</v>
      </c>
      <c r="N29" s="85">
        <f>'Suivi EAU-ELEC'!K28</f>
        <v>0</v>
      </c>
      <c r="O29" s="85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37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44978</v>
      </c>
      <c r="C30" s="7"/>
      <c r="D30" s="134"/>
      <c r="E30" s="134"/>
      <c r="F30" s="13">
        <f>'Suivi EAU-ELEC'!E29</f>
        <v>0</v>
      </c>
      <c r="G30" s="11"/>
      <c r="H30" s="236">
        <f t="shared" si="4"/>
        <v>0</v>
      </c>
      <c r="I30" s="237"/>
      <c r="J30" s="237"/>
      <c r="K30" s="54">
        <v>42298</v>
      </c>
      <c r="L30" s="84">
        <f>'Suivi EAU-ELEC'!G29</f>
        <v>0</v>
      </c>
      <c r="M30" s="85">
        <f>'Suivi EAU-ELEC'!I29</f>
        <v>0</v>
      </c>
      <c r="N30" s="85">
        <f>'Suivi EAU-ELEC'!K29</f>
        <v>0</v>
      </c>
      <c r="O30" s="85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37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44979</v>
      </c>
      <c r="C31" s="7"/>
      <c r="D31" s="134"/>
      <c r="E31" s="134"/>
      <c r="F31" s="13">
        <f>'Suivi EAU-ELEC'!E30</f>
        <v>0</v>
      </c>
      <c r="G31" s="11"/>
      <c r="H31" s="236">
        <f t="shared" si="4"/>
        <v>0</v>
      </c>
      <c r="I31" s="237"/>
      <c r="J31" s="237"/>
      <c r="K31" s="54">
        <v>42299</v>
      </c>
      <c r="L31" s="84">
        <f>'Suivi EAU-ELEC'!G30</f>
        <v>0</v>
      </c>
      <c r="M31" s="85">
        <f>'Suivi EAU-ELEC'!I30</f>
        <v>0</v>
      </c>
      <c r="N31" s="85">
        <f>'Suivi EAU-ELEC'!K30</f>
        <v>0</v>
      </c>
      <c r="O31" s="85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37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44980</v>
      </c>
      <c r="C32" s="7"/>
      <c r="D32" s="134"/>
      <c r="E32" s="134"/>
      <c r="F32" s="13">
        <f>'Suivi EAU-ELEC'!E31</f>
        <v>0</v>
      </c>
      <c r="G32" s="11"/>
      <c r="H32" s="236">
        <f t="shared" si="4"/>
        <v>0</v>
      </c>
      <c r="I32" s="237"/>
      <c r="J32" s="237"/>
      <c r="K32" s="54">
        <v>42300</v>
      </c>
      <c r="L32" s="84">
        <f>'Suivi EAU-ELEC'!G31</f>
        <v>0</v>
      </c>
      <c r="M32" s="85">
        <f>'Suivi EAU-ELEC'!I31</f>
        <v>0</v>
      </c>
      <c r="N32" s="85">
        <f>'Suivi EAU-ELEC'!K31</f>
        <v>0</v>
      </c>
      <c r="O32" s="85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37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44981</v>
      </c>
      <c r="C33" s="7"/>
      <c r="D33" s="134"/>
      <c r="E33" s="134"/>
      <c r="F33" s="13">
        <f>'Suivi EAU-ELEC'!E32</f>
        <v>0</v>
      </c>
      <c r="G33" s="11"/>
      <c r="H33" s="236">
        <f t="shared" si="4"/>
        <v>0</v>
      </c>
      <c r="I33" s="237"/>
      <c r="J33" s="237"/>
      <c r="K33" s="54">
        <v>42301</v>
      </c>
      <c r="L33" s="84">
        <f>'Suivi EAU-ELEC'!G32</f>
        <v>0</v>
      </c>
      <c r="M33" s="85">
        <f>'Suivi EAU-ELEC'!I32</f>
        <v>0</v>
      </c>
      <c r="N33" s="85">
        <f>'Suivi EAU-ELEC'!K32</f>
        <v>0</v>
      </c>
      <c r="O33" s="85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37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44982</v>
      </c>
      <c r="C34" s="7"/>
      <c r="D34" s="134"/>
      <c r="E34" s="134"/>
      <c r="F34" s="13">
        <f>'Suivi EAU-ELEC'!E33</f>
        <v>0</v>
      </c>
      <c r="G34" s="11"/>
      <c r="H34" s="236">
        <f t="shared" si="4"/>
        <v>0</v>
      </c>
      <c r="I34" s="237"/>
      <c r="J34" s="237"/>
      <c r="K34" s="54">
        <v>42302</v>
      </c>
      <c r="L34" s="84">
        <f>'Suivi EAU-ELEC'!G33</f>
        <v>0</v>
      </c>
      <c r="M34" s="85">
        <f>'Suivi EAU-ELEC'!I33</f>
        <v>0</v>
      </c>
      <c r="N34" s="85">
        <f>'Suivi EAU-ELEC'!K33</f>
        <v>0</v>
      </c>
      <c r="O34" s="85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37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44983</v>
      </c>
      <c r="C35" s="7"/>
      <c r="D35" s="134"/>
      <c r="E35" s="134"/>
      <c r="F35" s="13">
        <f>'Suivi EAU-ELEC'!E34</f>
        <v>0</v>
      </c>
      <c r="G35" s="11"/>
      <c r="H35" s="236">
        <f t="shared" si="4"/>
        <v>0</v>
      </c>
      <c r="I35" s="237"/>
      <c r="J35" s="237"/>
      <c r="K35" s="54">
        <v>42303</v>
      </c>
      <c r="L35" s="84">
        <f>'Suivi EAU-ELEC'!G34</f>
        <v>0</v>
      </c>
      <c r="M35" s="85">
        <f>'Suivi EAU-ELEC'!I34</f>
        <v>0</v>
      </c>
      <c r="N35" s="85">
        <f>'Suivi EAU-ELEC'!K34</f>
        <v>0</v>
      </c>
      <c r="O35" s="85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37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44984</v>
      </c>
      <c r="C36" s="7"/>
      <c r="D36" s="134"/>
      <c r="E36" s="134"/>
      <c r="F36" s="13">
        <f>'Suivi EAU-ELEC'!E35</f>
        <v>0</v>
      </c>
      <c r="G36" s="11"/>
      <c r="H36" s="236">
        <f>F36*8.79</f>
        <v>0</v>
      </c>
      <c r="I36" s="237"/>
      <c r="J36" s="237"/>
      <c r="K36" s="54">
        <v>42304</v>
      </c>
      <c r="L36" s="84">
        <f>'Suivi EAU-ELEC'!G35</f>
        <v>0</v>
      </c>
      <c r="M36" s="85">
        <f>'Suivi EAU-ELEC'!I35</f>
        <v>0</v>
      </c>
      <c r="N36" s="85">
        <f>'Suivi EAU-ELEC'!K35</f>
        <v>0</v>
      </c>
      <c r="O36" s="85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44985</v>
      </c>
      <c r="C37" s="7"/>
      <c r="D37" s="134"/>
      <c r="E37" s="134"/>
      <c r="F37" s="13">
        <f>'Suivi EAU-ELEC'!E36</f>
        <v>0</v>
      </c>
      <c r="G37" s="11"/>
      <c r="H37" s="236">
        <f t="shared" ref="H37:H38" si="5">F37*8.79</f>
        <v>0</v>
      </c>
      <c r="I37" s="237"/>
      <c r="J37" s="237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/>
      <c r="C38" s="7"/>
      <c r="D38" s="134"/>
      <c r="E38" s="134"/>
      <c r="F38" s="13">
        <f>'Suivi EAU-ELEC'!E37</f>
        <v>0</v>
      </c>
      <c r="G38" s="11"/>
      <c r="H38" s="236">
        <f t="shared" si="5"/>
        <v>0</v>
      </c>
      <c r="I38" s="237"/>
      <c r="J38" s="237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/>
      <c r="C39" s="7"/>
      <c r="D39" s="134"/>
      <c r="E39" s="134"/>
      <c r="F39" s="13">
        <f>'Suivi EAU-ELEC'!E38</f>
        <v>0</v>
      </c>
      <c r="G39" s="11"/>
      <c r="H39" s="236">
        <f t="shared" ref="H39" si="6">F39*8.79</f>
        <v>0</v>
      </c>
      <c r="I39" s="237"/>
      <c r="J39" s="237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/>
      <c r="C40" s="7"/>
      <c r="D40" s="134"/>
      <c r="E40" s="134"/>
      <c r="F40" s="13">
        <f>'Suivi EAU-ELEC'!E39</f>
        <v>0</v>
      </c>
      <c r="G40" s="11"/>
      <c r="H40" s="236">
        <f t="shared" ref="H40" si="7">F40*8.79</f>
        <v>0</v>
      </c>
      <c r="I40" s="237"/>
      <c r="J40" s="237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0</v>
      </c>
      <c r="E41" s="8">
        <f>SUM(E10:E40)</f>
        <v>0</v>
      </c>
      <c r="F41" s="143">
        <f>SUM(F10:F40)</f>
        <v>104</v>
      </c>
      <c r="G41" s="1"/>
      <c r="H41" s="317">
        <f>SUM(H10:H40)</f>
        <v>914.15999999999985</v>
      </c>
      <c r="I41" s="318"/>
      <c r="J41" s="319"/>
      <c r="K41" s="1"/>
      <c r="L41" s="51">
        <f>SUM(L10:L40)</f>
        <v>3791</v>
      </c>
      <c r="M41" s="51">
        <f>SUM(M10:M40)</f>
        <v>5841</v>
      </c>
      <c r="N41" s="52">
        <f>SUM(N10:N40)</f>
        <v>2363</v>
      </c>
      <c r="O41" s="53">
        <f>SUM(O10:O40)</f>
        <v>11995</v>
      </c>
      <c r="P41" s="31"/>
      <c r="Q41" s="32">
        <f>SUM(Q10:Q40)</f>
        <v>11348.876100000001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0</v>
      </c>
      <c r="W41" s="31"/>
      <c r="X41" s="32">
        <f>SUM(X10:X40)</f>
        <v>0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72" t="s">
        <v>33</v>
      </c>
      <c r="B43" s="273"/>
      <c r="C43" s="273"/>
      <c r="D43" s="273"/>
      <c r="E43" s="273"/>
      <c r="F43" s="274"/>
      <c r="G43" s="26"/>
      <c r="H43" s="27" t="s">
        <v>34</v>
      </c>
      <c r="I43" s="311" t="s">
        <v>35</v>
      </c>
      <c r="J43" s="312"/>
      <c r="K43" s="313"/>
      <c r="L43" s="286" t="s">
        <v>36</v>
      </c>
      <c r="M43" s="287"/>
      <c r="N43" s="272" t="s">
        <v>37</v>
      </c>
      <c r="O43" s="273"/>
      <c r="P43" s="273"/>
      <c r="Q43" s="273"/>
      <c r="R43" s="273"/>
      <c r="S43" s="273"/>
      <c r="T43" s="273"/>
      <c r="U43" s="273"/>
      <c r="V43" s="273"/>
      <c r="W43" s="273"/>
      <c r="X43" s="274"/>
    </row>
    <row r="44" spans="1:24" s="18" customFormat="1" ht="29.25" customHeight="1" thickBot="1">
      <c r="A44" s="280" t="s">
        <v>38</v>
      </c>
      <c r="B44" s="281"/>
      <c r="C44" s="282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77">
        <f>L41</f>
        <v>3791</v>
      </c>
      <c r="J44" s="278"/>
      <c r="K44" s="279"/>
      <c r="L44" s="238">
        <f>I44*H44</f>
        <v>2648.0135</v>
      </c>
      <c r="M44" s="239"/>
      <c r="N44" s="295">
        <f>L44+L45+L46</f>
        <v>11348.876100000001</v>
      </c>
      <c r="O44" s="296"/>
      <c r="P44" s="296"/>
      <c r="Q44" s="296"/>
      <c r="R44" s="296"/>
      <c r="S44" s="296"/>
      <c r="T44" s="296"/>
      <c r="U44" s="296"/>
      <c r="V44" s="296"/>
      <c r="W44" s="296"/>
      <c r="X44" s="297"/>
    </row>
    <row r="45" spans="1:24" s="18" customFormat="1" ht="29.25" customHeight="1" thickBot="1">
      <c r="A45" s="283"/>
      <c r="B45" s="284"/>
      <c r="C45" s="285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77">
        <f>M41</f>
        <v>5841</v>
      </c>
      <c r="J45" s="278"/>
      <c r="K45" s="279"/>
      <c r="L45" s="238">
        <f>I45*H45</f>
        <v>5557.1274000000003</v>
      </c>
      <c r="M45" s="239"/>
      <c r="N45" s="298"/>
      <c r="O45" s="299"/>
      <c r="P45" s="299"/>
      <c r="Q45" s="299"/>
      <c r="R45" s="299"/>
      <c r="S45" s="299"/>
      <c r="T45" s="299"/>
      <c r="U45" s="299"/>
      <c r="V45" s="299"/>
      <c r="W45" s="299"/>
      <c r="X45" s="300"/>
    </row>
    <row r="46" spans="1:24" s="18" customFormat="1" ht="24.75" customHeight="1" thickBot="1">
      <c r="A46" s="283"/>
      <c r="B46" s="284"/>
      <c r="C46" s="285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308">
        <f>N41</f>
        <v>2363</v>
      </c>
      <c r="J46" s="309"/>
      <c r="K46" s="310"/>
      <c r="L46" s="238">
        <f>I46*H46</f>
        <v>3143.7352000000001</v>
      </c>
      <c r="M46" s="239"/>
      <c r="N46" s="301"/>
      <c r="O46" s="302"/>
      <c r="P46" s="302"/>
      <c r="Q46" s="302"/>
      <c r="R46" s="302"/>
      <c r="S46" s="302"/>
      <c r="T46" s="302"/>
      <c r="U46" s="302"/>
      <c r="V46" s="302"/>
      <c r="W46" s="302"/>
      <c r="X46" s="303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314">
        <f>N44*1.3</f>
        <v>14753.538930000002</v>
      </c>
      <c r="O47" s="315"/>
      <c r="P47" s="315"/>
      <c r="Q47" s="315"/>
      <c r="R47" s="315"/>
      <c r="S47" s="315"/>
      <c r="T47" s="315"/>
      <c r="U47" s="315"/>
      <c r="V47" s="315"/>
      <c r="W47" s="315"/>
      <c r="X47" s="316"/>
    </row>
    <row r="48" spans="1:24" s="23" customFormat="1" ht="32.25" customHeight="1" thickBot="1">
      <c r="A48" s="269" t="s">
        <v>39</v>
      </c>
      <c r="B48" s="270"/>
      <c r="C48" s="270"/>
      <c r="D48" s="270"/>
      <c r="E48" s="270"/>
      <c r="F48" s="271"/>
      <c r="G48" s="21"/>
      <c r="H48" s="22">
        <v>8.7899999999999991</v>
      </c>
      <c r="I48" s="269">
        <f>F41</f>
        <v>104</v>
      </c>
      <c r="J48" s="270"/>
      <c r="K48" s="271"/>
      <c r="L48" s="275">
        <f>I48*H48</f>
        <v>914.15999999999985</v>
      </c>
      <c r="M48" s="276"/>
      <c r="N48" s="292">
        <f>L48</f>
        <v>914.15999999999985</v>
      </c>
      <c r="O48" s="293"/>
      <c r="P48" s="293"/>
      <c r="Q48" s="293"/>
      <c r="R48" s="293"/>
      <c r="S48" s="293"/>
      <c r="T48" s="293"/>
      <c r="U48" s="293"/>
      <c r="V48" s="293"/>
      <c r="W48" s="293"/>
      <c r="X48" s="294"/>
    </row>
    <row r="49" spans="1:24" s="23" customFormat="1" ht="36.75" customHeight="1">
      <c r="A49" s="304" t="s">
        <v>40</v>
      </c>
      <c r="B49" s="305"/>
      <c r="C49" s="305"/>
      <c r="D49" s="305"/>
      <c r="E49" s="305"/>
      <c r="F49" s="306"/>
      <c r="G49" s="24"/>
      <c r="H49" s="25">
        <v>12.53</v>
      </c>
      <c r="I49" s="267">
        <f>V41</f>
        <v>0</v>
      </c>
      <c r="J49" s="307"/>
      <c r="K49" s="268"/>
      <c r="L49" s="267">
        <f>I49*H49</f>
        <v>0</v>
      </c>
      <c r="M49" s="268"/>
      <c r="N49" s="289">
        <f>L49</f>
        <v>0</v>
      </c>
      <c r="O49" s="290"/>
      <c r="P49" s="290"/>
      <c r="Q49" s="290"/>
      <c r="R49" s="290"/>
      <c r="S49" s="290"/>
      <c r="T49" s="290"/>
      <c r="U49" s="290"/>
      <c r="V49" s="290"/>
      <c r="W49" s="290"/>
      <c r="X49" s="29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H9" activePane="bottomRight" state="frozen"/>
      <selection pane="bottomRight" activeCell="D9" sqref="D9:K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226"/>
      <c r="B1" s="227"/>
      <c r="C1" s="227"/>
      <c r="D1" s="228"/>
      <c r="E1" s="209" t="s">
        <v>41</v>
      </c>
      <c r="F1" s="210"/>
      <c r="G1" s="210"/>
      <c r="H1" s="210"/>
      <c r="I1" s="211"/>
      <c r="J1" s="218" t="s">
        <v>42</v>
      </c>
      <c r="K1" s="219"/>
      <c r="L1" s="49"/>
    </row>
    <row r="2" spans="1:12" ht="16.5" customHeight="1">
      <c r="A2" s="229"/>
      <c r="B2" s="230"/>
      <c r="C2" s="230"/>
      <c r="D2" s="231"/>
      <c r="E2" s="212"/>
      <c r="F2" s="213"/>
      <c r="G2" s="213"/>
      <c r="H2" s="213"/>
      <c r="I2" s="214"/>
      <c r="J2" s="220"/>
      <c r="K2" s="221"/>
      <c r="L2" s="49"/>
    </row>
    <row r="3" spans="1:12" ht="48" customHeight="1">
      <c r="A3" s="232"/>
      <c r="B3" s="233"/>
      <c r="C3" s="233"/>
      <c r="D3" s="234"/>
      <c r="E3" s="215"/>
      <c r="F3" s="216"/>
      <c r="G3" s="216"/>
      <c r="H3" s="216"/>
      <c r="I3" s="217"/>
      <c r="J3" s="222"/>
      <c r="K3" s="223"/>
      <c r="L3" s="49"/>
    </row>
    <row r="6" spans="1:12" ht="10.5" customHeight="1"/>
    <row r="7" spans="1:12" ht="16.5" customHeight="1">
      <c r="A7" s="208" t="s">
        <v>43</v>
      </c>
      <c r="B7" s="235" t="s">
        <v>44</v>
      </c>
      <c r="C7" s="235"/>
      <c r="D7" s="224" t="s">
        <v>45</v>
      </c>
      <c r="E7" s="224"/>
      <c r="F7" s="225" t="s">
        <v>46</v>
      </c>
      <c r="G7" s="225"/>
      <c r="H7" s="225"/>
      <c r="I7" s="225"/>
      <c r="J7" s="225"/>
      <c r="K7" s="225"/>
    </row>
    <row r="8" spans="1:12" s="29" customFormat="1" ht="28.5" customHeight="1">
      <c r="A8" s="208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44958</v>
      </c>
      <c r="B9" s="161">
        <v>2594</v>
      </c>
      <c r="C9" s="162">
        <v>0</v>
      </c>
      <c r="D9" s="163">
        <v>184352</v>
      </c>
      <c r="E9" s="164">
        <v>104</v>
      </c>
      <c r="F9" s="165">
        <v>13030182</v>
      </c>
      <c r="G9" s="164">
        <v>3791</v>
      </c>
      <c r="H9" s="165">
        <v>22207039</v>
      </c>
      <c r="I9" s="164">
        <v>5841</v>
      </c>
      <c r="J9" s="165">
        <v>9748438</v>
      </c>
      <c r="K9" s="164">
        <v>2363</v>
      </c>
    </row>
    <row r="10" spans="1:12" ht="19.5">
      <c r="A10" s="160">
        <v>44959</v>
      </c>
      <c r="B10" s="161"/>
      <c r="C10" s="162">
        <v>0</v>
      </c>
      <c r="D10" s="163"/>
      <c r="E10" s="164"/>
      <c r="F10" s="165"/>
      <c r="G10" s="164"/>
      <c r="H10" s="165"/>
      <c r="I10" s="164"/>
      <c r="J10" s="165"/>
      <c r="K10" s="164"/>
    </row>
    <row r="11" spans="1:12" ht="19.5">
      <c r="A11" s="160">
        <v>44960</v>
      </c>
      <c r="B11" s="161"/>
      <c r="C11" s="162">
        <v>0</v>
      </c>
      <c r="D11" s="163"/>
      <c r="E11" s="164">
        <f>D11-D10</f>
        <v>0</v>
      </c>
      <c r="F11" s="165"/>
      <c r="G11" s="164">
        <f>F11-F10</f>
        <v>0</v>
      </c>
      <c r="H11" s="165"/>
      <c r="I11" s="164">
        <f>H11-H10</f>
        <v>0</v>
      </c>
      <c r="J11" s="165"/>
      <c r="K11" s="164">
        <f>J11-J10</f>
        <v>0</v>
      </c>
    </row>
    <row r="12" spans="1:12" ht="19.5">
      <c r="A12" s="160">
        <v>44961</v>
      </c>
      <c r="B12" s="161"/>
      <c r="C12" s="162">
        <v>0</v>
      </c>
      <c r="D12" s="163"/>
      <c r="E12" s="164">
        <f>D12-D11</f>
        <v>0</v>
      </c>
      <c r="F12" s="165"/>
      <c r="G12" s="164">
        <f>F12-F11</f>
        <v>0</v>
      </c>
      <c r="H12" s="165"/>
      <c r="I12" s="164">
        <f>H12-H11</f>
        <v>0</v>
      </c>
      <c r="J12" s="165"/>
      <c r="K12" s="164">
        <f>J12-J11</f>
        <v>0</v>
      </c>
    </row>
    <row r="13" spans="1:12" ht="19.5">
      <c r="A13" s="160">
        <v>44962</v>
      </c>
      <c r="B13" s="161"/>
      <c r="C13" s="162">
        <v>0</v>
      </c>
      <c r="D13" s="163"/>
      <c r="E13" s="164">
        <f>D13-D12</f>
        <v>0</v>
      </c>
      <c r="F13" s="165"/>
      <c r="G13" s="164">
        <f>F13-F12</f>
        <v>0</v>
      </c>
      <c r="H13" s="165"/>
      <c r="I13" s="164">
        <f>H13-H12</f>
        <v>0</v>
      </c>
      <c r="J13" s="165"/>
      <c r="K13" s="164">
        <f>J13-J12</f>
        <v>0</v>
      </c>
    </row>
    <row r="14" spans="1:12" ht="19.5">
      <c r="A14" s="160">
        <v>44963</v>
      </c>
      <c r="B14" s="161"/>
      <c r="C14" s="162">
        <v>0</v>
      </c>
      <c r="D14" s="163"/>
      <c r="E14" s="164">
        <f>D14-D13</f>
        <v>0</v>
      </c>
      <c r="F14" s="165"/>
      <c r="G14" s="164">
        <f>F14-F13</f>
        <v>0</v>
      </c>
      <c r="H14" s="165"/>
      <c r="I14" s="164">
        <f>H14-H13</f>
        <v>0</v>
      </c>
      <c r="J14" s="165"/>
      <c r="K14" s="164">
        <f>J14-J13</f>
        <v>0</v>
      </c>
    </row>
    <row r="15" spans="1:12" ht="19.5">
      <c r="A15" s="160">
        <v>44964</v>
      </c>
      <c r="B15" s="161"/>
      <c r="C15" s="162">
        <v>0</v>
      </c>
      <c r="D15" s="163"/>
      <c r="E15" s="164">
        <f>D15-D14</f>
        <v>0</v>
      </c>
      <c r="F15" s="165"/>
      <c r="G15" s="164">
        <f t="shared" ref="G15:H36" si="0">F15-F14</f>
        <v>0</v>
      </c>
      <c r="H15" s="165"/>
      <c r="I15" s="164">
        <f t="shared" ref="I15:I16" si="1">H15-H14</f>
        <v>0</v>
      </c>
      <c r="J15" s="165"/>
      <c r="K15" s="164">
        <f t="shared" ref="K15:K16" si="2">J15-J14</f>
        <v>0</v>
      </c>
    </row>
    <row r="16" spans="1:12" ht="19.5">
      <c r="A16" s="160">
        <v>44965</v>
      </c>
      <c r="B16" s="161"/>
      <c r="C16" s="162">
        <v>0</v>
      </c>
      <c r="D16" s="163"/>
      <c r="E16" s="164">
        <f t="shared" ref="E11:E16" si="3">D16-D15</f>
        <v>0</v>
      </c>
      <c r="F16" s="165"/>
      <c r="G16" s="164">
        <f t="shared" si="0"/>
        <v>0</v>
      </c>
      <c r="H16" s="165"/>
      <c r="I16" s="164">
        <f t="shared" si="1"/>
        <v>0</v>
      </c>
      <c r="J16" s="165"/>
      <c r="K16" s="164">
        <f t="shared" si="2"/>
        <v>0</v>
      </c>
    </row>
    <row r="17" spans="1:29" ht="23.25" customHeight="1">
      <c r="A17" s="160">
        <v>44966</v>
      </c>
      <c r="B17" s="161"/>
      <c r="C17" s="162">
        <v>0</v>
      </c>
      <c r="D17" s="163"/>
      <c r="E17" s="164">
        <f t="shared" ref="E17:E40" si="4">D17-D16</f>
        <v>0</v>
      </c>
      <c r="F17" s="165"/>
      <c r="G17" s="164">
        <f t="shared" si="0"/>
        <v>0</v>
      </c>
      <c r="H17" s="165"/>
      <c r="I17" s="164">
        <f t="shared" ref="I11:I40" si="5">H17-H16</f>
        <v>0</v>
      </c>
      <c r="J17" s="165"/>
      <c r="K17" s="164">
        <f t="shared" ref="K17:K40" si="6">J17-J16</f>
        <v>0</v>
      </c>
    </row>
    <row r="18" spans="1:29" ht="23.25" customHeight="1">
      <c r="A18" s="160">
        <v>44967</v>
      </c>
      <c r="B18" s="161"/>
      <c r="C18" s="162">
        <v>0</v>
      </c>
      <c r="D18" s="163"/>
      <c r="E18" s="164">
        <f t="shared" si="4"/>
        <v>0</v>
      </c>
      <c r="F18" s="165"/>
      <c r="G18" s="164">
        <f t="shared" si="0"/>
        <v>0</v>
      </c>
      <c r="H18" s="165"/>
      <c r="I18" s="164">
        <f t="shared" si="5"/>
        <v>0</v>
      </c>
      <c r="J18" s="165"/>
      <c r="K18" s="164">
        <f>J18-J17</f>
        <v>0</v>
      </c>
    </row>
    <row r="19" spans="1:29" ht="23.25" customHeight="1">
      <c r="A19" s="160">
        <v>44968</v>
      </c>
      <c r="B19" s="161"/>
      <c r="C19" s="162">
        <v>0</v>
      </c>
      <c r="D19" s="163"/>
      <c r="E19" s="164">
        <f>D19-D18</f>
        <v>0</v>
      </c>
      <c r="F19" s="165"/>
      <c r="G19" s="164">
        <f t="shared" si="0"/>
        <v>0</v>
      </c>
      <c r="H19" s="165"/>
      <c r="I19" s="164">
        <f t="shared" si="5"/>
        <v>0</v>
      </c>
      <c r="J19" s="165"/>
      <c r="K19" s="164">
        <f>J19-J18</f>
        <v>0</v>
      </c>
    </row>
    <row r="20" spans="1:29" ht="23.25" customHeight="1">
      <c r="A20" s="160">
        <v>44969</v>
      </c>
      <c r="B20" s="161"/>
      <c r="C20" s="162">
        <v>0</v>
      </c>
      <c r="D20" s="163"/>
      <c r="E20" s="164">
        <f>D20-D19</f>
        <v>0</v>
      </c>
      <c r="F20" s="165"/>
      <c r="G20" s="164">
        <f t="shared" si="0"/>
        <v>0</v>
      </c>
      <c r="H20" s="165"/>
      <c r="I20" s="164">
        <f t="shared" si="5"/>
        <v>0</v>
      </c>
      <c r="J20" s="165"/>
      <c r="K20" s="164">
        <f>J20-J19</f>
        <v>0</v>
      </c>
      <c r="L20" s="108" t="s">
        <v>18</v>
      </c>
      <c r="AC20" t="s">
        <v>56</v>
      </c>
    </row>
    <row r="21" spans="1:29" ht="23.25" customHeight="1">
      <c r="A21" s="160">
        <v>44970</v>
      </c>
      <c r="B21" s="161"/>
      <c r="C21" s="162">
        <v>0</v>
      </c>
      <c r="D21" s="163"/>
      <c r="E21" s="164">
        <f>D21-D20</f>
        <v>0</v>
      </c>
      <c r="F21" s="165"/>
      <c r="G21" s="164">
        <f t="shared" si="0"/>
        <v>0</v>
      </c>
      <c r="H21" s="165"/>
      <c r="I21" s="164">
        <f t="shared" si="5"/>
        <v>0</v>
      </c>
      <c r="J21" s="165"/>
      <c r="K21" s="164">
        <f>J21-J20</f>
        <v>0</v>
      </c>
    </row>
    <row r="22" spans="1:29" ht="23.25" customHeight="1">
      <c r="A22" s="160">
        <v>44971</v>
      </c>
      <c r="B22" s="161"/>
      <c r="C22" s="162">
        <v>0</v>
      </c>
      <c r="D22" s="163"/>
      <c r="E22" s="164">
        <f t="shared" ref="E22:E38" si="7">D22-D21</f>
        <v>0</v>
      </c>
      <c r="F22" s="165"/>
      <c r="G22" s="164">
        <f t="shared" si="0"/>
        <v>0</v>
      </c>
      <c r="H22" s="165"/>
      <c r="I22" s="164">
        <f t="shared" si="5"/>
        <v>0</v>
      </c>
      <c r="J22" s="165"/>
      <c r="K22" s="164">
        <f t="shared" ref="K22:K29" si="8">J22-J21</f>
        <v>0</v>
      </c>
    </row>
    <row r="23" spans="1:29" ht="23.25" customHeight="1">
      <c r="A23" s="160">
        <v>44972</v>
      </c>
      <c r="B23" s="161"/>
      <c r="C23" s="162">
        <v>0</v>
      </c>
      <c r="D23" s="163"/>
      <c r="E23" s="164">
        <f t="shared" si="7"/>
        <v>0</v>
      </c>
      <c r="F23" s="165"/>
      <c r="G23" s="164">
        <f t="shared" si="0"/>
        <v>0</v>
      </c>
      <c r="H23" s="165"/>
      <c r="I23" s="164">
        <f t="shared" si="5"/>
        <v>0</v>
      </c>
      <c r="J23" s="165"/>
      <c r="K23" s="164">
        <f t="shared" si="8"/>
        <v>0</v>
      </c>
    </row>
    <row r="24" spans="1:29" ht="23.25" customHeight="1">
      <c r="A24" s="160">
        <v>44973</v>
      </c>
      <c r="B24" s="161"/>
      <c r="C24" s="162">
        <v>0</v>
      </c>
      <c r="D24" s="163"/>
      <c r="E24" s="164">
        <f t="shared" si="7"/>
        <v>0</v>
      </c>
      <c r="F24" s="165"/>
      <c r="G24" s="164">
        <f t="shared" si="0"/>
        <v>0</v>
      </c>
      <c r="H24" s="165"/>
      <c r="I24" s="164">
        <f t="shared" si="5"/>
        <v>0</v>
      </c>
      <c r="J24" s="165"/>
      <c r="K24" s="164">
        <f t="shared" si="8"/>
        <v>0</v>
      </c>
    </row>
    <row r="25" spans="1:29" ht="19.5">
      <c r="A25" s="160">
        <v>44974</v>
      </c>
      <c r="B25" s="161"/>
      <c r="C25" s="162">
        <v>0</v>
      </c>
      <c r="D25" s="163"/>
      <c r="E25" s="164">
        <f t="shared" si="7"/>
        <v>0</v>
      </c>
      <c r="F25" s="165"/>
      <c r="G25" s="164">
        <f t="shared" si="0"/>
        <v>0</v>
      </c>
      <c r="H25" s="165"/>
      <c r="I25" s="164">
        <f t="shared" si="5"/>
        <v>0</v>
      </c>
      <c r="J25" s="165"/>
      <c r="K25" s="164">
        <f t="shared" si="8"/>
        <v>0</v>
      </c>
    </row>
    <row r="26" spans="1:29" ht="19.5">
      <c r="A26" s="160">
        <v>44975</v>
      </c>
      <c r="B26" s="161"/>
      <c r="C26" s="162">
        <v>0</v>
      </c>
      <c r="D26" s="163"/>
      <c r="E26" s="164">
        <f t="shared" si="7"/>
        <v>0</v>
      </c>
      <c r="F26" s="165"/>
      <c r="G26" s="164">
        <f t="shared" si="0"/>
        <v>0</v>
      </c>
      <c r="H26" s="165"/>
      <c r="I26" s="164">
        <f t="shared" si="5"/>
        <v>0</v>
      </c>
      <c r="J26" s="165"/>
      <c r="K26" s="164">
        <f t="shared" si="8"/>
        <v>0</v>
      </c>
    </row>
    <row r="27" spans="1:29" ht="19.5">
      <c r="A27" s="160">
        <v>44976</v>
      </c>
      <c r="B27" s="161"/>
      <c r="C27" s="162">
        <v>0</v>
      </c>
      <c r="D27" s="163"/>
      <c r="E27" s="164">
        <f t="shared" si="7"/>
        <v>0</v>
      </c>
      <c r="F27" s="165"/>
      <c r="G27" s="164">
        <f t="shared" si="0"/>
        <v>0</v>
      </c>
      <c r="H27" s="165"/>
      <c r="I27" s="164">
        <f t="shared" si="5"/>
        <v>0</v>
      </c>
      <c r="J27" s="165"/>
      <c r="K27" s="164">
        <f t="shared" si="8"/>
        <v>0</v>
      </c>
    </row>
    <row r="28" spans="1:29" ht="19.5">
      <c r="A28" s="160">
        <v>44977</v>
      </c>
      <c r="B28" s="161"/>
      <c r="C28" s="162">
        <v>0</v>
      </c>
      <c r="D28" s="163"/>
      <c r="E28" s="164">
        <f t="shared" si="7"/>
        <v>0</v>
      </c>
      <c r="F28" s="165"/>
      <c r="G28" s="164">
        <f t="shared" si="0"/>
        <v>0</v>
      </c>
      <c r="H28" s="165"/>
      <c r="I28" s="164">
        <f t="shared" si="5"/>
        <v>0</v>
      </c>
      <c r="J28" s="165"/>
      <c r="K28" s="164">
        <f t="shared" si="8"/>
        <v>0</v>
      </c>
    </row>
    <row r="29" spans="1:29" ht="19.5">
      <c r="A29" s="160">
        <v>44978</v>
      </c>
      <c r="B29" s="161"/>
      <c r="C29" s="162">
        <v>0</v>
      </c>
      <c r="D29" s="163"/>
      <c r="E29" s="164">
        <f t="shared" si="7"/>
        <v>0</v>
      </c>
      <c r="F29" s="165"/>
      <c r="G29" s="164">
        <f t="shared" si="0"/>
        <v>0</v>
      </c>
      <c r="H29" s="165"/>
      <c r="I29" s="164">
        <f t="shared" si="5"/>
        <v>0</v>
      </c>
      <c r="J29" s="165"/>
      <c r="K29" s="164">
        <f t="shared" si="8"/>
        <v>0</v>
      </c>
    </row>
    <row r="30" spans="1:29" ht="19.5">
      <c r="A30" s="160">
        <v>44979</v>
      </c>
      <c r="B30" s="161"/>
      <c r="C30" s="162">
        <v>0</v>
      </c>
      <c r="D30" s="163"/>
      <c r="E30" s="164">
        <f t="shared" si="7"/>
        <v>0</v>
      </c>
      <c r="F30" s="165"/>
      <c r="G30" s="164">
        <f t="shared" si="0"/>
        <v>0</v>
      </c>
      <c r="H30" s="165"/>
      <c r="I30" s="164">
        <f t="shared" si="5"/>
        <v>0</v>
      </c>
      <c r="J30" s="165"/>
      <c r="K30" s="164">
        <f t="shared" si="6"/>
        <v>0</v>
      </c>
    </row>
    <row r="31" spans="1:29" ht="19.5">
      <c r="A31" s="160">
        <v>44980</v>
      </c>
      <c r="B31" s="161"/>
      <c r="C31" s="162">
        <v>0</v>
      </c>
      <c r="D31" s="173"/>
      <c r="E31" s="164">
        <f t="shared" si="7"/>
        <v>0</v>
      </c>
      <c r="F31" s="174"/>
      <c r="G31" s="164">
        <f t="shared" si="0"/>
        <v>0</v>
      </c>
      <c r="H31" s="174"/>
      <c r="I31" s="164">
        <f t="shared" si="5"/>
        <v>0</v>
      </c>
      <c r="J31" s="174"/>
      <c r="K31" s="164">
        <f t="shared" si="6"/>
        <v>0</v>
      </c>
    </row>
    <row r="32" spans="1:29" ht="19.5">
      <c r="A32" s="160">
        <v>44981</v>
      </c>
      <c r="B32" s="161"/>
      <c r="C32" s="162">
        <v>0</v>
      </c>
      <c r="D32" s="163"/>
      <c r="E32" s="164">
        <f t="shared" si="7"/>
        <v>0</v>
      </c>
      <c r="F32" s="165"/>
      <c r="G32" s="164">
        <f t="shared" si="0"/>
        <v>0</v>
      </c>
      <c r="H32" s="165"/>
      <c r="I32" s="164">
        <f t="shared" si="5"/>
        <v>0</v>
      </c>
      <c r="J32" s="165"/>
      <c r="K32" s="164">
        <f t="shared" si="6"/>
        <v>0</v>
      </c>
    </row>
    <row r="33" spans="1:11" ht="19.5">
      <c r="A33" s="160">
        <v>44982</v>
      </c>
      <c r="B33" s="161"/>
      <c r="C33" s="162">
        <v>0</v>
      </c>
      <c r="D33" s="163"/>
      <c r="E33" s="164">
        <f t="shared" si="7"/>
        <v>0</v>
      </c>
      <c r="F33" s="165"/>
      <c r="G33" s="164">
        <f t="shared" si="0"/>
        <v>0</v>
      </c>
      <c r="H33" s="165"/>
      <c r="I33" s="164">
        <f t="shared" si="5"/>
        <v>0</v>
      </c>
      <c r="J33" s="165"/>
      <c r="K33" s="164">
        <f t="shared" si="6"/>
        <v>0</v>
      </c>
    </row>
    <row r="34" spans="1:11" ht="19.5">
      <c r="A34" s="160">
        <v>44983</v>
      </c>
      <c r="B34" s="161"/>
      <c r="C34" s="162">
        <v>0</v>
      </c>
      <c r="D34" s="163"/>
      <c r="E34" s="164">
        <f t="shared" si="7"/>
        <v>0</v>
      </c>
      <c r="F34" s="165"/>
      <c r="G34" s="164">
        <f t="shared" si="0"/>
        <v>0</v>
      </c>
      <c r="H34" s="165"/>
      <c r="I34" s="164">
        <f t="shared" si="5"/>
        <v>0</v>
      </c>
      <c r="J34" s="165"/>
      <c r="K34" s="164">
        <f t="shared" si="6"/>
        <v>0</v>
      </c>
    </row>
    <row r="35" spans="1:11" ht="19.5">
      <c r="A35" s="160">
        <v>44984</v>
      </c>
      <c r="B35" s="161"/>
      <c r="C35" s="162">
        <v>0</v>
      </c>
      <c r="D35" s="163"/>
      <c r="E35" s="164">
        <f t="shared" si="7"/>
        <v>0</v>
      </c>
      <c r="F35" s="165"/>
      <c r="G35" s="164">
        <f t="shared" si="0"/>
        <v>0</v>
      </c>
      <c r="H35" s="165"/>
      <c r="I35" s="164">
        <f t="shared" si="5"/>
        <v>0</v>
      </c>
      <c r="J35" s="165"/>
      <c r="K35" s="164">
        <f t="shared" si="6"/>
        <v>0</v>
      </c>
    </row>
    <row r="36" spans="1:11" ht="19.5">
      <c r="A36" s="160">
        <v>44985</v>
      </c>
      <c r="B36" s="161"/>
      <c r="C36" s="162">
        <v>0</v>
      </c>
      <c r="D36" s="163"/>
      <c r="E36" s="164">
        <f t="shared" si="7"/>
        <v>0</v>
      </c>
      <c r="F36" s="165"/>
      <c r="G36" s="164">
        <f t="shared" si="0"/>
        <v>0</v>
      </c>
      <c r="H36" s="165"/>
      <c r="I36" s="164">
        <f t="shared" si="5"/>
        <v>0</v>
      </c>
      <c r="J36" s="165"/>
      <c r="K36" s="164">
        <f t="shared" si="6"/>
        <v>0</v>
      </c>
    </row>
    <row r="37" spans="1:11" ht="19.5">
      <c r="A37" s="160">
        <v>44986</v>
      </c>
      <c r="B37" s="161"/>
      <c r="C37" s="162">
        <v>0</v>
      </c>
      <c r="D37" s="163"/>
      <c r="E37" s="164">
        <f t="shared" si="7"/>
        <v>0</v>
      </c>
      <c r="F37" s="165"/>
      <c r="G37" s="164">
        <f t="shared" ref="G37:G38" si="9">F37-F36</f>
        <v>0</v>
      </c>
      <c r="H37" s="165"/>
      <c r="I37" s="164">
        <f t="shared" si="5"/>
        <v>0</v>
      </c>
      <c r="J37" s="165"/>
      <c r="K37" s="164">
        <f t="shared" si="6"/>
        <v>0</v>
      </c>
    </row>
    <row r="38" spans="1:11" ht="19.5">
      <c r="A38" s="160"/>
      <c r="B38" s="161"/>
      <c r="C38" s="162">
        <v>0</v>
      </c>
      <c r="D38" s="163"/>
      <c r="E38" s="164">
        <f t="shared" si="7"/>
        <v>0</v>
      </c>
      <c r="F38" s="165"/>
      <c r="G38" s="164">
        <f t="shared" si="9"/>
        <v>0</v>
      </c>
      <c r="H38" s="165"/>
      <c r="I38" s="164">
        <f t="shared" si="5"/>
        <v>0</v>
      </c>
      <c r="J38" s="165"/>
      <c r="K38" s="164">
        <f t="shared" si="6"/>
        <v>0</v>
      </c>
    </row>
    <row r="39" spans="1:11" ht="19.5">
      <c r="A39" s="160"/>
      <c r="B39" s="161"/>
      <c r="C39" s="162"/>
      <c r="D39" s="163"/>
      <c r="E39" s="164"/>
      <c r="F39" s="165"/>
      <c r="G39" s="164"/>
      <c r="H39" s="165"/>
      <c r="I39" s="164"/>
      <c r="J39" s="165"/>
      <c r="K39" s="164"/>
    </row>
    <row r="40" spans="1:11" ht="19.5">
      <c r="A40" s="160"/>
      <c r="B40" s="161"/>
      <c r="C40" s="162">
        <f t="shared" ref="C10:C40" si="10">B40-B39</f>
        <v>0</v>
      </c>
      <c r="D40" s="163"/>
      <c r="E40" s="164">
        <f t="shared" si="4"/>
        <v>0</v>
      </c>
      <c r="F40" s="165"/>
      <c r="G40" s="164">
        <f t="shared" ref="G11:G40" si="11">F40-F39</f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H4" sqref="H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23" t="s">
        <v>57</v>
      </c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41.25" customHeight="1">
      <c r="Q2" s="328">
        <v>803</v>
      </c>
      <c r="R2" s="329"/>
      <c r="S2" s="330"/>
      <c r="T2" s="331">
        <v>519</v>
      </c>
      <c r="U2" s="329"/>
      <c r="V2" s="330"/>
      <c r="W2" s="331">
        <v>800</v>
      </c>
      <c r="X2" s="329"/>
      <c r="Y2" s="330"/>
      <c r="Z2" s="331">
        <v>802</v>
      </c>
      <c r="AA2" s="329"/>
      <c r="AB2" s="332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44958</v>
      </c>
      <c r="B4" s="41">
        <v>70</v>
      </c>
      <c r="C4" s="39">
        <f t="shared" ref="C4" si="0">IF(AC4&gt;0,((B4-R4)+(S4-B5)),IF(B5=0, ,(B4-B5)))</f>
        <v>0</v>
      </c>
      <c r="D4" s="41">
        <v>70</v>
      </c>
      <c r="E4" s="39">
        <f t="shared" ref="E4" si="1">IF(AC4&gt;0,((D4-U4)+(V4-D5)),IF(D5=0, ,(D4-D5)))</f>
        <v>0</v>
      </c>
      <c r="F4" s="41">
        <v>66</v>
      </c>
      <c r="G4" s="39">
        <f t="shared" ref="G4" si="2">IF(AC4&gt;0,((F4-X4)+(Y4-F5)),IF(F5=0, ,(F4-F5)))</f>
        <v>0</v>
      </c>
      <c r="H4" s="41">
        <v>70</v>
      </c>
      <c r="I4" s="39">
        <f>IF(AC4&gt;0,((H4-AA4)+(AB4-H5)),IF(H5=0, ,(H4-H5)))</f>
        <v>0</v>
      </c>
      <c r="J4" s="39">
        <f>B4+D4+F4+H4</f>
        <v>276</v>
      </c>
      <c r="K4" s="39">
        <f>J4/4</f>
        <v>69</v>
      </c>
      <c r="L4" s="39">
        <f>IF(AC4&gt;0,((K4-AD4)+(AE4-K5)),IF(K5=0, ,(K4-K5)))</f>
        <v>0</v>
      </c>
      <c r="M4" s="140">
        <f t="shared" ref="M4:M7" si="3">6049*4</f>
        <v>24196</v>
      </c>
      <c r="N4" s="39">
        <f>L4*M4/100</f>
        <v>0</v>
      </c>
      <c r="O4" s="39">
        <f>N4*0.529</f>
        <v>0</v>
      </c>
      <c r="P4" s="42">
        <f>O4*12.53</f>
        <v>0</v>
      </c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44959</v>
      </c>
      <c r="B5" s="41"/>
      <c r="C5" s="39">
        <f t="shared" ref="C5:C35" si="7">IF(AC5&gt;0,((B5-R5)+(S5-B6)),IF(B6=0, ,(B5-B6)))</f>
        <v>0</v>
      </c>
      <c r="D5" s="41"/>
      <c r="E5" s="39">
        <f t="shared" ref="E5:E35" si="8">IF(AC5&gt;0,((D5-U5)+(V5-D6)),IF(D6=0, ,(D5-D6)))</f>
        <v>0</v>
      </c>
      <c r="F5" s="41"/>
      <c r="G5" s="39">
        <f t="shared" ref="G5:G35" si="9">IF(AC5&gt;0,((F5-X5)+(Y5-F6)),IF(F6=0, ,(F5-F6)))</f>
        <v>0</v>
      </c>
      <c r="H5" s="41"/>
      <c r="I5" s="39">
        <f>IF(AC5&gt;0,((H5-AA5)+(AB5-H6)),IF(H6=0, ,(H5-H6)))</f>
        <v>0</v>
      </c>
      <c r="J5" s="39">
        <f>B5+D5+F5+H5</f>
        <v>0</v>
      </c>
      <c r="K5" s="39">
        <f>J5/4</f>
        <v>0</v>
      </c>
      <c r="L5" s="39">
        <f>IF(AC5&gt;0,((K5-AD5)+(AE5-K6)),IF(K6=0, ,(K5-K6)))</f>
        <v>0</v>
      </c>
      <c r="M5" s="140">
        <f t="shared" si="3"/>
        <v>24196</v>
      </c>
      <c r="N5" s="39">
        <f>L5*M5/100</f>
        <v>0</v>
      </c>
      <c r="O5" s="39">
        <f>N5*0.529</f>
        <v>0</v>
      </c>
      <c r="P5" s="42">
        <f t="shared" ref="P5:P42" si="10">O5*12.53</f>
        <v>0</v>
      </c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44960</v>
      </c>
      <c r="B6" s="41"/>
      <c r="C6" s="39">
        <f t="shared" si="7"/>
        <v>0</v>
      </c>
      <c r="D6" s="41"/>
      <c r="E6" s="39">
        <f t="shared" si="8"/>
        <v>0</v>
      </c>
      <c r="F6" s="41"/>
      <c r="G6" s="39">
        <f t="shared" si="9"/>
        <v>0</v>
      </c>
      <c r="H6" s="41"/>
      <c r="I6" s="39">
        <f t="shared" ref="I6:I36" si="11">IF(AC6&gt;0,((H6-AA6)+(AB6-H7)),IF(H7=0, ,(H6-H7)))</f>
        <v>0</v>
      </c>
      <c r="J6" s="39">
        <f t="shared" ref="J6:J42" si="12">B6+D6+F6+H6</f>
        <v>0</v>
      </c>
      <c r="K6" s="39">
        <f t="shared" ref="K6:K42" si="13">J6/4</f>
        <v>0</v>
      </c>
      <c r="L6" s="39">
        <f t="shared" ref="L6:L19" si="14">IF(AC6&gt;0,((K6-AD6)+(AE6-K7)),IF(K7=0, ,(K6-K7)))</f>
        <v>0</v>
      </c>
      <c r="M6" s="140">
        <f t="shared" si="3"/>
        <v>24196</v>
      </c>
      <c r="N6" s="39">
        <f t="shared" ref="N6:N42" si="15">L6*M6/100</f>
        <v>0</v>
      </c>
      <c r="O6" s="39">
        <f>N6*0.529</f>
        <v>0</v>
      </c>
      <c r="P6" s="42">
        <f t="shared" si="10"/>
        <v>0</v>
      </c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44961</v>
      </c>
      <c r="B7" s="41"/>
      <c r="C7" s="39">
        <f t="shared" si="7"/>
        <v>0</v>
      </c>
      <c r="D7" s="41"/>
      <c r="E7" s="39">
        <f t="shared" si="8"/>
        <v>0</v>
      </c>
      <c r="F7" s="41"/>
      <c r="G7" s="39">
        <f t="shared" si="9"/>
        <v>0</v>
      </c>
      <c r="H7" s="41"/>
      <c r="I7" s="39">
        <f t="shared" si="11"/>
        <v>0</v>
      </c>
      <c r="J7" s="39">
        <f t="shared" si="12"/>
        <v>0</v>
      </c>
      <c r="K7" s="39">
        <f t="shared" si="13"/>
        <v>0</v>
      </c>
      <c r="L7" s="39">
        <f t="shared" si="14"/>
        <v>0</v>
      </c>
      <c r="M7" s="140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44962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0">
        <f>6049*4</f>
        <v>24196</v>
      </c>
      <c r="N8" s="39">
        <f t="shared" si="15"/>
        <v>0</v>
      </c>
      <c r="O8" s="139">
        <f t="shared" ref="O8:O37" si="16">N8*0.529</f>
        <v>0</v>
      </c>
      <c r="P8" s="42">
        <f t="shared" si="10"/>
        <v>0</v>
      </c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44963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0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44964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0">
        <f t="shared" si="17"/>
        <v>24196</v>
      </c>
      <c r="N10" s="39">
        <f t="shared" si="15"/>
        <v>0</v>
      </c>
      <c r="O10" s="139">
        <f t="shared" si="16"/>
        <v>0</v>
      </c>
      <c r="P10" s="42">
        <f t="shared" si="10"/>
        <v>0</v>
      </c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44965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0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44966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0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44967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0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44968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0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44969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0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44970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0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44971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0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44972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0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44973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0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44974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0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44975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0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44976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0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44977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0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44978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0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44979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0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44980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0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44981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0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44982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0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44983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0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44984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44985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44986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/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0</v>
      </c>
      <c r="O43" s="39">
        <f>N43*0.529</f>
        <v>0</v>
      </c>
      <c r="P43" s="42">
        <f>O43*12.53</f>
        <v>0</v>
      </c>
      <c r="Q43" s="324">
        <f>SUM(Q4:Q42)</f>
        <v>0</v>
      </c>
      <c r="R43" s="325"/>
      <c r="S43" s="326"/>
      <c r="T43" s="327">
        <f>SUM(T4:T42)</f>
        <v>0</v>
      </c>
      <c r="U43" s="325"/>
      <c r="V43" s="326"/>
      <c r="W43" s="327">
        <f>SUM(W4:W42)</f>
        <v>0</v>
      </c>
      <c r="X43" s="325"/>
      <c r="Y43" s="326"/>
      <c r="Z43" s="327">
        <f>SUM(Z4:Z42)</f>
        <v>0</v>
      </c>
      <c r="AA43" s="325"/>
      <c r="AB43" s="326"/>
      <c r="AC43" s="39">
        <f t="shared" si="20"/>
        <v>0</v>
      </c>
    </row>
    <row r="44" spans="1:31" ht="35.25" customHeight="1" thickBot="1">
      <c r="B44" s="333"/>
      <c r="C44" s="334"/>
      <c r="D44" s="334"/>
      <c r="E44" s="334"/>
      <c r="F44" s="334"/>
      <c r="G44" s="334"/>
      <c r="H44" s="334"/>
      <c r="I44" s="335"/>
      <c r="J44" s="37"/>
      <c r="K44" s="37"/>
      <c r="L44" s="37"/>
      <c r="M44" s="37"/>
      <c r="N44" s="37"/>
      <c r="O44" s="37"/>
      <c r="P44" s="37"/>
      <c r="Q44" s="336">
        <f>Q43+T43+W43+Z43</f>
        <v>0</v>
      </c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8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20" t="s">
        <v>85</v>
      </c>
      <c r="I47" s="321"/>
      <c r="J47" s="322"/>
      <c r="K47" s="45">
        <f>N43</f>
        <v>0</v>
      </c>
      <c r="L47" s="46">
        <f>O43</f>
        <v>0</v>
      </c>
      <c r="M47" s="46">
        <f>P43</f>
        <v>0</v>
      </c>
    </row>
    <row r="48" spans="1:31" ht="54.75" customHeight="1" thickBot="1">
      <c r="H48" s="320" t="s">
        <v>86</v>
      </c>
      <c r="I48" s="321"/>
      <c r="J48" s="322"/>
      <c r="K48" s="43">
        <f>AC44</f>
        <v>0</v>
      </c>
      <c r="L48" s="44">
        <f>K48*0.529</f>
        <v>0</v>
      </c>
      <c r="M48" s="44">
        <f>L48*12.44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P12" sqref="P1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26"/>
      <c r="B1" s="228"/>
      <c r="C1" s="339" t="s">
        <v>87</v>
      </c>
      <c r="D1" s="340"/>
      <c r="E1" s="340"/>
      <c r="F1" s="340"/>
      <c r="G1" s="340"/>
      <c r="H1" s="345" t="s">
        <v>88</v>
      </c>
      <c r="I1" s="346"/>
      <c r="J1" s="347"/>
    </row>
    <row r="2" spans="1:10" ht="16.5" customHeight="1" thickBot="1">
      <c r="A2" s="229"/>
      <c r="B2" s="231"/>
      <c r="C2" s="341"/>
      <c r="D2" s="342"/>
      <c r="E2" s="342"/>
      <c r="F2" s="342"/>
      <c r="G2" s="342"/>
      <c r="H2" s="348"/>
      <c r="I2" s="349"/>
      <c r="J2" s="350"/>
    </row>
    <row r="3" spans="1:10" ht="15" customHeight="1">
      <c r="A3" s="229"/>
      <c r="B3" s="231"/>
      <c r="C3" s="341"/>
      <c r="D3" s="342"/>
      <c r="E3" s="342"/>
      <c r="F3" s="342"/>
      <c r="G3" s="342"/>
      <c r="H3" s="351" t="s">
        <v>89</v>
      </c>
      <c r="I3" s="352"/>
      <c r="J3" s="353"/>
    </row>
    <row r="4" spans="1:10" ht="15.75" customHeight="1" thickBot="1">
      <c r="A4" s="232"/>
      <c r="B4" s="234"/>
      <c r="C4" s="343"/>
      <c r="D4" s="344"/>
      <c r="E4" s="344"/>
      <c r="F4" s="344"/>
      <c r="G4" s="344"/>
      <c r="H4" s="354"/>
      <c r="I4" s="355"/>
      <c r="J4" s="356"/>
    </row>
    <row r="6" spans="1:10" ht="33" customHeight="1" thickBot="1"/>
    <row r="7" spans="1:10" ht="36.75" thickTop="1">
      <c r="A7" s="357" t="s">
        <v>90</v>
      </c>
      <c r="B7" s="357"/>
      <c r="C7" s="358" t="s">
        <v>91</v>
      </c>
      <c r="D7" s="359"/>
      <c r="E7" s="55" t="s">
        <v>92</v>
      </c>
      <c r="F7" s="55" t="s">
        <v>93</v>
      </c>
      <c r="G7" s="55" t="s">
        <v>94</v>
      </c>
      <c r="H7" s="55" t="s">
        <v>95</v>
      </c>
      <c r="I7" s="360" t="s">
        <v>96</v>
      </c>
      <c r="J7" s="361"/>
    </row>
    <row r="8" spans="1:10">
      <c r="A8" s="362">
        <v>95670781</v>
      </c>
      <c r="B8" s="362"/>
      <c r="C8" s="363">
        <v>44954</v>
      </c>
      <c r="D8" s="364"/>
      <c r="E8" s="107">
        <v>45013</v>
      </c>
      <c r="F8" s="154" t="s">
        <v>97</v>
      </c>
      <c r="G8" s="56"/>
      <c r="H8" s="56"/>
      <c r="I8" s="365"/>
      <c r="J8" s="366"/>
    </row>
    <row r="10" spans="1:10" ht="23.25" customHeight="1" thickBot="1"/>
    <row r="11" spans="1:10" ht="24.75" customHeight="1" thickTop="1">
      <c r="A11" s="367" t="s">
        <v>98</v>
      </c>
      <c r="B11" s="367"/>
      <c r="C11" s="368" t="s">
        <v>99</v>
      </c>
      <c r="D11" s="369"/>
      <c r="E11" s="367" t="s">
        <v>100</v>
      </c>
      <c r="F11" s="367"/>
      <c r="G11" s="368" t="s">
        <v>101</v>
      </c>
      <c r="H11" s="369"/>
      <c r="I11" s="370" t="s">
        <v>102</v>
      </c>
      <c r="J11" s="370"/>
    </row>
    <row r="12" spans="1:10">
      <c r="A12" s="362" t="s">
        <v>103</v>
      </c>
      <c r="B12" s="362"/>
      <c r="C12" s="362">
        <v>3750</v>
      </c>
      <c r="D12" s="362"/>
      <c r="E12" s="362">
        <v>1000</v>
      </c>
      <c r="F12" s="362"/>
      <c r="G12" s="374">
        <v>994</v>
      </c>
      <c r="H12" s="374"/>
      <c r="I12" s="375"/>
      <c r="J12" s="375"/>
    </row>
    <row r="13" spans="1:10">
      <c r="A13" s="376"/>
      <c r="B13" s="496"/>
      <c r="C13" s="496"/>
      <c r="D13" s="496"/>
      <c r="E13" s="496"/>
      <c r="F13" s="496"/>
      <c r="G13" s="496"/>
      <c r="H13" s="496"/>
      <c r="I13" s="496"/>
      <c r="J13" s="496"/>
    </row>
    <row r="15" spans="1:10" ht="13.5" thickBot="1"/>
    <row r="16" spans="1:10" ht="26.25" thickTop="1">
      <c r="A16" s="367" t="s">
        <v>104</v>
      </c>
      <c r="B16" s="367"/>
      <c r="C16" s="57" t="s">
        <v>105</v>
      </c>
      <c r="D16" s="58" t="s">
        <v>106</v>
      </c>
      <c r="E16" s="58" t="s">
        <v>48</v>
      </c>
      <c r="F16" s="58" t="s">
        <v>107</v>
      </c>
      <c r="G16" s="371" t="s">
        <v>108</v>
      </c>
      <c r="H16" s="371"/>
      <c r="I16" s="372" t="s">
        <v>109</v>
      </c>
      <c r="J16" s="373"/>
    </row>
    <row r="17" spans="1:10">
      <c r="A17" s="377" t="s">
        <v>110</v>
      </c>
      <c r="B17" s="378"/>
      <c r="C17" s="60">
        <v>22184591</v>
      </c>
      <c r="D17" s="60">
        <v>21995481</v>
      </c>
      <c r="E17" s="61">
        <f>MIN(C17-D17)</f>
        <v>189110</v>
      </c>
      <c r="F17" s="61">
        <f>+E17</f>
        <v>189110</v>
      </c>
      <c r="G17" s="379"/>
      <c r="H17" s="380"/>
      <c r="I17" s="379">
        <f>+E17</f>
        <v>189110</v>
      </c>
      <c r="J17" s="380"/>
    </row>
    <row r="18" spans="1:10">
      <c r="A18" s="377" t="s">
        <v>111</v>
      </c>
      <c r="B18" s="378"/>
      <c r="C18" s="60">
        <v>13012752</v>
      </c>
      <c r="D18" s="60">
        <v>12883997</v>
      </c>
      <c r="E18" s="61">
        <f>MIN(C18-D18)</f>
        <v>128755</v>
      </c>
      <c r="F18" s="61">
        <f>+E18</f>
        <v>128755</v>
      </c>
      <c r="G18" s="379"/>
      <c r="H18" s="380"/>
      <c r="I18" s="379">
        <f>+E18</f>
        <v>128755</v>
      </c>
      <c r="J18" s="380"/>
    </row>
    <row r="19" spans="1:10">
      <c r="A19" s="377" t="s">
        <v>112</v>
      </c>
      <c r="B19" s="378"/>
      <c r="C19" s="60">
        <v>9738324</v>
      </c>
      <c r="D19" s="60">
        <v>9648730</v>
      </c>
      <c r="E19" s="61">
        <f>AVERAGE(C19-D19)</f>
        <v>89594</v>
      </c>
      <c r="F19" s="61">
        <f>+E19</f>
        <v>89594</v>
      </c>
      <c r="G19" s="379"/>
      <c r="H19" s="380"/>
      <c r="I19" s="379">
        <f>+E19</f>
        <v>89594</v>
      </c>
      <c r="J19" s="380"/>
    </row>
    <row r="20" spans="1:10" ht="15">
      <c r="A20" s="381" t="s">
        <v>113</v>
      </c>
      <c r="B20" s="382"/>
      <c r="C20" s="62"/>
      <c r="D20" s="63"/>
      <c r="E20" s="62">
        <f>SUM(E17:E19)</f>
        <v>407459</v>
      </c>
      <c r="F20" s="64"/>
      <c r="G20" s="383"/>
      <c r="H20" s="384"/>
      <c r="I20" s="383"/>
      <c r="J20" s="384"/>
    </row>
    <row r="21" spans="1:10">
      <c r="C21" s="104" t="s">
        <v>18</v>
      </c>
      <c r="D21" t="s">
        <v>114</v>
      </c>
      <c r="G21" s="385"/>
      <c r="H21" s="385"/>
    </row>
    <row r="22" spans="1:10" ht="13.5" thickBot="1">
      <c r="G22" s="386"/>
      <c r="H22" s="386"/>
    </row>
    <row r="23" spans="1:10" ht="13.5" thickTop="1">
      <c r="A23" s="387" t="s">
        <v>115</v>
      </c>
      <c r="B23" s="388"/>
      <c r="C23" s="389"/>
      <c r="D23" s="367" t="s">
        <v>116</v>
      </c>
      <c r="E23" s="367" t="s">
        <v>117</v>
      </c>
      <c r="F23" s="394" t="s">
        <v>118</v>
      </c>
      <c r="G23" s="396" t="s">
        <v>119</v>
      </c>
      <c r="H23" s="396"/>
      <c r="I23" s="397" t="s">
        <v>120</v>
      </c>
      <c r="J23" s="397"/>
    </row>
    <row r="24" spans="1:10">
      <c r="A24" s="390"/>
      <c r="B24" s="391"/>
      <c r="C24" s="392"/>
      <c r="D24" s="393"/>
      <c r="E24" s="393"/>
      <c r="F24" s="395"/>
      <c r="G24" s="155" t="s">
        <v>121</v>
      </c>
      <c r="H24" s="65" t="s">
        <v>122</v>
      </c>
      <c r="I24" s="397"/>
      <c r="J24" s="397"/>
    </row>
    <row r="25" spans="1:10" ht="15">
      <c r="A25" s="398" t="s">
        <v>123</v>
      </c>
      <c r="B25" s="399"/>
      <c r="C25" s="400"/>
      <c r="D25" s="61">
        <f>+E17</f>
        <v>189110</v>
      </c>
      <c r="E25" s="66">
        <v>0.95140000000000002</v>
      </c>
      <c r="F25" s="67">
        <f>PRODUCT(D25*E25)</f>
        <v>179919.25400000002</v>
      </c>
      <c r="G25" s="142">
        <v>14</v>
      </c>
      <c r="H25" s="59">
        <f>PRODUCT(0.14,F25)</f>
        <v>25188.695560000004</v>
      </c>
      <c r="I25" s="401">
        <f>SUM(H25,F25)</f>
        <v>205107.94956000001</v>
      </c>
      <c r="J25" s="402"/>
    </row>
    <row r="26" spans="1:10" ht="15">
      <c r="A26" s="403" t="s">
        <v>124</v>
      </c>
      <c r="B26" s="404"/>
      <c r="C26" s="405"/>
      <c r="D26" s="61">
        <f>+E18</f>
        <v>128755</v>
      </c>
      <c r="E26" s="68">
        <v>0.69850000000000001</v>
      </c>
      <c r="F26" s="67">
        <f>PRODUCT(D26*E26)</f>
        <v>89935.367500000008</v>
      </c>
      <c r="G26">
        <v>14</v>
      </c>
      <c r="H26" s="61">
        <f>PRODUCT(0.14,F26)</f>
        <v>12590.951450000002</v>
      </c>
      <c r="I26" s="401">
        <f t="shared" ref="I26:I31" si="0">SUM(H26,F26)</f>
        <v>102526.31895000002</v>
      </c>
      <c r="J26" s="402"/>
    </row>
    <row r="27" spans="1:10" ht="15">
      <c r="A27" s="403" t="s">
        <v>125</v>
      </c>
      <c r="B27" s="404"/>
      <c r="C27" s="405"/>
      <c r="D27" s="61">
        <f>+E19</f>
        <v>89594</v>
      </c>
      <c r="E27" s="68">
        <v>1.3304</v>
      </c>
      <c r="F27" s="67">
        <f>PRODUCT(D27*E27)</f>
        <v>119195.8576</v>
      </c>
      <c r="G27">
        <v>14</v>
      </c>
      <c r="H27" s="61">
        <f>PRODUCT(0.14,F27)</f>
        <v>16687.420064000002</v>
      </c>
      <c r="I27" s="401">
        <f>SUM(H27,F27)</f>
        <v>135883.27766399999</v>
      </c>
      <c r="J27" s="402"/>
    </row>
    <row r="28" spans="1:10" ht="15">
      <c r="A28" s="403" t="s">
        <v>126</v>
      </c>
      <c r="B28" s="404"/>
      <c r="C28" s="405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401">
        <f t="shared" si="0"/>
        <v>50025.103799999997</v>
      </c>
      <c r="J28" s="402"/>
    </row>
    <row r="29" spans="1:10" ht="15">
      <c r="A29" s="414" t="s">
        <v>127</v>
      </c>
      <c r="B29" s="415"/>
      <c r="C29" s="416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417">
        <f t="shared" si="0"/>
        <v>0</v>
      </c>
      <c r="J29" s="418"/>
    </row>
    <row r="30" spans="1:10" ht="15">
      <c r="A30" s="403" t="s">
        <v>128</v>
      </c>
      <c r="B30" s="404"/>
      <c r="C30" s="405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401">
        <f>SUM(H30,F30)</f>
        <v>1009.2</v>
      </c>
      <c r="J30" s="402"/>
    </row>
    <row r="31" spans="1:10" ht="15.75" thickBot="1">
      <c r="A31" s="406" t="s">
        <v>129</v>
      </c>
      <c r="B31" s="407"/>
      <c r="C31" s="408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401">
        <f t="shared" si="0"/>
        <v>1596.44</v>
      </c>
      <c r="J31" s="402"/>
    </row>
    <row r="32" spans="1:10" ht="21">
      <c r="A32" s="409" t="s">
        <v>130</v>
      </c>
      <c r="B32" s="410"/>
      <c r="C32" s="410"/>
      <c r="D32" s="410"/>
      <c r="E32" s="410"/>
      <c r="F32" s="78">
        <f>SUM(F25:F31)</f>
        <v>435265.14909999998</v>
      </c>
      <c r="G32" s="79"/>
      <c r="H32" s="80"/>
      <c r="I32" s="413">
        <f>SUM(I25:J31)</f>
        <v>496148.28997400001</v>
      </c>
      <c r="J32" s="413"/>
    </row>
    <row r="33" spans="1:10" ht="21.75" thickBot="1">
      <c r="A33" s="411"/>
      <c r="B33" s="412"/>
      <c r="C33" s="412"/>
      <c r="D33" s="412"/>
      <c r="E33" s="412"/>
      <c r="F33" s="81"/>
      <c r="G33" s="82"/>
      <c r="H33" s="83"/>
      <c r="I33" s="413"/>
      <c r="J33" s="4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2" workbookViewId="0">
      <selection activeCell="D17" sqref="D17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6" customWidth="1"/>
  </cols>
  <sheetData>
    <row r="1" spans="1:10" ht="15" customHeight="1">
      <c r="A1" s="226"/>
      <c r="B1" s="228"/>
      <c r="C1" s="339" t="s">
        <v>131</v>
      </c>
      <c r="D1" s="340"/>
      <c r="E1" s="340"/>
      <c r="F1" s="340"/>
      <c r="G1" s="340"/>
      <c r="H1" s="345" t="s">
        <v>88</v>
      </c>
      <c r="I1" s="346"/>
      <c r="J1" s="347"/>
    </row>
    <row r="2" spans="1:10" ht="16.5" customHeight="1" thickBot="1">
      <c r="A2" s="229"/>
      <c r="B2" s="231"/>
      <c r="C2" s="341"/>
      <c r="D2" s="342"/>
      <c r="E2" s="342"/>
      <c r="F2" s="342"/>
      <c r="G2" s="342"/>
      <c r="H2" s="348"/>
      <c r="I2" s="349"/>
      <c r="J2" s="350"/>
    </row>
    <row r="3" spans="1:10" ht="15" customHeight="1">
      <c r="A3" s="229"/>
      <c r="B3" s="231"/>
      <c r="C3" s="341"/>
      <c r="D3" s="342"/>
      <c r="E3" s="342"/>
      <c r="F3" s="342"/>
      <c r="G3" s="342"/>
      <c r="H3" s="351" t="s">
        <v>89</v>
      </c>
      <c r="I3" s="352"/>
      <c r="J3" s="353"/>
    </row>
    <row r="4" spans="1:10" ht="15.75" customHeight="1" thickBot="1">
      <c r="A4" s="232"/>
      <c r="B4" s="234"/>
      <c r="C4" s="343"/>
      <c r="D4" s="344"/>
      <c r="E4" s="344"/>
      <c r="F4" s="344"/>
      <c r="G4" s="344"/>
      <c r="H4" s="354"/>
      <c r="I4" s="355"/>
      <c r="J4" s="356"/>
    </row>
    <row r="6" spans="1:10" ht="33" customHeight="1"/>
    <row r="7" spans="1:10" ht="37.5">
      <c r="A7" s="441" t="s">
        <v>90</v>
      </c>
      <c r="B7" s="441"/>
      <c r="C7" s="442" t="s">
        <v>91</v>
      </c>
      <c r="D7" s="442"/>
      <c r="E7" s="197" t="s">
        <v>92</v>
      </c>
      <c r="F7" s="197" t="s">
        <v>93</v>
      </c>
      <c r="G7" s="197" t="s">
        <v>94</v>
      </c>
      <c r="H7" s="197" t="s">
        <v>95</v>
      </c>
      <c r="I7" s="442" t="s">
        <v>96</v>
      </c>
      <c r="J7" s="442"/>
    </row>
    <row r="8" spans="1:10">
      <c r="A8" s="433">
        <v>95670781</v>
      </c>
      <c r="B8" s="433"/>
      <c r="C8" s="434">
        <v>44958</v>
      </c>
      <c r="D8" s="435"/>
      <c r="E8" s="198">
        <v>44959</v>
      </c>
      <c r="F8" s="196" t="s">
        <v>132</v>
      </c>
      <c r="G8" s="199"/>
      <c r="H8" s="199"/>
      <c r="I8" s="436"/>
      <c r="J8" s="437"/>
    </row>
    <row r="10" spans="1:10" ht="23.25" customHeight="1"/>
    <row r="11" spans="1:10" ht="24.75" customHeight="1">
      <c r="A11" s="424" t="s">
        <v>98</v>
      </c>
      <c r="B11" s="424"/>
      <c r="C11" s="438" t="s">
        <v>99</v>
      </c>
      <c r="D11" s="438"/>
      <c r="E11" s="424" t="s">
        <v>100</v>
      </c>
      <c r="F11" s="424"/>
      <c r="G11" s="438" t="s">
        <v>101</v>
      </c>
      <c r="H11" s="438"/>
      <c r="I11" s="438" t="s">
        <v>102</v>
      </c>
      <c r="J11" s="438"/>
    </row>
    <row r="12" spans="1:10">
      <c r="A12" s="433" t="s">
        <v>103</v>
      </c>
      <c r="B12" s="433"/>
      <c r="C12" s="433">
        <v>3750</v>
      </c>
      <c r="D12" s="433"/>
      <c r="E12" s="433">
        <v>1000</v>
      </c>
      <c r="F12" s="433"/>
      <c r="G12" s="439">
        <v>994</v>
      </c>
      <c r="H12" s="439"/>
      <c r="I12" s="440"/>
      <c r="J12" s="440"/>
    </row>
    <row r="13" spans="1:10">
      <c r="A13" s="376"/>
      <c r="B13" s="496"/>
      <c r="C13" s="496"/>
      <c r="D13" s="496"/>
      <c r="E13" s="496"/>
      <c r="F13" s="496"/>
      <c r="G13" s="496"/>
      <c r="H13" s="496"/>
      <c r="I13" s="496"/>
      <c r="J13" s="496"/>
    </row>
    <row r="16" spans="1:10" ht="27">
      <c r="A16" s="428" t="s">
        <v>104</v>
      </c>
      <c r="B16" s="428"/>
      <c r="C16" s="205" t="s">
        <v>105</v>
      </c>
      <c r="D16" s="205" t="s">
        <v>106</v>
      </c>
      <c r="E16" s="205" t="s">
        <v>48</v>
      </c>
      <c r="F16" s="195" t="s">
        <v>107</v>
      </c>
      <c r="G16" s="429" t="s">
        <v>108</v>
      </c>
      <c r="H16" s="430"/>
      <c r="I16" s="424" t="s">
        <v>109</v>
      </c>
      <c r="J16" s="424"/>
    </row>
    <row r="17" spans="1:10">
      <c r="A17" s="420" t="s">
        <v>110</v>
      </c>
      <c r="B17" s="420"/>
      <c r="C17" s="189">
        <v>22207039</v>
      </c>
      <c r="D17" s="189">
        <v>22201198</v>
      </c>
      <c r="E17" s="189">
        <f>MIN(C17-D17)</f>
        <v>5841</v>
      </c>
      <c r="F17" s="204">
        <f>+E17</f>
        <v>5841</v>
      </c>
      <c r="G17" s="431"/>
      <c r="H17" s="432"/>
      <c r="I17" s="230">
        <f>+E17</f>
        <v>5841</v>
      </c>
      <c r="J17" s="380"/>
    </row>
    <row r="18" spans="1:10">
      <c r="A18" s="420" t="s">
        <v>111</v>
      </c>
      <c r="B18" s="420"/>
      <c r="C18" s="189">
        <v>13030182</v>
      </c>
      <c r="D18" s="189">
        <v>13026391</v>
      </c>
      <c r="E18" s="189">
        <f>MIN(C18-D18)</f>
        <v>3791</v>
      </c>
      <c r="F18" s="204">
        <f>+E18</f>
        <v>3791</v>
      </c>
      <c r="G18" s="421"/>
      <c r="H18" s="422"/>
      <c r="I18" s="230">
        <f>+E18</f>
        <v>3791</v>
      </c>
      <c r="J18" s="380"/>
    </row>
    <row r="19" spans="1:10">
      <c r="A19" s="420" t="s">
        <v>112</v>
      </c>
      <c r="B19" s="420"/>
      <c r="C19" s="189">
        <v>9748438</v>
      </c>
      <c r="D19" s="189">
        <v>9746075</v>
      </c>
      <c r="E19" s="189">
        <f>AVERAGE(C19-D19)</f>
        <v>2363</v>
      </c>
      <c r="F19" s="204">
        <f>+E19</f>
        <v>2363</v>
      </c>
      <c r="G19" s="421"/>
      <c r="H19" s="422"/>
      <c r="I19" s="230">
        <f>+E19</f>
        <v>2363</v>
      </c>
      <c r="J19" s="380"/>
    </row>
    <row r="20" spans="1:10" ht="15">
      <c r="A20" s="426" t="s">
        <v>113</v>
      </c>
      <c r="B20" s="426"/>
      <c r="C20" s="206"/>
      <c r="D20" s="206"/>
      <c r="E20" s="206">
        <f>SUM(E17:E19)</f>
        <v>11995</v>
      </c>
      <c r="F20" s="189"/>
      <c r="G20" s="427"/>
      <c r="H20" s="384"/>
      <c r="I20" s="383"/>
      <c r="J20" s="384"/>
    </row>
    <row r="21" spans="1:10">
      <c r="C21" s="104" t="s">
        <v>18</v>
      </c>
      <c r="D21" t="s">
        <v>114</v>
      </c>
      <c r="G21" s="385"/>
      <c r="H21" s="385"/>
    </row>
    <row r="22" spans="1:10">
      <c r="G22" s="230"/>
      <c r="H22" s="230"/>
    </row>
    <row r="23" spans="1:10">
      <c r="A23" s="423" t="s">
        <v>115</v>
      </c>
      <c r="B23" s="423"/>
      <c r="C23" s="423"/>
      <c r="D23" s="424" t="s">
        <v>116</v>
      </c>
      <c r="E23" s="424" t="s">
        <v>117</v>
      </c>
      <c r="F23" s="425" t="s">
        <v>118</v>
      </c>
      <c r="G23" s="419" t="s">
        <v>119</v>
      </c>
      <c r="H23" s="419"/>
      <c r="I23" s="419" t="s">
        <v>120</v>
      </c>
      <c r="J23" s="419"/>
    </row>
    <row r="24" spans="1:10">
      <c r="A24" s="423"/>
      <c r="B24" s="423"/>
      <c r="C24" s="423"/>
      <c r="D24" s="424"/>
      <c r="E24" s="424"/>
      <c r="F24" s="425"/>
      <c r="G24" s="200" t="s">
        <v>121</v>
      </c>
      <c r="H24" s="200" t="s">
        <v>122</v>
      </c>
      <c r="I24" s="419"/>
      <c r="J24" s="419"/>
    </row>
    <row r="25" spans="1:10" ht="15">
      <c r="A25" s="403" t="s">
        <v>123</v>
      </c>
      <c r="B25" s="404"/>
      <c r="C25" s="405"/>
      <c r="D25" s="61">
        <f>+E17</f>
        <v>5841</v>
      </c>
      <c r="E25" s="68">
        <v>0.95140000000000002</v>
      </c>
      <c r="F25" s="67">
        <f>PRODUCT(D25*E25)</f>
        <v>5557.1274000000003</v>
      </c>
      <c r="G25">
        <v>14</v>
      </c>
      <c r="H25" s="61">
        <f>PRODUCT(0.14,F25)</f>
        <v>777.99783600000012</v>
      </c>
      <c r="I25" s="383">
        <f>SUM(H25,F25)</f>
        <v>6335.1252360000008</v>
      </c>
      <c r="J25" s="384"/>
    </row>
    <row r="26" spans="1:10" ht="15">
      <c r="A26" s="403" t="s">
        <v>124</v>
      </c>
      <c r="B26" s="404"/>
      <c r="C26" s="405"/>
      <c r="D26" s="61">
        <f>+E18</f>
        <v>3791</v>
      </c>
      <c r="E26" s="68">
        <v>0.69850000000000001</v>
      </c>
      <c r="F26" s="67">
        <f>PRODUCT(D26*E26)</f>
        <v>2648.0135</v>
      </c>
      <c r="G26">
        <v>14</v>
      </c>
      <c r="H26" s="61">
        <f>PRODUCT(0.14,F26)</f>
        <v>370.72189000000003</v>
      </c>
      <c r="I26" s="401">
        <f t="shared" ref="I26:I31" si="0">SUM(H26,F26)</f>
        <v>3018.7353899999998</v>
      </c>
      <c r="J26" s="402"/>
    </row>
    <row r="27" spans="1:10" ht="15">
      <c r="A27" s="403" t="s">
        <v>125</v>
      </c>
      <c r="B27" s="404"/>
      <c r="C27" s="405"/>
      <c r="D27" s="61">
        <f>+E19</f>
        <v>2363</v>
      </c>
      <c r="E27" s="68">
        <v>1.3304</v>
      </c>
      <c r="F27" s="67">
        <f>PRODUCT(D27*E27)</f>
        <v>3143.7352000000001</v>
      </c>
      <c r="G27">
        <v>14</v>
      </c>
      <c r="H27" s="61">
        <f>PRODUCT(0.14,F27)</f>
        <v>440.12292800000006</v>
      </c>
      <c r="I27" s="401">
        <f>SUM(H27,F27)</f>
        <v>3583.8581280000003</v>
      </c>
      <c r="J27" s="402"/>
    </row>
    <row r="28" spans="1:10" ht="15">
      <c r="A28" s="403" t="s">
        <v>126</v>
      </c>
      <c r="B28" s="404"/>
      <c r="C28" s="405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401">
        <f t="shared" si="0"/>
        <v>50025.103799999997</v>
      </c>
      <c r="J28" s="402"/>
    </row>
    <row r="29" spans="1:10" ht="15">
      <c r="A29" s="414" t="s">
        <v>127</v>
      </c>
      <c r="B29" s="415"/>
      <c r="C29" s="416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417">
        <f t="shared" si="0"/>
        <v>0</v>
      </c>
      <c r="J29" s="418"/>
    </row>
    <row r="30" spans="1:10" ht="15">
      <c r="A30" s="403" t="s">
        <v>128</v>
      </c>
      <c r="B30" s="404"/>
      <c r="C30" s="405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401">
        <f>SUM(H30,F30)</f>
        <v>1009.2</v>
      </c>
      <c r="J30" s="402"/>
    </row>
    <row r="31" spans="1:10" ht="15.75" thickBot="1">
      <c r="A31" s="406" t="s">
        <v>129</v>
      </c>
      <c r="B31" s="407"/>
      <c r="C31" s="408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401">
        <f t="shared" si="0"/>
        <v>1596.44</v>
      </c>
      <c r="J31" s="402"/>
    </row>
    <row r="32" spans="1:10" ht="21">
      <c r="A32" s="409" t="s">
        <v>130</v>
      </c>
      <c r="B32" s="410"/>
      <c r="C32" s="410"/>
      <c r="D32" s="410"/>
      <c r="E32" s="410"/>
      <c r="F32" s="78">
        <f>SUM(F25:F31)</f>
        <v>57563.5461</v>
      </c>
      <c r="G32" s="79"/>
      <c r="H32" s="80"/>
      <c r="I32" s="413">
        <f>SUM(I25:J31)</f>
        <v>65568.462553999998</v>
      </c>
      <c r="J32" s="413"/>
    </row>
    <row r="33" spans="1:10" ht="21.75" thickBot="1">
      <c r="A33" s="411"/>
      <c r="B33" s="412"/>
      <c r="C33" s="412"/>
      <c r="D33" s="412"/>
      <c r="E33" s="412"/>
      <c r="F33" s="81"/>
      <c r="G33" s="82"/>
      <c r="H33" s="83"/>
      <c r="I33" s="413"/>
      <c r="J33" s="4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M13" sqref="M13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43"/>
      <c r="B1" s="339" t="s">
        <v>133</v>
      </c>
      <c r="C1" s="340"/>
      <c r="D1" s="340"/>
      <c r="E1" s="340"/>
      <c r="F1" s="446" t="s">
        <v>88</v>
      </c>
      <c r="G1" s="447"/>
      <c r="H1" s="448"/>
    </row>
    <row r="2" spans="1:8" ht="15.75" customHeight="1" thickBot="1">
      <c r="A2" s="444"/>
      <c r="B2" s="341"/>
      <c r="C2" s="342"/>
      <c r="D2" s="342"/>
      <c r="E2" s="342"/>
      <c r="F2" s="449"/>
      <c r="G2" s="450"/>
      <c r="H2" s="451"/>
    </row>
    <row r="3" spans="1:8" ht="15" customHeight="1">
      <c r="A3" s="444"/>
      <c r="B3" s="341"/>
      <c r="C3" s="342"/>
      <c r="D3" s="342"/>
      <c r="E3" s="342"/>
      <c r="F3" s="446" t="s">
        <v>89</v>
      </c>
      <c r="G3" s="447"/>
      <c r="H3" s="448"/>
    </row>
    <row r="4" spans="1:8" ht="15.75" customHeight="1" thickBot="1">
      <c r="A4" s="445"/>
      <c r="B4" s="343"/>
      <c r="C4" s="344"/>
      <c r="D4" s="344"/>
      <c r="E4" s="344"/>
      <c r="F4" s="452"/>
      <c r="G4" s="453"/>
      <c r="H4" s="454"/>
    </row>
    <row r="6" spans="1:8" ht="42.75" customHeight="1"/>
    <row r="7" spans="1:8" ht="42.75" customHeight="1">
      <c r="A7" s="86" t="s">
        <v>90</v>
      </c>
      <c r="B7" s="86" t="s">
        <v>134</v>
      </c>
      <c r="C7" s="86" t="s">
        <v>135</v>
      </c>
      <c r="D7" s="88" t="s">
        <v>91</v>
      </c>
      <c r="E7" s="86" t="s">
        <v>136</v>
      </c>
      <c r="F7" s="88" t="s">
        <v>92</v>
      </c>
      <c r="G7" s="88" t="s">
        <v>137</v>
      </c>
      <c r="H7" s="87" t="s">
        <v>93</v>
      </c>
    </row>
    <row r="8" spans="1:8" ht="15">
      <c r="A8" s="156"/>
      <c r="B8" s="89" t="s">
        <v>138</v>
      </c>
      <c r="C8" s="90">
        <v>0</v>
      </c>
      <c r="D8" s="91">
        <v>44958</v>
      </c>
      <c r="E8" s="90">
        <v>0</v>
      </c>
      <c r="F8" s="91">
        <v>44986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55" t="s">
        <v>116</v>
      </c>
      <c r="C10" s="456"/>
      <c r="D10" s="457" t="s">
        <v>139</v>
      </c>
      <c r="E10" s="457"/>
      <c r="F10" s="455" t="s">
        <v>140</v>
      </c>
      <c r="G10" s="458"/>
      <c r="H10" s="456"/>
    </row>
    <row r="11" spans="1:8" ht="15">
      <c r="A11" s="96" t="s">
        <v>141</v>
      </c>
      <c r="B11" s="459"/>
      <c r="C11" s="459"/>
      <c r="D11" s="459"/>
      <c r="E11" s="459"/>
      <c r="F11" s="459">
        <v>23</v>
      </c>
      <c r="G11" s="459"/>
      <c r="H11" s="459"/>
    </row>
    <row r="12" spans="1:8" ht="21">
      <c r="A12" s="460" t="s">
        <v>142</v>
      </c>
      <c r="B12" s="460"/>
      <c r="C12" s="460"/>
      <c r="D12" s="460"/>
      <c r="E12" s="460"/>
      <c r="F12" s="460"/>
      <c r="G12" s="460"/>
      <c r="H12" s="460"/>
    </row>
    <row r="13" spans="1:8" ht="15">
      <c r="A13" s="96" t="s">
        <v>143</v>
      </c>
      <c r="B13" s="459">
        <f>G8</f>
        <v>0</v>
      </c>
      <c r="C13" s="459"/>
      <c r="D13" s="459">
        <v>8.7899999999999991</v>
      </c>
      <c r="E13" s="459"/>
      <c r="F13" s="461">
        <f>PRODUCT(D13,B13)</f>
        <v>0</v>
      </c>
      <c r="G13" s="461"/>
      <c r="H13" s="461"/>
    </row>
    <row r="14" spans="1:8" ht="45" customHeight="1">
      <c r="A14" s="462" t="s">
        <v>144</v>
      </c>
      <c r="B14" s="462"/>
      <c r="C14" s="462"/>
      <c r="D14" s="462"/>
      <c r="E14" s="462"/>
      <c r="F14" s="462"/>
      <c r="G14" s="462"/>
      <c r="H14" s="462"/>
    </row>
    <row r="15" spans="1:8">
      <c r="A15" s="463"/>
      <c r="B15" s="463"/>
      <c r="C15" s="463"/>
      <c r="D15" s="463"/>
      <c r="E15" s="463"/>
      <c r="F15" s="463"/>
      <c r="G15" s="463"/>
      <c r="H15" s="463"/>
    </row>
    <row r="16" spans="1:8" ht="15">
      <c r="A16" s="97" t="s">
        <v>145</v>
      </c>
      <c r="B16" s="459">
        <v>0</v>
      </c>
      <c r="C16" s="459"/>
      <c r="D16" s="459">
        <v>0</v>
      </c>
      <c r="E16" s="459"/>
      <c r="F16" s="459">
        <f>PRODUCT(D16,B16)</f>
        <v>0</v>
      </c>
      <c r="G16" s="459"/>
      <c r="H16" s="459"/>
    </row>
    <row r="17" spans="1:8" ht="15">
      <c r="A17" s="97" t="s">
        <v>146</v>
      </c>
      <c r="B17" s="459">
        <v>0</v>
      </c>
      <c r="C17" s="459"/>
      <c r="D17" s="459">
        <v>0</v>
      </c>
      <c r="E17" s="459"/>
      <c r="F17" s="459">
        <f>PRODUCT(D17,B17)</f>
        <v>0</v>
      </c>
      <c r="G17" s="459"/>
      <c r="H17" s="459"/>
    </row>
    <row r="18" spans="1:8" ht="15">
      <c r="A18" s="97" t="s">
        <v>147</v>
      </c>
      <c r="B18" s="459">
        <v>0</v>
      </c>
      <c r="C18" s="459"/>
      <c r="D18" s="459">
        <v>0</v>
      </c>
      <c r="E18" s="459"/>
      <c r="F18" s="459">
        <f>PRODUCT(D18,B18)</f>
        <v>0</v>
      </c>
      <c r="G18" s="459"/>
      <c r="H18" s="459"/>
    </row>
    <row r="19" spans="1:8" ht="15">
      <c r="A19" s="97" t="s">
        <v>148</v>
      </c>
      <c r="B19" s="459">
        <f>G8</f>
        <v>0</v>
      </c>
      <c r="C19" s="459"/>
      <c r="D19" s="459">
        <v>2.61</v>
      </c>
      <c r="E19" s="459"/>
      <c r="F19" s="459">
        <f>PRODUCT(D19,B19)</f>
        <v>0</v>
      </c>
      <c r="G19" s="459"/>
      <c r="H19" s="459"/>
    </row>
    <row r="20" spans="1:8" ht="18.75">
      <c r="A20" s="475" t="s">
        <v>149</v>
      </c>
      <c r="B20" s="476"/>
      <c r="C20" s="476"/>
      <c r="D20" s="476"/>
      <c r="E20" s="477"/>
      <c r="F20" s="478">
        <f>SUM(F11+F13+F16+F17+F18+F19)</f>
        <v>23</v>
      </c>
      <c r="G20" s="478"/>
      <c r="H20" s="478"/>
    </row>
    <row r="21" spans="1:8" ht="15">
      <c r="A21" s="464" t="s">
        <v>150</v>
      </c>
      <c r="B21" s="465"/>
      <c r="C21" s="465"/>
      <c r="D21" s="465"/>
      <c r="E21" s="466"/>
      <c r="F21" s="459">
        <f>PRODUCT(F20,0.07)</f>
        <v>1.61</v>
      </c>
      <c r="G21" s="459"/>
      <c r="H21" s="459"/>
    </row>
    <row r="22" spans="1:8" ht="15">
      <c r="A22" s="497" t="s">
        <v>151</v>
      </c>
      <c r="B22" s="498"/>
      <c r="C22" s="498"/>
      <c r="D22" s="498"/>
      <c r="E22" s="499"/>
      <c r="F22" s="459">
        <v>208.26</v>
      </c>
      <c r="G22" s="459"/>
      <c r="H22" s="459"/>
    </row>
    <row r="23" spans="1:8" ht="15.75">
      <c r="A23" s="464" t="s">
        <v>152</v>
      </c>
      <c r="B23" s="465"/>
      <c r="C23" s="465"/>
      <c r="D23" s="465"/>
      <c r="E23" s="466"/>
      <c r="F23" s="467">
        <f>SUM(F21:H22)</f>
        <v>209.87</v>
      </c>
      <c r="G23" s="467"/>
      <c r="H23" s="467"/>
    </row>
    <row r="24" spans="1:8">
      <c r="A24" s="468" t="s">
        <v>153</v>
      </c>
      <c r="B24" s="469"/>
      <c r="C24" s="469"/>
      <c r="D24" s="469"/>
      <c r="E24" s="470"/>
      <c r="F24" s="474">
        <f>SUM(F20,F23)</f>
        <v>232.87</v>
      </c>
      <c r="G24" s="474"/>
      <c r="H24" s="474"/>
    </row>
    <row r="25" spans="1:8">
      <c r="A25" s="471"/>
      <c r="B25" s="472"/>
      <c r="C25" s="472"/>
      <c r="D25" s="472"/>
      <c r="E25" s="473"/>
      <c r="F25" s="474"/>
      <c r="G25" s="474"/>
      <c r="H25" s="474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J9" sqref="J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43"/>
      <c r="B1" s="339" t="s">
        <v>133</v>
      </c>
      <c r="C1" s="340"/>
      <c r="D1" s="340"/>
      <c r="E1" s="340"/>
      <c r="F1" s="481" t="s">
        <v>88</v>
      </c>
      <c r="G1" s="481"/>
      <c r="H1" s="481"/>
    </row>
    <row r="2" spans="1:14" ht="15.75" customHeight="1">
      <c r="A2" s="444"/>
      <c r="B2" s="341"/>
      <c r="C2" s="342"/>
      <c r="D2" s="342"/>
      <c r="E2" s="342"/>
      <c r="F2" s="481"/>
      <c r="G2" s="481"/>
      <c r="H2" s="481"/>
    </row>
    <row r="3" spans="1:14" ht="15" customHeight="1">
      <c r="A3" s="444"/>
      <c r="B3" s="341"/>
      <c r="C3" s="342"/>
      <c r="D3" s="342"/>
      <c r="E3" s="342"/>
      <c r="F3" s="481" t="s">
        <v>89</v>
      </c>
      <c r="G3" s="481"/>
      <c r="H3" s="481"/>
    </row>
    <row r="4" spans="1:14" ht="15.75" customHeight="1">
      <c r="A4" s="445"/>
      <c r="B4" s="343"/>
      <c r="C4" s="344"/>
      <c r="D4" s="344"/>
      <c r="E4" s="344"/>
      <c r="F4" s="481"/>
      <c r="G4" s="481"/>
      <c r="H4" s="481"/>
    </row>
    <row r="6" spans="1:14" ht="42.75" customHeight="1"/>
    <row r="7" spans="1:14" ht="42.75" customHeight="1">
      <c r="A7" s="202" t="s">
        <v>90</v>
      </c>
      <c r="B7" s="201" t="s">
        <v>134</v>
      </c>
      <c r="C7" s="201" t="s">
        <v>135</v>
      </c>
      <c r="D7" s="197" t="s">
        <v>91</v>
      </c>
      <c r="E7" s="201" t="s">
        <v>136</v>
      </c>
      <c r="F7" s="197" t="s">
        <v>92</v>
      </c>
      <c r="G7" s="197" t="s">
        <v>137</v>
      </c>
      <c r="H7" s="203" t="s">
        <v>93</v>
      </c>
    </row>
    <row r="8" spans="1:14" ht="15">
      <c r="A8" s="193"/>
      <c r="B8" s="194" t="s">
        <v>138</v>
      </c>
      <c r="C8" s="207">
        <v>184248</v>
      </c>
      <c r="D8" s="191">
        <v>44958</v>
      </c>
      <c r="E8" s="207">
        <v>184352</v>
      </c>
      <c r="F8" s="191">
        <v>44959</v>
      </c>
      <c r="G8" s="192">
        <f>E8-C8</f>
        <v>104</v>
      </c>
      <c r="H8" s="190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55" t="s">
        <v>116</v>
      </c>
      <c r="C10" s="456"/>
      <c r="D10" s="457" t="s">
        <v>139</v>
      </c>
      <c r="E10" s="457"/>
      <c r="F10" s="455" t="s">
        <v>140</v>
      </c>
      <c r="G10" s="458"/>
      <c r="H10" s="456"/>
    </row>
    <row r="11" spans="1:14" ht="15">
      <c r="A11" s="96" t="s">
        <v>141</v>
      </c>
      <c r="B11" s="459"/>
      <c r="C11" s="459"/>
      <c r="D11" s="459"/>
      <c r="E11" s="459"/>
      <c r="F11" s="459">
        <v>23</v>
      </c>
      <c r="G11" s="459"/>
      <c r="H11" s="459"/>
    </row>
    <row r="12" spans="1:14" ht="21">
      <c r="A12" s="460" t="s">
        <v>142</v>
      </c>
      <c r="B12" s="460"/>
      <c r="C12" s="460"/>
      <c r="D12" s="460"/>
      <c r="E12" s="460"/>
      <c r="F12" s="460"/>
      <c r="G12" s="460"/>
      <c r="H12" s="460"/>
      <c r="K12" s="166"/>
    </row>
    <row r="13" spans="1:14" ht="19.5">
      <c r="A13" s="96" t="s">
        <v>143</v>
      </c>
      <c r="B13" s="459">
        <f>G8</f>
        <v>104</v>
      </c>
      <c r="C13" s="459"/>
      <c r="D13" s="459">
        <v>8.5</v>
      </c>
      <c r="E13" s="459"/>
      <c r="F13" s="461">
        <f>PRODUCT(D13,B13)</f>
        <v>884</v>
      </c>
      <c r="G13" s="461"/>
      <c r="H13" s="461"/>
      <c r="K13" s="166"/>
    </row>
    <row r="14" spans="1:14" ht="45" customHeight="1">
      <c r="A14" s="462" t="s">
        <v>144</v>
      </c>
      <c r="B14" s="462"/>
      <c r="C14" s="462"/>
      <c r="D14" s="462"/>
      <c r="E14" s="462"/>
      <c r="F14" s="462"/>
      <c r="G14" s="462"/>
      <c r="H14" s="462"/>
      <c r="N14" s="166"/>
    </row>
    <row r="15" spans="1:14" ht="19.5">
      <c r="A15" s="463"/>
      <c r="B15" s="463"/>
      <c r="C15" s="463"/>
      <c r="D15" s="463"/>
      <c r="E15" s="463"/>
      <c r="F15" s="463"/>
      <c r="G15" s="463"/>
      <c r="H15" s="463"/>
      <c r="M15" s="166"/>
      <c r="N15" s="166"/>
    </row>
    <row r="16" spans="1:14" ht="19.5">
      <c r="A16" s="97" t="s">
        <v>145</v>
      </c>
      <c r="B16" s="459">
        <v>0</v>
      </c>
      <c r="C16" s="459"/>
      <c r="D16" s="459">
        <v>0</v>
      </c>
      <c r="E16" s="459"/>
      <c r="F16" s="459">
        <f>PRODUCT(D16,B16)</f>
        <v>0</v>
      </c>
      <c r="G16" s="459"/>
      <c r="H16" s="459"/>
      <c r="K16" s="166"/>
    </row>
    <row r="17" spans="1:8" ht="15">
      <c r="A17" s="97" t="s">
        <v>146</v>
      </c>
      <c r="B17" s="459">
        <v>0</v>
      </c>
      <c r="C17" s="459"/>
      <c r="D17" s="459">
        <v>0</v>
      </c>
      <c r="E17" s="459"/>
      <c r="F17" s="459">
        <f>PRODUCT(D17,B17)</f>
        <v>0</v>
      </c>
      <c r="G17" s="459"/>
      <c r="H17" s="459"/>
    </row>
    <row r="18" spans="1:8" ht="15">
      <c r="A18" s="97" t="s">
        <v>147</v>
      </c>
      <c r="B18" s="459">
        <v>0</v>
      </c>
      <c r="C18" s="459"/>
      <c r="D18" s="459">
        <v>0</v>
      </c>
      <c r="E18" s="459"/>
      <c r="F18" s="459">
        <f>PRODUCT(D18,B18)</f>
        <v>0</v>
      </c>
      <c r="G18" s="459"/>
      <c r="H18" s="459"/>
    </row>
    <row r="19" spans="1:8" ht="15">
      <c r="A19" s="97" t="s">
        <v>148</v>
      </c>
      <c r="B19" s="459">
        <v>0</v>
      </c>
      <c r="C19" s="459"/>
      <c r="D19" s="479">
        <v>0</v>
      </c>
      <c r="E19" s="480"/>
      <c r="F19" s="479">
        <v>0</v>
      </c>
      <c r="G19" s="480"/>
      <c r="H19" s="156"/>
    </row>
    <row r="20" spans="1:8" ht="15">
      <c r="A20" s="97" t="s">
        <v>154</v>
      </c>
      <c r="B20" s="459">
        <f>G8</f>
        <v>104</v>
      </c>
      <c r="C20" s="459"/>
      <c r="D20" s="459">
        <v>2.54</v>
      </c>
      <c r="E20" s="459"/>
      <c r="F20" s="459">
        <f>PRODUCT(D20,B20)</f>
        <v>264.16000000000003</v>
      </c>
      <c r="G20" s="459"/>
      <c r="H20" s="459"/>
    </row>
    <row r="21" spans="1:8" ht="18.75">
      <c r="A21" s="475" t="s">
        <v>149</v>
      </c>
      <c r="B21" s="476"/>
      <c r="C21" s="476"/>
      <c r="D21" s="476"/>
      <c r="E21" s="477"/>
      <c r="F21" s="478">
        <f>SUM(F11+F13+F16+F17+F18+F20)</f>
        <v>1171.1600000000001</v>
      </c>
      <c r="G21" s="478"/>
      <c r="H21" s="478"/>
    </row>
    <row r="22" spans="1:8" ht="15">
      <c r="A22" s="464" t="s">
        <v>150</v>
      </c>
      <c r="B22" s="465"/>
      <c r="C22" s="465"/>
      <c r="D22" s="465"/>
      <c r="E22" s="466"/>
      <c r="F22" s="459">
        <f>PRODUCT(F21,0.07)</f>
        <v>81.981200000000015</v>
      </c>
      <c r="G22" s="459"/>
      <c r="H22" s="459"/>
    </row>
    <row r="23" spans="1:8" ht="15">
      <c r="A23" s="497" t="s">
        <v>151</v>
      </c>
      <c r="B23" s="498"/>
      <c r="C23" s="498"/>
      <c r="D23" s="498"/>
      <c r="E23" s="499"/>
      <c r="F23" s="459">
        <v>208.26</v>
      </c>
      <c r="G23" s="459"/>
      <c r="H23" s="459"/>
    </row>
    <row r="24" spans="1:8" ht="15.75">
      <c r="A24" s="464" t="s">
        <v>152</v>
      </c>
      <c r="B24" s="465"/>
      <c r="C24" s="465"/>
      <c r="D24" s="465"/>
      <c r="E24" s="466"/>
      <c r="F24" s="467">
        <f>SUM(F22:H23)</f>
        <v>290.24119999999999</v>
      </c>
      <c r="G24" s="467"/>
      <c r="H24" s="467"/>
    </row>
    <row r="25" spans="1:8">
      <c r="A25" s="468" t="s">
        <v>153</v>
      </c>
      <c r="B25" s="469"/>
      <c r="C25" s="469"/>
      <c r="D25" s="469"/>
      <c r="E25" s="470"/>
      <c r="F25" s="474">
        <f>SUM(F21,F24)</f>
        <v>1461.4012</v>
      </c>
      <c r="G25" s="474"/>
      <c r="H25" s="474"/>
    </row>
    <row r="26" spans="1:8">
      <c r="A26" s="471"/>
      <c r="B26" s="472"/>
      <c r="C26" s="472"/>
      <c r="D26" s="472"/>
      <c r="E26" s="473"/>
      <c r="F26" s="474"/>
      <c r="G26" s="474"/>
      <c r="H26" s="474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R15" sqref="R1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43"/>
      <c r="B1" s="339" t="s">
        <v>155</v>
      </c>
      <c r="C1" s="340"/>
      <c r="D1" s="340"/>
      <c r="E1" s="340"/>
      <c r="F1" s="446" t="s">
        <v>88</v>
      </c>
      <c r="G1" s="447"/>
      <c r="H1" s="448"/>
    </row>
    <row r="2" spans="1:8" ht="15.75" customHeight="1" thickBot="1">
      <c r="A2" s="444"/>
      <c r="B2" s="341"/>
      <c r="C2" s="342"/>
      <c r="D2" s="342"/>
      <c r="E2" s="342"/>
      <c r="F2" s="449"/>
      <c r="G2" s="450"/>
      <c r="H2" s="451"/>
    </row>
    <row r="3" spans="1:8" ht="15" customHeight="1">
      <c r="A3" s="444"/>
      <c r="B3" s="341"/>
      <c r="C3" s="342"/>
      <c r="D3" s="342"/>
      <c r="E3" s="342"/>
      <c r="F3" s="446" t="s">
        <v>89</v>
      </c>
      <c r="G3" s="447"/>
      <c r="H3" s="448"/>
    </row>
    <row r="4" spans="1:8" ht="15.75" customHeight="1" thickBot="1">
      <c r="A4" s="445"/>
      <c r="B4" s="343"/>
      <c r="C4" s="344"/>
      <c r="D4" s="344"/>
      <c r="E4" s="344"/>
      <c r="F4" s="452"/>
      <c r="G4" s="453"/>
      <c r="H4" s="454"/>
    </row>
    <row r="6" spans="1:8" ht="42.75" customHeight="1"/>
    <row r="7" spans="1:8" ht="42.75" customHeight="1">
      <c r="A7" s="86" t="s">
        <v>90</v>
      </c>
      <c r="B7" s="86" t="s">
        <v>134</v>
      </c>
      <c r="C7" s="86" t="s">
        <v>135</v>
      </c>
      <c r="D7" s="88" t="s">
        <v>91</v>
      </c>
      <c r="E7" s="86" t="s">
        <v>136</v>
      </c>
      <c r="F7" s="88" t="s">
        <v>92</v>
      </c>
      <c r="G7" s="88" t="s">
        <v>137</v>
      </c>
      <c r="H7" s="87" t="s">
        <v>93</v>
      </c>
    </row>
    <row r="8" spans="1:8" ht="15">
      <c r="A8" s="156"/>
      <c r="B8" s="89" t="s">
        <v>138</v>
      </c>
      <c r="C8" s="90">
        <v>2594</v>
      </c>
      <c r="D8" s="91">
        <v>44927</v>
      </c>
      <c r="E8" s="90">
        <v>2594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55" t="s">
        <v>116</v>
      </c>
      <c r="C10" s="456"/>
      <c r="D10" s="457" t="s">
        <v>139</v>
      </c>
      <c r="E10" s="457"/>
      <c r="F10" s="455" t="s">
        <v>140</v>
      </c>
      <c r="G10" s="458"/>
      <c r="H10" s="456"/>
    </row>
    <row r="11" spans="1:8" ht="15">
      <c r="A11" s="96" t="s">
        <v>141</v>
      </c>
      <c r="B11" s="459"/>
      <c r="C11" s="459"/>
      <c r="D11" s="459"/>
      <c r="E11" s="459"/>
      <c r="F11" s="459">
        <v>15</v>
      </c>
      <c r="G11" s="459"/>
      <c r="H11" s="459"/>
    </row>
    <row r="12" spans="1:8" ht="21">
      <c r="A12" s="460" t="s">
        <v>142</v>
      </c>
      <c r="B12" s="460"/>
      <c r="C12" s="460"/>
      <c r="D12" s="460"/>
      <c r="E12" s="460"/>
      <c r="F12" s="460"/>
      <c r="G12" s="460"/>
      <c r="H12" s="460"/>
    </row>
    <row r="13" spans="1:8" ht="15">
      <c r="A13" s="96" t="s">
        <v>156</v>
      </c>
      <c r="B13" s="459">
        <f>G8</f>
        <v>0</v>
      </c>
      <c r="C13" s="459"/>
      <c r="D13" s="459">
        <v>16.48</v>
      </c>
      <c r="E13" s="459"/>
      <c r="F13" s="461">
        <f>PRODUCT(D13,B13)</f>
        <v>0</v>
      </c>
      <c r="G13" s="461"/>
      <c r="H13" s="461"/>
    </row>
    <row r="14" spans="1:8" ht="15">
      <c r="A14" s="96" t="s">
        <v>157</v>
      </c>
      <c r="B14" s="479"/>
      <c r="C14" s="480"/>
      <c r="D14" s="479"/>
      <c r="E14" s="480"/>
      <c r="F14" s="479"/>
      <c r="G14" s="480"/>
      <c r="H14" s="105"/>
    </row>
    <row r="15" spans="1:8" ht="15">
      <c r="A15" s="96" t="s">
        <v>158</v>
      </c>
      <c r="B15" s="479"/>
      <c r="C15" s="480"/>
      <c r="D15" s="479"/>
      <c r="E15" s="480"/>
      <c r="F15" s="479"/>
      <c r="G15" s="480"/>
      <c r="H15" s="105"/>
    </row>
    <row r="16" spans="1:8" ht="15">
      <c r="A16" s="96" t="s">
        <v>159</v>
      </c>
      <c r="B16" s="479"/>
      <c r="C16" s="480"/>
      <c r="D16" s="479"/>
      <c r="E16" s="480"/>
      <c r="F16" s="479"/>
      <c r="G16" s="480"/>
      <c r="H16" s="105"/>
    </row>
    <row r="17" spans="1:8" ht="15">
      <c r="A17" s="96" t="s">
        <v>160</v>
      </c>
      <c r="B17" s="479"/>
      <c r="C17" s="480"/>
      <c r="D17" s="479"/>
      <c r="E17" s="480"/>
      <c r="F17" s="479"/>
      <c r="G17" s="480"/>
      <c r="H17" s="105"/>
    </row>
    <row r="18" spans="1:8" ht="45" customHeight="1">
      <c r="A18" s="462" t="s">
        <v>144</v>
      </c>
      <c r="B18" s="462"/>
      <c r="C18" s="462"/>
      <c r="D18" s="462"/>
      <c r="E18" s="462"/>
      <c r="F18" s="462"/>
      <c r="G18" s="462"/>
      <c r="H18" s="462"/>
    </row>
    <row r="19" spans="1:8">
      <c r="A19" s="463"/>
      <c r="B19" s="463"/>
      <c r="C19" s="463"/>
      <c r="D19" s="463"/>
      <c r="E19" s="463"/>
      <c r="F19" s="463"/>
      <c r="G19" s="463"/>
      <c r="H19" s="463"/>
    </row>
    <row r="20" spans="1:8" ht="15">
      <c r="A20" s="97" t="s">
        <v>145</v>
      </c>
      <c r="B20" s="459">
        <v>0</v>
      </c>
      <c r="C20" s="459"/>
      <c r="D20" s="459">
        <v>0</v>
      </c>
      <c r="E20" s="459"/>
      <c r="F20" s="459">
        <f>PRODUCT(D20,B20)</f>
        <v>0</v>
      </c>
      <c r="G20" s="459"/>
      <c r="H20" s="459"/>
    </row>
    <row r="21" spans="1:8" ht="15">
      <c r="A21" s="97" t="s">
        <v>146</v>
      </c>
      <c r="B21" s="459">
        <v>0</v>
      </c>
      <c r="C21" s="459"/>
      <c r="D21" s="459">
        <v>0</v>
      </c>
      <c r="E21" s="459"/>
      <c r="F21" s="459">
        <f>PRODUCT(D21,B21)</f>
        <v>0</v>
      </c>
      <c r="G21" s="459"/>
      <c r="H21" s="459"/>
    </row>
    <row r="22" spans="1:8" ht="15">
      <c r="A22" s="97" t="s">
        <v>147</v>
      </c>
      <c r="B22" s="459">
        <v>0</v>
      </c>
      <c r="C22" s="459"/>
      <c r="D22" s="459">
        <v>0</v>
      </c>
      <c r="E22" s="459"/>
      <c r="F22" s="459">
        <f>PRODUCT(D22,B22)</f>
        <v>0</v>
      </c>
      <c r="G22" s="459"/>
      <c r="H22" s="459"/>
    </row>
    <row r="23" spans="1:8" ht="15">
      <c r="A23" s="97" t="s">
        <v>148</v>
      </c>
      <c r="B23" s="459">
        <f>G8</f>
        <v>0</v>
      </c>
      <c r="C23" s="459"/>
      <c r="D23" s="459">
        <v>0</v>
      </c>
      <c r="E23" s="459"/>
      <c r="F23" s="459">
        <f>PRODUCT(D23,B23)</f>
        <v>0</v>
      </c>
      <c r="G23" s="459"/>
      <c r="H23" s="459"/>
    </row>
    <row r="24" spans="1:8" ht="15">
      <c r="A24" s="97" t="s">
        <v>154</v>
      </c>
      <c r="B24" s="479">
        <v>0</v>
      </c>
      <c r="C24" s="480"/>
      <c r="D24" s="479">
        <v>2.54</v>
      </c>
      <c r="E24" s="480"/>
      <c r="F24" s="479">
        <f>B24*D24</f>
        <v>0</v>
      </c>
      <c r="G24" s="480"/>
      <c r="H24" s="156"/>
    </row>
    <row r="25" spans="1:8" ht="18.75">
      <c r="A25" s="475" t="s">
        <v>149</v>
      </c>
      <c r="B25" s="476"/>
      <c r="C25" s="476"/>
      <c r="D25" s="476"/>
      <c r="E25" s="477"/>
      <c r="F25" s="482">
        <f>SUM(F11+F13+F20+F21+F22+F23)</f>
        <v>15</v>
      </c>
      <c r="G25" s="478"/>
      <c r="H25" s="478"/>
    </row>
    <row r="26" spans="1:8" ht="15">
      <c r="A26" s="464" t="s">
        <v>150</v>
      </c>
      <c r="B26" s="465"/>
      <c r="C26" s="465"/>
      <c r="D26" s="465"/>
      <c r="E26" s="466"/>
      <c r="F26" s="459">
        <v>63.63</v>
      </c>
      <c r="G26" s="459"/>
      <c r="H26" s="459"/>
    </row>
    <row r="27" spans="1:8" ht="15">
      <c r="A27" s="497" t="s">
        <v>151</v>
      </c>
      <c r="B27" s="498"/>
      <c r="C27" s="498"/>
      <c r="D27" s="498"/>
      <c r="E27" s="499"/>
      <c r="F27" s="459">
        <v>2.4300000000000002</v>
      </c>
      <c r="G27" s="459"/>
      <c r="H27" s="459"/>
    </row>
    <row r="28" spans="1:8" ht="15.75">
      <c r="A28" s="464" t="s">
        <v>152</v>
      </c>
      <c r="B28" s="465"/>
      <c r="C28" s="465"/>
      <c r="D28" s="465"/>
      <c r="E28" s="466"/>
      <c r="F28" s="467">
        <f>SUM(F26:H27)</f>
        <v>66.06</v>
      </c>
      <c r="G28" s="467"/>
      <c r="H28" s="467"/>
    </row>
    <row r="29" spans="1:8">
      <c r="A29" s="468" t="s">
        <v>153</v>
      </c>
      <c r="B29" s="469"/>
      <c r="C29" s="469"/>
      <c r="D29" s="469"/>
      <c r="E29" s="470"/>
      <c r="F29" s="474">
        <f>SUM(F25,F28)</f>
        <v>81.06</v>
      </c>
      <c r="G29" s="474"/>
      <c r="H29" s="474"/>
    </row>
    <row r="30" spans="1:8">
      <c r="A30" s="471"/>
      <c r="B30" s="472"/>
      <c r="C30" s="472"/>
      <c r="D30" s="472"/>
      <c r="E30" s="473"/>
      <c r="F30" s="474"/>
      <c r="G30" s="474"/>
      <c r="H30" s="474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A14" zoomScaleNormal="100" workbookViewId="0">
      <selection activeCell="C28" sqref="C28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83" t="s">
        <v>161</v>
      </c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5"/>
    </row>
    <row r="7" spans="2:14">
      <c r="C7" s="99" t="s">
        <v>162</v>
      </c>
      <c r="D7" s="99" t="s">
        <v>163</v>
      </c>
      <c r="E7" s="99" t="s">
        <v>164</v>
      </c>
      <c r="F7" s="99" t="s">
        <v>165</v>
      </c>
      <c r="G7" s="99" t="s">
        <v>166</v>
      </c>
      <c r="H7" s="99" t="s">
        <v>167</v>
      </c>
      <c r="I7" s="99" t="s">
        <v>168</v>
      </c>
      <c r="J7" s="99" t="s">
        <v>169</v>
      </c>
      <c r="K7" s="99" t="s">
        <v>170</v>
      </c>
      <c r="L7" s="99" t="s">
        <v>171</v>
      </c>
      <c r="M7" s="99" t="s">
        <v>172</v>
      </c>
      <c r="N7" s="99" t="s">
        <v>173</v>
      </c>
    </row>
    <row r="8" spans="2:14" ht="32.25" customHeight="1">
      <c r="B8" s="100" t="s">
        <v>174</v>
      </c>
      <c r="C8" s="489"/>
      <c r="D8" s="490"/>
      <c r="E8" s="490"/>
      <c r="F8" s="490"/>
      <c r="G8" s="490"/>
      <c r="H8" s="490"/>
      <c r="I8" s="490"/>
      <c r="J8" s="490"/>
      <c r="K8" s="491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175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176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177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178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179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180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181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182</v>
      </c>
      <c r="C16" s="177">
        <v>407006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2:14" ht="21" thickBot="1">
      <c r="C17" s="486" t="s">
        <v>183</v>
      </c>
      <c r="D17" s="487"/>
      <c r="E17" s="487"/>
      <c r="F17" s="487"/>
      <c r="G17" s="487"/>
      <c r="H17" s="487"/>
      <c r="I17" s="487"/>
      <c r="J17" s="487"/>
      <c r="K17" s="487"/>
      <c r="L17" s="487"/>
      <c r="M17" s="487"/>
      <c r="N17" s="488"/>
    </row>
    <row r="19" spans="2:14">
      <c r="C19" s="99" t="s">
        <v>162</v>
      </c>
      <c r="D19" s="99" t="s">
        <v>163</v>
      </c>
      <c r="E19" s="99" t="s">
        <v>164</v>
      </c>
      <c r="F19" s="99" t="s">
        <v>165</v>
      </c>
      <c r="G19" s="99" t="s">
        <v>166</v>
      </c>
      <c r="H19" s="99" t="s">
        <v>167</v>
      </c>
      <c r="I19" s="99" t="s">
        <v>168</v>
      </c>
      <c r="J19" s="99" t="s">
        <v>169</v>
      </c>
      <c r="K19" s="99" t="s">
        <v>170</v>
      </c>
      <c r="L19" s="99" t="s">
        <v>171</v>
      </c>
      <c r="M19" s="99" t="s">
        <v>172</v>
      </c>
      <c r="N19" s="99" t="s">
        <v>173</v>
      </c>
    </row>
    <row r="20" spans="2:14" ht="28.5" customHeight="1">
      <c r="B20" s="100" t="s">
        <v>174</v>
      </c>
      <c r="C20" s="489"/>
      <c r="D20" s="490"/>
      <c r="E20" s="490"/>
      <c r="F20" s="490"/>
      <c r="G20" s="490"/>
      <c r="H20" s="490"/>
      <c r="I20" s="490"/>
      <c r="J20" s="490"/>
      <c r="K20" s="491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175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176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177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178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179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180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181</v>
      </c>
      <c r="C27" s="185">
        <v>2409951822</v>
      </c>
      <c r="D27" s="185">
        <v>278597258</v>
      </c>
      <c r="E27" s="185">
        <v>3487476564</v>
      </c>
      <c r="F27" s="185">
        <v>3872201852</v>
      </c>
      <c r="G27" s="185">
        <v>4911719801</v>
      </c>
      <c r="H27" s="185">
        <v>6329563352</v>
      </c>
      <c r="I27" s="185">
        <v>654067568</v>
      </c>
      <c r="J27" s="185">
        <v>6896504079</v>
      </c>
      <c r="K27" s="185">
        <v>6387547041</v>
      </c>
      <c r="L27" s="185">
        <v>5509722905</v>
      </c>
      <c r="M27" s="185">
        <v>3669799236</v>
      </c>
      <c r="N27" s="177">
        <v>435638.13629999995</v>
      </c>
    </row>
    <row r="28" spans="2:14" ht="32.25" customHeight="1">
      <c r="B28" s="176" t="s">
        <v>182</v>
      </c>
      <c r="C28" s="167">
        <v>435265.14909999998</v>
      </c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83" t="s">
        <v>184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3"/>
    </row>
    <row r="6" spans="2:14" ht="21" customHeight="1"/>
    <row r="7" spans="2:14">
      <c r="C7" s="99" t="s">
        <v>162</v>
      </c>
      <c r="D7" s="99" t="s">
        <v>163</v>
      </c>
      <c r="E7" s="99" t="s">
        <v>164</v>
      </c>
      <c r="F7" s="99" t="s">
        <v>165</v>
      </c>
      <c r="G7" s="99" t="s">
        <v>166</v>
      </c>
      <c r="H7" s="99" t="s">
        <v>167</v>
      </c>
      <c r="I7" s="99" t="s">
        <v>168</v>
      </c>
      <c r="J7" s="99" t="s">
        <v>169</v>
      </c>
      <c r="K7" s="99" t="s">
        <v>170</v>
      </c>
      <c r="L7" s="99" t="s">
        <v>171</v>
      </c>
      <c r="M7" s="99" t="s">
        <v>172</v>
      </c>
      <c r="N7" s="99" t="s">
        <v>173</v>
      </c>
    </row>
    <row r="8" spans="2:14" ht="33" customHeight="1">
      <c r="B8" s="100" t="s">
        <v>174</v>
      </c>
      <c r="C8" s="489"/>
      <c r="D8" s="490"/>
      <c r="E8" s="490"/>
      <c r="F8" s="490"/>
      <c r="G8" s="490"/>
      <c r="H8" s="490"/>
      <c r="I8" s="490"/>
      <c r="J8" s="490"/>
      <c r="K8" s="491"/>
      <c r="L8" s="98"/>
      <c r="M8" s="98">
        <v>3298</v>
      </c>
      <c r="N8" s="98">
        <v>3866</v>
      </c>
    </row>
    <row r="9" spans="2:14" ht="39" customHeight="1">
      <c r="B9" s="101" t="s">
        <v>175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176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177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178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179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180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79" t="s">
        <v>181</v>
      </c>
      <c r="C15" s="177" t="s">
        <v>185</v>
      </c>
      <c r="D15" s="177" t="s">
        <v>186</v>
      </c>
      <c r="E15" s="177">
        <v>3842</v>
      </c>
      <c r="F15" s="177">
        <v>3393</v>
      </c>
      <c r="G15" s="177" t="s">
        <v>187</v>
      </c>
      <c r="H15" s="177" t="s">
        <v>188</v>
      </c>
      <c r="I15" s="177">
        <v>5359</v>
      </c>
      <c r="J15" s="177" t="s">
        <v>189</v>
      </c>
      <c r="K15" s="177" t="s">
        <v>190</v>
      </c>
      <c r="L15" s="177" t="s">
        <v>191</v>
      </c>
      <c r="M15" s="177"/>
      <c r="N15" s="177">
        <v>4007</v>
      </c>
    </row>
    <row r="16" spans="2:14" ht="33.75" customHeight="1">
      <c r="B16" s="178" t="s">
        <v>182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86" t="s">
        <v>192</v>
      </c>
      <c r="D17" s="494"/>
      <c r="E17" s="494"/>
      <c r="F17" s="494"/>
      <c r="G17" s="494"/>
      <c r="H17" s="494"/>
      <c r="I17" s="494"/>
      <c r="J17" s="494"/>
      <c r="K17" s="494"/>
      <c r="L17" s="494"/>
      <c r="M17" s="494"/>
      <c r="N17" s="495"/>
    </row>
    <row r="19" spans="2:14" ht="18" customHeight="1">
      <c r="C19" s="99" t="s">
        <v>162</v>
      </c>
      <c r="D19" s="99" t="s">
        <v>163</v>
      </c>
      <c r="E19" s="99" t="s">
        <v>164</v>
      </c>
      <c r="F19" s="99" t="s">
        <v>165</v>
      </c>
      <c r="G19" s="99" t="s">
        <v>166</v>
      </c>
      <c r="H19" s="99" t="s">
        <v>167</v>
      </c>
      <c r="I19" s="99" t="s">
        <v>168</v>
      </c>
      <c r="J19" s="99" t="s">
        <v>169</v>
      </c>
      <c r="K19" s="99" t="s">
        <v>170</v>
      </c>
      <c r="L19" s="99" t="s">
        <v>171</v>
      </c>
      <c r="M19" s="99" t="s">
        <v>172</v>
      </c>
      <c r="N19" s="99" t="s">
        <v>173</v>
      </c>
    </row>
    <row r="20" spans="2:14" ht="30" customHeight="1">
      <c r="B20" s="100" t="s">
        <v>174</v>
      </c>
      <c r="C20" s="489"/>
      <c r="D20" s="490"/>
      <c r="E20" s="490"/>
      <c r="F20" s="490"/>
      <c r="G20" s="490"/>
      <c r="H20" s="490"/>
      <c r="I20" s="490"/>
      <c r="J20" s="490"/>
      <c r="K20" s="491"/>
      <c r="L20" s="98"/>
      <c r="M20" s="98">
        <v>43165.84</v>
      </c>
      <c r="N20" s="98">
        <v>50595.28</v>
      </c>
    </row>
    <row r="21" spans="2:14" ht="31.5" customHeight="1">
      <c r="B21" s="101" t="s">
        <v>175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176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177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178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179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180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181</v>
      </c>
      <c r="C27" s="177" t="s">
        <v>193</v>
      </c>
      <c r="D27" s="177" t="s">
        <v>194</v>
      </c>
      <c r="E27" s="177" t="s">
        <v>195</v>
      </c>
      <c r="F27" s="177" t="s">
        <v>196</v>
      </c>
      <c r="G27" s="177" t="s">
        <v>197</v>
      </c>
      <c r="H27" s="177" t="s">
        <v>198</v>
      </c>
      <c r="I27" s="177" t="s">
        <v>199</v>
      </c>
      <c r="J27" s="177" t="s">
        <v>200</v>
      </c>
      <c r="K27" s="177" t="s">
        <v>201</v>
      </c>
      <c r="L27" s="177" t="s">
        <v>202</v>
      </c>
      <c r="M27" s="177"/>
      <c r="N27" s="177">
        <v>45702.8</v>
      </c>
    </row>
    <row r="28" spans="2:14" ht="32.25" customHeight="1">
      <c r="B28" s="180" t="s">
        <v>182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83" t="s">
        <v>203</v>
      </c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5"/>
    </row>
    <row r="6" spans="2:14" ht="23.25" customHeight="1"/>
    <row r="7" spans="2:14">
      <c r="C7" s="99" t="s">
        <v>162</v>
      </c>
      <c r="D7" s="99" t="s">
        <v>163</v>
      </c>
      <c r="E7" s="99" t="s">
        <v>164</v>
      </c>
      <c r="F7" s="99" t="s">
        <v>165</v>
      </c>
      <c r="G7" s="99" t="s">
        <v>166</v>
      </c>
      <c r="H7" s="99" t="s">
        <v>167</v>
      </c>
      <c r="I7" s="99" t="s">
        <v>168</v>
      </c>
      <c r="J7" s="99" t="s">
        <v>169</v>
      </c>
      <c r="K7" s="99" t="s">
        <v>170</v>
      </c>
      <c r="L7" s="99" t="s">
        <v>171</v>
      </c>
      <c r="M7" s="99" t="s">
        <v>172</v>
      </c>
      <c r="N7" s="99" t="s">
        <v>173</v>
      </c>
    </row>
    <row r="8" spans="2:14" ht="33.75" customHeight="1">
      <c r="B8" s="100" t="s">
        <v>174</v>
      </c>
      <c r="C8" s="489"/>
      <c r="D8" s="490"/>
      <c r="E8" s="490"/>
      <c r="F8" s="490"/>
      <c r="G8" s="490"/>
      <c r="H8" s="490"/>
      <c r="I8" s="490"/>
      <c r="J8" s="490"/>
      <c r="K8" s="491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175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176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177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178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179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180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1" t="s">
        <v>181</v>
      </c>
      <c r="C15" s="186">
        <v>8859163</v>
      </c>
      <c r="D15" s="186">
        <v>13938621</v>
      </c>
      <c r="E15" s="167">
        <v>316387</v>
      </c>
      <c r="F15" s="186">
        <v>23168613</v>
      </c>
      <c r="G15" s="167" t="s">
        <v>204</v>
      </c>
      <c r="H15" s="167" t="s">
        <v>188</v>
      </c>
      <c r="I15" s="186">
        <v>6726235</v>
      </c>
      <c r="J15" s="186">
        <v>9206716</v>
      </c>
      <c r="K15" s="186">
        <v>11550186</v>
      </c>
      <c r="L15" s="167" t="s">
        <v>18</v>
      </c>
      <c r="M15" s="167"/>
      <c r="N15" s="167"/>
    </row>
    <row r="16" spans="2:14" ht="36.75" customHeight="1">
      <c r="B16" s="182" t="s">
        <v>182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86" t="s">
        <v>205</v>
      </c>
      <c r="D17" s="487"/>
      <c r="E17" s="487"/>
      <c r="F17" s="487"/>
      <c r="G17" s="487"/>
      <c r="H17" s="487"/>
      <c r="I17" s="487"/>
      <c r="J17" s="487"/>
      <c r="K17" s="487"/>
      <c r="L17" s="487"/>
      <c r="M17" s="487"/>
      <c r="N17" s="488"/>
    </row>
    <row r="19" spans="2:14" ht="17.25" customHeight="1">
      <c r="C19" s="99" t="s">
        <v>162</v>
      </c>
      <c r="D19" s="99" t="s">
        <v>163</v>
      </c>
      <c r="E19" s="99" t="s">
        <v>164</v>
      </c>
      <c r="F19" s="99" t="s">
        <v>165</v>
      </c>
      <c r="G19" s="99" t="s">
        <v>166</v>
      </c>
      <c r="H19" s="99" t="s">
        <v>167</v>
      </c>
      <c r="I19" s="99" t="s">
        <v>168</v>
      </c>
      <c r="J19" s="99" t="s">
        <v>169</v>
      </c>
      <c r="K19" s="99" t="s">
        <v>170</v>
      </c>
      <c r="L19" s="99" t="s">
        <v>171</v>
      </c>
      <c r="M19" s="99" t="s">
        <v>172</v>
      </c>
      <c r="N19" s="99" t="s">
        <v>173</v>
      </c>
    </row>
    <row r="20" spans="2:14" ht="30" customHeight="1">
      <c r="B20" s="100" t="s">
        <v>174</v>
      </c>
      <c r="C20" s="489"/>
      <c r="D20" s="490"/>
      <c r="E20" s="490"/>
      <c r="F20" s="490"/>
      <c r="G20" s="490"/>
      <c r="H20" s="490"/>
      <c r="I20" s="490"/>
      <c r="J20" s="490"/>
      <c r="K20" s="491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175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176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177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178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179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180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3" t="s">
        <v>181</v>
      </c>
      <c r="C27" s="186">
        <v>1024562201</v>
      </c>
      <c r="D27" s="186">
        <v>1643363416</v>
      </c>
      <c r="E27" s="186">
        <v>3487476564</v>
      </c>
      <c r="F27" s="186">
        <v>3160198813</v>
      </c>
      <c r="G27" s="186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4" t="s">
        <v>182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9026B-FACA-412B-BFAF-D1CFE861F6E4}"/>
</file>

<file path=customXml/itemProps2.xml><?xml version="1.0" encoding="utf-8"?>
<ds:datastoreItem xmlns:ds="http://schemas.openxmlformats.org/officeDocument/2006/customXml" ds:itemID="{991D5AFF-6849-4580-86A3-902D531CC43C}"/>
</file>

<file path=customXml/itemProps3.xml><?xml version="1.0" encoding="utf-8"?>
<ds:datastoreItem xmlns:ds="http://schemas.openxmlformats.org/officeDocument/2006/customXml" ds:itemID="{4221F24E-D051-4344-B4AC-1A41CABA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2023-02-01T09:19:49Z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