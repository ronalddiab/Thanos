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T13" i="7" l="1"/>
  <c r="BP12" i="7"/>
  <c r="BP13" i="7"/>
  <c r="BN13" i="7"/>
  <c r="BL13" i="7"/>
  <c r="BJ13" i="7"/>
  <c r="N12" i="7" l="1"/>
  <c r="J12" i="7"/>
  <c r="J13" i="7"/>
  <c r="CH12" i="7" l="1"/>
  <c r="BT12" i="7"/>
  <c r="N13" i="7"/>
  <c r="CJ10" i="7" l="1"/>
  <c r="BB10" i="7"/>
  <c r="BB11" i="7"/>
  <c r="AZ10" i="7"/>
  <c r="CQ9" i="7" l="1"/>
  <c r="CQ10" i="7"/>
  <c r="CQ11" i="7"/>
  <c r="CM5" i="7"/>
  <c r="CM6" i="7"/>
  <c r="CM7" i="7"/>
  <c r="CM8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M4" i="7"/>
  <c r="CH8" i="7" l="1"/>
  <c r="BX8" i="7"/>
  <c r="BT8" i="7"/>
  <c r="BR8" i="7"/>
  <c r="BP8" i="7"/>
  <c r="BN8" i="7"/>
  <c r="BL8" i="7"/>
  <c r="BJ8" i="7"/>
  <c r="AL7" i="7" l="1"/>
  <c r="BX7" i="7"/>
  <c r="AL6" i="7"/>
  <c r="AD7" i="7"/>
  <c r="X7" i="7"/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AD11" i="7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M9" i="7" s="1"/>
  <c r="CS10" i="7"/>
  <c r="CM10" i="7" s="1"/>
  <c r="CS11" i="7"/>
  <c r="CM11" i="7" s="1"/>
  <c r="CS12" i="7"/>
  <c r="CM12" i="7" s="1"/>
  <c r="CS13" i="7"/>
  <c r="CM13" i="7" s="1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14" i="7" l="1"/>
  <c r="CL5" i="7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9" i="7"/>
  <c r="CH10" i="7"/>
  <c r="CH11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9" i="7"/>
  <c r="BR10" i="7"/>
  <c r="BR11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9" i="7"/>
  <c r="BP10" i="7"/>
  <c r="BP11" i="7"/>
  <c r="BP14" i="7"/>
  <c r="BP15" i="7"/>
  <c r="BP16" i="7"/>
  <c r="BP17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9" i="7"/>
  <c r="BN10" i="7"/>
  <c r="BN11" i="7"/>
  <c r="BN12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9" i="7"/>
  <c r="BL10" i="7"/>
  <c r="BL11" i="7"/>
  <c r="BL12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9" i="7"/>
  <c r="BJ10" i="7"/>
  <c r="BJ11" i="7"/>
  <c r="BJ12" i="7"/>
  <c r="BJ14" i="7"/>
  <c r="BJ15" i="7"/>
  <c r="BJ16" i="7"/>
  <c r="BJ4" i="7"/>
  <c r="BH5" i="7"/>
  <c r="BH6" i="7"/>
  <c r="BH7" i="7"/>
  <c r="BH8" i="7"/>
  <c r="BH9" i="7"/>
  <c r="BH10" i="7"/>
  <c r="BH11" i="7"/>
  <c r="BH12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2" i="7"/>
  <c r="BB13" i="7"/>
  <c r="BB14" i="7"/>
  <c r="BB15" i="7"/>
  <c r="BB16" i="7"/>
  <c r="AZ8" i="7"/>
  <c r="AZ9" i="7"/>
  <c r="AZ12" i="7"/>
  <c r="AZ13" i="7"/>
  <c r="AZ14" i="7"/>
  <c r="AZ15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5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AM6" i="6"/>
  <c r="BT9" i="7"/>
  <c r="AM7" i="6" s="1"/>
  <c r="BT10" i="7"/>
  <c r="AM8" i="6" s="1"/>
  <c r="BT11" i="7"/>
  <c r="AM9" i="6" s="1"/>
  <c r="AM10" i="6"/>
  <c r="AM11" i="6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<sst xmlns="http://schemas.openxmlformats.org/spreadsheetml/2006/main" count="314" uniqueCount="149">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</sst>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61.799999999999955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7460.0000000006421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36.400000000000091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6179.9999999999463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32.299999999999955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6169.9999999998754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43.700000000000045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6459.9999999996417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28.299999999999955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5230.0000000002665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26.200000000000045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5630.0000000000136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39.399999999999864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6460.0000000001537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42.900000000000091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7189.9999999993497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44.300000000000182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7430.0000000008822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44.199999999999818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>
        <f>'FS Desroches Daily'!BV4</f>
        <v>26</v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61.799999999999955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>
        <f>'FS Desroches Daily'!D5</f>
        <v>2700.0000000001469</v>
      </c>
      <c r="F3" s="32">
        <f>'FS Desroches Daily'!F5</f>
        <v>1600.0000000002678</v>
      </c>
      <c r="G3" s="31">
        <f>'FS Desroches Daily'!H5</f>
        <v>2200.0000000002019</v>
      </c>
      <c r="H3" s="32">
        <f>'FS Desroches Daily'!J5</f>
        <v>999.99999999988984</v>
      </c>
      <c r="I3" s="31">
        <f>'FS Desroches Daily'!L5</f>
        <v>2000.0000000002237</v>
      </c>
      <c r="J3" s="32">
        <f>'FS Desroches Daily'!N5</f>
        <v>700.00000000014495</v>
      </c>
      <c r="K3" s="13">
        <f>'FS Desroches Daily'!P5</f>
        <v>1</v>
      </c>
      <c r="L3" s="31">
        <f>'FS Desroches Daily'!R5</f>
        <v>3</v>
      </c>
      <c r="M3" s="31">
        <f>'FS Desroches Daily'!T5</f>
        <v>455</v>
      </c>
      <c r="N3" s="31">
        <f>'FS Desroches Daily'!V5</f>
        <v>201.29999999998836</v>
      </c>
      <c r="O3" s="31">
        <f>'FS Desroches Daily'!X6</f>
        <v>189.99999999999773</v>
      </c>
      <c r="P3" s="31">
        <f>'FS Desroches Daily'!Z5</f>
        <v>1400.0000000002899</v>
      </c>
      <c r="Q3" s="31">
        <f>'FS Desroches Daily'!AB5</f>
        <v>240.00000000000909</v>
      </c>
      <c r="R3" s="31">
        <f>'FS Desroches Daily'!AD5</f>
        <v>160.00000000002501</v>
      </c>
      <c r="S3" s="31">
        <f>'FS Desroches Daily'!AF5</f>
        <v>179.99999999994998</v>
      </c>
      <c r="T3" s="31">
        <f>'FS Desroches Daily'!AH5</f>
        <v>1.2000000000000455</v>
      </c>
      <c r="U3" s="35">
        <f>'FS Desroches Daily'!AJ5</f>
        <v>240.00000000000909</v>
      </c>
      <c r="V3" s="35">
        <f>'FS Desroches Daily'!AL5</f>
        <v>219.99999999999886</v>
      </c>
      <c r="W3" s="35">
        <f>'FS Desroches Daily'!AN5</f>
        <v>180.00000000000682</v>
      </c>
      <c r="X3" s="35">
        <f>'FS Desroches Daily'!AP5</f>
        <v>159.99999999999659</v>
      </c>
      <c r="Y3" s="35">
        <f>'FS Desroches Daily'!AR5</f>
        <v>140.00000000001478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139.99999999998636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109.99999999998522</v>
      </c>
      <c r="AF3" s="31">
        <f>'FS Desroches Daily'!BF5</f>
        <v>18</v>
      </c>
      <c r="AG3" s="32">
        <f>'FS Desroches Daily'!BH5</f>
        <v>20.000000000010232</v>
      </c>
      <c r="AH3" s="32">
        <f>'FS Desroches Daily'!BJ5</f>
        <v>20.000000000038654</v>
      </c>
      <c r="AI3" s="32">
        <f>'FS Desroches Daily'!BL5</f>
        <v>19.99999999998181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10.000000000019327</v>
      </c>
      <c r="AN3" s="32">
        <f>'FS Desroches Daily'!BV5</f>
        <v>26</v>
      </c>
      <c r="AO3" s="32">
        <f>'FS Desroches Daily'!BX5</f>
        <v>20.000000000010232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29.5</v>
      </c>
      <c r="AU3" s="31">
        <f>'FS Desroches Daily'!CJ5</f>
        <v>248</v>
      </c>
      <c r="AV3" s="31">
        <f>'FS Desroches Daily'!CL5</f>
        <v>740.00000000000909</v>
      </c>
      <c r="AW3" s="31">
        <f>'FS Desroches Daily'!CM5</f>
        <v>36.400000000000091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1700.0000000000348</v>
      </c>
      <c r="F4" s="32">
        <f>'FS Desroches Daily'!F6</f>
        <v>1399.9999999998458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2</v>
      </c>
      <c r="M4" s="31">
        <f>'FS Desroches Daily'!T6</f>
        <v>299.80000000004657</v>
      </c>
      <c r="N4" s="31">
        <f>'FS Desroches Daily'!V6</f>
        <v>155.20000000001164</v>
      </c>
      <c r="O4" s="31">
        <f>'FS Desroches Daily'!X7</f>
        <v>180.00000000000682</v>
      </c>
      <c r="P4" s="31">
        <f>'FS Desroches Daily'!Z6</f>
        <v>1099.9999999996569</v>
      </c>
      <c r="Q4" s="31">
        <f>'FS Desroches Daily'!AB6</f>
        <v>240.00000000000909</v>
      </c>
      <c r="R4" s="31">
        <f>'FS Desroches Daily'!AD6</f>
        <v>139.99999999998636</v>
      </c>
      <c r="S4" s="31">
        <f>'FS Desroches Daily'!AF6</f>
        <v>190.00000000005457</v>
      </c>
      <c r="T4" s="31">
        <f>'FS Desroches Daily'!AH6</f>
        <v>1.0999999999999091</v>
      </c>
      <c r="U4" s="35">
        <f>'FS Desroches Daily'!AJ6</f>
        <v>259.99999999999091</v>
      </c>
      <c r="V4" s="35">
        <f>'FS Desroches Daily'!AL6</f>
        <v>180.00000000000682</v>
      </c>
      <c r="W4" s="35">
        <f>'FS Desroches Daily'!AN6</f>
        <v>169.99999999998749</v>
      </c>
      <c r="X4" s="35">
        <f>'FS Desroches Daily'!AP6</f>
        <v>149.99999999997726</v>
      </c>
      <c r="Y4" s="35">
        <f>'FS Desroches Daily'!AR6</f>
        <v>120.00000000000455</v>
      </c>
      <c r="Z4" s="35">
        <f>'FS Desroches Daily'!AT6</f>
        <v>109.9999999999568</v>
      </c>
      <c r="AA4" s="35">
        <f>'FS Desroches Daily'!AT6</f>
        <v>109.9999999999568</v>
      </c>
      <c r="AB4" s="35">
        <f>'FS Desroches Daily'!AV6</f>
        <v>110.00000000001364</v>
      </c>
      <c r="AC4" s="35">
        <f>'FS Desroches Daily'!AZ6</f>
        <v>139.99999999998636</v>
      </c>
      <c r="AD4" s="35">
        <f>'FS Desroches Daily'!BB6</f>
        <v>120.00000000000455</v>
      </c>
      <c r="AE4" s="35">
        <f>'FS Desroches Daily'!BD6</f>
        <v>50.000000000011369</v>
      </c>
      <c r="AF4" s="31">
        <f>'FS Desroches Daily'!BF6</f>
        <v>18</v>
      </c>
      <c r="AG4" s="32">
        <f>'FS Desroches Daily'!BH6</f>
        <v>19.99999999998181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19.99999999998181</v>
      </c>
      <c r="AK4" s="32">
        <f>'FS Desroches Daily'!BP6</f>
        <v>30.000000000029559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26</v>
      </c>
      <c r="AO4" s="32">
        <f>'FS Desroches Daily'!BX6</f>
        <v>20.000000000010232</v>
      </c>
      <c r="AP4" s="32">
        <f>'FS Desroches Daily'!BZ6</f>
        <v>16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251</v>
      </c>
      <c r="AV4" s="31">
        <f>'FS Desroches Daily'!CL6</f>
        <v>519.99999999998181</v>
      </c>
      <c r="AW4" s="31">
        <f>'FS Desroches Daily'!CM6</f>
        <v>32.299999999999955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2099.9999999999909</v>
      </c>
      <c r="F5" s="32">
        <f>'FS Desroches Daily'!F7</f>
        <v>999.99999999988984</v>
      </c>
      <c r="G5" s="31">
        <f>'FS Desroches Daily'!H7</f>
        <v>1700.0000000000348</v>
      </c>
      <c r="H5" s="32">
        <f>'FS Desroches Daily'!J7</f>
        <v>999.99999999988984</v>
      </c>
      <c r="I5" s="31">
        <f>'FS Desroches Daily'!L7</f>
        <v>2099.9999999999909</v>
      </c>
      <c r="J5" s="32">
        <f>'FS Desroches Daily'!N7</f>
        <v>800.00000000013392</v>
      </c>
      <c r="K5" s="13">
        <f>'FS Desroches Daily'!P7</f>
        <v>1</v>
      </c>
      <c r="L5" s="31">
        <f>'FS Desroches Daily'!R7</f>
        <v>0</v>
      </c>
      <c r="M5" s="31">
        <f>'FS Desroches Daily'!T7</f>
        <v>263.59999999997672</v>
      </c>
      <c r="N5" s="31">
        <f>'FS Desroches Daily'!V7</f>
        <v>145.40000000002328</v>
      </c>
      <c r="O5" s="31">
        <f>'FS Desroches Daily'!X8</f>
        <v>170.00000000001592</v>
      </c>
      <c r="P5" s="31">
        <f>'FS Desroches Daily'!Z7</f>
        <v>700.00000000014495</v>
      </c>
      <c r="Q5" s="31">
        <f>'FS Desroches Daily'!AB7</f>
        <v>250</v>
      </c>
      <c r="R5" s="31">
        <f>'FS Desroches Daily'!AD7</f>
        <v>180.00000000000682</v>
      </c>
      <c r="S5" s="31">
        <f>'FS Desroches Daily'!AF7</f>
        <v>240.00000000000909</v>
      </c>
      <c r="T5" s="31">
        <f>'FS Desroches Daily'!AH7</f>
        <v>1.4000000000000909</v>
      </c>
      <c r="U5" s="35">
        <f>'FS Desroches Daily'!AJ7</f>
        <v>639.99999999998636</v>
      </c>
      <c r="V5" s="35">
        <f>'FS Desroches Daily'!AL7</f>
        <v>169.99999999998749</v>
      </c>
      <c r="W5" s="35">
        <f>'FS Desroches Daily'!AN7</f>
        <v>139.99999999998636</v>
      </c>
      <c r="X5" s="35">
        <f>'FS Desroches Daily'!AP7</f>
        <v>130.00000000002387</v>
      </c>
      <c r="Y5" s="35">
        <f>'FS Desroches Daily'!AR7</f>
        <v>129.99999999999545</v>
      </c>
      <c r="Z5" s="35">
        <f>'FS Desroches Daily'!AT7</f>
        <v>130.0000000000523</v>
      </c>
      <c r="AA5" s="35">
        <f>'FS Desroches Daily'!AT7</f>
        <v>130.0000000000523</v>
      </c>
      <c r="AB5" s="35">
        <f>'FS Desroches Daily'!AV7</f>
        <v>120.00000000000455</v>
      </c>
      <c r="AC5" s="35">
        <f>'FS Desroches Daily'!AZ7</f>
        <v>129.99999999999545</v>
      </c>
      <c r="AD5" s="35">
        <f>'FS Desroches Daily'!BB7</f>
        <v>129.99999999999545</v>
      </c>
      <c r="AE5" s="35">
        <f>'FS Desroches Daily'!BD7</f>
        <v>39.999999999992042</v>
      </c>
      <c r="AF5" s="31">
        <f>'FS Desroches Daily'!BF7</f>
        <v>16</v>
      </c>
      <c r="AG5" s="32">
        <f>'FS Desroches Daily'!BH7</f>
        <v>20.000000000010232</v>
      </c>
      <c r="AH5" s="32">
        <f>'FS Desroches Daily'!BJ7</f>
        <v>29.999999999972715</v>
      </c>
      <c r="AI5" s="32">
        <f>'FS Desroches Daily'!BL7</f>
        <v>9.9999999999909051</v>
      </c>
      <c r="AJ5" s="32">
        <f>'FS Desroches Daily'!BN7</f>
        <v>20.000000000010232</v>
      </c>
      <c r="AK5" s="32">
        <f>'FS Desroches Daily'!BP7</f>
        <v>29.999999999972715</v>
      </c>
      <c r="AL5" s="32">
        <f>'FS Desroches Daily'!BR7</f>
        <v>15</v>
      </c>
      <c r="AM5" s="32">
        <f>'FS Desroches Daily'!BT7</f>
        <v>9.9999999999909051</v>
      </c>
      <c r="AN5" s="32">
        <f>'FS Desroches Daily'!BV7</f>
        <v>26</v>
      </c>
      <c r="AO5" s="32">
        <f>'FS Desroches Daily'!BX7</f>
        <v>30.000000000001137</v>
      </c>
      <c r="AP5" s="32">
        <f>'FS Desroches Daily'!BZ7</f>
        <v>32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56.900000000001455</v>
      </c>
      <c r="AU5" s="31">
        <f>'FS Desroches Daily'!CJ7</f>
        <v>226</v>
      </c>
      <c r="AV5" s="31">
        <f>'FS Desroches Daily'!CL7</f>
        <v>430.00000000006366</v>
      </c>
      <c r="AW5" s="31">
        <f>'FS Desroches Daily'!CM7</f>
        <v>43.700000000000045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2399.9999999999577</v>
      </c>
      <c r="F6" s="32">
        <f>'FS Desroches Daily'!F8</f>
        <v>999.99999999988984</v>
      </c>
      <c r="G6" s="31">
        <f>'FS Desroches Daily'!H8</f>
        <v>1999.9999999997797</v>
      </c>
      <c r="H6" s="32">
        <f>'FS Desroches Daily'!J8</f>
        <v>1100.000000000101</v>
      </c>
      <c r="I6" s="31">
        <f>'FS Desroches Daily'!L8</f>
        <v>2200.0000000002019</v>
      </c>
      <c r="J6" s="32">
        <f>'FS Desroches Daily'!N8</f>
        <v>699.99999999992292</v>
      </c>
      <c r="K6" s="13">
        <f>'FS Desroches Daily'!P8</f>
        <v>1</v>
      </c>
      <c r="L6" s="31">
        <f>'FS Desroches Daily'!R8</f>
        <v>0</v>
      </c>
      <c r="M6" s="31">
        <f>'FS Desroches Daily'!T8</f>
        <v>286.59999999997672</v>
      </c>
      <c r="N6" s="31">
        <f>'FS Desroches Daily'!V8</f>
        <v>180.20000000001164</v>
      </c>
      <c r="O6" s="31">
        <f>'FS Desroches Daily'!X8</f>
        <v>170.00000000001592</v>
      </c>
      <c r="P6" s="31">
        <f>'FS Desroches Daily'!Z8</f>
        <v>700.00000000014495</v>
      </c>
      <c r="Q6" s="31">
        <f>'FS Desroches Daily'!AB8</f>
        <v>259.99999999999091</v>
      </c>
      <c r="R6" s="31">
        <f>'FS Desroches Daily'!AD8</f>
        <v>169.99999999995907</v>
      </c>
      <c r="S6" s="31">
        <f>'FS Desroches Daily'!AF8</f>
        <v>189.99999999994088</v>
      </c>
      <c r="T6" s="31">
        <f>'FS Desroches Daily'!AH8</f>
        <v>1.4000000000000909</v>
      </c>
      <c r="U6" s="35">
        <f>'FS Desroches Daily'!AJ8</f>
        <v>930.00000000000682</v>
      </c>
      <c r="V6" s="35">
        <f>'FS Desroches Daily'!AL8</f>
        <v>170.00000000001592</v>
      </c>
      <c r="W6" s="35">
        <f>'FS Desroches Daily'!AN8</f>
        <v>150.00000000000568</v>
      </c>
      <c r="X6" s="35">
        <f>'FS Desroches Daily'!AP8</f>
        <v>149.99999999997726</v>
      </c>
      <c r="Y6" s="35">
        <f>'FS Desroches Daily'!AR8</f>
        <v>139.99999999998636</v>
      </c>
      <c r="Z6" s="35">
        <f>'FS Desroches Daily'!AT8</f>
        <v>109.9999999999568</v>
      </c>
      <c r="AA6" s="35">
        <f>'FS Desroches Daily'!AT8</f>
        <v>109.9999999999568</v>
      </c>
      <c r="AB6" s="35">
        <f>'FS Desroches Daily'!AV8</f>
        <v>120.00000000000455</v>
      </c>
      <c r="AC6" s="35">
        <f>'FS Desroches Daily'!AZ8</f>
        <v>129.99999999999545</v>
      </c>
      <c r="AD6" s="35">
        <f>'FS Desroches Daily'!BB8</f>
        <v>129.99999999999545</v>
      </c>
      <c r="AE6" s="35">
        <f>'FS Desroches Daily'!BD8</f>
        <v>50.000000000011369</v>
      </c>
      <c r="AF6" s="31">
        <f>'FS Desroches Daily'!BF8</f>
        <v>19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40.000000000020464</v>
      </c>
      <c r="AL6" s="32">
        <f>'FS Desroches Daily'!BR8</f>
        <v>19</v>
      </c>
      <c r="AM6" s="32">
        <f>'FS Desroches Daily'!BT8</f>
        <v>10.000000000019327</v>
      </c>
      <c r="AN6" s="32">
        <f>'FS Desroches Daily'!BV8</f>
        <v>26</v>
      </c>
      <c r="AO6" s="32">
        <f>'FS Desroches Daily'!BX8</f>
        <v>30.000000000001137</v>
      </c>
      <c r="AP6" s="32">
        <f>'FS Desroches Daily'!BZ8</f>
        <v>23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39.5</v>
      </c>
      <c r="AU6" s="31">
        <f>'FS Desroches Daily'!CJ8</f>
        <v>251</v>
      </c>
      <c r="AV6" s="31">
        <f>'FS Desroches Daily'!CL8</f>
        <v>740.00000000000909</v>
      </c>
      <c r="AW6" s="31">
        <f>'FS Desroches Daily'!CM8</f>
        <v>28.299999999999955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1800.0000000000239</v>
      </c>
      <c r="F7" s="32">
        <f>'FS Desroches Daily'!F9</f>
        <v>800.00000000035595</v>
      </c>
      <c r="G7" s="31">
        <f>'FS Desroches Daily'!H9</f>
        <v>1399.9999999998458</v>
      </c>
      <c r="H7" s="32">
        <f>'FS Desroches Daily'!J9</f>
        <v>1000.0000000001119</v>
      </c>
      <c r="I7" s="31">
        <f>'FS Desroches Daily'!L9</f>
        <v>1799.9999999998017</v>
      </c>
      <c r="J7" s="32">
        <f>'FS Desroches Daily'!N9</f>
        <v>599.99999999993395</v>
      </c>
      <c r="K7" s="13">
        <f>'FS Desroches Daily'!P9</f>
        <v>1</v>
      </c>
      <c r="L7" s="31">
        <f>'FS Desroches Daily'!R9</f>
        <v>0</v>
      </c>
      <c r="M7" s="31">
        <f>'FS Desroches Daily'!T9</f>
        <v>87</v>
      </c>
      <c r="N7" s="31">
        <f>'FS Desroches Daily'!V9</f>
        <v>46.199999999953434</v>
      </c>
      <c r="O7" s="31">
        <f>'FS Desroches Daily'!X9</f>
        <v>149.99999999997726</v>
      </c>
      <c r="P7" s="31">
        <f>'FS Desroches Daily'!Z9</f>
        <v>599.99999999993395</v>
      </c>
      <c r="Q7" s="31">
        <f>'FS Desroches Daily'!AB9</f>
        <v>219.99999999997044</v>
      </c>
      <c r="R7" s="31">
        <f>'FS Desroches Daily'!AD9</f>
        <v>140.0000000000432</v>
      </c>
      <c r="S7" s="31">
        <f>'FS Desroches Daily'!AF9</f>
        <v>140.00000000010004</v>
      </c>
      <c r="T7" s="31">
        <f>'FS Desroches Daily'!AH9</f>
        <v>1.1999999999998181</v>
      </c>
      <c r="U7" s="35">
        <f>'FS Desroches Daily'!AJ9</f>
        <v>610.00000000001364</v>
      </c>
      <c r="V7" s="35">
        <f>'FS Desroches Daily'!AL9</f>
        <v>129.99999999999545</v>
      </c>
      <c r="W7" s="35">
        <f>'FS Desroches Daily'!AN9</f>
        <v>110.00000000001364</v>
      </c>
      <c r="X7" s="35">
        <f>'FS Desroches Daily'!AP9</f>
        <v>90.000000000003411</v>
      </c>
      <c r="Y7" s="35">
        <f>'FS Desroches Daily'!AR9</f>
        <v>90.000000000003411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89.999999999974989</v>
      </c>
      <c r="AC7" s="35">
        <f>'FS Desroches Daily'!AZ9</f>
        <v>100.00000000002274</v>
      </c>
      <c r="AD7" s="35">
        <f>'FS Desroches Daily'!BB9</f>
        <v>100.00000000002274</v>
      </c>
      <c r="AE7" s="35">
        <f>'FS Desroches Daily'!BD9</f>
        <v>30.000000000001137</v>
      </c>
      <c r="AF7" s="31">
        <f>'FS Desroches Daily'!BF9</f>
        <v>12</v>
      </c>
      <c r="AG7" s="32">
        <f>'FS Desroches Daily'!BH9</f>
        <v>19.99999999998181</v>
      </c>
      <c r="AH7" s="32">
        <f>'FS Desroches Daily'!BJ9</f>
        <v>40.000000000020464</v>
      </c>
      <c r="AI7" s="32">
        <f>'FS Desroches Daily'!BL9</f>
        <v>9.9999999999909051</v>
      </c>
      <c r="AJ7" s="32">
        <f>'FS Desroches Daily'!BN9</f>
        <v>20.000000000010232</v>
      </c>
      <c r="AK7" s="32">
        <f>'FS Desroches Daily'!BP9</f>
        <v>29.999999999972715</v>
      </c>
      <c r="AL7" s="32">
        <f>'FS Desroches Daily'!BR9</f>
        <v>21</v>
      </c>
      <c r="AM7" s="32">
        <f>'FS Desroches Daily'!BT9</f>
        <v>19.99999999998181</v>
      </c>
      <c r="AN7" s="32">
        <f>'FS Desroches Daily'!BV9</f>
        <v>26</v>
      </c>
      <c r="AO7" s="32">
        <f>'FS Desroches Daily'!BX9</f>
        <v>30.000000000001137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19.30000000000291</v>
      </c>
      <c r="AU7" s="31">
        <f>'FS Desroches Daily'!CJ9</f>
        <v>216</v>
      </c>
      <c r="AV7" s="31">
        <f>'FS Desroches Daily'!CL9</f>
        <v>370.00000000000455</v>
      </c>
      <c r="AW7" s="31">
        <f>'FS Desroches Daily'!CM9</f>
        <v>26.200000000000045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1800.0000000000239</v>
      </c>
      <c r="F8" s="32">
        <f>'FS Desroches Daily'!F10</f>
        <v>999.99999999988984</v>
      </c>
      <c r="G8" s="31">
        <f>'FS Desroches Daily'!H10</f>
        <v>1900.0000000000127</v>
      </c>
      <c r="H8" s="32">
        <f>'FS Desroches Daily'!J10</f>
        <v>999.99999999988984</v>
      </c>
      <c r="I8" s="31">
        <f>'FS Desroches Daily'!L10</f>
        <v>2000.0000000002237</v>
      </c>
      <c r="J8" s="32">
        <f>'FS Desroches Daily'!N10</f>
        <v>600.00000000015598</v>
      </c>
      <c r="K8" s="13">
        <f>'FS Desroches Daily'!P10</f>
        <v>1</v>
      </c>
      <c r="L8" s="31">
        <f>'FS Desroches Daily'!R10</f>
        <v>0</v>
      </c>
      <c r="M8" s="31">
        <f>'FS Desroches Daily'!T10</f>
        <v>237.40000000002328</v>
      </c>
      <c r="N8" s="31">
        <f>'FS Desroches Daily'!V10</f>
        <v>112.70000000001164</v>
      </c>
      <c r="O8" s="31">
        <f>'FS Desroches Daily'!X10</f>
        <v>150.00000000003411</v>
      </c>
      <c r="P8" s="31">
        <f>'FS Desroches Daily'!Z10</f>
        <v>700.00000000014495</v>
      </c>
      <c r="Q8" s="31">
        <f>'FS Desroches Daily'!AB10</f>
        <v>180.00000000000682</v>
      </c>
      <c r="R8" s="31">
        <f>'FS Desroches Daily'!AD10</f>
        <v>120.00000000000455</v>
      </c>
      <c r="S8" s="31">
        <f>'FS Desroches Daily'!AF10</f>
        <v>219.9999999999136</v>
      </c>
      <c r="T8" s="31">
        <f>'FS Desroches Daily'!AH10</f>
        <v>1.3000000000001819</v>
      </c>
      <c r="U8" s="35">
        <f>'FS Desroches Daily'!AJ10</f>
        <v>529.99999999997272</v>
      </c>
      <c r="V8" s="35">
        <f>'FS Desroches Daily'!AL10</f>
        <v>129.99999999999545</v>
      </c>
      <c r="W8" s="35">
        <f>'FS Desroches Daily'!AN10</f>
        <v>159.99999999999659</v>
      </c>
      <c r="X8" s="35">
        <f>'FS Desroches Daily'!AP10</f>
        <v>99.999999999994316</v>
      </c>
      <c r="Y8" s="35">
        <f>'FS Desroches Daily'!AR10</f>
        <v>99.999999999994316</v>
      </c>
      <c r="Z8" s="35">
        <f>'FS Desroches Daily'!AT10</f>
        <v>79.999999999984084</v>
      </c>
      <c r="AA8" s="35">
        <f>'FS Desroches Daily'!AT10</f>
        <v>79.999999999984084</v>
      </c>
      <c r="AB8" s="35">
        <f>'FS Desroches Daily'!AV10</f>
        <v>90.000000000031832</v>
      </c>
      <c r="AC8" s="35">
        <f>'FS Desroches Daily'!AZ10</f>
        <v>90.000000000031832</v>
      </c>
      <c r="AD8" s="35">
        <f>'FS Desroches Daily'!BB10</f>
        <v>99.999999999965894</v>
      </c>
      <c r="AE8" s="35">
        <f>'FS Desroches Daily'!BD10</f>
        <v>30.000000000001137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9.9999999999909051</v>
      </c>
      <c r="AK8" s="32">
        <f>'FS Desroches Daily'!BP10</f>
        <v>30.000000000029559</v>
      </c>
      <c r="AL8" s="32">
        <f>'FS Desroches Daily'!BR10</f>
        <v>20</v>
      </c>
      <c r="AM8" s="32">
        <f>'FS Desroches Daily'!BT10</f>
        <v>10.000000000019327</v>
      </c>
      <c r="AN8" s="32">
        <f>'FS Desroches Daily'!BV10</f>
        <v>26</v>
      </c>
      <c r="AO8" s="32">
        <f>'FS Desroches Daily'!BX10</f>
        <v>39.999999999992042</v>
      </c>
      <c r="AP8" s="32">
        <f>'FS Desroches Daily'!BZ10</f>
        <v>33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54.69999999999709</v>
      </c>
      <c r="AU8" s="31">
        <f>'FS Desroches Daily'!CJ10</f>
        <v>227</v>
      </c>
      <c r="AV8" s="31">
        <f>'FS Desroches Daily'!CL10</f>
        <v>669.99999999995907</v>
      </c>
      <c r="AW8" s="31">
        <f>'FS Desroches Daily'!CM10</f>
        <v>39.399999999999864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2099.9999999999909</v>
      </c>
      <c r="F9" s="32">
        <f>'FS Desroches Daily'!F11</f>
        <v>999.99999999988984</v>
      </c>
      <c r="G9" s="31">
        <f>'FS Desroches Daily'!H11</f>
        <v>2000.0000000002237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0</v>
      </c>
      <c r="M9" s="31">
        <f>'FS Desroches Daily'!T11</f>
        <v>326.30000000004657</v>
      </c>
      <c r="N9" s="31">
        <f>'FS Desroches Daily'!V11</f>
        <v>187.5</v>
      </c>
      <c r="O9" s="31">
        <f>'FS Desroches Daily'!X11</f>
        <v>159.99999999996817</v>
      </c>
      <c r="P9" s="31">
        <f>'FS Desroches Daily'!Z11</f>
        <v>799.99999999991189</v>
      </c>
      <c r="Q9" s="31">
        <f>'FS Desroches Daily'!AB11</f>
        <v>250</v>
      </c>
      <c r="R9" s="31">
        <f>'FS Desroches Daily'!AD11</f>
        <v>159.99999999996817</v>
      </c>
      <c r="S9" s="31">
        <f>'FS Desroches Daily'!AF11</f>
        <v>160.00000000008185</v>
      </c>
      <c r="T9" s="31">
        <f>'FS Desroches Daily'!AH11</f>
        <v>1.3999999999998636</v>
      </c>
      <c r="U9" s="35">
        <f>'FS Desroches Daily'!AJ11</f>
        <v>610.00000000001364</v>
      </c>
      <c r="V9" s="35">
        <f>'FS Desroches Daily'!AL11</f>
        <v>170.00000000001592</v>
      </c>
      <c r="W9" s="35">
        <f>'FS Desroches Daily'!AN11</f>
        <v>189.99999999999773</v>
      </c>
      <c r="X9" s="35">
        <f>'FS Desroches Daily'!AP11</f>
        <v>170.00000000001592</v>
      </c>
      <c r="Y9" s="35">
        <f>'FS Desroches Daily'!AR11</f>
        <v>120.00000000000455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109.9999999999568</v>
      </c>
      <c r="AC9" s="35">
        <f>'FS Desroches Daily'!AZ11</f>
        <v>119.9999999999477</v>
      </c>
      <c r="AD9" s="35">
        <f>'FS Desroches Daily'!BB11</f>
        <v>120.00000000000455</v>
      </c>
      <c r="AE9" s="35">
        <f>'FS Desroches Daily'!BD11</f>
        <v>49.999999999982947</v>
      </c>
      <c r="AF9" s="31">
        <f>'FS Desroches Daily'!BF11</f>
        <v>17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69.999999999993179</v>
      </c>
      <c r="AL9" s="32">
        <f>'FS Desroches Daily'!BR11</f>
        <v>20</v>
      </c>
      <c r="AM9" s="32">
        <f>'FS Desroches Daily'!BT11</f>
        <v>9.9999999999909051</v>
      </c>
      <c r="AN9" s="32">
        <f>'FS Desroches Daily'!BV11</f>
        <v>26</v>
      </c>
      <c r="AO9" s="32">
        <f>'FS Desroches Daily'!BX11</f>
        <v>39.999999999992042</v>
      </c>
      <c r="AP9" s="32">
        <f>'FS Desroches Daily'!BZ11</f>
        <v>31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41.5</v>
      </c>
      <c r="AU9" s="31">
        <f>'FS Desroches Daily'!CJ11</f>
        <v>233</v>
      </c>
      <c r="AV9" s="31">
        <f>'FS Desroches Daily'!CL11</f>
        <v>539.99999999996362</v>
      </c>
      <c r="AW9" s="31">
        <f>'FS Desroches Daily'!CM11</f>
        <v>42.900000000000091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2399.9999999999577</v>
      </c>
      <c r="F10" s="32">
        <f>'FS Desroches Daily'!F12</f>
        <v>1199.9999999998679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1</v>
      </c>
      <c r="L10" s="31">
        <f>'FS Desroches Daily'!R12</f>
        <v>0</v>
      </c>
      <c r="M10" s="31">
        <f>'FS Desroches Daily'!T12</f>
        <v>376.29999999993015</v>
      </c>
      <c r="N10" s="31">
        <f>'FS Desroches Daily'!V12</f>
        <v>214.79999999998836</v>
      </c>
      <c r="O10" s="31">
        <f>'FS Desroches Daily'!X12</f>
        <v>170.00000000001592</v>
      </c>
      <c r="P10" s="31">
        <f>'FS Desroches Daily'!Z12</f>
        <v>999.99999999988984</v>
      </c>
      <c r="Q10" s="31">
        <f>'FS Desroches Daily'!AB12</f>
        <v>230.00000000001819</v>
      </c>
      <c r="R10" s="31">
        <f>'FS Desroches Daily'!AD12</f>
        <v>180.00000000000682</v>
      </c>
      <c r="S10" s="31">
        <f>'FS Desroches Daily'!AF12</f>
        <v>179.99999999994998</v>
      </c>
      <c r="T10" s="31">
        <f>'FS Desroches Daily'!AH12</f>
        <v>1.7999999999999545</v>
      </c>
      <c r="U10" s="35">
        <f>'FS Desroches Daily'!AJ12</f>
        <v>629.99999999999545</v>
      </c>
      <c r="V10" s="35">
        <f>'FS Desroches Daily'!AL12</f>
        <v>189.99999999999773</v>
      </c>
      <c r="W10" s="35">
        <f>'FS Desroches Daily'!AN12</f>
        <v>199.99999999998863</v>
      </c>
      <c r="X10" s="35">
        <f>'FS Desroches Daily'!AP12</f>
        <v>169.99999999998749</v>
      </c>
      <c r="Y10" s="35">
        <f>'FS Desroches Daily'!AR12</f>
        <v>120.00000000000455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160.00000000002501</v>
      </c>
      <c r="AC10" s="35">
        <f>'FS Desroches Daily'!AZ12</f>
        <v>120.00000000000455</v>
      </c>
      <c r="AD10" s="35">
        <f>'FS Desroches Daily'!BB12</f>
        <v>150.00000000003411</v>
      </c>
      <c r="AE10" s="35">
        <f>'FS Desroches Daily'!BD12</f>
        <v>60.000000000002274</v>
      </c>
      <c r="AF10" s="31">
        <f>'FS Desroches Daily'!BF12</f>
        <v>20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 t="str">
        <f>'FS Desroches Daily'!BP12</f>
        <v/>
      </c>
      <c r="AL10" s="32">
        <f>'FS Desroches Daily'!BR12</f>
        <v>195.29</v>
      </c>
      <c r="AM10" s="32">
        <f>'FS Desroches Daily'!BT12</f>
        <v>9.9999999999909051</v>
      </c>
      <c r="AN10" s="32">
        <f>'FS Desroches Daily'!BV12</f>
        <v>26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59.099999999998545</v>
      </c>
      <c r="AU10" s="31">
        <f>'FS Desroches Daily'!CJ12</f>
        <v>249</v>
      </c>
      <c r="AV10" s="31">
        <f>'FS Desroches Daily'!CL12</f>
        <v>610.00000000001364</v>
      </c>
      <c r="AW10" s="31">
        <f>'FS Desroches Daily'!CM12</f>
        <v>44.300000000000182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>
        <f>'FS Desroches Daily'!D13</f>
        <v>2399.9999999999577</v>
      </c>
      <c r="F11" s="32">
        <f>'FS Desroches Daily'!F13</f>
        <v>1400.0000000002899</v>
      </c>
      <c r="G11" s="31">
        <f>'FS Desroches Daily'!H13</f>
        <v>2360.000000000362</v>
      </c>
      <c r="H11" s="32">
        <f>'FS Desroches Daily'!J13</f>
        <v>1200.0000000000898</v>
      </c>
      <c r="I11" s="31">
        <f>'FS Desroches Daily'!L13</f>
        <v>1900.0000000000127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1</v>
      </c>
      <c r="M11" s="31">
        <f>'FS Desroches Daily'!T13</f>
        <v>670.80000000004657</v>
      </c>
      <c r="N11" s="31">
        <f>'FS Desroches Daily'!V13</f>
        <v>324.30000000004657</v>
      </c>
      <c r="O11" s="31">
        <f>'FS Desroches Daily'!X13</f>
        <v>199.99999999998863</v>
      </c>
      <c r="P11" s="31">
        <f>'FS Desroches Daily'!Z13</f>
        <v>1100.000000000101</v>
      </c>
      <c r="Q11" s="31">
        <f>'FS Desroches Daily'!AB13</f>
        <v>219.99999999997044</v>
      </c>
      <c r="R11" s="31">
        <f>'FS Desroches Daily'!AD13</f>
        <v>170.00000000001592</v>
      </c>
      <c r="S11" s="31">
        <f>'FS Desroches Daily'!AF13</f>
        <v>220.00000000002728</v>
      </c>
      <c r="T11" s="31">
        <f>'FS Desroches Daily'!AH13</f>
        <v>1.8000000000001819</v>
      </c>
      <c r="U11" s="35">
        <f>'FS Desroches Daily'!AJ13</f>
        <v>649.99999999997726</v>
      </c>
      <c r="V11" s="35">
        <f>'FS Desroches Daily'!AL13</f>
        <v>199.99999999998863</v>
      </c>
      <c r="W11" s="35">
        <f>'FS Desroches Daily'!AN13</f>
        <v>240.00000000000909</v>
      </c>
      <c r="X11" s="35">
        <f>'FS Desroches Daily'!AP13</f>
        <v>180.00000000000682</v>
      </c>
      <c r="Y11" s="35">
        <f>'FS Desroches Daily'!AR13</f>
        <v>140.00000000001478</v>
      </c>
      <c r="Z11" s="35">
        <f>'FS Desroches Daily'!AT13</f>
        <v>129.99999999999545</v>
      </c>
      <c r="AA11" s="35">
        <f>'FS Desroches Daily'!AT13</f>
        <v>129.99999999999545</v>
      </c>
      <c r="AB11" s="35">
        <f>'FS Desroches Daily'!AV13</f>
        <v>139.99999999998636</v>
      </c>
      <c r="AC11" s="35">
        <f>'FS Desroches Daily'!AZ13</f>
        <v>170.00000000001592</v>
      </c>
      <c r="AD11" s="35">
        <f>'FS Desroches Daily'!BB13</f>
        <v>159.99999999996817</v>
      </c>
      <c r="AE11" s="35">
        <f>'FS Desroches Daily'!BD13</f>
        <v>50.000000000011369</v>
      </c>
      <c r="AF11" s="31">
        <f>'FS Desroches Daily'!BF13</f>
        <v>21</v>
      </c>
      <c r="AG11" s="32">
        <f>'FS Desroches Daily'!BH13</f>
        <v>285.38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195.31</v>
      </c>
      <c r="AM11" s="32">
        <f>'FS Desroches Daily'!BT13</f>
        <v>20.000000000010232</v>
      </c>
      <c r="AN11" s="32">
        <f>'FS Desroches Daily'!BV13</f>
        <v>0.32999999999998408</v>
      </c>
      <c r="AO11" s="32">
        <f>'FS Desroches Daily'!BX13</f>
        <v>30.000000000001137</v>
      </c>
      <c r="AP11" s="32">
        <f>'FS Desroches Daily'!BZ13</f>
        <v>43</v>
      </c>
      <c r="AQ11" s="31">
        <f>'FS Desroches Daily'!CB13</f>
        <v>50.900000000001455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36.700000000004366</v>
      </c>
      <c r="AU11" s="31">
        <f>'FS Desroches Daily'!CJ13</f>
        <v>310</v>
      </c>
      <c r="AV11" s="31">
        <f>'FS Desroches Daily'!CL13</f>
        <v>529.99999999997272</v>
      </c>
      <c r="AW11" s="31">
        <f>'FS Desroches Daily'!CM13</f>
        <v>44.199999999999818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367.67</v>
      </c>
      <c r="AD20" s="35">
        <f>'FS Desroches Daily'!BB22</f>
        <v>233.95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51904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 t="str">
        <f>'FS Desroches Daily'!BZ33</f>
        <v/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20599.999999999949</v>
      </c>
      <c r="F33" s="17">
        <f t="shared" ref="F33:BC33" si="1">SUM(F2:F32)</f>
        <v>11300.000000000307</v>
      </c>
      <c r="G33" s="17">
        <f t="shared" si="1"/>
        <v>19660.000000000007</v>
      </c>
      <c r="H33" s="17">
        <f t="shared" si="1"/>
        <v>10700.000000000153</v>
      </c>
      <c r="I33" s="17">
        <f t="shared" si="1"/>
        <v>19800.000000000044</v>
      </c>
      <c r="J33" s="17">
        <f t="shared" si="1"/>
        <v>6800.0000000001382</v>
      </c>
      <c r="K33" s="17">
        <f t="shared" si="1"/>
        <v>10</v>
      </c>
      <c r="L33" s="17">
        <f t="shared" si="1"/>
        <v>10</v>
      </c>
      <c r="M33" s="17">
        <f t="shared" si="1"/>
        <v>3394.5999999999767</v>
      </c>
      <c r="N33" s="17">
        <f t="shared" si="1"/>
        <v>1784.1000000000349</v>
      </c>
      <c r="O33" s="17">
        <f t="shared" si="1"/>
        <v>1770.0000000000387</v>
      </c>
      <c r="P33" s="17">
        <f t="shared" si="1"/>
        <v>8700.0000000001528</v>
      </c>
      <c r="Q33" s="17">
        <f t="shared" si="1"/>
        <v>2300.0000000000114</v>
      </c>
      <c r="R33" s="17">
        <f t="shared" si="1"/>
        <v>1580.0000000000409</v>
      </c>
      <c r="S33" s="17">
        <f t="shared" si="1"/>
        <v>1879.9999999999955</v>
      </c>
      <c r="T33" s="17">
        <f t="shared" si="1"/>
        <v>13.900000000000091</v>
      </c>
      <c r="U33" s="35">
        <f t="shared" si="1"/>
        <v>5359.9999999999573</v>
      </c>
      <c r="V33" s="35">
        <f t="shared" si="1"/>
        <v>1759.9999999999909</v>
      </c>
      <c r="W33" s="35">
        <f t="shared" si="1"/>
        <v>1740.0000000000091</v>
      </c>
      <c r="X33" s="35">
        <f t="shared" si="1"/>
        <v>1479.9999999999898</v>
      </c>
      <c r="Y33" s="35">
        <f t="shared" si="1"/>
        <v>1230.0000000000182</v>
      </c>
      <c r="Z33" s="35">
        <f t="shared" si="1"/>
        <v>1149.9999999999773</v>
      </c>
      <c r="AA33" s="35">
        <f t="shared" si="1"/>
        <v>1149.9999999999773</v>
      </c>
      <c r="AB33" s="35">
        <f t="shared" si="1"/>
        <v>1219.9999999999704</v>
      </c>
      <c r="AC33" s="35">
        <f t="shared" si="1"/>
        <v>1597.6700000000183</v>
      </c>
      <c r="AD33" s="35">
        <f t="shared" si="1"/>
        <v>1523.9499999999637</v>
      </c>
      <c r="AE33" s="35">
        <f t="shared" si="1"/>
        <v>500</v>
      </c>
      <c r="AF33" s="17">
        <f t="shared" si="1"/>
        <v>176</v>
      </c>
      <c r="AG33" s="32">
        <f t="shared" si="1"/>
        <v>455.37999999998749</v>
      </c>
      <c r="AH33" s="32">
        <f t="shared" si="1"/>
        <v>319.99999999999318</v>
      </c>
      <c r="AI33" s="32">
        <f t="shared" si="1"/>
        <v>169.99999999998749</v>
      </c>
      <c r="AJ33" s="32">
        <f t="shared" si="1"/>
        <v>219.99999999999886</v>
      </c>
      <c r="AK33" s="32">
        <f t="shared" si="1"/>
        <v>319.99999999999318</v>
      </c>
      <c r="AL33" s="32">
        <f t="shared" si="1"/>
        <v>528.59999999999991</v>
      </c>
      <c r="AM33" s="32">
        <f t="shared" si="1"/>
        <v>120.00000000000455</v>
      </c>
      <c r="AN33" s="32">
        <f t="shared" si="1"/>
        <v>234.32999999999998</v>
      </c>
      <c r="AO33" s="32">
        <f t="shared" si="1"/>
        <v>289.99999999999204</v>
      </c>
      <c r="AP33" s="32">
        <f t="shared" si="1"/>
        <v>52186</v>
      </c>
      <c r="AQ33" s="17">
        <f t="shared" si="1"/>
        <v>50.900000000001455</v>
      </c>
      <c r="AR33" s="17">
        <f t="shared" si="1"/>
        <v>0</v>
      </c>
      <c r="AS33" s="17">
        <f t="shared" si="1"/>
        <v>0</v>
      </c>
      <c r="AT33" s="17">
        <f t="shared" si="1"/>
        <v>383.5</v>
      </c>
      <c r="AU33" s="17">
        <f t="shared" si="1"/>
        <v>2445</v>
      </c>
      <c r="AV33" s="17">
        <f t="shared" si="1"/>
        <v>5689.9999999999409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56.776499999999999</v>
      </c>
      <c r="BC33" s="17">
        <f t="shared" si="1"/>
        <v>0</v>
      </c>
    </row>
    <row r="35" spans="5:55" x14ac:dyDescent="0.25">
      <c r="E35" s="38">
        <f>E33/E37</f>
        <v>0.34220405993554204</v>
      </c>
      <c r="G35" s="29">
        <f>G33-M36</f>
        <v>14481.299999999996</v>
      </c>
      <c r="AE35" s="35">
        <f>SUM(U33:AE33)</f>
        <v>18711.619999999875</v>
      </c>
      <c r="AG35" s="32">
        <f>SUM(AG33:AP33)</f>
        <v>54844.309999999954</v>
      </c>
    </row>
    <row r="36" spans="5:55" x14ac:dyDescent="0.25">
      <c r="G36" s="29">
        <f>G35-633*14</f>
        <v>5619.2999999999956</v>
      </c>
      <c r="M36" s="29">
        <f>M33+N33</f>
        <v>5178.7000000000116</v>
      </c>
    </row>
    <row r="37" spans="5:55" x14ac:dyDescent="0.25">
      <c r="E37" s="17">
        <f>E33+F33+G33+H33+J33-633*14</f>
        <v>60198.000000000553</v>
      </c>
      <c r="G37" s="37">
        <f>M36/E37</f>
        <v>8.6027775009135915E-2</v>
      </c>
      <c r="M37" s="35">
        <f>AE35</f>
        <v>18711.619999999875</v>
      </c>
    </row>
    <row r="38" spans="5:55" x14ac:dyDescent="0.25">
      <c r="L38" s="27">
        <f>M38/E37</f>
        <v>0.91106531778463484</v>
      </c>
      <c r="M38" s="29">
        <f>AG35</f>
        <v>54844.309999999954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5" zoomScaleNormal="85" workbookViewId="0">
      <pane xSplit="1" ySplit="2" topLeftCell="AR3" activePane="bottomRight" state="frozen"/>
      <selection pane="topRight" activeCell="B1" sqref="B1"/>
      <selection pane="bottomLeft" activeCell="A3" sqref="A3"/>
      <selection pane="bottomRight" activeCell="BE16" sqref="BE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26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337.58</v>
      </c>
      <c r="BV4" s="65">
        <v>26</v>
      </c>
      <c r="BW4" s="60">
        <v>226.7</v>
      </c>
      <c r="BX4" s="65">
        <f t="shared" ref="BX4:BX34" si="29">IF((BW4-BW3&lt;0), "",(BW4-BW3)*1000)</f>
        <v>19.99999999998181</v>
      </c>
      <c r="BY4" s="60">
        <v>51969</v>
      </c>
      <c r="BZ4" s="67">
        <f t="shared" ref="BZ4:BZ34" si="30">IF((BY4-BY3&lt;0), "",BY4-BY3)</f>
        <v>39</v>
      </c>
      <c r="CA4" s="60">
        <v>27515.599999999999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50954.2</v>
      </c>
      <c r="CF4" s="67">
        <f t="shared" ref="CF4:CF30" si="33">IF((CE4-CE3&lt;0), "",CE4-CE3)</f>
        <v>0</v>
      </c>
      <c r="CG4" s="60">
        <v>51696.1</v>
      </c>
      <c r="CH4" s="67">
        <f t="shared" ref="CH4:CH34" si="34">IF((CG4-CG3&lt;0), "",CG4-CG3)</f>
        <v>46.299999999995634</v>
      </c>
      <c r="CI4" s="60">
        <v>893137</v>
      </c>
      <c r="CJ4" s="67">
        <f t="shared" ref="CJ4:CJ34" si="35">IF((CI4-CI3&lt;0), "",CI4-CI3)</f>
        <v>234</v>
      </c>
      <c r="CK4" s="60">
        <v>640.66</v>
      </c>
      <c r="CL4" s="64">
        <f t="shared" ref="CL4:CL34" si="36">IF((CK4-CK3&lt;0), "",(CK4-CK3)*1000)</f>
        <v>539.99999999996362</v>
      </c>
      <c r="CM4" s="65">
        <f>CQ4+CS4</f>
        <v>61.799999999999955</v>
      </c>
      <c r="CN4" s="62">
        <v>0</v>
      </c>
      <c r="CO4" s="62">
        <v>0</v>
      </c>
      <c r="CP4" s="68">
        <v>1918.8</v>
      </c>
      <c r="CQ4" s="67">
        <f t="shared" ref="CQ4:CW34" si="37">IF((CP4-CP3&lt;0), "",CP4-CP3)</f>
        <v>51.799999999999955</v>
      </c>
      <c r="CR4" s="68">
        <v>11094</v>
      </c>
      <c r="CS4" s="67">
        <f t="shared" si="37"/>
        <v>10</v>
      </c>
      <c r="CT4" s="75">
        <v>3819</v>
      </c>
      <c r="CU4" s="67">
        <f t="shared" si="37"/>
        <v>13</v>
      </c>
      <c r="CV4" s="68">
        <v>10432</v>
      </c>
      <c r="CW4" s="67">
        <f t="shared" si="37"/>
        <v>28</v>
      </c>
    </row>
    <row r="5" spans="1:102" ht="25.5" customHeight="1" thickBot="1" x14ac:dyDescent="0.45">
      <c r="A5" s="63">
        <v>44167</v>
      </c>
      <c r="B5" s="44"/>
      <c r="C5" s="58">
        <v>1.9229000000000001</v>
      </c>
      <c r="D5" s="64">
        <f t="shared" si="0"/>
        <v>2700.0000000001469</v>
      </c>
      <c r="E5" s="58">
        <v>2.8210000000000002</v>
      </c>
      <c r="F5" s="64">
        <f t="shared" si="1"/>
        <v>1600.0000000002678</v>
      </c>
      <c r="G5" s="58">
        <v>2.8412000000000002</v>
      </c>
      <c r="H5" s="64">
        <f t="shared" si="2"/>
        <v>2200.0000000002019</v>
      </c>
      <c r="I5" s="58">
        <v>1.3819999999999999</v>
      </c>
      <c r="J5" s="64">
        <f t="shared" si="3"/>
        <v>999.99999999988984</v>
      </c>
      <c r="K5" s="58">
        <v>2.2160000000000002</v>
      </c>
      <c r="L5" s="64">
        <f t="shared" si="4"/>
        <v>2000.0000000002237</v>
      </c>
      <c r="M5" s="58">
        <v>1.29</v>
      </c>
      <c r="N5" s="64">
        <f t="shared" si="5"/>
        <v>700.00000000014495</v>
      </c>
      <c r="O5" s="58">
        <v>12711</v>
      </c>
      <c r="P5" s="67">
        <f>IF((O5-O4&lt;0), "",O5-O4)</f>
        <v>1</v>
      </c>
      <c r="Q5" s="58">
        <v>6038</v>
      </c>
      <c r="R5" s="67">
        <f t="shared" si="6"/>
        <v>3</v>
      </c>
      <c r="S5" s="58">
        <v>870272.2</v>
      </c>
      <c r="T5" s="67">
        <f t="shared" si="7"/>
        <v>455</v>
      </c>
      <c r="U5" s="58">
        <v>357272.1</v>
      </c>
      <c r="V5" s="67">
        <f t="shared" si="8"/>
        <v>201.29999999998836</v>
      </c>
      <c r="W5" s="58">
        <v>348.95</v>
      </c>
      <c r="X5" s="65">
        <f t="shared" si="9"/>
        <v>189.99999999999773</v>
      </c>
      <c r="Y5" s="58">
        <v>2.4664000000000001</v>
      </c>
      <c r="Z5" s="65">
        <f t="shared" si="10"/>
        <v>1400.0000000002899</v>
      </c>
      <c r="AA5" s="58">
        <v>341.48</v>
      </c>
      <c r="AB5" s="65">
        <f t="shared" si="11"/>
        <v>240.00000000000909</v>
      </c>
      <c r="AC5" s="58">
        <v>330.72</v>
      </c>
      <c r="AD5" s="65">
        <f t="shared" si="12"/>
        <v>160.00000000002501</v>
      </c>
      <c r="AE5" s="58">
        <v>515.05999999999995</v>
      </c>
      <c r="AF5" s="65">
        <f t="shared" si="13"/>
        <v>179.99999999994998</v>
      </c>
      <c r="AG5" s="58">
        <v>1457.5</v>
      </c>
      <c r="AH5" s="67">
        <f t="shared" si="14"/>
        <v>1.2000000000000455</v>
      </c>
      <c r="AI5" s="58">
        <v>492.22</v>
      </c>
      <c r="AJ5" s="65">
        <f t="shared" si="15"/>
        <v>240.00000000000909</v>
      </c>
      <c r="AK5" s="58">
        <v>173.13</v>
      </c>
      <c r="AL5" s="65">
        <f t="shared" si="15"/>
        <v>219.99999999999886</v>
      </c>
      <c r="AM5" s="58">
        <v>171.58</v>
      </c>
      <c r="AN5" s="65">
        <f t="shared" si="15"/>
        <v>180.00000000000682</v>
      </c>
      <c r="AO5" s="58">
        <v>165.02</v>
      </c>
      <c r="AP5" s="65">
        <f t="shared" si="15"/>
        <v>159.99999999999659</v>
      </c>
      <c r="AQ5" s="58">
        <v>224.65</v>
      </c>
      <c r="AR5" s="65">
        <f t="shared" si="16"/>
        <v>140.00000000001478</v>
      </c>
      <c r="AS5" s="58">
        <v>349.98</v>
      </c>
      <c r="AT5" s="65">
        <f t="shared" si="17"/>
        <v>129.99999999999545</v>
      </c>
      <c r="AU5" s="58">
        <v>270.2</v>
      </c>
      <c r="AV5" s="65">
        <f t="shared" si="18"/>
        <v>139.99999999998636</v>
      </c>
      <c r="AW5" s="58">
        <v>297.66000000000003</v>
      </c>
      <c r="AX5" s="65">
        <f t="shared" si="19"/>
        <v>160.00000000002501</v>
      </c>
      <c r="AY5" s="58">
        <v>348.88</v>
      </c>
      <c r="AZ5" s="65">
        <f t="shared" si="20"/>
        <v>110.00000000001364</v>
      </c>
      <c r="BA5" s="58">
        <v>368.95</v>
      </c>
      <c r="BB5" s="65">
        <f t="shared" si="21"/>
        <v>129.99999999999545</v>
      </c>
      <c r="BC5" s="58">
        <v>234.29</v>
      </c>
      <c r="BD5" s="65">
        <f t="shared" si="22"/>
        <v>109.99999999998522</v>
      </c>
      <c r="BE5" s="59">
        <v>33347</v>
      </c>
      <c r="BF5" s="67">
        <f t="shared" ref="BF5:BF34" si="38">IF((BE5-BE4&lt;0), "",BE5-BE4)</f>
        <v>18</v>
      </c>
      <c r="BG5" s="60">
        <v>226.9</v>
      </c>
      <c r="BH5" s="65">
        <f t="shared" si="23"/>
        <v>20.000000000010232</v>
      </c>
      <c r="BI5" s="60">
        <v>285.10000000000002</v>
      </c>
      <c r="BJ5" s="65">
        <f t="shared" ref="BJ5:BJ34" si="39">IF((BI5-BI4&lt;0), "",(BI5-BI4)*1000)</f>
        <v>20.000000000038654</v>
      </c>
      <c r="BK5" s="60">
        <v>231.89</v>
      </c>
      <c r="BL5" s="65">
        <f t="shared" si="24"/>
        <v>19.99999999998181</v>
      </c>
      <c r="BM5" s="60">
        <v>216.83</v>
      </c>
      <c r="BN5" s="65">
        <f t="shared" si="25"/>
        <v>30.000000000001137</v>
      </c>
      <c r="BO5" s="60">
        <v>281.95999999999998</v>
      </c>
      <c r="BP5" s="65">
        <f t="shared" si="26"/>
        <v>29.999999999972715</v>
      </c>
      <c r="BQ5" s="60">
        <v>40744</v>
      </c>
      <c r="BR5" s="65">
        <f t="shared" si="27"/>
        <v>14</v>
      </c>
      <c r="BS5" s="60">
        <v>195.21</v>
      </c>
      <c r="BT5" s="65">
        <f>IF((BS5-BS4&lt;0), "",(BS5-BS4)*1000)</f>
        <v>10.000000000019327</v>
      </c>
      <c r="BU5" s="60">
        <v>337.89</v>
      </c>
      <c r="BV5" s="65">
        <v>26</v>
      </c>
      <c r="BW5" s="60">
        <v>226.72</v>
      </c>
      <c r="BX5" s="65">
        <f t="shared" si="29"/>
        <v>20.000000000010232</v>
      </c>
      <c r="BY5" s="60">
        <v>51985</v>
      </c>
      <c r="BZ5" s="67">
        <f t="shared" si="30"/>
        <v>16</v>
      </c>
      <c r="CA5" s="60">
        <v>27515.599999999999</v>
      </c>
      <c r="CB5" s="67">
        <f t="shared" si="31"/>
        <v>0</v>
      </c>
      <c r="CC5" s="60">
        <v>11255.6</v>
      </c>
      <c r="CD5" s="67">
        <f>IF((CC5-CC4&lt;0), "",CC5-CC4)</f>
        <v>0</v>
      </c>
      <c r="CE5" s="60">
        <v>50954.2</v>
      </c>
      <c r="CF5" s="67">
        <f t="shared" si="33"/>
        <v>0</v>
      </c>
      <c r="CG5" s="60">
        <v>51725.599999999999</v>
      </c>
      <c r="CH5" s="67">
        <f t="shared" si="34"/>
        <v>29.5</v>
      </c>
      <c r="CI5" s="60">
        <v>893385</v>
      </c>
      <c r="CJ5" s="67">
        <f t="shared" si="35"/>
        <v>248</v>
      </c>
      <c r="CK5" s="60">
        <v>641.4</v>
      </c>
      <c r="CL5" s="64">
        <f t="shared" si="36"/>
        <v>740.00000000000909</v>
      </c>
      <c r="CM5" s="65">
        <f t="shared" ref="CM5:CM34" si="40">CQ5+CS5</f>
        <v>36.400000000000091</v>
      </c>
      <c r="CN5" s="62">
        <v>0</v>
      </c>
      <c r="CO5" s="62">
        <v>0</v>
      </c>
      <c r="CP5" s="68">
        <v>1945.2</v>
      </c>
      <c r="CQ5" s="67">
        <f t="shared" si="37"/>
        <v>26.400000000000091</v>
      </c>
      <c r="CR5" s="68">
        <v>11104</v>
      </c>
      <c r="CS5" s="67">
        <f t="shared" si="37"/>
        <v>10</v>
      </c>
      <c r="CT5" s="75">
        <v>3831</v>
      </c>
      <c r="CU5" s="67">
        <f t="shared" si="37"/>
        <v>12</v>
      </c>
      <c r="CV5" s="68">
        <v>10454</v>
      </c>
      <c r="CW5" s="67">
        <f t="shared" si="37"/>
        <v>22</v>
      </c>
    </row>
    <row r="6" spans="1:102" ht="24.75" customHeight="1" thickBot="1" x14ac:dyDescent="0.45">
      <c r="A6" s="63">
        <v>44168</v>
      </c>
      <c r="B6" s="44"/>
      <c r="C6" s="58">
        <v>1.9246000000000001</v>
      </c>
      <c r="D6" s="64">
        <f t="shared" si="0"/>
        <v>1700.0000000000348</v>
      </c>
      <c r="E6" s="58">
        <v>2.8224</v>
      </c>
      <c r="F6" s="64">
        <f t="shared" si="1"/>
        <v>1399.9999999998458</v>
      </c>
      <c r="G6" s="58">
        <v>2.8431000000000002</v>
      </c>
      <c r="H6" s="64">
        <f t="shared" si="2"/>
        <v>1900.0000000000127</v>
      </c>
      <c r="I6" s="58">
        <v>1.383</v>
      </c>
      <c r="J6" s="64">
        <f t="shared" si="3"/>
        <v>1000.0000000001119</v>
      </c>
      <c r="K6" s="58">
        <v>2.218</v>
      </c>
      <c r="L6" s="64">
        <f t="shared" si="4"/>
        <v>1999.9999999997797</v>
      </c>
      <c r="M6" s="58">
        <v>1.2907</v>
      </c>
      <c r="N6" s="64">
        <f t="shared" si="5"/>
        <v>699.99999999992292</v>
      </c>
      <c r="O6" s="58">
        <v>12712</v>
      </c>
      <c r="P6" s="67">
        <f>IF((O6-O5&lt;0), "",O6-O5)</f>
        <v>1</v>
      </c>
      <c r="Q6" s="58">
        <v>6040</v>
      </c>
      <c r="R6" s="67">
        <f t="shared" si="6"/>
        <v>2</v>
      </c>
      <c r="S6" s="58">
        <v>870572</v>
      </c>
      <c r="T6" s="67">
        <f t="shared" si="7"/>
        <v>299.80000000004657</v>
      </c>
      <c r="U6" s="58">
        <v>357427.3</v>
      </c>
      <c r="V6" s="67">
        <f t="shared" si="8"/>
        <v>155.20000000001164</v>
      </c>
      <c r="W6" s="58">
        <v>349.14</v>
      </c>
      <c r="X6" s="65">
        <f t="shared" si="9"/>
        <v>189.99999999999773</v>
      </c>
      <c r="Y6" s="58">
        <v>2.4674999999999998</v>
      </c>
      <c r="Z6" s="65">
        <f t="shared" si="10"/>
        <v>1099.9999999996569</v>
      </c>
      <c r="AA6" s="58">
        <v>341.72</v>
      </c>
      <c r="AB6" s="65">
        <f t="shared" si="11"/>
        <v>240.00000000000909</v>
      </c>
      <c r="AC6" s="58">
        <v>330.86</v>
      </c>
      <c r="AD6" s="65">
        <f t="shared" si="12"/>
        <v>139.99999999998636</v>
      </c>
      <c r="AE6" s="58">
        <v>515.25</v>
      </c>
      <c r="AF6" s="65">
        <f t="shared" si="13"/>
        <v>190.00000000005457</v>
      </c>
      <c r="AG6" s="58">
        <v>1458.6</v>
      </c>
      <c r="AH6" s="67">
        <f t="shared" si="14"/>
        <v>1.0999999999999091</v>
      </c>
      <c r="AI6" s="58">
        <v>492.48</v>
      </c>
      <c r="AJ6" s="65">
        <f t="shared" si="15"/>
        <v>259.99999999999091</v>
      </c>
      <c r="AK6" s="58">
        <v>173.31</v>
      </c>
      <c r="AL6" s="65">
        <f t="shared" si="15"/>
        <v>180.00000000000682</v>
      </c>
      <c r="AM6" s="58">
        <v>171.75</v>
      </c>
      <c r="AN6" s="65">
        <f t="shared" si="15"/>
        <v>169.99999999998749</v>
      </c>
      <c r="AO6" s="58">
        <v>165.17</v>
      </c>
      <c r="AP6" s="65">
        <f t="shared" si="15"/>
        <v>149.99999999997726</v>
      </c>
      <c r="AQ6" s="58">
        <v>224.77</v>
      </c>
      <c r="AR6" s="65">
        <f t="shared" si="16"/>
        <v>120.00000000000455</v>
      </c>
      <c r="AS6" s="58">
        <v>350.09</v>
      </c>
      <c r="AT6" s="65">
        <f t="shared" si="17"/>
        <v>109.9999999999568</v>
      </c>
      <c r="AU6" s="58">
        <v>270.31</v>
      </c>
      <c r="AV6" s="65">
        <f t="shared" si="18"/>
        <v>110.00000000001364</v>
      </c>
      <c r="AW6" s="58">
        <v>297.77999999999997</v>
      </c>
      <c r="AX6" s="65">
        <f t="shared" si="19"/>
        <v>119.9999999999477</v>
      </c>
      <c r="AY6" s="58">
        <v>349.02</v>
      </c>
      <c r="AZ6" s="65">
        <f t="shared" si="20"/>
        <v>139.99999999998636</v>
      </c>
      <c r="BA6" s="58">
        <v>369.07</v>
      </c>
      <c r="BB6" s="65">
        <f t="shared" si="21"/>
        <v>120.00000000000455</v>
      </c>
      <c r="BC6" s="58">
        <v>234.34</v>
      </c>
      <c r="BD6" s="65">
        <f t="shared" si="22"/>
        <v>50.000000000011369</v>
      </c>
      <c r="BE6" s="59">
        <v>33365</v>
      </c>
      <c r="BF6" s="67">
        <f t="shared" si="38"/>
        <v>18</v>
      </c>
      <c r="BG6" s="60">
        <v>226.92</v>
      </c>
      <c r="BH6" s="65">
        <f t="shared" si="23"/>
        <v>19.99999999998181</v>
      </c>
      <c r="BI6" s="60">
        <v>285.12</v>
      </c>
      <c r="BJ6" s="65">
        <f t="shared" si="39"/>
        <v>19.99999999998181</v>
      </c>
      <c r="BK6" s="60">
        <v>231.9</v>
      </c>
      <c r="BL6" s="65">
        <f t="shared" si="24"/>
        <v>10.000000000019327</v>
      </c>
      <c r="BM6" s="60">
        <v>216.85</v>
      </c>
      <c r="BN6" s="65">
        <f t="shared" si="25"/>
        <v>19.99999999998181</v>
      </c>
      <c r="BO6" s="60">
        <v>281.99</v>
      </c>
      <c r="BP6" s="65">
        <f t="shared" si="26"/>
        <v>30.000000000029559</v>
      </c>
      <c r="BQ6" s="60">
        <v>40758</v>
      </c>
      <c r="BR6" s="65">
        <f t="shared" si="27"/>
        <v>14</v>
      </c>
      <c r="BS6" s="60">
        <v>195.22</v>
      </c>
      <c r="BT6" s="65">
        <f t="shared" ref="BT6:BT35" si="41">IF((BS6-BS5&lt;0), "",(BS6-BS5)*1000)</f>
        <v>9.9999999999909051</v>
      </c>
      <c r="BU6" s="60">
        <v>338.17</v>
      </c>
      <c r="BV6" s="65">
        <v>26</v>
      </c>
      <c r="BW6" s="60">
        <v>226.74</v>
      </c>
      <c r="BX6" s="65">
        <f t="shared" si="29"/>
        <v>20.000000000010232</v>
      </c>
      <c r="BY6" s="60">
        <v>52001</v>
      </c>
      <c r="BZ6" s="67">
        <f t="shared" si="30"/>
        <v>16</v>
      </c>
      <c r="CA6" s="60">
        <v>27515.599999999999</v>
      </c>
      <c r="CB6" s="67">
        <f t="shared" si="31"/>
        <v>0</v>
      </c>
      <c r="CC6" s="60">
        <v>11255.6</v>
      </c>
      <c r="CD6" s="67">
        <f>IF((CC6-CC5&lt;0), "",CC6-CC5)</f>
        <v>0</v>
      </c>
      <c r="CE6" s="60">
        <v>50954.2</v>
      </c>
      <c r="CF6" s="67">
        <f t="shared" si="33"/>
        <v>0</v>
      </c>
      <c r="CG6" s="60">
        <v>51725.599999999999</v>
      </c>
      <c r="CH6" s="67">
        <f t="shared" si="34"/>
        <v>0</v>
      </c>
      <c r="CI6" s="60">
        <v>893636</v>
      </c>
      <c r="CJ6" s="67">
        <f t="shared" si="35"/>
        <v>251</v>
      </c>
      <c r="CK6" s="60">
        <v>641.91999999999996</v>
      </c>
      <c r="CL6" s="64">
        <f t="shared" si="36"/>
        <v>519.99999999998181</v>
      </c>
      <c r="CM6" s="65">
        <f t="shared" si="40"/>
        <v>32.299999999999955</v>
      </c>
      <c r="CN6" s="62">
        <v>0</v>
      </c>
      <c r="CO6" s="62">
        <v>0</v>
      </c>
      <c r="CP6" s="68">
        <v>1968.5</v>
      </c>
      <c r="CQ6" s="67">
        <f t="shared" si="37"/>
        <v>23.299999999999955</v>
      </c>
      <c r="CR6" s="68">
        <v>11113</v>
      </c>
      <c r="CS6" s="67">
        <f t="shared" si="37"/>
        <v>9</v>
      </c>
      <c r="CT6" s="75">
        <v>3844</v>
      </c>
      <c r="CU6" s="67">
        <f t="shared" si="37"/>
        <v>13</v>
      </c>
      <c r="CV6" s="68">
        <v>10480</v>
      </c>
      <c r="CW6" s="67">
        <f t="shared" si="37"/>
        <v>26</v>
      </c>
    </row>
    <row r="7" spans="1:102" ht="25.5" customHeight="1" thickBot="1" x14ac:dyDescent="0.45">
      <c r="A7" s="63">
        <v>44169</v>
      </c>
      <c r="B7" s="44"/>
      <c r="C7" s="58">
        <v>1.9267000000000001</v>
      </c>
      <c r="D7" s="64">
        <f t="shared" si="0"/>
        <v>2099.9999999999909</v>
      </c>
      <c r="E7" s="58">
        <v>2.8233999999999999</v>
      </c>
      <c r="F7" s="64">
        <f t="shared" si="1"/>
        <v>999.99999999988984</v>
      </c>
      <c r="G7" s="58">
        <v>2.8448000000000002</v>
      </c>
      <c r="H7" s="64">
        <f t="shared" si="2"/>
        <v>1700.0000000000348</v>
      </c>
      <c r="I7" s="58">
        <v>1.3839999999999999</v>
      </c>
      <c r="J7" s="64">
        <f t="shared" si="3"/>
        <v>999.99999999988984</v>
      </c>
      <c r="K7" s="58">
        <v>2.2201</v>
      </c>
      <c r="L7" s="64">
        <f t="shared" si="4"/>
        <v>2099.9999999999909</v>
      </c>
      <c r="M7" s="58">
        <v>1.2915000000000001</v>
      </c>
      <c r="N7" s="64">
        <f t="shared" si="5"/>
        <v>800.00000000013392</v>
      </c>
      <c r="O7" s="58">
        <v>12713</v>
      </c>
      <c r="P7" s="67">
        <f t="shared" ref="P7:P10" si="42">IF((O7-O6&lt;0), "",O7-O6)</f>
        <v>1</v>
      </c>
      <c r="Q7" s="58">
        <v>6040</v>
      </c>
      <c r="R7" s="67">
        <f t="shared" si="6"/>
        <v>0</v>
      </c>
      <c r="S7" s="58">
        <v>870835.6</v>
      </c>
      <c r="T7" s="67">
        <f t="shared" si="7"/>
        <v>263.59999999997672</v>
      </c>
      <c r="U7" s="58">
        <v>357572.7</v>
      </c>
      <c r="V7" s="67">
        <f t="shared" si="8"/>
        <v>145.40000000002328</v>
      </c>
      <c r="W7" s="58">
        <v>349.32</v>
      </c>
      <c r="X7" s="65">
        <f t="shared" si="9"/>
        <v>180.00000000000682</v>
      </c>
      <c r="Y7" s="58">
        <v>2.4681999999999999</v>
      </c>
      <c r="Z7" s="65">
        <f t="shared" si="10"/>
        <v>700.00000000014495</v>
      </c>
      <c r="AA7" s="58">
        <v>341.97</v>
      </c>
      <c r="AB7" s="65">
        <f t="shared" si="11"/>
        <v>250</v>
      </c>
      <c r="AC7" s="58">
        <v>331.04</v>
      </c>
      <c r="AD7" s="65">
        <f t="shared" si="12"/>
        <v>180.00000000000682</v>
      </c>
      <c r="AE7" s="58">
        <v>515.49</v>
      </c>
      <c r="AF7" s="65">
        <f t="shared" si="13"/>
        <v>240.00000000000909</v>
      </c>
      <c r="AG7" s="58">
        <v>1460</v>
      </c>
      <c r="AH7" s="67">
        <f t="shared" si="14"/>
        <v>1.4000000000000909</v>
      </c>
      <c r="AI7" s="58">
        <v>493.12</v>
      </c>
      <c r="AJ7" s="65">
        <f t="shared" si="15"/>
        <v>639.99999999998636</v>
      </c>
      <c r="AK7" s="58">
        <v>173.48</v>
      </c>
      <c r="AL7" s="65">
        <f t="shared" si="15"/>
        <v>169.99999999998749</v>
      </c>
      <c r="AM7" s="58">
        <v>171.89</v>
      </c>
      <c r="AN7" s="65">
        <f t="shared" si="15"/>
        <v>139.99999999998636</v>
      </c>
      <c r="AO7" s="58">
        <v>165.3</v>
      </c>
      <c r="AP7" s="65">
        <f t="shared" si="15"/>
        <v>130.00000000002387</v>
      </c>
      <c r="AQ7" s="58">
        <v>224.9</v>
      </c>
      <c r="AR7" s="65">
        <f t="shared" si="16"/>
        <v>129.99999999999545</v>
      </c>
      <c r="AS7" s="58">
        <v>350.22</v>
      </c>
      <c r="AT7" s="65">
        <f t="shared" si="17"/>
        <v>130.0000000000523</v>
      </c>
      <c r="AU7" s="58">
        <v>270.43</v>
      </c>
      <c r="AV7" s="65">
        <f t="shared" si="18"/>
        <v>120.00000000000455</v>
      </c>
      <c r="AW7" s="58">
        <v>297.92</v>
      </c>
      <c r="AX7" s="65">
        <f t="shared" si="19"/>
        <v>140.0000000000432</v>
      </c>
      <c r="AY7" s="58">
        <v>349.15</v>
      </c>
      <c r="AZ7" s="65">
        <f t="shared" si="20"/>
        <v>129.99999999999545</v>
      </c>
      <c r="BA7" s="58">
        <v>369.2</v>
      </c>
      <c r="BB7" s="65">
        <f t="shared" si="21"/>
        <v>129.99999999999545</v>
      </c>
      <c r="BC7" s="58">
        <v>234.38</v>
      </c>
      <c r="BD7" s="65">
        <f t="shared" si="22"/>
        <v>39.999999999992042</v>
      </c>
      <c r="BE7" s="59">
        <v>33381</v>
      </c>
      <c r="BF7" s="67">
        <f t="shared" si="38"/>
        <v>16</v>
      </c>
      <c r="BG7" s="60">
        <v>226.94</v>
      </c>
      <c r="BH7" s="65">
        <f t="shared" si="23"/>
        <v>20.000000000010232</v>
      </c>
      <c r="BI7" s="60">
        <v>285.14999999999998</v>
      </c>
      <c r="BJ7" s="65">
        <f t="shared" si="39"/>
        <v>29.999999999972715</v>
      </c>
      <c r="BK7" s="60">
        <v>231.91</v>
      </c>
      <c r="BL7" s="65">
        <f t="shared" si="24"/>
        <v>9.9999999999909051</v>
      </c>
      <c r="BM7" s="60">
        <v>216.87</v>
      </c>
      <c r="BN7" s="65">
        <f t="shared" si="25"/>
        <v>20.000000000010232</v>
      </c>
      <c r="BO7" s="60">
        <v>282.02</v>
      </c>
      <c r="BP7" s="65">
        <f t="shared" si="26"/>
        <v>29.999999999972715</v>
      </c>
      <c r="BQ7" s="60">
        <v>40773</v>
      </c>
      <c r="BR7" s="65">
        <f t="shared" si="27"/>
        <v>15</v>
      </c>
      <c r="BS7" s="60">
        <v>195.23</v>
      </c>
      <c r="BT7" s="65">
        <f t="shared" si="41"/>
        <v>9.9999999999909051</v>
      </c>
      <c r="BU7" s="60">
        <v>338.47</v>
      </c>
      <c r="BV7" s="65">
        <v>26</v>
      </c>
      <c r="BW7" s="60">
        <v>226.77</v>
      </c>
      <c r="BX7" s="65">
        <f t="shared" si="29"/>
        <v>30.000000000001137</v>
      </c>
      <c r="BY7" s="60">
        <v>52033</v>
      </c>
      <c r="BZ7" s="67">
        <f t="shared" si="30"/>
        <v>32</v>
      </c>
      <c r="CA7" s="60">
        <v>27515.599999999999</v>
      </c>
      <c r="CB7" s="67">
        <f t="shared" si="31"/>
        <v>0</v>
      </c>
      <c r="CC7" s="60">
        <v>11255.6</v>
      </c>
      <c r="CD7" s="67">
        <f>IF((CC7-CC6&lt;0), "",CC7-CC6)</f>
        <v>0</v>
      </c>
      <c r="CE7" s="60">
        <v>50954.2</v>
      </c>
      <c r="CF7" s="67">
        <f t="shared" si="33"/>
        <v>0</v>
      </c>
      <c r="CG7" s="60">
        <v>51782.5</v>
      </c>
      <c r="CH7" s="67">
        <f t="shared" si="34"/>
        <v>56.900000000001455</v>
      </c>
      <c r="CI7" s="60">
        <v>893862</v>
      </c>
      <c r="CJ7" s="67">
        <f t="shared" si="35"/>
        <v>226</v>
      </c>
      <c r="CK7" s="60">
        <v>642.35</v>
      </c>
      <c r="CL7" s="64">
        <f t="shared" si="36"/>
        <v>430.00000000006366</v>
      </c>
      <c r="CM7" s="65">
        <f t="shared" si="40"/>
        <v>43.700000000000045</v>
      </c>
      <c r="CN7" s="62">
        <v>0</v>
      </c>
      <c r="CO7" s="62">
        <v>0</v>
      </c>
      <c r="CP7" s="68">
        <v>2005.2</v>
      </c>
      <c r="CQ7" s="67">
        <f t="shared" si="37"/>
        <v>36.700000000000045</v>
      </c>
      <c r="CR7" s="68">
        <v>11120</v>
      </c>
      <c r="CS7" s="67">
        <f t="shared" si="37"/>
        <v>7</v>
      </c>
      <c r="CT7" s="75">
        <v>3857</v>
      </c>
      <c r="CU7" s="67">
        <f t="shared" si="37"/>
        <v>13</v>
      </c>
      <c r="CV7" s="68">
        <v>10501</v>
      </c>
      <c r="CW7" s="67">
        <f t="shared" si="37"/>
        <v>21</v>
      </c>
    </row>
    <row r="8" spans="1:102" ht="25.5" customHeight="1" thickBot="1" x14ac:dyDescent="0.45">
      <c r="A8" s="63">
        <v>44170</v>
      </c>
      <c r="B8" s="44"/>
      <c r="C8" s="58">
        <v>1.9291</v>
      </c>
      <c r="D8" s="64">
        <f t="shared" si="0"/>
        <v>2399.9999999999577</v>
      </c>
      <c r="E8" s="58">
        <v>2.8243999999999998</v>
      </c>
      <c r="F8" s="64">
        <f t="shared" si="1"/>
        <v>999.99999999988984</v>
      </c>
      <c r="G8" s="58">
        <v>2.8468</v>
      </c>
      <c r="H8" s="64">
        <f t="shared" si="2"/>
        <v>1999.9999999997797</v>
      </c>
      <c r="I8" s="58">
        <v>1.3851</v>
      </c>
      <c r="J8" s="64">
        <f t="shared" si="3"/>
        <v>1100.000000000101</v>
      </c>
      <c r="K8" s="58">
        <v>2.2223000000000002</v>
      </c>
      <c r="L8" s="64">
        <f t="shared" si="4"/>
        <v>2200.0000000002019</v>
      </c>
      <c r="M8" s="58">
        <v>1.2922</v>
      </c>
      <c r="N8" s="64">
        <f t="shared" si="5"/>
        <v>699.99999999992292</v>
      </c>
      <c r="O8" s="58">
        <v>12714</v>
      </c>
      <c r="P8" s="67">
        <f t="shared" si="42"/>
        <v>1</v>
      </c>
      <c r="Q8" s="58">
        <v>6040</v>
      </c>
      <c r="R8" s="67">
        <f t="shared" si="6"/>
        <v>0</v>
      </c>
      <c r="S8" s="58">
        <v>871122.2</v>
      </c>
      <c r="T8" s="67">
        <f t="shared" si="7"/>
        <v>286.59999999997672</v>
      </c>
      <c r="U8" s="58">
        <v>357752.9</v>
      </c>
      <c r="V8" s="67">
        <f t="shared" si="8"/>
        <v>180.20000000001164</v>
      </c>
      <c r="W8" s="58">
        <v>349.49</v>
      </c>
      <c r="X8" s="65">
        <f t="shared" si="9"/>
        <v>170.00000000001592</v>
      </c>
      <c r="Y8" s="58">
        <v>2.4689000000000001</v>
      </c>
      <c r="Z8" s="65">
        <f t="shared" si="10"/>
        <v>700.00000000014495</v>
      </c>
      <c r="AA8" s="58">
        <v>342.23</v>
      </c>
      <c r="AB8" s="65">
        <f t="shared" si="11"/>
        <v>259.99999999999091</v>
      </c>
      <c r="AC8" s="58">
        <v>331.21</v>
      </c>
      <c r="AD8" s="65">
        <f t="shared" si="12"/>
        <v>169.99999999995907</v>
      </c>
      <c r="AE8" s="58">
        <v>515.67999999999995</v>
      </c>
      <c r="AF8" s="65">
        <f t="shared" si="13"/>
        <v>189.99999999994088</v>
      </c>
      <c r="AG8" s="58">
        <v>1461.4</v>
      </c>
      <c r="AH8" s="67">
        <f t="shared" si="14"/>
        <v>1.4000000000000909</v>
      </c>
      <c r="AI8" s="58">
        <v>494.05</v>
      </c>
      <c r="AJ8" s="65">
        <f t="shared" si="15"/>
        <v>930.00000000000682</v>
      </c>
      <c r="AK8" s="58">
        <v>173.65</v>
      </c>
      <c r="AL8" s="65">
        <f t="shared" si="15"/>
        <v>170.00000000001592</v>
      </c>
      <c r="AM8" s="58">
        <v>172.04</v>
      </c>
      <c r="AN8" s="65">
        <f t="shared" si="15"/>
        <v>150.00000000000568</v>
      </c>
      <c r="AO8" s="58">
        <v>165.45</v>
      </c>
      <c r="AP8" s="65">
        <f t="shared" si="15"/>
        <v>149.99999999997726</v>
      </c>
      <c r="AQ8" s="58">
        <v>225.04</v>
      </c>
      <c r="AR8" s="65">
        <f t="shared" si="16"/>
        <v>139.99999999998636</v>
      </c>
      <c r="AS8" s="58">
        <v>350.33</v>
      </c>
      <c r="AT8" s="65">
        <f t="shared" si="17"/>
        <v>109.9999999999568</v>
      </c>
      <c r="AU8" s="58">
        <v>270.55</v>
      </c>
      <c r="AV8" s="65">
        <f t="shared" si="18"/>
        <v>120.00000000000455</v>
      </c>
      <c r="AW8" s="58">
        <v>298.06</v>
      </c>
      <c r="AX8" s="65">
        <f t="shared" si="19"/>
        <v>139.99999999998636</v>
      </c>
      <c r="AY8" s="58">
        <v>349.28</v>
      </c>
      <c r="AZ8" s="65">
        <f t="shared" si="20"/>
        <v>129.99999999999545</v>
      </c>
      <c r="BA8" s="58">
        <v>369.33</v>
      </c>
      <c r="BB8" s="65">
        <f t="shared" si="21"/>
        <v>129.99999999999545</v>
      </c>
      <c r="BC8" s="58">
        <v>234.43</v>
      </c>
      <c r="BD8" s="65">
        <f t="shared" si="22"/>
        <v>50.000000000011369</v>
      </c>
      <c r="BE8" s="59">
        <v>33400</v>
      </c>
      <c r="BF8" s="67">
        <f t="shared" si="38"/>
        <v>19</v>
      </c>
      <c r="BG8" s="60">
        <v>226.96</v>
      </c>
      <c r="BH8" s="65">
        <f t="shared" si="23"/>
        <v>20.000000000010232</v>
      </c>
      <c r="BI8" s="60">
        <v>285.19</v>
      </c>
      <c r="BJ8" s="65">
        <f t="shared" si="39"/>
        <v>40.000000000020464</v>
      </c>
      <c r="BK8" s="60">
        <v>231.93</v>
      </c>
      <c r="BL8" s="65">
        <f t="shared" si="24"/>
        <v>20.000000000010232</v>
      </c>
      <c r="BM8" s="60">
        <v>216.89</v>
      </c>
      <c r="BN8" s="65">
        <f t="shared" si="25"/>
        <v>19.99999999998181</v>
      </c>
      <c r="BO8" s="60">
        <v>282.06</v>
      </c>
      <c r="BP8" s="65">
        <f t="shared" si="26"/>
        <v>40.000000000020464</v>
      </c>
      <c r="BQ8" s="60">
        <v>40792</v>
      </c>
      <c r="BR8" s="65">
        <f t="shared" si="27"/>
        <v>19</v>
      </c>
      <c r="BS8" s="60">
        <v>195.24</v>
      </c>
      <c r="BT8" s="65">
        <f t="shared" si="41"/>
        <v>10.000000000019327</v>
      </c>
      <c r="BU8" s="60">
        <v>338.77</v>
      </c>
      <c r="BV8" s="65">
        <v>26</v>
      </c>
      <c r="BW8" s="60">
        <v>226.8</v>
      </c>
      <c r="BX8" s="65">
        <f t="shared" si="29"/>
        <v>30.000000000001137</v>
      </c>
      <c r="BY8" s="60">
        <v>52056</v>
      </c>
      <c r="BZ8" s="67">
        <f t="shared" si="30"/>
        <v>23</v>
      </c>
      <c r="CA8" s="60">
        <v>27515.599999999999</v>
      </c>
      <c r="CB8" s="67">
        <f t="shared" si="31"/>
        <v>0</v>
      </c>
      <c r="CC8" s="60">
        <v>11255.6</v>
      </c>
      <c r="CD8" s="67">
        <f t="shared" si="32"/>
        <v>0</v>
      </c>
      <c r="CE8" s="60">
        <v>50954.2</v>
      </c>
      <c r="CF8" s="67">
        <f t="shared" si="33"/>
        <v>0</v>
      </c>
      <c r="CG8" s="60">
        <v>51822</v>
      </c>
      <c r="CH8" s="67">
        <f t="shared" si="34"/>
        <v>39.5</v>
      </c>
      <c r="CI8" s="60">
        <v>894113</v>
      </c>
      <c r="CJ8" s="67">
        <f t="shared" si="35"/>
        <v>251</v>
      </c>
      <c r="CK8" s="60">
        <v>643.09</v>
      </c>
      <c r="CL8" s="64">
        <f t="shared" si="36"/>
        <v>740.00000000000909</v>
      </c>
      <c r="CM8" s="65">
        <f t="shared" si="40"/>
        <v>28.299999999999955</v>
      </c>
      <c r="CN8" s="62">
        <v>0</v>
      </c>
      <c r="CO8" s="62">
        <v>0</v>
      </c>
      <c r="CP8" s="68">
        <v>2023.5</v>
      </c>
      <c r="CQ8" s="67">
        <f t="shared" si="37"/>
        <v>18.299999999999955</v>
      </c>
      <c r="CR8" s="68">
        <v>11130</v>
      </c>
      <c r="CS8" s="67">
        <f t="shared" si="37"/>
        <v>10</v>
      </c>
      <c r="CT8" s="75">
        <v>3872</v>
      </c>
      <c r="CU8" s="67">
        <f t="shared" si="37"/>
        <v>15</v>
      </c>
      <c r="CV8" s="68">
        <v>10539</v>
      </c>
      <c r="CW8" s="67">
        <f t="shared" si="37"/>
        <v>38</v>
      </c>
    </row>
    <row r="9" spans="1:102" ht="25.5" customHeight="1" thickBot="1" x14ac:dyDescent="0.45">
      <c r="A9" s="63">
        <v>44171</v>
      </c>
      <c r="B9" s="44"/>
      <c r="C9" s="58">
        <v>1.9309000000000001</v>
      </c>
      <c r="D9" s="64">
        <f t="shared" si="0"/>
        <v>1800.0000000000239</v>
      </c>
      <c r="E9" s="58">
        <v>2.8252000000000002</v>
      </c>
      <c r="F9" s="64">
        <f t="shared" si="1"/>
        <v>800.00000000035595</v>
      </c>
      <c r="G9" s="58">
        <v>2.8481999999999998</v>
      </c>
      <c r="H9" s="64">
        <f t="shared" si="2"/>
        <v>1399.9999999998458</v>
      </c>
      <c r="I9" s="58">
        <v>1.3861000000000001</v>
      </c>
      <c r="J9" s="64">
        <f t="shared" si="3"/>
        <v>1000.0000000001119</v>
      </c>
      <c r="K9" s="58">
        <v>2.2241</v>
      </c>
      <c r="L9" s="64">
        <f t="shared" si="4"/>
        <v>1799.9999999998017</v>
      </c>
      <c r="M9" s="58">
        <v>1.2927999999999999</v>
      </c>
      <c r="N9" s="64">
        <f t="shared" si="5"/>
        <v>599.99999999993395</v>
      </c>
      <c r="O9" s="58">
        <v>12715</v>
      </c>
      <c r="P9" s="67">
        <f t="shared" si="42"/>
        <v>1</v>
      </c>
      <c r="Q9" s="58">
        <v>6040</v>
      </c>
      <c r="R9" s="67">
        <f t="shared" si="6"/>
        <v>0</v>
      </c>
      <c r="S9" s="58">
        <v>871209.2</v>
      </c>
      <c r="T9" s="67">
        <f t="shared" si="7"/>
        <v>87</v>
      </c>
      <c r="U9" s="58">
        <v>357799.1</v>
      </c>
      <c r="V9" s="67">
        <f t="shared" si="8"/>
        <v>46.199999999953434</v>
      </c>
      <c r="W9" s="58">
        <v>349.64</v>
      </c>
      <c r="X9" s="65">
        <f t="shared" si="9"/>
        <v>149.99999999997726</v>
      </c>
      <c r="Y9" s="58">
        <v>2.4695</v>
      </c>
      <c r="Z9" s="65">
        <f t="shared" si="10"/>
        <v>599.99999999993395</v>
      </c>
      <c r="AA9" s="58">
        <v>342.45</v>
      </c>
      <c r="AB9" s="65">
        <f t="shared" si="11"/>
        <v>219.99999999997044</v>
      </c>
      <c r="AC9" s="58">
        <v>331.35</v>
      </c>
      <c r="AD9" s="65">
        <f t="shared" si="12"/>
        <v>140.0000000000432</v>
      </c>
      <c r="AE9" s="58">
        <v>515.82000000000005</v>
      </c>
      <c r="AF9" s="65">
        <f t="shared" si="13"/>
        <v>140.00000000010004</v>
      </c>
      <c r="AG9" s="58">
        <v>1462.6</v>
      </c>
      <c r="AH9" s="67">
        <f t="shared" si="14"/>
        <v>1.1999999999998181</v>
      </c>
      <c r="AI9" s="58">
        <v>494.66</v>
      </c>
      <c r="AJ9" s="65">
        <f t="shared" si="15"/>
        <v>610.00000000001364</v>
      </c>
      <c r="AK9" s="58">
        <v>173.78</v>
      </c>
      <c r="AL9" s="65">
        <f t="shared" si="15"/>
        <v>129.99999999999545</v>
      </c>
      <c r="AM9" s="58">
        <v>172.15</v>
      </c>
      <c r="AN9" s="65">
        <f t="shared" si="15"/>
        <v>110.00000000001364</v>
      </c>
      <c r="AO9" s="58">
        <v>165.54</v>
      </c>
      <c r="AP9" s="65">
        <f t="shared" si="15"/>
        <v>90.000000000003411</v>
      </c>
      <c r="AQ9" s="58">
        <v>225.13</v>
      </c>
      <c r="AR9" s="65">
        <f t="shared" si="16"/>
        <v>90.000000000003411</v>
      </c>
      <c r="AS9" s="58">
        <v>350.42</v>
      </c>
      <c r="AT9" s="65">
        <f t="shared" si="17"/>
        <v>90.000000000031832</v>
      </c>
      <c r="AU9" s="58">
        <v>270.64</v>
      </c>
      <c r="AV9" s="65">
        <f t="shared" si="18"/>
        <v>89.999999999974989</v>
      </c>
      <c r="AW9" s="58">
        <v>298.17</v>
      </c>
      <c r="AX9" s="65">
        <f t="shared" si="19"/>
        <v>110.00000000001364</v>
      </c>
      <c r="AY9" s="58">
        <v>349.38</v>
      </c>
      <c r="AZ9" s="65">
        <f t="shared" si="20"/>
        <v>100.00000000002274</v>
      </c>
      <c r="BA9" s="58">
        <v>369.43</v>
      </c>
      <c r="BB9" s="65">
        <f t="shared" si="21"/>
        <v>100.00000000002274</v>
      </c>
      <c r="BC9" s="58">
        <v>234.46</v>
      </c>
      <c r="BD9" s="65">
        <f t="shared" si="22"/>
        <v>30.000000000001137</v>
      </c>
      <c r="BE9" s="59">
        <v>33412</v>
      </c>
      <c r="BF9" s="67">
        <f t="shared" si="38"/>
        <v>12</v>
      </c>
      <c r="BG9" s="60">
        <v>226.98</v>
      </c>
      <c r="BH9" s="65">
        <f t="shared" si="23"/>
        <v>19.99999999998181</v>
      </c>
      <c r="BI9" s="60">
        <v>285.23</v>
      </c>
      <c r="BJ9" s="65">
        <f t="shared" si="39"/>
        <v>40.000000000020464</v>
      </c>
      <c r="BK9" s="60">
        <v>231.94</v>
      </c>
      <c r="BL9" s="65">
        <f t="shared" si="24"/>
        <v>9.9999999999909051</v>
      </c>
      <c r="BM9" s="60">
        <v>216.91</v>
      </c>
      <c r="BN9" s="65">
        <f t="shared" si="25"/>
        <v>20.000000000010232</v>
      </c>
      <c r="BO9" s="60">
        <v>282.08999999999997</v>
      </c>
      <c r="BP9" s="65">
        <f t="shared" si="26"/>
        <v>29.999999999972715</v>
      </c>
      <c r="BQ9" s="60">
        <v>40813</v>
      </c>
      <c r="BR9" s="65">
        <f t="shared" si="27"/>
        <v>21</v>
      </c>
      <c r="BS9" s="60">
        <v>195.26</v>
      </c>
      <c r="BT9" s="65">
        <f t="shared" si="41"/>
        <v>19.99999999998181</v>
      </c>
      <c r="BU9" s="60">
        <v>339.03</v>
      </c>
      <c r="BV9" s="65">
        <v>26</v>
      </c>
      <c r="BW9" s="60">
        <v>226.83</v>
      </c>
      <c r="BX9" s="65">
        <f t="shared" si="29"/>
        <v>30.000000000001137</v>
      </c>
      <c r="BY9" s="60">
        <v>52069</v>
      </c>
      <c r="BZ9" s="67">
        <f t="shared" si="30"/>
        <v>13</v>
      </c>
      <c r="CA9" s="60">
        <v>27515.599999999999</v>
      </c>
      <c r="CB9" s="67">
        <f t="shared" si="31"/>
        <v>0</v>
      </c>
      <c r="CC9" s="60">
        <v>11255.6</v>
      </c>
      <c r="CD9" s="67">
        <f t="shared" si="32"/>
        <v>0</v>
      </c>
      <c r="CE9" s="60">
        <v>50954.2</v>
      </c>
      <c r="CF9" s="67">
        <f t="shared" si="33"/>
        <v>0</v>
      </c>
      <c r="CG9" s="60">
        <v>51841.3</v>
      </c>
      <c r="CH9" s="67">
        <f t="shared" si="34"/>
        <v>19.30000000000291</v>
      </c>
      <c r="CI9" s="60">
        <v>894329</v>
      </c>
      <c r="CJ9" s="67">
        <f t="shared" si="35"/>
        <v>216</v>
      </c>
      <c r="CK9" s="60">
        <v>643.46</v>
      </c>
      <c r="CL9" s="64">
        <f t="shared" si="36"/>
        <v>370.00000000000455</v>
      </c>
      <c r="CM9" s="65">
        <f t="shared" si="40"/>
        <v>26.200000000000045</v>
      </c>
      <c r="CN9" s="62">
        <v>0</v>
      </c>
      <c r="CO9" s="62">
        <v>0</v>
      </c>
      <c r="CP9" s="68">
        <v>2040.7</v>
      </c>
      <c r="CQ9" s="67">
        <f t="shared" si="37"/>
        <v>17.200000000000045</v>
      </c>
      <c r="CR9" s="68">
        <v>11139</v>
      </c>
      <c r="CS9" s="67">
        <f t="shared" si="37"/>
        <v>9</v>
      </c>
      <c r="CT9" s="75">
        <v>3885</v>
      </c>
      <c r="CU9" s="67">
        <f t="shared" si="37"/>
        <v>13</v>
      </c>
      <c r="CV9" s="68">
        <v>10565</v>
      </c>
      <c r="CW9" s="67">
        <f t="shared" si="37"/>
        <v>26</v>
      </c>
    </row>
    <row r="10" spans="1:102" ht="25.5" customHeight="1" thickBot="1" x14ac:dyDescent="0.45">
      <c r="A10" s="63">
        <v>44172</v>
      </c>
      <c r="B10" s="44"/>
      <c r="C10" s="58">
        <v>1.9327000000000001</v>
      </c>
      <c r="D10" s="64">
        <f t="shared" si="0"/>
        <v>1800.0000000000239</v>
      </c>
      <c r="E10" s="58">
        <v>2.8262</v>
      </c>
      <c r="F10" s="64">
        <f t="shared" si="1"/>
        <v>999.99999999988984</v>
      </c>
      <c r="G10" s="58">
        <v>2.8500999999999999</v>
      </c>
      <c r="H10" s="64">
        <f t="shared" si="2"/>
        <v>1900.0000000000127</v>
      </c>
      <c r="I10" s="58">
        <v>1.3871</v>
      </c>
      <c r="J10" s="64">
        <f t="shared" si="3"/>
        <v>999.99999999988984</v>
      </c>
      <c r="K10" s="58">
        <v>2.2261000000000002</v>
      </c>
      <c r="L10" s="64">
        <f t="shared" si="4"/>
        <v>2000.0000000002237</v>
      </c>
      <c r="M10" s="58">
        <v>1.2934000000000001</v>
      </c>
      <c r="N10" s="64">
        <f t="shared" si="5"/>
        <v>600.00000000015598</v>
      </c>
      <c r="O10" s="58">
        <v>12716</v>
      </c>
      <c r="P10" s="67">
        <f t="shared" si="42"/>
        <v>1</v>
      </c>
      <c r="Q10" s="58">
        <v>6040</v>
      </c>
      <c r="R10" s="67">
        <f t="shared" si="6"/>
        <v>0</v>
      </c>
      <c r="S10" s="58">
        <v>871446.6</v>
      </c>
      <c r="T10" s="67">
        <f t="shared" si="7"/>
        <v>237.40000000002328</v>
      </c>
      <c r="U10" s="58">
        <v>357911.8</v>
      </c>
      <c r="V10" s="67">
        <f t="shared" si="8"/>
        <v>112.70000000001164</v>
      </c>
      <c r="W10" s="58">
        <v>349.79</v>
      </c>
      <c r="X10" s="65">
        <f t="shared" si="9"/>
        <v>150.00000000003411</v>
      </c>
      <c r="Y10" s="58">
        <v>2.4702000000000002</v>
      </c>
      <c r="Z10" s="65">
        <f t="shared" si="10"/>
        <v>700.00000000014495</v>
      </c>
      <c r="AA10" s="58">
        <v>342.63</v>
      </c>
      <c r="AB10" s="65">
        <f t="shared" si="11"/>
        <v>180.00000000000682</v>
      </c>
      <c r="AC10" s="58">
        <v>331.47</v>
      </c>
      <c r="AD10" s="65">
        <f t="shared" si="12"/>
        <v>120.00000000000455</v>
      </c>
      <c r="AE10" s="58">
        <v>516.04</v>
      </c>
      <c r="AF10" s="65">
        <f t="shared" si="13"/>
        <v>219.9999999999136</v>
      </c>
      <c r="AG10" s="58">
        <v>1463.9</v>
      </c>
      <c r="AH10" s="67">
        <f t="shared" si="14"/>
        <v>1.3000000000001819</v>
      </c>
      <c r="AI10" s="58">
        <v>495.19</v>
      </c>
      <c r="AJ10" s="65">
        <f t="shared" si="15"/>
        <v>529.99999999997272</v>
      </c>
      <c r="AK10" s="58">
        <v>173.91</v>
      </c>
      <c r="AL10" s="65">
        <f t="shared" si="15"/>
        <v>129.99999999999545</v>
      </c>
      <c r="AM10" s="58">
        <v>172.31</v>
      </c>
      <c r="AN10" s="65">
        <f t="shared" si="15"/>
        <v>159.99999999999659</v>
      </c>
      <c r="AO10" s="58">
        <v>165.64</v>
      </c>
      <c r="AP10" s="65">
        <f t="shared" si="15"/>
        <v>99.999999999994316</v>
      </c>
      <c r="AQ10" s="58">
        <v>225.23</v>
      </c>
      <c r="AR10" s="65">
        <f t="shared" si="16"/>
        <v>99.999999999994316</v>
      </c>
      <c r="AS10" s="58">
        <v>350.5</v>
      </c>
      <c r="AT10" s="65">
        <f t="shared" si="17"/>
        <v>79.999999999984084</v>
      </c>
      <c r="AU10" s="58">
        <v>270.73</v>
      </c>
      <c r="AV10" s="65">
        <f t="shared" si="18"/>
        <v>90.000000000031832</v>
      </c>
      <c r="AW10" s="58">
        <v>298.27999999999997</v>
      </c>
      <c r="AX10" s="65">
        <v>349.47</v>
      </c>
      <c r="AY10" s="58">
        <v>349.47</v>
      </c>
      <c r="AZ10" s="65">
        <f t="shared" si="20"/>
        <v>90.000000000031832</v>
      </c>
      <c r="BA10" s="58">
        <v>369.53</v>
      </c>
      <c r="BB10" s="65">
        <f t="shared" si="21"/>
        <v>99.999999999965894</v>
      </c>
      <c r="BC10" s="58">
        <v>234.49</v>
      </c>
      <c r="BD10" s="65">
        <f t="shared" si="22"/>
        <v>30.000000000001137</v>
      </c>
      <c r="BE10" s="59">
        <v>33428</v>
      </c>
      <c r="BF10" s="67">
        <f t="shared" si="38"/>
        <v>16</v>
      </c>
      <c r="BG10" s="60">
        <v>227</v>
      </c>
      <c r="BH10" s="65">
        <f t="shared" si="23"/>
        <v>20.000000000010232</v>
      </c>
      <c r="BI10" s="60">
        <v>285.26</v>
      </c>
      <c r="BJ10" s="65">
        <f t="shared" si="39"/>
        <v>29.999999999972715</v>
      </c>
      <c r="BK10" s="60">
        <v>231.96</v>
      </c>
      <c r="BL10" s="65">
        <f t="shared" si="24"/>
        <v>20.000000000010232</v>
      </c>
      <c r="BM10" s="60">
        <v>216.92</v>
      </c>
      <c r="BN10" s="65">
        <f t="shared" si="25"/>
        <v>9.9999999999909051</v>
      </c>
      <c r="BO10" s="60">
        <v>282.12</v>
      </c>
      <c r="BP10" s="65">
        <f t="shared" si="26"/>
        <v>30.000000000029559</v>
      </c>
      <c r="BQ10" s="60">
        <v>40833</v>
      </c>
      <c r="BR10" s="65">
        <f t="shared" si="27"/>
        <v>20</v>
      </c>
      <c r="BS10" s="60">
        <v>195.27</v>
      </c>
      <c r="BT10" s="65">
        <f t="shared" si="41"/>
        <v>10.000000000019327</v>
      </c>
      <c r="BU10" s="60">
        <v>339.28</v>
      </c>
      <c r="BV10" s="65">
        <v>26</v>
      </c>
      <c r="BW10" s="60">
        <v>226.87</v>
      </c>
      <c r="BX10" s="65">
        <f t="shared" si="29"/>
        <v>39.999999999992042</v>
      </c>
      <c r="BY10" s="60">
        <v>52102</v>
      </c>
      <c r="BZ10" s="67">
        <f t="shared" si="30"/>
        <v>33</v>
      </c>
      <c r="CA10" s="60">
        <v>27515.599999999999</v>
      </c>
      <c r="CB10" s="67">
        <f t="shared" si="31"/>
        <v>0</v>
      </c>
      <c r="CC10" s="60">
        <v>11255.6</v>
      </c>
      <c r="CD10" s="67">
        <f t="shared" si="32"/>
        <v>0</v>
      </c>
      <c r="CE10" s="60">
        <v>50954.2</v>
      </c>
      <c r="CF10" s="67">
        <f t="shared" si="33"/>
        <v>0</v>
      </c>
      <c r="CG10" s="60">
        <v>51896</v>
      </c>
      <c r="CH10" s="67">
        <f t="shared" si="34"/>
        <v>54.69999999999709</v>
      </c>
      <c r="CI10" s="60">
        <v>894556</v>
      </c>
      <c r="CJ10" s="67">
        <f t="shared" si="35"/>
        <v>227</v>
      </c>
      <c r="CK10" s="60">
        <v>644.13</v>
      </c>
      <c r="CL10" s="64">
        <f t="shared" si="36"/>
        <v>669.99999999995907</v>
      </c>
      <c r="CM10" s="65">
        <f t="shared" si="40"/>
        <v>39.399999999999864</v>
      </c>
      <c r="CN10" s="62">
        <v>0</v>
      </c>
      <c r="CO10" s="62">
        <v>0</v>
      </c>
      <c r="CP10" s="68">
        <v>2070.1</v>
      </c>
      <c r="CQ10" s="67">
        <f t="shared" si="37"/>
        <v>29.399999999999864</v>
      </c>
      <c r="CR10" s="68">
        <v>11149</v>
      </c>
      <c r="CS10" s="67">
        <f t="shared" si="37"/>
        <v>10</v>
      </c>
      <c r="CT10" s="75">
        <v>3896</v>
      </c>
      <c r="CU10" s="67">
        <f t="shared" si="37"/>
        <v>11</v>
      </c>
      <c r="CV10" s="68">
        <v>10588</v>
      </c>
      <c r="CW10" s="67">
        <f t="shared" si="37"/>
        <v>23</v>
      </c>
    </row>
    <row r="11" spans="1:102" ht="25.5" customHeight="1" thickBot="1" x14ac:dyDescent="0.45">
      <c r="A11" s="63">
        <v>44173</v>
      </c>
      <c r="B11" s="44"/>
      <c r="C11" s="58">
        <v>1.9348000000000001</v>
      </c>
      <c r="D11" s="64">
        <f t="shared" si="0"/>
        <v>2099.9999999999909</v>
      </c>
      <c r="E11" s="58">
        <v>2.8271999999999999</v>
      </c>
      <c r="F11" s="64">
        <f t="shared" si="1"/>
        <v>999.99999999988984</v>
      </c>
      <c r="G11" s="58">
        <v>2.8521000000000001</v>
      </c>
      <c r="H11" s="64">
        <f t="shared" si="2"/>
        <v>2000.0000000002237</v>
      </c>
      <c r="I11" s="58">
        <v>1.3883000000000001</v>
      </c>
      <c r="J11" s="64">
        <f t="shared" si="3"/>
        <v>1200.0000000000898</v>
      </c>
      <c r="K11" s="58">
        <v>2.2279</v>
      </c>
      <c r="L11" s="64">
        <f t="shared" si="4"/>
        <v>1799.9999999998017</v>
      </c>
      <c r="M11" s="58">
        <v>1.2941</v>
      </c>
      <c r="N11" s="64">
        <f t="shared" si="5"/>
        <v>699.99999999992292</v>
      </c>
      <c r="O11" s="58">
        <v>12717</v>
      </c>
      <c r="P11" s="67">
        <f t="shared" ref="P11:P34" si="43">IF((O11-O10&lt;0), "",O11-O10)</f>
        <v>1</v>
      </c>
      <c r="Q11" s="58">
        <v>6040</v>
      </c>
      <c r="R11" s="67">
        <f t="shared" si="6"/>
        <v>0</v>
      </c>
      <c r="S11" s="58">
        <v>871772.9</v>
      </c>
      <c r="T11" s="67">
        <f t="shared" si="7"/>
        <v>326.30000000004657</v>
      </c>
      <c r="U11" s="58">
        <v>358099.3</v>
      </c>
      <c r="V11" s="67">
        <f t="shared" si="8"/>
        <v>187.5</v>
      </c>
      <c r="W11" s="58">
        <v>349.95</v>
      </c>
      <c r="X11" s="65">
        <f t="shared" si="9"/>
        <v>159.99999999996817</v>
      </c>
      <c r="Y11" s="58">
        <v>2.4710000000000001</v>
      </c>
      <c r="Z11" s="65">
        <f t="shared" si="10"/>
        <v>799.99999999991189</v>
      </c>
      <c r="AA11" s="58">
        <v>342.88</v>
      </c>
      <c r="AB11" s="65">
        <f t="shared" si="11"/>
        <v>250</v>
      </c>
      <c r="AC11" s="58">
        <v>331.63</v>
      </c>
      <c r="AD11" s="65">
        <f t="shared" si="12"/>
        <v>159.99999999996817</v>
      </c>
      <c r="AE11" s="58">
        <v>516.20000000000005</v>
      </c>
      <c r="AF11" s="65">
        <f t="shared" si="13"/>
        <v>160.00000000008185</v>
      </c>
      <c r="AG11" s="58">
        <v>1465.3</v>
      </c>
      <c r="AH11" s="67">
        <f t="shared" si="14"/>
        <v>1.3999999999998636</v>
      </c>
      <c r="AI11" s="58">
        <v>495.8</v>
      </c>
      <c r="AJ11" s="65">
        <f t="shared" si="15"/>
        <v>610.00000000001364</v>
      </c>
      <c r="AK11" s="58">
        <v>174.08</v>
      </c>
      <c r="AL11" s="65">
        <f t="shared" si="15"/>
        <v>170.00000000001592</v>
      </c>
      <c r="AM11" s="58">
        <v>172.5</v>
      </c>
      <c r="AN11" s="65">
        <f t="shared" si="15"/>
        <v>189.99999999999773</v>
      </c>
      <c r="AO11" s="58">
        <v>165.81</v>
      </c>
      <c r="AP11" s="65">
        <f t="shared" si="15"/>
        <v>170.00000000001592</v>
      </c>
      <c r="AQ11" s="58">
        <v>225.35</v>
      </c>
      <c r="AR11" s="65">
        <f t="shared" si="16"/>
        <v>120.00000000000455</v>
      </c>
      <c r="AS11" s="58">
        <v>350.61</v>
      </c>
      <c r="AT11" s="65">
        <f t="shared" si="17"/>
        <v>110.00000000001364</v>
      </c>
      <c r="AU11" s="58">
        <v>270.83999999999997</v>
      </c>
      <c r="AV11" s="65">
        <f t="shared" si="18"/>
        <v>109.9999999999568</v>
      </c>
      <c r="AW11" s="58">
        <v>298.41000000000003</v>
      </c>
      <c r="AX11" s="65">
        <f t="shared" si="19"/>
        <v>130.0000000000523</v>
      </c>
      <c r="AY11" s="58">
        <v>349.59</v>
      </c>
      <c r="AZ11" s="65">
        <f t="shared" si="20"/>
        <v>119.9999999999477</v>
      </c>
      <c r="BA11" s="58">
        <v>369.65</v>
      </c>
      <c r="BB11" s="65">
        <f t="shared" si="21"/>
        <v>120.00000000000455</v>
      </c>
      <c r="BC11" s="58">
        <v>234.54</v>
      </c>
      <c r="BD11" s="65">
        <f>IF((BC11-BC10&lt;0), "",(BC11-BC10)*1000)</f>
        <v>49.999999999982947</v>
      </c>
      <c r="BE11" s="59">
        <v>33445</v>
      </c>
      <c r="BF11" s="67">
        <f t="shared" si="38"/>
        <v>17</v>
      </c>
      <c r="BG11" s="60">
        <v>227.02</v>
      </c>
      <c r="BH11" s="65">
        <f t="shared" si="23"/>
        <v>20.000000000010232</v>
      </c>
      <c r="BI11" s="60">
        <v>285.3</v>
      </c>
      <c r="BJ11" s="65">
        <f t="shared" si="39"/>
        <v>40.000000000020464</v>
      </c>
      <c r="BK11" s="60">
        <v>231.98</v>
      </c>
      <c r="BL11" s="65">
        <f t="shared" si="24"/>
        <v>19.99999999998181</v>
      </c>
      <c r="BM11" s="60">
        <v>216.94</v>
      </c>
      <c r="BN11" s="65">
        <f t="shared" si="25"/>
        <v>20.000000000010232</v>
      </c>
      <c r="BO11" s="60">
        <v>282.19</v>
      </c>
      <c r="BP11" s="65">
        <f t="shared" si="26"/>
        <v>69.999999999993179</v>
      </c>
      <c r="BQ11" s="60">
        <v>40853</v>
      </c>
      <c r="BR11" s="65">
        <f t="shared" si="27"/>
        <v>20</v>
      </c>
      <c r="BS11" s="60">
        <v>195.28</v>
      </c>
      <c r="BT11" s="65">
        <f t="shared" si="41"/>
        <v>9.9999999999909051</v>
      </c>
      <c r="BU11" s="60">
        <v>339.61</v>
      </c>
      <c r="BV11" s="65">
        <v>26</v>
      </c>
      <c r="BW11" s="60">
        <v>226.91</v>
      </c>
      <c r="BX11" s="65">
        <f t="shared" si="29"/>
        <v>39.999999999992042</v>
      </c>
      <c r="BY11" s="60">
        <v>52133</v>
      </c>
      <c r="BZ11" s="67">
        <f t="shared" si="30"/>
        <v>31</v>
      </c>
      <c r="CA11" s="60">
        <v>27515.599999999999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50954.2</v>
      </c>
      <c r="CF11" s="67">
        <f t="shared" si="33"/>
        <v>0</v>
      </c>
      <c r="CG11" s="60">
        <v>51937.5</v>
      </c>
      <c r="CH11" s="67">
        <f t="shared" si="34"/>
        <v>41.5</v>
      </c>
      <c r="CI11" s="60">
        <v>894789</v>
      </c>
      <c r="CJ11" s="67">
        <f t="shared" si="35"/>
        <v>233</v>
      </c>
      <c r="CK11" s="60">
        <v>644.66999999999996</v>
      </c>
      <c r="CL11" s="64">
        <f t="shared" si="36"/>
        <v>539.99999999996362</v>
      </c>
      <c r="CM11" s="65">
        <f t="shared" si="40"/>
        <v>42.900000000000091</v>
      </c>
      <c r="CN11" s="62">
        <v>0</v>
      </c>
      <c r="CO11" s="62">
        <v>0</v>
      </c>
      <c r="CP11" s="68">
        <v>2103</v>
      </c>
      <c r="CQ11" s="67">
        <f t="shared" si="37"/>
        <v>32.900000000000091</v>
      </c>
      <c r="CR11" s="68">
        <v>11159</v>
      </c>
      <c r="CS11" s="67">
        <f t="shared" si="37"/>
        <v>10</v>
      </c>
      <c r="CT11" s="75">
        <v>3908</v>
      </c>
      <c r="CU11" s="67">
        <f t="shared" si="37"/>
        <v>12</v>
      </c>
      <c r="CV11" s="68">
        <v>10614</v>
      </c>
      <c r="CW11" s="67">
        <f t="shared" si="37"/>
        <v>26</v>
      </c>
    </row>
    <row r="12" spans="1:102" ht="25.5" customHeight="1" thickBot="1" x14ac:dyDescent="0.45">
      <c r="A12" s="63">
        <v>44174</v>
      </c>
      <c r="B12" s="44"/>
      <c r="C12" s="58">
        <v>1.9372</v>
      </c>
      <c r="D12" s="64">
        <f t="shared" si="0"/>
        <v>2399.9999999999577</v>
      </c>
      <c r="E12" s="58">
        <v>2.8283999999999998</v>
      </c>
      <c r="F12" s="64">
        <f t="shared" si="1"/>
        <v>1199.9999999998679</v>
      </c>
      <c r="G12" s="58">
        <v>2.8542999999999998</v>
      </c>
      <c r="H12" s="64">
        <f t="shared" si="2"/>
        <v>2199.9999999997576</v>
      </c>
      <c r="I12" s="58">
        <v>1.3895</v>
      </c>
      <c r="J12" s="64">
        <f t="shared" si="3"/>
        <v>1199.9999999998679</v>
      </c>
      <c r="K12" s="58">
        <v>2.2298</v>
      </c>
      <c r="L12" s="64">
        <f t="shared" si="4"/>
        <v>1900.0000000000127</v>
      </c>
      <c r="M12" s="58">
        <v>1.2948999999999999</v>
      </c>
      <c r="N12" s="64">
        <f t="shared" si="5"/>
        <v>799.99999999991189</v>
      </c>
      <c r="O12" s="58">
        <v>12718</v>
      </c>
      <c r="P12" s="67">
        <f t="shared" si="43"/>
        <v>1</v>
      </c>
      <c r="Q12" s="58">
        <v>6040</v>
      </c>
      <c r="R12" s="67">
        <f t="shared" si="6"/>
        <v>0</v>
      </c>
      <c r="S12" s="58">
        <v>872149.2</v>
      </c>
      <c r="T12" s="67">
        <f t="shared" si="7"/>
        <v>376.29999999993015</v>
      </c>
      <c r="U12" s="58">
        <v>358314.1</v>
      </c>
      <c r="V12" s="67">
        <f t="shared" si="8"/>
        <v>214.79999999998836</v>
      </c>
      <c r="W12" s="58">
        <v>350.12</v>
      </c>
      <c r="X12" s="65">
        <f t="shared" si="9"/>
        <v>170.00000000001592</v>
      </c>
      <c r="Y12" s="58">
        <v>2.472</v>
      </c>
      <c r="Z12" s="65">
        <f t="shared" si="10"/>
        <v>999.99999999988984</v>
      </c>
      <c r="AA12" s="58">
        <v>343.11</v>
      </c>
      <c r="AB12" s="65">
        <f t="shared" si="11"/>
        <v>230.00000000001819</v>
      </c>
      <c r="AC12" s="58">
        <v>331.81</v>
      </c>
      <c r="AD12" s="65">
        <f t="shared" si="12"/>
        <v>180.00000000000682</v>
      </c>
      <c r="AE12" s="58">
        <v>516.38</v>
      </c>
      <c r="AF12" s="65">
        <f t="shared" si="13"/>
        <v>179.99999999994998</v>
      </c>
      <c r="AG12" s="58">
        <v>1467.1</v>
      </c>
      <c r="AH12" s="67">
        <f t="shared" si="14"/>
        <v>1.7999999999999545</v>
      </c>
      <c r="AI12" s="58">
        <v>496.43</v>
      </c>
      <c r="AJ12" s="65">
        <f t="shared" si="15"/>
        <v>629.99999999999545</v>
      </c>
      <c r="AK12" s="58">
        <v>174.27</v>
      </c>
      <c r="AL12" s="65">
        <f t="shared" si="15"/>
        <v>189.99999999999773</v>
      </c>
      <c r="AM12" s="58">
        <v>172.7</v>
      </c>
      <c r="AN12" s="65">
        <f t="shared" si="15"/>
        <v>199.99999999998863</v>
      </c>
      <c r="AO12" s="58">
        <v>165.98</v>
      </c>
      <c r="AP12" s="65">
        <f t="shared" si="15"/>
        <v>169.99999999998749</v>
      </c>
      <c r="AQ12" s="58">
        <v>225.47</v>
      </c>
      <c r="AR12" s="65">
        <f t="shared" si="16"/>
        <v>120.00000000000455</v>
      </c>
      <c r="AS12" s="58">
        <v>350.74</v>
      </c>
      <c r="AT12" s="65">
        <f t="shared" si="17"/>
        <v>129.99999999999545</v>
      </c>
      <c r="AU12" s="58">
        <v>271</v>
      </c>
      <c r="AV12" s="65">
        <f t="shared" si="18"/>
        <v>160.00000000002501</v>
      </c>
      <c r="AW12" s="58">
        <v>298.56</v>
      </c>
      <c r="AX12" s="65">
        <f t="shared" si="19"/>
        <v>149.99999999997726</v>
      </c>
      <c r="AY12" s="58">
        <v>349.71</v>
      </c>
      <c r="AZ12" s="65">
        <f t="shared" si="20"/>
        <v>120.00000000000455</v>
      </c>
      <c r="BA12" s="58">
        <v>369.8</v>
      </c>
      <c r="BB12" s="65">
        <f t="shared" si="21"/>
        <v>150.00000000003411</v>
      </c>
      <c r="BC12" s="58">
        <v>234.6</v>
      </c>
      <c r="BD12" s="65">
        <f t="shared" si="22"/>
        <v>60.000000000002274</v>
      </c>
      <c r="BE12" s="59">
        <v>33465</v>
      </c>
      <c r="BF12" s="67">
        <f t="shared" si="38"/>
        <v>20</v>
      </c>
      <c r="BG12" s="60">
        <v>227.04</v>
      </c>
      <c r="BH12" s="65">
        <f t="shared" si="23"/>
        <v>19.99999999998181</v>
      </c>
      <c r="BI12" s="60">
        <v>285.33999999999997</v>
      </c>
      <c r="BJ12" s="65">
        <f t="shared" si="39"/>
        <v>39.99999999996362</v>
      </c>
      <c r="BK12" s="60">
        <v>232.01</v>
      </c>
      <c r="BL12" s="65">
        <f t="shared" si="24"/>
        <v>30.000000000001137</v>
      </c>
      <c r="BM12" s="60">
        <v>216.97</v>
      </c>
      <c r="BN12" s="65">
        <f t="shared" si="25"/>
        <v>30.000000000001137</v>
      </c>
      <c r="BO12" s="60">
        <v>282.18</v>
      </c>
      <c r="BP12" s="65" t="str">
        <f t="shared" si="26"/>
        <v/>
      </c>
      <c r="BQ12" s="60">
        <v>40875</v>
      </c>
      <c r="BR12" s="65">
        <v>195.29</v>
      </c>
      <c r="BS12" s="60">
        <v>195.29</v>
      </c>
      <c r="BT12" s="65">
        <f t="shared" si="41"/>
        <v>9.9999999999909051</v>
      </c>
      <c r="BU12" s="60">
        <v>339.91</v>
      </c>
      <c r="BV12" s="65">
        <v>26</v>
      </c>
      <c r="BW12" s="60">
        <v>226.94</v>
      </c>
      <c r="BX12" s="65">
        <f t="shared" si="29"/>
        <v>30.000000000001137</v>
      </c>
      <c r="BY12" s="60">
        <v>52169</v>
      </c>
      <c r="BZ12" s="67">
        <f t="shared" si="30"/>
        <v>36</v>
      </c>
      <c r="CA12" s="60">
        <v>27515.599999999999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50954.2</v>
      </c>
      <c r="CF12" s="67">
        <f t="shared" si="33"/>
        <v>0</v>
      </c>
      <c r="CG12" s="60">
        <v>51996.6</v>
      </c>
      <c r="CH12" s="67">
        <f t="shared" si="34"/>
        <v>59.099999999998545</v>
      </c>
      <c r="CI12" s="60">
        <v>895038</v>
      </c>
      <c r="CJ12" s="67">
        <f t="shared" si="35"/>
        <v>249</v>
      </c>
      <c r="CK12" s="60">
        <v>645.28</v>
      </c>
      <c r="CL12" s="64">
        <f t="shared" si="36"/>
        <v>610.00000000001364</v>
      </c>
      <c r="CM12" s="65">
        <f t="shared" si="40"/>
        <v>44.300000000000182</v>
      </c>
      <c r="CN12" s="62">
        <v>0</v>
      </c>
      <c r="CO12" s="62">
        <v>0</v>
      </c>
      <c r="CP12" s="68">
        <v>2134.3000000000002</v>
      </c>
      <c r="CQ12" s="67">
        <f>IF((CP12-CP11&lt;0), "",CP12-CP11)</f>
        <v>31.300000000000182</v>
      </c>
      <c r="CR12" s="68">
        <v>11172</v>
      </c>
      <c r="CS12" s="67">
        <f t="shared" si="37"/>
        <v>13</v>
      </c>
      <c r="CT12" s="75">
        <v>3919</v>
      </c>
      <c r="CU12" s="67">
        <f t="shared" si="37"/>
        <v>11</v>
      </c>
      <c r="CV12" s="68">
        <v>10640</v>
      </c>
      <c r="CW12" s="67">
        <f t="shared" si="37"/>
        <v>26</v>
      </c>
    </row>
    <row r="13" spans="1:102" ht="25.5" customHeight="1" thickBot="1" x14ac:dyDescent="0.45">
      <c r="A13" s="63">
        <v>44175</v>
      </c>
      <c r="B13" s="44"/>
      <c r="C13" s="58">
        <v>1.9396</v>
      </c>
      <c r="D13" s="64">
        <f t="shared" si="0"/>
        <v>2399.9999999999577</v>
      </c>
      <c r="E13" s="58">
        <v>2.8298000000000001</v>
      </c>
      <c r="F13" s="64">
        <f t="shared" si="1"/>
        <v>1400.0000000002899</v>
      </c>
      <c r="G13" s="58">
        <v>2.8566600000000002</v>
      </c>
      <c r="H13" s="64">
        <f t="shared" si="2"/>
        <v>2360.000000000362</v>
      </c>
      <c r="I13" s="58">
        <v>1.3907</v>
      </c>
      <c r="J13" s="64">
        <f t="shared" si="3"/>
        <v>1200.0000000000898</v>
      </c>
      <c r="K13" s="58">
        <v>2.2317</v>
      </c>
      <c r="L13" s="64">
        <f t="shared" si="4"/>
        <v>1900.0000000000127</v>
      </c>
      <c r="M13" s="58">
        <v>1.2955000000000001</v>
      </c>
      <c r="N13" s="64">
        <f t="shared" si="5"/>
        <v>600.00000000015598</v>
      </c>
      <c r="O13" s="58">
        <v>12719</v>
      </c>
      <c r="P13" s="67">
        <f t="shared" si="43"/>
        <v>1</v>
      </c>
      <c r="Q13" s="58">
        <v>6041</v>
      </c>
      <c r="R13" s="67">
        <f t="shared" si="6"/>
        <v>1</v>
      </c>
      <c r="S13" s="58">
        <v>872820</v>
      </c>
      <c r="T13" s="67">
        <f t="shared" si="7"/>
        <v>670.80000000004657</v>
      </c>
      <c r="U13" s="58">
        <v>358638.4</v>
      </c>
      <c r="V13" s="67">
        <f t="shared" si="8"/>
        <v>324.30000000004657</v>
      </c>
      <c r="W13" s="58">
        <v>350.32</v>
      </c>
      <c r="X13" s="65">
        <f t="shared" si="9"/>
        <v>199.99999999998863</v>
      </c>
      <c r="Y13" s="58">
        <v>2.4731000000000001</v>
      </c>
      <c r="Z13" s="65">
        <f t="shared" si="10"/>
        <v>1100.000000000101</v>
      </c>
      <c r="AA13" s="58">
        <v>343.33</v>
      </c>
      <c r="AB13" s="65">
        <f t="shared" si="11"/>
        <v>219.99999999997044</v>
      </c>
      <c r="AC13" s="58">
        <v>331.98</v>
      </c>
      <c r="AD13" s="65">
        <f t="shared" si="12"/>
        <v>170.00000000001592</v>
      </c>
      <c r="AE13" s="58">
        <v>516.6</v>
      </c>
      <c r="AF13" s="65">
        <f t="shared" si="13"/>
        <v>220.00000000002728</v>
      </c>
      <c r="AG13" s="58">
        <v>1468.9</v>
      </c>
      <c r="AH13" s="67">
        <f t="shared" si="14"/>
        <v>1.8000000000001819</v>
      </c>
      <c r="AI13" s="58">
        <v>497.08</v>
      </c>
      <c r="AJ13" s="65">
        <f t="shared" si="15"/>
        <v>649.99999999997726</v>
      </c>
      <c r="AK13" s="58">
        <v>174.47</v>
      </c>
      <c r="AL13" s="65">
        <f t="shared" si="15"/>
        <v>199.99999999998863</v>
      </c>
      <c r="AM13" s="58">
        <v>172.94</v>
      </c>
      <c r="AN13" s="65">
        <f t="shared" si="15"/>
        <v>240.00000000000909</v>
      </c>
      <c r="AO13" s="58">
        <v>166.16</v>
      </c>
      <c r="AP13" s="65">
        <f t="shared" si="15"/>
        <v>180.00000000000682</v>
      </c>
      <c r="AQ13" s="58">
        <v>225.61</v>
      </c>
      <c r="AR13" s="65">
        <f t="shared" si="16"/>
        <v>140.00000000001478</v>
      </c>
      <c r="AS13" s="58">
        <v>350.87</v>
      </c>
      <c r="AT13" s="65">
        <f t="shared" si="17"/>
        <v>129.99999999999545</v>
      </c>
      <c r="AU13" s="58">
        <v>271.14</v>
      </c>
      <c r="AV13" s="65">
        <f t="shared" si="18"/>
        <v>139.99999999998636</v>
      </c>
      <c r="AW13" s="58">
        <v>298.72000000000003</v>
      </c>
      <c r="AX13" s="65">
        <f t="shared" si="19"/>
        <v>160.00000000002501</v>
      </c>
      <c r="AY13" s="58">
        <v>349.88</v>
      </c>
      <c r="AZ13" s="65">
        <f t="shared" si="20"/>
        <v>170.00000000001592</v>
      </c>
      <c r="BA13" s="58">
        <v>369.96</v>
      </c>
      <c r="BB13" s="65">
        <f t="shared" si="21"/>
        <v>159.99999999996817</v>
      </c>
      <c r="BC13" s="58">
        <v>234.65</v>
      </c>
      <c r="BD13" s="65">
        <f t="shared" si="22"/>
        <v>50.000000000011369</v>
      </c>
      <c r="BE13" s="59">
        <v>33486</v>
      </c>
      <c r="BF13" s="67">
        <f t="shared" si="38"/>
        <v>21</v>
      </c>
      <c r="BG13" s="60">
        <v>227.08</v>
      </c>
      <c r="BH13" s="65">
        <v>285.38</v>
      </c>
      <c r="BI13" s="60">
        <v>285.38</v>
      </c>
      <c r="BJ13" s="65">
        <f t="shared" si="39"/>
        <v>40.000000000020464</v>
      </c>
      <c r="BK13" s="60">
        <v>232.03</v>
      </c>
      <c r="BL13" s="65">
        <f t="shared" si="24"/>
        <v>20.000000000010232</v>
      </c>
      <c r="BM13" s="60">
        <v>217</v>
      </c>
      <c r="BN13" s="65">
        <f t="shared" si="25"/>
        <v>30.000000000001137</v>
      </c>
      <c r="BO13" s="60">
        <v>282.22000000000003</v>
      </c>
      <c r="BP13" s="65">
        <f t="shared" si="26"/>
        <v>40.000000000020464</v>
      </c>
      <c r="BQ13" s="60">
        <v>40901</v>
      </c>
      <c r="BR13" s="65">
        <v>195.31</v>
      </c>
      <c r="BS13" s="60">
        <v>195.31</v>
      </c>
      <c r="BT13" s="65">
        <f t="shared" si="41"/>
        <v>20.000000000010232</v>
      </c>
      <c r="BU13" s="60">
        <v>340.24</v>
      </c>
      <c r="BV13" s="65">
        <f t="shared" ref="BV13:BV35" si="44">IF((BU13-BU12&lt;0), "",BU13-BU12)</f>
        <v>0.32999999999998408</v>
      </c>
      <c r="BW13" s="60">
        <v>226.97</v>
      </c>
      <c r="BX13" s="65">
        <f t="shared" si="29"/>
        <v>30.000000000001137</v>
      </c>
      <c r="BY13" s="60">
        <v>52212</v>
      </c>
      <c r="BZ13" s="67">
        <f t="shared" si="30"/>
        <v>43</v>
      </c>
      <c r="CA13" s="60">
        <v>27566.5</v>
      </c>
      <c r="CB13" s="67">
        <f t="shared" si="31"/>
        <v>50.900000000001455</v>
      </c>
      <c r="CC13" s="60">
        <v>11255.6</v>
      </c>
      <c r="CD13" s="67">
        <f t="shared" si="32"/>
        <v>0</v>
      </c>
      <c r="CE13" s="60">
        <v>50954.2</v>
      </c>
      <c r="CF13" s="67">
        <f t="shared" si="33"/>
        <v>0</v>
      </c>
      <c r="CG13" s="60">
        <v>52033.3</v>
      </c>
      <c r="CH13" s="67">
        <f t="shared" si="34"/>
        <v>36.700000000004366</v>
      </c>
      <c r="CI13" s="60">
        <v>895348</v>
      </c>
      <c r="CJ13" s="67">
        <f t="shared" si="35"/>
        <v>310</v>
      </c>
      <c r="CK13" s="60">
        <v>645.80999999999995</v>
      </c>
      <c r="CL13" s="64">
        <f t="shared" si="36"/>
        <v>529.99999999997272</v>
      </c>
      <c r="CM13" s="65">
        <f t="shared" si="40"/>
        <v>44.199999999999818</v>
      </c>
      <c r="CN13" s="62">
        <v>0</v>
      </c>
      <c r="CO13" s="62">
        <v>0</v>
      </c>
      <c r="CP13" s="68">
        <v>2167.5</v>
      </c>
      <c r="CQ13" s="67">
        <f>IF((CP13-CP12&lt;0), "",CP13-CP12)</f>
        <v>33.199999999999818</v>
      </c>
      <c r="CR13" s="68">
        <v>11183</v>
      </c>
      <c r="CS13" s="67">
        <f t="shared" si="37"/>
        <v>11</v>
      </c>
      <c r="CT13" s="75">
        <v>3934</v>
      </c>
      <c r="CU13" s="67">
        <f t="shared" si="37"/>
        <v>15</v>
      </c>
      <c r="CV13" s="68">
        <v>10666</v>
      </c>
      <c r="CW13" s="67">
        <f t="shared" si="37"/>
        <v>26</v>
      </c>
    </row>
    <row r="14" spans="1:102" ht="25.5" customHeight="1" thickBot="1" x14ac:dyDescent="0.45">
      <c r="A14" s="63">
        <v>44176</v>
      </c>
      <c r="B14" s="44"/>
      <c r="C14" s="58"/>
      <c r="D14" s="64" t="str">
        <f t="shared" si="0"/>
        <v>0</v>
      </c>
      <c r="E14" s="58"/>
      <c r="F14" s="64" t="str">
        <f t="shared" si="1"/>
        <v>0</v>
      </c>
      <c r="G14" s="58"/>
      <c r="H14" s="64" t="str">
        <f t="shared" si="2"/>
        <v>0</v>
      </c>
      <c r="I14" s="58"/>
      <c r="J14" s="64" t="str">
        <f t="shared" si="3"/>
        <v>0</v>
      </c>
      <c r="K14" s="58"/>
      <c r="L14" s="64" t="str">
        <f t="shared" si="4"/>
        <v>0</v>
      </c>
      <c r="M14" s="58"/>
      <c r="N14" s="64" t="str">
        <f t="shared" si="5"/>
        <v/>
      </c>
      <c r="O14" s="58"/>
      <c r="P14" s="67" t="str">
        <f t="shared" si="43"/>
        <v/>
      </c>
      <c r="Q14" s="58"/>
      <c r="R14" s="67" t="str">
        <f t="shared" si="6"/>
        <v/>
      </c>
      <c r="S14" s="58"/>
      <c r="T14" s="67" t="str">
        <f t="shared" si="7"/>
        <v/>
      </c>
      <c r="U14" s="58"/>
      <c r="V14" s="67" t="str">
        <f t="shared" si="8"/>
        <v/>
      </c>
      <c r="W14" s="58"/>
      <c r="X14" s="65" t="str">
        <f t="shared" si="9"/>
        <v/>
      </c>
      <c r="Y14" s="58"/>
      <c r="Z14" s="65" t="str">
        <f t="shared" si="10"/>
        <v/>
      </c>
      <c r="AA14" s="58"/>
      <c r="AB14" s="65" t="str">
        <f t="shared" si="11"/>
        <v/>
      </c>
      <c r="AC14" s="58"/>
      <c r="AD14" s="65" t="str">
        <f t="shared" si="12"/>
        <v/>
      </c>
      <c r="AE14" s="58"/>
      <c r="AF14" s="65" t="str">
        <f t="shared" si="13"/>
        <v/>
      </c>
      <c r="AG14" s="58"/>
      <c r="AH14" s="67" t="str">
        <f t="shared" si="14"/>
        <v/>
      </c>
      <c r="AI14" s="58"/>
      <c r="AJ14" s="65" t="str">
        <f t="shared" si="15"/>
        <v/>
      </c>
      <c r="AK14" s="58"/>
      <c r="AL14" s="65" t="str">
        <f t="shared" si="15"/>
        <v/>
      </c>
      <c r="AM14" s="58"/>
      <c r="AN14" s="65" t="str">
        <f t="shared" si="15"/>
        <v/>
      </c>
      <c r="AO14" s="58"/>
      <c r="AP14" s="65" t="str">
        <f t="shared" si="15"/>
        <v/>
      </c>
      <c r="AQ14" s="58"/>
      <c r="AR14" s="65" t="str">
        <f t="shared" si="16"/>
        <v/>
      </c>
      <c r="AS14" s="58"/>
      <c r="AT14" s="65" t="str">
        <f t="shared" si="17"/>
        <v/>
      </c>
      <c r="AU14" s="58"/>
      <c r="AV14" s="65" t="str">
        <f t="shared" si="18"/>
        <v/>
      </c>
      <c r="AW14" s="58"/>
      <c r="AX14" s="65" t="str">
        <f t="shared" si="19"/>
        <v/>
      </c>
      <c r="AY14" s="58"/>
      <c r="AZ14" s="65" t="str">
        <f t="shared" si="20"/>
        <v/>
      </c>
      <c r="BA14" s="58"/>
      <c r="BB14" s="65" t="str">
        <f t="shared" si="21"/>
        <v/>
      </c>
      <c r="BC14" s="58"/>
      <c r="BD14" s="65" t="str">
        <f t="shared" si="22"/>
        <v/>
      </c>
      <c r="BE14" s="59"/>
      <c r="BF14" s="67" t="str">
        <f t="shared" si="38"/>
        <v/>
      </c>
      <c r="BG14" s="60"/>
      <c r="BH14" s="65" t="str">
        <f t="shared" si="23"/>
        <v/>
      </c>
      <c r="BI14" s="60"/>
      <c r="BJ14" s="65" t="str">
        <f t="shared" si="39"/>
        <v/>
      </c>
      <c r="BK14" s="60"/>
      <c r="BL14" s="65" t="str">
        <f t="shared" si="24"/>
        <v/>
      </c>
      <c r="BM14" s="60"/>
      <c r="BN14" s="65" t="str">
        <f t="shared" si="25"/>
        <v/>
      </c>
      <c r="BO14" s="60"/>
      <c r="BP14" s="65" t="str">
        <f t="shared" si="26"/>
        <v/>
      </c>
      <c r="BQ14" s="60"/>
      <c r="BR14" s="65" t="str">
        <f t="shared" si="27"/>
        <v/>
      </c>
      <c r="BS14" s="60"/>
      <c r="BT14" s="65" t="str">
        <f t="shared" si="41"/>
        <v/>
      </c>
      <c r="BU14" s="60"/>
      <c r="BV14" s="65" t="str">
        <f t="shared" si="44"/>
        <v/>
      </c>
      <c r="BW14" s="60"/>
      <c r="BX14" s="65" t="str">
        <f t="shared" si="29"/>
        <v/>
      </c>
      <c r="BY14" s="60"/>
      <c r="BZ14" s="67" t="str">
        <f t="shared" si="30"/>
        <v/>
      </c>
      <c r="CA14" s="60"/>
      <c r="CB14" s="67" t="str">
        <f t="shared" si="31"/>
        <v/>
      </c>
      <c r="CC14" s="60"/>
      <c r="CD14" s="67" t="str">
        <f t="shared" si="32"/>
        <v/>
      </c>
      <c r="CE14" s="60"/>
      <c r="CF14" s="67" t="str">
        <f t="shared" si="33"/>
        <v/>
      </c>
      <c r="CG14" s="60"/>
      <c r="CH14" s="67" t="str">
        <f t="shared" si="34"/>
        <v/>
      </c>
      <c r="CI14" s="60"/>
      <c r="CJ14" s="67" t="str">
        <f t="shared" si="35"/>
        <v/>
      </c>
      <c r="CK14" s="60"/>
      <c r="CL14" s="64" t="str">
        <f t="shared" si="36"/>
        <v/>
      </c>
      <c r="CM14" s="65" t="e">
        <f t="shared" si="40"/>
        <v>#VALUE!</v>
      </c>
      <c r="CN14" s="62">
        <v>0</v>
      </c>
      <c r="CO14" s="62">
        <v>0</v>
      </c>
      <c r="CP14" s="68"/>
      <c r="CQ14" s="67" t="str">
        <f t="shared" si="37"/>
        <v/>
      </c>
      <c r="CR14" s="68"/>
      <c r="CS14" s="67" t="str">
        <f t="shared" si="37"/>
        <v/>
      </c>
      <c r="CT14" s="75"/>
      <c r="CU14" s="67" t="str">
        <f t="shared" si="37"/>
        <v/>
      </c>
      <c r="CV14" s="68"/>
      <c r="CW14" s="67" t="str">
        <f t="shared" si="37"/>
        <v/>
      </c>
    </row>
    <row r="15" spans="1:102" ht="25.5" customHeight="1" thickBot="1" x14ac:dyDescent="0.45">
      <c r="A15" s="63">
        <v>44177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8"/>
        <v>0</v>
      </c>
      <c r="BG15" s="60"/>
      <c r="BH15" s="65">
        <f t="shared" si="23"/>
        <v>0</v>
      </c>
      <c r="BI15" s="60"/>
      <c r="BJ15" s="65">
        <f t="shared" si="39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1"/>
        <v>0</v>
      </c>
      <c r="BU15" s="60"/>
      <c r="BV15" s="65">
        <f t="shared" si="44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40"/>
        <v>0</v>
      </c>
      <c r="CN15" s="62">
        <v>0</v>
      </c>
      <c r="CO15" s="62">
        <v>0</v>
      </c>
      <c r="CP15" s="68"/>
      <c r="CQ15" s="67">
        <f t="shared" si="37"/>
        <v>0</v>
      </c>
      <c r="CR15" s="68"/>
      <c r="CS15" s="67">
        <f t="shared" si="37"/>
        <v>0</v>
      </c>
      <c r="CT15" s="75"/>
      <c r="CU15" s="67">
        <f t="shared" si="37"/>
        <v>0</v>
      </c>
      <c r="CV15" s="68"/>
      <c r="CW15" s="67">
        <f t="shared" si="37"/>
        <v>0</v>
      </c>
    </row>
    <row r="16" spans="1:102" ht="25.5" customHeight="1" thickBot="1" x14ac:dyDescent="0.45">
      <c r="A16" s="63">
        <v>44178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8"/>
        <v>0</v>
      </c>
      <c r="BG16" s="60"/>
      <c r="BH16" s="65">
        <f t="shared" si="23"/>
        <v>0</v>
      </c>
      <c r="BI16" s="60"/>
      <c r="BJ16" s="65">
        <f t="shared" si="39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1"/>
        <v>0</v>
      </c>
      <c r="BU16" s="60"/>
      <c r="BV16" s="65">
        <f t="shared" si="44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 t="shared" si="31"/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40"/>
        <v>0</v>
      </c>
      <c r="CN16" s="62">
        <v>0</v>
      </c>
      <c r="CO16" s="62">
        <v>0</v>
      </c>
      <c r="CP16" s="68"/>
      <c r="CQ16" s="67">
        <f t="shared" si="37"/>
        <v>0</v>
      </c>
      <c r="CR16" s="68"/>
      <c r="CS16" s="67">
        <f t="shared" si="37"/>
        <v>0</v>
      </c>
      <c r="CT16" s="75"/>
      <c r="CU16" s="67">
        <f t="shared" si="37"/>
        <v>0</v>
      </c>
      <c r="CV16" s="68"/>
      <c r="CW16" s="67">
        <f t="shared" si="37"/>
        <v>0</v>
      </c>
    </row>
    <row r="17" spans="1:102" ht="25.5" customHeight="1" thickBot="1" x14ac:dyDescent="0.45">
      <c r="A17" s="63">
        <v>44179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8"/>
        <v>0</v>
      </c>
      <c r="BG17" s="60"/>
      <c r="BH17" s="65">
        <f t="shared" si="23"/>
        <v>0</v>
      </c>
      <c r="BI17" s="60"/>
      <c r="BJ17" s="65">
        <f t="shared" si="39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1"/>
        <v>0</v>
      </c>
      <c r="BU17" s="60"/>
      <c r="BV17" s="65">
        <f t="shared" si="44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40"/>
        <v>0</v>
      </c>
      <c r="CN17" s="62">
        <v>0</v>
      </c>
      <c r="CO17" s="62">
        <v>0</v>
      </c>
      <c r="CP17" s="68"/>
      <c r="CQ17" s="67">
        <f t="shared" si="37"/>
        <v>0</v>
      </c>
      <c r="CR17" s="68"/>
      <c r="CS17" s="67">
        <f t="shared" si="37"/>
        <v>0</v>
      </c>
      <c r="CT17" s="75"/>
      <c r="CU17" s="67">
        <f t="shared" si="37"/>
        <v>0</v>
      </c>
      <c r="CV17" s="68"/>
      <c r="CW17" s="67">
        <f t="shared" si="37"/>
        <v>0</v>
      </c>
    </row>
    <row r="18" spans="1:102" ht="25.5" customHeight="1" thickBot="1" x14ac:dyDescent="0.45">
      <c r="A18" s="63">
        <v>44180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8"/>
        <v>0</v>
      </c>
      <c r="BG18" s="60"/>
      <c r="BH18" s="65">
        <f t="shared" si="23"/>
        <v>0</v>
      </c>
      <c r="BI18" s="60"/>
      <c r="BJ18" s="65">
        <f t="shared" si="39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/>
      <c r="BQ18" s="60"/>
      <c r="BR18" s="65">
        <f t="shared" si="27"/>
        <v>0</v>
      </c>
      <c r="BS18" s="60"/>
      <c r="BT18" s="65">
        <f t="shared" si="41"/>
        <v>0</v>
      </c>
      <c r="BU18" s="60"/>
      <c r="BV18" s="65">
        <f t="shared" si="44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40"/>
        <v>0</v>
      </c>
      <c r="CN18" s="62">
        <v>0</v>
      </c>
      <c r="CO18" s="62">
        <v>0</v>
      </c>
      <c r="CP18" s="68"/>
      <c r="CQ18" s="67">
        <f t="shared" si="37"/>
        <v>0</v>
      </c>
      <c r="CR18" s="68"/>
      <c r="CS18" s="67">
        <f t="shared" si="37"/>
        <v>0</v>
      </c>
      <c r="CT18" s="75"/>
      <c r="CU18" s="67">
        <f t="shared" si="37"/>
        <v>0</v>
      </c>
      <c r="CV18" s="68"/>
      <c r="CW18" s="67">
        <f t="shared" si="37"/>
        <v>0</v>
      </c>
    </row>
    <row r="19" spans="1:102" ht="25.5" customHeight="1" thickBot="1" x14ac:dyDescent="0.45">
      <c r="A19" s="63">
        <v>44181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8"/>
        <v>0</v>
      </c>
      <c r="BG19" s="60"/>
      <c r="BH19" s="65">
        <f t="shared" si="23"/>
        <v>0</v>
      </c>
      <c r="BI19" s="60"/>
      <c r="BJ19" s="65">
        <f t="shared" si="39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1"/>
        <v>0</v>
      </c>
      <c r="BU19" s="60"/>
      <c r="BV19" s="65">
        <f t="shared" si="44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0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2" ht="25.5" customHeight="1" thickBot="1" x14ac:dyDescent="0.45">
      <c r="A20" s="63">
        <v>44182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8"/>
        <v>0</v>
      </c>
      <c r="BG20" s="60"/>
      <c r="BH20" s="65">
        <f t="shared" si="23"/>
        <v>0</v>
      </c>
      <c r="BI20" s="60"/>
      <c r="BJ20" s="65">
        <f t="shared" si="39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1"/>
        <v>0</v>
      </c>
      <c r="BU20" s="60"/>
      <c r="BV20" s="65">
        <f t="shared" si="44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0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2" ht="25.5" customHeight="1" thickBot="1" x14ac:dyDescent="0.45">
      <c r="A21" s="63">
        <v>44183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8"/>
        <v>0</v>
      </c>
      <c r="BG21" s="60"/>
      <c r="BH21" s="65">
        <f t="shared" si="23"/>
        <v>0</v>
      </c>
      <c r="BI21" s="60"/>
      <c r="BJ21" s="65">
        <f t="shared" si="39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1"/>
        <v>0</v>
      </c>
      <c r="BU21" s="60"/>
      <c r="BV21" s="65">
        <f t="shared" si="44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0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2" ht="25.5" customHeight="1" thickBot="1" x14ac:dyDescent="0.45">
      <c r="A22" s="63">
        <v>44184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v>367.67</v>
      </c>
      <c r="BA22" s="58"/>
      <c r="BB22" s="65">
        <v>233.95</v>
      </c>
      <c r="BC22" s="58"/>
      <c r="BD22" s="65">
        <f t="shared" si="22"/>
        <v>0</v>
      </c>
      <c r="BE22" s="59"/>
      <c r="BF22" s="67">
        <f t="shared" si="38"/>
        <v>0</v>
      </c>
      <c r="BG22" s="60"/>
      <c r="BH22" s="65">
        <f t="shared" si="23"/>
        <v>0</v>
      </c>
      <c r="BI22" s="60"/>
      <c r="BJ22" s="65">
        <f t="shared" si="39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1"/>
        <v>0</v>
      </c>
      <c r="BU22" s="60"/>
      <c r="BV22" s="65">
        <f t="shared" si="44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0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2" ht="25.5" customHeight="1" thickBot="1" x14ac:dyDescent="0.45">
      <c r="A23" s="63">
        <v>44185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8"/>
        <v>0</v>
      </c>
      <c r="BG23" s="60"/>
      <c r="BH23" s="65">
        <f t="shared" si="23"/>
        <v>0</v>
      </c>
      <c r="BI23" s="60"/>
      <c r="BJ23" s="65">
        <f t="shared" si="39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1"/>
        <v>0</v>
      </c>
      <c r="BU23" s="60"/>
      <c r="BV23" s="65">
        <f t="shared" si="44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0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2" ht="25.5" customHeight="1" thickBot="1" x14ac:dyDescent="0.45">
      <c r="A24" s="63">
        <v>44186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8"/>
        <v>0</v>
      </c>
      <c r="BG24" s="60"/>
      <c r="BH24" s="65">
        <f t="shared" si="23"/>
        <v>0</v>
      </c>
      <c r="BI24" s="60"/>
      <c r="BJ24" s="65">
        <f t="shared" si="39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1"/>
        <v>0</v>
      </c>
      <c r="BU24" s="60"/>
      <c r="BV24" s="65">
        <f t="shared" si="44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0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2" ht="25.5" customHeight="1" thickBot="1" x14ac:dyDescent="0.45">
      <c r="A25" s="63">
        <v>44187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8"/>
        <v>0</v>
      </c>
      <c r="BG25" s="60"/>
      <c r="BH25" s="65">
        <f t="shared" si="23"/>
        <v>0</v>
      </c>
      <c r="BI25" s="60"/>
      <c r="BJ25" s="65">
        <f t="shared" si="39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1"/>
        <v>0</v>
      </c>
      <c r="BU25" s="60"/>
      <c r="BV25" s="65">
        <f t="shared" si="44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0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8"/>
        <v>0</v>
      </c>
      <c r="BG26" s="60"/>
      <c r="BH26" s="65">
        <f t="shared" si="23"/>
        <v>0</v>
      </c>
      <c r="BI26" s="60"/>
      <c r="BJ26" s="65">
        <f t="shared" si="39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1"/>
        <v>0</v>
      </c>
      <c r="BU26" s="60"/>
      <c r="BV26" s="65">
        <f t="shared" si="44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0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2" ht="25.5" customHeight="1" thickBot="1" x14ac:dyDescent="0.45">
      <c r="A27" s="63">
        <v>44189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8"/>
        <v>0</v>
      </c>
      <c r="BG27" s="60"/>
      <c r="BH27" s="65">
        <f t="shared" si="23"/>
        <v>0</v>
      </c>
      <c r="BI27" s="60"/>
      <c r="BJ27" s="65">
        <f t="shared" si="39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1"/>
        <v>0</v>
      </c>
      <c r="BU27" s="60"/>
      <c r="BV27" s="65">
        <f t="shared" si="44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0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2" ht="25.5" customHeight="1" thickBot="1" x14ac:dyDescent="0.45">
      <c r="A28" s="63">
        <v>44190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8"/>
        <v>0</v>
      </c>
      <c r="BG28" s="60"/>
      <c r="BH28" s="65">
        <f t="shared" si="23"/>
        <v>0</v>
      </c>
      <c r="BI28" s="60"/>
      <c r="BJ28" s="65">
        <f t="shared" si="39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1"/>
        <v>0</v>
      </c>
      <c r="BU28" s="60"/>
      <c r="BV28" s="65">
        <f t="shared" si="44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0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2" ht="25.5" customHeight="1" thickBot="1" x14ac:dyDescent="0.45">
      <c r="A29" s="63">
        <v>44191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8"/>
        <v>0</v>
      </c>
      <c r="BG29" s="60"/>
      <c r="BH29" s="65">
        <f t="shared" si="23"/>
        <v>0</v>
      </c>
      <c r="BI29" s="60"/>
      <c r="BJ29" s="65">
        <f t="shared" si="39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1"/>
        <v>0</v>
      </c>
      <c r="BU29" s="60"/>
      <c r="BV29" s="65">
        <f t="shared" si="44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0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2" ht="25.5" customHeight="1" thickBot="1" x14ac:dyDescent="0.45">
      <c r="A30" s="63">
        <v>44192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/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8"/>
        <v>0</v>
      </c>
      <c r="BG30" s="60"/>
      <c r="BH30" s="65">
        <f t="shared" si="23"/>
        <v>0</v>
      </c>
      <c r="BI30" s="60"/>
      <c r="BJ30" s="65">
        <f t="shared" si="39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1"/>
        <v>0</v>
      </c>
      <c r="BU30" s="60"/>
      <c r="BV30" s="65">
        <f t="shared" si="44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0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2" ht="25.5" customHeight="1" thickBot="1" x14ac:dyDescent="0.45">
      <c r="A31" s="63">
        <v>44193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8"/>
        <v>0</v>
      </c>
      <c r="BG31" s="60"/>
      <c r="BH31" s="65">
        <f t="shared" si="23"/>
        <v>0</v>
      </c>
      <c r="BI31" s="60"/>
      <c r="BJ31" s="65">
        <f t="shared" si="39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1"/>
        <v>0</v>
      </c>
      <c r="BU31" s="60"/>
      <c r="BV31" s="65">
        <f t="shared" si="44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>IF((CE31-CE30&lt;0), "",CE31-CE30)</f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0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2" ht="25.5" customHeight="1" thickBot="1" x14ac:dyDescent="0.45">
      <c r="A32" s="63">
        <v>44194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8"/>
        <v>0</v>
      </c>
      <c r="BG32" s="60"/>
      <c r="BH32" s="65">
        <f t="shared" si="23"/>
        <v>0</v>
      </c>
      <c r="BI32" s="60"/>
      <c r="BJ32" s="65">
        <f t="shared" si="39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1"/>
        <v>0</v>
      </c>
      <c r="BU32" s="60"/>
      <c r="BV32" s="65">
        <f t="shared" si="44"/>
        <v>0</v>
      </c>
      <c r="BW32" s="60"/>
      <c r="BX32" s="65">
        <f t="shared" si="29"/>
        <v>0</v>
      </c>
      <c r="BY32" s="60">
        <v>51904</v>
      </c>
      <c r="BZ32" s="67">
        <f t="shared" si="30"/>
        <v>51904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>IF((CE32-CE31&lt;0), "",CE32-CE31)</f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0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44195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8"/>
        <v>0</v>
      </c>
      <c r="BG33" s="60"/>
      <c r="BH33" s="65">
        <f t="shared" si="23"/>
        <v>0</v>
      </c>
      <c r="BI33" s="60"/>
      <c r="BJ33" s="65">
        <f t="shared" si="39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1"/>
        <v>0</v>
      </c>
      <c r="BU33" s="60"/>
      <c r="BV33" s="65">
        <f t="shared" si="44"/>
        <v>0</v>
      </c>
      <c r="BW33" s="60"/>
      <c r="BX33" s="65">
        <f t="shared" si="29"/>
        <v>0</v>
      </c>
      <c r="BY33" s="60"/>
      <c r="BZ33" s="67" t="str">
        <f t="shared" si="30"/>
        <v/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>IF((CE33-CE32&lt;0), "",CE33-CE32)</f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0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44196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8"/>
        <v>0</v>
      </c>
      <c r="BG34" s="60"/>
      <c r="BH34" s="65">
        <f t="shared" si="23"/>
        <v>0</v>
      </c>
      <c r="BI34" s="60"/>
      <c r="BJ34" s="65">
        <f t="shared" si="39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1"/>
        <v>0</v>
      </c>
      <c r="BU34" s="60"/>
      <c r="BV34" s="65">
        <f t="shared" si="44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0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1"/>
        <v>0</v>
      </c>
      <c r="BV35" s="65">
        <f t="shared" si="44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R22" sqref="R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1</v>
      </c>
      <c r="O9" s="39">
        <v>50</v>
      </c>
      <c r="P9" s="39">
        <v>83</v>
      </c>
      <c r="Q9" s="39">
        <v>3040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44168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1</v>
      </c>
      <c r="O10" s="39">
        <v>46</v>
      </c>
      <c r="P10" s="39">
        <v>83</v>
      </c>
      <c r="Q10" s="39">
        <v>3043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44169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1</v>
      </c>
      <c r="O11" s="39">
        <v>42</v>
      </c>
      <c r="P11" s="39">
        <v>83</v>
      </c>
      <c r="Q11" s="39">
        <v>3047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44170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1</v>
      </c>
      <c r="O12" s="39">
        <v>38</v>
      </c>
      <c r="P12" s="39">
        <v>83</v>
      </c>
      <c r="Q12" s="39">
        <v>3051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44171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1</v>
      </c>
      <c r="O13" s="39">
        <v>32</v>
      </c>
      <c r="P13" s="39">
        <v>83</v>
      </c>
      <c r="Q13" s="39">
        <v>3053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44172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1</v>
      </c>
      <c r="O14" s="39">
        <v>30</v>
      </c>
      <c r="P14" s="39">
        <v>83</v>
      </c>
      <c r="Q14" s="39">
        <v>3057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44173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1</v>
      </c>
      <c r="O15" s="39">
        <v>25</v>
      </c>
      <c r="P15" s="39">
        <v>83</v>
      </c>
      <c r="Q15" s="39">
        <v>3061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44174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1</v>
      </c>
      <c r="O16" s="39">
        <v>20</v>
      </c>
      <c r="P16" s="39">
        <v>83</v>
      </c>
      <c r="Q16" s="39">
        <v>3064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44175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1</v>
      </c>
      <c r="O17" s="39">
        <v>18</v>
      </c>
      <c r="P17" s="39">
        <v>83</v>
      </c>
      <c r="Q17" s="39">
        <v>3068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44176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-196</v>
      </c>
    </row>
    <row r="19" spans="1:20" x14ac:dyDescent="0.25">
      <c r="A19" s="73">
        <v>44177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44178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44179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44180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44181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44182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44183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44184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44185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44186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44187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44188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44189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44190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44191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44192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44193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44194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44195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44196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44197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2020-12-11T13:10:30Z</dcterms:modified>
</cp:coreProperties>
</file>