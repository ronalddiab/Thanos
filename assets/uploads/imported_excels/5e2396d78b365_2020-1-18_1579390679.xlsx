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359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20" i="7" l="1"/>
  <c r="BP18" i="7" l="1"/>
  <c r="CF11" i="7" l="1"/>
  <c r="T7" i="7"/>
  <c r="M6" i="6" l="1"/>
  <c r="M5" i="6"/>
  <c r="U38" i="7"/>
  <c r="T8" i="7"/>
  <c r="T9" i="7"/>
  <c r="T5" i="7"/>
  <c r="T6" i="7"/>
  <c r="T10" i="7"/>
  <c r="T11" i="7"/>
  <c r="R38" i="7"/>
  <c r="N7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<sst xmlns="http://schemas.openxmlformats.org/spreadsheetml/2006/main" count="296" uniqueCount="138">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</sst>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9260.0000000000673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78.3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9949.9999999997199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79</v>
      </c>
      <c r="J10" s="11">
        <f t="shared" si="3"/>
        <v>10.487297712684205</v>
      </c>
      <c r="K10" s="13">
        <f>'FS Desroches Daily'!CN12</f>
        <v>24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9809.9999999999909</v>
      </c>
      <c r="F11" s="11">
        <f t="shared" si="1"/>
        <v>0.58765030286592534</v>
      </c>
      <c r="G11" s="12">
        <f>(Submetering!AX11+Submetering!AY11+Submetering!AZ11+Submetering!BA11+Submetering!BB11)</f>
        <v>38.461500000000001</v>
      </c>
      <c r="H11" s="11">
        <f t="shared" si="2"/>
        <v>0.99</v>
      </c>
      <c r="I11" s="12">
        <f>'FS Desroches Daily'!CM13</f>
        <v>86</v>
      </c>
      <c r="J11" s="11">
        <f t="shared" si="3"/>
        <v>10.487297712684205</v>
      </c>
      <c r="K11" s="13">
        <f>'FS Desroches Daily'!CN13</f>
        <v>28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9020.0000000004893</v>
      </c>
      <c r="F12" s="11">
        <f t="shared" si="1"/>
        <v>0.58765030286592534</v>
      </c>
      <c r="G12" s="12">
        <f>(Submetering!AX12+Submetering!AY12+Submetering!AZ12+Submetering!BA12+Submetering!BB12)</f>
        <v>32.966999999999999</v>
      </c>
      <c r="H12" s="11">
        <f t="shared" si="2"/>
        <v>0.99</v>
      </c>
      <c r="I12" s="12">
        <f>'FS Desroches Daily'!CM14</f>
        <v>81</v>
      </c>
      <c r="J12" s="11">
        <f t="shared" si="3"/>
        <v>10.487297712684205</v>
      </c>
      <c r="K12" s="13">
        <f>'FS Desroches Daily'!CN14</f>
        <v>27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9869.9999999999363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95.7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10409.999999999702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99</v>
      </c>
      <c r="J14" s="11">
        <f t="shared" si="3"/>
        <v>10.487297712684205</v>
      </c>
      <c r="K14" s="13">
        <f>'FS Desroches Daily'!CN16</f>
        <v>18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8610.0000000000873</v>
      </c>
      <c r="F15" s="11">
        <f t="shared" si="1"/>
        <v>0.58765030286592534</v>
      </c>
      <c r="G15" s="12">
        <f>(Submetering!AX15+Submetering!AY15+Submetering!AZ15+Submetering!BA15+Submetering!BB15)</f>
        <v>25.640999999999995</v>
      </c>
      <c r="H15" s="11">
        <f t="shared" si="2"/>
        <v>0.99</v>
      </c>
      <c r="I15" s="12">
        <f>'FS Desroches Daily'!CM17</f>
        <v>81.2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9200.0000000000073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60</v>
      </c>
      <c r="J16" s="11">
        <f t="shared" si="3"/>
        <v>10.487297712684205</v>
      </c>
      <c r="K16" s="13">
        <f>'FS Desroches Daily'!CN18</f>
        <v>21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9760.0000000002346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70</v>
      </c>
      <c r="J17" s="11">
        <f t="shared" si="3"/>
        <v>10.487297712684205</v>
      </c>
      <c r="K17" s="13">
        <f>'FS Desroches Daily'!CN19</f>
        <v>11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9950.0000000001419</v>
      </c>
      <c r="F18" s="11">
        <f t="shared" si="1"/>
        <v>0.58765030286592534</v>
      </c>
      <c r="G18" s="12">
        <f>(Submetering!AX18+Submetering!AY18+Submetering!AZ18+Submetering!BA18+Submetering!BB18)</f>
        <v>32.966999999999999</v>
      </c>
      <c r="H18" s="11">
        <f t="shared" si="2"/>
        <v>0.99</v>
      </c>
      <c r="I18" s="12">
        <f>'FS Desroches Daily'!CM20</f>
        <v>70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9050.0000000000982</v>
      </c>
      <c r="F19" s="11">
        <f t="shared" si="1"/>
        <v>0.58765030286592534</v>
      </c>
      <c r="G19" s="12">
        <f>(Submetering!AX19+Submetering!AY19+Submetering!AZ19+Submetering!BA19+Submetering!BB19)</f>
        <v>27.472499999999997</v>
      </c>
      <c r="H19" s="11">
        <f t="shared" si="2"/>
        <v>0.99</v>
      </c>
      <c r="I19" s="12">
        <f>'FS Desroches Daily'!CM21</f>
        <v>63</v>
      </c>
      <c r="J19" s="11">
        <f t="shared" si="3"/>
        <v>10.487297712684205</v>
      </c>
      <c r="K19" s="13">
        <f>'FS Desroches Daily'!CN21</f>
        <v>11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 t="e">
        <f>Submetering!E20+Submetering!F20+Submetering!G20+Submetering!H20-Submetering!AV20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>
        <f>'FS Desroches Daily'!T7</f>
        <v>1490</v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>
        <f>'FS Desroches Daily'!T10</f>
        <v>1181</v>
      </c>
      <c r="N8" s="35">
        <f>'FS Desroches Daily'!V10</f>
        <v>561.29999999998836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1800.0000000000239</v>
      </c>
      <c r="F9" s="36">
        <f>'FS Desroches Daily'!F11</f>
        <v>3499.9999999998367</v>
      </c>
      <c r="G9" s="35">
        <f>'FS Desroches Daily'!H11</f>
        <v>2900.0000000003465</v>
      </c>
      <c r="H9" s="36">
        <f>'FS Desroches Daily'!J11</f>
        <v>1599.9999999998238</v>
      </c>
      <c r="I9" s="35">
        <f>'FS Desroches Daily'!L11</f>
        <v>2400.0000000001796</v>
      </c>
      <c r="J9" s="36">
        <f>'FS Desroches Daily'!N11</f>
        <v>1639.9999999999864</v>
      </c>
      <c r="K9" s="13">
        <f>'FS Desroches Daily'!P11</f>
        <v>19</v>
      </c>
      <c r="L9" s="35">
        <f>'FS Desroches Daily'!R11</f>
        <v>8</v>
      </c>
      <c r="M9" s="35">
        <f>'FS Desroches Daily'!T11</f>
        <v>1489.3000000000466</v>
      </c>
      <c r="N9" s="35">
        <f>'FS Desroches Daily'!V11</f>
        <v>482.5</v>
      </c>
      <c r="O9" s="35">
        <f>'FS Desroches Daily'!X11</f>
        <v>410.00000000002501</v>
      </c>
      <c r="P9" s="35">
        <f>'FS Desroches Daily'!Z11</f>
        <v>3099.9999999998809</v>
      </c>
      <c r="Q9" s="35">
        <f>'FS Desroches Daily'!AB11</f>
        <v>430.00000000000682</v>
      </c>
      <c r="R9" s="35">
        <f>'FS Desroches Daily'!AD11</f>
        <v>360.00000000001364</v>
      </c>
      <c r="S9" s="35">
        <f>'FS Desroches Daily'!AF11</f>
        <v>750</v>
      </c>
      <c r="T9" s="35">
        <f>'FS Desroches Daily'!AH11</f>
        <v>1.5</v>
      </c>
      <c r="U9" s="39">
        <f>'FS Desroches Daily'!AJ11</f>
        <v>310.00000000000227</v>
      </c>
      <c r="V9" s="39">
        <f>'FS Desroches Daily'!AL11</f>
        <v>0.20999999999999375</v>
      </c>
      <c r="W9" s="39">
        <f>'FS Desroches Daily'!AN11</f>
        <v>0.14000000000000057</v>
      </c>
      <c r="X9" s="39">
        <f>'FS Desroches Daily'!AP11</f>
        <v>0.10000000000000853</v>
      </c>
      <c r="Y9" s="39">
        <f>'FS Desroches Daily'!AR11</f>
        <v>39.999999999992042</v>
      </c>
      <c r="Z9" s="39">
        <f>'FS Desroches Daily'!AT11</f>
        <v>90.000000000031832</v>
      </c>
      <c r="AA9" s="39">
        <f>'FS Desroches Daily'!AT11</f>
        <v>90.000000000031832</v>
      </c>
      <c r="AB9" s="39">
        <f>'FS Desroches Daily'!AV11</f>
        <v>210.00000000000796</v>
      </c>
      <c r="AC9" s="39">
        <f>'FS Desroches Daily'!AZ11</f>
        <v>39.99999999996362</v>
      </c>
      <c r="AD9" s="39">
        <f>'FS Desroches Daily'!BB11</f>
        <v>60.000000000002274</v>
      </c>
      <c r="AE9" s="39">
        <f>'FS Desroches Daily'!BD11</f>
        <v>229.99999999998977</v>
      </c>
      <c r="AF9" s="35">
        <f>'FS Desroches Daily'!BF11</f>
        <v>62</v>
      </c>
      <c r="AG9" s="36">
        <f>'FS Desroches Daily'!BH11</f>
        <v>39.999999999992042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30.000000000001137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30.000000000001137</v>
      </c>
      <c r="AN9" s="36">
        <f>'FS Desroches Daily'!BV11</f>
        <v>37</v>
      </c>
      <c r="AO9" s="36">
        <f>'FS Desroches Daily'!BX11</f>
        <v>39.999999999992042</v>
      </c>
      <c r="AP9" s="36">
        <f>'FS Desroches Daily'!BZ11</f>
        <v>61</v>
      </c>
      <c r="AQ9" s="35">
        <f>'FS Desroches Daily'!CB11</f>
        <v>62.700000000000728</v>
      </c>
      <c r="AR9" s="35">
        <f>'FS Desroches Daily'!CD11</f>
        <v>8.5</v>
      </c>
      <c r="AS9" s="35">
        <f>'FS Desroches Daily'!CF11</f>
        <v>0.9000000000005457</v>
      </c>
      <c r="AT9" s="35">
        <f>'FS Desroches Daily'!CH11</f>
        <v>64.69999999999709</v>
      </c>
      <c r="AU9" s="35">
        <f>'FS Desroches Daily'!CJ11</f>
        <v>320</v>
      </c>
      <c r="AV9" s="35">
        <f>'FS Desroches Daily'!CL11</f>
        <v>539.99999999996362</v>
      </c>
      <c r="AW9" s="35">
        <f>'FS Desroches Daily'!CM11</f>
        <v>78.3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5.4944999999999995</v>
      </c>
      <c r="BC9" s="13">
        <f>'FS Desroches Daily'!CN11</f>
        <v>23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2099.9999999999909</v>
      </c>
      <c r="F10" s="36">
        <f>'FS Desroches Daily'!F12</f>
        <v>3600.0000000000477</v>
      </c>
      <c r="G10" s="35">
        <f>'FS Desroches Daily'!H12</f>
        <v>2999.9999999996694</v>
      </c>
      <c r="H10" s="36">
        <f>'FS Desroches Daily'!J12</f>
        <v>1800.0000000000239</v>
      </c>
      <c r="I10" s="35">
        <f>'FS Desroches Daily'!L12</f>
        <v>2799.9999999999136</v>
      </c>
      <c r="J10" s="36">
        <f>'FS Desroches Daily'!N12</f>
        <v>1949.9999999999318</v>
      </c>
      <c r="K10" s="13">
        <f>'FS Desroches Daily'!P12</f>
        <v>20</v>
      </c>
      <c r="L10" s="35">
        <f>'FS Desroches Daily'!R12</f>
        <v>9</v>
      </c>
      <c r="M10" s="35">
        <f>'FS Desroches Daily'!T12</f>
        <v>1233.1999999999534</v>
      </c>
      <c r="N10" s="35">
        <f>'FS Desroches Daily'!V12</f>
        <v>588</v>
      </c>
      <c r="O10" s="35">
        <f>'FS Desroches Daily'!X12</f>
        <v>419.99999999995907</v>
      </c>
      <c r="P10" s="35">
        <f>'FS Desroches Daily'!Z12</f>
        <v>3000.0000000001137</v>
      </c>
      <c r="Q10" s="35">
        <f>'FS Desroches Daily'!AB12</f>
        <v>530.00000000002956</v>
      </c>
      <c r="R10" s="35">
        <f>'FS Desroches Daily'!AD12</f>
        <v>400.00000000000568</v>
      </c>
      <c r="S10" s="35">
        <f>'FS Desroches Daily'!AF12</f>
        <v>759.99999999999091</v>
      </c>
      <c r="T10" s="35">
        <f>'FS Desroches Daily'!AH12</f>
        <v>1.5999999999999091</v>
      </c>
      <c r="U10" s="39">
        <f>'FS Desroches Daily'!AJ12</f>
        <v>340.00000000003183</v>
      </c>
      <c r="V10" s="39">
        <f>'FS Desroches Daily'!AL12</f>
        <v>0.21000000000000796</v>
      </c>
      <c r="W10" s="39">
        <f>'FS Desroches Daily'!AN12</f>
        <v>0.15999999999999659</v>
      </c>
      <c r="X10" s="39">
        <f>'FS Desroches Daily'!AP12</f>
        <v>0.11999999999999034</v>
      </c>
      <c r="Y10" s="39">
        <f>'FS Desroches Daily'!AR12</f>
        <v>50.000000000011369</v>
      </c>
      <c r="Z10" s="39">
        <f>'FS Desroches Daily'!AT12</f>
        <v>89.999999999974989</v>
      </c>
      <c r="AA10" s="39">
        <f>'FS Desroches Daily'!AT12</f>
        <v>89.999999999974989</v>
      </c>
      <c r="AB10" s="39">
        <f>'FS Desroches Daily'!AV12</f>
        <v>219.99999999999886</v>
      </c>
      <c r="AC10" s="39">
        <f>'FS Desroches Daily'!AZ12</f>
        <v>50.000000000011369</v>
      </c>
      <c r="AD10" s="39">
        <f>'FS Desroches Daily'!BB12</f>
        <v>70.000000000050022</v>
      </c>
      <c r="AE10" s="39">
        <f>'FS Desroches Daily'!BD12</f>
        <v>219.99999999999886</v>
      </c>
      <c r="AF10" s="35">
        <f>'FS Desroches Daily'!BF12</f>
        <v>63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60.000000000002274</v>
      </c>
      <c r="AJ10" s="36">
        <f>'FS Desroches Daily'!BN12</f>
        <v>40.000000000020464</v>
      </c>
      <c r="AK10" s="36">
        <f>'FS Desroches Daily'!BP12</f>
        <v>50.000000000011369</v>
      </c>
      <c r="AL10" s="36">
        <f>'FS Desroches Daily'!BR12</f>
        <v>38</v>
      </c>
      <c r="AM10" s="36">
        <f>'FS Desroches Daily'!BT12</f>
        <v>39.999999999992042</v>
      </c>
      <c r="AN10" s="36">
        <f>'FS Desroches Daily'!BV12</f>
        <v>37</v>
      </c>
      <c r="AO10" s="36">
        <f>'FS Desroches Daily'!BX12</f>
        <v>50.000000000011369</v>
      </c>
      <c r="AP10" s="36">
        <f>'FS Desroches Daily'!BZ12</f>
        <v>53</v>
      </c>
      <c r="AQ10" s="35">
        <f>'FS Desroches Daily'!CB12</f>
        <v>51.700000000000728</v>
      </c>
      <c r="AR10" s="35">
        <f>'FS Desroches Daily'!CD12</f>
        <v>9.2999999999992724</v>
      </c>
      <c r="AS10" s="35">
        <f>'FS Desroches Daily'!CF12</f>
        <v>6.3000000000001819</v>
      </c>
      <c r="AT10" s="35">
        <f>'FS Desroches Daily'!CH12</f>
        <v>70.5</v>
      </c>
      <c r="AU10" s="35">
        <f>'FS Desroches Daily'!CJ12</f>
        <v>363</v>
      </c>
      <c r="AV10" s="35">
        <f>'FS Desroches Daily'!CL12</f>
        <v>550.00000000001137</v>
      </c>
      <c r="AW10" s="35">
        <f>'FS Desroches Daily'!CM12</f>
        <v>79</v>
      </c>
      <c r="AX10" s="35">
        <f>IF(LPG!F17-LPG!F16&lt;0,"0",(LPG!F17-LPG!F16)*1.8315)</f>
        <v>12.820499999999999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24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2000.0000000000018</v>
      </c>
      <c r="F11" s="36">
        <f>'FS Desroches Daily'!F13</f>
        <v>3499.9999999998367</v>
      </c>
      <c r="G11" s="35">
        <f>'FS Desroches Daily'!H13</f>
        <v>3200.0000000000919</v>
      </c>
      <c r="H11" s="36">
        <f>'FS Desroches Daily'!J13</f>
        <v>1700.0000000000348</v>
      </c>
      <c r="I11" s="35">
        <f>'FS Desroches Daily'!L13</f>
        <v>2499.9999999999468</v>
      </c>
      <c r="J11" s="36">
        <f>'FS Desroches Daily'!N13</f>
        <v>1930.0000000000637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1326</v>
      </c>
      <c r="N11" s="35">
        <f>'FS Desroches Daily'!V13</f>
        <v>498</v>
      </c>
      <c r="O11" s="35">
        <f>'FS Desroches Daily'!X13</f>
        <v>460.00000000003638</v>
      </c>
      <c r="P11" s="35">
        <f>'FS Desroches Daily'!Z13</f>
        <v>3099.9999999998809</v>
      </c>
      <c r="Q11" s="35">
        <f>'FS Desroches Daily'!AB13</f>
        <v>529.99999999997272</v>
      </c>
      <c r="R11" s="35">
        <f>'FS Desroches Daily'!AD13</f>
        <v>479.99999999996135</v>
      </c>
      <c r="S11" s="35">
        <f>'FS Desroches Daily'!AF13</f>
        <v>820.00000000005002</v>
      </c>
      <c r="T11" s="35">
        <f>'FS Desroches Daily'!AH13</f>
        <v>1.6000000000000227</v>
      </c>
      <c r="U11" s="39">
        <f>'FS Desroches Daily'!AJ13</f>
        <v>329.99999999998408</v>
      </c>
      <c r="V11" s="39">
        <f>'FS Desroches Daily'!AL13</f>
        <v>0.17000000000000171</v>
      </c>
      <c r="W11" s="39">
        <f>'FS Desroches Daily'!AN13</f>
        <v>0.26000000000000512</v>
      </c>
      <c r="X11" s="39">
        <f>'FS Desroches Daily'!AP13</f>
        <v>0.12000000000000455</v>
      </c>
      <c r="Y11" s="39">
        <f>'FS Desroches Daily'!AR13</f>
        <v>59.999999999973852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239.99999999998067</v>
      </c>
      <c r="AC11" s="39">
        <f>'FS Desroches Daily'!AZ13</f>
        <v>50.000000000011369</v>
      </c>
      <c r="AD11" s="39">
        <f>'FS Desroches Daily'!BB13</f>
        <v>60.000000000002274</v>
      </c>
      <c r="AE11" s="39">
        <f>'FS Desroches Daily'!BD13</f>
        <v>259.99999999999091</v>
      </c>
      <c r="AF11" s="35">
        <f>'FS Desroches Daily'!BF13</f>
        <v>64</v>
      </c>
      <c r="AG11" s="36">
        <f>'FS Desroches Daily'!BH13</f>
        <v>39.999999999992042</v>
      </c>
      <c r="AH11" s="36">
        <f>'FS Desroches Daily'!BJ13</f>
        <v>60.000000000002274</v>
      </c>
      <c r="AI11" s="36">
        <f>'FS Desroches Daily'!BL13</f>
        <v>50.000000000011369</v>
      </c>
      <c r="AJ11" s="36">
        <f>'FS Desroches Daily'!BN13</f>
        <v>30.000000000001137</v>
      </c>
      <c r="AK11" s="36">
        <f>'FS Desroches Daily'!BP13</f>
        <v>60.000000000002274</v>
      </c>
      <c r="AL11" s="36">
        <f>'FS Desroches Daily'!BR13</f>
        <v>31</v>
      </c>
      <c r="AM11" s="36">
        <f>'FS Desroches Daily'!BT13</f>
        <v>50.000000000011369</v>
      </c>
      <c r="AN11" s="36">
        <f>'FS Desroches Daily'!BV13</f>
        <v>32</v>
      </c>
      <c r="AO11" s="36">
        <f>'FS Desroches Daily'!BX13</f>
        <v>60.000000000002274</v>
      </c>
      <c r="AP11" s="36">
        <f>'FS Desroches Daily'!BZ13</f>
        <v>54</v>
      </c>
      <c r="AQ11" s="35">
        <f>'FS Desroches Daily'!CB13</f>
        <v>31.299999999999272</v>
      </c>
      <c r="AR11" s="35">
        <f>'FS Desroches Daily'!CD13</f>
        <v>10</v>
      </c>
      <c r="AS11" s="35">
        <f>'FS Desroches Daily'!CF13</f>
        <v>7.0999999999994543</v>
      </c>
      <c r="AT11" s="35">
        <f>'FS Desroches Daily'!CH13</f>
        <v>54</v>
      </c>
      <c r="AU11" s="35">
        <f>'FS Desroches Daily'!CJ13</f>
        <v>309</v>
      </c>
      <c r="AV11" s="35">
        <f>'FS Desroches Daily'!CL13</f>
        <v>589.99999999997499</v>
      </c>
      <c r="AW11" s="35">
        <f>'FS Desroches Daily'!CM13</f>
        <v>86</v>
      </c>
      <c r="AX11" s="35">
        <f>IF(LPG!F18-LPG!F17&lt;0,"0",(LPG!F18-LPG!F17)*1.8315)</f>
        <v>14.651999999999999</v>
      </c>
      <c r="AY11" s="35">
        <f>IF(LPG!H18-LPG!H17&lt;0,"0",(LPG!H18-LPG!H17)*1.8315)</f>
        <v>1.8314999999999999</v>
      </c>
      <c r="AZ11" s="35">
        <f>IF(LPG!J18-LPG!J17&lt;0,"0",(LPG!J18-LPG!J17)*1.8315)</f>
        <v>7.3259999999999996</v>
      </c>
      <c r="BA11" s="35">
        <f>IF(LPG!M18-LPG!M17&lt;0,"0",(LPG!M18-LPG!M17)*1.8315)</f>
        <v>7.3259999999999996</v>
      </c>
      <c r="BB11" s="35">
        <f>IF(LPG!Q18-LPG!Q17&lt;0,"0",(LPG!Q18-LPG!Q17)*1.8315)</f>
        <v>7.3259999999999996</v>
      </c>
      <c r="BC11" s="13">
        <f>'FS Desroches Daily'!CN13</f>
        <v>28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1900.0000000000127</v>
      </c>
      <c r="F12" s="36">
        <f>'FS Desroches Daily'!F14</f>
        <v>3300.0000000003029</v>
      </c>
      <c r="G12" s="35">
        <f>'FS Desroches Daily'!H14</f>
        <v>2800.0000000001355</v>
      </c>
      <c r="H12" s="36">
        <f>'FS Desroches Daily'!J14</f>
        <v>1500.0000000000568</v>
      </c>
      <c r="I12" s="35">
        <f>'FS Desroches Daily'!L14</f>
        <v>2299.9999999999686</v>
      </c>
      <c r="J12" s="36">
        <f>'FS Desroches Daily'!N14</f>
        <v>1469.9999999999136</v>
      </c>
      <c r="K12" s="13">
        <f>'FS Desroches Daily'!P14</f>
        <v>19</v>
      </c>
      <c r="L12" s="35">
        <f>'FS Desroches Daily'!R14</f>
        <v>9</v>
      </c>
      <c r="M12" s="35">
        <f>'FS Desroches Daily'!T14</f>
        <v>1327.4000000000233</v>
      </c>
      <c r="N12" s="35">
        <f>'FS Desroches Daily'!V14</f>
        <v>410.10000000003492</v>
      </c>
      <c r="O12" s="35">
        <f>'FS Desroches Daily'!X14</f>
        <v>409.99999999996817</v>
      </c>
      <c r="P12" s="35">
        <f>'FS Desroches Daily'!Z14</f>
        <v>2800.0000000001355</v>
      </c>
      <c r="Q12" s="35">
        <f>'FS Desroches Daily'!AB14</f>
        <v>269.99999999998181</v>
      </c>
      <c r="R12" s="35">
        <f>'FS Desroches Daily'!AD14</f>
        <v>450.00000000004547</v>
      </c>
      <c r="S12" s="35">
        <f>'FS Desroches Daily'!AF14</f>
        <v>649.99999999997726</v>
      </c>
      <c r="T12" s="35">
        <f>'FS Desroches Daily'!AH14</f>
        <v>1.3000000000000682</v>
      </c>
      <c r="U12" s="39">
        <f>'FS Desroches Daily'!AJ14</f>
        <v>300.00000000001137</v>
      </c>
      <c r="V12" s="39">
        <f>'FS Desroches Daily'!AL14</f>
        <v>0.15999999999999659</v>
      </c>
      <c r="W12" s="39">
        <f>'FS Desroches Daily'!AN14</f>
        <v>0.23000000000000398</v>
      </c>
      <c r="X12" s="39">
        <f>'FS Desroches Daily'!AP14</f>
        <v>0.14000000000000057</v>
      </c>
      <c r="Y12" s="39">
        <f>'FS Desroches Daily'!AR14</f>
        <v>60.000000000002274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230.00000000001819</v>
      </c>
      <c r="AC12" s="39">
        <f>'FS Desroches Daily'!AZ14</f>
        <v>39.99999999996362</v>
      </c>
      <c r="AD12" s="39">
        <f>'FS Desroches Daily'!BB14</f>
        <v>49.999999999954525</v>
      </c>
      <c r="AE12" s="39">
        <f>'FS Desroches Daily'!BD14</f>
        <v>219.99999999999886</v>
      </c>
      <c r="AF12" s="35">
        <f>'FS Desroches Daily'!BF14</f>
        <v>56</v>
      </c>
      <c r="AG12" s="36">
        <f>'FS Desroches Daily'!BH14</f>
        <v>40.000000000020464</v>
      </c>
      <c r="AH12" s="36">
        <f>'FS Desroches Daily'!BJ14</f>
        <v>40.000000000020464</v>
      </c>
      <c r="AI12" s="36">
        <f>'FS Desroches Daily'!BL14</f>
        <v>60.000000000002274</v>
      </c>
      <c r="AJ12" s="36">
        <f>'FS Desroches Daily'!BN14</f>
        <v>49.999999999982947</v>
      </c>
      <c r="AK12" s="36">
        <f>'FS Desroches Daily'!BP14</f>
        <v>19.99999999998181</v>
      </c>
      <c r="AL12" s="36">
        <f>'FS Desroches Daily'!BR14</f>
        <v>47</v>
      </c>
      <c r="AM12" s="36">
        <f>'FS Desroches Daily'!BT14</f>
        <v>39.999999999992042</v>
      </c>
      <c r="AN12" s="36">
        <f>'FS Desroches Daily'!BV14</f>
        <v>42</v>
      </c>
      <c r="AO12" s="36">
        <f>'FS Desroches Daily'!BX14</f>
        <v>19.99999999998181</v>
      </c>
      <c r="AP12" s="36">
        <f>'FS Desroches Daily'!BZ14</f>
        <v>64</v>
      </c>
      <c r="AQ12" s="35">
        <f>'FS Desroches Daily'!CB14</f>
        <v>28.700000000000728</v>
      </c>
      <c r="AR12" s="35">
        <f>'FS Desroches Daily'!CD14</f>
        <v>18.5</v>
      </c>
      <c r="AS12" s="35">
        <f>'FS Desroches Daily'!CF14</f>
        <v>0.6999999999998181</v>
      </c>
      <c r="AT12" s="35">
        <f>'FS Desroches Daily'!CH14</f>
        <v>52</v>
      </c>
      <c r="AU12" s="35">
        <f>'FS Desroches Daily'!CJ14</f>
        <v>269</v>
      </c>
      <c r="AV12" s="35">
        <f>'FS Desroches Daily'!CL14</f>
        <v>480.00000000001819</v>
      </c>
      <c r="AW12" s="35">
        <f>'FS Desroches Daily'!CM14</f>
        <v>81</v>
      </c>
      <c r="AX12" s="35">
        <f>IF(LPG!F19-LPG!F18&lt;0,"0",(LPG!F19-LPG!F18)*1.8315)</f>
        <v>14.651999999999999</v>
      </c>
      <c r="AY12" s="35">
        <f>IF(LPG!H19-LPG!H18&lt;0,"0",(LPG!H19-LPG!H18)*1.8315)</f>
        <v>5.4944999999999995</v>
      </c>
      <c r="AZ12" s="35">
        <f>IF(LPG!J19-LPG!J18&lt;0,"0",(LPG!J19-LPG!J18)*1.8315)</f>
        <v>5.4944999999999995</v>
      </c>
      <c r="BA12" s="35">
        <f>IF(LPG!M19-LPG!M18&lt;0,"0",(LPG!M19-LPG!M18)*1.8315)</f>
        <v>0</v>
      </c>
      <c r="BB12" s="35">
        <f>IF(LPG!Q19-LPG!Q18&lt;0,"0",(LPG!Q19-LPG!Q18)*1.8315)</f>
        <v>7.3259999999999996</v>
      </c>
      <c r="BC12" s="13">
        <f>'FS Desroches Daily'!CN14</f>
        <v>27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2399.9999999999577</v>
      </c>
      <c r="F13" s="36">
        <f>'FS Desroches Daily'!F15</f>
        <v>3499.9999999998367</v>
      </c>
      <c r="G13" s="35">
        <f>'FS Desroches Daily'!H15</f>
        <v>2800.0000000001355</v>
      </c>
      <c r="H13" s="36">
        <f>'FS Desroches Daily'!J15</f>
        <v>1700.0000000000348</v>
      </c>
      <c r="I13" s="35">
        <f>'FS Desroches Daily'!L15</f>
        <v>2099.9999999999909</v>
      </c>
      <c r="J13" s="36">
        <f>'FS Desroches Daily'!N15</f>
        <v>1760.0000000001046</v>
      </c>
      <c r="K13" s="13">
        <f>'FS Desroches Daily'!P15</f>
        <v>22</v>
      </c>
      <c r="L13" s="35">
        <f>'FS Desroches Daily'!R15</f>
        <v>7</v>
      </c>
      <c r="M13" s="35">
        <f>'FS Desroches Daily'!T15</f>
        <v>305.09999999997672</v>
      </c>
      <c r="N13" s="35">
        <f>'FS Desroches Daily'!V15</f>
        <v>230.79999999998836</v>
      </c>
      <c r="O13" s="35">
        <f>'FS Desroches Daily'!X15</f>
        <v>490.00000000000909</v>
      </c>
      <c r="P13" s="35">
        <f>'FS Desroches Daily'!Z15</f>
        <v>3099.9999999998809</v>
      </c>
      <c r="Q13" s="35">
        <f>'FS Desroches Daily'!AB15</f>
        <v>510.00000000004775</v>
      </c>
      <c r="R13" s="35">
        <f>'FS Desroches Daily'!AD15</f>
        <v>389.99999999998636</v>
      </c>
      <c r="S13" s="35">
        <f>'FS Desroches Daily'!AF15</f>
        <v>740.00000000000909</v>
      </c>
      <c r="T13" s="35">
        <f>'FS Desroches Daily'!AH15</f>
        <v>1.8999999999999773</v>
      </c>
      <c r="U13" s="39">
        <f>'FS Desroches Daily'!AJ15</f>
        <v>750</v>
      </c>
      <c r="V13" s="39">
        <f>'FS Desroches Daily'!AL15</f>
        <v>0.25</v>
      </c>
      <c r="W13" s="39">
        <f>'FS Desroches Daily'!AN15</f>
        <v>0.23999999999999488</v>
      </c>
      <c r="X13" s="39">
        <f>'FS Desroches Daily'!AP15</f>
        <v>0.23000000000000398</v>
      </c>
      <c r="Y13" s="39">
        <f>'FS Desroches Daily'!AR15</f>
        <v>90.000000000003411</v>
      </c>
      <c r="Z13" s="39">
        <f>'FS Desroches Daily'!AT15</f>
        <v>129.99999999999545</v>
      </c>
      <c r="AA13" s="39">
        <f>'FS Desroches Daily'!AT15</f>
        <v>129.99999999999545</v>
      </c>
      <c r="AB13" s="39">
        <f>'FS Desroches Daily'!AV15</f>
        <v>129.99999999999545</v>
      </c>
      <c r="AC13" s="39">
        <f>'FS Desroches Daily'!AZ15</f>
        <v>60.000000000002274</v>
      </c>
      <c r="AD13" s="39">
        <f>'FS Desroches Daily'!BB15</f>
        <v>50.000000000011369</v>
      </c>
      <c r="AE13" s="39">
        <f>'FS Desroches Daily'!BD15</f>
        <v>189.99999999999773</v>
      </c>
      <c r="AF13" s="35">
        <f>'FS Desroches Daily'!BF15</f>
        <v>53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60.000000000002274</v>
      </c>
      <c r="AJ13" s="36">
        <f>'FS Desroches Daily'!BN15</f>
        <v>50.000000000011369</v>
      </c>
      <c r="AK13" s="36">
        <f>'FS Desroches Daily'!BP15</f>
        <v>50.000000000011369</v>
      </c>
      <c r="AL13" s="36">
        <f>'FS Desroches Daily'!BR15</f>
        <v>40</v>
      </c>
      <c r="AM13" s="36">
        <f>'FS Desroches Daily'!BT15</f>
        <v>50.000000000011369</v>
      </c>
      <c r="AN13" s="36">
        <f>'FS Desroches Daily'!BV15</f>
        <v>6</v>
      </c>
      <c r="AO13" s="36">
        <f>'FS Desroches Daily'!BX15</f>
        <v>50.000000000011369</v>
      </c>
      <c r="AP13" s="36">
        <f>'FS Desroches Daily'!BZ15</f>
        <v>54</v>
      </c>
      <c r="AQ13" s="35">
        <f>'FS Desroches Daily'!CB15</f>
        <v>23.099999999998545</v>
      </c>
      <c r="AR13" s="35">
        <f>'FS Desroches Daily'!CD15</f>
        <v>16.299999999999272</v>
      </c>
      <c r="AS13" s="35">
        <f>'FS Desroches Daily'!CF15</f>
        <v>6.5</v>
      </c>
      <c r="AT13" s="35">
        <f>'FS Desroches Daily'!CH15</f>
        <v>56</v>
      </c>
      <c r="AU13" s="35">
        <f>'FS Desroches Daily'!CJ15</f>
        <v>307</v>
      </c>
      <c r="AV13" s="35">
        <f>'FS Desroches Daily'!CL15</f>
        <v>530.00000000002956</v>
      </c>
      <c r="AW13" s="35">
        <f>'FS Desroches Daily'!CM15</f>
        <v>95.7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5.4944999999999995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23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2699.9999999999245</v>
      </c>
      <c r="F14" s="36">
        <f>'FS Desroches Daily'!F16</f>
        <v>3400.0000000000696</v>
      </c>
      <c r="G14" s="35">
        <f>'FS Desroches Daily'!H16</f>
        <v>3199.9999999996476</v>
      </c>
      <c r="H14" s="36">
        <f>'FS Desroches Daily'!J16</f>
        <v>1700.0000000000348</v>
      </c>
      <c r="I14" s="35">
        <f>'FS Desroches Daily'!L16</f>
        <v>2199.9999999999795</v>
      </c>
      <c r="J14" s="36">
        <f>'FS Desroches Daily'!N16</f>
        <v>1969.9999999999136</v>
      </c>
      <c r="K14" s="13">
        <f>'FS Desroches Daily'!P16</f>
        <v>19</v>
      </c>
      <c r="L14" s="35">
        <f>'FS Desroches Daily'!R16</f>
        <v>9</v>
      </c>
      <c r="M14" s="35">
        <f>'FS Desroches Daily'!T16</f>
        <v>1077</v>
      </c>
      <c r="N14" s="35">
        <f>'FS Desroches Daily'!V16</f>
        <v>489</v>
      </c>
      <c r="O14" s="35">
        <f>'FS Desroches Daily'!X16</f>
        <v>460.00000000003638</v>
      </c>
      <c r="P14" s="35">
        <f>'FS Desroches Daily'!Z16</f>
        <v>2899.9999999999027</v>
      </c>
      <c r="Q14" s="35">
        <f>'FS Desroches Daily'!AB16</f>
        <v>560.00000000000227</v>
      </c>
      <c r="R14" s="35">
        <f>'FS Desroches Daily'!AD16</f>
        <v>439.99999999999773</v>
      </c>
      <c r="S14" s="35">
        <f>'FS Desroches Daily'!AF16</f>
        <v>839.99999999997499</v>
      </c>
      <c r="T14" s="35">
        <f>'FS Desroches Daily'!AH16</f>
        <v>2</v>
      </c>
      <c r="U14" s="39">
        <f>'FS Desroches Daily'!AJ16</f>
        <v>810.00000000000227</v>
      </c>
      <c r="V14" s="39">
        <f>'FS Desroches Daily'!AL16</f>
        <v>0.26000000000000512</v>
      </c>
      <c r="W14" s="39">
        <f>'FS Desroches Daily'!AN16</f>
        <v>0.23000000000000398</v>
      </c>
      <c r="X14" s="39">
        <f>'FS Desroches Daily'!AP16</f>
        <v>0.26999999999999602</v>
      </c>
      <c r="Y14" s="39">
        <f>'FS Desroches Daily'!AR16</f>
        <v>99.999999999994316</v>
      </c>
      <c r="Z14" s="39">
        <f>'FS Desroches Daily'!AT16</f>
        <v>139.99999999998636</v>
      </c>
      <c r="AA14" s="39">
        <f>'FS Desroches Daily'!AT16</f>
        <v>139.99999999998636</v>
      </c>
      <c r="AB14" s="39">
        <f>'FS Desroches Daily'!AV16</f>
        <v>120.00000000000455</v>
      </c>
      <c r="AC14" s="39">
        <f>'FS Desroches Daily'!AZ16</f>
        <v>50.000000000011369</v>
      </c>
      <c r="AD14" s="39">
        <f>'FS Desroches Daily'!BB16</f>
        <v>69.999999999993179</v>
      </c>
      <c r="AE14" s="39">
        <f>'FS Desroches Daily'!BD16</f>
        <v>189.99999999999773</v>
      </c>
      <c r="AF14" s="35">
        <f>'FS Desroches Daily'!BF16</f>
        <v>47</v>
      </c>
      <c r="AG14" s="36">
        <f>'FS Desroches Daily'!BH16</f>
        <v>50.000000000011369</v>
      </c>
      <c r="AH14" s="36">
        <f>'FS Desroches Daily'!BJ16</f>
        <v>69.999999999993179</v>
      </c>
      <c r="AI14" s="36">
        <f>'FS Desroches Daily'!BL16</f>
        <v>69.999999999993179</v>
      </c>
      <c r="AJ14" s="36">
        <f>'FS Desroches Daily'!BN16</f>
        <v>49.999999999982947</v>
      </c>
      <c r="AK14" s="36">
        <f>'FS Desroches Daily'!BP16</f>
        <v>60.000000000002274</v>
      </c>
      <c r="AL14" s="36">
        <f>'FS Desroches Daily'!BR16</f>
        <v>52</v>
      </c>
      <c r="AM14" s="36">
        <f>'FS Desroches Daily'!BT16</f>
        <v>60.000000000002274</v>
      </c>
      <c r="AN14" s="36">
        <f>'FS Desroches Daily'!BV16</f>
        <v>81</v>
      </c>
      <c r="AO14" s="36">
        <f>'FS Desroches Daily'!BX16</f>
        <v>60.000000000002274</v>
      </c>
      <c r="AP14" s="36">
        <f>'FS Desroches Daily'!BZ16</f>
        <v>65</v>
      </c>
      <c r="AQ14" s="35">
        <f>'FS Desroches Daily'!CB16</f>
        <v>16.299999999999272</v>
      </c>
      <c r="AR14" s="35">
        <f>'FS Desroches Daily'!CD16</f>
        <v>11.300000000001091</v>
      </c>
      <c r="AS14" s="35">
        <f>'FS Desroches Daily'!CF16</f>
        <v>14.100000000000364</v>
      </c>
      <c r="AT14" s="35">
        <f>'FS Desroches Daily'!CH16</f>
        <v>30</v>
      </c>
      <c r="AU14" s="35">
        <f>'FS Desroches Daily'!CJ16</f>
        <v>325</v>
      </c>
      <c r="AV14" s="35">
        <f>'FS Desroches Daily'!CL16</f>
        <v>589.99999999997499</v>
      </c>
      <c r="AW14" s="35">
        <f>'FS Desroches Daily'!CM16</f>
        <v>99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18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1900.0000000000127</v>
      </c>
      <c r="F15" s="36">
        <f>'FS Desroches Daily'!F17</f>
        <v>3099.9999999998809</v>
      </c>
      <c r="G15" s="35">
        <f>'FS Desroches Daily'!H17</f>
        <v>2900.0000000003465</v>
      </c>
      <c r="H15" s="36">
        <f>'FS Desroches Daily'!J17</f>
        <v>1399.9999999998458</v>
      </c>
      <c r="I15" s="35">
        <f>'FS Desroches Daily'!L17</f>
        <v>1900.0000000000127</v>
      </c>
      <c r="J15" s="36">
        <f>'FS Desroches Daily'!N17</f>
        <v>1360.0000000000136</v>
      </c>
      <c r="K15" s="13">
        <f>'FS Desroches Daily'!P17</f>
        <v>26</v>
      </c>
      <c r="L15" s="35">
        <f>'FS Desroches Daily'!R17</f>
        <v>7</v>
      </c>
      <c r="M15" s="35">
        <f>'FS Desroches Daily'!T17</f>
        <v>1262</v>
      </c>
      <c r="N15" s="35">
        <f>'FS Desroches Daily'!V17</f>
        <v>608</v>
      </c>
      <c r="O15" s="35">
        <f>'FS Desroches Daily'!X17</f>
        <v>419.99999999995907</v>
      </c>
      <c r="P15" s="35">
        <f>'FS Desroches Daily'!Z17</f>
        <v>2699.9999999999245</v>
      </c>
      <c r="Q15" s="35">
        <f>'FS Desroches Daily'!AB17</f>
        <v>339.99999999997499</v>
      </c>
      <c r="R15" s="35">
        <f>'FS Desroches Daily'!AD17</f>
        <v>370.00000000000455</v>
      </c>
      <c r="S15" s="35">
        <f>'FS Desroches Daily'!AF17</f>
        <v>670.00000000001592</v>
      </c>
      <c r="T15" s="35">
        <f>'FS Desroches Daily'!AH17</f>
        <v>1.7999999999999545</v>
      </c>
      <c r="U15" s="39">
        <f>'FS Desroches Daily'!AJ17</f>
        <v>649.99999999997726</v>
      </c>
      <c r="V15" s="39">
        <f>'FS Desroches Daily'!AL17</f>
        <v>0.20999999999999375</v>
      </c>
      <c r="W15" s="39">
        <f>'FS Desroches Daily'!AN17</f>
        <v>0.17000000000000171</v>
      </c>
      <c r="X15" s="39">
        <f>'FS Desroches Daily'!AP17</f>
        <v>0.17000000000000171</v>
      </c>
      <c r="Y15" s="39">
        <f>'FS Desroches Daily'!AR17</f>
        <v>80.000000000012506</v>
      </c>
      <c r="Z15" s="39">
        <f>'FS Desroches Daily'!AT17</f>
        <v>110.00000000001364</v>
      </c>
      <c r="AA15" s="39">
        <f>'FS Desroches Daily'!AT17</f>
        <v>110.00000000001364</v>
      </c>
      <c r="AB15" s="39">
        <f>'FS Desroches Daily'!AV17</f>
        <v>129.99999999999545</v>
      </c>
      <c r="AC15" s="39">
        <f>'FS Desroches Daily'!AZ17</f>
        <v>50.000000000011369</v>
      </c>
      <c r="AD15" s="39">
        <f>'FS Desroches Daily'!BB17</f>
        <v>69.999999999993179</v>
      </c>
      <c r="AE15" s="39">
        <f>'FS Desroches Daily'!BD17</f>
        <v>100.00000000002274</v>
      </c>
      <c r="AF15" s="35">
        <f>'FS Desroches Daily'!BF17</f>
        <v>52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30.000000000001137</v>
      </c>
      <c r="AK15" s="36">
        <f>'FS Desroches Daily'!BP17</f>
        <v>39.99999999996362</v>
      </c>
      <c r="AL15" s="36">
        <f>'FS Desroches Daily'!BR17</f>
        <v>38</v>
      </c>
      <c r="AM15" s="36">
        <f>'FS Desroches Daily'!BT17</f>
        <v>30.000000000001137</v>
      </c>
      <c r="AN15" s="36">
        <f>'FS Desroches Daily'!BV17</f>
        <v>35</v>
      </c>
      <c r="AO15" s="36">
        <f>'FS Desroches Daily'!BX17</f>
        <v>30.000000000001137</v>
      </c>
      <c r="AP15" s="36">
        <f>'FS Desroches Daily'!BZ17</f>
        <v>49</v>
      </c>
      <c r="AQ15" s="35">
        <f>'FS Desroches Daily'!CB17</f>
        <v>23.100000000002183</v>
      </c>
      <c r="AR15" s="35">
        <f>'FS Desroches Daily'!CD17</f>
        <v>13.299999999999272</v>
      </c>
      <c r="AS15" s="35">
        <f>'FS Desroches Daily'!CF17</f>
        <v>5.3000000000001819</v>
      </c>
      <c r="AT15" s="35">
        <f>'FS Desroches Daily'!CH17</f>
        <v>16</v>
      </c>
      <c r="AU15" s="35">
        <f>'FS Desroches Daily'!CJ17</f>
        <v>282</v>
      </c>
      <c r="AV15" s="35">
        <f>'FS Desroches Daily'!CL17</f>
        <v>689.99999999999773</v>
      </c>
      <c r="AW15" s="35">
        <f>'FS Desroches Daily'!CM17</f>
        <v>81.2</v>
      </c>
      <c r="AX15" s="35">
        <f>IF(LPG!F22-LPG!F21&lt;0,"0",(LPG!F22-LPG!F21)*1.8315)</f>
        <v>14.651999999999999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0</v>
      </c>
      <c r="BB15" s="35">
        <f>IF(LPG!Q22-LPG!Q21&lt;0,"0",(LPG!Q22-LPG!Q21)*1.8315)</f>
        <v>5.4944999999999995</v>
      </c>
      <c r="BC15" s="13">
        <f>'FS Desroches Daily'!CN17</f>
        <v>16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2099.9999999999909</v>
      </c>
      <c r="F16" s="36">
        <f>'FS Desroches Daily'!F18</f>
        <v>3300.0000000003029</v>
      </c>
      <c r="G16" s="35">
        <f>'FS Desroches Daily'!H18</f>
        <v>2799.9999999996917</v>
      </c>
      <c r="H16" s="36">
        <f>'FS Desroches Daily'!J18</f>
        <v>1600.0000000000459</v>
      </c>
      <c r="I16" s="35">
        <f>'FS Desroches Daily'!L18</f>
        <v>2199.9999999999795</v>
      </c>
      <c r="J16" s="36">
        <f>'FS Desroches Daily'!N18</f>
        <v>1529.9999999999727</v>
      </c>
      <c r="K16" s="13">
        <f>'FS Desroches Daily'!P18</f>
        <v>24</v>
      </c>
      <c r="L16" s="35">
        <f>'FS Desroches Daily'!R18</f>
        <v>8</v>
      </c>
      <c r="M16" s="35">
        <f>'FS Desroches Daily'!T18</f>
        <v>1039</v>
      </c>
      <c r="N16" s="35">
        <f>'FS Desroches Daily'!V18</f>
        <v>417</v>
      </c>
      <c r="O16" s="35">
        <f>'FS Desroches Daily'!X18</f>
        <v>370.00000000000455</v>
      </c>
      <c r="P16" s="35">
        <f>'FS Desroches Daily'!Z18</f>
        <v>2699.9999999999245</v>
      </c>
      <c r="Q16" s="35">
        <f>'FS Desroches Daily'!AB18</f>
        <v>389.99999999998636</v>
      </c>
      <c r="R16" s="35">
        <f>'FS Desroches Daily'!AD18</f>
        <v>319.99999999999318</v>
      </c>
      <c r="S16" s="35">
        <f>'FS Desroches Daily'!AF18</f>
        <v>620.00000000000455</v>
      </c>
      <c r="T16" s="35">
        <f>'FS Desroches Daily'!AH18</f>
        <v>1.8000000000000682</v>
      </c>
      <c r="U16" s="39">
        <f>'FS Desroches Daily'!AJ18</f>
        <v>629.99999999999545</v>
      </c>
      <c r="V16" s="39">
        <f>'FS Desroches Daily'!AL18</f>
        <v>0.21000000000000796</v>
      </c>
      <c r="W16" s="39">
        <f>'FS Desroches Daily'!AN18</f>
        <v>0.17000000000000171</v>
      </c>
      <c r="X16" s="39">
        <f>'FS Desroches Daily'!AP18</f>
        <v>0.14999999999999147</v>
      </c>
      <c r="Y16" s="39">
        <f>'FS Desroches Daily'!AR18</f>
        <v>69.999999999993179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50.000000000011369</v>
      </c>
      <c r="AD16" s="39">
        <f>'FS Desroches Daily'!BB18</f>
        <v>60.000000000002274</v>
      </c>
      <c r="AE16" s="39">
        <f>'FS Desroches Daily'!BD18</f>
        <v>19.99999999998181</v>
      </c>
      <c r="AF16" s="35">
        <f>'FS Desroches Daily'!BF18</f>
        <v>42</v>
      </c>
      <c r="AG16" s="36">
        <f>'FS Desroches Daily'!BH18</f>
        <v>29.999999999972715</v>
      </c>
      <c r="AH16" s="36">
        <f>'FS Desroches Daily'!BJ18</f>
        <v>39.99999999996362</v>
      </c>
      <c r="AI16" s="36">
        <f>'FS Desroches Daily'!BL18</f>
        <v>40.000000000020464</v>
      </c>
      <c r="AJ16" s="36">
        <f>'FS Desroches Daily'!BN18</f>
        <v>40.000000000020464</v>
      </c>
      <c r="AK16" s="36">
        <f>'FS Desroches Daily'!BP18</f>
        <v>50.000000000011369</v>
      </c>
      <c r="AL16" s="36">
        <f>'FS Desroches Daily'!BR18</f>
        <v>35</v>
      </c>
      <c r="AM16" s="36">
        <f>'FS Desroches Daily'!BT18</f>
        <v>30.000000000001137</v>
      </c>
      <c r="AN16" s="36">
        <f>'FS Desroches Daily'!BV18</f>
        <v>33</v>
      </c>
      <c r="AO16" s="36">
        <f>'FS Desroches Daily'!BX18</f>
        <v>39.999999999992042</v>
      </c>
      <c r="AP16" s="36">
        <f>'FS Desroches Daily'!BZ18</f>
        <v>49</v>
      </c>
      <c r="AQ16" s="35">
        <f>'FS Desroches Daily'!CB18</f>
        <v>30.299999999999272</v>
      </c>
      <c r="AR16" s="35">
        <f>'FS Desroches Daily'!CD18</f>
        <v>11</v>
      </c>
      <c r="AS16" s="35">
        <f>'FS Desroches Daily'!CF18</f>
        <v>3.1999999999998181</v>
      </c>
      <c r="AT16" s="35">
        <f>'FS Desroches Daily'!CH18</f>
        <v>25</v>
      </c>
      <c r="AU16" s="35">
        <f>'FS Desroches Daily'!CJ18</f>
        <v>317</v>
      </c>
      <c r="AV16" s="35">
        <f>'FS Desroches Daily'!CL18</f>
        <v>600.00000000002274</v>
      </c>
      <c r="AW16" s="35">
        <f>'FS Desroches Daily'!CM18</f>
        <v>60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1.8314999999999999</v>
      </c>
      <c r="BA16" s="35">
        <f>IF(LPG!M23-LPG!M22&lt;0,"0",(LPG!M23-LPG!M22)*1.8315)</f>
        <v>5.4944999999999995</v>
      </c>
      <c r="BB16" s="35">
        <f>IF(LPG!Q23-LPG!Q22&lt;0,"0",(LPG!Q23-LPG!Q22)*1.8315)</f>
        <v>1.8314999999999999</v>
      </c>
      <c r="BC16" s="13">
        <f>'FS Desroches Daily'!CN18</f>
        <v>21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2400.0000000001796</v>
      </c>
      <c r="F17" s="36">
        <f>'FS Desroches Daily'!F19</f>
        <v>3499.9999999998367</v>
      </c>
      <c r="G17" s="35">
        <f>'FS Desroches Daily'!H19</f>
        <v>2800.0000000001355</v>
      </c>
      <c r="H17" s="36">
        <f>'FS Desroches Daily'!J19</f>
        <v>1600.0000000000459</v>
      </c>
      <c r="I17" s="35">
        <f>'FS Desroches Daily'!L19</f>
        <v>2000.0000000000018</v>
      </c>
      <c r="J17" s="36">
        <f>'FS Desroches Daily'!N19</f>
        <v>1350.0000000000227</v>
      </c>
      <c r="K17" s="13">
        <f>'FS Desroches Daily'!P19</f>
        <v>20</v>
      </c>
      <c r="L17" s="35">
        <f>'FS Desroches Daily'!R19</f>
        <v>9</v>
      </c>
      <c r="M17" s="35">
        <f>'FS Desroches Daily'!T19</f>
        <v>918</v>
      </c>
      <c r="N17" s="35">
        <f>'FS Desroches Daily'!V19</f>
        <v>346</v>
      </c>
      <c r="O17" s="35">
        <f>'FS Desroches Daily'!X19</f>
        <v>389.99999999998636</v>
      </c>
      <c r="P17" s="35">
        <f>'FS Desroches Daily'!Z19</f>
        <v>3400.0000000000696</v>
      </c>
      <c r="Q17" s="35">
        <f>'FS Desroches Daily'!AB19</f>
        <v>330.00000000004093</v>
      </c>
      <c r="R17" s="35">
        <f>'FS Desroches Daily'!AD19</f>
        <v>300.00000000001137</v>
      </c>
      <c r="S17" s="35">
        <f>'FS Desroches Daily'!AF19</f>
        <v>1219.9999999999704</v>
      </c>
      <c r="T17" s="35">
        <f>'FS Desroches Daily'!AH19</f>
        <v>2</v>
      </c>
      <c r="U17" s="39">
        <f>'FS Desroches Daily'!AJ19</f>
        <v>550.00000000001137</v>
      </c>
      <c r="V17" s="39">
        <f>'FS Desroches Daily'!AL19</f>
        <v>0.20999999999999375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80.000000000012506</v>
      </c>
      <c r="Z17" s="39">
        <f>'FS Desroches Daily'!AT19</f>
        <v>100.00000000002274</v>
      </c>
      <c r="AA17" s="39">
        <f>'FS Desroches Daily'!AT19</f>
        <v>100.00000000002274</v>
      </c>
      <c r="AB17" s="39">
        <f>'FS Desroches Daily'!AV19</f>
        <v>119.99999999997613</v>
      </c>
      <c r="AC17" s="39">
        <f>'FS Desroches Daily'!AZ19</f>
        <v>39.99999999996362</v>
      </c>
      <c r="AD17" s="39">
        <f>'FS Desroches Daily'!BB19</f>
        <v>60.000000000002274</v>
      </c>
      <c r="AE17" s="39">
        <f>'FS Desroches Daily'!BD19</f>
        <v>30.000000000001137</v>
      </c>
      <c r="AF17" s="35">
        <f>'FS Desroches Daily'!BF19</f>
        <v>52</v>
      </c>
      <c r="AG17" s="36">
        <f>'FS Desroches Daily'!BH19</f>
        <v>50.000000000011369</v>
      </c>
      <c r="AH17" s="36">
        <f>'FS Desroches Daily'!BJ19</f>
        <v>60.000000000002274</v>
      </c>
      <c r="AI17" s="36">
        <f>'FS Desroches Daily'!BL19</f>
        <v>59.999999999973852</v>
      </c>
      <c r="AJ17" s="36">
        <f>'FS Desroches Daily'!BN19</f>
        <v>39.999999999992042</v>
      </c>
      <c r="AK17" s="36">
        <f>'FS Desroches Daily'!BP19</f>
        <v>50.000000000011369</v>
      </c>
      <c r="AL17" s="36">
        <f>'FS Desroches Daily'!BR19</f>
        <v>44</v>
      </c>
      <c r="AM17" s="36">
        <f>'FS Desroches Daily'!BT19</f>
        <v>49.999999999982947</v>
      </c>
      <c r="AN17" s="36">
        <f>'FS Desroches Daily'!BV19</f>
        <v>40</v>
      </c>
      <c r="AO17" s="36">
        <f>'FS Desroches Daily'!BX19</f>
        <v>50.000000000011369</v>
      </c>
      <c r="AP17" s="36">
        <f>'FS Desroches Daily'!BZ19</f>
        <v>56</v>
      </c>
      <c r="AQ17" s="35">
        <f>'FS Desroches Daily'!CB19</f>
        <v>43</v>
      </c>
      <c r="AR17" s="35">
        <f>'FS Desroches Daily'!CD19</f>
        <v>11.899999999999636</v>
      </c>
      <c r="AS17" s="35">
        <f>'FS Desroches Daily'!CF19</f>
        <v>0.1000000000003638</v>
      </c>
      <c r="AT17" s="35">
        <f>'FS Desroches Daily'!CH19</f>
        <v>31</v>
      </c>
      <c r="AU17" s="35">
        <f>'FS Desroches Daily'!CJ19</f>
        <v>309</v>
      </c>
      <c r="AV17" s="35">
        <f>'FS Desroches Daily'!CL19</f>
        <v>539.99999999996362</v>
      </c>
      <c r="AW17" s="35">
        <f>'FS Desroches Daily'!CM19</f>
        <v>70</v>
      </c>
      <c r="AX17" s="35">
        <f>IF(LPG!F24-LPG!F23&lt;0,"0",(LPG!F24-LPG!F23)*1.8315)</f>
        <v>14.651999999999999</v>
      </c>
      <c r="AY17" s="35">
        <f>IF(LPG!H24-LPG!H23&lt;0,"0",(LPG!H24-LPG!H23)*1.8315)</f>
        <v>3.6629999999999998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3.6629999999999998</v>
      </c>
      <c r="BC17" s="13">
        <f>'FS Desroches Daily'!CN19</f>
        <v>11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2499.9999999999468</v>
      </c>
      <c r="F18" s="36">
        <f>'FS Desroches Daily'!F20</f>
        <v>3600.0000000000477</v>
      </c>
      <c r="G18" s="35">
        <f>'FS Desroches Daily'!H20</f>
        <v>2600.0000000001578</v>
      </c>
      <c r="H18" s="36">
        <f>'FS Desroches Daily'!J20</f>
        <v>1700.0000000000348</v>
      </c>
      <c r="I18" s="35">
        <f>'FS Desroches Daily'!L20</f>
        <v>2000.0000000000018</v>
      </c>
      <c r="J18" s="36">
        <f>'FS Desroches Daily'!N20</f>
        <v>1450.0000000000455</v>
      </c>
      <c r="K18" s="13">
        <f>'FS Desroches Daily'!P20</f>
        <v>19</v>
      </c>
      <c r="L18" s="35">
        <f>'FS Desroches Daily'!R20</f>
        <v>8</v>
      </c>
      <c r="M18" s="35">
        <f>'FS Desroches Daily'!T20</f>
        <v>993</v>
      </c>
      <c r="N18" s="35">
        <f>'FS Desroches Daily'!V20</f>
        <v>430</v>
      </c>
      <c r="O18" s="35">
        <f>'FS Desroches Daily'!X20</f>
        <v>379.99999999999545</v>
      </c>
      <c r="P18" s="35">
        <f>'FS Desroches Daily'!Z20</f>
        <v>3099.9999999998809</v>
      </c>
      <c r="Q18" s="35">
        <f>'FS Desroches Daily'!AB20</f>
        <v>469.99999999997044</v>
      </c>
      <c r="R18" s="35">
        <f>'FS Desroches Daily'!AD20</f>
        <v>269.99999999998181</v>
      </c>
      <c r="S18" s="35">
        <f>'FS Desroches Daily'!AF20</f>
        <v>100.00000000047748</v>
      </c>
      <c r="T18" s="35">
        <f>'FS Desroches Daily'!AH20</f>
        <v>1.8999999999999773</v>
      </c>
      <c r="U18" s="39">
        <f>'FS Desroches Daily'!AJ20</f>
        <v>1439.9999999999977</v>
      </c>
      <c r="V18" s="39">
        <f>'FS Desroches Daily'!AL20</f>
        <v>0.31000000000000227</v>
      </c>
      <c r="W18" s="39">
        <f>'FS Desroches Daily'!AN20</f>
        <v>0.26000000000000512</v>
      </c>
      <c r="X18" s="39">
        <f>'FS Desroches Daily'!AP20</f>
        <v>0.26000000000000512</v>
      </c>
      <c r="Y18" s="39">
        <f>'FS Desroches Daily'!AR20</f>
        <v>99.999999999994316</v>
      </c>
      <c r="Z18" s="39">
        <f>'FS Desroches Daily'!AT20</f>
        <v>189.99999999999773</v>
      </c>
      <c r="AA18" s="39">
        <f>'FS Desroches Daily'!AT20</f>
        <v>189.99999999999773</v>
      </c>
      <c r="AB18" s="39">
        <f>'FS Desroches Daily'!AV20</f>
        <v>130.00000000002387</v>
      </c>
      <c r="AC18" s="39">
        <f>'FS Desroches Daily'!AZ20</f>
        <v>60.000000000002274</v>
      </c>
      <c r="AD18" s="39">
        <f>'FS Desroches Daily'!BB20</f>
        <v>69.999999999993179</v>
      </c>
      <c r="AE18" s="39">
        <f>'FS Desroches Daily'!BD20</f>
        <v>0</v>
      </c>
      <c r="AF18" s="35">
        <f>'FS Desroches Daily'!BF20</f>
        <v>56</v>
      </c>
      <c r="AG18" s="36">
        <f>'FS Desroches Daily'!BH20</f>
        <v>20.000000000010232</v>
      </c>
      <c r="AH18" s="36">
        <f>'FS Desroches Daily'!BJ20</f>
        <v>50.000000000011369</v>
      </c>
      <c r="AI18" s="36">
        <f>'FS Desroches Daily'!BL20</f>
        <v>40.000000000020464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40.000000000020464</v>
      </c>
      <c r="AN18" s="36">
        <f>'FS Desroches Daily'!BV20</f>
        <v>34</v>
      </c>
      <c r="AO18" s="36">
        <f>'FS Desroches Daily'!BX20</f>
        <v>49.999999999982947</v>
      </c>
      <c r="AP18" s="36">
        <f>'FS Desroches Daily'!BZ20</f>
        <v>54</v>
      </c>
      <c r="AQ18" s="35">
        <f>'FS Desroches Daily'!CB20</f>
        <v>32.200000000000728</v>
      </c>
      <c r="AR18" s="35">
        <f>'FS Desroches Daily'!CD20</f>
        <v>24.100000000000364</v>
      </c>
      <c r="AS18" s="35">
        <f>'FS Desroches Daily'!CF20</f>
        <v>8.5</v>
      </c>
      <c r="AT18" s="35">
        <f>'FS Desroches Daily'!CH20</f>
        <v>51</v>
      </c>
      <c r="AU18" s="35">
        <f>'FS Desroches Daily'!CJ20</f>
        <v>333</v>
      </c>
      <c r="AV18" s="35">
        <f>'FS Desroches Daily'!CL20</f>
        <v>450.00000000004547</v>
      </c>
      <c r="AW18" s="35">
        <f>'FS Desroches Daily'!CM20</f>
        <v>70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3.6629999999999998</v>
      </c>
      <c r="BB18" s="35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1800.0000000000239</v>
      </c>
      <c r="F19" s="36">
        <f>'FS Desroches Daily'!F21</f>
        <v>3400.0000000000696</v>
      </c>
      <c r="G19" s="35">
        <f>'FS Desroches Daily'!H21</f>
        <v>2899.9999999999027</v>
      </c>
      <c r="H19" s="36">
        <f>'FS Desroches Daily'!J21</f>
        <v>1500.0000000000568</v>
      </c>
      <c r="I19" s="35">
        <f>'FS Desroches Daily'!L21</f>
        <v>2000.0000000000018</v>
      </c>
      <c r="J19" s="36">
        <f>'FS Desroches Daily'!N21</f>
        <v>1220.0000000000273</v>
      </c>
      <c r="K19" s="13">
        <f>'FS Desroches Daily'!P21</f>
        <v>19</v>
      </c>
      <c r="L19" s="35">
        <f>'FS Desroches Daily'!R21</f>
        <v>9</v>
      </c>
      <c r="M19" s="35" t="str">
        <f>'FS Desroches Daily'!T21</f>
        <v/>
      </c>
      <c r="N19" s="35" t="str">
        <f>'FS Desroches Daily'!V21</f>
        <v/>
      </c>
      <c r="O19" s="35">
        <f>'FS Desroches Daily'!X21</f>
        <v>330.00000000004093</v>
      </c>
      <c r="P19" s="35">
        <f>'FS Desroches Daily'!Z21</f>
        <v>3100.0000000003247</v>
      </c>
      <c r="Q19" s="35">
        <f>'FS Desroches Daily'!AB21</f>
        <v>310.00000000000227</v>
      </c>
      <c r="R19" s="35">
        <f>'FS Desroches Daily'!AD21</f>
        <v>269.99999999998181</v>
      </c>
      <c r="S19" s="35">
        <f>'FS Desroches Daily'!AF21</f>
        <v>549.99999999995453</v>
      </c>
      <c r="T19" s="35">
        <f>'FS Desroches Daily'!AH21</f>
        <v>1.6999999999999318</v>
      </c>
      <c r="U19" s="39">
        <f>'FS Desroches Daily'!AJ21</f>
        <v>519.99999999998181</v>
      </c>
      <c r="V19" s="39">
        <f>'FS Desroches Daily'!AL21</f>
        <v>0.17999999999999261</v>
      </c>
      <c r="W19" s="39">
        <f>'FS Desroches Daily'!AN21</f>
        <v>0.18999999999999773</v>
      </c>
      <c r="X19" s="39">
        <f>'FS Desroches Daily'!AP21</f>
        <v>0.15999999999999659</v>
      </c>
      <c r="Y19" s="39">
        <f>'FS Desroches Daily'!AR21</f>
        <v>69.999999999993179</v>
      </c>
      <c r="Z19" s="39">
        <f>'FS Desroches Daily'!AT21</f>
        <v>120.00000000000455</v>
      </c>
      <c r="AA19" s="39">
        <f>'FS Desroches Daily'!AT21</f>
        <v>120.00000000000455</v>
      </c>
      <c r="AB19" s="39">
        <f>'FS Desroches Daily'!AV21</f>
        <v>119.99999999997613</v>
      </c>
      <c r="AC19" s="39">
        <f>'FS Desroches Daily'!AZ21</f>
        <v>50.000000000011369</v>
      </c>
      <c r="AD19" s="39">
        <f>'FS Desroches Daily'!BB21</f>
        <v>50.000000000011369</v>
      </c>
      <c r="AE19" s="39">
        <f>'FS Desroches Daily'!BD21</f>
        <v>0</v>
      </c>
      <c r="AF19" s="35">
        <f>'FS Desroches Daily'!BF21</f>
        <v>54</v>
      </c>
      <c r="AG19" s="36">
        <f>'FS Desroches Daily'!BH21</f>
        <v>30.000000000001137</v>
      </c>
      <c r="AH19" s="36">
        <f>'FS Desroches Daily'!BJ21</f>
        <v>40.000000000020464</v>
      </c>
      <c r="AI19" s="36">
        <f>'FS Desroches Daily'!BL21</f>
        <v>39.999999999992042</v>
      </c>
      <c r="AJ19" s="36">
        <f>'FS Desroches Daily'!BN21</f>
        <v>39.999999999992042</v>
      </c>
      <c r="AK19" s="36">
        <f>'FS Desroches Daily'!BP21</f>
        <v>49.999999999954525</v>
      </c>
      <c r="AL19" s="36">
        <f>'FS Desroches Daily'!BR21</f>
        <v>35</v>
      </c>
      <c r="AM19" s="36">
        <f>'FS Desroches Daily'!BT21</f>
        <v>30.000000000001137</v>
      </c>
      <c r="AN19" s="36">
        <f>'FS Desroches Daily'!BV21</f>
        <v>38</v>
      </c>
      <c r="AO19" s="36">
        <f>'FS Desroches Daily'!BX21</f>
        <v>39.999999999992042</v>
      </c>
      <c r="AP19" s="36">
        <f>'FS Desroches Daily'!BZ21</f>
        <v>56</v>
      </c>
      <c r="AQ19" s="35">
        <f>'FS Desroches Daily'!CB21</f>
        <v>23.899999999997817</v>
      </c>
      <c r="AR19" s="35">
        <f>'FS Desroches Daily'!CD21</f>
        <v>10.100000000000364</v>
      </c>
      <c r="AS19" s="35">
        <f>'FS Desroches Daily'!CF21</f>
        <v>1.0999999999994543</v>
      </c>
      <c r="AT19" s="35">
        <f>'FS Desroches Daily'!CH21</f>
        <v>35</v>
      </c>
      <c r="AU19" s="35">
        <f>'FS Desroches Daily'!CJ21</f>
        <v>337</v>
      </c>
      <c r="AV19" s="35">
        <f>'FS Desroches Daily'!CL21</f>
        <v>549.99999999995453</v>
      </c>
      <c r="AW19" s="35">
        <f>'FS Desroches Daily'!CM21</f>
        <v>63</v>
      </c>
      <c r="AX19" s="35">
        <f>IF(LPG!F26-LPG!F25&lt;0,"0",(LPG!F26-LPG!F25)*1.8315)</f>
        <v>14.651999999999999</v>
      </c>
      <c r="AY19" s="35">
        <f>IF(LPG!H26-LPG!H25&lt;0,"0",(LPG!H26-LPG!H25)*1.8315)</f>
        <v>3.6629999999999998</v>
      </c>
      <c r="AZ19" s="35">
        <f>IF(LPG!J26-LPG!J25&lt;0,"0",(LPG!J26-LPG!J25)*1.8315)</f>
        <v>3.6629999999999998</v>
      </c>
      <c r="BA19" s="35">
        <f>IF(LPG!M26-LPG!M25&lt;0,"0",(LPG!M26-LPG!M25)*1.8315)</f>
        <v>1.8314999999999999</v>
      </c>
      <c r="BB19" s="35">
        <f>IF(LPG!Q26-LPG!Q25&lt;0,"0",(LPG!Q26-LPG!Q25)*1.8315)</f>
        <v>3.6629999999999998</v>
      </c>
      <c r="BC19" s="13">
        <f>'FS Desroches Daily'!CN21</f>
        <v>11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 t="str">
        <f>'FS Desroches Daily'!D22</f>
        <v>0</v>
      </c>
      <c r="F20" s="36" t="str">
        <f>'FS Desroches Daily'!F22</f>
        <v>0</v>
      </c>
      <c r="G20" s="35" t="str">
        <f>'FS Desroches Daily'!H22</f>
        <v>0</v>
      </c>
      <c r="H20" s="36" t="str">
        <f>'FS Desroches Daily'!J22</f>
        <v>0</v>
      </c>
      <c r="I20" s="35" t="str">
        <f>'FS Desroches Daily'!L22</f>
        <v>0</v>
      </c>
      <c r="J20" s="36" t="str">
        <f>'FS Desroches Daily'!N22</f>
        <v/>
      </c>
      <c r="K20" s="13" t="str">
        <f>'FS Desroches Daily'!P22</f>
        <v/>
      </c>
      <c r="L20" s="35" t="str">
        <f>'FS Desroches Daily'!R22</f>
        <v/>
      </c>
      <c r="M20" s="35">
        <f>'FS Desroches Daily'!T22</f>
        <v>0</v>
      </c>
      <c r="N20" s="35">
        <f>'FS Desroches Daily'!V22</f>
        <v>0</v>
      </c>
      <c r="O20" s="35" t="str">
        <f>'FS Desroches Daily'!X22</f>
        <v/>
      </c>
      <c r="P20" s="35" t="str">
        <f>'FS Desroches Daily'!Z22</f>
        <v/>
      </c>
      <c r="Q20" s="35" t="str">
        <f>'FS Desroches Daily'!AB22</f>
        <v/>
      </c>
      <c r="R20" s="35" t="str">
        <f>'FS Desroches Daily'!AD22</f>
        <v/>
      </c>
      <c r="S20" s="35" t="str">
        <f>'FS Desroches Daily'!AF22</f>
        <v/>
      </c>
      <c r="T20" s="35" t="str">
        <f>'FS Desroches Daily'!AH22</f>
        <v/>
      </c>
      <c r="U20" s="39" t="str">
        <f>'FS Desroches Daily'!AJ22</f>
        <v/>
      </c>
      <c r="V20" s="39" t="str">
        <f>'FS Desroches Daily'!AL22</f>
        <v/>
      </c>
      <c r="W20" s="39" t="str">
        <f>'FS Desroches Daily'!AN22</f>
        <v/>
      </c>
      <c r="X20" s="39" t="str">
        <f>'FS Desroches Daily'!AP22</f>
        <v/>
      </c>
      <c r="Y20" s="39" t="str">
        <f>'FS Desroches Daily'!AR22</f>
        <v/>
      </c>
      <c r="Z20" s="39" t="str">
        <f>'FS Desroches Daily'!AT22</f>
        <v/>
      </c>
      <c r="AA20" s="39" t="str">
        <f>'FS Desroches Daily'!AT22</f>
        <v/>
      </c>
      <c r="AB20" s="39" t="str">
        <f>'FS Desroches Daily'!AV22</f>
        <v/>
      </c>
      <c r="AC20" s="39" t="str">
        <f>'FS Desroches Daily'!AZ22</f>
        <v/>
      </c>
      <c r="AD20" s="39" t="str">
        <f>'FS Desroches Daily'!BB22</f>
        <v/>
      </c>
      <c r="AE20" s="39" t="str">
        <f>'FS Desroches Daily'!BD22</f>
        <v/>
      </c>
      <c r="AF20" s="35" t="str">
        <f>'FS Desroches Daily'!BF22</f>
        <v/>
      </c>
      <c r="AG20" s="36" t="str">
        <f>'FS Desroches Daily'!BH22</f>
        <v/>
      </c>
      <c r="AH20" s="36" t="str">
        <f>'FS Desroches Daily'!BJ22</f>
        <v/>
      </c>
      <c r="AI20" s="36" t="str">
        <f>'FS Desroches Daily'!BL22</f>
        <v/>
      </c>
      <c r="AJ20" s="36" t="str">
        <f>'FS Desroches Daily'!BN22</f>
        <v/>
      </c>
      <c r="AK20" s="36" t="str">
        <f>'FS Desroches Daily'!BP22</f>
        <v/>
      </c>
      <c r="AL20" s="36" t="str">
        <f>'FS Desroches Daily'!BR22</f>
        <v/>
      </c>
      <c r="AM20" s="36" t="str">
        <f>'FS Desroches Daily'!BT22</f>
        <v/>
      </c>
      <c r="AN20" s="36" t="str">
        <f>'FS Desroches Daily'!BV22</f>
        <v/>
      </c>
      <c r="AO20" s="36" t="str">
        <f>'FS Desroches Daily'!BX22</f>
        <v/>
      </c>
      <c r="AP20" s="36" t="str">
        <f>'FS Desroches Daily'!BZ22</f>
        <v/>
      </c>
      <c r="AQ20" s="35" t="str">
        <f>'FS Desroches Daily'!CB22</f>
        <v/>
      </c>
      <c r="AR20" s="35" t="str">
        <f>'FS Desroches Daily'!CD22</f>
        <v/>
      </c>
      <c r="AS20" s="35" t="str">
        <f>'FS Desroches Daily'!CF22</f>
        <v/>
      </c>
      <c r="AT20" s="35" t="str">
        <f>'FS Desroches Daily'!CH22</f>
        <v/>
      </c>
      <c r="AU20" s="35" t="str">
        <f>'FS Desroches Daily'!CJ22</f>
        <v/>
      </c>
      <c r="AV20" s="35" t="str">
        <f>'FS Desroches Daily'!CL22</f>
        <v/>
      </c>
      <c r="AW20" s="35">
        <f>'FS Desroches Daily'!CM22</f>
        <v>0</v>
      </c>
      <c r="AX20" s="35" t="str">
        <f>IF(LPG!F27-LPG!F26&lt;0,"0",(LPG!F27-LPG!F26)*1.8315)</f>
        <v>0</v>
      </c>
      <c r="AY20" s="35" t="str">
        <f>IF(LPG!H27-LPG!H26&lt;0,"0",(LPG!H27-LPG!H26)*1.8315)</f>
        <v>0</v>
      </c>
      <c r="AZ20" s="35" t="str">
        <f>IF(LPG!J27-LPG!J26&lt;0,"0",(LPG!J27-LPG!J26)*1.8315)</f>
        <v>0</v>
      </c>
      <c r="BA20" s="35" t="str">
        <f>IF(LPG!M27-LPG!M26&lt;0,"0",(LPG!M27-LPG!M26)*1.8315)</f>
        <v>0</v>
      </c>
      <c r="BB20" s="35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42900.00000000016</v>
      </c>
      <c r="F33" s="17">
        <f t="shared" ref="F33:BC33" si="1">SUM(F2:F32)</f>
        <v>63900.00000000032</v>
      </c>
      <c r="G33" s="17">
        <f t="shared" si="1"/>
        <v>56600</v>
      </c>
      <c r="H33" s="17">
        <f t="shared" si="1"/>
        <v>29600.00000000008</v>
      </c>
      <c r="I33" s="17">
        <f t="shared" si="1"/>
        <v>43999.999999999804</v>
      </c>
      <c r="J33" s="17">
        <f t="shared" si="1"/>
        <v>29000</v>
      </c>
      <c r="K33" s="17">
        <f t="shared" si="1"/>
        <v>373</v>
      </c>
      <c r="L33" s="17">
        <f t="shared" si="1"/>
        <v>151</v>
      </c>
      <c r="M33" s="17">
        <f t="shared" si="1"/>
        <v>21113</v>
      </c>
      <c r="N33" s="17">
        <f t="shared" si="1"/>
        <v>8631</v>
      </c>
      <c r="O33" s="17">
        <f t="shared" si="1"/>
        <v>7750</v>
      </c>
      <c r="P33" s="17">
        <f t="shared" si="1"/>
        <v>55800.000000000087</v>
      </c>
      <c r="Q33" s="17">
        <f t="shared" si="1"/>
        <v>7879.9999999999945</v>
      </c>
      <c r="R33" s="17">
        <f t="shared" si="1"/>
        <v>6359.9999999999854</v>
      </c>
      <c r="S33" s="17">
        <f t="shared" si="1"/>
        <v>12780.000000000427</v>
      </c>
      <c r="T33" s="17">
        <f t="shared" si="1"/>
        <v>31.699999999999932</v>
      </c>
      <c r="U33" s="39">
        <f t="shared" si="1"/>
        <v>10469.999999999969</v>
      </c>
      <c r="V33" s="39">
        <f t="shared" si="1"/>
        <v>3.6199999999999903</v>
      </c>
      <c r="W33" s="39">
        <f t="shared" si="1"/>
        <v>3.5</v>
      </c>
      <c r="X33" s="39">
        <f t="shared" si="1"/>
        <v>3.019999999999996</v>
      </c>
      <c r="Y33" s="39">
        <f t="shared" si="1"/>
        <v>2379.9999999999959</v>
      </c>
      <c r="Z33" s="39">
        <f t="shared" si="1"/>
        <v>3080.0000000000409</v>
      </c>
      <c r="AA33" s="39">
        <f t="shared" si="1"/>
        <v>3080.0000000000409</v>
      </c>
      <c r="AB33" s="39">
        <f t="shared" si="1"/>
        <v>3229.99999999999</v>
      </c>
      <c r="AC33" s="39">
        <f t="shared" si="1"/>
        <v>829.99999999998408</v>
      </c>
      <c r="AD33" s="39">
        <f t="shared" si="1"/>
        <v>2060.0000000000023</v>
      </c>
      <c r="AE33" s="39">
        <f t="shared" si="1"/>
        <v>3079.9999999999836</v>
      </c>
      <c r="AF33" s="17">
        <f t="shared" si="1"/>
        <v>1050</v>
      </c>
      <c r="AG33" s="36">
        <f t="shared" si="1"/>
        <v>689.99999999999773</v>
      </c>
      <c r="AH33" s="36">
        <f t="shared" si="1"/>
        <v>920.00000000001592</v>
      </c>
      <c r="AI33" s="36">
        <f t="shared" si="1"/>
        <v>919.99999999998749</v>
      </c>
      <c r="AJ33" s="36">
        <f t="shared" si="1"/>
        <v>729.99999999998977</v>
      </c>
      <c r="AK33" s="36">
        <f t="shared" si="1"/>
        <v>859.9999999999568</v>
      </c>
      <c r="AL33" s="36">
        <f t="shared" si="1"/>
        <v>721</v>
      </c>
      <c r="AM33" s="36">
        <f t="shared" si="1"/>
        <v>780.00000000000114</v>
      </c>
      <c r="AN33" s="36">
        <f t="shared" si="1"/>
        <v>708</v>
      </c>
      <c r="AO33" s="36">
        <f t="shared" si="1"/>
        <v>819.99999999999318</v>
      </c>
      <c r="AP33" s="36">
        <f t="shared" si="1"/>
        <v>1106</v>
      </c>
      <c r="AQ33" s="17">
        <f t="shared" si="1"/>
        <v>701.09999999999854</v>
      </c>
      <c r="AR33" s="17">
        <f t="shared" si="1"/>
        <v>234</v>
      </c>
      <c r="AS33" s="17">
        <f t="shared" si="1"/>
        <v>105</v>
      </c>
      <c r="AT33" s="17">
        <f t="shared" si="1"/>
        <v>1008</v>
      </c>
      <c r="AU33" s="17">
        <f t="shared" si="1"/>
        <v>5567</v>
      </c>
      <c r="AV33" s="17">
        <f t="shared" si="1"/>
        <v>11029.999999999971</v>
      </c>
      <c r="AW33" s="17">
        <f t="shared" si="1"/>
        <v>1522.3</v>
      </c>
      <c r="AX33" s="17">
        <f t="shared" si="1"/>
        <v>263.73599999999993</v>
      </c>
      <c r="AY33" s="17">
        <f t="shared" si="1"/>
        <v>69.596999999999966</v>
      </c>
      <c r="AZ33" s="17">
        <f t="shared" si="1"/>
        <v>36.629999999999988</v>
      </c>
      <c r="BA33" s="17">
        <f t="shared" si="1"/>
        <v>69.597000000000008</v>
      </c>
      <c r="BB33" s="17">
        <f t="shared" si="1"/>
        <v>97.069499999999991</v>
      </c>
      <c r="BC33" s="17">
        <f t="shared" si="1"/>
        <v>407</v>
      </c>
    </row>
    <row r="35" spans="5:55" x14ac:dyDescent="0.25">
      <c r="E35" s="42">
        <f>E33/E37</f>
        <v>0.20127804521014578</v>
      </c>
      <c r="G35" s="33">
        <f>G33-M36</f>
        <v>26856</v>
      </c>
      <c r="AE35" s="39">
        <f>SUM(U33:AE33)</f>
        <v>28220.140000000007</v>
      </c>
      <c r="AG35" s="36">
        <f>SUM(AG33:AP33)</f>
        <v>8254.9999999999418</v>
      </c>
    </row>
    <row r="36" spans="5:55" x14ac:dyDescent="0.25">
      <c r="G36" s="33">
        <f>G35-633*14</f>
        <v>17994</v>
      </c>
      <c r="M36" s="33">
        <f>M33+N33</f>
        <v>29744</v>
      </c>
    </row>
    <row r="37" spans="5:55" x14ac:dyDescent="0.25">
      <c r="E37" s="17">
        <f>E33+F33+G33+H33+J33-633*14</f>
        <v>213138.00000000055</v>
      </c>
      <c r="G37" s="41">
        <f>M36/E37</f>
        <v>0.13955277801236721</v>
      </c>
      <c r="M37" s="39">
        <f>AE35</f>
        <v>28220.140000000007</v>
      </c>
    </row>
    <row r="38" spans="5:55" x14ac:dyDescent="0.25">
      <c r="L38" s="31">
        <f>M38/E37</f>
        <v>3.8730775366194299E-2</v>
      </c>
      <c r="M38" s="33">
        <f>AG35</f>
        <v>8254.9999999999418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zoomScale="70" zoomScaleNormal="70" workbookViewId="0">
      <pane ySplit="1" topLeftCell="A2" activePane="bottomLeft" state="frozen"/>
      <selection pane="bottomLeft" activeCell="CG23" sqref="CG23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715244</v>
      </c>
      <c r="T7" s="76">
        <f t="shared" si="8"/>
        <v>1490</v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>
        <v>719423</v>
      </c>
      <c r="T10" s="76">
        <f t="shared" si="8"/>
        <v>1181</v>
      </c>
      <c r="U10" s="65">
        <v>291211.59999999998</v>
      </c>
      <c r="V10" s="77">
        <f t="shared" si="9"/>
        <v>561.29999999998836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>
        <v>1.4132</v>
      </c>
      <c r="D11" s="76">
        <f t="shared" si="3"/>
        <v>1800.0000000000239</v>
      </c>
      <c r="E11" s="65">
        <v>2.3515999999999999</v>
      </c>
      <c r="F11" s="76">
        <f t="shared" si="4"/>
        <v>3499.9999999998367</v>
      </c>
      <c r="G11" s="65">
        <v>2.1863000000000001</v>
      </c>
      <c r="H11" s="76">
        <f t="shared" si="5"/>
        <v>2900.0000000003465</v>
      </c>
      <c r="I11" s="65">
        <v>1.0190999999999999</v>
      </c>
      <c r="J11" s="76">
        <f t="shared" si="43"/>
        <v>1599.9999999998238</v>
      </c>
      <c r="K11" s="65">
        <v>1.5716000000000001</v>
      </c>
      <c r="L11" s="76">
        <f t="shared" si="0"/>
        <v>2400.0000000001796</v>
      </c>
      <c r="M11" s="65">
        <v>983.96</v>
      </c>
      <c r="N11" s="77">
        <f t="shared" si="22"/>
        <v>1639.9999999999864</v>
      </c>
      <c r="O11" s="65">
        <v>11022</v>
      </c>
      <c r="P11" s="77">
        <f t="shared" si="6"/>
        <v>19</v>
      </c>
      <c r="Q11" s="65">
        <v>4384</v>
      </c>
      <c r="R11" s="77">
        <f t="shared" si="7"/>
        <v>8</v>
      </c>
      <c r="S11" s="65">
        <v>720912.3</v>
      </c>
      <c r="T11" s="76">
        <f t="shared" si="8"/>
        <v>1489.3000000000466</v>
      </c>
      <c r="U11" s="65">
        <v>291694.09999999998</v>
      </c>
      <c r="V11" s="77">
        <f t="shared" si="9"/>
        <v>482.5</v>
      </c>
      <c r="W11" s="65">
        <v>283.98</v>
      </c>
      <c r="X11" s="77">
        <f t="shared" si="23"/>
        <v>410.00000000002501</v>
      </c>
      <c r="Y11" s="65">
        <v>2.0880000000000001</v>
      </c>
      <c r="Z11" s="77">
        <f t="shared" si="24"/>
        <v>3099.9999999998809</v>
      </c>
      <c r="AA11" s="65">
        <v>281.95</v>
      </c>
      <c r="AB11" s="77">
        <f t="shared" si="25"/>
        <v>430.00000000000682</v>
      </c>
      <c r="AC11" s="65">
        <v>255.4</v>
      </c>
      <c r="AD11" s="77">
        <f t="shared" si="26"/>
        <v>360.00000000001364</v>
      </c>
      <c r="AE11" s="65">
        <v>379.58</v>
      </c>
      <c r="AF11" s="77">
        <f t="shared" si="27"/>
        <v>750</v>
      </c>
      <c r="AG11" s="65">
        <v>1005.2</v>
      </c>
      <c r="AH11" s="77">
        <f t="shared" si="10"/>
        <v>1.5</v>
      </c>
      <c r="AI11" s="65">
        <v>353.33</v>
      </c>
      <c r="AJ11" s="77">
        <f t="shared" si="28"/>
        <v>310.00000000000227</v>
      </c>
      <c r="AK11" s="65">
        <v>121.71</v>
      </c>
      <c r="AL11" s="77">
        <f t="shared" si="11"/>
        <v>0.20999999999999375</v>
      </c>
      <c r="AM11" s="65">
        <v>123.47</v>
      </c>
      <c r="AN11" s="77">
        <f t="shared" si="12"/>
        <v>0.14000000000000057</v>
      </c>
      <c r="AO11" s="65">
        <v>122.12</v>
      </c>
      <c r="AP11" s="77">
        <f t="shared" si="13"/>
        <v>0.10000000000000853</v>
      </c>
      <c r="AQ11" s="65">
        <v>197.81</v>
      </c>
      <c r="AR11" s="77">
        <f t="shared" si="29"/>
        <v>39.999999999992042</v>
      </c>
      <c r="AS11" s="65">
        <v>320.18</v>
      </c>
      <c r="AT11" s="77">
        <f t="shared" si="30"/>
        <v>90.000000000031832</v>
      </c>
      <c r="AU11" s="65">
        <v>245.93</v>
      </c>
      <c r="AV11" s="77">
        <f t="shared" si="31"/>
        <v>210.00000000000796</v>
      </c>
      <c r="AW11" s="65">
        <v>276.87</v>
      </c>
      <c r="AX11" s="77">
        <f t="shared" si="32"/>
        <v>60.000000000002274</v>
      </c>
      <c r="AY11" s="65">
        <v>328.45</v>
      </c>
      <c r="AZ11" s="77">
        <f t="shared" si="33"/>
        <v>39.99999999996362</v>
      </c>
      <c r="BA11" s="65">
        <v>349.09</v>
      </c>
      <c r="BB11" s="77">
        <f t="shared" si="34"/>
        <v>60.000000000002274</v>
      </c>
      <c r="BC11" s="65">
        <v>200.59</v>
      </c>
      <c r="BD11" s="77">
        <f t="shared" si="35"/>
        <v>229.99999999998977</v>
      </c>
      <c r="BE11" s="70">
        <v>22614</v>
      </c>
      <c r="BF11" s="77">
        <f t="shared" si="14"/>
        <v>62</v>
      </c>
      <c r="BG11" s="71">
        <v>219.63</v>
      </c>
      <c r="BH11" s="77">
        <f t="shared" si="36"/>
        <v>39.999999999992042</v>
      </c>
      <c r="BI11" s="70">
        <v>276.11</v>
      </c>
      <c r="BJ11" s="77">
        <f t="shared" si="37"/>
        <v>50.000000000011369</v>
      </c>
      <c r="BK11" s="70">
        <v>223.98</v>
      </c>
      <c r="BL11" s="77">
        <f t="shared" si="38"/>
        <v>39.999999999992042</v>
      </c>
      <c r="BM11" s="70">
        <v>206.98</v>
      </c>
      <c r="BN11" s="77">
        <f t="shared" si="39"/>
        <v>30.000000000001137</v>
      </c>
      <c r="BO11" s="70">
        <v>270.74</v>
      </c>
      <c r="BP11" s="77">
        <f t="shared" si="40"/>
        <v>40.000000000020464</v>
      </c>
      <c r="BQ11" s="70">
        <v>33951</v>
      </c>
      <c r="BR11" s="77">
        <f t="shared" si="15"/>
        <v>36</v>
      </c>
      <c r="BS11" s="70">
        <v>188.16</v>
      </c>
      <c r="BT11" s="77">
        <f t="shared" si="41"/>
        <v>30.000000000001137</v>
      </c>
      <c r="BU11" s="70">
        <v>24820</v>
      </c>
      <c r="BV11" s="77">
        <f t="shared" si="1"/>
        <v>37</v>
      </c>
      <c r="BW11" s="70">
        <v>217.5</v>
      </c>
      <c r="BX11" s="77">
        <f t="shared" si="42"/>
        <v>39.999999999992042</v>
      </c>
      <c r="BY11" s="72">
        <v>41017</v>
      </c>
      <c r="BZ11" s="77">
        <f t="shared" si="16"/>
        <v>61</v>
      </c>
      <c r="CA11" s="65">
        <v>24509.7</v>
      </c>
      <c r="CB11" s="77">
        <f t="shared" si="17"/>
        <v>62.700000000000728</v>
      </c>
      <c r="CC11" s="65">
        <v>10360.700000000001</v>
      </c>
      <c r="CD11" s="77">
        <f t="shared" si="18"/>
        <v>8.5</v>
      </c>
      <c r="CE11" s="65">
        <v>4919.3</v>
      </c>
      <c r="CF11" s="77">
        <f t="shared" si="19"/>
        <v>0.9000000000005457</v>
      </c>
      <c r="CG11" s="65">
        <v>37095.5</v>
      </c>
      <c r="CH11" s="77">
        <f t="shared" si="20"/>
        <v>64.69999999999709</v>
      </c>
      <c r="CI11" s="65">
        <v>817179</v>
      </c>
      <c r="CJ11" s="77">
        <f t="shared" si="2"/>
        <v>320</v>
      </c>
      <c r="CK11" s="65">
        <v>495.39</v>
      </c>
      <c r="CL11" s="76">
        <f t="shared" si="21"/>
        <v>539.99999999996362</v>
      </c>
      <c r="CM11" s="77">
        <v>78.3</v>
      </c>
      <c r="CN11" s="74">
        <v>23</v>
      </c>
      <c r="CO11" s="74">
        <v>49</v>
      </c>
    </row>
    <row r="12" spans="1:93" ht="25.5" customHeight="1" thickBot="1" x14ac:dyDescent="0.45">
      <c r="A12" s="75">
        <v>43839</v>
      </c>
      <c r="B12" s="49"/>
      <c r="C12" s="65">
        <v>1.4153</v>
      </c>
      <c r="D12" s="76">
        <f t="shared" si="3"/>
        <v>2099.9999999999909</v>
      </c>
      <c r="E12" s="65">
        <v>2.3552</v>
      </c>
      <c r="F12" s="76">
        <f t="shared" si="4"/>
        <v>3600.0000000000477</v>
      </c>
      <c r="G12" s="65">
        <v>2.1892999999999998</v>
      </c>
      <c r="H12" s="76">
        <f t="shared" si="5"/>
        <v>2999.9999999996694</v>
      </c>
      <c r="I12" s="65">
        <v>1.0208999999999999</v>
      </c>
      <c r="J12" s="76">
        <f t="shared" si="43"/>
        <v>1800.0000000000239</v>
      </c>
      <c r="K12" s="65">
        <v>1.5744</v>
      </c>
      <c r="L12" s="76">
        <f t="shared" si="0"/>
        <v>2799.9999999999136</v>
      </c>
      <c r="M12" s="65">
        <v>985.91</v>
      </c>
      <c r="N12" s="77">
        <f t="shared" si="22"/>
        <v>1949.9999999999318</v>
      </c>
      <c r="O12" s="65">
        <v>11042</v>
      </c>
      <c r="P12" s="77">
        <f t="shared" si="6"/>
        <v>20</v>
      </c>
      <c r="Q12" s="65">
        <v>4393</v>
      </c>
      <c r="R12" s="77">
        <f t="shared" si="7"/>
        <v>9</v>
      </c>
      <c r="S12" s="65">
        <v>722145.5</v>
      </c>
      <c r="T12" s="77">
        <f t="shared" ref="T12:T34" si="44">IF((S12-S11&lt;0), "",S12-S11)</f>
        <v>1233.1999999999534</v>
      </c>
      <c r="U12" s="65">
        <v>292282.09999999998</v>
      </c>
      <c r="V12" s="77">
        <f t="shared" si="9"/>
        <v>588</v>
      </c>
      <c r="W12" s="65">
        <v>284.39999999999998</v>
      </c>
      <c r="X12" s="77">
        <f t="shared" si="23"/>
        <v>419.99999999995907</v>
      </c>
      <c r="Y12" s="65">
        <v>2.0910000000000002</v>
      </c>
      <c r="Z12" s="77">
        <f t="shared" si="24"/>
        <v>3000.0000000001137</v>
      </c>
      <c r="AA12" s="65">
        <v>282.48</v>
      </c>
      <c r="AB12" s="77">
        <f t="shared" si="25"/>
        <v>530.00000000002956</v>
      </c>
      <c r="AC12" s="65">
        <v>255.8</v>
      </c>
      <c r="AD12" s="77">
        <f t="shared" si="26"/>
        <v>400.00000000000568</v>
      </c>
      <c r="AE12" s="65">
        <v>380.34</v>
      </c>
      <c r="AF12" s="77">
        <f t="shared" si="27"/>
        <v>759.99999999999091</v>
      </c>
      <c r="AG12" s="65">
        <v>1006.8</v>
      </c>
      <c r="AH12" s="77">
        <f t="shared" si="10"/>
        <v>1.5999999999999091</v>
      </c>
      <c r="AI12" s="65">
        <v>353.67</v>
      </c>
      <c r="AJ12" s="77">
        <f t="shared" si="28"/>
        <v>340.00000000003183</v>
      </c>
      <c r="AK12" s="65">
        <v>121.92</v>
      </c>
      <c r="AL12" s="77">
        <f t="shared" si="11"/>
        <v>0.21000000000000796</v>
      </c>
      <c r="AM12" s="65">
        <v>123.63</v>
      </c>
      <c r="AN12" s="77">
        <f t="shared" si="12"/>
        <v>0.15999999999999659</v>
      </c>
      <c r="AO12" s="65">
        <v>122.24</v>
      </c>
      <c r="AP12" s="77">
        <f t="shared" si="13"/>
        <v>0.11999999999999034</v>
      </c>
      <c r="AQ12" s="65">
        <v>197.86</v>
      </c>
      <c r="AR12" s="77">
        <f t="shared" si="29"/>
        <v>50.000000000011369</v>
      </c>
      <c r="AS12" s="65">
        <v>320.27</v>
      </c>
      <c r="AT12" s="77">
        <f t="shared" si="30"/>
        <v>89.999999999974989</v>
      </c>
      <c r="AU12" s="65">
        <v>246.15</v>
      </c>
      <c r="AV12" s="77">
        <f t="shared" si="31"/>
        <v>219.99999999999886</v>
      </c>
      <c r="AW12" s="65">
        <v>276.93</v>
      </c>
      <c r="AX12" s="77">
        <f t="shared" si="32"/>
        <v>60.000000000002274</v>
      </c>
      <c r="AY12" s="65">
        <v>328.5</v>
      </c>
      <c r="AZ12" s="77">
        <f t="shared" si="33"/>
        <v>50.000000000011369</v>
      </c>
      <c r="BA12" s="65">
        <v>349.16</v>
      </c>
      <c r="BB12" s="77">
        <f t="shared" si="34"/>
        <v>70.000000000050022</v>
      </c>
      <c r="BC12" s="65">
        <v>200.81</v>
      </c>
      <c r="BD12" s="77">
        <f t="shared" si="35"/>
        <v>219.99999999999886</v>
      </c>
      <c r="BE12" s="70">
        <v>22677</v>
      </c>
      <c r="BF12" s="77">
        <f t="shared" si="14"/>
        <v>63</v>
      </c>
      <c r="BG12" s="71">
        <v>219.66</v>
      </c>
      <c r="BH12" s="77">
        <f t="shared" si="36"/>
        <v>30.000000000001137</v>
      </c>
      <c r="BI12" s="70">
        <v>276.14999999999998</v>
      </c>
      <c r="BJ12" s="77">
        <f t="shared" si="37"/>
        <v>39.99999999996362</v>
      </c>
      <c r="BK12" s="70">
        <v>224.04</v>
      </c>
      <c r="BL12" s="77">
        <f t="shared" si="38"/>
        <v>60.000000000002274</v>
      </c>
      <c r="BM12" s="70">
        <v>207.02</v>
      </c>
      <c r="BN12" s="77">
        <f t="shared" si="39"/>
        <v>40.000000000020464</v>
      </c>
      <c r="BO12" s="70">
        <v>270.79000000000002</v>
      </c>
      <c r="BP12" s="77">
        <f t="shared" si="40"/>
        <v>50.000000000011369</v>
      </c>
      <c r="BQ12" s="70">
        <v>33989</v>
      </c>
      <c r="BR12" s="77">
        <f t="shared" si="15"/>
        <v>38</v>
      </c>
      <c r="BS12" s="70">
        <v>188.2</v>
      </c>
      <c r="BT12" s="77">
        <f t="shared" si="41"/>
        <v>39.999999999992042</v>
      </c>
      <c r="BU12" s="70">
        <v>24857</v>
      </c>
      <c r="BV12" s="77">
        <f t="shared" si="1"/>
        <v>37</v>
      </c>
      <c r="BW12" s="70">
        <v>217.55</v>
      </c>
      <c r="BX12" s="77">
        <f t="shared" si="42"/>
        <v>50.000000000011369</v>
      </c>
      <c r="BY12" s="72">
        <v>41070</v>
      </c>
      <c r="BZ12" s="77">
        <f t="shared" si="16"/>
        <v>53</v>
      </c>
      <c r="CA12" s="65">
        <v>24561.4</v>
      </c>
      <c r="CB12" s="77">
        <f t="shared" si="17"/>
        <v>51.700000000000728</v>
      </c>
      <c r="CC12" s="65">
        <v>10370</v>
      </c>
      <c r="CD12" s="77">
        <f t="shared" si="18"/>
        <v>9.2999999999992724</v>
      </c>
      <c r="CE12" s="65">
        <v>4925.6000000000004</v>
      </c>
      <c r="CF12" s="77">
        <f t="shared" si="19"/>
        <v>6.3000000000001819</v>
      </c>
      <c r="CG12" s="65">
        <v>37166</v>
      </c>
      <c r="CH12" s="77">
        <f t="shared" si="20"/>
        <v>70.5</v>
      </c>
      <c r="CI12" s="65">
        <v>817542</v>
      </c>
      <c r="CJ12" s="77">
        <f t="shared" si="2"/>
        <v>363</v>
      </c>
      <c r="CK12" s="65">
        <v>495.94</v>
      </c>
      <c r="CL12" s="76">
        <f t="shared" si="21"/>
        <v>550.00000000001137</v>
      </c>
      <c r="CM12" s="77">
        <v>79</v>
      </c>
      <c r="CN12" s="74">
        <v>24</v>
      </c>
      <c r="CO12" s="74">
        <v>58</v>
      </c>
    </row>
    <row r="13" spans="1:93" ht="25.5" customHeight="1" thickBot="1" x14ac:dyDescent="0.45">
      <c r="A13" s="75">
        <v>43840</v>
      </c>
      <c r="B13" s="49"/>
      <c r="C13" s="65">
        <v>1.4173</v>
      </c>
      <c r="D13" s="76">
        <f t="shared" si="3"/>
        <v>2000.0000000000018</v>
      </c>
      <c r="E13" s="65">
        <v>2.3586999999999998</v>
      </c>
      <c r="F13" s="76">
        <f t="shared" si="4"/>
        <v>3499.9999999998367</v>
      </c>
      <c r="G13" s="65">
        <v>2.1924999999999999</v>
      </c>
      <c r="H13" s="76">
        <f t="shared" si="5"/>
        <v>3200.0000000000919</v>
      </c>
      <c r="I13" s="65">
        <v>1.0226</v>
      </c>
      <c r="J13" s="76">
        <f t="shared" si="43"/>
        <v>1700.0000000000348</v>
      </c>
      <c r="K13" s="65">
        <v>1.5769</v>
      </c>
      <c r="L13" s="76">
        <f t="shared" si="0"/>
        <v>2499.9999999999468</v>
      </c>
      <c r="M13" s="65">
        <v>987.84</v>
      </c>
      <c r="N13" s="77">
        <f t="shared" si="22"/>
        <v>1930.0000000000637</v>
      </c>
      <c r="O13" s="65">
        <v>11062</v>
      </c>
      <c r="P13" s="77">
        <f t="shared" si="6"/>
        <v>20</v>
      </c>
      <c r="Q13" s="65">
        <v>4402</v>
      </c>
      <c r="R13" s="77">
        <f t="shared" si="7"/>
        <v>9</v>
      </c>
      <c r="S13" s="65">
        <v>723471.5</v>
      </c>
      <c r="T13" s="77">
        <f t="shared" si="44"/>
        <v>1326</v>
      </c>
      <c r="U13" s="65">
        <v>292780.09999999998</v>
      </c>
      <c r="V13" s="77">
        <f t="shared" si="9"/>
        <v>498</v>
      </c>
      <c r="W13" s="65">
        <v>284.86</v>
      </c>
      <c r="X13" s="77">
        <f t="shared" si="23"/>
        <v>460.00000000003638</v>
      </c>
      <c r="Y13" s="65">
        <v>2.0941000000000001</v>
      </c>
      <c r="Z13" s="77">
        <f t="shared" si="24"/>
        <v>3099.9999999998809</v>
      </c>
      <c r="AA13" s="65">
        <v>283.01</v>
      </c>
      <c r="AB13" s="77">
        <f t="shared" si="25"/>
        <v>529.99999999997272</v>
      </c>
      <c r="AC13" s="65">
        <v>256.27999999999997</v>
      </c>
      <c r="AD13" s="77">
        <f t="shared" si="26"/>
        <v>479.99999999996135</v>
      </c>
      <c r="AE13" s="65">
        <v>381.16</v>
      </c>
      <c r="AF13" s="77">
        <f t="shared" si="27"/>
        <v>820.00000000005002</v>
      </c>
      <c r="AG13" s="65">
        <v>1008.4</v>
      </c>
      <c r="AH13" s="77">
        <f t="shared" si="10"/>
        <v>1.6000000000000227</v>
      </c>
      <c r="AI13" s="65">
        <v>354</v>
      </c>
      <c r="AJ13" s="77">
        <f t="shared" si="28"/>
        <v>329.99999999998408</v>
      </c>
      <c r="AK13" s="65">
        <v>122.09</v>
      </c>
      <c r="AL13" s="77">
        <f t="shared" si="11"/>
        <v>0.17000000000000171</v>
      </c>
      <c r="AM13" s="65">
        <v>123.89</v>
      </c>
      <c r="AN13" s="77">
        <f t="shared" si="12"/>
        <v>0.26000000000000512</v>
      </c>
      <c r="AO13" s="65">
        <v>122.36</v>
      </c>
      <c r="AP13" s="77">
        <f t="shared" si="13"/>
        <v>0.12000000000000455</v>
      </c>
      <c r="AQ13" s="65">
        <v>197.92</v>
      </c>
      <c r="AR13" s="77">
        <f t="shared" si="29"/>
        <v>59.999999999973852</v>
      </c>
      <c r="AS13" s="65">
        <v>320.39</v>
      </c>
      <c r="AT13" s="77">
        <f t="shared" si="30"/>
        <v>120.00000000000455</v>
      </c>
      <c r="AU13" s="65">
        <v>246.39</v>
      </c>
      <c r="AV13" s="77">
        <f t="shared" si="31"/>
        <v>239.99999999998067</v>
      </c>
      <c r="AW13" s="65">
        <v>276.99</v>
      </c>
      <c r="AX13" s="77">
        <f t="shared" si="32"/>
        <v>60.000000000002274</v>
      </c>
      <c r="AY13" s="65">
        <v>328.55</v>
      </c>
      <c r="AZ13" s="77">
        <f t="shared" si="33"/>
        <v>50.000000000011369</v>
      </c>
      <c r="BA13" s="65">
        <v>349.22</v>
      </c>
      <c r="BB13" s="77">
        <f t="shared" si="34"/>
        <v>60.000000000002274</v>
      </c>
      <c r="BC13" s="65">
        <v>201.07</v>
      </c>
      <c r="BD13" s="77">
        <f t="shared" si="35"/>
        <v>259.99999999999091</v>
      </c>
      <c r="BE13" s="70">
        <v>22741</v>
      </c>
      <c r="BF13" s="77">
        <f t="shared" si="14"/>
        <v>64</v>
      </c>
      <c r="BG13" s="71">
        <v>219.7</v>
      </c>
      <c r="BH13" s="77">
        <f t="shared" si="36"/>
        <v>39.999999999992042</v>
      </c>
      <c r="BI13" s="70">
        <v>276.20999999999998</v>
      </c>
      <c r="BJ13" s="77">
        <f t="shared" si="37"/>
        <v>60.000000000002274</v>
      </c>
      <c r="BK13" s="70">
        <v>224.09</v>
      </c>
      <c r="BL13" s="77">
        <f t="shared" si="38"/>
        <v>50.000000000011369</v>
      </c>
      <c r="BM13" s="70">
        <v>207.05</v>
      </c>
      <c r="BN13" s="77">
        <f t="shared" si="39"/>
        <v>30.000000000001137</v>
      </c>
      <c r="BO13" s="70">
        <v>270.85000000000002</v>
      </c>
      <c r="BP13" s="77">
        <f t="shared" si="40"/>
        <v>60.000000000002274</v>
      </c>
      <c r="BQ13" s="70">
        <v>34020</v>
      </c>
      <c r="BR13" s="77">
        <f t="shared" si="15"/>
        <v>31</v>
      </c>
      <c r="BS13" s="70">
        <v>188.25</v>
      </c>
      <c r="BT13" s="77">
        <f t="shared" si="41"/>
        <v>50.000000000011369</v>
      </c>
      <c r="BU13" s="70">
        <v>24889</v>
      </c>
      <c r="BV13" s="77">
        <f t="shared" si="1"/>
        <v>32</v>
      </c>
      <c r="BW13" s="70">
        <v>217.61</v>
      </c>
      <c r="BX13" s="77">
        <f t="shared" si="42"/>
        <v>60.000000000002274</v>
      </c>
      <c r="BY13" s="72">
        <v>41124</v>
      </c>
      <c r="BZ13" s="77">
        <f t="shared" si="16"/>
        <v>54</v>
      </c>
      <c r="CA13" s="65">
        <v>24592.7</v>
      </c>
      <c r="CB13" s="77">
        <f t="shared" si="17"/>
        <v>31.299999999999272</v>
      </c>
      <c r="CC13" s="65">
        <v>10380</v>
      </c>
      <c r="CD13" s="77">
        <f t="shared" si="18"/>
        <v>10</v>
      </c>
      <c r="CE13" s="65">
        <v>4932.7</v>
      </c>
      <c r="CF13" s="77">
        <f t="shared" si="19"/>
        <v>7.0999999999994543</v>
      </c>
      <c r="CG13" s="65">
        <v>37220</v>
      </c>
      <c r="CH13" s="77">
        <f t="shared" si="20"/>
        <v>54</v>
      </c>
      <c r="CI13" s="65">
        <v>817851</v>
      </c>
      <c r="CJ13" s="77">
        <f t="shared" si="2"/>
        <v>309</v>
      </c>
      <c r="CK13" s="65">
        <v>496.53</v>
      </c>
      <c r="CL13" s="76">
        <f t="shared" si="21"/>
        <v>589.99999999997499</v>
      </c>
      <c r="CM13" s="77">
        <v>86</v>
      </c>
      <c r="CN13" s="74">
        <v>28</v>
      </c>
      <c r="CO13" s="74">
        <v>59</v>
      </c>
    </row>
    <row r="14" spans="1:93" ht="25.5" customHeight="1" thickBot="1" x14ac:dyDescent="0.45">
      <c r="A14" s="75">
        <v>43841</v>
      </c>
      <c r="B14" s="49"/>
      <c r="C14" s="65">
        <v>1.4192</v>
      </c>
      <c r="D14" s="76">
        <f t="shared" si="3"/>
        <v>1900.0000000000127</v>
      </c>
      <c r="E14" s="65">
        <v>2.3620000000000001</v>
      </c>
      <c r="F14" s="76">
        <f t="shared" si="4"/>
        <v>3300.0000000003029</v>
      </c>
      <c r="G14" s="65">
        <v>2.1953</v>
      </c>
      <c r="H14" s="76">
        <f t="shared" si="5"/>
        <v>2800.0000000001355</v>
      </c>
      <c r="I14" s="65">
        <v>1.0241</v>
      </c>
      <c r="J14" s="76">
        <f t="shared" si="43"/>
        <v>1500.0000000000568</v>
      </c>
      <c r="K14" s="65">
        <v>1.5791999999999999</v>
      </c>
      <c r="L14" s="76">
        <f t="shared" si="0"/>
        <v>2299.9999999999686</v>
      </c>
      <c r="M14" s="65">
        <v>989.31</v>
      </c>
      <c r="N14" s="77">
        <f t="shared" si="22"/>
        <v>1469.9999999999136</v>
      </c>
      <c r="O14" s="65">
        <v>11081</v>
      </c>
      <c r="P14" s="77">
        <f t="shared" si="6"/>
        <v>19</v>
      </c>
      <c r="Q14" s="65">
        <v>4411</v>
      </c>
      <c r="R14" s="77">
        <f t="shared" si="7"/>
        <v>9</v>
      </c>
      <c r="S14" s="65">
        <v>724798.9</v>
      </c>
      <c r="T14" s="77">
        <f t="shared" si="44"/>
        <v>1327.4000000000233</v>
      </c>
      <c r="U14" s="65">
        <v>293190.2</v>
      </c>
      <c r="V14" s="77">
        <f t="shared" si="9"/>
        <v>410.10000000003492</v>
      </c>
      <c r="W14" s="65">
        <v>285.27</v>
      </c>
      <c r="X14" s="77">
        <f t="shared" si="23"/>
        <v>409.99999999996817</v>
      </c>
      <c r="Y14" s="65">
        <v>2.0969000000000002</v>
      </c>
      <c r="Z14" s="77">
        <f t="shared" si="24"/>
        <v>2800.0000000001355</v>
      </c>
      <c r="AA14" s="65">
        <v>283.27999999999997</v>
      </c>
      <c r="AB14" s="77">
        <f t="shared" si="25"/>
        <v>269.99999999998181</v>
      </c>
      <c r="AC14" s="65">
        <v>256.73</v>
      </c>
      <c r="AD14" s="77">
        <f t="shared" si="26"/>
        <v>450.00000000004547</v>
      </c>
      <c r="AE14" s="65">
        <v>381.81</v>
      </c>
      <c r="AF14" s="77">
        <f t="shared" si="27"/>
        <v>649.99999999997726</v>
      </c>
      <c r="AG14" s="65">
        <v>1009.7</v>
      </c>
      <c r="AH14" s="77">
        <f t="shared" si="10"/>
        <v>1.3000000000000682</v>
      </c>
      <c r="AI14" s="65">
        <v>354.3</v>
      </c>
      <c r="AJ14" s="77">
        <f t="shared" si="28"/>
        <v>300.00000000001137</v>
      </c>
      <c r="AK14" s="65">
        <v>122.25</v>
      </c>
      <c r="AL14" s="77">
        <f t="shared" si="11"/>
        <v>0.15999999999999659</v>
      </c>
      <c r="AM14" s="65">
        <v>124.12</v>
      </c>
      <c r="AN14" s="77">
        <f t="shared" si="12"/>
        <v>0.23000000000000398</v>
      </c>
      <c r="AO14" s="65">
        <v>122.5</v>
      </c>
      <c r="AP14" s="77">
        <f t="shared" si="13"/>
        <v>0.14000000000000057</v>
      </c>
      <c r="AQ14" s="65">
        <v>197.98</v>
      </c>
      <c r="AR14" s="77">
        <f t="shared" si="29"/>
        <v>60.000000000002274</v>
      </c>
      <c r="AS14" s="65">
        <v>320.5</v>
      </c>
      <c r="AT14" s="77">
        <f t="shared" si="30"/>
        <v>110.00000000001364</v>
      </c>
      <c r="AU14" s="65">
        <v>246.62</v>
      </c>
      <c r="AV14" s="77">
        <f t="shared" si="31"/>
        <v>230.00000000001819</v>
      </c>
      <c r="AW14" s="65">
        <v>277.05</v>
      </c>
      <c r="AX14" s="77">
        <f t="shared" si="32"/>
        <v>60.000000000002274</v>
      </c>
      <c r="AY14" s="65">
        <v>328.59</v>
      </c>
      <c r="AZ14" s="77">
        <f t="shared" si="33"/>
        <v>39.99999999996362</v>
      </c>
      <c r="BA14" s="65">
        <v>349.27</v>
      </c>
      <c r="BB14" s="77">
        <f t="shared" si="34"/>
        <v>49.999999999954525</v>
      </c>
      <c r="BC14" s="65">
        <v>201.29</v>
      </c>
      <c r="BD14" s="77">
        <f t="shared" si="35"/>
        <v>219.99999999999886</v>
      </c>
      <c r="BE14" s="70">
        <v>22797</v>
      </c>
      <c r="BF14" s="77">
        <f t="shared" si="14"/>
        <v>56</v>
      </c>
      <c r="BG14" s="71">
        <v>219.74</v>
      </c>
      <c r="BH14" s="77">
        <f t="shared" si="36"/>
        <v>40.000000000020464</v>
      </c>
      <c r="BI14" s="70">
        <v>276.25</v>
      </c>
      <c r="BJ14" s="77">
        <f t="shared" si="37"/>
        <v>40.000000000020464</v>
      </c>
      <c r="BK14" s="70">
        <v>224.15</v>
      </c>
      <c r="BL14" s="77">
        <f t="shared" si="38"/>
        <v>60.000000000002274</v>
      </c>
      <c r="BM14" s="70">
        <v>207.1</v>
      </c>
      <c r="BN14" s="77">
        <f t="shared" si="39"/>
        <v>49.999999999982947</v>
      </c>
      <c r="BO14" s="70">
        <v>270.87</v>
      </c>
      <c r="BP14" s="77">
        <f t="shared" si="40"/>
        <v>19.99999999998181</v>
      </c>
      <c r="BQ14" s="70">
        <v>34067</v>
      </c>
      <c r="BR14" s="77">
        <f t="shared" si="15"/>
        <v>47</v>
      </c>
      <c r="BS14" s="70">
        <v>188.29</v>
      </c>
      <c r="BT14" s="77">
        <f t="shared" si="41"/>
        <v>39.999999999992042</v>
      </c>
      <c r="BU14" s="70">
        <v>24931</v>
      </c>
      <c r="BV14" s="77">
        <f t="shared" si="1"/>
        <v>42</v>
      </c>
      <c r="BW14" s="70">
        <v>217.63</v>
      </c>
      <c r="BX14" s="77">
        <f t="shared" si="42"/>
        <v>19.99999999998181</v>
      </c>
      <c r="BY14" s="72">
        <v>41188</v>
      </c>
      <c r="BZ14" s="77">
        <f t="shared" si="16"/>
        <v>64</v>
      </c>
      <c r="CA14" s="65">
        <v>24621.4</v>
      </c>
      <c r="CB14" s="77">
        <f t="shared" si="17"/>
        <v>28.700000000000728</v>
      </c>
      <c r="CC14" s="65">
        <v>10398.5</v>
      </c>
      <c r="CD14" s="77">
        <f t="shared" si="18"/>
        <v>18.5</v>
      </c>
      <c r="CE14" s="65">
        <v>4933.3999999999996</v>
      </c>
      <c r="CF14" s="77">
        <f t="shared" si="19"/>
        <v>0.6999999999998181</v>
      </c>
      <c r="CG14" s="65">
        <v>37272</v>
      </c>
      <c r="CH14" s="77">
        <f t="shared" si="20"/>
        <v>52</v>
      </c>
      <c r="CI14" s="65">
        <v>818120</v>
      </c>
      <c r="CJ14" s="77">
        <f t="shared" si="2"/>
        <v>269</v>
      </c>
      <c r="CK14" s="65">
        <v>497.01</v>
      </c>
      <c r="CL14" s="76">
        <f t="shared" si="21"/>
        <v>480.00000000001819</v>
      </c>
      <c r="CM14" s="77">
        <v>81</v>
      </c>
      <c r="CN14" s="74">
        <v>27</v>
      </c>
      <c r="CO14" s="74">
        <v>59</v>
      </c>
    </row>
    <row r="15" spans="1:93" ht="25.5" customHeight="1" thickBot="1" x14ac:dyDescent="0.45">
      <c r="A15" s="75">
        <v>43842</v>
      </c>
      <c r="B15" s="49"/>
      <c r="C15" s="65">
        <v>1.4216</v>
      </c>
      <c r="D15" s="76">
        <f t="shared" si="3"/>
        <v>2399.9999999999577</v>
      </c>
      <c r="E15" s="65">
        <v>2.3654999999999999</v>
      </c>
      <c r="F15" s="76">
        <f t="shared" si="4"/>
        <v>3499.9999999998367</v>
      </c>
      <c r="G15" s="65">
        <v>2.1981000000000002</v>
      </c>
      <c r="H15" s="76">
        <f t="shared" si="5"/>
        <v>2800.0000000001355</v>
      </c>
      <c r="I15" s="65">
        <v>1.0258</v>
      </c>
      <c r="J15" s="76">
        <f t="shared" si="43"/>
        <v>1700.0000000000348</v>
      </c>
      <c r="K15" s="65">
        <v>1.5812999999999999</v>
      </c>
      <c r="L15" s="76">
        <f t="shared" si="0"/>
        <v>2099.9999999999909</v>
      </c>
      <c r="M15" s="65">
        <v>991.07</v>
      </c>
      <c r="N15" s="77">
        <f t="shared" si="22"/>
        <v>1760.0000000001046</v>
      </c>
      <c r="O15" s="65">
        <v>11103</v>
      </c>
      <c r="P15" s="77">
        <f t="shared" si="6"/>
        <v>22</v>
      </c>
      <c r="Q15" s="65">
        <v>4418</v>
      </c>
      <c r="R15" s="77">
        <f t="shared" si="7"/>
        <v>7</v>
      </c>
      <c r="S15" s="65">
        <v>725104</v>
      </c>
      <c r="T15" s="77">
        <f t="shared" si="44"/>
        <v>305.09999999997672</v>
      </c>
      <c r="U15" s="65">
        <v>293421</v>
      </c>
      <c r="V15" s="77">
        <f t="shared" si="9"/>
        <v>230.79999999998836</v>
      </c>
      <c r="W15" s="65">
        <v>285.76</v>
      </c>
      <c r="X15" s="77">
        <f t="shared" si="23"/>
        <v>490.00000000000909</v>
      </c>
      <c r="Y15" s="65">
        <v>2.1</v>
      </c>
      <c r="Z15" s="77">
        <f t="shared" si="24"/>
        <v>3099.9999999998809</v>
      </c>
      <c r="AA15" s="65">
        <v>283.79000000000002</v>
      </c>
      <c r="AB15" s="77">
        <f t="shared" si="25"/>
        <v>510.00000000004775</v>
      </c>
      <c r="AC15" s="65">
        <v>257.12</v>
      </c>
      <c r="AD15" s="77">
        <f t="shared" si="26"/>
        <v>389.99999999998636</v>
      </c>
      <c r="AE15" s="65">
        <v>382.55</v>
      </c>
      <c r="AF15" s="77">
        <f t="shared" si="27"/>
        <v>740.00000000000909</v>
      </c>
      <c r="AG15" s="65">
        <v>1011.6</v>
      </c>
      <c r="AH15" s="77">
        <f t="shared" si="10"/>
        <v>1.8999999999999773</v>
      </c>
      <c r="AI15" s="65">
        <v>355.05</v>
      </c>
      <c r="AJ15" s="77">
        <f t="shared" si="28"/>
        <v>750</v>
      </c>
      <c r="AK15" s="65">
        <v>122.5</v>
      </c>
      <c r="AL15" s="77">
        <f t="shared" si="11"/>
        <v>0.25</v>
      </c>
      <c r="AM15" s="65">
        <v>124.36</v>
      </c>
      <c r="AN15" s="77">
        <f t="shared" si="12"/>
        <v>0.23999999999999488</v>
      </c>
      <c r="AO15" s="65">
        <v>122.73</v>
      </c>
      <c r="AP15" s="77">
        <f t="shared" si="13"/>
        <v>0.23000000000000398</v>
      </c>
      <c r="AQ15" s="65">
        <v>198.07</v>
      </c>
      <c r="AR15" s="77">
        <f t="shared" si="29"/>
        <v>90.000000000003411</v>
      </c>
      <c r="AS15" s="65">
        <v>320.63</v>
      </c>
      <c r="AT15" s="77">
        <f t="shared" si="30"/>
        <v>129.99999999999545</v>
      </c>
      <c r="AU15" s="65">
        <v>246.75</v>
      </c>
      <c r="AV15" s="77">
        <f t="shared" si="31"/>
        <v>129.99999999999545</v>
      </c>
      <c r="AW15" s="65">
        <v>277.08999999999997</v>
      </c>
      <c r="AX15" s="77">
        <f t="shared" si="32"/>
        <v>39.99999999996362</v>
      </c>
      <c r="AY15" s="65">
        <v>328.65</v>
      </c>
      <c r="AZ15" s="77">
        <f t="shared" si="33"/>
        <v>60.000000000002274</v>
      </c>
      <c r="BA15" s="65">
        <v>349.32</v>
      </c>
      <c r="BB15" s="77">
        <f t="shared" si="34"/>
        <v>50.000000000011369</v>
      </c>
      <c r="BC15" s="65">
        <v>201.48</v>
      </c>
      <c r="BD15" s="77">
        <f t="shared" si="35"/>
        <v>189.99999999999773</v>
      </c>
      <c r="BE15" s="70">
        <v>22850</v>
      </c>
      <c r="BF15" s="77">
        <f t="shared" si="14"/>
        <v>53</v>
      </c>
      <c r="BG15" s="71">
        <v>219.78</v>
      </c>
      <c r="BH15" s="77">
        <f t="shared" si="36"/>
        <v>39.999999999992042</v>
      </c>
      <c r="BI15" s="70">
        <v>276.3</v>
      </c>
      <c r="BJ15" s="77">
        <f t="shared" si="37"/>
        <v>50.000000000011369</v>
      </c>
      <c r="BK15" s="70">
        <v>224.21</v>
      </c>
      <c r="BL15" s="77">
        <f t="shared" si="38"/>
        <v>60.000000000002274</v>
      </c>
      <c r="BM15" s="70">
        <v>207.15</v>
      </c>
      <c r="BN15" s="77">
        <f t="shared" si="39"/>
        <v>50.000000000011369</v>
      </c>
      <c r="BO15" s="70">
        <v>270.92</v>
      </c>
      <c r="BP15" s="77">
        <f t="shared" si="40"/>
        <v>50.000000000011369</v>
      </c>
      <c r="BQ15" s="70">
        <v>34107</v>
      </c>
      <c r="BR15" s="77">
        <f t="shared" si="15"/>
        <v>40</v>
      </c>
      <c r="BS15" s="70">
        <v>188.34</v>
      </c>
      <c r="BT15" s="77">
        <f t="shared" si="41"/>
        <v>50.000000000011369</v>
      </c>
      <c r="BU15" s="70">
        <v>24937</v>
      </c>
      <c r="BV15" s="77">
        <f t="shared" si="1"/>
        <v>6</v>
      </c>
      <c r="BW15" s="70">
        <v>217.68</v>
      </c>
      <c r="BX15" s="77">
        <f t="shared" si="42"/>
        <v>50.000000000011369</v>
      </c>
      <c r="BY15" s="72">
        <v>41242</v>
      </c>
      <c r="BZ15" s="77">
        <f t="shared" si="16"/>
        <v>54</v>
      </c>
      <c r="CA15" s="65">
        <v>24644.5</v>
      </c>
      <c r="CB15" s="77">
        <f t="shared" si="17"/>
        <v>23.099999999998545</v>
      </c>
      <c r="CC15" s="65">
        <v>10414.799999999999</v>
      </c>
      <c r="CD15" s="77">
        <f t="shared" si="18"/>
        <v>16.299999999999272</v>
      </c>
      <c r="CE15" s="65">
        <v>4939.8999999999996</v>
      </c>
      <c r="CF15" s="77">
        <f t="shared" si="19"/>
        <v>6.5</v>
      </c>
      <c r="CG15" s="65">
        <v>37328</v>
      </c>
      <c r="CH15" s="77">
        <f t="shared" si="20"/>
        <v>56</v>
      </c>
      <c r="CI15" s="65">
        <v>818427</v>
      </c>
      <c r="CJ15" s="77">
        <f t="shared" si="2"/>
        <v>307</v>
      </c>
      <c r="CK15" s="65">
        <v>497.54</v>
      </c>
      <c r="CL15" s="76">
        <f t="shared" si="21"/>
        <v>530.00000000002956</v>
      </c>
      <c r="CM15" s="77">
        <v>95.7</v>
      </c>
      <c r="CN15" s="74">
        <v>23</v>
      </c>
      <c r="CO15" s="74">
        <v>49</v>
      </c>
    </row>
    <row r="16" spans="1:93" ht="25.5" customHeight="1" thickBot="1" x14ac:dyDescent="0.45">
      <c r="A16" s="75">
        <v>43843</v>
      </c>
      <c r="B16" s="49"/>
      <c r="C16" s="65">
        <v>1.4242999999999999</v>
      </c>
      <c r="D16" s="76">
        <f t="shared" si="3"/>
        <v>2699.9999999999245</v>
      </c>
      <c r="E16" s="65">
        <v>2.3689</v>
      </c>
      <c r="F16" s="76">
        <f t="shared" si="4"/>
        <v>3400.0000000000696</v>
      </c>
      <c r="G16" s="65">
        <v>2.2012999999999998</v>
      </c>
      <c r="H16" s="76">
        <f t="shared" si="5"/>
        <v>3199.9999999996476</v>
      </c>
      <c r="I16" s="65">
        <v>1.0275000000000001</v>
      </c>
      <c r="J16" s="76">
        <f t="shared" si="43"/>
        <v>1700.0000000000348</v>
      </c>
      <c r="K16" s="65">
        <v>1.5834999999999999</v>
      </c>
      <c r="L16" s="76">
        <f t="shared" si="0"/>
        <v>2199.9999999999795</v>
      </c>
      <c r="M16" s="65">
        <v>993.04</v>
      </c>
      <c r="N16" s="77">
        <f t="shared" si="22"/>
        <v>1969.9999999999136</v>
      </c>
      <c r="O16" s="65">
        <v>11122</v>
      </c>
      <c r="P16" s="77">
        <f t="shared" si="6"/>
        <v>19</v>
      </c>
      <c r="Q16" s="65">
        <v>4427</v>
      </c>
      <c r="R16" s="77">
        <f t="shared" si="7"/>
        <v>9</v>
      </c>
      <c r="S16" s="65">
        <v>726181</v>
      </c>
      <c r="T16" s="77">
        <f t="shared" si="44"/>
        <v>1077</v>
      </c>
      <c r="U16" s="65">
        <v>293910</v>
      </c>
      <c r="V16" s="77">
        <f t="shared" si="9"/>
        <v>489</v>
      </c>
      <c r="W16" s="65">
        <v>286.22000000000003</v>
      </c>
      <c r="X16" s="77">
        <f t="shared" si="23"/>
        <v>460.00000000003638</v>
      </c>
      <c r="Y16" s="65">
        <v>2.1029</v>
      </c>
      <c r="Z16" s="77">
        <f t="shared" si="24"/>
        <v>2899.9999999999027</v>
      </c>
      <c r="AA16" s="65">
        <v>284.35000000000002</v>
      </c>
      <c r="AB16" s="77">
        <f t="shared" si="25"/>
        <v>560.00000000000227</v>
      </c>
      <c r="AC16" s="65">
        <v>257.56</v>
      </c>
      <c r="AD16" s="77">
        <f t="shared" si="26"/>
        <v>439.99999999999773</v>
      </c>
      <c r="AE16" s="65">
        <v>383.39</v>
      </c>
      <c r="AF16" s="77">
        <f t="shared" si="27"/>
        <v>839.99999999997499</v>
      </c>
      <c r="AG16" s="65">
        <v>1013.6</v>
      </c>
      <c r="AH16" s="77">
        <f t="shared" si="10"/>
        <v>2</v>
      </c>
      <c r="AI16" s="65">
        <v>355.86</v>
      </c>
      <c r="AJ16" s="77">
        <f t="shared" si="28"/>
        <v>810.00000000000227</v>
      </c>
      <c r="AK16" s="65">
        <v>122.76</v>
      </c>
      <c r="AL16" s="77">
        <f t="shared" si="11"/>
        <v>0.26000000000000512</v>
      </c>
      <c r="AM16" s="65">
        <v>124.59</v>
      </c>
      <c r="AN16" s="77">
        <f t="shared" si="12"/>
        <v>0.23000000000000398</v>
      </c>
      <c r="AO16" s="65">
        <v>123</v>
      </c>
      <c r="AP16" s="77">
        <f t="shared" si="13"/>
        <v>0.26999999999999602</v>
      </c>
      <c r="AQ16" s="65">
        <v>198.17</v>
      </c>
      <c r="AR16" s="77">
        <f t="shared" si="29"/>
        <v>99.999999999994316</v>
      </c>
      <c r="AS16" s="65">
        <v>320.77</v>
      </c>
      <c r="AT16" s="77">
        <f t="shared" si="30"/>
        <v>139.99999999998636</v>
      </c>
      <c r="AU16" s="65">
        <v>246.87</v>
      </c>
      <c r="AV16" s="77">
        <f t="shared" si="31"/>
        <v>120.00000000000455</v>
      </c>
      <c r="AW16" s="65">
        <v>277.14999999999998</v>
      </c>
      <c r="AX16" s="77">
        <f t="shared" si="32"/>
        <v>60.000000000002274</v>
      </c>
      <c r="AY16" s="65">
        <v>328.7</v>
      </c>
      <c r="AZ16" s="77">
        <f t="shared" si="33"/>
        <v>50.000000000011369</v>
      </c>
      <c r="BA16" s="65">
        <v>349.39</v>
      </c>
      <c r="BB16" s="77">
        <f t="shared" si="34"/>
        <v>69.999999999993179</v>
      </c>
      <c r="BC16" s="65">
        <v>201.67</v>
      </c>
      <c r="BD16" s="77">
        <f t="shared" si="35"/>
        <v>189.99999999999773</v>
      </c>
      <c r="BE16" s="70">
        <v>22897</v>
      </c>
      <c r="BF16" s="77">
        <f t="shared" si="14"/>
        <v>47</v>
      </c>
      <c r="BG16" s="71">
        <v>219.83</v>
      </c>
      <c r="BH16" s="77">
        <f t="shared" si="36"/>
        <v>50.000000000011369</v>
      </c>
      <c r="BI16" s="70">
        <v>276.37</v>
      </c>
      <c r="BJ16" s="77">
        <f t="shared" si="37"/>
        <v>69.999999999993179</v>
      </c>
      <c r="BK16" s="70">
        <v>224.28</v>
      </c>
      <c r="BL16" s="77">
        <f t="shared" si="38"/>
        <v>69.999999999993179</v>
      </c>
      <c r="BM16" s="70">
        <v>207.2</v>
      </c>
      <c r="BN16" s="77">
        <f t="shared" si="39"/>
        <v>49.999999999982947</v>
      </c>
      <c r="BO16" s="70">
        <v>270.98</v>
      </c>
      <c r="BP16" s="77">
        <f t="shared" si="40"/>
        <v>60.000000000002274</v>
      </c>
      <c r="BQ16" s="70">
        <v>34159</v>
      </c>
      <c r="BR16" s="77">
        <f t="shared" si="15"/>
        <v>52</v>
      </c>
      <c r="BS16" s="70">
        <v>188.4</v>
      </c>
      <c r="BT16" s="77">
        <f t="shared" si="41"/>
        <v>60.000000000002274</v>
      </c>
      <c r="BU16" s="70">
        <v>25018</v>
      </c>
      <c r="BV16" s="77">
        <f t="shared" si="1"/>
        <v>81</v>
      </c>
      <c r="BW16" s="70">
        <v>217.74</v>
      </c>
      <c r="BX16" s="77">
        <f t="shared" si="42"/>
        <v>60.000000000002274</v>
      </c>
      <c r="BY16" s="72">
        <v>41307</v>
      </c>
      <c r="BZ16" s="77">
        <f t="shared" si="16"/>
        <v>65</v>
      </c>
      <c r="CA16" s="65">
        <v>24660.799999999999</v>
      </c>
      <c r="CB16" s="77">
        <f t="shared" si="17"/>
        <v>16.299999999999272</v>
      </c>
      <c r="CC16" s="65">
        <v>10426.1</v>
      </c>
      <c r="CD16" s="77">
        <f t="shared" si="18"/>
        <v>11.300000000001091</v>
      </c>
      <c r="CE16" s="65">
        <v>4954</v>
      </c>
      <c r="CF16" s="77">
        <f t="shared" si="19"/>
        <v>14.100000000000364</v>
      </c>
      <c r="CG16" s="65">
        <v>37358</v>
      </c>
      <c r="CH16" s="77">
        <f t="shared" si="20"/>
        <v>30</v>
      </c>
      <c r="CI16" s="65">
        <v>818752</v>
      </c>
      <c r="CJ16" s="77">
        <f t="shared" si="2"/>
        <v>325</v>
      </c>
      <c r="CK16" s="65">
        <v>498.13</v>
      </c>
      <c r="CL16" s="76">
        <f t="shared" si="21"/>
        <v>589.99999999997499</v>
      </c>
      <c r="CM16" s="77">
        <v>99</v>
      </c>
      <c r="CN16" s="74">
        <v>18</v>
      </c>
      <c r="CO16" s="74">
        <v>40</v>
      </c>
    </row>
    <row r="17" spans="1:93" ht="25.5" customHeight="1" thickBot="1" x14ac:dyDescent="0.45">
      <c r="A17" s="75">
        <v>43844</v>
      </c>
      <c r="B17" s="49"/>
      <c r="C17" s="65">
        <v>1.4261999999999999</v>
      </c>
      <c r="D17" s="76">
        <f t="shared" si="3"/>
        <v>1900.0000000000127</v>
      </c>
      <c r="E17" s="65">
        <v>2.3719999999999999</v>
      </c>
      <c r="F17" s="76">
        <f t="shared" si="4"/>
        <v>3099.9999999998809</v>
      </c>
      <c r="G17" s="65">
        <v>2.2042000000000002</v>
      </c>
      <c r="H17" s="76">
        <f t="shared" si="5"/>
        <v>2900.0000000003465</v>
      </c>
      <c r="I17" s="65">
        <v>1.0288999999999999</v>
      </c>
      <c r="J17" s="76">
        <f t="shared" si="43"/>
        <v>1399.9999999998458</v>
      </c>
      <c r="K17" s="65">
        <v>1.5853999999999999</v>
      </c>
      <c r="L17" s="76">
        <f t="shared" si="0"/>
        <v>1900.0000000000127</v>
      </c>
      <c r="M17" s="65">
        <v>994.4</v>
      </c>
      <c r="N17" s="77">
        <f t="shared" si="22"/>
        <v>1360.0000000000136</v>
      </c>
      <c r="O17" s="65">
        <v>11148</v>
      </c>
      <c r="P17" s="77">
        <f t="shared" si="6"/>
        <v>26</v>
      </c>
      <c r="Q17" s="65">
        <v>4434</v>
      </c>
      <c r="R17" s="77">
        <f t="shared" si="7"/>
        <v>7</v>
      </c>
      <c r="S17" s="65">
        <v>727443</v>
      </c>
      <c r="T17" s="77">
        <f t="shared" si="44"/>
        <v>1262</v>
      </c>
      <c r="U17" s="65">
        <v>294518</v>
      </c>
      <c r="V17" s="77">
        <f t="shared" si="9"/>
        <v>608</v>
      </c>
      <c r="W17" s="65">
        <v>286.64</v>
      </c>
      <c r="X17" s="77">
        <f t="shared" si="23"/>
        <v>419.99999999995907</v>
      </c>
      <c r="Y17" s="65">
        <v>2.1055999999999999</v>
      </c>
      <c r="Z17" s="77">
        <f t="shared" si="24"/>
        <v>2699.9999999999245</v>
      </c>
      <c r="AA17" s="65">
        <v>284.69</v>
      </c>
      <c r="AB17" s="77">
        <f t="shared" si="25"/>
        <v>339.99999999997499</v>
      </c>
      <c r="AC17" s="65">
        <v>257.93</v>
      </c>
      <c r="AD17" s="77">
        <f t="shared" si="26"/>
        <v>370.00000000000455</v>
      </c>
      <c r="AE17" s="65">
        <v>384.06</v>
      </c>
      <c r="AF17" s="77">
        <f t="shared" si="27"/>
        <v>670.00000000001592</v>
      </c>
      <c r="AG17" s="65">
        <v>1015.4</v>
      </c>
      <c r="AH17" s="77">
        <f t="shared" si="10"/>
        <v>1.7999999999999545</v>
      </c>
      <c r="AI17" s="65">
        <v>356.51</v>
      </c>
      <c r="AJ17" s="77">
        <f t="shared" si="28"/>
        <v>649.99999999997726</v>
      </c>
      <c r="AK17" s="65">
        <v>122.97</v>
      </c>
      <c r="AL17" s="77">
        <f t="shared" si="11"/>
        <v>0.20999999999999375</v>
      </c>
      <c r="AM17" s="65">
        <v>124.76</v>
      </c>
      <c r="AN17" s="77">
        <f t="shared" si="12"/>
        <v>0.17000000000000171</v>
      </c>
      <c r="AO17" s="65">
        <v>123.17</v>
      </c>
      <c r="AP17" s="77">
        <f t="shared" si="13"/>
        <v>0.17000000000000171</v>
      </c>
      <c r="AQ17" s="65">
        <v>198.25</v>
      </c>
      <c r="AR17" s="77">
        <f t="shared" si="29"/>
        <v>80.000000000012506</v>
      </c>
      <c r="AS17" s="65">
        <v>320.88</v>
      </c>
      <c r="AT17" s="77">
        <f t="shared" si="30"/>
        <v>110.00000000001364</v>
      </c>
      <c r="AU17" s="65">
        <v>247</v>
      </c>
      <c r="AV17" s="77">
        <f t="shared" si="31"/>
        <v>129.99999999999545</v>
      </c>
      <c r="AW17" s="65">
        <v>277.20999999999998</v>
      </c>
      <c r="AX17" s="77">
        <f t="shared" si="32"/>
        <v>60.000000000002274</v>
      </c>
      <c r="AY17" s="65">
        <v>328.75</v>
      </c>
      <c r="AZ17" s="77">
        <f t="shared" si="33"/>
        <v>50.000000000011369</v>
      </c>
      <c r="BA17" s="65">
        <v>349.46</v>
      </c>
      <c r="BB17" s="77">
        <f t="shared" si="34"/>
        <v>69.999999999993179</v>
      </c>
      <c r="BC17" s="65">
        <v>201.77</v>
      </c>
      <c r="BD17" s="77">
        <f t="shared" si="35"/>
        <v>100.00000000002274</v>
      </c>
      <c r="BE17" s="70">
        <v>22949</v>
      </c>
      <c r="BF17" s="77">
        <f t="shared" si="14"/>
        <v>52</v>
      </c>
      <c r="BG17" s="71">
        <v>219.86</v>
      </c>
      <c r="BH17" s="77">
        <f t="shared" si="36"/>
        <v>30.000000000001137</v>
      </c>
      <c r="BI17" s="70">
        <v>276.41000000000003</v>
      </c>
      <c r="BJ17" s="77">
        <f t="shared" si="37"/>
        <v>40.000000000020464</v>
      </c>
      <c r="BK17" s="70">
        <v>224.32</v>
      </c>
      <c r="BL17" s="77">
        <f t="shared" si="38"/>
        <v>39.999999999992042</v>
      </c>
      <c r="BM17" s="70">
        <v>207.23</v>
      </c>
      <c r="BN17" s="77">
        <f t="shared" si="39"/>
        <v>30.000000000001137</v>
      </c>
      <c r="BO17" s="70">
        <v>271.02</v>
      </c>
      <c r="BP17" s="77">
        <f t="shared" si="40"/>
        <v>39.99999999996362</v>
      </c>
      <c r="BQ17" s="70">
        <v>34197</v>
      </c>
      <c r="BR17" s="77">
        <f t="shared" si="15"/>
        <v>38</v>
      </c>
      <c r="BS17" s="70">
        <v>188.43</v>
      </c>
      <c r="BT17" s="77">
        <f t="shared" si="41"/>
        <v>30.000000000001137</v>
      </c>
      <c r="BU17" s="70">
        <v>25053</v>
      </c>
      <c r="BV17" s="77">
        <f t="shared" si="1"/>
        <v>35</v>
      </c>
      <c r="BW17" s="70">
        <v>217.77</v>
      </c>
      <c r="BX17" s="77">
        <f t="shared" si="42"/>
        <v>30.000000000001137</v>
      </c>
      <c r="BY17" s="72">
        <v>41356</v>
      </c>
      <c r="BZ17" s="77">
        <f t="shared" si="16"/>
        <v>49</v>
      </c>
      <c r="CA17" s="65">
        <v>24683.9</v>
      </c>
      <c r="CB17" s="77">
        <f t="shared" si="17"/>
        <v>23.100000000002183</v>
      </c>
      <c r="CC17" s="65">
        <v>10439.4</v>
      </c>
      <c r="CD17" s="77">
        <f t="shared" si="18"/>
        <v>13.299999999999272</v>
      </c>
      <c r="CE17" s="65">
        <v>4959.3</v>
      </c>
      <c r="CF17" s="77">
        <f t="shared" si="19"/>
        <v>5.3000000000001819</v>
      </c>
      <c r="CG17" s="65">
        <v>37374</v>
      </c>
      <c r="CH17" s="77">
        <f t="shared" si="20"/>
        <v>16</v>
      </c>
      <c r="CI17" s="65">
        <v>819034</v>
      </c>
      <c r="CJ17" s="77">
        <f t="shared" si="2"/>
        <v>282</v>
      </c>
      <c r="CK17" s="65">
        <v>498.82</v>
      </c>
      <c r="CL17" s="76">
        <f t="shared" si="21"/>
        <v>689.99999999999773</v>
      </c>
      <c r="CM17" s="77">
        <v>81.2</v>
      </c>
      <c r="CN17" s="74">
        <v>16</v>
      </c>
      <c r="CO17" s="74">
        <v>37</v>
      </c>
    </row>
    <row r="18" spans="1:93" ht="25.5" customHeight="1" thickBot="1" x14ac:dyDescent="0.45">
      <c r="A18" s="75">
        <v>43845</v>
      </c>
      <c r="B18" s="49"/>
      <c r="C18" s="65">
        <v>1.4282999999999999</v>
      </c>
      <c r="D18" s="76">
        <f t="shared" si="3"/>
        <v>2099.9999999999909</v>
      </c>
      <c r="E18" s="65">
        <v>2.3753000000000002</v>
      </c>
      <c r="F18" s="76">
        <f t="shared" si="4"/>
        <v>3300.0000000003029</v>
      </c>
      <c r="G18" s="65">
        <v>2.2069999999999999</v>
      </c>
      <c r="H18" s="76">
        <f t="shared" si="5"/>
        <v>2799.9999999996917</v>
      </c>
      <c r="I18" s="65">
        <v>1.0305</v>
      </c>
      <c r="J18" s="76">
        <f t="shared" si="43"/>
        <v>1600.0000000000459</v>
      </c>
      <c r="K18" s="65">
        <v>1.5875999999999999</v>
      </c>
      <c r="L18" s="76">
        <f t="shared" si="0"/>
        <v>2199.9999999999795</v>
      </c>
      <c r="M18" s="65">
        <v>995.93</v>
      </c>
      <c r="N18" s="77">
        <f t="shared" si="22"/>
        <v>1529.9999999999727</v>
      </c>
      <c r="O18" s="65">
        <v>11172</v>
      </c>
      <c r="P18" s="77">
        <f t="shared" si="6"/>
        <v>24</v>
      </c>
      <c r="Q18" s="65">
        <v>4442</v>
      </c>
      <c r="R18" s="77">
        <f t="shared" si="7"/>
        <v>8</v>
      </c>
      <c r="S18" s="65">
        <v>728482</v>
      </c>
      <c r="T18" s="77">
        <f t="shared" si="44"/>
        <v>1039</v>
      </c>
      <c r="U18" s="65">
        <v>294935</v>
      </c>
      <c r="V18" s="77">
        <f t="shared" si="9"/>
        <v>417</v>
      </c>
      <c r="W18" s="65">
        <v>287.01</v>
      </c>
      <c r="X18" s="77">
        <f t="shared" si="23"/>
        <v>370.00000000000455</v>
      </c>
      <c r="Y18" s="65">
        <v>2.1082999999999998</v>
      </c>
      <c r="Z18" s="77">
        <f t="shared" si="24"/>
        <v>2699.9999999999245</v>
      </c>
      <c r="AA18" s="65">
        <v>285.08</v>
      </c>
      <c r="AB18" s="77">
        <f t="shared" si="25"/>
        <v>389.99999999998636</v>
      </c>
      <c r="AC18" s="65">
        <v>258.25</v>
      </c>
      <c r="AD18" s="77">
        <f t="shared" si="26"/>
        <v>319.99999999999318</v>
      </c>
      <c r="AE18" s="65">
        <v>384.68</v>
      </c>
      <c r="AF18" s="77">
        <f t="shared" si="27"/>
        <v>620.00000000000455</v>
      </c>
      <c r="AG18" s="65">
        <v>1017.2</v>
      </c>
      <c r="AH18" s="77">
        <f t="shared" si="10"/>
        <v>1.8000000000000682</v>
      </c>
      <c r="AI18" s="65">
        <v>357.14</v>
      </c>
      <c r="AJ18" s="77">
        <f t="shared" si="28"/>
        <v>629.99999999999545</v>
      </c>
      <c r="AK18" s="65">
        <v>123.18</v>
      </c>
      <c r="AL18" s="77">
        <f t="shared" si="11"/>
        <v>0.21000000000000796</v>
      </c>
      <c r="AM18" s="65">
        <v>124.93</v>
      </c>
      <c r="AN18" s="77">
        <f t="shared" si="12"/>
        <v>0.17000000000000171</v>
      </c>
      <c r="AO18" s="65">
        <v>123.32</v>
      </c>
      <c r="AP18" s="77">
        <f t="shared" si="13"/>
        <v>0.14999999999999147</v>
      </c>
      <c r="AQ18" s="65">
        <v>198.32</v>
      </c>
      <c r="AR18" s="77">
        <f t="shared" si="29"/>
        <v>69.999999999993179</v>
      </c>
      <c r="AS18" s="65">
        <v>321.01</v>
      </c>
      <c r="AT18" s="77">
        <f t="shared" si="30"/>
        <v>129.99999999999545</v>
      </c>
      <c r="AU18" s="65">
        <v>247.11</v>
      </c>
      <c r="AV18" s="77">
        <f t="shared" si="31"/>
        <v>110.00000000001364</v>
      </c>
      <c r="AW18" s="65">
        <v>277.27999999999997</v>
      </c>
      <c r="AX18" s="77">
        <f t="shared" si="32"/>
        <v>69.999999999993179</v>
      </c>
      <c r="AY18" s="65">
        <v>328.8</v>
      </c>
      <c r="AZ18" s="77">
        <f t="shared" si="33"/>
        <v>50.000000000011369</v>
      </c>
      <c r="BA18" s="65">
        <v>349.52</v>
      </c>
      <c r="BB18" s="77">
        <f t="shared" si="34"/>
        <v>60.000000000002274</v>
      </c>
      <c r="BC18" s="65">
        <v>201.79</v>
      </c>
      <c r="BD18" s="77">
        <f t="shared" si="35"/>
        <v>19.99999999998181</v>
      </c>
      <c r="BE18" s="70">
        <v>22991</v>
      </c>
      <c r="BF18" s="77">
        <f t="shared" si="14"/>
        <v>42</v>
      </c>
      <c r="BG18" s="71">
        <v>219.89</v>
      </c>
      <c r="BH18" s="77">
        <f t="shared" si="36"/>
        <v>29.999999999972715</v>
      </c>
      <c r="BI18" s="70">
        <v>276.45</v>
      </c>
      <c r="BJ18" s="77">
        <f t="shared" si="37"/>
        <v>39.99999999996362</v>
      </c>
      <c r="BK18" s="70">
        <v>224.36</v>
      </c>
      <c r="BL18" s="77">
        <f t="shared" si="38"/>
        <v>40.000000000020464</v>
      </c>
      <c r="BM18" s="70">
        <v>207.27</v>
      </c>
      <c r="BN18" s="77">
        <f t="shared" si="39"/>
        <v>40.000000000020464</v>
      </c>
      <c r="BO18" s="70">
        <v>271.07</v>
      </c>
      <c r="BP18" s="77">
        <f t="shared" si="40"/>
        <v>50.000000000011369</v>
      </c>
      <c r="BQ18" s="70">
        <v>34232</v>
      </c>
      <c r="BR18" s="77">
        <f t="shared" si="15"/>
        <v>35</v>
      </c>
      <c r="BS18" s="70">
        <v>188.46</v>
      </c>
      <c r="BT18" s="77">
        <f t="shared" si="41"/>
        <v>30.000000000001137</v>
      </c>
      <c r="BU18" s="70">
        <v>25086</v>
      </c>
      <c r="BV18" s="77">
        <f t="shared" si="1"/>
        <v>33</v>
      </c>
      <c r="BW18" s="70">
        <v>217.81</v>
      </c>
      <c r="BX18" s="77">
        <f t="shared" si="42"/>
        <v>39.999999999992042</v>
      </c>
      <c r="BY18" s="72">
        <v>41405</v>
      </c>
      <c r="BZ18" s="77">
        <f t="shared" si="16"/>
        <v>49</v>
      </c>
      <c r="CA18" s="65">
        <v>24714.2</v>
      </c>
      <c r="CB18" s="77">
        <f t="shared" si="17"/>
        <v>30.299999999999272</v>
      </c>
      <c r="CC18" s="65">
        <v>10450.4</v>
      </c>
      <c r="CD18" s="77">
        <f t="shared" si="18"/>
        <v>11</v>
      </c>
      <c r="CE18" s="65">
        <v>4962.5</v>
      </c>
      <c r="CF18" s="77">
        <f t="shared" si="19"/>
        <v>3.1999999999998181</v>
      </c>
      <c r="CG18" s="65">
        <v>37399</v>
      </c>
      <c r="CH18" s="77">
        <f t="shared" si="20"/>
        <v>25</v>
      </c>
      <c r="CI18" s="65">
        <v>819351</v>
      </c>
      <c r="CJ18" s="77">
        <f t="shared" si="2"/>
        <v>317</v>
      </c>
      <c r="CK18" s="65">
        <v>499.42</v>
      </c>
      <c r="CL18" s="76">
        <f t="shared" si="21"/>
        <v>600.00000000002274</v>
      </c>
      <c r="CM18" s="77">
        <v>60</v>
      </c>
      <c r="CN18" s="74">
        <v>21</v>
      </c>
      <c r="CO18" s="74">
        <v>39</v>
      </c>
    </row>
    <row r="19" spans="1:93" ht="25.5" customHeight="1" thickBot="1" x14ac:dyDescent="0.45">
      <c r="A19" s="75">
        <v>43846</v>
      </c>
      <c r="B19" s="49"/>
      <c r="C19" s="65">
        <v>1.4307000000000001</v>
      </c>
      <c r="D19" s="76">
        <f t="shared" si="3"/>
        <v>2400.0000000001796</v>
      </c>
      <c r="E19" s="65">
        <v>2.3788</v>
      </c>
      <c r="F19" s="76">
        <f t="shared" si="4"/>
        <v>3499.9999999998367</v>
      </c>
      <c r="G19" s="65">
        <v>2.2098</v>
      </c>
      <c r="H19" s="76">
        <f t="shared" si="5"/>
        <v>2800.0000000001355</v>
      </c>
      <c r="I19" s="65">
        <v>1.0321</v>
      </c>
      <c r="J19" s="76">
        <f t="shared" si="43"/>
        <v>1600.0000000000459</v>
      </c>
      <c r="K19" s="65">
        <v>1.5895999999999999</v>
      </c>
      <c r="L19" s="76">
        <f t="shared" si="0"/>
        <v>2000.0000000000018</v>
      </c>
      <c r="M19" s="65">
        <v>997.28</v>
      </c>
      <c r="N19" s="77">
        <f t="shared" si="22"/>
        <v>1350.0000000000227</v>
      </c>
      <c r="O19" s="65">
        <v>11192</v>
      </c>
      <c r="P19" s="77">
        <f t="shared" si="6"/>
        <v>20</v>
      </c>
      <c r="Q19" s="65">
        <v>4451</v>
      </c>
      <c r="R19" s="77">
        <f t="shared" si="7"/>
        <v>9</v>
      </c>
      <c r="S19" s="65">
        <v>729400</v>
      </c>
      <c r="T19" s="77">
        <f t="shared" si="44"/>
        <v>918</v>
      </c>
      <c r="U19" s="65">
        <v>295281</v>
      </c>
      <c r="V19" s="77">
        <f t="shared" si="9"/>
        <v>346</v>
      </c>
      <c r="W19" s="65">
        <v>287.39999999999998</v>
      </c>
      <c r="X19" s="77">
        <f t="shared" si="23"/>
        <v>389.99999999998636</v>
      </c>
      <c r="Y19" s="65">
        <v>2.1116999999999999</v>
      </c>
      <c r="Z19" s="77">
        <f t="shared" si="24"/>
        <v>3400.0000000000696</v>
      </c>
      <c r="AA19" s="65">
        <v>285.41000000000003</v>
      </c>
      <c r="AB19" s="77">
        <f t="shared" si="25"/>
        <v>330.00000000004093</v>
      </c>
      <c r="AC19" s="65">
        <v>258.55</v>
      </c>
      <c r="AD19" s="77">
        <f t="shared" si="26"/>
        <v>300.00000000001137</v>
      </c>
      <c r="AE19" s="65">
        <v>385.9</v>
      </c>
      <c r="AF19" s="77">
        <f t="shared" si="27"/>
        <v>1219.9999999999704</v>
      </c>
      <c r="AG19" s="65">
        <v>1019.2</v>
      </c>
      <c r="AH19" s="77">
        <f t="shared" si="10"/>
        <v>2</v>
      </c>
      <c r="AI19" s="65">
        <v>357.69</v>
      </c>
      <c r="AJ19" s="77">
        <f t="shared" si="28"/>
        <v>550.00000000001137</v>
      </c>
      <c r="AK19" s="65">
        <v>123.39</v>
      </c>
      <c r="AL19" s="77">
        <f t="shared" si="11"/>
        <v>0.20999999999999375</v>
      </c>
      <c r="AM19" s="65">
        <v>125.1</v>
      </c>
      <c r="AN19" s="77">
        <f t="shared" si="12"/>
        <v>0.16999999999998749</v>
      </c>
      <c r="AO19" s="65">
        <v>123.47</v>
      </c>
      <c r="AP19" s="77">
        <f t="shared" si="13"/>
        <v>0.15000000000000568</v>
      </c>
      <c r="AQ19" s="65">
        <v>198.4</v>
      </c>
      <c r="AR19" s="77">
        <f t="shared" si="29"/>
        <v>80.000000000012506</v>
      </c>
      <c r="AS19" s="65">
        <v>321.11</v>
      </c>
      <c r="AT19" s="77">
        <f t="shared" si="30"/>
        <v>100.00000000002274</v>
      </c>
      <c r="AU19" s="65">
        <v>247.23</v>
      </c>
      <c r="AV19" s="77">
        <f t="shared" si="31"/>
        <v>119.99999999997613</v>
      </c>
      <c r="AW19" s="65">
        <v>277.36</v>
      </c>
      <c r="AX19" s="77">
        <f t="shared" si="32"/>
        <v>80.000000000040927</v>
      </c>
      <c r="AY19" s="65">
        <v>328.84</v>
      </c>
      <c r="AZ19" s="77">
        <f t="shared" si="33"/>
        <v>39.99999999996362</v>
      </c>
      <c r="BA19" s="65">
        <v>349.58</v>
      </c>
      <c r="BB19" s="77">
        <f t="shared" si="34"/>
        <v>60.000000000002274</v>
      </c>
      <c r="BC19" s="65">
        <v>201.82</v>
      </c>
      <c r="BD19" s="77">
        <f t="shared" si="35"/>
        <v>30.000000000001137</v>
      </c>
      <c r="BE19" s="70">
        <v>23043</v>
      </c>
      <c r="BF19" s="77">
        <f t="shared" si="14"/>
        <v>52</v>
      </c>
      <c r="BG19" s="71">
        <v>219.94</v>
      </c>
      <c r="BH19" s="77">
        <f t="shared" si="36"/>
        <v>50.000000000011369</v>
      </c>
      <c r="BI19" s="70">
        <v>276.51</v>
      </c>
      <c r="BJ19" s="77">
        <f t="shared" si="37"/>
        <v>60.000000000002274</v>
      </c>
      <c r="BK19" s="70">
        <v>224.42</v>
      </c>
      <c r="BL19" s="77">
        <f t="shared" si="38"/>
        <v>59.999999999973852</v>
      </c>
      <c r="BM19" s="70">
        <v>207.31</v>
      </c>
      <c r="BN19" s="77">
        <f t="shared" si="39"/>
        <v>39.999999999992042</v>
      </c>
      <c r="BO19" s="70">
        <v>271.12</v>
      </c>
      <c r="BP19" s="77">
        <f t="shared" si="40"/>
        <v>50.000000000011369</v>
      </c>
      <c r="BQ19" s="70">
        <v>34276</v>
      </c>
      <c r="BR19" s="77">
        <f t="shared" si="15"/>
        <v>44</v>
      </c>
      <c r="BS19" s="70">
        <v>188.51</v>
      </c>
      <c r="BT19" s="77">
        <f t="shared" si="41"/>
        <v>49.999999999982947</v>
      </c>
      <c r="BU19" s="70">
        <v>25126</v>
      </c>
      <c r="BV19" s="77">
        <f t="shared" si="1"/>
        <v>40</v>
      </c>
      <c r="BW19" s="70">
        <v>217.86</v>
      </c>
      <c r="BX19" s="77">
        <f t="shared" si="42"/>
        <v>50.000000000011369</v>
      </c>
      <c r="BY19" s="72">
        <v>41461</v>
      </c>
      <c r="BZ19" s="77">
        <f t="shared" si="16"/>
        <v>56</v>
      </c>
      <c r="CA19" s="65">
        <v>24757.200000000001</v>
      </c>
      <c r="CB19" s="77">
        <f t="shared" si="17"/>
        <v>43</v>
      </c>
      <c r="CC19" s="65">
        <v>10462.299999999999</v>
      </c>
      <c r="CD19" s="77">
        <f t="shared" si="18"/>
        <v>11.899999999999636</v>
      </c>
      <c r="CE19" s="65">
        <v>4962.6000000000004</v>
      </c>
      <c r="CF19" s="77">
        <f t="shared" si="19"/>
        <v>0.1000000000003638</v>
      </c>
      <c r="CG19" s="65">
        <v>37430</v>
      </c>
      <c r="CH19" s="77">
        <f t="shared" si="20"/>
        <v>31</v>
      </c>
      <c r="CI19" s="65">
        <v>819660</v>
      </c>
      <c r="CJ19" s="77">
        <f t="shared" si="2"/>
        <v>309</v>
      </c>
      <c r="CK19" s="65">
        <v>499.96</v>
      </c>
      <c r="CL19" s="76">
        <f t="shared" si="21"/>
        <v>539.99999999996362</v>
      </c>
      <c r="CM19" s="77">
        <v>70</v>
      </c>
      <c r="CN19" s="74">
        <v>11</v>
      </c>
      <c r="CO19" s="74">
        <v>35</v>
      </c>
    </row>
    <row r="20" spans="1:93" ht="25.5" customHeight="1" thickBot="1" x14ac:dyDescent="0.45">
      <c r="A20" s="75">
        <v>43847</v>
      </c>
      <c r="B20" s="49"/>
      <c r="C20" s="65">
        <v>1.4332</v>
      </c>
      <c r="D20" s="76">
        <f t="shared" si="3"/>
        <v>2499.9999999999468</v>
      </c>
      <c r="E20" s="65">
        <v>2.3824000000000001</v>
      </c>
      <c r="F20" s="76">
        <f t="shared" si="4"/>
        <v>3600.0000000000477</v>
      </c>
      <c r="G20" s="65">
        <v>2.2124000000000001</v>
      </c>
      <c r="H20" s="76">
        <f t="shared" si="5"/>
        <v>2600.0000000001578</v>
      </c>
      <c r="I20" s="65">
        <v>1.0338000000000001</v>
      </c>
      <c r="J20" s="76">
        <f t="shared" si="43"/>
        <v>1700.0000000000348</v>
      </c>
      <c r="K20" s="65">
        <v>1.5915999999999999</v>
      </c>
      <c r="L20" s="76">
        <f t="shared" si="0"/>
        <v>2000.0000000000018</v>
      </c>
      <c r="M20" s="65">
        <v>998.73</v>
      </c>
      <c r="N20" s="77">
        <f t="shared" si="22"/>
        <v>1450.0000000000455</v>
      </c>
      <c r="O20" s="65">
        <v>11211</v>
      </c>
      <c r="P20" s="77">
        <f t="shared" si="6"/>
        <v>19</v>
      </c>
      <c r="Q20" s="65">
        <v>4459</v>
      </c>
      <c r="R20" s="77">
        <f t="shared" si="7"/>
        <v>8</v>
      </c>
      <c r="S20" s="65">
        <v>730393</v>
      </c>
      <c r="T20" s="77">
        <f t="shared" si="44"/>
        <v>993</v>
      </c>
      <c r="U20" s="65">
        <v>295711</v>
      </c>
      <c r="V20" s="77">
        <f t="shared" si="9"/>
        <v>430</v>
      </c>
      <c r="W20" s="65">
        <v>287.77999999999997</v>
      </c>
      <c r="X20" s="77">
        <f t="shared" si="23"/>
        <v>379.99999999999545</v>
      </c>
      <c r="Y20" s="65">
        <v>2.1147999999999998</v>
      </c>
      <c r="Z20" s="77">
        <f t="shared" si="24"/>
        <v>3099.9999999998809</v>
      </c>
      <c r="AA20" s="65">
        <v>285.88</v>
      </c>
      <c r="AB20" s="77">
        <f t="shared" si="25"/>
        <v>469.99999999997044</v>
      </c>
      <c r="AC20" s="65">
        <v>258.82</v>
      </c>
      <c r="AD20" s="77">
        <f t="shared" si="26"/>
        <v>269.99999999998181</v>
      </c>
      <c r="AE20" s="65">
        <v>385.91</v>
      </c>
      <c r="AF20" s="77">
        <f>IF((AE20-AE19&lt;0), "",(AE20-AE19)*10000)</f>
        <v>100.00000000047748</v>
      </c>
      <c r="AG20" s="65">
        <v>1021.1</v>
      </c>
      <c r="AH20" s="77">
        <f t="shared" si="10"/>
        <v>1.8999999999999773</v>
      </c>
      <c r="AI20" s="65">
        <v>359.13</v>
      </c>
      <c r="AJ20" s="77">
        <f t="shared" si="28"/>
        <v>1439.9999999999977</v>
      </c>
      <c r="AK20" s="65">
        <v>123.7</v>
      </c>
      <c r="AL20" s="77">
        <f t="shared" si="11"/>
        <v>0.31000000000000227</v>
      </c>
      <c r="AM20" s="65">
        <v>125.36</v>
      </c>
      <c r="AN20" s="77">
        <f t="shared" si="12"/>
        <v>0.26000000000000512</v>
      </c>
      <c r="AO20" s="65">
        <v>123.73</v>
      </c>
      <c r="AP20" s="77">
        <f t="shared" si="13"/>
        <v>0.26000000000000512</v>
      </c>
      <c r="AQ20" s="65">
        <v>198.5</v>
      </c>
      <c r="AR20" s="77">
        <f t="shared" si="29"/>
        <v>99.999999999994316</v>
      </c>
      <c r="AS20" s="65">
        <v>321.3</v>
      </c>
      <c r="AT20" s="77">
        <f t="shared" si="30"/>
        <v>189.99999999999773</v>
      </c>
      <c r="AU20" s="65">
        <v>247.36</v>
      </c>
      <c r="AV20" s="77">
        <f t="shared" si="31"/>
        <v>130.00000000002387</v>
      </c>
      <c r="AW20" s="65">
        <v>277.39999999999998</v>
      </c>
      <c r="AX20" s="77">
        <f t="shared" si="32"/>
        <v>39.99999999996362</v>
      </c>
      <c r="AY20" s="65">
        <v>328.9</v>
      </c>
      <c r="AZ20" s="77">
        <f t="shared" si="33"/>
        <v>60.000000000002274</v>
      </c>
      <c r="BA20" s="65">
        <v>349.65</v>
      </c>
      <c r="BB20" s="77">
        <f t="shared" si="34"/>
        <v>69.999999999993179</v>
      </c>
      <c r="BC20" s="65">
        <v>201.82</v>
      </c>
      <c r="BD20" s="77">
        <f t="shared" si="35"/>
        <v>0</v>
      </c>
      <c r="BE20" s="70">
        <v>23099</v>
      </c>
      <c r="BF20" s="77">
        <f t="shared" si="14"/>
        <v>56</v>
      </c>
      <c r="BG20" s="71">
        <v>219.96</v>
      </c>
      <c r="BH20" s="77">
        <f t="shared" si="36"/>
        <v>20.000000000010232</v>
      </c>
      <c r="BI20" s="70">
        <v>276.56</v>
      </c>
      <c r="BJ20" s="77">
        <f t="shared" si="37"/>
        <v>50.000000000011369</v>
      </c>
      <c r="BK20" s="70">
        <v>224.46</v>
      </c>
      <c r="BL20" s="77">
        <f t="shared" si="38"/>
        <v>40.000000000020464</v>
      </c>
      <c r="BM20" s="70">
        <v>207.35</v>
      </c>
      <c r="BN20" s="77">
        <f t="shared" si="39"/>
        <v>39.999999999992042</v>
      </c>
      <c r="BO20" s="70">
        <v>271.16000000000003</v>
      </c>
      <c r="BP20" s="77">
        <f t="shared" si="40"/>
        <v>40.000000000020464</v>
      </c>
      <c r="BQ20" s="70">
        <v>34310</v>
      </c>
      <c r="BR20" s="77">
        <f t="shared" si="15"/>
        <v>34</v>
      </c>
      <c r="BS20" s="70">
        <v>188.55</v>
      </c>
      <c r="BT20" s="77">
        <f t="shared" si="41"/>
        <v>40.000000000020464</v>
      </c>
      <c r="BU20" s="70">
        <v>25160</v>
      </c>
      <c r="BV20" s="77">
        <f t="shared" si="1"/>
        <v>34</v>
      </c>
      <c r="BW20" s="70">
        <v>217.91</v>
      </c>
      <c r="BX20" s="77">
        <f t="shared" si="42"/>
        <v>49.999999999982947</v>
      </c>
      <c r="BY20" s="72">
        <v>41515</v>
      </c>
      <c r="BZ20" s="77">
        <f t="shared" si="16"/>
        <v>54</v>
      </c>
      <c r="CA20" s="65">
        <v>24789.4</v>
      </c>
      <c r="CB20" s="77">
        <f t="shared" si="17"/>
        <v>32.200000000000728</v>
      </c>
      <c r="CC20" s="65">
        <v>10486.4</v>
      </c>
      <c r="CD20" s="77">
        <f t="shared" si="18"/>
        <v>24.100000000000364</v>
      </c>
      <c r="CE20" s="65">
        <v>4971.1000000000004</v>
      </c>
      <c r="CF20" s="77">
        <f t="shared" si="19"/>
        <v>8.5</v>
      </c>
      <c r="CG20" s="65">
        <v>37481</v>
      </c>
      <c r="CH20" s="77">
        <f t="shared" si="20"/>
        <v>51</v>
      </c>
      <c r="CI20" s="65">
        <v>819993</v>
      </c>
      <c r="CJ20" s="77">
        <f t="shared" si="2"/>
        <v>333</v>
      </c>
      <c r="CK20" s="65">
        <v>500.41</v>
      </c>
      <c r="CL20" s="76">
        <f t="shared" si="21"/>
        <v>450.00000000004547</v>
      </c>
      <c r="CM20" s="77">
        <v>70</v>
      </c>
      <c r="CN20" s="74">
        <v>13</v>
      </c>
      <c r="CO20" s="74">
        <v>23</v>
      </c>
    </row>
    <row r="21" spans="1:93" ht="25.5" customHeight="1" thickBot="1" x14ac:dyDescent="0.45">
      <c r="A21" s="75">
        <v>43848</v>
      </c>
      <c r="B21" s="49"/>
      <c r="C21" s="65">
        <v>1.4350000000000001</v>
      </c>
      <c r="D21" s="76">
        <f t="shared" si="3"/>
        <v>1800.0000000000239</v>
      </c>
      <c r="E21" s="65">
        <v>2.3858000000000001</v>
      </c>
      <c r="F21" s="76">
        <f t="shared" si="4"/>
        <v>3400.0000000000696</v>
      </c>
      <c r="G21" s="65">
        <v>2.2153</v>
      </c>
      <c r="H21" s="76">
        <f t="shared" si="5"/>
        <v>2899.9999999999027</v>
      </c>
      <c r="I21" s="65">
        <v>1.0353000000000001</v>
      </c>
      <c r="J21" s="76">
        <f t="shared" si="43"/>
        <v>1500.0000000000568</v>
      </c>
      <c r="K21" s="65">
        <v>1.5935999999999999</v>
      </c>
      <c r="L21" s="76">
        <f t="shared" si="0"/>
        <v>2000.0000000000018</v>
      </c>
      <c r="M21" s="65">
        <v>999.95</v>
      </c>
      <c r="N21" s="77">
        <f t="shared" si="22"/>
        <v>1220.0000000000273</v>
      </c>
      <c r="O21" s="65">
        <v>11230</v>
      </c>
      <c r="P21" s="77">
        <f t="shared" si="6"/>
        <v>19</v>
      </c>
      <c r="Q21" s="65">
        <v>4468</v>
      </c>
      <c r="R21" s="77">
        <f t="shared" si="7"/>
        <v>9</v>
      </c>
      <c r="S21" s="65"/>
      <c r="T21" s="77" t="str">
        <f t="shared" si="44"/>
        <v/>
      </c>
      <c r="U21" s="65"/>
      <c r="V21" s="77" t="str">
        <f t="shared" si="9"/>
        <v/>
      </c>
      <c r="W21" s="65">
        <v>288.11</v>
      </c>
      <c r="X21" s="77">
        <f t="shared" si="23"/>
        <v>330.00000000004093</v>
      </c>
      <c r="Y21" s="65">
        <v>2.1179000000000001</v>
      </c>
      <c r="Z21" s="77">
        <f t="shared" si="24"/>
        <v>3100.0000000003247</v>
      </c>
      <c r="AA21" s="65">
        <v>286.19</v>
      </c>
      <c r="AB21" s="77">
        <f t="shared" si="25"/>
        <v>310.00000000000227</v>
      </c>
      <c r="AC21" s="65">
        <v>259.08999999999997</v>
      </c>
      <c r="AD21" s="77">
        <f t="shared" si="26"/>
        <v>269.99999999998181</v>
      </c>
      <c r="AE21" s="65">
        <v>386.46</v>
      </c>
      <c r="AF21" s="77">
        <f t="shared" si="27"/>
        <v>549.99999999995453</v>
      </c>
      <c r="AG21" s="65">
        <v>1022.8</v>
      </c>
      <c r="AH21" s="77">
        <f t="shared" si="10"/>
        <v>1.6999999999999318</v>
      </c>
      <c r="AI21" s="65">
        <v>359.65</v>
      </c>
      <c r="AJ21" s="77">
        <f t="shared" si="28"/>
        <v>519.99999999998181</v>
      </c>
      <c r="AK21" s="65">
        <v>123.88</v>
      </c>
      <c r="AL21" s="77">
        <f t="shared" si="11"/>
        <v>0.17999999999999261</v>
      </c>
      <c r="AM21" s="65">
        <v>125.55</v>
      </c>
      <c r="AN21" s="77">
        <f t="shared" si="12"/>
        <v>0.18999999999999773</v>
      </c>
      <c r="AO21" s="65">
        <v>123.89</v>
      </c>
      <c r="AP21" s="77">
        <f t="shared" si="13"/>
        <v>0.15999999999999659</v>
      </c>
      <c r="AQ21" s="65">
        <v>198.57</v>
      </c>
      <c r="AR21" s="77">
        <f t="shared" si="29"/>
        <v>69.999999999993179</v>
      </c>
      <c r="AS21" s="65">
        <v>321.42</v>
      </c>
      <c r="AT21" s="77">
        <f t="shared" si="30"/>
        <v>120.00000000000455</v>
      </c>
      <c r="AU21" s="65">
        <v>247.48</v>
      </c>
      <c r="AV21" s="77">
        <f t="shared" si="31"/>
        <v>119.99999999997613</v>
      </c>
      <c r="AW21" s="65">
        <v>277.44</v>
      </c>
      <c r="AX21" s="77">
        <f t="shared" si="32"/>
        <v>40.000000000020464</v>
      </c>
      <c r="AY21" s="65">
        <v>328.95</v>
      </c>
      <c r="AZ21" s="77">
        <f t="shared" si="33"/>
        <v>50.000000000011369</v>
      </c>
      <c r="BA21" s="65">
        <v>349.7</v>
      </c>
      <c r="BB21" s="77">
        <f t="shared" si="34"/>
        <v>50.000000000011369</v>
      </c>
      <c r="BC21" s="65">
        <v>201.82</v>
      </c>
      <c r="BD21" s="77">
        <f t="shared" si="35"/>
        <v>0</v>
      </c>
      <c r="BE21" s="70">
        <v>23153</v>
      </c>
      <c r="BF21" s="77">
        <f t="shared" si="14"/>
        <v>54</v>
      </c>
      <c r="BG21" s="71">
        <v>219.99</v>
      </c>
      <c r="BH21" s="77">
        <f t="shared" si="36"/>
        <v>30.000000000001137</v>
      </c>
      <c r="BI21" s="70">
        <v>276.60000000000002</v>
      </c>
      <c r="BJ21" s="77">
        <f t="shared" si="37"/>
        <v>40.000000000020464</v>
      </c>
      <c r="BK21" s="70">
        <v>224.5</v>
      </c>
      <c r="BL21" s="77">
        <f t="shared" si="38"/>
        <v>39.999999999992042</v>
      </c>
      <c r="BM21" s="70">
        <v>207.39</v>
      </c>
      <c r="BN21" s="77">
        <f t="shared" si="39"/>
        <v>39.999999999992042</v>
      </c>
      <c r="BO21" s="70">
        <v>271.20999999999998</v>
      </c>
      <c r="BP21" s="77">
        <f t="shared" si="40"/>
        <v>49.999999999954525</v>
      </c>
      <c r="BQ21" s="70">
        <v>34345</v>
      </c>
      <c r="BR21" s="77">
        <f t="shared" si="15"/>
        <v>35</v>
      </c>
      <c r="BS21" s="70">
        <v>188.58</v>
      </c>
      <c r="BT21" s="77">
        <f t="shared" si="41"/>
        <v>30.000000000001137</v>
      </c>
      <c r="BU21" s="70">
        <v>25198</v>
      </c>
      <c r="BV21" s="77">
        <f t="shared" si="1"/>
        <v>38</v>
      </c>
      <c r="BW21" s="70">
        <v>217.95</v>
      </c>
      <c r="BX21" s="77">
        <f t="shared" si="42"/>
        <v>39.999999999992042</v>
      </c>
      <c r="BY21" s="72">
        <v>41571</v>
      </c>
      <c r="BZ21" s="77">
        <f t="shared" si="16"/>
        <v>56</v>
      </c>
      <c r="CA21" s="65">
        <v>24813.3</v>
      </c>
      <c r="CB21" s="77">
        <f t="shared" si="17"/>
        <v>23.899999999997817</v>
      </c>
      <c r="CC21" s="65">
        <v>10496.5</v>
      </c>
      <c r="CD21" s="77">
        <f t="shared" si="18"/>
        <v>10.100000000000364</v>
      </c>
      <c r="CE21" s="65">
        <v>4972.2</v>
      </c>
      <c r="CF21" s="77">
        <f t="shared" si="19"/>
        <v>1.0999999999994543</v>
      </c>
      <c r="CG21" s="65">
        <v>37516</v>
      </c>
      <c r="CH21" s="77">
        <f t="shared" si="20"/>
        <v>35</v>
      </c>
      <c r="CI21" s="65">
        <v>820330</v>
      </c>
      <c r="CJ21" s="77">
        <f t="shared" si="2"/>
        <v>337</v>
      </c>
      <c r="CK21" s="65">
        <v>500.96</v>
      </c>
      <c r="CL21" s="76">
        <f t="shared" si="21"/>
        <v>549.99999999995453</v>
      </c>
      <c r="CM21" s="77">
        <v>63</v>
      </c>
      <c r="CN21" s="74">
        <v>11</v>
      </c>
      <c r="CO21" s="74">
        <v>25</v>
      </c>
    </row>
    <row r="22" spans="1:93" ht="25.5" customHeight="1" thickBot="1" x14ac:dyDescent="0.45">
      <c r="A22" s="75">
        <v>43849</v>
      </c>
      <c r="B22" s="49"/>
      <c r="C22" s="65"/>
      <c r="D22" s="76" t="str">
        <f t="shared" si="3"/>
        <v>0</v>
      </c>
      <c r="E22" s="65"/>
      <c r="F22" s="76" t="str">
        <f t="shared" si="4"/>
        <v>0</v>
      </c>
      <c r="G22" s="65"/>
      <c r="H22" s="76" t="str">
        <f t="shared" si="5"/>
        <v>0</v>
      </c>
      <c r="I22" s="65"/>
      <c r="J22" s="76" t="str">
        <f t="shared" si="43"/>
        <v>0</v>
      </c>
      <c r="K22" s="65"/>
      <c r="L22" s="76" t="str">
        <f t="shared" si="0"/>
        <v>0</v>
      </c>
      <c r="M22" s="65"/>
      <c r="N22" s="77" t="str">
        <f t="shared" si="22"/>
        <v/>
      </c>
      <c r="O22" s="65"/>
      <c r="P22" s="77" t="str">
        <f t="shared" si="6"/>
        <v/>
      </c>
      <c r="Q22" s="65"/>
      <c r="R22" s="77" t="str">
        <f t="shared" si="7"/>
        <v/>
      </c>
      <c r="S22" s="65"/>
      <c r="T22" s="77">
        <f t="shared" si="44"/>
        <v>0</v>
      </c>
      <c r="U22" s="65"/>
      <c r="V22" s="77">
        <f t="shared" si="9"/>
        <v>0</v>
      </c>
      <c r="W22" s="65"/>
      <c r="X22" s="77" t="str">
        <f t="shared" si="23"/>
        <v/>
      </c>
      <c r="Y22" s="65"/>
      <c r="Z22" s="77" t="str">
        <f t="shared" si="24"/>
        <v/>
      </c>
      <c r="AA22" s="65"/>
      <c r="AB22" s="77" t="str">
        <f t="shared" si="25"/>
        <v/>
      </c>
      <c r="AC22" s="65"/>
      <c r="AD22" s="77" t="str">
        <f t="shared" si="26"/>
        <v/>
      </c>
      <c r="AE22" s="65"/>
      <c r="AF22" s="77" t="str">
        <f t="shared" si="27"/>
        <v/>
      </c>
      <c r="AG22" s="65"/>
      <c r="AH22" s="77" t="str">
        <f t="shared" si="10"/>
        <v/>
      </c>
      <c r="AI22" s="65"/>
      <c r="AJ22" s="77" t="str">
        <f t="shared" si="28"/>
        <v/>
      </c>
      <c r="AK22" s="65"/>
      <c r="AL22" s="77" t="str">
        <f t="shared" si="11"/>
        <v/>
      </c>
      <c r="AM22" s="65"/>
      <c r="AN22" s="77" t="str">
        <f t="shared" si="12"/>
        <v/>
      </c>
      <c r="AO22" s="65"/>
      <c r="AP22" s="77" t="str">
        <f t="shared" si="13"/>
        <v/>
      </c>
      <c r="AQ22" s="65"/>
      <c r="AR22" s="77" t="str">
        <f t="shared" si="29"/>
        <v/>
      </c>
      <c r="AS22" s="65"/>
      <c r="AT22" s="77" t="str">
        <f t="shared" si="30"/>
        <v/>
      </c>
      <c r="AU22" s="65"/>
      <c r="AV22" s="77" t="str">
        <f t="shared" si="31"/>
        <v/>
      </c>
      <c r="AW22" s="65"/>
      <c r="AX22" s="77" t="str">
        <f t="shared" si="32"/>
        <v/>
      </c>
      <c r="AY22" s="65"/>
      <c r="AZ22" s="77" t="str">
        <f t="shared" si="33"/>
        <v/>
      </c>
      <c r="BA22" s="65"/>
      <c r="BB22" s="77" t="str">
        <f t="shared" si="34"/>
        <v/>
      </c>
      <c r="BC22" s="65"/>
      <c r="BD22" s="77" t="str">
        <f t="shared" si="35"/>
        <v/>
      </c>
      <c r="BE22" s="70"/>
      <c r="BF22" s="77" t="str">
        <f t="shared" si="14"/>
        <v/>
      </c>
      <c r="BG22" s="71"/>
      <c r="BH22" s="77" t="str">
        <f t="shared" si="36"/>
        <v/>
      </c>
      <c r="BI22" s="70"/>
      <c r="BJ22" s="77" t="str">
        <f t="shared" si="37"/>
        <v/>
      </c>
      <c r="BK22" s="70"/>
      <c r="BL22" s="77" t="str">
        <f t="shared" si="38"/>
        <v/>
      </c>
      <c r="BM22" s="70"/>
      <c r="BN22" s="77" t="str">
        <f t="shared" si="39"/>
        <v/>
      </c>
      <c r="BO22" s="70"/>
      <c r="BP22" s="77" t="str">
        <f t="shared" si="40"/>
        <v/>
      </c>
      <c r="BQ22" s="70"/>
      <c r="BR22" s="77" t="str">
        <f t="shared" si="15"/>
        <v/>
      </c>
      <c r="BS22" s="70"/>
      <c r="BT22" s="77" t="str">
        <f t="shared" si="41"/>
        <v/>
      </c>
      <c r="BU22" s="70"/>
      <c r="BV22" s="77" t="str">
        <f t="shared" si="1"/>
        <v/>
      </c>
      <c r="BW22" s="70"/>
      <c r="BX22" s="77" t="str">
        <f t="shared" si="42"/>
        <v/>
      </c>
      <c r="BY22" s="72"/>
      <c r="BZ22" s="77" t="str">
        <f t="shared" si="16"/>
        <v/>
      </c>
      <c r="CA22" s="65"/>
      <c r="CB22" s="77" t="str">
        <f t="shared" si="17"/>
        <v/>
      </c>
      <c r="CC22" s="65"/>
      <c r="CD22" s="77" t="str">
        <f t="shared" si="18"/>
        <v/>
      </c>
      <c r="CE22" s="65"/>
      <c r="CF22" s="77" t="str">
        <f t="shared" si="19"/>
        <v/>
      </c>
      <c r="CG22" s="65"/>
      <c r="CH22" s="77" t="str">
        <f t="shared" si="20"/>
        <v/>
      </c>
      <c r="CI22" s="65"/>
      <c r="CJ22" s="77" t="str">
        <f t="shared" si="2"/>
        <v/>
      </c>
      <c r="CK22" s="65"/>
      <c r="CL22" s="76" t="str">
        <f t="shared" si="21"/>
        <v/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44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44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44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44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44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44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44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44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44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44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44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373</v>
      </c>
      <c r="R35" s="81">
        <f>SUM(R4:R33)</f>
        <v>151</v>
      </c>
      <c r="AX35" s="77">
        <f t="shared" si="32"/>
        <v>0</v>
      </c>
      <c r="BF35" s="81">
        <f>SUM(BF4:BF33)</f>
        <v>1050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zoomScaleNormal="100" workbookViewId="0">
      <selection activeCell="B27" sqref="B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>
        <v>27</v>
      </c>
      <c r="C16" s="44">
        <v>23</v>
      </c>
      <c r="D16" s="44">
        <v>49</v>
      </c>
      <c r="E16" s="45">
        <v>85</v>
      </c>
      <c r="F16" s="45">
        <v>4188</v>
      </c>
      <c r="G16" s="45">
        <v>60</v>
      </c>
      <c r="H16" s="45">
        <v>1223</v>
      </c>
      <c r="I16" s="45">
        <v>85</v>
      </c>
      <c r="J16" s="45">
        <v>228</v>
      </c>
      <c r="K16" s="46">
        <v>80</v>
      </c>
      <c r="L16" s="46">
        <v>85</v>
      </c>
      <c r="M16" s="46">
        <v>974</v>
      </c>
      <c r="N16" s="43">
        <v>85</v>
      </c>
      <c r="O16" s="43">
        <v>79</v>
      </c>
      <c r="P16" s="43">
        <v>85</v>
      </c>
      <c r="Q16" s="43">
        <v>2041</v>
      </c>
    </row>
    <row r="17" spans="1:17" x14ac:dyDescent="0.25">
      <c r="A17" s="47">
        <v>43839</v>
      </c>
      <c r="B17" s="44">
        <v>43</v>
      </c>
      <c r="C17" s="44">
        <v>24</v>
      </c>
      <c r="D17" s="44">
        <v>58</v>
      </c>
      <c r="E17" s="45">
        <v>85</v>
      </c>
      <c r="F17" s="45">
        <v>4195</v>
      </c>
      <c r="G17" s="45">
        <v>45</v>
      </c>
      <c r="H17" s="45">
        <v>1225</v>
      </c>
      <c r="I17" s="45">
        <v>85</v>
      </c>
      <c r="J17" s="45">
        <v>229</v>
      </c>
      <c r="K17" s="46">
        <v>75</v>
      </c>
      <c r="L17" s="46">
        <v>85</v>
      </c>
      <c r="M17" s="46">
        <v>977</v>
      </c>
      <c r="N17" s="43">
        <v>85</v>
      </c>
      <c r="O17" s="43">
        <v>75</v>
      </c>
      <c r="P17" s="43">
        <v>85</v>
      </c>
      <c r="Q17" s="43">
        <v>2044</v>
      </c>
    </row>
    <row r="18" spans="1:17" x14ac:dyDescent="0.25">
      <c r="A18" s="47">
        <v>43840</v>
      </c>
      <c r="B18" s="44">
        <v>32</v>
      </c>
      <c r="C18" s="44">
        <v>28</v>
      </c>
      <c r="D18" s="44">
        <v>59</v>
      </c>
      <c r="E18" s="45">
        <v>85</v>
      </c>
      <c r="F18" s="45">
        <v>4203</v>
      </c>
      <c r="G18" s="45">
        <v>30</v>
      </c>
      <c r="H18" s="45">
        <v>1226</v>
      </c>
      <c r="I18" s="45">
        <v>85</v>
      </c>
      <c r="J18" s="45">
        <v>233</v>
      </c>
      <c r="K18" s="46">
        <v>70</v>
      </c>
      <c r="L18" s="46">
        <v>85</v>
      </c>
      <c r="M18" s="46">
        <v>981</v>
      </c>
      <c r="N18" s="43">
        <v>85</v>
      </c>
      <c r="O18" s="43">
        <v>70</v>
      </c>
      <c r="P18" s="43">
        <v>85</v>
      </c>
      <c r="Q18" s="43">
        <v>2048</v>
      </c>
    </row>
    <row r="19" spans="1:17" x14ac:dyDescent="0.25">
      <c r="A19" s="47">
        <v>43841</v>
      </c>
      <c r="B19" s="44">
        <v>28</v>
      </c>
      <c r="C19" s="44">
        <v>27</v>
      </c>
      <c r="D19" s="44">
        <v>59</v>
      </c>
      <c r="E19" s="45">
        <v>85</v>
      </c>
      <c r="F19" s="45">
        <v>4211</v>
      </c>
      <c r="G19" s="45">
        <v>80</v>
      </c>
      <c r="H19" s="45">
        <v>1229</v>
      </c>
      <c r="I19" s="45">
        <v>85</v>
      </c>
      <c r="J19" s="45">
        <v>236</v>
      </c>
      <c r="K19" s="46">
        <v>70</v>
      </c>
      <c r="L19" s="46">
        <v>85</v>
      </c>
      <c r="M19" s="46">
        <v>981</v>
      </c>
      <c r="N19" s="43">
        <v>85</v>
      </c>
      <c r="O19" s="43">
        <v>65</v>
      </c>
      <c r="P19" s="43">
        <v>85</v>
      </c>
      <c r="Q19" s="43">
        <v>2052</v>
      </c>
    </row>
    <row r="20" spans="1:17" x14ac:dyDescent="0.25">
      <c r="A20" s="47">
        <v>43842</v>
      </c>
      <c r="B20" s="44">
        <v>23</v>
      </c>
      <c r="C20" s="44">
        <v>23</v>
      </c>
      <c r="D20" s="44">
        <v>49</v>
      </c>
      <c r="E20" s="45">
        <v>85</v>
      </c>
      <c r="F20" s="45">
        <v>4219</v>
      </c>
      <c r="G20" s="45">
        <v>60</v>
      </c>
      <c r="H20" s="45">
        <v>1231</v>
      </c>
      <c r="I20" s="45">
        <v>85</v>
      </c>
      <c r="J20" s="45">
        <v>239</v>
      </c>
      <c r="K20" s="46">
        <v>65</v>
      </c>
      <c r="L20" s="46">
        <v>85</v>
      </c>
      <c r="M20" s="46">
        <v>985</v>
      </c>
      <c r="N20" s="43">
        <v>85</v>
      </c>
      <c r="O20" s="43">
        <v>60</v>
      </c>
      <c r="P20" s="43">
        <v>85</v>
      </c>
      <c r="Q20" s="43">
        <v>2054</v>
      </c>
    </row>
    <row r="21" spans="1:17" x14ac:dyDescent="0.25">
      <c r="A21" s="47">
        <v>43843</v>
      </c>
      <c r="B21" s="44">
        <v>21</v>
      </c>
      <c r="C21" s="44">
        <v>18</v>
      </c>
      <c r="D21" s="44">
        <v>40</v>
      </c>
      <c r="E21" s="45">
        <v>85</v>
      </c>
      <c r="F21" s="45">
        <v>4227</v>
      </c>
      <c r="G21" s="45">
        <v>50</v>
      </c>
      <c r="H21" s="45">
        <v>1233</v>
      </c>
      <c r="I21" s="45">
        <v>85</v>
      </c>
      <c r="J21" s="45">
        <v>240</v>
      </c>
      <c r="K21" s="46">
        <v>60</v>
      </c>
      <c r="L21" s="46">
        <v>85</v>
      </c>
      <c r="M21" s="46">
        <v>988</v>
      </c>
      <c r="N21" s="43">
        <v>85</v>
      </c>
      <c r="O21" s="43">
        <v>60</v>
      </c>
      <c r="P21" s="43">
        <v>85</v>
      </c>
      <c r="Q21" s="43">
        <v>2057</v>
      </c>
    </row>
    <row r="22" spans="1:17" x14ac:dyDescent="0.25">
      <c r="A22" s="47">
        <v>43844</v>
      </c>
      <c r="B22" s="44">
        <v>20</v>
      </c>
      <c r="C22" s="44">
        <v>16</v>
      </c>
      <c r="D22" s="44">
        <v>37</v>
      </c>
      <c r="E22" s="45">
        <v>85</v>
      </c>
      <c r="F22" s="45">
        <v>4235</v>
      </c>
      <c r="G22" s="45">
        <v>35</v>
      </c>
      <c r="H22" s="45">
        <v>1235</v>
      </c>
      <c r="I22" s="45">
        <v>85</v>
      </c>
      <c r="J22" s="45">
        <v>241</v>
      </c>
      <c r="K22" s="46">
        <v>60</v>
      </c>
      <c r="L22" s="46">
        <v>85</v>
      </c>
      <c r="M22" s="46">
        <v>988</v>
      </c>
      <c r="N22" s="43">
        <v>85</v>
      </c>
      <c r="O22" s="43">
        <v>55</v>
      </c>
      <c r="P22" s="43">
        <v>85</v>
      </c>
      <c r="Q22" s="43">
        <v>2060</v>
      </c>
    </row>
    <row r="23" spans="1:17" x14ac:dyDescent="0.25">
      <c r="A23" s="47">
        <v>43845</v>
      </c>
      <c r="B23" s="44">
        <v>21</v>
      </c>
      <c r="C23" s="44">
        <v>17</v>
      </c>
      <c r="D23" s="44">
        <v>39</v>
      </c>
      <c r="E23" s="45">
        <v>85</v>
      </c>
      <c r="F23" s="45">
        <v>4242</v>
      </c>
      <c r="G23" s="45">
        <v>20</v>
      </c>
      <c r="H23" s="45">
        <v>1236</v>
      </c>
      <c r="I23" s="45">
        <v>85</v>
      </c>
      <c r="J23" s="45">
        <v>242</v>
      </c>
      <c r="K23" s="46">
        <v>60</v>
      </c>
      <c r="L23" s="46">
        <v>85</v>
      </c>
      <c r="M23" s="46">
        <v>991</v>
      </c>
      <c r="N23" s="43">
        <v>85</v>
      </c>
      <c r="O23" s="43">
        <v>55</v>
      </c>
      <c r="P23" s="43">
        <v>85</v>
      </c>
      <c r="Q23" s="43">
        <v>2061</v>
      </c>
    </row>
    <row r="24" spans="1:17" x14ac:dyDescent="0.25">
      <c r="A24" s="47">
        <v>43846</v>
      </c>
      <c r="B24" s="44">
        <v>11</v>
      </c>
      <c r="C24" s="44">
        <v>16</v>
      </c>
      <c r="D24" s="44">
        <v>35</v>
      </c>
      <c r="E24" s="45">
        <v>85</v>
      </c>
      <c r="F24" s="45">
        <v>4250</v>
      </c>
      <c r="G24" s="45">
        <v>13</v>
      </c>
      <c r="H24" s="45">
        <v>1238</v>
      </c>
      <c r="I24" s="45">
        <v>85</v>
      </c>
      <c r="J24" s="45">
        <v>242</v>
      </c>
      <c r="K24" s="46">
        <v>60</v>
      </c>
      <c r="L24" s="46">
        <v>85</v>
      </c>
      <c r="M24" s="46">
        <v>991</v>
      </c>
      <c r="N24" s="43">
        <v>85</v>
      </c>
      <c r="O24" s="43">
        <v>53</v>
      </c>
      <c r="P24" s="43">
        <v>85</v>
      </c>
      <c r="Q24" s="43">
        <v>2063</v>
      </c>
    </row>
    <row r="25" spans="1:17" x14ac:dyDescent="0.25">
      <c r="A25" s="47">
        <v>43847</v>
      </c>
      <c r="B25" s="44">
        <v>13</v>
      </c>
      <c r="C25" s="44">
        <v>11</v>
      </c>
      <c r="D25" s="44">
        <v>23</v>
      </c>
      <c r="E25" s="45">
        <v>85</v>
      </c>
      <c r="F25" s="45">
        <v>4258</v>
      </c>
      <c r="G25" s="45">
        <v>0</v>
      </c>
      <c r="H25" s="45">
        <v>1241</v>
      </c>
      <c r="I25" s="45">
        <v>85</v>
      </c>
      <c r="J25" s="45">
        <v>243</v>
      </c>
      <c r="K25" s="46">
        <v>59</v>
      </c>
      <c r="L25" s="46">
        <v>85</v>
      </c>
      <c r="M25" s="46">
        <v>993</v>
      </c>
      <c r="N25" s="43">
        <v>85</v>
      </c>
      <c r="O25" s="43">
        <v>50</v>
      </c>
      <c r="P25" s="43">
        <v>85</v>
      </c>
      <c r="Q25" s="43">
        <v>2067</v>
      </c>
    </row>
    <row r="26" spans="1:17" x14ac:dyDescent="0.25">
      <c r="A26" s="47">
        <v>43848</v>
      </c>
      <c r="B26" s="44">
        <v>11</v>
      </c>
      <c r="C26" s="44">
        <v>12</v>
      </c>
      <c r="D26" s="44">
        <v>25</v>
      </c>
      <c r="E26" s="45">
        <v>85</v>
      </c>
      <c r="F26" s="45">
        <v>4266</v>
      </c>
      <c r="G26" s="45">
        <v>0</v>
      </c>
      <c r="H26" s="45">
        <v>1243</v>
      </c>
      <c r="I26" s="45">
        <v>85</v>
      </c>
      <c r="J26" s="45">
        <v>245</v>
      </c>
      <c r="K26" s="46">
        <v>59</v>
      </c>
      <c r="L26" s="46">
        <v>85</v>
      </c>
      <c r="M26" s="46">
        <v>994</v>
      </c>
      <c r="N26" s="43">
        <v>85</v>
      </c>
      <c r="O26" s="43">
        <v>45</v>
      </c>
      <c r="P26" s="43">
        <v>85</v>
      </c>
      <c r="Q26" s="43">
        <v>2069</v>
      </c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2020-01-18T23:36:42Z</dcterms:modified>
</cp:coreProperties>
</file>