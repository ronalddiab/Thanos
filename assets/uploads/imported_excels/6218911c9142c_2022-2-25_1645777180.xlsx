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20" yWindow="-225" windowWidth="13965" windowHeight="12060" tabRatio="578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U29" i="5"/>
  <c r="X30"/>
  <c r="X31" s="1"/>
  <c r="Y29"/>
  <c r="Y30"/>
  <c r="X32" l="1"/>
  <c r="Y31"/>
  <c r="X33" l="1"/>
  <c r="Y33" s="1"/>
  <c r="Y32"/>
  <c r="I24" i="2" l="1"/>
  <c r="D22" l="1"/>
  <c r="E22"/>
  <c r="F22"/>
  <c r="G22" s="1"/>
  <c r="H22"/>
  <c r="I22"/>
  <c r="J22"/>
  <c r="K22" s="1"/>
  <c r="L22"/>
  <c r="M22"/>
  <c r="P22"/>
  <c r="Q22"/>
  <c r="S22"/>
  <c r="N22" l="1"/>
  <c r="R22" s="1"/>
  <c r="R21" i="1" l="1"/>
  <c r="B13" i="3" l="1"/>
  <c r="B14" s="1"/>
  <c r="B20" s="1"/>
  <c r="B21" s="1"/>
  <c r="B27" s="1"/>
  <c r="B28" s="1"/>
  <c r="B29" s="1"/>
  <c r="B30" s="1"/>
  <c r="B10"/>
  <c r="R6" l="1"/>
  <c r="B6"/>
  <c r="C6" s="1"/>
  <c r="C14" i="77" l="1"/>
  <c r="AS5" i="7" l="1"/>
  <c r="AR5"/>
  <c r="AQ5"/>
  <c r="D5"/>
  <c r="E5"/>
  <c r="F5"/>
  <c r="G5"/>
  <c r="H5"/>
  <c r="I5"/>
  <c r="J5"/>
  <c r="K5"/>
  <c r="L5"/>
  <c r="B5"/>
  <c r="C5"/>
  <c r="AU5" i="5" l="1"/>
  <c r="AV5"/>
  <c r="AW5"/>
  <c r="AX5"/>
  <c r="AA5"/>
  <c r="AB5"/>
  <c r="AC5"/>
  <c r="AD5"/>
  <c r="AE5"/>
  <c r="AF5"/>
  <c r="AG5"/>
  <c r="AH5"/>
  <c r="R5"/>
  <c r="S5"/>
  <c r="T5"/>
  <c r="T6" s="1"/>
  <c r="U5"/>
  <c r="V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D3" i="2"/>
  <c r="E3"/>
  <c r="F3"/>
  <c r="G3"/>
  <c r="H3"/>
  <c r="I3"/>
  <c r="C3"/>
  <c r="C20" i="77" l="1"/>
  <c r="C19"/>
  <c r="C18"/>
  <c r="C16"/>
  <c r="C15"/>
  <c r="C17"/>
  <c r="F11" i="74" l="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C5" i="79"/>
  <c r="D5"/>
  <c r="E5"/>
  <c r="F5"/>
  <c r="G5"/>
  <c r="H5"/>
  <c r="B5"/>
  <c r="A5"/>
  <c r="AA13" i="76"/>
  <c r="AC13"/>
  <c r="AA14"/>
  <c r="AB14"/>
  <c r="AC14"/>
  <c r="AA15"/>
  <c r="AB15"/>
  <c r="AC15"/>
  <c r="AA16"/>
  <c r="AA17"/>
  <c r="AC17"/>
  <c r="AA18"/>
  <c r="AB18"/>
  <c r="AC18"/>
  <c r="AA19"/>
  <c r="AC19"/>
  <c r="W10"/>
  <c r="W11"/>
  <c r="W9"/>
  <c r="C3"/>
  <c r="D3"/>
  <c r="E3"/>
  <c r="F3"/>
  <c r="F5" s="1"/>
  <c r="F6" s="1"/>
  <c r="F7" s="1"/>
  <c r="F8" s="1"/>
  <c r="F9" s="1"/>
  <c r="F10" s="1"/>
  <c r="F11" s="1"/>
  <c r="F12" s="1"/>
  <c r="F14" s="1"/>
  <c r="F15" s="1"/>
  <c r="F17" s="1"/>
  <c r="F18" s="1"/>
  <c r="F20" s="1"/>
  <c r="F21" s="1"/>
  <c r="F22" s="1"/>
  <c r="F23" s="1"/>
  <c r="F24" s="1"/>
  <c r="F26" s="1"/>
  <c r="F28" s="1"/>
  <c r="F29" s="1"/>
  <c r="F30" s="1"/>
  <c r="F31" s="1"/>
  <c r="W28" s="1"/>
  <c r="G3"/>
  <c r="H3"/>
  <c r="H6" s="1"/>
  <c r="H7" s="1"/>
  <c r="H8" s="1"/>
  <c r="H10" s="1"/>
  <c r="H11" s="1"/>
  <c r="H12" s="1"/>
  <c r="H14" s="1"/>
  <c r="H15" s="1"/>
  <c r="H17" s="1"/>
  <c r="H20" s="1"/>
  <c r="H21" s="1"/>
  <c r="H22" s="1"/>
  <c r="H23" s="1"/>
  <c r="H24" s="1"/>
  <c r="H28" s="1"/>
  <c r="H29" s="1"/>
  <c r="H30" s="1"/>
  <c r="H31" s="1"/>
  <c r="W27" s="1"/>
  <c r="I3"/>
  <c r="J3"/>
  <c r="J6" s="1"/>
  <c r="J7" s="1"/>
  <c r="J8" s="1"/>
  <c r="J9" s="1"/>
  <c r="J10" s="1"/>
  <c r="J11" s="1"/>
  <c r="J12" s="1"/>
  <c r="J13" s="1"/>
  <c r="J14" s="1"/>
  <c r="J15" s="1"/>
  <c r="J17" s="1"/>
  <c r="J20" s="1"/>
  <c r="J21" s="1"/>
  <c r="J22" s="1"/>
  <c r="J23" s="1"/>
  <c r="J24" s="1"/>
  <c r="J27" s="1"/>
  <c r="J28" s="1"/>
  <c r="J29" s="1"/>
  <c r="J30" s="1"/>
  <c r="J31" s="1"/>
  <c r="W26" s="1"/>
  <c r="K3"/>
  <c r="L3"/>
  <c r="M3"/>
  <c r="N3"/>
  <c r="Q3"/>
  <c r="S3"/>
  <c r="B3"/>
  <c r="B6" s="1"/>
  <c r="B7" s="1"/>
  <c r="B8" s="1"/>
  <c r="B10" s="1"/>
  <c r="B11" s="1"/>
  <c r="B12" s="1"/>
  <c r="B14" s="1"/>
  <c r="B15" s="1"/>
  <c r="B17" s="1"/>
  <c r="B20" s="1"/>
  <c r="B21" s="1"/>
  <c r="B22" s="1"/>
  <c r="B23" s="1"/>
  <c r="B24" s="1"/>
  <c r="B28" s="1"/>
  <c r="B29" s="1"/>
  <c r="B30" s="1"/>
  <c r="B31" s="1"/>
  <c r="A3"/>
  <c r="AT5" i="7"/>
  <c r="AU5"/>
  <c r="AW5"/>
  <c r="AX5"/>
  <c r="AY5"/>
  <c r="AZ5"/>
  <c r="BA5"/>
  <c r="BB5"/>
  <c r="BC5"/>
  <c r="BD5"/>
  <c r="BE5"/>
  <c r="BF5"/>
  <c r="BG5"/>
  <c r="BH5"/>
  <c r="BI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5"/>
  <c r="C2" i="3"/>
  <c r="G2"/>
  <c r="H2"/>
  <c r="I2"/>
  <c r="O2"/>
  <c r="R2"/>
  <c r="R7" s="1"/>
  <c r="R10" s="1"/>
  <c r="R13" s="1"/>
  <c r="R14" s="1"/>
  <c r="R20" s="1"/>
  <c r="R21" s="1"/>
  <c r="R27" s="1"/>
  <c r="R28" s="1"/>
  <c r="R29" s="1"/>
  <c r="R30" s="1"/>
  <c r="S2"/>
  <c r="U2"/>
  <c r="V2"/>
  <c r="W2"/>
  <c r="X2"/>
  <c r="Y2"/>
  <c r="AD2"/>
  <c r="AI2"/>
  <c r="AJ2"/>
  <c r="B2"/>
  <c r="B3" s="1"/>
  <c r="A2"/>
  <c r="AT5" i="5"/>
  <c r="AV9"/>
  <c r="AV10" s="1"/>
  <c r="AV11" s="1"/>
  <c r="AV13" s="1"/>
  <c r="AV14" s="1"/>
  <c r="AV16" s="1"/>
  <c r="AV17" s="1"/>
  <c r="AV18" s="1"/>
  <c r="AV20" s="1"/>
  <c r="AV22" s="1"/>
  <c r="AV23" s="1"/>
  <c r="AV24" s="1"/>
  <c r="AV27" s="1"/>
  <c r="AV29" s="1"/>
  <c r="AV30" s="1"/>
  <c r="AV31" s="1"/>
  <c r="AV32" s="1"/>
  <c r="AV33" s="1"/>
  <c r="AX9"/>
  <c r="AX10" s="1"/>
  <c r="AX13" s="1"/>
  <c r="AX16" s="1"/>
  <c r="AX17" s="1"/>
  <c r="AX23" s="1"/>
  <c r="AX24" s="1"/>
  <c r="AX27" s="1"/>
  <c r="AX30" s="1"/>
  <c r="AX31" s="1"/>
  <c r="AX32" s="1"/>
  <c r="AX33" s="1"/>
  <c r="AZ5"/>
  <c r="BA5"/>
  <c r="BC5"/>
  <c r="BD5"/>
  <c r="AR5"/>
  <c r="C5"/>
  <c r="D5"/>
  <c r="E5"/>
  <c r="F5"/>
  <c r="G5"/>
  <c r="H5"/>
  <c r="I5"/>
  <c r="J5"/>
  <c r="K5"/>
  <c r="L5"/>
  <c r="X5"/>
  <c r="Y5"/>
  <c r="AK5"/>
  <c r="AM5"/>
  <c r="AN5"/>
  <c r="AO5"/>
  <c r="AP5"/>
  <c r="B5"/>
  <c r="A5"/>
  <c r="C8" i="1"/>
  <c r="C9" s="1"/>
  <c r="C12" s="1"/>
  <c r="C15" s="1"/>
  <c r="C16" s="1"/>
  <c r="C22" s="1"/>
  <c r="C23" s="1"/>
  <c r="C29" s="1"/>
  <c r="C30" s="1"/>
  <c r="C31" s="1"/>
  <c r="C32" s="1"/>
  <c r="F8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9" s="1"/>
  <c r="F30" s="1"/>
  <c r="F31" s="1"/>
  <c r="F32" s="1"/>
  <c r="H8"/>
  <c r="H9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9" s="1"/>
  <c r="H30" s="1"/>
  <c r="H31" s="1"/>
  <c r="H32" s="1"/>
  <c r="K5"/>
  <c r="K6" s="1"/>
  <c r="K7" s="1"/>
  <c r="K8" s="1"/>
  <c r="K9" s="1"/>
  <c r="K10" s="1"/>
  <c r="K11" s="1"/>
  <c r="K12" s="1"/>
  <c r="K15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M5"/>
  <c r="M6" s="1"/>
  <c r="M7" s="1"/>
  <c r="M8" s="1"/>
  <c r="M9" s="1"/>
  <c r="M10" s="1"/>
  <c r="M11" s="1"/>
  <c r="M12" s="1"/>
  <c r="M15" s="1"/>
  <c r="M16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P5"/>
  <c r="P6" s="1"/>
  <c r="P7" s="1"/>
  <c r="P8" s="1"/>
  <c r="P9" s="1"/>
  <c r="P10" s="1"/>
  <c r="P11" s="1"/>
  <c r="P12" s="1"/>
  <c r="P13" s="1"/>
  <c r="P15" s="1"/>
  <c r="P16" s="1"/>
  <c r="P22" s="1"/>
  <c r="P23" s="1"/>
  <c r="P26" s="1"/>
  <c r="P27" s="1"/>
  <c r="P28" s="1"/>
  <c r="P29" s="1"/>
  <c r="P30" s="1"/>
  <c r="P31" s="1"/>
  <c r="P32" s="1"/>
  <c r="Q5"/>
  <c r="Q6" s="1"/>
  <c r="Q7" s="1"/>
  <c r="Q8" s="1"/>
  <c r="Q9" s="1"/>
  <c r="Q10" s="1"/>
  <c r="Q11" s="1"/>
  <c r="Q12" s="1"/>
  <c r="Q13" s="1"/>
  <c r="Q15" s="1"/>
  <c r="Q16" s="1"/>
  <c r="Q22" s="1"/>
  <c r="Q23" s="1"/>
  <c r="Q27" s="1"/>
  <c r="Q28" s="1"/>
  <c r="Q29" s="1"/>
  <c r="Q30" s="1"/>
  <c r="Q31" s="1"/>
  <c r="Q32" s="1"/>
  <c r="B8"/>
  <c r="B9" s="1"/>
  <c r="B11" s="1"/>
  <c r="B12" s="1"/>
  <c r="B15" s="1"/>
  <c r="B16" s="1"/>
  <c r="B22" s="1"/>
  <c r="B23" s="1"/>
  <c r="B29" s="1"/>
  <c r="B30" s="1"/>
  <c r="B31" s="1"/>
  <c r="B32" s="1"/>
  <c r="F7" i="2"/>
  <c r="F8" s="1"/>
  <c r="F11" s="1"/>
  <c r="F14" s="1"/>
  <c r="F15" s="1"/>
  <c r="F21" s="1"/>
  <c r="F28" s="1"/>
  <c r="F29" s="1"/>
  <c r="F30" s="1"/>
  <c r="F31" s="1"/>
  <c r="H7"/>
  <c r="H8" s="1"/>
  <c r="H11" s="1"/>
  <c r="H14" s="1"/>
  <c r="H15" s="1"/>
  <c r="H21" s="1"/>
  <c r="H28" s="1"/>
  <c r="H29" s="1"/>
  <c r="H30" s="1"/>
  <c r="H31" s="1"/>
  <c r="J3"/>
  <c r="J7" s="1"/>
  <c r="J8" s="1"/>
  <c r="J11" s="1"/>
  <c r="J14" s="1"/>
  <c r="J15" s="1"/>
  <c r="J21" s="1"/>
  <c r="J28" s="1"/>
  <c r="J29" s="1"/>
  <c r="J30" s="1"/>
  <c r="J31" s="1"/>
  <c r="K3"/>
  <c r="L3"/>
  <c r="L7" s="1"/>
  <c r="L8" s="1"/>
  <c r="L11" s="1"/>
  <c r="L14" s="1"/>
  <c r="L15" s="1"/>
  <c r="L21" s="1"/>
  <c r="L28" s="1"/>
  <c r="L29" s="1"/>
  <c r="L30" s="1"/>
  <c r="L31" s="1"/>
  <c r="M3"/>
  <c r="N3"/>
  <c r="O3"/>
  <c r="P3"/>
  <c r="P7" s="1"/>
  <c r="P8" s="1"/>
  <c r="P11" s="1"/>
  <c r="P14" s="1"/>
  <c r="P15" s="1"/>
  <c r="P21" s="1"/>
  <c r="P28" s="1"/>
  <c r="P29" s="1"/>
  <c r="P30" s="1"/>
  <c r="P31" s="1"/>
  <c r="Q3"/>
  <c r="R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B3"/>
  <c r="D7"/>
  <c r="D8" s="1"/>
  <c r="D11" s="1"/>
  <c r="D14" s="1"/>
  <c r="D15" s="1"/>
  <c r="D21" s="1"/>
  <c r="D28" s="1"/>
  <c r="D29" s="1"/>
  <c r="D30" s="1"/>
  <c r="D31" s="1"/>
  <c r="Q9" l="1"/>
  <c r="C10" i="74"/>
  <c r="H8" i="79" l="1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7" s="1"/>
  <c r="H28" s="1"/>
  <c r="H29" s="1"/>
  <c r="H30" s="1"/>
  <c r="H31" s="1"/>
  <c r="H32" s="1"/>
  <c r="H33" s="1"/>
  <c r="Z9" i="76"/>
  <c r="Z10"/>
  <c r="Z11"/>
  <c r="Y10"/>
  <c r="Y11"/>
  <c r="Y9"/>
  <c r="W13"/>
  <c r="AT6" i="5"/>
  <c r="AT7" s="1"/>
  <c r="AT8" s="1"/>
  <c r="AT9" s="1"/>
  <c r="AT10" s="1"/>
  <c r="AT11" s="1"/>
  <c r="AT12" s="1"/>
  <c r="AT13" s="1"/>
  <c r="AT14" s="1"/>
  <c r="AT15" s="1"/>
  <c r="AT16" s="1"/>
  <c r="AT17" s="1"/>
  <c r="AT19" s="1"/>
  <c r="AT21" s="1"/>
  <c r="AT23" s="1"/>
  <c r="AT24" s="1"/>
  <c r="AT27" s="1"/>
  <c r="AT30" s="1"/>
  <c r="AT31" s="1"/>
  <c r="AT32" s="1"/>
  <c r="AT33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1" s="1"/>
  <c r="G22" s="1"/>
  <c r="G23" s="1"/>
  <c r="G24" s="1"/>
  <c r="G26" s="1"/>
  <c r="G27" s="1"/>
  <c r="G30" s="1"/>
  <c r="G31" s="1"/>
  <c r="G32" s="1"/>
  <c r="G33" s="1"/>
  <c r="K6" l="1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V26" i="76"/>
  <c r="AF34" i="3" l="1"/>
  <c r="F37" i="5"/>
  <c r="AT37" i="7" l="1"/>
  <c r="C24" i="3" l="1"/>
  <c r="AA26" i="76"/>
  <c r="X6" i="5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7" s="1"/>
  <c r="X28" s="1"/>
  <c r="X29" s="1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L25" l="1"/>
  <c r="E6" i="2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F36" i="73"/>
  <c r="W30" i="76" s="1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M35" i="76"/>
  <c r="N35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L35" i="76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K7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B17" i="77"/>
  <c r="E17" s="1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V7" s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V13" s="1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2" i="1" l="1"/>
  <c r="A35" i="76"/>
  <c r="V14" i="1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G36" i="76"/>
  <c r="AD28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R42" s="1"/>
  <c r="AR43" s="1"/>
  <c r="AR44" s="1"/>
  <c r="B34" i="65"/>
  <c r="X33" i="7"/>
  <c r="AS33" l="1"/>
  <c r="AS40" s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O35" i="76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AG33" i="2" l="1"/>
  <c r="AG34"/>
  <c r="C18" i="5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BF35" i="5"/>
  <c r="BG35" s="1"/>
  <c r="AJ39" l="1"/>
  <c r="AM39" s="1"/>
  <c r="H39"/>
  <c r="D6" i="77"/>
  <c r="E6" s="1"/>
  <c r="G6"/>
  <c r="G39" i="5"/>
  <c r="I38"/>
  <c r="BF36"/>
  <c r="BG36" s="1"/>
  <c r="K39" l="1"/>
  <c r="F6" i="77"/>
  <c r="F3" i="3" l="1"/>
  <c r="F7" l="1"/>
  <c r="F8" l="1"/>
  <c r="F13" l="1"/>
  <c r="F14" l="1"/>
  <c r="F20" l="1"/>
  <c r="F21" l="1"/>
  <c r="F27" l="1"/>
  <c r="F29" l="1"/>
  <c r="F30" l="1"/>
  <c r="B36" i="74" l="1"/>
  <c r="B39"/>
  <c r="V9" i="76" l="1"/>
  <c r="AA9" l="1"/>
  <c r="Z5" i="5"/>
  <c r="Z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V10" i="76"/>
  <c r="V11"/>
  <c r="Z13" i="5" l="1"/>
  <c r="AA12"/>
  <c r="AJ12"/>
  <c r="K8" i="82" s="1"/>
  <c r="AB9" i="76"/>
  <c r="Z14" i="5" l="1"/>
  <c r="AA13"/>
  <c r="AJ13"/>
  <c r="K9" i="82" s="1"/>
  <c r="AA11" i="76"/>
  <c r="Z15" i="5" l="1"/>
  <c r="AJ14"/>
  <c r="K10" i="82" s="1"/>
  <c r="AA14" i="5"/>
  <c r="AB11" i="76"/>
  <c r="Z16" i="5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AA10" i="76"/>
  <c r="Z19" i="5" l="1"/>
  <c r="AJ18"/>
  <c r="K14" i="82" s="1"/>
  <c r="AA18" i="5"/>
  <c r="AA12" i="76"/>
  <c r="Z20" i="5" l="1"/>
  <c r="AA19"/>
  <c r="AJ19"/>
  <c r="K15" i="82" s="1"/>
  <c r="AB12" i="76"/>
  <c r="AB10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F2" i="3"/>
  <c r="AA33" i="5" l="1"/>
  <c r="AJ33"/>
  <c r="AJ37" l="1"/>
  <c r="Z38" s="1"/>
  <c r="K29" i="82"/>
  <c r="AJ5" i="5" l="1"/>
  <c r="AD11" i="76" l="1"/>
  <c r="AD10"/>
  <c r="AD9"/>
  <c r="AC10" l="1"/>
  <c r="AC27" s="1"/>
  <c r="AC11"/>
  <c r="AC28" s="1"/>
  <c r="AC9"/>
  <c r="AC26" s="1"/>
  <c r="AC29" l="1"/>
  <c r="AC12"/>
  <c r="O25" l="1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AC16"/>
  <c r="O3" l="1"/>
  <c r="D10" i="77"/>
  <c r="E10" s="1"/>
  <c r="E12" s="1"/>
  <c r="AB33" i="76"/>
  <c r="AB34" s="1"/>
  <c r="AB36"/>
  <c r="AB38" s="1"/>
  <c r="AB13"/>
  <c r="AB17" l="1"/>
  <c r="AB16"/>
  <c r="F10" i="77"/>
  <c r="F12" s="1"/>
  <c r="G10"/>
  <c r="G12" s="1"/>
  <c r="AB19" i="76"/>
  <c r="P3"/>
  <c r="H14" i="77" l="1"/>
  <c r="I14"/>
  <c r="R3" i="76"/>
  <c r="T3" l="1"/>
  <c r="AC6" i="5" l="1"/>
  <c r="AC7" s="1"/>
  <c r="AC8" l="1"/>
  <c r="AD7"/>
  <c r="AG6"/>
  <c r="AE6"/>
  <c r="V3" i="2"/>
  <c r="U3"/>
  <c r="U4" s="1"/>
  <c r="AE5" i="1"/>
  <c r="S3" i="2"/>
  <c r="S4" s="1"/>
  <c r="AC5" i="1"/>
  <c r="AD3" i="2"/>
  <c r="AC3"/>
  <c r="AC4" s="1"/>
  <c r="AI5" i="5"/>
  <c r="AF3" i="2"/>
  <c r="AE6" i="1" l="1"/>
  <c r="AF5"/>
  <c r="AH5" s="1"/>
  <c r="AC6"/>
  <c r="AD5"/>
  <c r="AE7" i="5"/>
  <c r="AF6"/>
  <c r="AC9"/>
  <c r="AD8"/>
  <c r="AG7"/>
  <c r="AH6"/>
  <c r="T3" i="2"/>
  <c r="T4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AG3"/>
  <c r="AE3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H7" i="65"/>
  <c r="B4" i="63"/>
  <c r="AM7" i="1"/>
  <c r="AG7"/>
  <c r="AI8" i="5"/>
  <c r="AC9" i="2" l="1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I18" s="1"/>
  <c r="AE19"/>
  <c r="AC17" i="2"/>
  <c r="AD16"/>
  <c r="U17"/>
  <c r="V16"/>
  <c r="AE15"/>
  <c r="AG15" s="1"/>
  <c r="A13" i="63"/>
  <c r="AC21" i="5"/>
  <c r="AD20"/>
  <c r="B13" i="63" l="1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AF17" s="1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C19" i="2" l="1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H18"/>
  <c r="B15" i="63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AD23" i="5" l="1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Y5" i="5"/>
  <c r="AS5"/>
  <c r="AS6" s="1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BB5" i="5"/>
  <c r="AY6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BE5" i="5"/>
  <c r="AF23" i="2"/>
  <c r="AI26" i="5" l="1"/>
  <c r="AF26" i="1"/>
  <c r="AH26" s="1"/>
  <c r="AE27"/>
  <c r="P5" i="5"/>
  <c r="O5"/>
  <c r="O6" s="1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N5"/>
  <c r="M5"/>
  <c r="M6" s="1"/>
  <c r="AG28"/>
  <c r="AH27"/>
  <c r="AF24" i="2"/>
  <c r="I3" i="63"/>
  <c r="BF7" i="5"/>
  <c r="BG7" s="1"/>
  <c r="G7" i="65" s="1"/>
  <c r="AI25" i="1"/>
  <c r="AW26" i="7" s="1"/>
  <c r="C25" i="65"/>
  <c r="E25" s="1"/>
  <c r="BG5" i="5"/>
  <c r="G5" i="65" s="1"/>
  <c r="BF5" i="5"/>
  <c r="AY24" i="7"/>
  <c r="Q22" i="76"/>
  <c r="R22" s="1"/>
  <c r="T22" s="1"/>
  <c r="F20" i="81" s="1"/>
  <c r="BJ24" i="7"/>
  <c r="AE28" i="5"/>
  <c r="AF27"/>
  <c r="AS9"/>
  <c r="AY8"/>
  <c r="BB8" s="1"/>
  <c r="BE8" s="1"/>
  <c r="Q5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W5" i="5"/>
  <c r="AI28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3" s="1"/>
  <c r="AD32"/>
  <c r="AY27" i="7"/>
  <c r="Q25" i="76"/>
  <c r="R25" s="1"/>
  <c r="T25" s="1"/>
  <c r="F23" i="81" s="1"/>
  <c r="BJ27" i="7"/>
  <c r="AE27" i="2"/>
  <c r="AG27" s="1"/>
  <c r="A25" i="63"/>
  <c r="V28" i="2"/>
  <c r="AF28" s="1"/>
  <c r="U29"/>
  <c r="AI28" i="1"/>
  <c r="AW29" i="7" s="1"/>
  <c r="C28" i="65"/>
  <c r="E28" s="1"/>
  <c r="H27"/>
  <c r="B24" i="63"/>
  <c r="N8" i="5"/>
  <c r="M9"/>
  <c r="AY11"/>
  <c r="BB11" s="1"/>
  <c r="BE11" s="1"/>
  <c r="AS12"/>
  <c r="AL5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H28" i="65" l="1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H29" i="65"/>
  <c r="B26" i="63"/>
  <c r="M10" i="5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Q9" i="5" l="1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1" s="1"/>
  <c r="T30"/>
  <c r="AS14" i="5"/>
  <c r="AY13"/>
  <c r="BB13" s="1"/>
  <c r="BE13" s="1"/>
  <c r="AE32" i="1"/>
  <c r="AF32" s="1"/>
  <c r="AH32" s="1"/>
  <c r="AF31"/>
  <c r="AH31" s="1"/>
  <c r="AJ29"/>
  <c r="AK29" s="1"/>
  <c r="AX30" i="7"/>
  <c r="G26" i="81"/>
  <c r="AD31" i="1"/>
  <c r="AC32"/>
  <c r="AD32" s="1"/>
  <c r="A27" i="63"/>
  <c r="AE29" i="2"/>
  <c r="AG29" s="1"/>
  <c r="M4" i="81"/>
  <c r="V10" i="5"/>
  <c r="W9"/>
  <c r="AL9" s="1"/>
  <c r="M11"/>
  <c r="N10"/>
  <c r="AG33"/>
  <c r="AH33" s="1"/>
  <c r="AH32"/>
  <c r="BJ29" i="7"/>
  <c r="AY29"/>
  <c r="Q27" i="76"/>
  <c r="R27" s="1"/>
  <c r="T27" s="1"/>
  <c r="F25" i="81" s="1"/>
  <c r="V30" i="2"/>
  <c r="U31"/>
  <c r="V31" s="1"/>
  <c r="AF32" i="5"/>
  <c r="AE33"/>
  <c r="AF33" s="1"/>
  <c r="AM30" i="1"/>
  <c r="F31" i="75" s="1"/>
  <c r="G31" s="1"/>
  <c r="AG30" i="1"/>
  <c r="AC31" i="2"/>
  <c r="AD31" s="1"/>
  <c r="AD30"/>
  <c r="AF29"/>
  <c r="AI32" i="5" l="1"/>
  <c r="AF31" i="2"/>
  <c r="B29" i="63" s="1"/>
  <c r="AI33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AH36"/>
  <c r="H32" i="65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AM32" i="1"/>
  <c r="AG32"/>
  <c r="I9" i="63"/>
  <c r="BF13" i="5"/>
  <c r="BG13" s="1"/>
  <c r="G13" i="65" s="1"/>
  <c r="AI31" i="1"/>
  <c r="AW32" i="7" s="1"/>
  <c r="C31" i="65"/>
  <c r="E31" s="1"/>
  <c r="H30"/>
  <c r="B27" i="63"/>
  <c r="AE31" i="2"/>
  <c r="AG31" s="1"/>
  <c r="A29" i="63"/>
  <c r="AF30" i="2"/>
  <c r="Q11" i="5" l="1"/>
  <c r="M7" i="81" s="1"/>
  <c r="F33" i="75"/>
  <c r="G33" s="1"/>
  <c r="AM36" i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AI37" i="1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V13" l="1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Q13" l="1"/>
  <c r="M9" i="81" s="1"/>
  <c r="M8"/>
  <c r="V14" i="5"/>
  <c r="W13"/>
  <c r="AL13" s="1"/>
  <c r="I12" i="63"/>
  <c r="BF16" i="5"/>
  <c r="BG16" s="1"/>
  <c r="G16" i="65" s="1"/>
  <c r="BJ33" i="7"/>
  <c r="AY33"/>
  <c r="AY37" s="1"/>
  <c r="Q31" i="76"/>
  <c r="R31" s="1"/>
  <c r="T31" s="1"/>
  <c r="F29" i="81" s="1"/>
  <c r="AX37" i="7"/>
  <c r="AX42" s="1"/>
  <c r="M15" i="5"/>
  <c r="N14"/>
  <c r="P14"/>
  <c r="O15"/>
  <c r="AS18"/>
  <c r="AY17"/>
  <c r="BB17" s="1"/>
  <c r="BE17" s="1"/>
  <c r="Q14" l="1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W15" i="5" l="1"/>
  <c r="AL15" s="1"/>
  <c r="V16"/>
  <c r="M2" i="3"/>
  <c r="L2"/>
  <c r="L3" s="1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K2" i="3"/>
  <c r="J2"/>
  <c r="J3" s="1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Z2"/>
  <c r="F2" i="63" s="1"/>
  <c r="Q18" i="5" l="1"/>
  <c r="M14" i="81" s="1"/>
  <c r="O20" i="5"/>
  <c r="P19"/>
  <c r="V19"/>
  <c r="W18"/>
  <c r="AL18" s="1"/>
  <c r="AB2" i="3"/>
  <c r="N2"/>
  <c r="I17" i="63"/>
  <c r="BF21" i="5"/>
  <c r="BG21" s="1"/>
  <c r="G21" i="65" s="1"/>
  <c r="AS23" i="5"/>
  <c r="AY22"/>
  <c r="BB22" s="1"/>
  <c r="BE22" s="1"/>
  <c r="J5" i="3"/>
  <c r="K4"/>
  <c r="M5"/>
  <c r="L6"/>
  <c r="AC2"/>
  <c r="AL2"/>
  <c r="N19" i="5"/>
  <c r="M20"/>
  <c r="Z3" i="3"/>
  <c r="N3"/>
  <c r="AB3" s="1"/>
  <c r="AK2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E2"/>
  <c r="AL4" l="1"/>
  <c r="AK4"/>
  <c r="AE4"/>
  <c r="AF4" s="1"/>
  <c r="F4" i="63"/>
  <c r="Z5" i="3"/>
  <c r="N5"/>
  <c r="AF2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AH2"/>
  <c r="AG2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s="1"/>
  <c r="BB33" l="1"/>
  <c r="BE33" s="1"/>
  <c r="BF33" s="1"/>
  <c r="BG33" s="1"/>
  <c r="G33" i="65" s="1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Q30" i="5" l="1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N32" l="1"/>
  <c r="M33"/>
  <c r="N33" s="1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P33" s="1"/>
  <c r="Q31"/>
  <c r="M27" i="81" s="1"/>
  <c r="BK18" i="7" l="1"/>
  <c r="AG15" i="3"/>
  <c r="AK16"/>
  <c r="AL16"/>
  <c r="AE16"/>
  <c r="AF16" s="1"/>
  <c r="F16" i="63"/>
  <c r="V33" i="5"/>
  <c r="W33" s="1"/>
  <c r="AL33" s="1"/>
  <c r="W32"/>
  <c r="AL32" s="1"/>
  <c r="Q33"/>
  <c r="M19" i="3"/>
  <c r="L20"/>
  <c r="Z17"/>
  <c r="N17"/>
  <c r="J19"/>
  <c r="K18"/>
  <c r="Q32" i="5"/>
  <c r="M28" i="81" s="1"/>
  <c r="AL37" i="5" l="1"/>
  <c r="M29" i="81"/>
  <c r="Q37" i="5"/>
  <c r="O38" s="1"/>
  <c r="L21" i="3"/>
  <c r="M20"/>
  <c r="AK17"/>
  <c r="AE17"/>
  <c r="AF17" s="1"/>
  <c r="F17" i="63"/>
  <c r="AL17" i="3"/>
  <c r="BK19" i="7"/>
  <c r="AG16" i="3"/>
  <c r="J20"/>
  <c r="K19"/>
  <c r="Z18"/>
  <c r="N18"/>
  <c r="J21" l="1"/>
  <c r="K20"/>
  <c r="L22"/>
  <c r="M21"/>
  <c r="N19"/>
  <c r="Z19"/>
  <c r="AE18"/>
  <c r="AF18" s="1"/>
  <c r="AL18"/>
  <c r="F18" i="63"/>
  <c r="AK18" i="3"/>
  <c r="BK20" i="7"/>
  <c r="AG17" i="3"/>
  <c r="Z20" l="1"/>
  <c r="N20"/>
  <c r="AB20" s="1"/>
  <c r="J22"/>
  <c r="K21"/>
  <c r="L23"/>
  <c r="M22"/>
  <c r="AA22" s="1"/>
  <c r="F19" i="63"/>
  <c r="AE19" i="3"/>
  <c r="AF19" s="1"/>
  <c r="AL19"/>
  <c r="AK19"/>
  <c r="BK21" i="7"/>
  <c r="AG18" i="3"/>
  <c r="BK22" i="7" l="1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30" s="1"/>
  <c r="M29"/>
  <c r="F26" i="63"/>
  <c r="AE26" i="3"/>
  <c r="AF26" s="1"/>
  <c r="AK26"/>
  <c r="AL26"/>
  <c r="BK28" i="7"/>
  <c r="AG25" i="3"/>
  <c r="Z28" l="1"/>
  <c r="N28"/>
  <c r="AB28" s="1"/>
  <c r="J30"/>
  <c r="K29"/>
  <c r="BK29" i="7"/>
  <c r="AG26" i="3"/>
  <c r="AK27"/>
  <c r="F27" i="63"/>
  <c r="AE27" i="3"/>
  <c r="AF27" s="1"/>
  <c r="AL27"/>
  <c r="N29" l="1"/>
  <c r="AB29" s="1"/>
  <c r="Z29"/>
  <c r="BK30" i="7"/>
  <c r="AG27" i="3"/>
  <c r="AK28"/>
  <c r="F28" i="63"/>
  <c r="AC28" i="3"/>
  <c r="AE28"/>
  <c r="AF28" s="1"/>
  <c r="AL28"/>
  <c r="K30"/>
  <c r="F29" i="63" l="1"/>
  <c r="AE29" i="3"/>
  <c r="AF29" s="1"/>
  <c r="AL29"/>
  <c r="AK29"/>
  <c r="N30"/>
  <c r="AB30" s="1"/>
  <c r="Z30"/>
  <c r="K35"/>
  <c r="U34" s="1"/>
  <c r="BK31" i="7"/>
  <c r="AG28" i="3"/>
  <c r="AH28" s="1"/>
  <c r="BK32" i="7" l="1"/>
  <c r="AG29" i="3"/>
  <c r="AL30"/>
  <c r="AL34" s="1"/>
  <c r="B19" i="77" s="1"/>
  <c r="F30" i="63"/>
  <c r="AK30" i="3"/>
  <c r="AE30"/>
  <c r="AF30" s="1"/>
  <c r="Z34"/>
  <c r="B18" i="77" s="1"/>
  <c r="B20" l="1"/>
  <c r="W32" i="76"/>
  <c r="X32" s="1"/>
  <c r="Y32" s="1"/>
  <c r="E18" i="77"/>
  <c r="F18"/>
  <c r="BK33" i="7"/>
  <c r="AG30" i="3"/>
  <c r="D2" l="1"/>
  <c r="D3" s="1"/>
  <c r="AA2" l="1"/>
  <c r="E2"/>
  <c r="D4"/>
  <c r="E3"/>
  <c r="AA3" s="1"/>
  <c r="AC3" s="1"/>
  <c r="AH3" s="1"/>
  <c r="D5" l="1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AA29" s="1"/>
  <c r="AC29" s="1"/>
  <c r="AH29" s="1"/>
  <c r="D30"/>
  <c r="E30" s="1"/>
  <c r="AA30" s="1"/>
  <c r="AC30" s="1"/>
  <c r="AH30" s="1"/>
  <c r="AN5" i="1" l="1"/>
  <c r="AR5"/>
  <c r="AP5"/>
  <c r="AR6" l="1"/>
  <c r="AS5"/>
  <c r="AN6"/>
  <c r="AO5"/>
  <c r="AP6"/>
  <c r="AQ5"/>
  <c r="AN7" l="1"/>
  <c r="AO6"/>
  <c r="AR7"/>
  <c r="AS6"/>
  <c r="AP7"/>
  <c r="AQ6"/>
  <c r="AT5"/>
  <c r="AU5" s="1"/>
  <c r="AT6" l="1"/>
  <c r="AU6" s="1"/>
  <c r="I3" i="81" s="1"/>
  <c r="I2"/>
  <c r="AN8" i="1"/>
  <c r="AO7"/>
  <c r="AR8"/>
  <c r="AS7"/>
  <c r="Q2" i="3"/>
  <c r="P2"/>
  <c r="P3" s="1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2" s="1"/>
  <c r="AO31"/>
  <c r="AR32"/>
  <c r="AS32" s="1"/>
  <c r="AS31"/>
  <c r="AP32"/>
  <c r="AQ32" s="1"/>
  <c r="AQ31"/>
  <c r="AT30"/>
  <c r="AU30" s="1"/>
  <c r="I27" i="81" s="1"/>
  <c r="AT31" i="1" l="1"/>
  <c r="AU31" s="1"/>
  <c r="I28" i="81" s="1"/>
  <c r="AT32" i="1"/>
  <c r="P29" i="3"/>
  <c r="Q28"/>
  <c r="AU32" i="1" l="1"/>
  <c r="I29" i="81" s="1"/>
  <c r="P30" i="3"/>
  <c r="Q30" s="1"/>
  <c r="Q29"/>
  <c r="AU36" i="1" l="1"/>
  <c r="AU38" s="1"/>
  <c r="AX5"/>
  <c r="AX6" l="1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s="1"/>
  <c r="AV5" i="7" l="1"/>
  <c r="AV6" s="1"/>
  <c r="AV7" l="1"/>
  <c r="H2" i="81"/>
  <c r="AV8" i="7" l="1"/>
  <c r="H3" i="81"/>
  <c r="H4" l="1"/>
  <c r="AV9" i="7"/>
  <c r="AV10" l="1"/>
  <c r="H5" i="81"/>
  <c r="AV11" i="7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H29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<sst xmlns="http://schemas.openxmlformats.org/spreadsheetml/2006/main" count="668" uniqueCount="417">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</sst>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3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4858</c:v>
                </c:pt>
                <c:pt idx="18">
                  <c:v>0</c:v>
                </c:pt>
                <c:pt idx="19">
                  <c:v>0</c:v>
                </c:pt>
                <c:pt idx="20">
                  <c:v>6585</c:v>
                </c:pt>
                <c:pt idx="21">
                  <c:v>5728</c:v>
                </c:pt>
                <c:pt idx="22">
                  <c:v>7227</c:v>
                </c:pt>
                <c:pt idx="23">
                  <c:v>6719</c:v>
                </c:pt>
                <c:pt idx="24">
                  <c:v>6653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5090560"/>
        <c:axId val="115092096"/>
      </c:lineChart>
      <c:catAx>
        <c:axId val="11509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92096"/>
        <c:crosses val="autoZero"/>
        <c:auto val="1"/>
        <c:lblAlgn val="ctr"/>
        <c:lblOffset val="100"/>
      </c:catAx>
      <c:valAx>
        <c:axId val="1150920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9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357</c:v>
                </c:pt>
                <c:pt idx="23">
                  <c:v>231</c:v>
                </c:pt>
                <c:pt idx="24">
                  <c:v>133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15108480"/>
        <c:axId val="115114368"/>
      </c:lineChart>
      <c:catAx>
        <c:axId val="11510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14368"/>
        <c:crosses val="autoZero"/>
        <c:auto val="1"/>
        <c:lblAlgn val="ctr"/>
        <c:lblOffset val="100"/>
      </c:catAx>
      <c:valAx>
        <c:axId val="11511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0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10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9680640"/>
        <c:axId val="99682176"/>
      </c:lineChart>
      <c:catAx>
        <c:axId val="9968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82176"/>
        <c:crosses val="autoZero"/>
        <c:auto val="1"/>
        <c:lblAlgn val="ctr"/>
        <c:lblOffset val="100"/>
      </c:catAx>
      <c:valAx>
        <c:axId val="996821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8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9706752"/>
        <c:axId val="99708288"/>
      </c:lineChart>
      <c:catAx>
        <c:axId val="9970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08288"/>
        <c:crosses val="autoZero"/>
        <c:auto val="1"/>
        <c:lblAlgn val="ctr"/>
        <c:lblOffset val="100"/>
      </c:catAx>
      <c:valAx>
        <c:axId val="997082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0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27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9732864"/>
        <c:axId val="99738752"/>
      </c:lineChart>
      <c:catAx>
        <c:axId val="9973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38752"/>
        <c:crosses val="autoZero"/>
        <c:auto val="1"/>
        <c:lblAlgn val="ctr"/>
        <c:lblOffset val="100"/>
      </c:catAx>
      <c:valAx>
        <c:axId val="997387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3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49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5774976"/>
        <c:axId val="115776512"/>
      </c:lineChart>
      <c:catAx>
        <c:axId val="11577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76512"/>
        <c:crosses val="autoZero"/>
        <c:auto val="1"/>
        <c:lblAlgn val="ctr"/>
        <c:lblOffset val="100"/>
      </c:catAx>
      <c:valAx>
        <c:axId val="115776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7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5792896"/>
        <c:axId val="118510336"/>
      </c:lineChart>
      <c:catAx>
        <c:axId val="11579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10336"/>
        <c:crosses val="autoZero"/>
        <c:auto val="1"/>
        <c:lblAlgn val="ctr"/>
        <c:lblOffset val="100"/>
      </c:catAx>
      <c:valAx>
        <c:axId val="118510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9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81</c:v>
                </c:pt>
                <c:pt idx="20">
                  <c:v>0</c:v>
                </c:pt>
                <c:pt idx="21">
                  <c:v>0</c:v>
                </c:pt>
                <c:pt idx="22">
                  <c:v>120</c:v>
                </c:pt>
                <c:pt idx="23">
                  <c:v>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8522624"/>
        <c:axId val="118524160"/>
      </c:lineChart>
      <c:catAx>
        <c:axId val="11852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24160"/>
        <c:crosses val="autoZero"/>
        <c:auto val="1"/>
        <c:lblAlgn val="ctr"/>
        <c:lblOffset val="100"/>
      </c:catAx>
      <c:valAx>
        <c:axId val="118524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2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16</c:v>
                </c:pt>
                <c:pt idx="21">
                  <c:v>18.5</c:v>
                </c:pt>
                <c:pt idx="22">
                  <c:v>19.5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8561024"/>
        <c:axId val="118571008"/>
      </c:lineChart>
      <c:catAx>
        <c:axId val="11856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71008"/>
        <c:crosses val="autoZero"/>
        <c:auto val="1"/>
        <c:lblAlgn val="ctr"/>
        <c:lblOffset val="100"/>
      </c:catAx>
      <c:valAx>
        <c:axId val="118571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6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888"/>
          <c:w val="0.1272403315177644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8591488"/>
        <c:axId val="118593024"/>
      </c:lineChart>
      <c:catAx>
        <c:axId val="11859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93024"/>
        <c:crosses val="autoZero"/>
        <c:auto val="1"/>
        <c:lblAlgn val="ctr"/>
        <c:lblOffset val="100"/>
      </c:catAx>
      <c:valAx>
        <c:axId val="118593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9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10</c:v>
                </c:pt>
                <c:pt idx="21">
                  <c:v>15</c:v>
                </c:pt>
                <c:pt idx="22">
                  <c:v>13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8429184"/>
        <c:axId val="118430720"/>
      </c:lineChart>
      <c:catAx>
        <c:axId val="11842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30720"/>
        <c:crosses val="autoZero"/>
        <c:auto val="1"/>
        <c:lblAlgn val="ctr"/>
        <c:lblOffset val="100"/>
      </c:catAx>
      <c:valAx>
        <c:axId val="1184307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2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357</c:v>
                </c:pt>
                <c:pt idx="23">
                  <c:v>231</c:v>
                </c:pt>
                <c:pt idx="24">
                  <c:v>133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18439296"/>
        <c:axId val="120423552"/>
      </c:lineChart>
      <c:catAx>
        <c:axId val="11843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23552"/>
        <c:crosses val="autoZero"/>
        <c:auto val="1"/>
        <c:lblAlgn val="ctr"/>
        <c:lblOffset val="100"/>
      </c:catAx>
      <c:valAx>
        <c:axId val="120423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3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02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444</c:v>
                </c:pt>
                <c:pt idx="1">
                  <c:v>485</c:v>
                </c:pt>
                <c:pt idx="2">
                  <c:v>503</c:v>
                </c:pt>
                <c:pt idx="3">
                  <c:v>323</c:v>
                </c:pt>
                <c:pt idx="4">
                  <c:v>0</c:v>
                </c:pt>
                <c:pt idx="5">
                  <c:v>0</c:v>
                </c:pt>
                <c:pt idx="6">
                  <c:v>396</c:v>
                </c:pt>
                <c:pt idx="7">
                  <c:v>581</c:v>
                </c:pt>
                <c:pt idx="8">
                  <c:v>0</c:v>
                </c:pt>
                <c:pt idx="9">
                  <c:v>295</c:v>
                </c:pt>
                <c:pt idx="10">
                  <c:v>435</c:v>
                </c:pt>
                <c:pt idx="11">
                  <c:v>0</c:v>
                </c:pt>
                <c:pt idx="12">
                  <c:v>0</c:v>
                </c:pt>
                <c:pt idx="13">
                  <c:v>591</c:v>
                </c:pt>
                <c:pt idx="14">
                  <c:v>330</c:v>
                </c:pt>
                <c:pt idx="15">
                  <c:v>306</c:v>
                </c:pt>
                <c:pt idx="16">
                  <c:v>407</c:v>
                </c:pt>
                <c:pt idx="17">
                  <c:v>232</c:v>
                </c:pt>
                <c:pt idx="18">
                  <c:v>0</c:v>
                </c:pt>
                <c:pt idx="19">
                  <c:v>0</c:v>
                </c:pt>
                <c:pt idx="20">
                  <c:v>436</c:v>
                </c:pt>
                <c:pt idx="21">
                  <c:v>422</c:v>
                </c:pt>
                <c:pt idx="22">
                  <c:v>378</c:v>
                </c:pt>
                <c:pt idx="23">
                  <c:v>324</c:v>
                </c:pt>
                <c:pt idx="24">
                  <c:v>270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20129024"/>
        <c:axId val="120130560"/>
      </c:lineChart>
      <c:catAx>
        <c:axId val="12012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30560"/>
        <c:crosses val="autoZero"/>
        <c:auto val="1"/>
        <c:lblAlgn val="ctr"/>
        <c:lblOffset val="100"/>
      </c:catAx>
      <c:valAx>
        <c:axId val="12013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888"/>
          <c:w val="0.1354168853893789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20171520"/>
        <c:axId val="120177408"/>
      </c:lineChart>
      <c:catAx>
        <c:axId val="12017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77408"/>
        <c:crosses val="autoZero"/>
        <c:auto val="1"/>
        <c:lblAlgn val="ctr"/>
        <c:lblOffset val="100"/>
      </c:catAx>
      <c:valAx>
        <c:axId val="120177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7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88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4858</c:v>
                </c:pt>
                <c:pt idx="18">
                  <c:v>0</c:v>
                </c:pt>
                <c:pt idx="19">
                  <c:v>0</c:v>
                </c:pt>
                <c:pt idx="20">
                  <c:v>6585</c:v>
                </c:pt>
                <c:pt idx="21">
                  <c:v>5728</c:v>
                </c:pt>
                <c:pt idx="22">
                  <c:v>7227</c:v>
                </c:pt>
                <c:pt idx="23">
                  <c:v>6719</c:v>
                </c:pt>
                <c:pt idx="24">
                  <c:v>6653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0525952"/>
        <c:axId val="120527488"/>
      </c:lineChart>
      <c:catAx>
        <c:axId val="12052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27488"/>
        <c:crosses val="autoZero"/>
        <c:auto val="1"/>
        <c:lblAlgn val="ctr"/>
        <c:lblOffset val="100"/>
      </c:catAx>
      <c:valAx>
        <c:axId val="1205274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2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357</c:v>
                </c:pt>
                <c:pt idx="23">
                  <c:v>231</c:v>
                </c:pt>
                <c:pt idx="24">
                  <c:v>133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0572544"/>
        <c:axId val="120582528"/>
      </c:lineChart>
      <c:catAx>
        <c:axId val="12057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82528"/>
        <c:crosses val="autoZero"/>
        <c:auto val="1"/>
        <c:lblAlgn val="ctr"/>
        <c:lblOffset val="100"/>
      </c:catAx>
      <c:valAx>
        <c:axId val="12058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7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888"/>
          <c:w val="0.1354168853893789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10</c:v>
                </c:pt>
                <c:pt idx="21">
                  <c:v>15</c:v>
                </c:pt>
                <c:pt idx="22">
                  <c:v>13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0504704"/>
        <c:axId val="120506240"/>
      </c:lineChart>
      <c:catAx>
        <c:axId val="12050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06240"/>
        <c:crosses val="autoZero"/>
        <c:auto val="1"/>
        <c:lblAlgn val="ctr"/>
        <c:lblOffset val="100"/>
      </c:catAx>
      <c:valAx>
        <c:axId val="120506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0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385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-2760.0967741935383</c:v>
                </c:pt>
                <c:pt idx="1">
                  <c:v>-2453.4193548387047</c:v>
                </c:pt>
                <c:pt idx="2">
                  <c:v>-2383.419354838712</c:v>
                </c:pt>
                <c:pt idx="3">
                  <c:v>0</c:v>
                </c:pt>
                <c:pt idx="4">
                  <c:v>0</c:v>
                </c:pt>
                <c:pt idx="5">
                  <c:v>-1471.4516129032345</c:v>
                </c:pt>
                <c:pt idx="6">
                  <c:v>-2395</c:v>
                </c:pt>
                <c:pt idx="7">
                  <c:v>0</c:v>
                </c:pt>
                <c:pt idx="8">
                  <c:v>-1910.0645161290231</c:v>
                </c:pt>
                <c:pt idx="9">
                  <c:v>-2453.4193548387266</c:v>
                </c:pt>
                <c:pt idx="10">
                  <c:v>0</c:v>
                </c:pt>
                <c:pt idx="11">
                  <c:v>0</c:v>
                </c:pt>
                <c:pt idx="12">
                  <c:v>-1591.3870967741823</c:v>
                </c:pt>
                <c:pt idx="13">
                  <c:v>-2146.7419354838785</c:v>
                </c:pt>
                <c:pt idx="14">
                  <c:v>-2146.7419354838639</c:v>
                </c:pt>
                <c:pt idx="15">
                  <c:v>-2383.419354838712</c:v>
                </c:pt>
                <c:pt idx="16">
                  <c:v>-106.3225806451519</c:v>
                </c:pt>
                <c:pt idx="17">
                  <c:v>0</c:v>
                </c:pt>
                <c:pt idx="18">
                  <c:v>0</c:v>
                </c:pt>
                <c:pt idx="19">
                  <c:v>-1106.3548387096962</c:v>
                </c:pt>
                <c:pt idx="20">
                  <c:v>-2528.3870967741823</c:v>
                </c:pt>
                <c:pt idx="21">
                  <c:v>-3066.7741935483937</c:v>
                </c:pt>
                <c:pt idx="22">
                  <c:v>-2453.4193548387047</c:v>
                </c:pt>
                <c:pt idx="23">
                  <c:v>-2996.7741935484009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20657792"/>
        <c:axId val="120659328"/>
      </c:lineChart>
      <c:catAx>
        <c:axId val="12065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59328"/>
        <c:crosses val="autoZero"/>
        <c:auto val="1"/>
        <c:lblAlgn val="ctr"/>
        <c:lblOffset val="100"/>
      </c:catAx>
      <c:valAx>
        <c:axId val="1206593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5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20688640"/>
        <c:axId val="120690176"/>
      </c:lineChart>
      <c:catAx>
        <c:axId val="12068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90176"/>
        <c:crosses val="autoZero"/>
        <c:auto val="1"/>
        <c:lblAlgn val="ctr"/>
        <c:lblOffset val="100"/>
      </c:catAx>
      <c:valAx>
        <c:axId val="120690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8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93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0710656"/>
        <c:axId val="120712192"/>
      </c:lineChart>
      <c:catAx>
        <c:axId val="12071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12192"/>
        <c:crosses val="autoZero"/>
        <c:auto val="1"/>
        <c:lblAlgn val="ctr"/>
        <c:lblOffset val="100"/>
      </c:catAx>
      <c:valAx>
        <c:axId val="1207121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1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0753152"/>
        <c:axId val="120754944"/>
      </c:lineChart>
      <c:catAx>
        <c:axId val="12075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54944"/>
        <c:crosses val="autoZero"/>
        <c:auto val="1"/>
        <c:lblAlgn val="ctr"/>
        <c:lblOffset val="100"/>
      </c:catAx>
      <c:valAx>
        <c:axId val="1207549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5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0587008"/>
        <c:axId val="120588544"/>
      </c:lineChart>
      <c:catAx>
        <c:axId val="12058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88544"/>
        <c:crosses val="autoZero"/>
        <c:auto val="1"/>
        <c:lblAlgn val="ctr"/>
        <c:lblOffset val="100"/>
      </c:catAx>
      <c:valAx>
        <c:axId val="120588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8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70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81</c:v>
                </c:pt>
                <c:pt idx="20">
                  <c:v>0</c:v>
                </c:pt>
                <c:pt idx="21">
                  <c:v>0</c:v>
                </c:pt>
                <c:pt idx="22">
                  <c:v>120</c:v>
                </c:pt>
                <c:pt idx="23">
                  <c:v>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0621312"/>
        <c:axId val="120635392"/>
      </c:lineChart>
      <c:catAx>
        <c:axId val="12062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35392"/>
        <c:crosses val="autoZero"/>
        <c:auto val="1"/>
        <c:lblAlgn val="ctr"/>
        <c:lblOffset val="100"/>
      </c:catAx>
      <c:valAx>
        <c:axId val="120635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2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88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16</c:v>
                </c:pt>
                <c:pt idx="21">
                  <c:v>18.5</c:v>
                </c:pt>
                <c:pt idx="22">
                  <c:v>19.5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0877056"/>
        <c:axId val="120878592"/>
      </c:lineChart>
      <c:catAx>
        <c:axId val="12087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78592"/>
        <c:crosses val="autoZero"/>
        <c:auto val="1"/>
        <c:lblAlgn val="ctr"/>
        <c:lblOffset val="100"/>
      </c:catAx>
      <c:valAx>
        <c:axId val="12087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7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274"/>
          <c:w val="0.1234311819809442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0912512"/>
        <c:axId val="120930688"/>
      </c:lineChart>
      <c:catAx>
        <c:axId val="1209125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30688"/>
        <c:crosses val="autoZero"/>
        <c:auto val="1"/>
        <c:lblAlgn val="ctr"/>
        <c:lblOffset val="100"/>
      </c:catAx>
      <c:valAx>
        <c:axId val="1209306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1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244"/>
          <c:w val="0.1569039853282437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0954880"/>
        <c:axId val="120956416"/>
      </c:lineChart>
      <c:catAx>
        <c:axId val="12095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56416"/>
        <c:crosses val="autoZero"/>
        <c:auto val="1"/>
        <c:lblAlgn val="ctr"/>
        <c:lblOffset val="100"/>
      </c:catAx>
      <c:valAx>
        <c:axId val="120956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5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0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16</c:v>
                </c:pt>
                <c:pt idx="21">
                  <c:v>18.5</c:v>
                </c:pt>
                <c:pt idx="22">
                  <c:v>19.5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0989568"/>
        <c:axId val="120991104"/>
      </c:lineChart>
      <c:catAx>
        <c:axId val="12098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91104"/>
        <c:crosses val="autoZero"/>
        <c:auto val="1"/>
        <c:lblAlgn val="ctr"/>
        <c:lblOffset val="100"/>
      </c:catAx>
      <c:valAx>
        <c:axId val="120991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8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41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1648256"/>
        <c:axId val="121649792"/>
      </c:lineChart>
      <c:catAx>
        <c:axId val="1216482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49792"/>
        <c:crosses val="autoZero"/>
        <c:auto val="1"/>
        <c:lblAlgn val="ctr"/>
        <c:lblOffset val="100"/>
      </c:catAx>
      <c:valAx>
        <c:axId val="1216497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4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24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FEB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  <cell r="D34">
            <v>161650</v>
          </cell>
          <cell r="E34">
            <v>2130</v>
          </cell>
          <cell r="F34">
            <v>4114577.2</v>
          </cell>
          <cell r="G34">
            <v>236.20000000018626</v>
          </cell>
          <cell r="H34">
            <v>18010582</v>
          </cell>
          <cell r="I34">
            <v>292</v>
          </cell>
          <cell r="J34">
            <v>29685832</v>
          </cell>
          <cell r="K34">
            <v>1436</v>
          </cell>
          <cell r="L34">
            <v>24519401</v>
          </cell>
          <cell r="M34">
            <v>1093</v>
          </cell>
          <cell r="N34">
            <v>5187.2000000001863</v>
          </cell>
          <cell r="O34">
            <v>0</v>
          </cell>
          <cell r="P34">
            <v>18886.286</v>
          </cell>
          <cell r="Q34">
            <v>5000</v>
          </cell>
          <cell r="R34">
            <v>187.20000000018626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44592</v>
          </cell>
          <cell r="B35">
            <v>162</v>
          </cell>
          <cell r="C35">
            <v>169</v>
          </cell>
          <cell r="D35">
            <v>7</v>
          </cell>
          <cell r="E35">
            <v>58.660000000000004</v>
          </cell>
          <cell r="F35">
            <v>2053</v>
          </cell>
          <cell r="G35">
            <v>6</v>
          </cell>
          <cell r="H35">
            <v>29215</v>
          </cell>
          <cell r="I35">
            <v>444</v>
          </cell>
          <cell r="J35">
            <v>74</v>
          </cell>
          <cell r="K35">
            <v>2384</v>
          </cell>
          <cell r="L35">
            <v>0</v>
          </cell>
          <cell r="M35">
            <v>176242</v>
          </cell>
          <cell r="N35">
            <v>0</v>
          </cell>
          <cell r="O35">
            <v>1869</v>
          </cell>
          <cell r="P35">
            <v>2142</v>
          </cell>
          <cell r="Q35">
            <v>179665</v>
          </cell>
          <cell r="R35">
            <v>0</v>
          </cell>
          <cell r="S35">
            <v>0</v>
          </cell>
          <cell r="T35">
            <v>0</v>
          </cell>
          <cell r="U35">
            <v>6</v>
          </cell>
          <cell r="V35">
            <v>444</v>
          </cell>
          <cell r="X35">
            <v>2471</v>
          </cell>
          <cell r="Y35">
            <v>0</v>
          </cell>
          <cell r="Z35">
            <v>1392127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444</v>
          </cell>
          <cell r="AJ35">
            <v>0</v>
          </cell>
          <cell r="AK35">
            <v>-444</v>
          </cell>
          <cell r="AL35">
            <v>6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44592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626864</v>
          </cell>
          <cell r="H36">
            <v>0</v>
          </cell>
          <cell r="I36">
            <v>0</v>
          </cell>
          <cell r="J36">
            <v>0</v>
          </cell>
          <cell r="K36">
            <v>7000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5181</v>
          </cell>
          <cell r="U36">
            <v>0</v>
          </cell>
          <cell r="V36">
            <v>478</v>
          </cell>
          <cell r="W36">
            <v>0</v>
          </cell>
          <cell r="X36">
            <v>154709</v>
          </cell>
          <cell r="Y36">
            <v>0</v>
          </cell>
          <cell r="Z36">
            <v>99258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239.96</v>
          </cell>
          <cell r="AF36">
            <v>0</v>
          </cell>
          <cell r="AG36">
            <v>2218.1999999999998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14</v>
          </cell>
          <cell r="AN36">
            <v>0</v>
          </cell>
          <cell r="AP36">
            <v>0</v>
          </cell>
          <cell r="AR36">
            <v>44592</v>
          </cell>
          <cell r="AS36">
            <v>0.9</v>
          </cell>
          <cell r="AT36">
            <v>171</v>
          </cell>
          <cell r="AU36">
            <v>1.1000000000000001</v>
          </cell>
          <cell r="AV36">
            <v>103</v>
          </cell>
          <cell r="AW36">
            <v>2.9</v>
          </cell>
          <cell r="AX36">
            <v>95</v>
          </cell>
          <cell r="AY36">
            <v>153.9</v>
          </cell>
          <cell r="AZ36">
            <v>113.30000000000001</v>
          </cell>
          <cell r="BA36">
            <v>275.5</v>
          </cell>
          <cell r="BB36">
            <v>0</v>
          </cell>
          <cell r="BC36">
            <v>5.5</v>
          </cell>
          <cell r="BD36">
            <v>-8.6999999999999886</v>
          </cell>
          <cell r="BE36">
            <v>-3.1999999999999886</v>
          </cell>
          <cell r="BF36">
            <v>3.1999999999999886</v>
          </cell>
          <cell r="BG36">
            <v>-3.1999999999999886</v>
          </cell>
        </row>
      </sheetData>
      <sheetData sheetId="5">
        <row r="33">
          <cell r="A33">
            <v>44592</v>
          </cell>
          <cell r="B33">
            <v>11428</v>
          </cell>
          <cell r="C33">
            <v>0</v>
          </cell>
          <cell r="D33">
            <v>620016</v>
          </cell>
          <cell r="E33">
            <v>0</v>
          </cell>
          <cell r="F33">
            <v>0</v>
          </cell>
          <cell r="H33">
            <v>11528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13521</v>
          </cell>
          <cell r="S33">
            <v>9</v>
          </cell>
          <cell r="T33">
            <v>319762</v>
          </cell>
          <cell r="U33">
            <v>2259</v>
          </cell>
          <cell r="V33">
            <v>251</v>
          </cell>
          <cell r="X33">
            <v>13550</v>
          </cell>
          <cell r="Y33" t="str">
            <v>ok</v>
          </cell>
          <cell r="Z33">
            <v>9</v>
          </cell>
          <cell r="AA33">
            <v>2259</v>
          </cell>
          <cell r="AB33">
            <v>251</v>
          </cell>
          <cell r="AC33">
            <v>251</v>
          </cell>
          <cell r="AD33">
            <v>5000</v>
          </cell>
          <cell r="AE33">
            <v>555.55555555555554</v>
          </cell>
          <cell r="AF33">
            <v>0.34722222222222221</v>
          </cell>
          <cell r="AG33">
            <v>2.1701388888888888E-4</v>
          </cell>
          <cell r="AH33">
            <v>250.99978298611111</v>
          </cell>
          <cell r="AI33">
            <v>1286.9198312236288</v>
          </cell>
          <cell r="AJ33">
            <v>0.25738396624472576</v>
          </cell>
          <cell r="AK33">
            <v>142.99109235818096</v>
          </cell>
          <cell r="AL33">
            <v>1</v>
          </cell>
        </row>
      </sheetData>
      <sheetData sheetId="6">
        <row r="36">
          <cell r="A36">
            <v>44592</v>
          </cell>
          <cell r="B36">
            <v>162</v>
          </cell>
          <cell r="C36">
            <v>3485.6129032258063</v>
          </cell>
          <cell r="D36">
            <v>162</v>
          </cell>
          <cell r="E36">
            <v>3485.6129032258063</v>
          </cell>
          <cell r="F36">
            <v>162</v>
          </cell>
          <cell r="G36">
            <v>3485.6129032258063</v>
          </cell>
          <cell r="H36">
            <v>162</v>
          </cell>
          <cell r="I36">
            <v>3485.6129032258063</v>
          </cell>
          <cell r="J36">
            <v>162</v>
          </cell>
          <cell r="K36">
            <v>3485.6129032258063</v>
          </cell>
          <cell r="L36">
            <v>162</v>
          </cell>
          <cell r="M36">
            <v>3485.6129032258063</v>
          </cell>
          <cell r="N36">
            <v>162</v>
          </cell>
          <cell r="O36">
            <v>3485.6129032258063</v>
          </cell>
          <cell r="P36">
            <v>162</v>
          </cell>
          <cell r="Q36">
            <v>3485.6129032258063</v>
          </cell>
          <cell r="R36">
            <v>162</v>
          </cell>
          <cell r="S36">
            <v>3485.6129032258063</v>
          </cell>
          <cell r="T36">
            <v>162</v>
          </cell>
          <cell r="U36">
            <v>3485.6129032258063</v>
          </cell>
          <cell r="V36">
            <v>162</v>
          </cell>
          <cell r="W36">
            <v>3485.6129032258063</v>
          </cell>
          <cell r="X36">
            <v>0.52258064516129021</v>
          </cell>
          <cell r="Y36">
            <v>38341.741935483864</v>
          </cell>
          <cell r="Z36">
            <v>169</v>
          </cell>
          <cell r="AA36">
            <v>1690</v>
          </cell>
          <cell r="AB36">
            <v>169</v>
          </cell>
          <cell r="AC36">
            <v>1690</v>
          </cell>
          <cell r="AD36">
            <v>169</v>
          </cell>
          <cell r="AE36">
            <v>1690</v>
          </cell>
          <cell r="AF36">
            <v>169</v>
          </cell>
          <cell r="AG36">
            <v>1690</v>
          </cell>
          <cell r="AH36">
            <v>169</v>
          </cell>
          <cell r="AI36">
            <v>1690</v>
          </cell>
          <cell r="AJ36">
            <v>169</v>
          </cell>
          <cell r="AK36">
            <v>1690</v>
          </cell>
          <cell r="AL36">
            <v>169</v>
          </cell>
          <cell r="AM36">
            <v>1690</v>
          </cell>
          <cell r="AN36">
            <v>0.60357142857142854</v>
          </cell>
          <cell r="AO36">
            <v>11830</v>
          </cell>
          <cell r="AQ36">
            <v>0.53965517839608335</v>
          </cell>
          <cell r="AR36">
            <v>50171.741935483864</v>
          </cell>
          <cell r="AS36">
            <v>-2146.7419354838785</v>
          </cell>
          <cell r="AV36">
            <v>0.63800000000000001</v>
          </cell>
          <cell r="AW36">
            <v>0</v>
          </cell>
          <cell r="AX36">
            <v>-2146.7419354838785</v>
          </cell>
          <cell r="AY36">
            <v>-2146.7419354838785</v>
          </cell>
          <cell r="AZ36">
            <v>0</v>
          </cell>
          <cell r="BA36">
            <v>14</v>
          </cell>
          <cell r="BB36">
            <v>0.61</v>
          </cell>
          <cell r="BI36">
            <v>23</v>
          </cell>
        </row>
      </sheetData>
      <sheetData sheetId="7">
        <row r="26">
          <cell r="V26">
            <v>400225</v>
          </cell>
          <cell r="W26">
            <v>400529</v>
          </cell>
          <cell r="AA26">
            <v>304</v>
          </cell>
          <cell r="AB26">
            <v>24320</v>
          </cell>
          <cell r="AC26">
            <v>1033333</v>
          </cell>
          <cell r="AD26">
            <v>0.12474353713582274</v>
          </cell>
        </row>
        <row r="27">
          <cell r="V27">
            <v>546590</v>
          </cell>
          <cell r="W27">
            <v>548374</v>
          </cell>
          <cell r="AA27">
            <v>1784</v>
          </cell>
          <cell r="AB27">
            <v>199808</v>
          </cell>
          <cell r="AC27">
            <v>6200000</v>
          </cell>
          <cell r="AD27">
            <v>0.73204759950759135</v>
          </cell>
        </row>
        <row r="28">
          <cell r="V28">
            <v>160089</v>
          </cell>
          <cell r="W28">
            <v>160439</v>
          </cell>
          <cell r="AA28">
            <v>350</v>
          </cell>
          <cell r="AB28">
            <v>112000</v>
          </cell>
          <cell r="AC28">
            <v>1000</v>
          </cell>
          <cell r="AD28">
            <v>0.14361920393926961</v>
          </cell>
          <cell r="AE28">
            <v>5600</v>
          </cell>
          <cell r="AF28">
            <v>24800</v>
          </cell>
        </row>
        <row r="29">
          <cell r="AA29">
            <v>2438</v>
          </cell>
          <cell r="AB29">
            <v>336128</v>
          </cell>
          <cell r="AC29">
            <v>7234333</v>
          </cell>
        </row>
        <row r="30">
          <cell r="AB30">
            <v>7570461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  <row r="33">
          <cell r="AA33">
            <v>0.11</v>
          </cell>
          <cell r="AB33">
            <v>832750.71</v>
          </cell>
          <cell r="AC33">
            <v>7234333</v>
          </cell>
        </row>
        <row r="34">
          <cell r="A34">
            <v>44592</v>
          </cell>
          <cell r="B34">
            <v>1109342</v>
          </cell>
          <cell r="C34">
            <v>0</v>
          </cell>
          <cell r="D34">
            <v>0</v>
          </cell>
          <cell r="E34">
            <v>1109342</v>
          </cell>
          <cell r="F34">
            <v>160439</v>
          </cell>
          <cell r="G34">
            <v>0</v>
          </cell>
          <cell r="H34">
            <v>548374</v>
          </cell>
          <cell r="I34">
            <v>0</v>
          </cell>
          <cell r="J34">
            <v>400529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1352.4474193548435</v>
          </cell>
          <cell r="R34">
            <v>1507.2504579254314</v>
          </cell>
          <cell r="S34">
            <v>5187.2000000001863</v>
          </cell>
          <cell r="T34">
            <v>0.29057110925458385</v>
          </cell>
          <cell r="AB34">
            <v>8403211.7100000009</v>
          </cell>
          <cell r="AC34">
            <v>0</v>
          </cell>
        </row>
        <row r="36">
          <cell r="AA36" t="str">
            <v>$ without VAT</v>
          </cell>
          <cell r="AB36">
            <v>5021.8646766169159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7000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6.4999999999999964</v>
          </cell>
        </row>
        <row r="15">
          <cell r="B15">
            <v>-75.899999999999977</v>
          </cell>
        </row>
        <row r="16">
          <cell r="B16">
            <v>15.821428571428571</v>
          </cell>
        </row>
        <row r="17">
          <cell r="B17">
            <v>0</v>
          </cell>
        </row>
        <row r="18">
          <cell r="B18">
            <v>189</v>
          </cell>
        </row>
        <row r="19">
          <cell r="B19">
            <v>6.75</v>
          </cell>
        </row>
      </sheetData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25" sqref="C25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2</v>
      </c>
      <c r="D2">
        <v>2022</v>
      </c>
      <c r="E2" s="203">
        <f>ELEC!N4</f>
        <v>7726.7999999998137</v>
      </c>
      <c r="F2" s="315">
        <f>SUM('EDl log'!T4)</f>
        <v>0.25435071797299791</v>
      </c>
      <c r="G2" s="203">
        <f>-tanks!AW6</f>
        <v>485</v>
      </c>
      <c r="H2" s="315">
        <f>SUM(tanks!AV6)</f>
        <v>0.63800000000000001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2</v>
      </c>
      <c r="D3">
        <f>D2</f>
        <v>2022</v>
      </c>
      <c r="E3" s="203">
        <f>ELEC!N5</f>
        <v>4558</v>
      </c>
      <c r="F3" s="315">
        <f>SUM('EDl log'!T5)</f>
        <v>0.36862983885646938</v>
      </c>
      <c r="G3" s="203">
        <f>-tanks!AW7</f>
        <v>503</v>
      </c>
      <c r="H3" s="315">
        <f>SUM(tanks!AV7)</f>
        <v>0.63800000000000001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29" si="0">B3+1</f>
        <v>3</v>
      </c>
      <c r="C4">
        <v>2</v>
      </c>
      <c r="D4">
        <f t="shared" ref="D4:D29" si="1">D3</f>
        <v>2022</v>
      </c>
      <c r="E4" s="203">
        <f>ELEC!N6</f>
        <v>5673</v>
      </c>
      <c r="F4" s="315">
        <f>SUM('EDl log'!T6)</f>
        <v>0.30811797780625028</v>
      </c>
      <c r="G4" s="203">
        <f>-tanks!AW8</f>
        <v>323</v>
      </c>
      <c r="H4" s="315">
        <f>SUM(tanks!AV8)</f>
        <v>0.63800000000000001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2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0.63800000000000001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2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SUM(tanks!AV10)</f>
        <v>0.63800000000000001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2</v>
      </c>
      <c r="D7">
        <f t="shared" si="1"/>
        <v>2022</v>
      </c>
      <c r="E7" s="203">
        <f>ELEC!N9</f>
        <v>7240.3999999999069</v>
      </c>
      <c r="F7" s="315">
        <f>SUM('EDl log'!T9)</f>
        <v>0.13893612910417444</v>
      </c>
      <c r="G7" s="203">
        <f>-tanks!AW11</f>
        <v>396</v>
      </c>
      <c r="H7" s="315">
        <f>SUM(tanks!AV11)</f>
        <v>0.76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2</v>
      </c>
      <c r="D8">
        <f t="shared" si="1"/>
        <v>2022</v>
      </c>
      <c r="E8" s="203">
        <f>ELEC!N10</f>
        <v>5591.6000000000931</v>
      </c>
      <c r="F8" s="315">
        <f>SUM('EDl log'!T10)</f>
        <v>0.27888286210579155</v>
      </c>
      <c r="G8" s="203">
        <f>-tanks!AW12</f>
        <v>581</v>
      </c>
      <c r="H8" s="315">
        <f>SUM(tanks!AV12)</f>
        <v>0.76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2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0.76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2</v>
      </c>
      <c r="D10">
        <f t="shared" si="1"/>
        <v>2022</v>
      </c>
      <c r="E10" s="203">
        <f>ELEC!N12</f>
        <v>4598</v>
      </c>
      <c r="F10" s="315">
        <f>SUM('EDl log'!T12)</f>
        <v>0.30604232507079038</v>
      </c>
      <c r="G10" s="203">
        <f>-tanks!AW14</f>
        <v>295</v>
      </c>
      <c r="H10" s="315">
        <f>SUM(tanks!AV14)</f>
        <v>0.76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2</v>
      </c>
      <c r="D11">
        <f t="shared" si="1"/>
        <v>2022</v>
      </c>
      <c r="E11" s="203">
        <f>ELEC!N13</f>
        <v>5970</v>
      </c>
      <c r="F11" s="315">
        <f>SUM('EDl log'!T13)</f>
        <v>0.29457637044292939</v>
      </c>
      <c r="G11" s="203">
        <f>-tanks!AW15</f>
        <v>435</v>
      </c>
      <c r="H11" s="315">
        <f>SUM(tanks!AV15)</f>
        <v>0.76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2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0.76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2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0.76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2</v>
      </c>
      <c r="D14">
        <f t="shared" si="1"/>
        <v>2022</v>
      </c>
      <c r="E14" s="203">
        <f>ELEC!N16</f>
        <v>6925</v>
      </c>
      <c r="F14" s="315">
        <f>SUM('EDl log'!T16)</f>
        <v>0.14009493303527765</v>
      </c>
      <c r="G14" s="203">
        <f>-tanks!AW18</f>
        <v>591</v>
      </c>
      <c r="H14" s="315">
        <f>SUM(tanks!AV18)</f>
        <v>0.74099999999999999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2</v>
      </c>
      <c r="D15">
        <f t="shared" si="1"/>
        <v>2022</v>
      </c>
      <c r="E15" s="203">
        <f>ELEC!N17</f>
        <v>6020</v>
      </c>
      <c r="F15" s="315">
        <f>SUM('EDl log'!T17)</f>
        <v>0.25938529059554555</v>
      </c>
      <c r="G15" s="203">
        <f>-tanks!AW19</f>
        <v>330</v>
      </c>
      <c r="H15" s="315">
        <f>SUM(tanks!AV19)</f>
        <v>0.74099999999999999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2</v>
      </c>
      <c r="D16">
        <f t="shared" si="1"/>
        <v>2022</v>
      </c>
      <c r="E16" s="203">
        <f>ELEC!N18</f>
        <v>5276</v>
      </c>
      <c r="F16" s="315">
        <f>SUM('EDl log'!T18)</f>
        <v>0.30127604961648019</v>
      </c>
      <c r="G16" s="203">
        <f>-tanks!AW20</f>
        <v>306</v>
      </c>
      <c r="H16" s="315">
        <f>SUM(tanks!AV20)</f>
        <v>0.74099999999999999</v>
      </c>
      <c r="I16" s="10">
        <f>('B5'!AU19)*0.51</f>
        <v>0</v>
      </c>
      <c r="J16" s="296">
        <f>'B5'!AX19/0.51</f>
        <v>1.5686274509803921</v>
      </c>
      <c r="K16" s="203">
        <f>WATER!I20</f>
        <v>179</v>
      </c>
      <c r="L16" s="316">
        <f>SUM(WATER!J20)</f>
        <v>1.4964086193136472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2</v>
      </c>
      <c r="D17">
        <f t="shared" si="1"/>
        <v>2022</v>
      </c>
      <c r="E17" s="203">
        <f>ELEC!N19</f>
        <v>5334</v>
      </c>
      <c r="F17" s="315">
        <f>SUM('EDl log'!T19)</f>
        <v>0.319908584412396</v>
      </c>
      <c r="G17" s="203">
        <f>-tanks!AW21</f>
        <v>407</v>
      </c>
      <c r="H17" s="315">
        <f>SUM(tanks!AV21)</f>
        <v>0.74099999999999999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2</v>
      </c>
      <c r="D18">
        <f t="shared" si="1"/>
        <v>2022</v>
      </c>
      <c r="E18" s="203">
        <f>ELEC!N20</f>
        <v>4858</v>
      </c>
      <c r="F18" s="315">
        <f>SUM('EDl log'!T20)</f>
        <v>1.548474812153534E-2</v>
      </c>
      <c r="G18" s="203">
        <f>-tanks!AW22</f>
        <v>232</v>
      </c>
      <c r="H18" s="315">
        <f>SUM(tanks!AV22)</f>
        <v>0.79500000000000004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2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0.79500000000000004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2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0.79500000000000004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2</v>
      </c>
      <c r="D21">
        <f t="shared" si="1"/>
        <v>2022</v>
      </c>
      <c r="E21" s="203">
        <f>ELEC!N23</f>
        <v>6585</v>
      </c>
      <c r="F21" s="315">
        <f>SUM('EDl log'!T23)</f>
        <v>0.10392137522199026</v>
      </c>
      <c r="G21" s="203">
        <f>-tanks!AW25</f>
        <v>436</v>
      </c>
      <c r="H21" s="315">
        <f>SUM(tanks!AV25)</f>
        <v>0.79500000000000004</v>
      </c>
      <c r="I21" s="10">
        <f>('B5'!AU24)*0.51</f>
        <v>0</v>
      </c>
      <c r="J21" s="296">
        <f>'B5'!AX24/0.51</f>
        <v>1.5686274509803921</v>
      </c>
      <c r="K21" s="203">
        <f>WATER!I25</f>
        <v>81</v>
      </c>
      <c r="L21" s="316">
        <f>SUM(WATER!J25)</f>
        <v>3.3068783068783065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2</v>
      </c>
      <c r="D22">
        <f t="shared" si="1"/>
        <v>2022</v>
      </c>
      <c r="E22" s="203">
        <f>ELEC!N24</f>
        <v>5728</v>
      </c>
      <c r="F22" s="315">
        <f>SUM('EDl log'!T24)</f>
        <v>0.31129997764766326</v>
      </c>
      <c r="G22" s="203">
        <f>-tanks!AW26</f>
        <v>422</v>
      </c>
      <c r="H22" s="315">
        <f>SUM(tanks!AV26)</f>
        <v>0.74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2</v>
      </c>
      <c r="D23">
        <f t="shared" si="1"/>
        <v>2022</v>
      </c>
      <c r="E23" s="203">
        <f>ELEC!N25</f>
        <v>7227</v>
      </c>
      <c r="F23" s="315">
        <f>SUM('EDl log'!T25)</f>
        <v>0.31315327970292717</v>
      </c>
      <c r="G23" s="203">
        <f>-tanks!AW27</f>
        <v>378</v>
      </c>
      <c r="H23" s="315">
        <f>SUM(tanks!AV27)</f>
        <v>0.74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2</v>
      </c>
      <c r="D24">
        <f t="shared" si="1"/>
        <v>2022</v>
      </c>
      <c r="E24" s="203">
        <f>ELEC!N26</f>
        <v>6719</v>
      </c>
      <c r="F24" s="315">
        <f>SUM('EDl log'!T26)</f>
        <v>0.27034330807173534</v>
      </c>
      <c r="G24" s="203">
        <f>-tanks!AW28</f>
        <v>324</v>
      </c>
      <c r="H24" s="315">
        <f>SUM(tanks!AV28)</f>
        <v>0.74</v>
      </c>
      <c r="I24" s="10">
        <f>('B5'!AU27)*0.51</f>
        <v>0</v>
      </c>
      <c r="J24" s="296">
        <f>'B5'!AX27/0.51</f>
        <v>1.5686274509803921</v>
      </c>
      <c r="K24" s="203">
        <f>WATER!I28</f>
        <v>120</v>
      </c>
      <c r="L24" s="316">
        <f>SUM(WATER!J28)</f>
        <v>2.2321428571428568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2</v>
      </c>
      <c r="D25">
        <f t="shared" si="1"/>
        <v>2022</v>
      </c>
      <c r="E25" s="203">
        <f>ELEC!N27</f>
        <v>6653</v>
      </c>
      <c r="F25" s="315">
        <f>SUM('EDl log'!T27)</f>
        <v>0.34161098827349184</v>
      </c>
      <c r="G25" s="203">
        <f>-tanks!AW29</f>
        <v>270</v>
      </c>
      <c r="H25" s="315">
        <f>SUM(tanks!AV29)</f>
        <v>0.74</v>
      </c>
      <c r="I25" s="10">
        <f>('B5'!AU28)*0.51</f>
        <v>0</v>
      </c>
      <c r="J25" s="296">
        <f>'B5'!AX28/0.51</f>
        <v>1.5686274509803921</v>
      </c>
      <c r="K25" s="203">
        <f>WATER!I29</f>
        <v>29</v>
      </c>
      <c r="L25" s="316">
        <f>SUM(WATER!J29)</f>
        <v>9.2364532019704431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2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0.74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2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0.74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2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0.74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2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0.74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E30" s="203"/>
      <c r="F30" s="315"/>
      <c r="G30" s="203"/>
      <c r="H30" s="315"/>
      <c r="I30" s="10"/>
      <c r="J30" s="296"/>
      <c r="K30" s="203"/>
      <c r="L30" s="316"/>
      <c r="M30" s="316"/>
      <c r="N30" s="469"/>
      <c r="O30" s="10"/>
    </row>
    <row r="31" spans="1:15">
      <c r="A31" t="s">
        <v>342</v>
      </c>
      <c r="E31" s="203"/>
      <c r="F31" s="315"/>
      <c r="G31" s="203"/>
      <c r="H31" s="315"/>
      <c r="I31" s="10"/>
      <c r="J31" s="296"/>
      <c r="K31" s="203"/>
      <c r="L31" s="316"/>
      <c r="M31" s="316"/>
      <c r="N31" s="469"/>
      <c r="O31" s="10"/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J24" sqref="J24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2</v>
      </c>
      <c r="D2">
        <v>2022</v>
      </c>
      <c r="E2" s="203">
        <f>ELEC!M4</f>
        <v>1329</v>
      </c>
      <c r="F2" s="203">
        <f>ELEC!K4</f>
        <v>1844</v>
      </c>
      <c r="G2" s="203">
        <f>ELEC!I4</f>
        <v>350</v>
      </c>
      <c r="H2" s="203">
        <f>ELEC!E4</f>
        <v>3930</v>
      </c>
      <c r="I2" s="203">
        <f>ELEC!G4</f>
        <v>273.79999999981374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2</v>
      </c>
      <c r="D3">
        <v>2022</v>
      </c>
      <c r="E3" s="203">
        <f>ELEC!M5</f>
        <v>1092</v>
      </c>
      <c r="F3" s="203">
        <f>ELEC!K5</f>
        <v>1612</v>
      </c>
      <c r="G3" s="203">
        <f>ELEC!I5</f>
        <v>332</v>
      </c>
      <c r="H3" s="203">
        <f>ELEC!E5</f>
        <v>1260</v>
      </c>
      <c r="I3" s="203">
        <f>ELEC!G5</f>
        <v>262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29" si="0">B3+1</f>
        <v>3</v>
      </c>
      <c r="C4">
        <v>2</v>
      </c>
      <c r="D4">
        <v>2022</v>
      </c>
      <c r="E4" s="203">
        <f>ELEC!M6</f>
        <v>1060</v>
      </c>
      <c r="F4" s="203">
        <f>ELEC!K6</f>
        <v>1562</v>
      </c>
      <c r="G4" s="203">
        <f>ELEC!I6</f>
        <v>450</v>
      </c>
      <c r="H4" s="203">
        <f>ELEC!E6</f>
        <v>2350</v>
      </c>
      <c r="I4" s="203">
        <f>ELEC!G6</f>
        <v>251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2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2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2</v>
      </c>
      <c r="D7">
        <v>2022</v>
      </c>
      <c r="E7" s="203">
        <f>ELEC!M9</f>
        <v>1396</v>
      </c>
      <c r="F7" s="203">
        <f>ELEC!K9</f>
        <v>1976</v>
      </c>
      <c r="G7" s="203">
        <f>ELEC!I9</f>
        <v>504</v>
      </c>
      <c r="H7" s="203">
        <f>ELEC!E9</f>
        <v>3040</v>
      </c>
      <c r="I7" s="203">
        <f>ELEC!G9</f>
        <v>324.39999999990687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2</v>
      </c>
      <c r="D8">
        <v>2022</v>
      </c>
      <c r="E8" s="203">
        <f>ELEC!M10</f>
        <v>1124</v>
      </c>
      <c r="F8" s="203">
        <f>ELEC!K10</f>
        <v>1556</v>
      </c>
      <c r="G8" s="203">
        <f>ELEC!I10</f>
        <v>396</v>
      </c>
      <c r="H8" s="203">
        <f>ELEC!E10</f>
        <v>2230</v>
      </c>
      <c r="I8" s="203">
        <f>ELEC!G10</f>
        <v>285.60000000009313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2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2</v>
      </c>
      <c r="D10">
        <v>2022</v>
      </c>
      <c r="E10" s="203">
        <f>ELEC!M12</f>
        <v>830</v>
      </c>
      <c r="F10" s="203">
        <f>ELEC!K12</f>
        <v>1252</v>
      </c>
      <c r="G10" s="203">
        <f>ELEC!I12</f>
        <v>392</v>
      </c>
      <c r="H10" s="203">
        <f>ELEC!E12</f>
        <v>1900</v>
      </c>
      <c r="I10" s="203">
        <f>ELEC!G12</f>
        <v>224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2</v>
      </c>
      <c r="D11">
        <v>2022</v>
      </c>
      <c r="E11" s="203">
        <f>ELEC!M13</f>
        <v>1046</v>
      </c>
      <c r="F11" s="203">
        <f>ELEC!K13</f>
        <v>1660</v>
      </c>
      <c r="G11" s="203">
        <f>ELEC!I13</f>
        <v>484</v>
      </c>
      <c r="H11" s="203">
        <f>ELEC!E13</f>
        <v>2520</v>
      </c>
      <c r="I11" s="203">
        <f>ELEC!G13</f>
        <v>260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2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2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2</v>
      </c>
      <c r="D14">
        <v>2022</v>
      </c>
      <c r="E14" s="203">
        <f>ELEC!M16</f>
        <v>1242</v>
      </c>
      <c r="F14" s="203">
        <f>ELEC!K16</f>
        <v>1946</v>
      </c>
      <c r="G14" s="203">
        <f>ELEC!I16</f>
        <v>566</v>
      </c>
      <c r="H14" s="203">
        <f>ELEC!E16</f>
        <v>2860</v>
      </c>
      <c r="I14" s="203">
        <f>ELEC!G16</f>
        <v>311</v>
      </c>
      <c r="J14" s="203">
        <f>WATER!Y18</f>
        <v>91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2</v>
      </c>
      <c r="D15">
        <v>2022</v>
      </c>
      <c r="E15" s="203">
        <f>ELEC!M17</f>
        <v>1024</v>
      </c>
      <c r="F15" s="203">
        <f>ELEC!K17</f>
        <v>1658</v>
      </c>
      <c r="G15" s="203">
        <f>ELEC!I17</f>
        <v>474</v>
      </c>
      <c r="H15" s="203">
        <f>ELEC!E17</f>
        <v>2610</v>
      </c>
      <c r="I15" s="203">
        <f>ELEC!G17</f>
        <v>254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2</v>
      </c>
      <c r="D16">
        <v>2022</v>
      </c>
      <c r="E16" s="203">
        <f>ELEC!M18</f>
        <v>920</v>
      </c>
      <c r="F16" s="203">
        <f>ELEC!K18</f>
        <v>1472</v>
      </c>
      <c r="G16" s="203">
        <f>ELEC!I18</f>
        <v>428</v>
      </c>
      <c r="H16" s="203">
        <f>ELEC!E18</f>
        <v>2230</v>
      </c>
      <c r="I16" s="203">
        <f>ELEC!G18</f>
        <v>226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2</v>
      </c>
      <c r="D17">
        <v>2022</v>
      </c>
      <c r="E17" s="203">
        <f>ELEC!M19</f>
        <v>870</v>
      </c>
      <c r="F17" s="203">
        <f>ELEC!K19</f>
        <v>1456</v>
      </c>
      <c r="G17" s="203">
        <f>ELEC!I19</f>
        <v>448</v>
      </c>
      <c r="H17" s="203">
        <f>ELEC!E19</f>
        <v>2340</v>
      </c>
      <c r="I17" s="203">
        <f>ELEC!G19</f>
        <v>220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2</v>
      </c>
      <c r="D18">
        <v>2022</v>
      </c>
      <c r="E18" s="203">
        <f>ELEC!M20</f>
        <v>748</v>
      </c>
      <c r="F18" s="203">
        <f>ELEC!K20</f>
        <v>1256</v>
      </c>
      <c r="G18" s="203">
        <f>ELEC!I20</f>
        <v>448</v>
      </c>
      <c r="H18" s="203">
        <f>ELEC!E20</f>
        <v>2170</v>
      </c>
      <c r="I18" s="203">
        <f>ELEC!G20</f>
        <v>236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2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2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2</v>
      </c>
      <c r="D21">
        <v>2022</v>
      </c>
      <c r="E21" s="203">
        <f>ELEC!M23</f>
        <v>1112</v>
      </c>
      <c r="F21" s="203">
        <f>ELEC!K23</f>
        <v>1796</v>
      </c>
      <c r="G21" s="203">
        <f>ELEC!I23</f>
        <v>526</v>
      </c>
      <c r="H21" s="203">
        <f>ELEC!E23</f>
        <v>2860</v>
      </c>
      <c r="I21" s="203">
        <f>ELEC!G23</f>
        <v>291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2</v>
      </c>
      <c r="D22">
        <v>2022</v>
      </c>
      <c r="E22" s="203">
        <f>ELEC!M24</f>
        <v>972</v>
      </c>
      <c r="F22" s="203">
        <f>ELEC!K24</f>
        <v>1668</v>
      </c>
      <c r="G22" s="203">
        <f>ELEC!I24</f>
        <v>350</v>
      </c>
      <c r="H22" s="203">
        <f>ELEC!E24</f>
        <v>2470</v>
      </c>
      <c r="I22" s="203">
        <f>ELEC!G24</f>
        <v>268</v>
      </c>
      <c r="J22" s="203">
        <f>WATER!Y26</f>
        <v>64</v>
      </c>
      <c r="K22" s="203">
        <f>WATER!AJ26</f>
        <v>43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2</v>
      </c>
      <c r="D23">
        <v>2022</v>
      </c>
      <c r="E23" s="203">
        <f>ELEC!M25</f>
        <v>1200</v>
      </c>
      <c r="F23" s="203">
        <f>ELEC!K25</f>
        <v>2084</v>
      </c>
      <c r="G23" s="203">
        <f>ELEC!I25</f>
        <v>570</v>
      </c>
      <c r="H23" s="203">
        <f>ELEC!E25</f>
        <v>3050</v>
      </c>
      <c r="I23" s="203">
        <f>ELEC!G25</f>
        <v>323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2</v>
      </c>
      <c r="D24">
        <v>2022</v>
      </c>
      <c r="E24" s="203">
        <f>ELEC!M26</f>
        <v>1076</v>
      </c>
      <c r="F24" s="203">
        <f>ELEC!K26</f>
        <v>1908</v>
      </c>
      <c r="G24" s="203">
        <f>ELEC!I26</f>
        <v>536</v>
      </c>
      <c r="H24" s="203">
        <f>ELEC!E26</f>
        <v>2900</v>
      </c>
      <c r="I24" s="203">
        <f>ELEC!G26</f>
        <v>299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2</v>
      </c>
      <c r="D25">
        <v>2022</v>
      </c>
      <c r="E25" s="203">
        <f>ELEC!M27</f>
        <v>1146</v>
      </c>
      <c r="F25" s="203">
        <f>ELEC!K27</f>
        <v>1864</v>
      </c>
      <c r="G25" s="203">
        <f>ELEC!I27</f>
        <v>550</v>
      </c>
      <c r="H25" s="203">
        <f>ELEC!E27</f>
        <v>2770</v>
      </c>
      <c r="I25" s="203">
        <f>ELEC!G27</f>
        <v>323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2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2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2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2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E30" s="203"/>
      <c r="F30" s="203"/>
      <c r="G30" s="203"/>
      <c r="H30" s="203"/>
      <c r="I30" s="203"/>
      <c r="J30" s="203"/>
      <c r="K30" s="203"/>
      <c r="L30" s="10"/>
    </row>
    <row r="31" spans="1:13">
      <c r="A31" t="s">
        <v>342</v>
      </c>
      <c r="E31" s="203"/>
      <c r="F31" s="203"/>
      <c r="G31" s="203"/>
      <c r="H31" s="203"/>
      <c r="I31" s="203"/>
      <c r="J31" s="203"/>
      <c r="K31" s="203"/>
      <c r="L31" s="10"/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F1" zoomScale="70" zoomScaleNormal="70" zoomScaleSheetLayoutView="100" workbookViewId="0">
      <pane ySplit="2" topLeftCell="A3" activePane="bottomLeft" state="frozen"/>
      <selection activeCell="C1" sqref="C1"/>
      <selection pane="bottomLeft" activeCell="L30" sqref="L30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44592</v>
      </c>
      <c r="D3" s="598">
        <f>[2]ELEC!D34</f>
        <v>161650</v>
      </c>
      <c r="E3" s="598">
        <f>[2]ELEC!E34</f>
        <v>2130</v>
      </c>
      <c r="F3" s="598">
        <f>[2]ELEC!F34</f>
        <v>4114577.2</v>
      </c>
      <c r="G3" s="598">
        <f>[2]ELEC!G34</f>
        <v>236.20000000018626</v>
      </c>
      <c r="H3" s="598">
        <f>[2]ELEC!H34</f>
        <v>18010582</v>
      </c>
      <c r="I3" s="598">
        <f>[2]ELEC!I34</f>
        <v>292</v>
      </c>
      <c r="J3" s="598">
        <f>[2]ELEC!J34</f>
        <v>29685832</v>
      </c>
      <c r="K3" s="598">
        <f>[2]ELEC!K34</f>
        <v>1436</v>
      </c>
      <c r="L3" s="598">
        <f>[2]ELEC!L34</f>
        <v>24519401</v>
      </c>
      <c r="M3" s="598">
        <f>[2]ELEC!M34</f>
        <v>1093</v>
      </c>
      <c r="N3" s="598">
        <f>[2]ELEC!N34</f>
        <v>5187.2000000001863</v>
      </c>
      <c r="O3" s="598">
        <f>[2]ELEC!O34</f>
        <v>0</v>
      </c>
      <c r="P3" s="598">
        <f>[2]ELEC!P34</f>
        <v>18886.286</v>
      </c>
      <c r="Q3" s="598">
        <f>[2]ELEC!Q34</f>
        <v>5000</v>
      </c>
      <c r="R3" s="598">
        <f>[2]ELEC!R34</f>
        <v>187.20000000018626</v>
      </c>
      <c r="S3" s="598">
        <f>[2]ELEC!S34</f>
        <v>10175</v>
      </c>
      <c r="T3" s="598">
        <f>[2]ELEC!T34</f>
        <v>0</v>
      </c>
      <c r="U3" s="598">
        <f>[2]ELEC!U34</f>
        <v>429166</v>
      </c>
      <c r="V3" s="598">
        <f>[2]ELEC!V34</f>
        <v>0</v>
      </c>
      <c r="W3" s="598">
        <f>[2]ELEC!W34</f>
        <v>33484</v>
      </c>
      <c r="X3" s="598">
        <f>[2]ELEC!X34</f>
        <v>0</v>
      </c>
      <c r="Y3" s="598">
        <f>[2]ELEC!Y34</f>
        <v>996900</v>
      </c>
      <c r="Z3" s="598">
        <f>[2]ELEC!Z34</f>
        <v>0</v>
      </c>
      <c r="AA3" s="598">
        <f>[2]ELEC!AA34</f>
        <v>36796</v>
      </c>
      <c r="AB3" s="598">
        <f>[2]ELEC!AB34</f>
        <v>0</v>
      </c>
      <c r="AC3" s="598">
        <f>[2]ELEC!AC34</f>
        <v>1170505</v>
      </c>
      <c r="AD3" s="598">
        <f>[2]ELEC!AD34</f>
        <v>0</v>
      </c>
      <c r="AE3" s="598">
        <f>[2]ELEC!AE34</f>
        <v>0</v>
      </c>
      <c r="AF3" s="598">
        <f>[2]ELEC!AF34</f>
        <v>0</v>
      </c>
      <c r="AG3" s="598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44593</v>
      </c>
      <c r="D4" s="599">
        <v>165580</v>
      </c>
      <c r="E4" s="584">
        <f>D4-D3</f>
        <v>3930</v>
      </c>
      <c r="F4" s="573">
        <v>4114851</v>
      </c>
      <c r="G4" s="585">
        <f>F4-F3</f>
        <v>273.79999999981374</v>
      </c>
      <c r="H4" s="426">
        <v>18010932</v>
      </c>
      <c r="I4" s="585">
        <f>H4-H3</f>
        <v>350</v>
      </c>
      <c r="J4" s="426">
        <v>29687676</v>
      </c>
      <c r="K4" s="585">
        <f>J4-J3</f>
        <v>1844</v>
      </c>
      <c r="L4" s="426">
        <v>24520730</v>
      </c>
      <c r="M4" s="585">
        <f>L4-L3</f>
        <v>1329</v>
      </c>
      <c r="N4" s="427">
        <f>M4+K4+I4+G4+E4</f>
        <v>7726.7999999998137</v>
      </c>
      <c r="O4" s="438">
        <f t="shared" ref="O4:O10" si="0">IF(B4&gt;0,N4/B4,0)</f>
        <v>0</v>
      </c>
      <c r="P4" s="564">
        <v>18892.472000000002</v>
      </c>
      <c r="Q4" s="446">
        <f t="shared" ref="Q4:Q31" si="1">(P4-P3)*1000</f>
        <v>6186.0000000015134</v>
      </c>
      <c r="R4" s="548">
        <f>+N4-Q4</f>
        <v>1540.7999999983003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44594</v>
      </c>
      <c r="D5" s="599">
        <v>166840</v>
      </c>
      <c r="E5" s="584">
        <f t="shared" ref="E5:E31" si="7">D5-D4</f>
        <v>1260</v>
      </c>
      <c r="F5" s="573">
        <v>4115113</v>
      </c>
      <c r="G5" s="449">
        <f>F5-F4</f>
        <v>262</v>
      </c>
      <c r="H5" s="426">
        <v>18011264</v>
      </c>
      <c r="I5" s="449">
        <f>H5-H4</f>
        <v>332</v>
      </c>
      <c r="J5" s="426">
        <v>29689288</v>
      </c>
      <c r="K5" s="449">
        <f>J5-J4</f>
        <v>1612</v>
      </c>
      <c r="L5" s="426">
        <v>24521822</v>
      </c>
      <c r="M5" s="449">
        <f>L5-L4</f>
        <v>1092</v>
      </c>
      <c r="N5" s="297">
        <f>M5+K5+I5+G5+E5</f>
        <v>4558</v>
      </c>
      <c r="O5" s="445">
        <f t="shared" si="0"/>
        <v>0</v>
      </c>
      <c r="P5" s="564">
        <v>18898.043000000001</v>
      </c>
      <c r="Q5" s="446">
        <f t="shared" si="1"/>
        <v>5570.9999999999127</v>
      </c>
      <c r="R5" s="428">
        <f>N5-Q5</f>
        <v>-1012.9999999999127</v>
      </c>
      <c r="S5" s="426">
        <f t="shared" ref="S5:S31" si="8">S4</f>
        <v>10175</v>
      </c>
      <c r="T5" s="447">
        <f t="shared" si="2"/>
        <v>0</v>
      </c>
      <c r="U5" s="426">
        <f t="shared" ref="U5:U31" si="9">U4</f>
        <v>429166</v>
      </c>
      <c r="V5" s="428">
        <f>U5-U4</f>
        <v>0</v>
      </c>
      <c r="W5" s="426">
        <f t="shared" ref="W5:W31" si="10">W4</f>
        <v>33484</v>
      </c>
      <c r="X5" s="428">
        <f t="shared" si="3"/>
        <v>0</v>
      </c>
      <c r="Y5" s="426">
        <f t="shared" ref="Y5:Y31" si="11">Y4</f>
        <v>996900</v>
      </c>
      <c r="Z5" s="428">
        <f>Y5-Y4</f>
        <v>0</v>
      </c>
      <c r="AA5" s="426">
        <f t="shared" ref="AA5:AA31" si="12">AA4</f>
        <v>36796</v>
      </c>
      <c r="AB5" s="448">
        <f>AA5-AA4</f>
        <v>0</v>
      </c>
      <c r="AC5" s="426">
        <f t="shared" ref="AC5:AC31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44595</v>
      </c>
      <c r="D6" s="599">
        <v>169190</v>
      </c>
      <c r="E6" s="584">
        <f t="shared" si="7"/>
        <v>2350</v>
      </c>
      <c r="F6" s="573">
        <v>4115364</v>
      </c>
      <c r="G6" s="449">
        <f t="shared" ref="G6:G31" si="15">F6-F5</f>
        <v>251</v>
      </c>
      <c r="H6" s="426">
        <v>18011714</v>
      </c>
      <c r="I6" s="449">
        <f t="shared" ref="I6:I31" si="16">H6-H5</f>
        <v>450</v>
      </c>
      <c r="J6" s="426">
        <v>29690850</v>
      </c>
      <c r="K6" s="449">
        <f t="shared" ref="K6:K31" si="17">J6-J5</f>
        <v>1562</v>
      </c>
      <c r="L6" s="426">
        <v>24522882</v>
      </c>
      <c r="M6" s="449">
        <f t="shared" ref="M6:M31" si="18">L6-L5</f>
        <v>1060</v>
      </c>
      <c r="N6" s="297">
        <f t="shared" ref="N6:N31" si="19">M6+K6+I6+G6+E6</f>
        <v>5673</v>
      </c>
      <c r="O6" s="445">
        <f t="shared" si="0"/>
        <v>0</v>
      </c>
      <c r="P6" s="564">
        <v>18903.573</v>
      </c>
      <c r="Q6" s="446">
        <f t="shared" si="1"/>
        <v>5529.9999999988358</v>
      </c>
      <c r="R6" s="428">
        <f>N6-Q6</f>
        <v>143.00000000116415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44596</v>
      </c>
      <c r="D7" s="599">
        <f t="shared" ref="D7:D31" si="23">D6</f>
        <v>169190</v>
      </c>
      <c r="E7" s="584">
        <f t="shared" si="7"/>
        <v>0</v>
      </c>
      <c r="F7" s="573">
        <f t="shared" ref="F7:F31" si="24">F6</f>
        <v>4115364</v>
      </c>
      <c r="G7" s="449">
        <f t="shared" si="15"/>
        <v>0</v>
      </c>
      <c r="H7" s="426">
        <f t="shared" ref="H7:H31" si="25">H6</f>
        <v>18011714</v>
      </c>
      <c r="I7" s="449">
        <f t="shared" si="16"/>
        <v>0</v>
      </c>
      <c r="J7" s="426">
        <f t="shared" ref="J7:J31" si="26">J6</f>
        <v>29690850</v>
      </c>
      <c r="K7" s="449">
        <f t="shared" si="17"/>
        <v>0</v>
      </c>
      <c r="L7" s="426">
        <f t="shared" ref="L7:L31" si="27">L6</f>
        <v>24522882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4">
        <f t="shared" ref="P7:P31" si="28">P6</f>
        <v>18903.573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44597</v>
      </c>
      <c r="D8" s="599">
        <f t="shared" si="23"/>
        <v>169190</v>
      </c>
      <c r="E8" s="584">
        <f t="shared" si="7"/>
        <v>0</v>
      </c>
      <c r="F8" s="573">
        <f t="shared" si="24"/>
        <v>4115364</v>
      </c>
      <c r="G8" s="449">
        <f t="shared" si="15"/>
        <v>0</v>
      </c>
      <c r="H8" s="426">
        <f t="shared" si="25"/>
        <v>18011714</v>
      </c>
      <c r="I8" s="449">
        <f t="shared" si="16"/>
        <v>0</v>
      </c>
      <c r="J8" s="426">
        <f t="shared" si="26"/>
        <v>29690850</v>
      </c>
      <c r="K8" s="449">
        <f t="shared" si="17"/>
        <v>0</v>
      </c>
      <c r="L8" s="426">
        <f t="shared" si="27"/>
        <v>24522882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4">
        <f t="shared" si="28"/>
        <v>18903.573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44598</v>
      </c>
      <c r="D9" s="599">
        <v>172230</v>
      </c>
      <c r="E9" s="584">
        <f t="shared" si="7"/>
        <v>3040</v>
      </c>
      <c r="F9" s="573">
        <v>4115688.4</v>
      </c>
      <c r="G9" s="449">
        <f t="shared" si="15"/>
        <v>324.39999999990687</v>
      </c>
      <c r="H9" s="426">
        <v>18012218</v>
      </c>
      <c r="I9" s="449">
        <f t="shared" si="16"/>
        <v>504</v>
      </c>
      <c r="J9" s="426">
        <v>29692826</v>
      </c>
      <c r="K9" s="449">
        <f t="shared" si="17"/>
        <v>1976</v>
      </c>
      <c r="L9" s="426">
        <v>24524278</v>
      </c>
      <c r="M9" s="449">
        <f t="shared" si="18"/>
        <v>1396</v>
      </c>
      <c r="N9" s="297">
        <f t="shared" si="19"/>
        <v>7240.3999999999069</v>
      </c>
      <c r="O9" s="445">
        <f t="shared" si="0"/>
        <v>0</v>
      </c>
      <c r="P9" s="564">
        <v>18910.821</v>
      </c>
      <c r="Q9" s="446">
        <f t="shared" si="1"/>
        <v>7247.9999999995925</v>
      </c>
      <c r="R9" s="428">
        <f t="shared" si="29"/>
        <v>-7.5999999996856786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44599</v>
      </c>
      <c r="D10" s="599">
        <v>174460</v>
      </c>
      <c r="E10" s="584">
        <f t="shared" si="7"/>
        <v>2230</v>
      </c>
      <c r="F10" s="573">
        <v>4115974</v>
      </c>
      <c r="G10" s="449">
        <f t="shared" si="15"/>
        <v>285.60000000009313</v>
      </c>
      <c r="H10" s="426">
        <v>18012614</v>
      </c>
      <c r="I10" s="449">
        <f t="shared" si="16"/>
        <v>396</v>
      </c>
      <c r="J10" s="426">
        <v>29694382</v>
      </c>
      <c r="K10" s="449">
        <f t="shared" si="17"/>
        <v>1556</v>
      </c>
      <c r="L10" s="426">
        <v>24525402</v>
      </c>
      <c r="M10" s="449">
        <f t="shared" si="18"/>
        <v>1124</v>
      </c>
      <c r="N10" s="297">
        <f t="shared" si="19"/>
        <v>5591.6000000000931</v>
      </c>
      <c r="O10" s="445">
        <f t="shared" si="0"/>
        <v>0</v>
      </c>
      <c r="P10" s="564">
        <v>18916.374</v>
      </c>
      <c r="Q10" s="446">
        <f t="shared" si="1"/>
        <v>5552.9999999998836</v>
      </c>
      <c r="R10" s="428">
        <f t="shared" si="29"/>
        <v>38.600000000209548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44600</v>
      </c>
      <c r="D11" s="599">
        <f t="shared" si="23"/>
        <v>174460</v>
      </c>
      <c r="E11" s="584">
        <f t="shared" si="7"/>
        <v>0</v>
      </c>
      <c r="F11" s="573">
        <f t="shared" si="24"/>
        <v>4115974</v>
      </c>
      <c r="G11" s="449">
        <f t="shared" si="15"/>
        <v>0</v>
      </c>
      <c r="H11" s="426">
        <f t="shared" si="25"/>
        <v>18012614</v>
      </c>
      <c r="I11" s="449">
        <f t="shared" si="16"/>
        <v>0</v>
      </c>
      <c r="J11" s="426">
        <f t="shared" si="26"/>
        <v>29694382</v>
      </c>
      <c r="K11" s="449">
        <f t="shared" si="17"/>
        <v>0</v>
      </c>
      <c r="L11" s="426">
        <f t="shared" si="27"/>
        <v>24525402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4">
        <f t="shared" si="28"/>
        <v>18916.374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44601</v>
      </c>
      <c r="D12" s="599">
        <v>176360</v>
      </c>
      <c r="E12" s="584">
        <f>D12-D11</f>
        <v>1900</v>
      </c>
      <c r="F12" s="573">
        <v>4116198</v>
      </c>
      <c r="G12" s="449">
        <f t="shared" si="15"/>
        <v>224</v>
      </c>
      <c r="H12" s="426">
        <v>18013006</v>
      </c>
      <c r="I12" s="449">
        <f t="shared" si="16"/>
        <v>392</v>
      </c>
      <c r="J12" s="426">
        <v>29695634</v>
      </c>
      <c r="K12" s="449">
        <f t="shared" si="17"/>
        <v>1252</v>
      </c>
      <c r="L12" s="426">
        <v>24526232</v>
      </c>
      <c r="M12" s="449">
        <f t="shared" si="18"/>
        <v>830</v>
      </c>
      <c r="N12" s="297">
        <f>M12+K12+I12+G12+E12</f>
        <v>4598</v>
      </c>
      <c r="O12" s="445">
        <f t="shared" si="32"/>
        <v>0</v>
      </c>
      <c r="P12" s="564">
        <v>18920.780999999999</v>
      </c>
      <c r="Q12" s="446">
        <f t="shared" si="1"/>
        <v>4406.9999999992433</v>
      </c>
      <c r="R12" s="428">
        <f t="shared" si="29"/>
        <v>191.0000000007567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44602</v>
      </c>
      <c r="D13" s="599">
        <v>178880</v>
      </c>
      <c r="E13" s="584">
        <f t="shared" si="7"/>
        <v>2520</v>
      </c>
      <c r="F13" s="573">
        <v>4116458</v>
      </c>
      <c r="G13" s="449">
        <f t="shared" si="15"/>
        <v>260</v>
      </c>
      <c r="H13" s="426">
        <v>18013490</v>
      </c>
      <c r="I13" s="449">
        <f t="shared" si="16"/>
        <v>484</v>
      </c>
      <c r="J13" s="426">
        <v>29697294</v>
      </c>
      <c r="K13" s="449">
        <f t="shared" si="17"/>
        <v>1660</v>
      </c>
      <c r="L13" s="426">
        <v>24527278</v>
      </c>
      <c r="M13" s="449">
        <f t="shared" si="18"/>
        <v>1046</v>
      </c>
      <c r="N13" s="297">
        <f>M13+K13+I13+G13+E13</f>
        <v>5970</v>
      </c>
      <c r="O13" s="445">
        <f t="shared" si="32"/>
        <v>0</v>
      </c>
      <c r="P13" s="564">
        <v>18926.368999999999</v>
      </c>
      <c r="Q13" s="446">
        <f t="shared" si="1"/>
        <v>5587.9999999997381</v>
      </c>
      <c r="R13" s="428">
        <f t="shared" si="29"/>
        <v>382.00000000026193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44603</v>
      </c>
      <c r="D14" s="599">
        <f t="shared" si="23"/>
        <v>178880</v>
      </c>
      <c r="E14" s="584">
        <f t="shared" si="7"/>
        <v>0</v>
      </c>
      <c r="F14" s="573">
        <f t="shared" si="24"/>
        <v>4116458</v>
      </c>
      <c r="G14" s="449">
        <f t="shared" si="15"/>
        <v>0</v>
      </c>
      <c r="H14" s="426">
        <f t="shared" si="25"/>
        <v>18013490</v>
      </c>
      <c r="I14" s="449">
        <f t="shared" si="16"/>
        <v>0</v>
      </c>
      <c r="J14" s="426">
        <f t="shared" si="26"/>
        <v>29697294</v>
      </c>
      <c r="K14" s="449">
        <f t="shared" si="17"/>
        <v>0</v>
      </c>
      <c r="L14" s="426">
        <f t="shared" si="27"/>
        <v>24527278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4">
        <f t="shared" si="28"/>
        <v>18926.368999999999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44604</v>
      </c>
      <c r="D15" s="599">
        <f t="shared" si="23"/>
        <v>178880</v>
      </c>
      <c r="E15" s="584">
        <f t="shared" si="7"/>
        <v>0</v>
      </c>
      <c r="F15" s="573">
        <f t="shared" si="24"/>
        <v>4116458</v>
      </c>
      <c r="G15" s="449">
        <f t="shared" si="15"/>
        <v>0</v>
      </c>
      <c r="H15" s="426">
        <f t="shared" si="25"/>
        <v>18013490</v>
      </c>
      <c r="I15" s="449">
        <f t="shared" si="16"/>
        <v>0</v>
      </c>
      <c r="J15" s="426">
        <f t="shared" si="26"/>
        <v>29697294</v>
      </c>
      <c r="K15" s="449">
        <f t="shared" si="17"/>
        <v>0</v>
      </c>
      <c r="L15" s="426">
        <f t="shared" si="27"/>
        <v>24527278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4">
        <f t="shared" si="28"/>
        <v>18926.368999999999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44605</v>
      </c>
      <c r="D16" s="599">
        <v>181740</v>
      </c>
      <c r="E16" s="584">
        <f t="shared" si="7"/>
        <v>2860</v>
      </c>
      <c r="F16" s="573">
        <v>4116769</v>
      </c>
      <c r="G16" s="449">
        <f t="shared" si="15"/>
        <v>311</v>
      </c>
      <c r="H16" s="426">
        <v>18014056</v>
      </c>
      <c r="I16" s="449">
        <f t="shared" si="16"/>
        <v>566</v>
      </c>
      <c r="J16" s="426">
        <v>29699240</v>
      </c>
      <c r="K16" s="449">
        <f t="shared" si="17"/>
        <v>1946</v>
      </c>
      <c r="L16" s="426">
        <v>24528520</v>
      </c>
      <c r="M16" s="449">
        <f t="shared" si="18"/>
        <v>1242</v>
      </c>
      <c r="N16" s="297">
        <f t="shared" si="19"/>
        <v>6925</v>
      </c>
      <c r="O16" s="445">
        <f t="shared" si="32"/>
        <v>0</v>
      </c>
      <c r="P16" s="564">
        <v>18932.882000000001</v>
      </c>
      <c r="Q16" s="446">
        <f t="shared" si="1"/>
        <v>6513.0000000026484</v>
      </c>
      <c r="R16" s="428">
        <f t="shared" si="29"/>
        <v>411.99999999735155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44606</v>
      </c>
      <c r="D17" s="599">
        <v>184350</v>
      </c>
      <c r="E17" s="584">
        <f t="shared" si="7"/>
        <v>2610</v>
      </c>
      <c r="F17" s="573">
        <v>4117023</v>
      </c>
      <c r="G17" s="449">
        <f t="shared" si="15"/>
        <v>254</v>
      </c>
      <c r="H17" s="426">
        <v>18014530</v>
      </c>
      <c r="I17" s="449">
        <f t="shared" si="16"/>
        <v>474</v>
      </c>
      <c r="J17" s="426">
        <v>29700898</v>
      </c>
      <c r="K17" s="449">
        <f t="shared" si="17"/>
        <v>1658</v>
      </c>
      <c r="L17" s="426">
        <v>24529544</v>
      </c>
      <c r="M17" s="449">
        <f t="shared" si="18"/>
        <v>1024</v>
      </c>
      <c r="N17" s="297">
        <f t="shared" si="19"/>
        <v>6020</v>
      </c>
      <c r="O17" s="445">
        <f t="shared" si="32"/>
        <v>0</v>
      </c>
      <c r="P17" s="564">
        <v>18938.981</v>
      </c>
      <c r="Q17" s="446">
        <f t="shared" si="1"/>
        <v>6098.9999999983411</v>
      </c>
      <c r="R17" s="428">
        <f t="shared" si="29"/>
        <v>-78.999999998341082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44607</v>
      </c>
      <c r="D18" s="599">
        <v>186580</v>
      </c>
      <c r="E18" s="584">
        <f t="shared" si="7"/>
        <v>2230</v>
      </c>
      <c r="F18" s="573">
        <v>4117249</v>
      </c>
      <c r="G18" s="449">
        <f t="shared" si="15"/>
        <v>226</v>
      </c>
      <c r="H18" s="426">
        <v>18014958</v>
      </c>
      <c r="I18" s="449">
        <f t="shared" si="16"/>
        <v>428</v>
      </c>
      <c r="J18" s="426">
        <v>29702370</v>
      </c>
      <c r="K18" s="449">
        <f t="shared" si="17"/>
        <v>1472</v>
      </c>
      <c r="L18" s="426">
        <v>24530464</v>
      </c>
      <c r="M18" s="449">
        <f t="shared" si="18"/>
        <v>920</v>
      </c>
      <c r="N18" s="297">
        <f>M18+K18+I18+G18+E18</f>
        <v>5276</v>
      </c>
      <c r="O18" s="445">
        <f t="shared" si="32"/>
        <v>0</v>
      </c>
      <c r="P18" s="564">
        <v>18944.026999999998</v>
      </c>
      <c r="Q18" s="446">
        <f t="shared" si="1"/>
        <v>5045.9999999984575</v>
      </c>
      <c r="R18" s="428">
        <f t="shared" si="29"/>
        <v>230.0000000015425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44608</v>
      </c>
      <c r="D19" s="599">
        <v>188920</v>
      </c>
      <c r="E19" s="584">
        <f t="shared" si="7"/>
        <v>2340</v>
      </c>
      <c r="F19" s="573">
        <v>4117469</v>
      </c>
      <c r="G19" s="449">
        <f t="shared" si="15"/>
        <v>220</v>
      </c>
      <c r="H19" s="426">
        <v>18015406</v>
      </c>
      <c r="I19" s="449">
        <f t="shared" si="16"/>
        <v>448</v>
      </c>
      <c r="J19" s="426">
        <v>29703826</v>
      </c>
      <c r="K19" s="449">
        <f t="shared" si="17"/>
        <v>1456</v>
      </c>
      <c r="L19" s="426">
        <v>24531334</v>
      </c>
      <c r="M19" s="449">
        <f t="shared" si="18"/>
        <v>870</v>
      </c>
      <c r="N19" s="297">
        <f t="shared" si="19"/>
        <v>5334</v>
      </c>
      <c r="O19" s="445">
        <f t="shared" si="32"/>
        <v>0</v>
      </c>
      <c r="P19" s="564">
        <v>18949.195</v>
      </c>
      <c r="Q19" s="446">
        <f>(P19-P18)*1000</f>
        <v>5168.0000000014843</v>
      </c>
      <c r="R19" s="603">
        <f>N19-Q19</f>
        <v>165.9999999985157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44609</v>
      </c>
      <c r="D20" s="599">
        <v>191090</v>
      </c>
      <c r="E20" s="584">
        <f t="shared" si="7"/>
        <v>2170</v>
      </c>
      <c r="F20" s="573">
        <v>4117705</v>
      </c>
      <c r="G20" s="449">
        <f t="shared" si="15"/>
        <v>236</v>
      </c>
      <c r="H20" s="426">
        <v>18015854</v>
      </c>
      <c r="I20" s="449">
        <f t="shared" si="16"/>
        <v>448</v>
      </c>
      <c r="J20" s="426">
        <v>29705082</v>
      </c>
      <c r="K20" s="449">
        <f t="shared" si="17"/>
        <v>1256</v>
      </c>
      <c r="L20" s="426">
        <v>24532082</v>
      </c>
      <c r="M20" s="449">
        <f t="shared" si="18"/>
        <v>748</v>
      </c>
      <c r="N20" s="297">
        <f t="shared" si="19"/>
        <v>4858</v>
      </c>
      <c r="O20" s="445">
        <f t="shared" si="32"/>
        <v>0</v>
      </c>
      <c r="P20" s="564">
        <v>18953.817999999999</v>
      </c>
      <c r="Q20" s="446">
        <f>(P20-P19)*1000</f>
        <v>4622.9999999995925</v>
      </c>
      <c r="R20" s="603">
        <f>N20-Q20</f>
        <v>235.00000000040745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44610</v>
      </c>
      <c r="D21" s="599">
        <f t="shared" si="23"/>
        <v>191090</v>
      </c>
      <c r="E21" s="584">
        <f t="shared" si="7"/>
        <v>0</v>
      </c>
      <c r="F21" s="573">
        <f t="shared" si="24"/>
        <v>4117705</v>
      </c>
      <c r="G21" s="449">
        <f t="shared" si="15"/>
        <v>0</v>
      </c>
      <c r="H21" s="426">
        <f t="shared" si="25"/>
        <v>18015854</v>
      </c>
      <c r="I21" s="449">
        <f t="shared" si="16"/>
        <v>0</v>
      </c>
      <c r="J21" s="426">
        <f t="shared" si="26"/>
        <v>29705082</v>
      </c>
      <c r="K21" s="449">
        <f t="shared" si="17"/>
        <v>0</v>
      </c>
      <c r="L21" s="426">
        <f t="shared" si="27"/>
        <v>24532082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4">
        <f t="shared" si="28"/>
        <v>18953.817999999999</v>
      </c>
      <c r="Q21" s="446">
        <f t="shared" si="1"/>
        <v>0</v>
      </c>
      <c r="R21" s="603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44611</v>
      </c>
      <c r="D22" s="599">
        <f t="shared" si="23"/>
        <v>191090</v>
      </c>
      <c r="E22" s="584">
        <f t="shared" ref="E22" si="36">D22-D21</f>
        <v>0</v>
      </c>
      <c r="F22" s="573">
        <f t="shared" si="24"/>
        <v>4117705</v>
      </c>
      <c r="G22" s="449">
        <f t="shared" ref="G22" si="37">F22-F21</f>
        <v>0</v>
      </c>
      <c r="H22" s="426">
        <f t="shared" si="25"/>
        <v>18015854</v>
      </c>
      <c r="I22" s="449">
        <f t="shared" ref="I22" si="38">H22-H21</f>
        <v>0</v>
      </c>
      <c r="J22" s="426">
        <f t="shared" si="26"/>
        <v>29705082</v>
      </c>
      <c r="K22" s="449">
        <f t="shared" ref="K22" si="39">J22-J21</f>
        <v>0</v>
      </c>
      <c r="L22" s="426">
        <f t="shared" si="27"/>
        <v>24532082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4">
        <f t="shared" si="28"/>
        <v>18953.817999999999</v>
      </c>
      <c r="Q22" s="446">
        <f t="shared" ref="Q22" si="43">(P22-P21)*1000</f>
        <v>0</v>
      </c>
      <c r="R22" s="603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44612</v>
      </c>
      <c r="D23" s="599">
        <v>193950</v>
      </c>
      <c r="E23" s="584">
        <f t="shared" si="7"/>
        <v>2860</v>
      </c>
      <c r="F23" s="573">
        <v>4117996</v>
      </c>
      <c r="G23" s="449">
        <f t="shared" si="15"/>
        <v>291</v>
      </c>
      <c r="H23" s="426">
        <v>18016380</v>
      </c>
      <c r="I23" s="449">
        <f t="shared" si="16"/>
        <v>526</v>
      </c>
      <c r="J23" s="426">
        <v>29706878</v>
      </c>
      <c r="K23" s="449">
        <f t="shared" si="17"/>
        <v>1796</v>
      </c>
      <c r="L23" s="426">
        <v>24533194</v>
      </c>
      <c r="M23" s="449">
        <f t="shared" si="18"/>
        <v>1112</v>
      </c>
      <c r="N23" s="297">
        <f t="shared" si="19"/>
        <v>6585</v>
      </c>
      <c r="O23" s="445">
        <f t="shared" si="32"/>
        <v>0</v>
      </c>
      <c r="P23" s="564">
        <v>18960.325000000001</v>
      </c>
      <c r="Q23" s="446">
        <f t="shared" si="1"/>
        <v>6507.0000000014261</v>
      </c>
      <c r="R23" s="603">
        <f t="shared" si="35"/>
        <v>77.999999998573912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44613</v>
      </c>
      <c r="D24" s="599">
        <v>196420</v>
      </c>
      <c r="E24" s="584">
        <f t="shared" si="7"/>
        <v>2470</v>
      </c>
      <c r="F24" s="573">
        <v>4118264</v>
      </c>
      <c r="G24" s="449">
        <f t="shared" si="15"/>
        <v>268</v>
      </c>
      <c r="H24" s="426">
        <v>18016730</v>
      </c>
      <c r="I24" s="613">
        <f t="shared" si="16"/>
        <v>350</v>
      </c>
      <c r="J24" s="426">
        <v>29708546</v>
      </c>
      <c r="K24" s="449">
        <f t="shared" si="17"/>
        <v>1668</v>
      </c>
      <c r="L24" s="426">
        <v>24534166</v>
      </c>
      <c r="M24" s="449">
        <f t="shared" si="18"/>
        <v>972</v>
      </c>
      <c r="N24" s="297">
        <f t="shared" si="19"/>
        <v>5728</v>
      </c>
      <c r="O24" s="445">
        <f t="shared" si="32"/>
        <v>0</v>
      </c>
      <c r="P24" s="564">
        <v>18965.924999999999</v>
      </c>
      <c r="Q24" s="446">
        <f t="shared" si="1"/>
        <v>5599.9999999985448</v>
      </c>
      <c r="R24" s="603">
        <f t="shared" si="35"/>
        <v>128.00000000145519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44614</v>
      </c>
      <c r="D25" s="599">
        <v>199470</v>
      </c>
      <c r="E25" s="584">
        <f t="shared" si="7"/>
        <v>3050</v>
      </c>
      <c r="F25" s="573">
        <v>4118587</v>
      </c>
      <c r="G25" s="449">
        <f t="shared" si="15"/>
        <v>323</v>
      </c>
      <c r="H25" s="426">
        <v>18017300</v>
      </c>
      <c r="I25" s="449">
        <f t="shared" si="16"/>
        <v>570</v>
      </c>
      <c r="J25" s="426">
        <v>29710630</v>
      </c>
      <c r="K25" s="449">
        <f t="shared" si="17"/>
        <v>2084</v>
      </c>
      <c r="L25" s="426">
        <v>24535366</v>
      </c>
      <c r="M25" s="449">
        <f t="shared" si="18"/>
        <v>1200</v>
      </c>
      <c r="N25" s="297">
        <f t="shared" si="19"/>
        <v>7227</v>
      </c>
      <c r="O25" s="445">
        <f t="shared" si="32"/>
        <v>0</v>
      </c>
      <c r="P25" s="564">
        <v>18973.125</v>
      </c>
      <c r="Q25" s="446">
        <f t="shared" si="1"/>
        <v>7200.0000000007276</v>
      </c>
      <c r="R25" s="603">
        <f t="shared" si="35"/>
        <v>26.999999999272404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44615</v>
      </c>
      <c r="D26" s="599">
        <v>202370</v>
      </c>
      <c r="E26" s="584">
        <f t="shared" si="7"/>
        <v>2900</v>
      </c>
      <c r="F26" s="573">
        <v>4118886</v>
      </c>
      <c r="G26" s="449">
        <f t="shared" si="15"/>
        <v>299</v>
      </c>
      <c r="H26" s="426">
        <v>18017836</v>
      </c>
      <c r="I26" s="449">
        <f t="shared" si="16"/>
        <v>536</v>
      </c>
      <c r="J26" s="426">
        <v>29712538</v>
      </c>
      <c r="K26" s="449">
        <f t="shared" si="17"/>
        <v>1908</v>
      </c>
      <c r="L26" s="426">
        <v>24536442</v>
      </c>
      <c r="M26" s="449">
        <f t="shared" si="18"/>
        <v>1076</v>
      </c>
      <c r="N26" s="297">
        <f t="shared" si="19"/>
        <v>6719</v>
      </c>
      <c r="O26" s="445">
        <f t="shared" si="32"/>
        <v>0</v>
      </c>
      <c r="P26" s="564">
        <v>18979.84</v>
      </c>
      <c r="Q26" s="446">
        <f t="shared" si="1"/>
        <v>6715.0000000001455</v>
      </c>
      <c r="R26" s="603">
        <f t="shared" si="35"/>
        <v>3.9999999998544808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44616</v>
      </c>
      <c r="D27" s="599">
        <v>205140</v>
      </c>
      <c r="E27" s="584">
        <f t="shared" si="7"/>
        <v>2770</v>
      </c>
      <c r="F27" s="573">
        <v>4119209</v>
      </c>
      <c r="G27" s="449">
        <f t="shared" si="15"/>
        <v>323</v>
      </c>
      <c r="H27" s="426">
        <v>18018386</v>
      </c>
      <c r="I27" s="449">
        <f t="shared" si="16"/>
        <v>550</v>
      </c>
      <c r="J27" s="426">
        <v>29714402</v>
      </c>
      <c r="K27" s="449">
        <f t="shared" si="17"/>
        <v>1864</v>
      </c>
      <c r="L27" s="426">
        <v>24537588</v>
      </c>
      <c r="M27" s="449">
        <f t="shared" si="18"/>
        <v>1146</v>
      </c>
      <c r="N27" s="297">
        <f t="shared" si="19"/>
        <v>6653</v>
      </c>
      <c r="O27" s="445">
        <f t="shared" si="32"/>
        <v>0</v>
      </c>
      <c r="P27" s="564">
        <v>18986.190999999999</v>
      </c>
      <c r="Q27" s="446">
        <f t="shared" si="1"/>
        <v>6350.9999999987485</v>
      </c>
      <c r="R27" s="603">
        <f t="shared" si="35"/>
        <v>302.00000000125146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44617</v>
      </c>
      <c r="D28" s="599">
        <f t="shared" si="23"/>
        <v>205140</v>
      </c>
      <c r="E28" s="584">
        <f t="shared" si="7"/>
        <v>0</v>
      </c>
      <c r="F28" s="573">
        <f t="shared" si="24"/>
        <v>4119209</v>
      </c>
      <c r="G28" s="449">
        <f>F28-F27</f>
        <v>0</v>
      </c>
      <c r="H28" s="426">
        <f t="shared" si="25"/>
        <v>18018386</v>
      </c>
      <c r="I28" s="449">
        <f t="shared" si="16"/>
        <v>0</v>
      </c>
      <c r="J28" s="426">
        <f t="shared" si="26"/>
        <v>29714402</v>
      </c>
      <c r="K28" s="449">
        <f t="shared" si="17"/>
        <v>0</v>
      </c>
      <c r="L28" s="426">
        <f t="shared" si="27"/>
        <v>24537588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4">
        <f t="shared" si="28"/>
        <v>18986.190999999999</v>
      </c>
      <c r="Q28" s="446">
        <f t="shared" si="1"/>
        <v>0</v>
      </c>
      <c r="R28" s="603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44618</v>
      </c>
      <c r="D29" s="599">
        <f t="shared" si="23"/>
        <v>205140</v>
      </c>
      <c r="E29" s="584">
        <f t="shared" si="7"/>
        <v>0</v>
      </c>
      <c r="F29" s="573">
        <f t="shared" si="24"/>
        <v>4119209</v>
      </c>
      <c r="G29" s="449">
        <f>F29-F28</f>
        <v>0</v>
      </c>
      <c r="H29" s="426">
        <f t="shared" si="25"/>
        <v>18018386</v>
      </c>
      <c r="I29" s="449">
        <f>H29-H28</f>
        <v>0</v>
      </c>
      <c r="J29" s="426">
        <f t="shared" si="26"/>
        <v>29714402</v>
      </c>
      <c r="K29" s="449">
        <f>J29-J28</f>
        <v>0</v>
      </c>
      <c r="L29" s="426">
        <f t="shared" si="27"/>
        <v>24537588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4">
        <f t="shared" si="28"/>
        <v>18986.190999999999</v>
      </c>
      <c r="Q29" s="446">
        <f>(P29-P28)*1000</f>
        <v>0</v>
      </c>
      <c r="R29" s="603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44619</v>
      </c>
      <c r="D30" s="599">
        <f t="shared" si="23"/>
        <v>205140</v>
      </c>
      <c r="E30" s="584">
        <f t="shared" si="7"/>
        <v>0</v>
      </c>
      <c r="F30" s="573">
        <f t="shared" si="24"/>
        <v>4119209</v>
      </c>
      <c r="G30" s="449">
        <f t="shared" si="15"/>
        <v>0</v>
      </c>
      <c r="H30" s="426">
        <f t="shared" si="25"/>
        <v>18018386</v>
      </c>
      <c r="I30" s="449">
        <f t="shared" si="16"/>
        <v>0</v>
      </c>
      <c r="J30" s="426">
        <f t="shared" si="26"/>
        <v>29714402</v>
      </c>
      <c r="K30" s="449">
        <f t="shared" si="17"/>
        <v>0</v>
      </c>
      <c r="L30" s="426">
        <f t="shared" si="27"/>
        <v>24537588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4">
        <f t="shared" si="28"/>
        <v>18986.190999999999</v>
      </c>
      <c r="Q30" s="446">
        <f t="shared" si="1"/>
        <v>0</v>
      </c>
      <c r="R30" s="603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44620</v>
      </c>
      <c r="D31" s="599">
        <f t="shared" si="23"/>
        <v>205140</v>
      </c>
      <c r="E31" s="584">
        <f t="shared" si="7"/>
        <v>0</v>
      </c>
      <c r="F31" s="573">
        <f t="shared" si="24"/>
        <v>4119209</v>
      </c>
      <c r="G31" s="449">
        <f t="shared" si="15"/>
        <v>0</v>
      </c>
      <c r="H31" s="426">
        <f t="shared" si="25"/>
        <v>18018386</v>
      </c>
      <c r="I31" s="449">
        <f t="shared" si="16"/>
        <v>0</v>
      </c>
      <c r="J31" s="426">
        <f t="shared" si="26"/>
        <v>29714402</v>
      </c>
      <c r="K31" s="449">
        <f t="shared" si="17"/>
        <v>0</v>
      </c>
      <c r="L31" s="426">
        <f t="shared" si="27"/>
        <v>24537588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4">
        <f t="shared" si="28"/>
        <v>18986.190999999999</v>
      </c>
      <c r="Q31" s="446">
        <f t="shared" si="1"/>
        <v>0</v>
      </c>
      <c r="R31" s="603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0"/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/>
      <c r="B32" s="430"/>
      <c r="C32" s="437"/>
      <c r="D32" s="599"/>
      <c r="E32" s="584"/>
      <c r="F32" s="573"/>
      <c r="G32" s="449"/>
      <c r="H32" s="426"/>
      <c r="I32" s="449"/>
      <c r="J32" s="426"/>
      <c r="K32" s="449"/>
      <c r="L32" s="426"/>
      <c r="M32" s="449"/>
      <c r="N32" s="297"/>
      <c r="O32" s="445"/>
      <c r="P32" s="564"/>
      <c r="Q32" s="446"/>
      <c r="R32" s="603"/>
      <c r="S32" s="426"/>
      <c r="T32" s="447"/>
      <c r="U32" s="426"/>
      <c r="V32" s="428"/>
      <c r="W32" s="426"/>
      <c r="X32" s="448"/>
      <c r="Y32" s="426"/>
      <c r="Z32" s="428"/>
      <c r="AA32" s="426"/>
      <c r="AB32" s="428"/>
      <c r="AC32" s="426"/>
      <c r="AD32" s="428"/>
      <c r="AE32" s="450"/>
      <c r="AF32" s="451"/>
      <c r="AG32" s="443"/>
      <c r="AJ32" s="546"/>
      <c r="AK32" s="547"/>
      <c r="AL32" s="547"/>
      <c r="AM32" s="547"/>
      <c r="AN32" s="547"/>
    </row>
    <row r="33" spans="1:40">
      <c r="A33" s="436"/>
      <c r="B33" s="430"/>
      <c r="C33" s="437"/>
      <c r="D33" s="599"/>
      <c r="E33" s="584"/>
      <c r="F33" s="573"/>
      <c r="G33" s="449"/>
      <c r="H33" s="426"/>
      <c r="I33" s="449"/>
      <c r="J33" s="426"/>
      <c r="K33" s="449"/>
      <c r="L33" s="426"/>
      <c r="M33" s="449"/>
      <c r="N33" s="297"/>
      <c r="O33" s="445"/>
      <c r="P33" s="564"/>
      <c r="Q33" s="446"/>
      <c r="R33" s="603"/>
      <c r="S33" s="426"/>
      <c r="T33" s="447"/>
      <c r="U33" s="426"/>
      <c r="V33" s="428"/>
      <c r="W33" s="426"/>
      <c r="X33" s="448"/>
      <c r="Y33" s="426"/>
      <c r="Z33" s="428"/>
      <c r="AA33" s="426"/>
      <c r="AB33" s="428"/>
      <c r="AC33" s="426"/>
      <c r="AD33" s="428"/>
      <c r="AE33" s="450"/>
      <c r="AF33" s="451"/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/>
      <c r="B34" s="430"/>
      <c r="C34" s="437"/>
      <c r="D34" s="599"/>
      <c r="E34" s="584"/>
      <c r="F34" s="573"/>
      <c r="G34" s="449"/>
      <c r="H34" s="426"/>
      <c r="I34" s="449"/>
      <c r="J34" s="426"/>
      <c r="K34" s="449"/>
      <c r="L34" s="426"/>
      <c r="M34" s="449"/>
      <c r="N34" s="297"/>
      <c r="O34" s="445"/>
      <c r="P34" s="564"/>
      <c r="Q34" s="446"/>
      <c r="R34" s="603"/>
      <c r="S34" s="426"/>
      <c r="T34" s="447"/>
      <c r="U34" s="426"/>
      <c r="V34" s="428"/>
      <c r="W34" s="426"/>
      <c r="X34" s="448"/>
      <c r="Y34" s="426"/>
      <c r="Z34" s="428"/>
      <c r="AA34" s="426"/>
      <c r="AB34" s="428"/>
      <c r="AC34" s="426"/>
      <c r="AD34" s="428"/>
      <c r="AE34" s="450"/>
      <c r="AF34" s="451"/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abSelected="1" zoomScale="90" zoomScaleNormal="90" workbookViewId="0">
      <pane ySplit="1" topLeftCell="A2" activePane="bottomLeft" state="frozen"/>
      <selection activeCell="K1" sqref="K1"/>
      <selection pane="bottomLeft" activeCell="AN28" sqref="AN28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67.850793650793648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[2]B5!A35</f>
        <v>44592</v>
      </c>
      <c r="B4" s="379">
        <f>[2]B5!B35</f>
        <v>162</v>
      </c>
      <c r="C4" s="379">
        <f>[2]B5!C35</f>
        <v>169</v>
      </c>
      <c r="D4" s="379">
        <f>[2]B5!D35</f>
        <v>7</v>
      </c>
      <c r="E4" s="379">
        <f>[2]B5!E35</f>
        <v>58.660000000000004</v>
      </c>
      <c r="F4" s="379">
        <f>[2]B5!F35</f>
        <v>2053</v>
      </c>
      <c r="G4" s="379">
        <f>[2]B5!G35</f>
        <v>6</v>
      </c>
      <c r="H4" s="379">
        <f>[2]B5!H35</f>
        <v>29215</v>
      </c>
      <c r="I4" s="379">
        <f>[2]B5!I35</f>
        <v>444</v>
      </c>
      <c r="J4" s="379">
        <f>[2]B5!J35</f>
        <v>74</v>
      </c>
      <c r="K4" s="379">
        <f>[2]B5!K35</f>
        <v>2384</v>
      </c>
      <c r="L4" s="379">
        <f>[2]B5!L35</f>
        <v>0</v>
      </c>
      <c r="M4" s="379">
        <f>[2]B5!M35</f>
        <v>176242</v>
      </c>
      <c r="N4" s="379">
        <f>[2]B5!N35</f>
        <v>0</v>
      </c>
      <c r="O4" s="379">
        <f>[2]B5!O35</f>
        <v>1869</v>
      </c>
      <c r="P4" s="379">
        <f>[2]B5!P35</f>
        <v>2142</v>
      </c>
      <c r="Q4" s="379">
        <f>[2]B5!Q35</f>
        <v>179665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6</v>
      </c>
      <c r="V4" s="379">
        <f>[2]B5!V35</f>
        <v>444</v>
      </c>
      <c r="W4" s="379">
        <f>[2]B5!W35</f>
        <v>0</v>
      </c>
      <c r="X4" s="379">
        <f>[2]B5!X35</f>
        <v>2471</v>
      </c>
      <c r="Y4" s="379">
        <f>[2]B5!Y35</f>
        <v>0</v>
      </c>
      <c r="Z4" s="379">
        <f>[2]B5!Z35</f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444</v>
      </c>
      <c r="AJ4" s="379">
        <f>[2]B5!AJ35</f>
        <v>0</v>
      </c>
      <c r="AK4" s="379">
        <f>[2]B5!AK35</f>
        <v>-444</v>
      </c>
      <c r="AL4" s="379">
        <f>[2]B5!AL35</f>
        <v>6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44593</v>
      </c>
      <c r="B5" s="537">
        <v>153</v>
      </c>
      <c r="C5" s="537">
        <v>160</v>
      </c>
      <c r="D5" s="45">
        <f>C4-C5</f>
        <v>9</v>
      </c>
      <c r="E5" s="45">
        <f>D5*8.38</f>
        <v>75.42</v>
      </c>
      <c r="F5" s="537">
        <v>2059</v>
      </c>
      <c r="G5" s="52">
        <f t="shared" ref="G5:G32" si="0">F5-F4</f>
        <v>6</v>
      </c>
      <c r="H5" s="537">
        <v>29700</v>
      </c>
      <c r="I5" s="380">
        <f t="shared" ref="I5:I32" si="1">SUM(H5-H4)</f>
        <v>485</v>
      </c>
      <c r="J5" s="66">
        <v>1</v>
      </c>
      <c r="K5" s="537">
        <f>K4</f>
        <v>2384</v>
      </c>
      <c r="L5" s="52">
        <f>K5-K4</f>
        <v>0</v>
      </c>
      <c r="M5" s="537">
        <f>M4</f>
        <v>176242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2142</v>
      </c>
      <c r="Q5" s="537">
        <f>Q4</f>
        <v>179665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6</v>
      </c>
      <c r="V5" s="62">
        <f>R5+N5+I5:I5</f>
        <v>485</v>
      </c>
      <c r="W5" s="384">
        <f>SUM(V5/U5)</f>
        <v>80.833333333333329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485</v>
      </c>
      <c r="AJ5" s="303">
        <f>-tanks!AW6</f>
        <v>485</v>
      </c>
      <c r="AK5" s="303">
        <f>SUM(AJ5-AI5)</f>
        <v>0</v>
      </c>
      <c r="AL5" s="303">
        <f t="shared" ref="AL5:AL32" si="8">S5+L5+G5</f>
        <v>6</v>
      </c>
      <c r="AM5" s="303">
        <f>Y5+AD5</f>
        <v>0</v>
      </c>
      <c r="AN5" s="537">
        <f t="shared" ref="AN5:AN32" si="9">AN4</f>
        <v>65</v>
      </c>
      <c r="AO5" s="305">
        <f>(AN5/100)*3000</f>
        <v>1950</v>
      </c>
      <c r="AP5" s="537">
        <f t="shared" ref="AP5:AP32" si="10">AP4</f>
        <v>55</v>
      </c>
      <c r="AQ5" s="305">
        <f>(AP5/100)*3000</f>
        <v>1650.0000000000002</v>
      </c>
      <c r="AR5" s="537">
        <f t="shared" ref="AR5:AR32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44594</v>
      </c>
      <c r="B6" s="537">
        <v>145</v>
      </c>
      <c r="C6" s="537">
        <v>152</v>
      </c>
      <c r="D6" s="45">
        <f>C5-C6</f>
        <v>8</v>
      </c>
      <c r="E6" s="45">
        <f t="shared" ref="E6:E32" si="12">D6*8.38</f>
        <v>67.040000000000006</v>
      </c>
      <c r="F6" s="537">
        <v>2066</v>
      </c>
      <c r="G6" s="52">
        <f t="shared" si="0"/>
        <v>7</v>
      </c>
      <c r="H6" s="537">
        <v>30203</v>
      </c>
      <c r="I6" s="380">
        <f t="shared" si="1"/>
        <v>503</v>
      </c>
      <c r="J6" s="66">
        <f t="shared" ref="J6:J32" si="13">IF(G6&gt;0,I6/G6,0)</f>
        <v>71.857142857142861</v>
      </c>
      <c r="K6" s="537">
        <f t="shared" ref="K6:K32" si="14">K5</f>
        <v>2384</v>
      </c>
      <c r="L6" s="52">
        <f t="shared" ref="L6:L32" si="15">K6-K5</f>
        <v>0</v>
      </c>
      <c r="M6" s="537">
        <f t="shared" ref="M6:M32" si="16">M5</f>
        <v>176242</v>
      </c>
      <c r="N6" s="380">
        <f t="shared" si="2"/>
        <v>0</v>
      </c>
      <c r="O6" s="64">
        <f t="shared" si="3"/>
        <v>1869</v>
      </c>
      <c r="P6" s="537">
        <f t="shared" si="3"/>
        <v>2142</v>
      </c>
      <c r="Q6" s="537">
        <f t="shared" si="3"/>
        <v>179665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7</v>
      </c>
      <c r="V6" s="62">
        <f t="shared" ref="V6:V32" si="18">R6+N6+I6:I6</f>
        <v>503</v>
      </c>
      <c r="W6" s="384">
        <f t="shared" ref="W6:W16" si="19">SUM(V6/U6)</f>
        <v>71.857142857142861</v>
      </c>
      <c r="X6" s="537">
        <f t="shared" ref="X6:X32" si="20">X5</f>
        <v>2471</v>
      </c>
      <c r="Y6" s="52">
        <f t="shared" ref="Y6:Y32" si="21">X6-X5</f>
        <v>0</v>
      </c>
      <c r="Z6" s="537">
        <f t="shared" ref="Z6:Z32" si="22">Z5</f>
        <v>1392127</v>
      </c>
      <c r="AA6" s="65">
        <f t="shared" si="6"/>
        <v>0</v>
      </c>
      <c r="AB6" s="273">
        <f>SUM(Y6*$AB$2)</f>
        <v>0</v>
      </c>
      <c r="AC6" s="537">
        <f t="shared" ref="AC6:AC32" si="23">AC5</f>
        <v>1943</v>
      </c>
      <c r="AD6" s="45">
        <f t="shared" si="7"/>
        <v>0</v>
      </c>
      <c r="AE6" s="537">
        <f t="shared" ref="AE6:AE32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503</v>
      </c>
      <c r="AJ6" s="303">
        <f>-tanks!AW7</f>
        <v>503</v>
      </c>
      <c r="AK6" s="303">
        <f t="shared" ref="AK6:AK32" si="27">SUM(AJ6-AI6)</f>
        <v>0</v>
      </c>
      <c r="AL6" s="303">
        <f t="shared" si="8"/>
        <v>7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44595</v>
      </c>
      <c r="B7" s="537">
        <v>137</v>
      </c>
      <c r="C7" s="537">
        <v>145</v>
      </c>
      <c r="D7" s="45">
        <f t="shared" ref="D7:D19" si="32">C6-C7</f>
        <v>7</v>
      </c>
      <c r="E7" s="45">
        <f t="shared" si="12"/>
        <v>58.660000000000004</v>
      </c>
      <c r="F7" s="537">
        <v>2070</v>
      </c>
      <c r="G7" s="52">
        <f t="shared" si="0"/>
        <v>4</v>
      </c>
      <c r="H7" s="537">
        <v>30526</v>
      </c>
      <c r="I7" s="380">
        <f t="shared" si="1"/>
        <v>323</v>
      </c>
      <c r="J7" s="66">
        <f t="shared" si="13"/>
        <v>80.75</v>
      </c>
      <c r="K7" s="537">
        <f t="shared" si="14"/>
        <v>2384</v>
      </c>
      <c r="L7" s="52">
        <f t="shared" si="15"/>
        <v>0</v>
      </c>
      <c r="M7" s="537">
        <f t="shared" si="16"/>
        <v>176242</v>
      </c>
      <c r="N7" s="380">
        <f t="shared" si="2"/>
        <v>0</v>
      </c>
      <c r="O7" s="64">
        <f t="shared" si="3"/>
        <v>1869</v>
      </c>
      <c r="P7" s="537">
        <f t="shared" si="3"/>
        <v>2142</v>
      </c>
      <c r="Q7" s="537">
        <f t="shared" si="3"/>
        <v>179665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323</v>
      </c>
      <c r="W7" s="384">
        <f t="shared" si="19"/>
        <v>80.75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323</v>
      </c>
      <c r="AJ7" s="303">
        <f>-tanks!AW8</f>
        <v>323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44596</v>
      </c>
      <c r="B8" s="537">
        <f t="shared" ref="B8:B32" si="40">B7</f>
        <v>137</v>
      </c>
      <c r="C8" s="537">
        <f t="shared" ref="C8:C32" si="41">C7</f>
        <v>145</v>
      </c>
      <c r="D8" s="45">
        <f t="shared" si="32"/>
        <v>0</v>
      </c>
      <c r="E8" s="45">
        <f t="shared" si="12"/>
        <v>0</v>
      </c>
      <c r="F8" s="537">
        <f t="shared" ref="F8:F32" si="42">F7</f>
        <v>2070</v>
      </c>
      <c r="G8" s="52">
        <f t="shared" si="0"/>
        <v>0</v>
      </c>
      <c r="H8" s="537">
        <f t="shared" ref="H8:H32" si="43">H7</f>
        <v>30526</v>
      </c>
      <c r="I8" s="380">
        <f t="shared" si="1"/>
        <v>0</v>
      </c>
      <c r="J8" s="66">
        <f t="shared" si="13"/>
        <v>0</v>
      </c>
      <c r="K8" s="537">
        <f t="shared" si="14"/>
        <v>2384</v>
      </c>
      <c r="L8" s="52">
        <f t="shared" si="15"/>
        <v>0</v>
      </c>
      <c r="M8" s="537">
        <f t="shared" si="16"/>
        <v>176242</v>
      </c>
      <c r="N8" s="380">
        <f t="shared" si="2"/>
        <v>0</v>
      </c>
      <c r="O8" s="64">
        <f t="shared" si="3"/>
        <v>1869</v>
      </c>
      <c r="P8" s="537">
        <f t="shared" si="3"/>
        <v>2142</v>
      </c>
      <c r="Q8" s="537">
        <f t="shared" si="3"/>
        <v>179665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44597</v>
      </c>
      <c r="B9" s="537">
        <f t="shared" si="40"/>
        <v>137</v>
      </c>
      <c r="C9" s="537">
        <f t="shared" si="41"/>
        <v>145</v>
      </c>
      <c r="D9" s="45">
        <f t="shared" si="32"/>
        <v>0</v>
      </c>
      <c r="E9" s="45">
        <f t="shared" si="12"/>
        <v>0</v>
      </c>
      <c r="F9" s="537">
        <f t="shared" si="42"/>
        <v>2070</v>
      </c>
      <c r="G9" s="52">
        <f t="shared" si="0"/>
        <v>0</v>
      </c>
      <c r="H9" s="537">
        <f t="shared" si="43"/>
        <v>30526</v>
      </c>
      <c r="I9" s="380">
        <f t="shared" si="1"/>
        <v>0</v>
      </c>
      <c r="J9" s="66">
        <f t="shared" si="13"/>
        <v>0</v>
      </c>
      <c r="K9" s="537">
        <f t="shared" si="14"/>
        <v>2384</v>
      </c>
      <c r="L9" s="52">
        <f t="shared" si="15"/>
        <v>0</v>
      </c>
      <c r="M9" s="537">
        <f t="shared" si="16"/>
        <v>176242</v>
      </c>
      <c r="N9" s="380">
        <f t="shared" si="2"/>
        <v>0</v>
      </c>
      <c r="O9" s="64">
        <f t="shared" si="3"/>
        <v>1869</v>
      </c>
      <c r="P9" s="537">
        <f t="shared" si="3"/>
        <v>2142</v>
      </c>
      <c r="Q9" s="537">
        <f t="shared" si="3"/>
        <v>179665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44598</v>
      </c>
      <c r="B10" s="537">
        <v>157</v>
      </c>
      <c r="C10" s="537">
        <v>163.5</v>
      </c>
      <c r="D10" s="45">
        <f t="shared" si="32"/>
        <v>-18.5</v>
      </c>
      <c r="E10" s="45">
        <f t="shared" si="12"/>
        <v>-155.03</v>
      </c>
      <c r="F10" s="537">
        <v>2076</v>
      </c>
      <c r="G10" s="52">
        <f t="shared" si="0"/>
        <v>6</v>
      </c>
      <c r="H10" s="537">
        <v>30922</v>
      </c>
      <c r="I10" s="380">
        <f t="shared" si="1"/>
        <v>396</v>
      </c>
      <c r="J10" s="66">
        <f t="shared" si="13"/>
        <v>66</v>
      </c>
      <c r="K10" s="537">
        <f t="shared" si="14"/>
        <v>2384</v>
      </c>
      <c r="L10" s="52">
        <f t="shared" si="15"/>
        <v>0</v>
      </c>
      <c r="M10" s="537">
        <f t="shared" si="16"/>
        <v>176242</v>
      </c>
      <c r="N10" s="380">
        <f t="shared" si="2"/>
        <v>0</v>
      </c>
      <c r="O10" s="64">
        <f t="shared" si="3"/>
        <v>1869</v>
      </c>
      <c r="P10" s="537">
        <f t="shared" si="3"/>
        <v>2142</v>
      </c>
      <c r="Q10" s="537">
        <f t="shared" si="3"/>
        <v>179665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6</v>
      </c>
      <c r="V10" s="62">
        <f t="shared" si="18"/>
        <v>396</v>
      </c>
      <c r="W10" s="384">
        <f t="shared" si="19"/>
        <v>66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396</v>
      </c>
      <c r="AJ10" s="303">
        <f>-tanks!AW11</f>
        <v>396</v>
      </c>
      <c r="AK10" s="303">
        <f t="shared" si="27"/>
        <v>0</v>
      </c>
      <c r="AL10" s="303">
        <f t="shared" si="8"/>
        <v>6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44599</v>
      </c>
      <c r="B11" s="537">
        <f t="shared" si="40"/>
        <v>157</v>
      </c>
      <c r="C11" s="537">
        <v>165</v>
      </c>
      <c r="D11" s="45">
        <f t="shared" si="32"/>
        <v>-1.5</v>
      </c>
      <c r="E11" s="45">
        <f t="shared" si="12"/>
        <v>-12.57</v>
      </c>
      <c r="F11" s="537">
        <v>2083</v>
      </c>
      <c r="G11" s="52">
        <f t="shared" si="0"/>
        <v>7</v>
      </c>
      <c r="H11" s="537">
        <v>31503</v>
      </c>
      <c r="I11" s="380">
        <f t="shared" si="1"/>
        <v>581</v>
      </c>
      <c r="J11" s="66">
        <f t="shared" si="13"/>
        <v>83</v>
      </c>
      <c r="K11" s="537">
        <f t="shared" si="14"/>
        <v>2384</v>
      </c>
      <c r="L11" s="52">
        <f t="shared" si="15"/>
        <v>0</v>
      </c>
      <c r="M11" s="537">
        <f t="shared" si="16"/>
        <v>176242</v>
      </c>
      <c r="N11" s="380">
        <f t="shared" si="2"/>
        <v>0</v>
      </c>
      <c r="O11" s="64">
        <f t="shared" si="3"/>
        <v>1869</v>
      </c>
      <c r="P11" s="537">
        <f t="shared" si="3"/>
        <v>2142</v>
      </c>
      <c r="Q11" s="537">
        <f t="shared" si="3"/>
        <v>179665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7</v>
      </c>
      <c r="V11" s="62">
        <f t="shared" si="18"/>
        <v>581</v>
      </c>
      <c r="W11" s="384">
        <f t="shared" si="19"/>
        <v>83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581</v>
      </c>
      <c r="AJ11" s="303">
        <f>-tanks!AW12</f>
        <v>581</v>
      </c>
      <c r="AK11" s="303">
        <f t="shared" si="27"/>
        <v>0</v>
      </c>
      <c r="AL11" s="303">
        <f t="shared" si="8"/>
        <v>7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44600</v>
      </c>
      <c r="B12" s="537">
        <f t="shared" si="40"/>
        <v>157</v>
      </c>
      <c r="C12" s="537">
        <f t="shared" si="41"/>
        <v>165</v>
      </c>
      <c r="D12" s="45">
        <f t="shared" si="32"/>
        <v>0</v>
      </c>
      <c r="E12" s="45">
        <f t="shared" si="12"/>
        <v>0</v>
      </c>
      <c r="F12" s="537">
        <f t="shared" si="42"/>
        <v>2083</v>
      </c>
      <c r="G12" s="52">
        <f t="shared" si="0"/>
        <v>0</v>
      </c>
      <c r="H12" s="537">
        <f t="shared" si="43"/>
        <v>31503</v>
      </c>
      <c r="I12" s="380">
        <f t="shared" si="1"/>
        <v>0</v>
      </c>
      <c r="J12" s="66">
        <f t="shared" si="13"/>
        <v>0</v>
      </c>
      <c r="K12" s="537">
        <f t="shared" si="14"/>
        <v>2384</v>
      </c>
      <c r="L12" s="52">
        <f t="shared" si="15"/>
        <v>0</v>
      </c>
      <c r="M12" s="537">
        <f t="shared" si="16"/>
        <v>176242</v>
      </c>
      <c r="N12" s="380">
        <f t="shared" si="2"/>
        <v>0</v>
      </c>
      <c r="O12" s="64">
        <f t="shared" si="3"/>
        <v>1869</v>
      </c>
      <c r="P12" s="537">
        <f t="shared" si="3"/>
        <v>2142</v>
      </c>
      <c r="Q12" s="537">
        <f t="shared" si="3"/>
        <v>179665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44601</v>
      </c>
      <c r="B13" s="537">
        <v>151</v>
      </c>
      <c r="C13" s="537">
        <v>158</v>
      </c>
      <c r="D13" s="45">
        <f t="shared" si="32"/>
        <v>7</v>
      </c>
      <c r="E13" s="45">
        <f t="shared" si="12"/>
        <v>58.660000000000004</v>
      </c>
      <c r="F13" s="537">
        <v>2086</v>
      </c>
      <c r="G13" s="52">
        <f t="shared" si="0"/>
        <v>3</v>
      </c>
      <c r="H13" s="537">
        <v>31734</v>
      </c>
      <c r="I13" s="380">
        <f t="shared" si="1"/>
        <v>231</v>
      </c>
      <c r="J13" s="66">
        <f t="shared" si="13"/>
        <v>77</v>
      </c>
      <c r="K13" s="537">
        <v>2385</v>
      </c>
      <c r="L13" s="52">
        <f t="shared" si="15"/>
        <v>1</v>
      </c>
      <c r="M13" s="537">
        <v>176306</v>
      </c>
      <c r="N13" s="380">
        <f t="shared" si="2"/>
        <v>64</v>
      </c>
      <c r="O13" s="64">
        <f t="shared" si="3"/>
        <v>1869</v>
      </c>
      <c r="P13" s="537">
        <f t="shared" si="3"/>
        <v>2142</v>
      </c>
      <c r="Q13" s="537">
        <f t="shared" si="3"/>
        <v>179665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295</v>
      </c>
      <c r="W13" s="384">
        <f t="shared" si="19"/>
        <v>73.75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295</v>
      </c>
      <c r="AJ13" s="303">
        <f>-tanks!AW14</f>
        <v>295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44602</v>
      </c>
      <c r="B14" s="537">
        <v>143</v>
      </c>
      <c r="C14" s="537">
        <v>150</v>
      </c>
      <c r="D14" s="45">
        <f t="shared" si="32"/>
        <v>8</v>
      </c>
      <c r="E14" s="45">
        <f t="shared" si="12"/>
        <v>67.040000000000006</v>
      </c>
      <c r="F14" s="537">
        <f t="shared" si="42"/>
        <v>2086</v>
      </c>
      <c r="G14" s="52">
        <f t="shared" si="0"/>
        <v>0</v>
      </c>
      <c r="H14" s="537">
        <f t="shared" si="43"/>
        <v>31734</v>
      </c>
      <c r="I14" s="380">
        <f t="shared" si="1"/>
        <v>0</v>
      </c>
      <c r="J14" s="66">
        <f t="shared" si="13"/>
        <v>0</v>
      </c>
      <c r="K14" s="537">
        <v>2388</v>
      </c>
      <c r="L14" s="52">
        <f t="shared" si="15"/>
        <v>3</v>
      </c>
      <c r="M14" s="537">
        <v>176534</v>
      </c>
      <c r="N14" s="380">
        <f t="shared" si="2"/>
        <v>228</v>
      </c>
      <c r="O14" s="64">
        <f t="shared" si="3"/>
        <v>1869</v>
      </c>
      <c r="P14" s="537">
        <v>2144</v>
      </c>
      <c r="Q14" s="537">
        <v>179872</v>
      </c>
      <c r="R14" s="379">
        <f t="shared" si="44"/>
        <v>207</v>
      </c>
      <c r="S14" s="52">
        <f t="shared" si="5"/>
        <v>2</v>
      </c>
      <c r="T14" s="67">
        <f t="shared" si="33"/>
        <v>0</v>
      </c>
      <c r="U14" s="386">
        <f t="shared" si="17"/>
        <v>5</v>
      </c>
      <c r="V14" s="62">
        <f t="shared" si="18"/>
        <v>435</v>
      </c>
      <c r="W14" s="384">
        <f t="shared" si="19"/>
        <v>87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435</v>
      </c>
      <c r="AJ14" s="303">
        <f>-tanks!AW15</f>
        <v>435</v>
      </c>
      <c r="AK14" s="303">
        <f t="shared" si="27"/>
        <v>0</v>
      </c>
      <c r="AL14" s="303">
        <f t="shared" si="8"/>
        <v>5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44603</v>
      </c>
      <c r="B15" s="537">
        <f t="shared" si="40"/>
        <v>143</v>
      </c>
      <c r="C15" s="537">
        <f t="shared" si="41"/>
        <v>150</v>
      </c>
      <c r="D15" s="45">
        <f t="shared" si="32"/>
        <v>0</v>
      </c>
      <c r="E15" s="45">
        <f t="shared" si="12"/>
        <v>0</v>
      </c>
      <c r="F15" s="537">
        <f t="shared" si="42"/>
        <v>2086</v>
      </c>
      <c r="G15" s="52">
        <f t="shared" si="0"/>
        <v>0</v>
      </c>
      <c r="H15" s="537">
        <f t="shared" si="43"/>
        <v>31734</v>
      </c>
      <c r="I15" s="380">
        <f t="shared" si="1"/>
        <v>0</v>
      </c>
      <c r="J15" s="66">
        <f t="shared" si="13"/>
        <v>0</v>
      </c>
      <c r="K15" s="537">
        <f t="shared" si="14"/>
        <v>2388</v>
      </c>
      <c r="L15" s="52">
        <f t="shared" si="15"/>
        <v>0</v>
      </c>
      <c r="M15" s="537">
        <f t="shared" si="16"/>
        <v>176534</v>
      </c>
      <c r="N15" s="380">
        <f t="shared" si="2"/>
        <v>0</v>
      </c>
      <c r="O15" s="64">
        <f t="shared" si="3"/>
        <v>1869</v>
      </c>
      <c r="P15" s="537">
        <f t="shared" si="3"/>
        <v>2144</v>
      </c>
      <c r="Q15" s="537">
        <f t="shared" si="3"/>
        <v>179872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44604</v>
      </c>
      <c r="B16" s="537">
        <f t="shared" si="40"/>
        <v>143</v>
      </c>
      <c r="C16" s="537">
        <f t="shared" si="41"/>
        <v>150</v>
      </c>
      <c r="D16" s="45">
        <f t="shared" si="32"/>
        <v>0</v>
      </c>
      <c r="E16" s="45">
        <f t="shared" si="12"/>
        <v>0</v>
      </c>
      <c r="F16" s="537">
        <f t="shared" si="42"/>
        <v>2086</v>
      </c>
      <c r="G16" s="52">
        <f t="shared" si="0"/>
        <v>0</v>
      </c>
      <c r="H16" s="537">
        <f t="shared" si="43"/>
        <v>31734</v>
      </c>
      <c r="I16" s="380">
        <f t="shared" si="1"/>
        <v>0</v>
      </c>
      <c r="J16" s="66">
        <f t="shared" si="13"/>
        <v>0</v>
      </c>
      <c r="K16" s="537">
        <f t="shared" si="14"/>
        <v>2388</v>
      </c>
      <c r="L16" s="52">
        <f t="shared" si="15"/>
        <v>0</v>
      </c>
      <c r="M16" s="537">
        <f t="shared" si="16"/>
        <v>176534</v>
      </c>
      <c r="N16" s="380">
        <f t="shared" si="2"/>
        <v>0</v>
      </c>
      <c r="O16" s="64">
        <f t="shared" si="3"/>
        <v>1869</v>
      </c>
      <c r="P16" s="537">
        <f t="shared" si="3"/>
        <v>2144</v>
      </c>
      <c r="Q16" s="537">
        <f t="shared" si="3"/>
        <v>179872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44605</v>
      </c>
      <c r="B17" s="537">
        <v>169</v>
      </c>
      <c r="C17" s="537">
        <v>176</v>
      </c>
      <c r="D17" s="45">
        <f t="shared" si="32"/>
        <v>-26</v>
      </c>
      <c r="E17" s="45">
        <f t="shared" si="12"/>
        <v>-217.88000000000002</v>
      </c>
      <c r="F17" s="537">
        <f t="shared" si="42"/>
        <v>2086</v>
      </c>
      <c r="G17" s="52">
        <f t="shared" si="0"/>
        <v>0</v>
      </c>
      <c r="H17" s="537">
        <f t="shared" si="43"/>
        <v>31734</v>
      </c>
      <c r="I17" s="380">
        <f t="shared" si="1"/>
        <v>0</v>
      </c>
      <c r="J17" s="66">
        <f t="shared" si="13"/>
        <v>0</v>
      </c>
      <c r="K17" s="537">
        <v>2390</v>
      </c>
      <c r="L17" s="52">
        <f t="shared" si="15"/>
        <v>2</v>
      </c>
      <c r="M17" s="537">
        <v>176670</v>
      </c>
      <c r="N17" s="380">
        <f t="shared" si="2"/>
        <v>136</v>
      </c>
      <c r="O17" s="64">
        <f t="shared" si="3"/>
        <v>1869</v>
      </c>
      <c r="P17" s="537">
        <v>2150</v>
      </c>
      <c r="Q17" s="537">
        <v>180327</v>
      </c>
      <c r="R17" s="379">
        <f t="shared" si="44"/>
        <v>455</v>
      </c>
      <c r="S17" s="52">
        <f t="shared" si="5"/>
        <v>6</v>
      </c>
      <c r="T17" s="67">
        <f t="shared" si="33"/>
        <v>0</v>
      </c>
      <c r="U17" s="386">
        <f t="shared" si="17"/>
        <v>8</v>
      </c>
      <c r="V17" s="62">
        <f t="shared" si="18"/>
        <v>591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591</v>
      </c>
      <c r="AJ17" s="303">
        <f>-tanks!AW18</f>
        <v>591</v>
      </c>
      <c r="AK17" s="303">
        <f t="shared" si="27"/>
        <v>0</v>
      </c>
      <c r="AL17" s="303">
        <f t="shared" si="8"/>
        <v>8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44606</v>
      </c>
      <c r="B18" s="537">
        <v>162</v>
      </c>
      <c r="C18" s="537">
        <v>169</v>
      </c>
      <c r="D18" s="45">
        <f t="shared" si="32"/>
        <v>7</v>
      </c>
      <c r="E18" s="45">
        <f t="shared" si="12"/>
        <v>58.660000000000004</v>
      </c>
      <c r="F18" s="537">
        <f t="shared" si="42"/>
        <v>2086</v>
      </c>
      <c r="G18" s="52">
        <f t="shared" si="0"/>
        <v>0</v>
      </c>
      <c r="H18" s="537">
        <f t="shared" si="43"/>
        <v>31734</v>
      </c>
      <c r="I18" s="380">
        <f t="shared" si="1"/>
        <v>0</v>
      </c>
      <c r="J18" s="66">
        <f t="shared" si="13"/>
        <v>0</v>
      </c>
      <c r="K18" s="537">
        <v>2390</v>
      </c>
      <c r="L18" s="52">
        <f t="shared" si="15"/>
        <v>0</v>
      </c>
      <c r="M18" s="537">
        <v>176670</v>
      </c>
      <c r="N18" s="380">
        <f t="shared" si="2"/>
        <v>0</v>
      </c>
      <c r="O18" s="64">
        <v>1869</v>
      </c>
      <c r="P18" s="537">
        <v>2155</v>
      </c>
      <c r="Q18" s="537">
        <v>180657</v>
      </c>
      <c r="R18" s="379">
        <f t="shared" si="44"/>
        <v>330</v>
      </c>
      <c r="S18" s="52">
        <f t="shared" si="5"/>
        <v>5</v>
      </c>
      <c r="T18" s="67">
        <f t="shared" si="33"/>
        <v>0</v>
      </c>
      <c r="U18" s="386">
        <f t="shared" si="17"/>
        <v>5</v>
      </c>
      <c r="V18" s="62">
        <f t="shared" si="18"/>
        <v>330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5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330</v>
      </c>
      <c r="AJ18" s="303">
        <f>-tanks!AW19</f>
        <v>330</v>
      </c>
      <c r="AK18" s="303">
        <f t="shared" si="27"/>
        <v>0</v>
      </c>
      <c r="AL18" s="303">
        <f t="shared" si="8"/>
        <v>5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44607</v>
      </c>
      <c r="B19" s="537">
        <v>155</v>
      </c>
      <c r="C19" s="537">
        <v>162</v>
      </c>
      <c r="D19" s="45">
        <f t="shared" si="32"/>
        <v>7</v>
      </c>
      <c r="E19" s="45">
        <f t="shared" si="12"/>
        <v>58.660000000000004</v>
      </c>
      <c r="F19" s="537">
        <f t="shared" si="42"/>
        <v>2086</v>
      </c>
      <c r="G19" s="52">
        <f t="shared" si="0"/>
        <v>0</v>
      </c>
      <c r="H19" s="537">
        <f t="shared" si="43"/>
        <v>31734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2" si="46">O18</f>
        <v>1869</v>
      </c>
      <c r="P19" s="537">
        <v>2159</v>
      </c>
      <c r="Q19" s="537">
        <v>180963</v>
      </c>
      <c r="R19" s="379">
        <f t="shared" si="44"/>
        <v>306</v>
      </c>
      <c r="S19" s="52">
        <f t="shared" si="5"/>
        <v>4</v>
      </c>
      <c r="T19" s="67">
        <f t="shared" si="33"/>
        <v>0</v>
      </c>
      <c r="U19" s="386">
        <f t="shared" si="17"/>
        <v>4</v>
      </c>
      <c r="V19" s="62">
        <f t="shared" si="18"/>
        <v>306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5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306</v>
      </c>
      <c r="AJ19" s="303">
        <f>-tanks!AW20</f>
        <v>306</v>
      </c>
      <c r="AK19" s="303">
        <f t="shared" si="27"/>
        <v>0</v>
      </c>
      <c r="AL19" s="303">
        <f t="shared" si="8"/>
        <v>4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44608</v>
      </c>
      <c r="B20" s="537">
        <v>147</v>
      </c>
      <c r="C20" s="537">
        <v>155</v>
      </c>
      <c r="D20" s="45">
        <f>C19-C20</f>
        <v>7</v>
      </c>
      <c r="E20" s="45">
        <f t="shared" si="12"/>
        <v>58.660000000000004</v>
      </c>
      <c r="F20" s="537">
        <f t="shared" si="42"/>
        <v>2086</v>
      </c>
      <c r="G20" s="52">
        <f t="shared" si="0"/>
        <v>0</v>
      </c>
      <c r="H20" s="537">
        <f t="shared" si="43"/>
        <v>31734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6"/>
        <v>1869</v>
      </c>
      <c r="P20" s="537">
        <v>2164</v>
      </c>
      <c r="Q20" s="537">
        <v>181370</v>
      </c>
      <c r="R20" s="379">
        <f t="shared" si="44"/>
        <v>407</v>
      </c>
      <c r="S20" s="52">
        <f t="shared" si="5"/>
        <v>5</v>
      </c>
      <c r="T20" s="67">
        <f t="shared" si="33"/>
        <v>0</v>
      </c>
      <c r="U20" s="386">
        <f t="shared" si="17"/>
        <v>5</v>
      </c>
      <c r="V20" s="62">
        <f t="shared" si="18"/>
        <v>407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5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407</v>
      </c>
      <c r="AJ20" s="303">
        <f>-tanks!AW21</f>
        <v>407</v>
      </c>
      <c r="AK20" s="303">
        <f t="shared" si="27"/>
        <v>0</v>
      </c>
      <c r="AL20" s="303">
        <f t="shared" si="8"/>
        <v>5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44609</v>
      </c>
      <c r="B21" s="537">
        <v>179</v>
      </c>
      <c r="C21" s="537">
        <v>186</v>
      </c>
      <c r="D21" s="45">
        <f t="shared" ref="D21:D32" si="47">C20-C21</f>
        <v>-31</v>
      </c>
      <c r="E21" s="45">
        <f t="shared" si="12"/>
        <v>-259.78000000000003</v>
      </c>
      <c r="F21" s="537">
        <f t="shared" si="42"/>
        <v>2086</v>
      </c>
      <c r="G21" s="52">
        <f t="shared" si="0"/>
        <v>0</v>
      </c>
      <c r="H21" s="537">
        <f t="shared" si="43"/>
        <v>31734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6"/>
        <v>1869</v>
      </c>
      <c r="P21" s="537">
        <v>2167</v>
      </c>
      <c r="Q21" s="537">
        <v>181602</v>
      </c>
      <c r="R21" s="379">
        <f t="shared" si="44"/>
        <v>232</v>
      </c>
      <c r="S21" s="52">
        <f t="shared" si="5"/>
        <v>3</v>
      </c>
      <c r="T21" s="67">
        <f t="shared" si="33"/>
        <v>0</v>
      </c>
      <c r="U21" s="386">
        <f t="shared" si="17"/>
        <v>3</v>
      </c>
      <c r="V21" s="62">
        <f t="shared" si="18"/>
        <v>232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5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232</v>
      </c>
      <c r="AJ21" s="303">
        <f>-tanks!AW22</f>
        <v>232</v>
      </c>
      <c r="AK21" s="303">
        <f t="shared" si="27"/>
        <v>0</v>
      </c>
      <c r="AL21" s="303">
        <f t="shared" si="8"/>
        <v>3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44610</v>
      </c>
      <c r="B22" s="537">
        <f t="shared" si="40"/>
        <v>179</v>
      </c>
      <c r="C22" s="537">
        <f t="shared" si="41"/>
        <v>186</v>
      </c>
      <c r="D22" s="45">
        <f t="shared" si="47"/>
        <v>0</v>
      </c>
      <c r="E22" s="45">
        <f t="shared" si="12"/>
        <v>0</v>
      </c>
      <c r="F22" s="537">
        <f t="shared" si="42"/>
        <v>2086</v>
      </c>
      <c r="G22" s="52">
        <f t="shared" si="0"/>
        <v>0</v>
      </c>
      <c r="H22" s="537">
        <f t="shared" si="43"/>
        <v>31734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6"/>
        <v>1869</v>
      </c>
      <c r="P22" s="537">
        <f t="shared" ref="P22:P32" si="48">P21</f>
        <v>2167</v>
      </c>
      <c r="Q22" s="537">
        <f t="shared" ref="Q22:Q32" si="49">Q21</f>
        <v>181602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5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44611</v>
      </c>
      <c r="B23" s="537">
        <f t="shared" si="40"/>
        <v>179</v>
      </c>
      <c r="C23" s="537">
        <f t="shared" si="41"/>
        <v>186</v>
      </c>
      <c r="D23" s="45">
        <f t="shared" si="47"/>
        <v>0</v>
      </c>
      <c r="E23" s="45">
        <f t="shared" si="12"/>
        <v>0</v>
      </c>
      <c r="F23" s="537">
        <f t="shared" si="42"/>
        <v>2086</v>
      </c>
      <c r="G23" s="52">
        <f t="shared" si="0"/>
        <v>0</v>
      </c>
      <c r="H23" s="537">
        <f t="shared" si="43"/>
        <v>31734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6"/>
        <v>1869</v>
      </c>
      <c r="P23" s="537">
        <f t="shared" si="48"/>
        <v>2167</v>
      </c>
      <c r="Q23" s="537">
        <f t="shared" si="49"/>
        <v>181602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5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44612</v>
      </c>
      <c r="B24" s="537">
        <v>208</v>
      </c>
      <c r="C24" s="537">
        <v>215</v>
      </c>
      <c r="D24" s="45">
        <f t="shared" si="47"/>
        <v>-29</v>
      </c>
      <c r="E24" s="45">
        <f t="shared" si="12"/>
        <v>-243.02</v>
      </c>
      <c r="F24" s="537">
        <f t="shared" si="42"/>
        <v>2086</v>
      </c>
      <c r="G24" s="52">
        <f t="shared" si="0"/>
        <v>0</v>
      </c>
      <c r="H24" s="537">
        <f t="shared" si="43"/>
        <v>31734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6"/>
        <v>1869</v>
      </c>
      <c r="P24" s="537">
        <v>2173</v>
      </c>
      <c r="Q24" s="537">
        <v>182038</v>
      </c>
      <c r="R24" s="379">
        <f t="shared" si="44"/>
        <v>436</v>
      </c>
      <c r="S24" s="52">
        <f t="shared" si="5"/>
        <v>6</v>
      </c>
      <c r="T24" s="67">
        <f t="shared" si="33"/>
        <v>0</v>
      </c>
      <c r="U24" s="386">
        <f t="shared" si="17"/>
        <v>6</v>
      </c>
      <c r="V24" s="62">
        <f t="shared" si="18"/>
        <v>436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436</v>
      </c>
      <c r="AJ24" s="303">
        <f>-tanks!AW25</f>
        <v>436</v>
      </c>
      <c r="AK24" s="303">
        <f t="shared" si="27"/>
        <v>0</v>
      </c>
      <c r="AL24" s="303">
        <f t="shared" si="8"/>
        <v>6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44613</v>
      </c>
      <c r="B25" s="537">
        <v>203</v>
      </c>
      <c r="C25" s="537">
        <v>210</v>
      </c>
      <c r="D25" s="45">
        <f t="shared" si="47"/>
        <v>5</v>
      </c>
      <c r="E25" s="45">
        <f t="shared" si="12"/>
        <v>41.900000000000006</v>
      </c>
      <c r="F25" s="537">
        <f t="shared" si="42"/>
        <v>2086</v>
      </c>
      <c r="G25" s="52">
        <f t="shared" si="0"/>
        <v>0</v>
      </c>
      <c r="H25" s="537">
        <f t="shared" si="43"/>
        <v>31734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6"/>
        <v>1869</v>
      </c>
      <c r="P25" s="537">
        <v>2179</v>
      </c>
      <c r="Q25" s="537">
        <v>182460</v>
      </c>
      <c r="R25" s="379">
        <f t="shared" si="44"/>
        <v>422</v>
      </c>
      <c r="S25" s="52">
        <f t="shared" si="5"/>
        <v>6</v>
      </c>
      <c r="T25" s="67">
        <f t="shared" si="33"/>
        <v>0</v>
      </c>
      <c r="U25" s="386">
        <f t="shared" si="17"/>
        <v>6</v>
      </c>
      <c r="V25" s="62">
        <f t="shared" si="18"/>
        <v>422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422</v>
      </c>
      <c r="AJ25" s="303">
        <f>-tanks!AW26</f>
        <v>422</v>
      </c>
      <c r="AK25" s="303">
        <f t="shared" si="27"/>
        <v>0</v>
      </c>
      <c r="AL25" s="303">
        <f t="shared" si="8"/>
        <v>6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44614</v>
      </c>
      <c r="B26" s="537">
        <v>193</v>
      </c>
      <c r="C26" s="537">
        <v>200</v>
      </c>
      <c r="D26" s="45">
        <f t="shared" si="47"/>
        <v>10</v>
      </c>
      <c r="E26" s="45">
        <f t="shared" si="12"/>
        <v>83.800000000000011</v>
      </c>
      <c r="F26" s="537">
        <v>2090</v>
      </c>
      <c r="G26" s="52">
        <f t="shared" si="0"/>
        <v>4</v>
      </c>
      <c r="H26" s="537">
        <v>32039</v>
      </c>
      <c r="I26" s="380">
        <f t="shared" si="1"/>
        <v>305</v>
      </c>
      <c r="J26" s="66">
        <f t="shared" si="13"/>
        <v>76.25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6"/>
        <v>1869</v>
      </c>
      <c r="P26" s="537">
        <f t="shared" si="48"/>
        <v>2179</v>
      </c>
      <c r="Q26" s="537">
        <v>182533</v>
      </c>
      <c r="R26" s="379">
        <f t="shared" si="44"/>
        <v>73</v>
      </c>
      <c r="S26" s="52">
        <f t="shared" si="5"/>
        <v>0</v>
      </c>
      <c r="T26" s="67">
        <f t="shared" si="33"/>
        <v>0</v>
      </c>
      <c r="U26" s="386">
        <f t="shared" si="17"/>
        <v>4</v>
      </c>
      <c r="V26" s="62">
        <f t="shared" si="18"/>
        <v>378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378</v>
      </c>
      <c r="AJ26" s="303">
        <f>-tanks!AW27</f>
        <v>378</v>
      </c>
      <c r="AK26" s="303">
        <f t="shared" si="27"/>
        <v>0</v>
      </c>
      <c r="AL26" s="303">
        <f t="shared" si="8"/>
        <v>4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44615</v>
      </c>
      <c r="B27" s="537">
        <v>185</v>
      </c>
      <c r="C27" s="537">
        <v>192</v>
      </c>
      <c r="D27" s="45">
        <f t="shared" si="47"/>
        <v>8</v>
      </c>
      <c r="E27" s="45">
        <f t="shared" si="12"/>
        <v>67.040000000000006</v>
      </c>
      <c r="F27" s="537">
        <v>2095</v>
      </c>
      <c r="G27" s="52">
        <f t="shared" si="0"/>
        <v>5</v>
      </c>
      <c r="H27" s="537">
        <v>32363</v>
      </c>
      <c r="I27" s="380">
        <f t="shared" si="1"/>
        <v>324</v>
      </c>
      <c r="J27" s="66">
        <f t="shared" si="13"/>
        <v>64.8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6"/>
        <v>1869</v>
      </c>
      <c r="P27" s="537">
        <f t="shared" si="48"/>
        <v>2179</v>
      </c>
      <c r="Q27" s="537">
        <f t="shared" si="49"/>
        <v>182533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5</v>
      </c>
      <c r="V27" s="62">
        <f t="shared" si="18"/>
        <v>324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324</v>
      </c>
      <c r="AJ27" s="303">
        <f>-tanks!AW28</f>
        <v>324</v>
      </c>
      <c r="AK27" s="303">
        <f t="shared" si="27"/>
        <v>0</v>
      </c>
      <c r="AL27" s="303">
        <f t="shared" si="8"/>
        <v>5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44616</v>
      </c>
      <c r="B28" s="537">
        <v>175</v>
      </c>
      <c r="C28" s="537">
        <v>183</v>
      </c>
      <c r="D28" s="45">
        <f t="shared" si="47"/>
        <v>9</v>
      </c>
      <c r="E28" s="45">
        <f t="shared" si="12"/>
        <v>75.42</v>
      </c>
      <c r="F28" s="537">
        <v>2098</v>
      </c>
      <c r="G28" s="52">
        <f t="shared" si="0"/>
        <v>3</v>
      </c>
      <c r="H28" s="537">
        <v>32633</v>
      </c>
      <c r="I28" s="380">
        <f t="shared" si="1"/>
        <v>270</v>
      </c>
      <c r="J28" s="66">
        <f t="shared" si="13"/>
        <v>90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6"/>
        <v>1869</v>
      </c>
      <c r="P28" s="537">
        <f t="shared" si="48"/>
        <v>2179</v>
      </c>
      <c r="Q28" s="537">
        <f t="shared" si="49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3</v>
      </c>
      <c r="V28" s="62">
        <f t="shared" si="18"/>
        <v>270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270</v>
      </c>
      <c r="AJ28" s="303">
        <f>-tanks!AW29</f>
        <v>270</v>
      </c>
      <c r="AK28" s="303">
        <f t="shared" si="27"/>
        <v>0</v>
      </c>
      <c r="AL28" s="303">
        <f t="shared" si="8"/>
        <v>3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44617</v>
      </c>
      <c r="B29" s="537">
        <f t="shared" si="40"/>
        <v>175</v>
      </c>
      <c r="C29" s="537">
        <f t="shared" si="41"/>
        <v>183</v>
      </c>
      <c r="D29" s="45">
        <f t="shared" si="47"/>
        <v>0</v>
      </c>
      <c r="E29" s="45">
        <f t="shared" si="12"/>
        <v>0</v>
      </c>
      <c r="F29" s="537">
        <f t="shared" si="42"/>
        <v>2098</v>
      </c>
      <c r="G29" s="52">
        <f t="shared" si="0"/>
        <v>0</v>
      </c>
      <c r="H29" s="537">
        <f t="shared" si="43"/>
        <v>32633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6"/>
        <v>1869</v>
      </c>
      <c r="P29" s="537">
        <f t="shared" si="48"/>
        <v>2179</v>
      </c>
      <c r="Q29" s="537">
        <f t="shared" si="49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44618</v>
      </c>
      <c r="B30" s="537">
        <f t="shared" si="40"/>
        <v>175</v>
      </c>
      <c r="C30" s="537">
        <f t="shared" si="41"/>
        <v>183</v>
      </c>
      <c r="D30" s="45">
        <f>C29-C30</f>
        <v>0</v>
      </c>
      <c r="E30" s="45">
        <f>D30*8.38</f>
        <v>0</v>
      </c>
      <c r="F30" s="537">
        <f t="shared" si="42"/>
        <v>2098</v>
      </c>
      <c r="G30" s="52">
        <f>F30-F29</f>
        <v>0</v>
      </c>
      <c r="H30" s="537">
        <f t="shared" si="43"/>
        <v>32633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6"/>
        <v>1869</v>
      </c>
      <c r="P30" s="537">
        <f t="shared" si="48"/>
        <v>2179</v>
      </c>
      <c r="Q30" s="537">
        <f t="shared" si="49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44619</v>
      </c>
      <c r="B31" s="537">
        <f t="shared" si="40"/>
        <v>175</v>
      </c>
      <c r="C31" s="537">
        <f t="shared" si="41"/>
        <v>183</v>
      </c>
      <c r="D31" s="45">
        <f t="shared" si="47"/>
        <v>0</v>
      </c>
      <c r="E31" s="45">
        <f t="shared" si="12"/>
        <v>0</v>
      </c>
      <c r="F31" s="537">
        <f t="shared" si="42"/>
        <v>2098</v>
      </c>
      <c r="G31" s="52">
        <f t="shared" si="0"/>
        <v>0</v>
      </c>
      <c r="H31" s="537">
        <f t="shared" si="43"/>
        <v>32633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6"/>
        <v>1869</v>
      </c>
      <c r="P31" s="537">
        <f t="shared" si="48"/>
        <v>2179</v>
      </c>
      <c r="Q31" s="537">
        <f t="shared" si="49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44620</v>
      </c>
      <c r="B32" s="537">
        <f t="shared" si="40"/>
        <v>175</v>
      </c>
      <c r="C32" s="537">
        <f t="shared" si="41"/>
        <v>183</v>
      </c>
      <c r="D32" s="45">
        <f t="shared" si="47"/>
        <v>0</v>
      </c>
      <c r="E32" s="45">
        <f t="shared" si="12"/>
        <v>0</v>
      </c>
      <c r="F32" s="537">
        <f t="shared" si="42"/>
        <v>2098</v>
      </c>
      <c r="G32" s="52">
        <f t="shared" si="0"/>
        <v>0</v>
      </c>
      <c r="H32" s="537">
        <f t="shared" si="43"/>
        <v>32633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6"/>
        <v>1869</v>
      </c>
      <c r="P32" s="537">
        <f t="shared" si="48"/>
        <v>2179</v>
      </c>
      <c r="Q32" s="537">
        <f t="shared" si="49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49">
      <c r="A33" s="63"/>
      <c r="B33" s="537"/>
      <c r="C33" s="537"/>
      <c r="D33" s="45"/>
      <c r="E33" s="45"/>
      <c r="F33" s="537"/>
      <c r="G33" s="52"/>
      <c r="H33" s="537"/>
      <c r="I33" s="380"/>
      <c r="J33" s="66"/>
      <c r="K33" s="537"/>
      <c r="L33" s="52"/>
      <c r="M33" s="537"/>
      <c r="N33" s="380"/>
      <c r="O33" s="64"/>
      <c r="P33" s="537"/>
      <c r="Q33" s="537"/>
      <c r="R33" s="379"/>
      <c r="S33" s="52"/>
      <c r="T33" s="67"/>
      <c r="U33" s="386"/>
      <c r="V33" s="62"/>
      <c r="W33" s="384"/>
      <c r="X33" s="537"/>
      <c r="Y33" s="52"/>
      <c r="Z33" s="537"/>
      <c r="AA33" s="65"/>
      <c r="AB33" s="273"/>
      <c r="AC33" s="537"/>
      <c r="AD33" s="259"/>
      <c r="AE33" s="537"/>
      <c r="AF33" s="293"/>
      <c r="AG33" s="209"/>
      <c r="AH33" s="62"/>
      <c r="AI33" s="303"/>
      <c r="AJ33" s="303"/>
      <c r="AK33" s="303"/>
      <c r="AL33" s="303"/>
      <c r="AM33" s="303"/>
      <c r="AN33" s="537"/>
      <c r="AO33" s="305"/>
      <c r="AP33" s="537"/>
      <c r="AQ33" s="305"/>
      <c r="AR33" s="537"/>
      <c r="AS33" s="305"/>
      <c r="AT33" s="305"/>
      <c r="AU33" s="305"/>
      <c r="AV33" s="259"/>
      <c r="AW33" s="259"/>
    </row>
    <row r="34" spans="1:49">
      <c r="A34" s="63"/>
      <c r="B34" s="537"/>
      <c r="C34" s="537"/>
      <c r="D34" s="45"/>
      <c r="E34" s="45"/>
      <c r="F34" s="537"/>
      <c r="G34" s="52"/>
      <c r="H34" s="537"/>
      <c r="I34" s="380"/>
      <c r="J34" s="66"/>
      <c r="K34" s="537"/>
      <c r="L34" s="52"/>
      <c r="M34" s="537"/>
      <c r="N34" s="380"/>
      <c r="O34" s="64"/>
      <c r="P34" s="537"/>
      <c r="Q34" s="537"/>
      <c r="R34" s="379"/>
      <c r="S34" s="52"/>
      <c r="T34" s="67"/>
      <c r="U34" s="386"/>
      <c r="V34" s="62"/>
      <c r="W34" s="384"/>
      <c r="X34" s="537"/>
      <c r="Y34" s="52"/>
      <c r="Z34" s="537"/>
      <c r="AA34" s="65"/>
      <c r="AB34" s="273"/>
      <c r="AC34" s="537"/>
      <c r="AD34" s="259"/>
      <c r="AE34" s="537"/>
      <c r="AF34" s="293"/>
      <c r="AG34" s="209"/>
      <c r="AH34" s="62"/>
      <c r="AI34" s="303"/>
      <c r="AJ34" s="303"/>
      <c r="AK34" s="303"/>
      <c r="AL34" s="303"/>
      <c r="AM34" s="303"/>
      <c r="AN34" s="537"/>
      <c r="AO34" s="305"/>
      <c r="AP34" s="537"/>
      <c r="AQ34" s="305"/>
      <c r="AR34" s="537"/>
      <c r="AS34" s="305"/>
      <c r="AT34" s="305"/>
      <c r="AU34" s="305"/>
      <c r="AV34" s="259"/>
      <c r="AW34" s="259"/>
    </row>
    <row r="35" spans="1:49">
      <c r="A35" s="63"/>
      <c r="B35" s="537"/>
      <c r="C35" s="537"/>
      <c r="D35" s="45"/>
      <c r="E35" s="45"/>
      <c r="F35" s="537"/>
      <c r="G35" s="52"/>
      <c r="H35" s="537"/>
      <c r="I35" s="380"/>
      <c r="J35" s="66"/>
      <c r="K35" s="537"/>
      <c r="L35" s="52"/>
      <c r="M35" s="537"/>
      <c r="N35" s="380"/>
      <c r="O35" s="64"/>
      <c r="P35" s="537"/>
      <c r="Q35" s="537"/>
      <c r="R35" s="379"/>
      <c r="S35" s="52"/>
      <c r="T35" s="67"/>
      <c r="U35" s="386"/>
      <c r="V35" s="62"/>
      <c r="W35" s="384"/>
      <c r="X35" s="537"/>
      <c r="Y35" s="52"/>
      <c r="Z35" s="537"/>
      <c r="AA35" s="65"/>
      <c r="AB35" s="273"/>
      <c r="AC35" s="537"/>
      <c r="AD35" s="259"/>
      <c r="AE35" s="537"/>
      <c r="AF35" s="293"/>
      <c r="AG35" s="209"/>
      <c r="AH35" s="62"/>
      <c r="AI35" s="303"/>
      <c r="AJ35" s="303"/>
      <c r="AK35" s="303"/>
      <c r="AL35" s="303"/>
      <c r="AM35" s="303"/>
      <c r="AN35" s="537"/>
      <c r="AO35" s="305"/>
      <c r="AP35" s="537"/>
      <c r="AQ35" s="305"/>
      <c r="AR35" s="537"/>
      <c r="AS35" s="305"/>
      <c r="AT35" s="305"/>
      <c r="AU35" s="305"/>
      <c r="AV35" s="259"/>
      <c r="AW35" s="259"/>
    </row>
    <row r="36" spans="1:49">
      <c r="J36" s="272">
        <f>SUM(J5:J32)/(COUNT(J5:J32)-COUNTIF(J5:J32,0))</f>
        <v>67.850793650793648</v>
      </c>
      <c r="U36" s="70">
        <f>SUM(U5:U35)</f>
        <v>88</v>
      </c>
      <c r="V36" s="62">
        <f>SUM(V5:V35)</f>
        <v>6714</v>
      </c>
      <c r="AE36" s="71" t="s">
        <v>379</v>
      </c>
      <c r="AG36" s="329"/>
      <c r="AH36" s="62">
        <f>SUM(AH5:AH35)</f>
        <v>0</v>
      </c>
      <c r="AL36" s="62">
        <f>SUM(AL5:AL35)</f>
        <v>88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49">
      <c r="V37" s="70">
        <f>V36/U36</f>
        <v>76.295454545454547</v>
      </c>
      <c r="AH37" s="62">
        <f>AF37+AA37</f>
        <v>0</v>
      </c>
      <c r="AI37" s="306">
        <f>SUM(AI5:AI35)</f>
        <v>6714</v>
      </c>
      <c r="AP37" s="298"/>
      <c r="AQ37" s="298"/>
      <c r="AR37" s="298"/>
      <c r="AS37" s="298"/>
      <c r="AT37" s="298"/>
      <c r="AU37" s="298"/>
      <c r="AV37" s="298"/>
      <c r="AW37" s="298"/>
    </row>
    <row r="38" spans="1:49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49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49">
      <c r="AP40" s="298"/>
      <c r="AQ40" s="298"/>
      <c r="AR40" s="298"/>
      <c r="AS40" s="298"/>
      <c r="AT40" s="298"/>
      <c r="AU40" s="298"/>
      <c r="AV40" s="298"/>
      <c r="AW40" s="298"/>
    </row>
    <row r="41" spans="1:49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49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M32" sqref="M3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8153153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44592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626864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7000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5181</v>
      </c>
      <c r="U5" s="393">
        <f>[2]WATER!U36</f>
        <v>0</v>
      </c>
      <c r="V5" s="393">
        <f>[2]WATER!V36</f>
        <v>478</v>
      </c>
      <c r="W5" s="393">
        <f>[2]WATER!W36</f>
        <v>0</v>
      </c>
      <c r="X5" s="393">
        <f>[2]WATER!X36</f>
        <v>154709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239.96</v>
      </c>
      <c r="AF5" s="393">
        <f>[2]WATER!AF36</f>
        <v>0</v>
      </c>
      <c r="AG5" s="393">
        <f>[2]WATER!AG36</f>
        <v>2218.1999999999998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44592</v>
      </c>
      <c r="AS5" s="393">
        <f>[2]WATER!AS36</f>
        <v>0.9</v>
      </c>
      <c r="AT5" s="393">
        <f>[2]WATER!AT36</f>
        <v>171</v>
      </c>
      <c r="AU5" s="393">
        <f>[2]WATER!AU36</f>
        <v>1.1000000000000001</v>
      </c>
      <c r="AV5" s="393">
        <f>[2]WATER!AV36</f>
        <v>103</v>
      </c>
      <c r="AW5" s="393">
        <f>[2]WATER!AW36</f>
        <v>2.9</v>
      </c>
      <c r="AX5" s="393">
        <f>[2]WATER!AX36</f>
        <v>95</v>
      </c>
      <c r="AY5" s="393">
        <f>[2]WATER!AY36</f>
        <v>153.9</v>
      </c>
      <c r="AZ5" s="393">
        <f>[2]WATER!AZ36</f>
        <v>113.30000000000001</v>
      </c>
      <c r="BA5" s="393">
        <f>[2]WATER!BA36</f>
        <v>275.5</v>
      </c>
      <c r="BB5" s="393">
        <f>[2]WATER!BB36</f>
        <v>0</v>
      </c>
      <c r="BC5" s="393">
        <f>[2]WATER!BC36</f>
        <v>5.5</v>
      </c>
      <c r="BD5" s="393">
        <f>[2]WATER!BD36</f>
        <v>-8.6999999999999886</v>
      </c>
      <c r="BE5" s="393">
        <f>[2]WATER!BE36</f>
        <v>-3.1999999999999886</v>
      </c>
      <c r="BF5" s="393">
        <f>[2]WATER!BF36</f>
        <v>3.1999999999999886</v>
      </c>
      <c r="BG5" s="393">
        <f>[2]WATER!BG36</f>
        <v>-3.1999999999999886</v>
      </c>
    </row>
    <row r="6" spans="1:65" ht="15.75" thickBot="1">
      <c r="A6" s="6">
        <f>ELEC!C4</f>
        <v>44593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267.85714285714283</v>
      </c>
      <c r="F6" s="401"/>
      <c r="G6" s="5">
        <f>G5</f>
        <v>626864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7001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154709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14.5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44593</v>
      </c>
      <c r="AS6" s="407">
        <f>AS5</f>
        <v>0.9</v>
      </c>
      <c r="AT6" s="201">
        <f>AT5</f>
        <v>171</v>
      </c>
      <c r="AU6" s="408">
        <f>AU5</f>
        <v>1.1000000000000001</v>
      </c>
      <c r="AV6" s="201">
        <v>102</v>
      </c>
      <c r="AW6" s="5">
        <v>2.9</v>
      </c>
      <c r="AX6" s="201">
        <v>93</v>
      </c>
      <c r="AY6" s="409">
        <f>AS6*AT6</f>
        <v>153.9</v>
      </c>
      <c r="AZ6" s="409">
        <f>AU6*AV6</f>
        <v>112.2</v>
      </c>
      <c r="BA6" s="409">
        <f>AW6*AX6</f>
        <v>269.7</v>
      </c>
      <c r="BB6" s="21">
        <f>AY6-AY5</f>
        <v>0</v>
      </c>
      <c r="BC6" s="21">
        <f>AZ6-AZ5</f>
        <v>-1.1000000000000085</v>
      </c>
      <c r="BD6" s="21">
        <f>BA6-BA5</f>
        <v>-5.8000000000000114</v>
      </c>
      <c r="BE6" s="24">
        <f>SUM(BB6:BD6)</f>
        <v>-6.9000000000000199</v>
      </c>
      <c r="BF6" s="96">
        <f>SUM(I6-BE6)</f>
        <v>6.9000000000000199</v>
      </c>
      <c r="BG6" s="82">
        <f t="shared" ref="BG6:BG33" si="4">SUM(I6-BF6)</f>
        <v>-6.9000000000000199</v>
      </c>
      <c r="BI6" s="17"/>
      <c r="BJ6" s="17"/>
      <c r="BK6" s="17"/>
      <c r="BL6" s="17"/>
      <c r="BM6" s="17"/>
    </row>
    <row r="7" spans="1:65" ht="15.75" thickBot="1">
      <c r="A7" s="6">
        <f>ELEC!C5</f>
        <v>44594</v>
      </c>
      <c r="B7" s="5">
        <f t="shared" ref="B7:B33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267.85714285714283</v>
      </c>
      <c r="F7" s="401"/>
      <c r="G7" s="5">
        <f t="shared" ref="G7:G33" si="8">G6</f>
        <v>626864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7001</v>
      </c>
      <c r="L7" s="83">
        <f>K7-K6</f>
        <v>0</v>
      </c>
      <c r="M7" s="393">
        <f t="shared" ref="M7:M33" si="11">M6</f>
        <v>457.44</v>
      </c>
      <c r="N7" s="482">
        <f t="shared" si="1"/>
        <v>0</v>
      </c>
      <c r="O7" s="393">
        <f t="shared" ref="O7:O33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3" si="13">T6</f>
        <v>5181</v>
      </c>
      <c r="U7" s="5">
        <f t="shared" si="3"/>
        <v>0</v>
      </c>
      <c r="V7" s="5">
        <f t="shared" ref="V7:V33" si="14">V6</f>
        <v>478</v>
      </c>
      <c r="W7" s="309">
        <f t="shared" ref="W7:W33" si="15">+V7-V6</f>
        <v>0</v>
      </c>
      <c r="X7" s="5">
        <f t="shared" ref="X7:X33" si="16">X6</f>
        <v>154709</v>
      </c>
      <c r="Y7" s="309">
        <f>SUM(X7-X6)</f>
        <v>0</v>
      </c>
      <c r="Z7" s="5">
        <f t="shared" ref="Z7:Z33" si="17">Z6</f>
        <v>99258</v>
      </c>
      <c r="AA7" s="83">
        <f t="shared" ref="AA7:AA33" si="18">Z7-Z6</f>
        <v>0</v>
      </c>
      <c r="AB7" s="5">
        <f t="shared" ref="AB7:AB33" si="19">AB6</f>
        <v>238</v>
      </c>
      <c r="AC7" s="5">
        <f t="shared" ref="AC7:AC33" si="20">AC6</f>
        <v>790</v>
      </c>
      <c r="AD7" s="83">
        <f>AC7-AC6</f>
        <v>0</v>
      </c>
      <c r="AE7" s="5">
        <f t="shared" ref="AE7:AE33" si="21">AE6</f>
        <v>239.96</v>
      </c>
      <c r="AF7" s="83">
        <f t="shared" ref="AF7:AF32" si="22">AE7-AE6</f>
        <v>0</v>
      </c>
      <c r="AG7" s="5">
        <f t="shared" ref="AG7:AG33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44594</v>
      </c>
      <c r="AS7" s="407">
        <f t="shared" ref="AS7:AT21" si="29">AS6</f>
        <v>0.9</v>
      </c>
      <c r="AT7" s="201">
        <f t="shared" si="29"/>
        <v>171</v>
      </c>
      <c r="AU7" s="408">
        <f>AU6</f>
        <v>1.1000000000000001</v>
      </c>
      <c r="AV7" s="201">
        <v>101</v>
      </c>
      <c r="AW7" s="5">
        <v>2.9</v>
      </c>
      <c r="AX7" s="201">
        <v>91</v>
      </c>
      <c r="AY7" s="409">
        <f>AS7*AT7</f>
        <v>153.9</v>
      </c>
      <c r="AZ7" s="409">
        <f>AU7*AV7</f>
        <v>111.10000000000001</v>
      </c>
      <c r="BA7" s="409">
        <f>AW7*AX7</f>
        <v>263.89999999999998</v>
      </c>
      <c r="BB7" s="21">
        <f>AY7-AY6</f>
        <v>0</v>
      </c>
      <c r="BC7" s="21">
        <f t="shared" ref="BC7:BD21" si="30">AZ7-AZ6</f>
        <v>-1.0999999999999943</v>
      </c>
      <c r="BD7" s="21">
        <f t="shared" si="30"/>
        <v>-5.8000000000000114</v>
      </c>
      <c r="BE7" s="24">
        <f t="shared" ref="BE7:BE33" si="31">SUM(BB7:BD7)</f>
        <v>-6.9000000000000057</v>
      </c>
      <c r="BF7" s="96">
        <f t="shared" ref="BF7:BF33" si="32">SUM(I7-BE7)</f>
        <v>6.9000000000000057</v>
      </c>
      <c r="BG7" s="82">
        <f t="shared" si="4"/>
        <v>-6.9000000000000057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44595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267.85714285714283</v>
      </c>
      <c r="F8" s="401"/>
      <c r="G8" s="5">
        <f t="shared" si="8"/>
        <v>626864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7001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154709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44595</v>
      </c>
      <c r="AS8" s="407">
        <f t="shared" si="29"/>
        <v>0.9</v>
      </c>
      <c r="AT8" s="201">
        <f t="shared" ref="AT8:AT21" si="35">AT7</f>
        <v>171</v>
      </c>
      <c r="AU8" s="408">
        <v>1.1000000000000001</v>
      </c>
      <c r="AV8" s="201">
        <v>100</v>
      </c>
      <c r="AW8" s="5">
        <v>2.9</v>
      </c>
      <c r="AX8" s="201">
        <v>89</v>
      </c>
      <c r="AY8" s="409">
        <f t="shared" ref="AY8:AY33" si="36">AS8*AT8</f>
        <v>153.9</v>
      </c>
      <c r="AZ8" s="409">
        <f t="shared" ref="AZ8:AZ33" si="37">AU8*AV8</f>
        <v>110.00000000000001</v>
      </c>
      <c r="BA8" s="409">
        <f t="shared" ref="BA8:BA33" si="38">AW8*AX8</f>
        <v>258.09999999999997</v>
      </c>
      <c r="BB8" s="21">
        <f t="shared" ref="BB8:BB19" si="39">AY8-AY7</f>
        <v>0</v>
      </c>
      <c r="BC8" s="21">
        <f t="shared" si="30"/>
        <v>-1.0999999999999943</v>
      </c>
      <c r="BD8" s="21">
        <f t="shared" si="30"/>
        <v>-5.8000000000000114</v>
      </c>
      <c r="BE8" s="24">
        <f t="shared" si="31"/>
        <v>-6.9000000000000057</v>
      </c>
      <c r="BF8" s="96">
        <f t="shared" si="32"/>
        <v>6.9000000000000057</v>
      </c>
      <c r="BG8" s="82">
        <f t="shared" si="4"/>
        <v>-6.9000000000000057</v>
      </c>
      <c r="BI8" s="86"/>
      <c r="BJ8" s="17"/>
      <c r="BK8" s="17"/>
    </row>
    <row r="9" spans="1:65" ht="15.75" thickBot="1">
      <c r="A9" s="6">
        <f>ELEC!C7</f>
        <v>44596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267.85714285714283</v>
      </c>
      <c r="F9" s="401"/>
      <c r="G9" s="5">
        <f t="shared" si="8"/>
        <v>626864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7001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154709</v>
      </c>
      <c r="Y9" s="309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44596</v>
      </c>
      <c r="AS9" s="407">
        <f t="shared" si="29"/>
        <v>0.9</v>
      </c>
      <c r="AT9" s="201">
        <f t="shared" si="35"/>
        <v>171</v>
      </c>
      <c r="AU9" s="408">
        <f t="shared" ref="AU9:AU33" si="42">AU8</f>
        <v>1.1000000000000001</v>
      </c>
      <c r="AV9" s="201">
        <f t="shared" ref="AV9:AV33" si="43">AV8</f>
        <v>100</v>
      </c>
      <c r="AW9" s="5">
        <v>2.9</v>
      </c>
      <c r="AX9" s="201">
        <f t="shared" ref="AX9:AX33" si="44">AX8</f>
        <v>89</v>
      </c>
      <c r="AY9" s="409">
        <f t="shared" si="36"/>
        <v>153.9</v>
      </c>
      <c r="AZ9" s="409">
        <f t="shared" si="37"/>
        <v>110.00000000000001</v>
      </c>
      <c r="BA9" s="409">
        <f t="shared" si="38"/>
        <v>258.09999999999997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44597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267.85714285714283</v>
      </c>
      <c r="F10" s="401"/>
      <c r="G10" s="5">
        <f t="shared" si="8"/>
        <v>626864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7001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154709</v>
      </c>
      <c r="Y10" s="309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44597</v>
      </c>
      <c r="AS10" s="407">
        <f t="shared" si="29"/>
        <v>0.9</v>
      </c>
      <c r="AT10" s="201">
        <f t="shared" si="35"/>
        <v>171</v>
      </c>
      <c r="AU10" s="408">
        <f t="shared" si="42"/>
        <v>1.1000000000000001</v>
      </c>
      <c r="AV10" s="201">
        <f t="shared" si="43"/>
        <v>100</v>
      </c>
      <c r="AW10" s="5">
        <v>2.9</v>
      </c>
      <c r="AX10" s="201">
        <f t="shared" si="44"/>
        <v>89</v>
      </c>
      <c r="AY10" s="409">
        <f t="shared" si="36"/>
        <v>153.9</v>
      </c>
      <c r="AZ10" s="409">
        <f t="shared" si="37"/>
        <v>110.00000000000001</v>
      </c>
      <c r="BA10" s="409">
        <f t="shared" si="38"/>
        <v>258.09999999999997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44598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267.85714285714283</v>
      </c>
      <c r="F11" s="401"/>
      <c r="G11" s="5">
        <f t="shared" si="8"/>
        <v>626864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7002</v>
      </c>
      <c r="L11" s="83">
        <f t="shared" si="40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154709</v>
      </c>
      <c r="Y11" s="309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44598</v>
      </c>
      <c r="AS11" s="407">
        <f t="shared" si="29"/>
        <v>0.9</v>
      </c>
      <c r="AT11" s="201">
        <f t="shared" si="35"/>
        <v>171</v>
      </c>
      <c r="AU11" s="408">
        <f t="shared" si="42"/>
        <v>1.1000000000000001</v>
      </c>
      <c r="AV11" s="201">
        <f t="shared" si="43"/>
        <v>100</v>
      </c>
      <c r="AW11" s="5">
        <v>2.9</v>
      </c>
      <c r="AX11" s="201">
        <v>86</v>
      </c>
      <c r="AY11" s="409">
        <f t="shared" si="36"/>
        <v>153.9</v>
      </c>
      <c r="AZ11" s="409">
        <f t="shared" si="37"/>
        <v>110.00000000000001</v>
      </c>
      <c r="BA11" s="409">
        <f t="shared" si="38"/>
        <v>249.4</v>
      </c>
      <c r="BB11" s="21">
        <f t="shared" si="39"/>
        <v>0</v>
      </c>
      <c r="BC11" s="21">
        <f t="shared" si="30"/>
        <v>0</v>
      </c>
      <c r="BD11" s="21">
        <f t="shared" si="30"/>
        <v>-8.6999999999999602</v>
      </c>
      <c r="BE11" s="24">
        <f t="shared" si="31"/>
        <v>-8.6999999999999602</v>
      </c>
      <c r="BF11" s="96">
        <f t="shared" si="32"/>
        <v>8.6999999999999602</v>
      </c>
      <c r="BG11" s="82">
        <f t="shared" si="4"/>
        <v>-8.6999999999999602</v>
      </c>
    </row>
    <row r="12" spans="1:65" ht="15.75" thickBot="1">
      <c r="A12" s="6">
        <f>ELEC!C10</f>
        <v>44599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267.85714285714283</v>
      </c>
      <c r="F12" s="401"/>
      <c r="G12" s="5">
        <f t="shared" si="8"/>
        <v>626864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7003</v>
      </c>
      <c r="L12" s="83">
        <f t="shared" si="40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154709</v>
      </c>
      <c r="Y12" s="309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44599</v>
      </c>
      <c r="AS12" s="407">
        <f t="shared" si="29"/>
        <v>0.9</v>
      </c>
      <c r="AT12" s="201">
        <f t="shared" si="35"/>
        <v>171</v>
      </c>
      <c r="AU12" s="408">
        <f t="shared" si="42"/>
        <v>1.1000000000000001</v>
      </c>
      <c r="AV12" s="201">
        <v>99</v>
      </c>
      <c r="AW12" s="5">
        <v>2.9</v>
      </c>
      <c r="AX12" s="201">
        <v>84</v>
      </c>
      <c r="AY12" s="409">
        <f t="shared" si="36"/>
        <v>153.9</v>
      </c>
      <c r="AZ12" s="409">
        <f t="shared" si="37"/>
        <v>108.9</v>
      </c>
      <c r="BA12" s="409">
        <f t="shared" si="38"/>
        <v>243.6</v>
      </c>
      <c r="BB12" s="21">
        <f t="shared" si="39"/>
        <v>0</v>
      </c>
      <c r="BC12" s="21">
        <f t="shared" si="30"/>
        <v>-1.1000000000000085</v>
      </c>
      <c r="BD12" s="21">
        <f t="shared" si="30"/>
        <v>-5.8000000000000114</v>
      </c>
      <c r="BE12" s="24">
        <f t="shared" si="31"/>
        <v>-6.9000000000000199</v>
      </c>
      <c r="BF12" s="96">
        <f t="shared" si="32"/>
        <v>6.9000000000000199</v>
      </c>
      <c r="BG12" s="82">
        <f t="shared" si="4"/>
        <v>-6.9000000000000199</v>
      </c>
    </row>
    <row r="13" spans="1:65" ht="15.75" thickBot="1">
      <c r="A13" s="6">
        <f>ELEC!C11</f>
        <v>44600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267.85714285714283</v>
      </c>
      <c r="F13" s="401"/>
      <c r="G13" s="5">
        <f t="shared" si="8"/>
        <v>626864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7003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154709</v>
      </c>
      <c r="Y13" s="309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44600</v>
      </c>
      <c r="AS13" s="407">
        <f t="shared" si="29"/>
        <v>0.9</v>
      </c>
      <c r="AT13" s="201">
        <f t="shared" si="35"/>
        <v>171</v>
      </c>
      <c r="AU13" s="408">
        <f t="shared" si="42"/>
        <v>1.1000000000000001</v>
      </c>
      <c r="AV13" s="201">
        <f t="shared" si="43"/>
        <v>99</v>
      </c>
      <c r="AW13" s="5">
        <v>2.9</v>
      </c>
      <c r="AX13" s="201">
        <f t="shared" si="44"/>
        <v>84</v>
      </c>
      <c r="AY13" s="409">
        <f t="shared" si="36"/>
        <v>153.9</v>
      </c>
      <c r="AZ13" s="409">
        <f t="shared" si="37"/>
        <v>108.9</v>
      </c>
      <c r="BA13" s="409">
        <f t="shared" si="38"/>
        <v>243.6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44601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267.85714285714283</v>
      </c>
      <c r="F14" s="401"/>
      <c r="G14" s="5">
        <f t="shared" si="8"/>
        <v>626864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7003</v>
      </c>
      <c r="L14" s="83">
        <f t="shared" si="40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154709</v>
      </c>
      <c r="Y14" s="309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44601</v>
      </c>
      <c r="AS14" s="407">
        <f t="shared" si="29"/>
        <v>0.9</v>
      </c>
      <c r="AT14" s="201">
        <f t="shared" si="35"/>
        <v>171</v>
      </c>
      <c r="AU14" s="408">
        <f t="shared" si="42"/>
        <v>1.1000000000000001</v>
      </c>
      <c r="AV14" s="201">
        <f t="shared" si="43"/>
        <v>99</v>
      </c>
      <c r="AW14" s="5">
        <v>2.9</v>
      </c>
      <c r="AX14" s="201">
        <v>82</v>
      </c>
      <c r="AY14" s="409">
        <f t="shared" si="36"/>
        <v>153.9</v>
      </c>
      <c r="AZ14" s="409">
        <f t="shared" si="37"/>
        <v>108.9</v>
      </c>
      <c r="BA14" s="409">
        <f t="shared" si="38"/>
        <v>237.79999999999998</v>
      </c>
      <c r="BB14" s="21">
        <f t="shared" si="39"/>
        <v>0</v>
      </c>
      <c r="BC14" s="21">
        <f t="shared" si="30"/>
        <v>0</v>
      </c>
      <c r="BD14" s="21">
        <f t="shared" si="30"/>
        <v>-5.8000000000000114</v>
      </c>
      <c r="BE14" s="24">
        <f t="shared" si="31"/>
        <v>-5.8000000000000114</v>
      </c>
      <c r="BF14" s="96">
        <f t="shared" si="32"/>
        <v>5.8000000000000114</v>
      </c>
      <c r="BG14" s="82">
        <f t="shared" si="4"/>
        <v>-5.8000000000000114</v>
      </c>
    </row>
    <row r="15" spans="1:65" ht="16.5" customHeight="1" thickBot="1">
      <c r="A15" s="6">
        <f>ELEC!C13</f>
        <v>44602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267.85714285714283</v>
      </c>
      <c r="F15" s="401"/>
      <c r="G15" s="5">
        <f t="shared" si="8"/>
        <v>626864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7003</v>
      </c>
      <c r="L15" s="83">
        <f t="shared" si="40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154709</v>
      </c>
      <c r="Y15" s="309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44602</v>
      </c>
      <c r="AS15" s="407">
        <f t="shared" si="29"/>
        <v>0.9</v>
      </c>
      <c r="AT15" s="201">
        <f t="shared" si="35"/>
        <v>171</v>
      </c>
      <c r="AU15" s="408">
        <f t="shared" si="42"/>
        <v>1.1000000000000001</v>
      </c>
      <c r="AV15" s="201">
        <v>98</v>
      </c>
      <c r="AW15" s="5">
        <v>2.9</v>
      </c>
      <c r="AX15" s="201">
        <v>80</v>
      </c>
      <c r="AY15" s="409">
        <f t="shared" si="36"/>
        <v>153.9</v>
      </c>
      <c r="AZ15" s="409">
        <f t="shared" si="37"/>
        <v>107.80000000000001</v>
      </c>
      <c r="BA15" s="409">
        <f t="shared" si="38"/>
        <v>232</v>
      </c>
      <c r="BB15" s="21">
        <f t="shared" si="39"/>
        <v>0</v>
      </c>
      <c r="BC15" s="21">
        <f t="shared" si="30"/>
        <v>-1.0999999999999943</v>
      </c>
      <c r="BD15" s="21">
        <f t="shared" si="30"/>
        <v>-5.7999999999999829</v>
      </c>
      <c r="BE15" s="24">
        <f t="shared" si="31"/>
        <v>-6.8999999999999773</v>
      </c>
      <c r="BF15" s="96">
        <f t="shared" si="32"/>
        <v>6.8999999999999773</v>
      </c>
      <c r="BG15" s="82">
        <f t="shared" si="4"/>
        <v>-6.8999999999999773</v>
      </c>
    </row>
    <row r="16" spans="1:65" ht="15.75" thickBot="1">
      <c r="A16" s="6">
        <f>ELEC!C14</f>
        <v>44603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267.85714285714283</v>
      </c>
      <c r="F16" s="401"/>
      <c r="G16" s="5">
        <f t="shared" si="8"/>
        <v>626864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7003</v>
      </c>
      <c r="L16" s="263">
        <f t="shared" si="40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154709</v>
      </c>
      <c r="Y16" s="309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44603</v>
      </c>
      <c r="AS16" s="407">
        <f t="shared" si="29"/>
        <v>0.9</v>
      </c>
      <c r="AT16" s="201">
        <f t="shared" si="35"/>
        <v>171</v>
      </c>
      <c r="AU16" s="408">
        <f t="shared" si="42"/>
        <v>1.1000000000000001</v>
      </c>
      <c r="AV16" s="201">
        <f t="shared" si="43"/>
        <v>98</v>
      </c>
      <c r="AW16" s="5">
        <v>2.9</v>
      </c>
      <c r="AX16" s="201">
        <f t="shared" si="44"/>
        <v>80</v>
      </c>
      <c r="AY16" s="409">
        <f t="shared" si="36"/>
        <v>153.9</v>
      </c>
      <c r="AZ16" s="409">
        <f t="shared" si="37"/>
        <v>107.80000000000001</v>
      </c>
      <c r="BA16" s="409">
        <f t="shared" si="38"/>
        <v>232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44604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267.85714285714283</v>
      </c>
      <c r="F17" s="401"/>
      <c r="G17" s="5">
        <f t="shared" si="8"/>
        <v>626864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7003</v>
      </c>
      <c r="L17" s="83">
        <f t="shared" si="40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154709</v>
      </c>
      <c r="Y17" s="309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44604</v>
      </c>
      <c r="AS17" s="407">
        <f t="shared" si="29"/>
        <v>0.9</v>
      </c>
      <c r="AT17" s="201">
        <f t="shared" si="35"/>
        <v>171</v>
      </c>
      <c r="AU17" s="408">
        <f t="shared" si="42"/>
        <v>1.1000000000000001</v>
      </c>
      <c r="AV17" s="201">
        <f t="shared" si="43"/>
        <v>98</v>
      </c>
      <c r="AW17" s="5">
        <v>2.9</v>
      </c>
      <c r="AX17" s="201">
        <f t="shared" si="44"/>
        <v>80</v>
      </c>
      <c r="AY17" s="409">
        <f t="shared" si="36"/>
        <v>153.9</v>
      </c>
      <c r="AZ17" s="409">
        <f t="shared" si="37"/>
        <v>107.80000000000001</v>
      </c>
      <c r="BA17" s="409">
        <f t="shared" si="38"/>
        <v>232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44605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267.85714285714283</v>
      </c>
      <c r="F18" s="401"/>
      <c r="G18" s="5">
        <f t="shared" si="8"/>
        <v>626864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7003</v>
      </c>
      <c r="L18" s="83">
        <f t="shared" si="40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v>154800</v>
      </c>
      <c r="Y18" s="309">
        <f t="shared" si="41"/>
        <v>91</v>
      </c>
      <c r="Z18" s="5">
        <f t="shared" si="17"/>
        <v>99258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91</v>
      </c>
      <c r="AL18" s="312">
        <f t="shared" si="27"/>
        <v>0</v>
      </c>
      <c r="AM18" s="312">
        <f>'General information '!D17</f>
        <v>14.5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44605</v>
      </c>
      <c r="AS18" s="407">
        <f t="shared" si="29"/>
        <v>0.9</v>
      </c>
      <c r="AT18" s="201">
        <v>80</v>
      </c>
      <c r="AU18" s="408">
        <f t="shared" si="42"/>
        <v>1.1000000000000001</v>
      </c>
      <c r="AV18" s="201">
        <f t="shared" si="43"/>
        <v>98</v>
      </c>
      <c r="AW18" s="5">
        <v>2.9</v>
      </c>
      <c r="AX18" s="201">
        <v>102</v>
      </c>
      <c r="AY18" s="409">
        <f t="shared" si="36"/>
        <v>72</v>
      </c>
      <c r="AZ18" s="409">
        <f t="shared" si="37"/>
        <v>107.80000000000001</v>
      </c>
      <c r="BA18" s="409">
        <f t="shared" si="38"/>
        <v>295.8</v>
      </c>
      <c r="BB18" s="21">
        <f t="shared" si="39"/>
        <v>-81.900000000000006</v>
      </c>
      <c r="BC18" s="21">
        <f t="shared" si="30"/>
        <v>0</v>
      </c>
      <c r="BD18" s="21">
        <f t="shared" si="30"/>
        <v>63.800000000000011</v>
      </c>
      <c r="BE18" s="24">
        <f t="shared" si="31"/>
        <v>-18.099999999999994</v>
      </c>
      <c r="BF18" s="96">
        <f t="shared" si="32"/>
        <v>18.099999999999994</v>
      </c>
      <c r="BG18" s="82">
        <f t="shared" si="4"/>
        <v>-18.099999999999994</v>
      </c>
    </row>
    <row r="19" spans="1:61" ht="15.75" thickBot="1">
      <c r="A19" s="6">
        <f>ELEC!C17</f>
        <v>44606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267.85714285714283</v>
      </c>
      <c r="F19" s="401"/>
      <c r="G19" s="5">
        <f t="shared" si="8"/>
        <v>626864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7003</v>
      </c>
      <c r="L19" s="83">
        <f t="shared" si="40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154800</v>
      </c>
      <c r="Y19" s="309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44606</v>
      </c>
      <c r="AS19" s="407">
        <f t="shared" si="29"/>
        <v>0.9</v>
      </c>
      <c r="AT19" s="201">
        <f t="shared" si="35"/>
        <v>80</v>
      </c>
      <c r="AU19" s="408">
        <f t="shared" si="42"/>
        <v>1.1000000000000001</v>
      </c>
      <c r="AV19" s="201">
        <v>97</v>
      </c>
      <c r="AW19" s="5">
        <v>2.9</v>
      </c>
      <c r="AX19" s="201">
        <v>101</v>
      </c>
      <c r="AY19" s="409">
        <f>AS19*AT19</f>
        <v>72</v>
      </c>
      <c r="AZ19" s="409">
        <f>AU19*AV19</f>
        <v>106.7</v>
      </c>
      <c r="BA19" s="409">
        <f>AW19*AX19</f>
        <v>292.89999999999998</v>
      </c>
      <c r="BB19" s="21">
        <f t="shared" si="39"/>
        <v>0</v>
      </c>
      <c r="BC19" s="21">
        <f t="shared" ref="BB19:BD20" si="48">AZ19-AZ18</f>
        <v>-1.1000000000000085</v>
      </c>
      <c r="BD19" s="21">
        <f t="shared" si="48"/>
        <v>-2.9000000000000341</v>
      </c>
      <c r="BE19" s="24">
        <f>SUM(BB19:BD19)</f>
        <v>-4.0000000000000426</v>
      </c>
      <c r="BF19" s="96">
        <f t="shared" si="32"/>
        <v>4.0000000000000426</v>
      </c>
      <c r="BG19" s="82">
        <f t="shared" si="4"/>
        <v>-4.0000000000000426</v>
      </c>
    </row>
    <row r="20" spans="1:61" ht="15.75" thickBot="1">
      <c r="A20" s="6">
        <f>ELEC!C18</f>
        <v>44607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267.85714285714283</v>
      </c>
      <c r="F20" s="401"/>
      <c r="G20" s="5">
        <v>627043</v>
      </c>
      <c r="H20" s="5">
        <f t="shared" si="9"/>
        <v>179</v>
      </c>
      <c r="I20" s="5">
        <f t="shared" si="10"/>
        <v>179</v>
      </c>
      <c r="J20" s="319">
        <f t="shared" si="0"/>
        <v>1.4964086193136472</v>
      </c>
      <c r="K20" s="5">
        <f>'Swimming Pool quality check '!H20</f>
        <v>7003</v>
      </c>
      <c r="L20" s="83">
        <f t="shared" si="40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154800</v>
      </c>
      <c r="Y20" s="309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15.5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44607</v>
      </c>
      <c r="AS20" s="407">
        <f t="shared" si="29"/>
        <v>0.9</v>
      </c>
      <c r="AT20" s="201">
        <v>148</v>
      </c>
      <c r="AU20" s="408">
        <f t="shared" si="42"/>
        <v>1.1000000000000001</v>
      </c>
      <c r="AV20" s="201">
        <f t="shared" si="43"/>
        <v>97</v>
      </c>
      <c r="AW20" s="5">
        <v>2.9</v>
      </c>
      <c r="AX20" s="201">
        <v>100</v>
      </c>
      <c r="AY20" s="409">
        <f>AS20*AT20</f>
        <v>133.20000000000002</v>
      </c>
      <c r="AZ20" s="409">
        <f>AU20*AV20</f>
        <v>106.7</v>
      </c>
      <c r="BA20" s="409">
        <f>AW20*AX20</f>
        <v>290</v>
      </c>
      <c r="BB20" s="21">
        <f t="shared" si="48"/>
        <v>61.200000000000017</v>
      </c>
      <c r="BC20" s="21">
        <f t="shared" si="48"/>
        <v>0</v>
      </c>
      <c r="BD20" s="21">
        <f t="shared" si="48"/>
        <v>-2.8999999999999773</v>
      </c>
      <c r="BE20" s="24">
        <f>SUM(BB20:BD20)</f>
        <v>58.30000000000004</v>
      </c>
      <c r="BF20" s="96">
        <f t="shared" si="32"/>
        <v>120.69999999999996</v>
      </c>
      <c r="BG20" s="82">
        <f t="shared" si="4"/>
        <v>58.30000000000004</v>
      </c>
    </row>
    <row r="21" spans="1:61" ht="15.75" thickBot="1">
      <c r="A21" s="6">
        <f>ELEC!C19</f>
        <v>44608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267.85714285714283</v>
      </c>
      <c r="F21" s="312"/>
      <c r="G21" s="5">
        <f t="shared" si="8"/>
        <v>627043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7003</v>
      </c>
      <c r="L21" s="83">
        <f t="shared" si="40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154800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15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44608</v>
      </c>
      <c r="AS21" s="407">
        <f t="shared" si="29"/>
        <v>0.9</v>
      </c>
      <c r="AT21" s="201">
        <f t="shared" si="35"/>
        <v>148</v>
      </c>
      <c r="AU21" s="408">
        <f t="shared" si="42"/>
        <v>1.1000000000000001</v>
      </c>
      <c r="AV21" s="201">
        <v>96</v>
      </c>
      <c r="AW21" s="5">
        <v>2.9</v>
      </c>
      <c r="AX21" s="201">
        <v>99</v>
      </c>
      <c r="AY21" s="409">
        <f>AS21*AT21</f>
        <v>133.20000000000002</v>
      </c>
      <c r="AZ21" s="409">
        <f>AU21*AV21</f>
        <v>105.60000000000001</v>
      </c>
      <c r="BA21" s="409">
        <f>AW21*AX21</f>
        <v>287.09999999999997</v>
      </c>
      <c r="BB21" s="21">
        <f t="shared" ref="BB21:BD33" si="49">AY21-AY20</f>
        <v>0</v>
      </c>
      <c r="BC21" s="21">
        <f t="shared" si="30"/>
        <v>-1.0999999999999943</v>
      </c>
      <c r="BD21" s="21">
        <f t="shared" si="30"/>
        <v>-2.9000000000000341</v>
      </c>
      <c r="BE21" s="24">
        <f t="shared" si="31"/>
        <v>-4.0000000000000284</v>
      </c>
      <c r="BF21" s="96">
        <f t="shared" si="32"/>
        <v>4.0000000000000284</v>
      </c>
      <c r="BG21" s="82">
        <f t="shared" si="4"/>
        <v>-4.0000000000000284</v>
      </c>
    </row>
    <row r="22" spans="1:61" ht="15.75" thickBot="1">
      <c r="A22" s="6">
        <f>ELEC!C20</f>
        <v>44609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267.85714285714283</v>
      </c>
      <c r="F22" s="312"/>
      <c r="G22" s="5">
        <f t="shared" si="8"/>
        <v>627043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7003</v>
      </c>
      <c r="L22" s="83">
        <f t="shared" si="40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154800</v>
      </c>
      <c r="Y22" s="309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15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44609</v>
      </c>
      <c r="AS22" s="407">
        <f t="shared" ref="AS22:AT33" si="50">AS21</f>
        <v>0.9</v>
      </c>
      <c r="AT22" s="201">
        <v>150</v>
      </c>
      <c r="AU22" s="408">
        <f t="shared" si="42"/>
        <v>1.1000000000000001</v>
      </c>
      <c r="AV22" s="201">
        <f t="shared" si="43"/>
        <v>96</v>
      </c>
      <c r="AW22" s="5">
        <v>2.9</v>
      </c>
      <c r="AX22" s="201">
        <v>98</v>
      </c>
      <c r="AY22" s="409">
        <f t="shared" si="36"/>
        <v>135</v>
      </c>
      <c r="AZ22" s="409">
        <f t="shared" si="37"/>
        <v>105.60000000000001</v>
      </c>
      <c r="BA22" s="409">
        <f t="shared" si="38"/>
        <v>284.2</v>
      </c>
      <c r="BB22" s="21">
        <f>AY22-AY21</f>
        <v>1.7999999999999829</v>
      </c>
      <c r="BC22" s="21">
        <f t="shared" si="49"/>
        <v>0</v>
      </c>
      <c r="BD22" s="21">
        <f t="shared" si="49"/>
        <v>-2.8999999999999773</v>
      </c>
      <c r="BE22" s="24">
        <f t="shared" si="31"/>
        <v>-1.0999999999999943</v>
      </c>
      <c r="BF22" s="96">
        <f t="shared" si="32"/>
        <v>1.0999999999999943</v>
      </c>
      <c r="BG22" s="82">
        <f t="shared" si="4"/>
        <v>-1.0999999999999943</v>
      </c>
    </row>
    <row r="23" spans="1:61" ht="15.75" thickBot="1">
      <c r="A23" s="6">
        <f>ELEC!C21</f>
        <v>44610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267.85714285714283</v>
      </c>
      <c r="F23" s="312"/>
      <c r="G23" s="5">
        <f t="shared" si="8"/>
        <v>627043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7003</v>
      </c>
      <c r="L23" s="263">
        <f t="shared" si="40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154800</v>
      </c>
      <c r="Y23" s="309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44610</v>
      </c>
      <c r="AS23" s="407">
        <f t="shared" si="50"/>
        <v>0.9</v>
      </c>
      <c r="AT23" s="201">
        <f t="shared" si="50"/>
        <v>150</v>
      </c>
      <c r="AU23" s="408">
        <f t="shared" si="42"/>
        <v>1.1000000000000001</v>
      </c>
      <c r="AV23" s="201">
        <f t="shared" si="43"/>
        <v>96</v>
      </c>
      <c r="AW23" s="5">
        <v>2.9</v>
      </c>
      <c r="AX23" s="201">
        <f t="shared" si="44"/>
        <v>98</v>
      </c>
      <c r="AY23" s="409">
        <f t="shared" si="36"/>
        <v>135</v>
      </c>
      <c r="AZ23" s="409">
        <f t="shared" si="37"/>
        <v>105.60000000000001</v>
      </c>
      <c r="BA23" s="409">
        <f t="shared" si="38"/>
        <v>284.2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44611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267.85714285714283</v>
      </c>
      <c r="F24" s="312"/>
      <c r="G24" s="5">
        <f t="shared" si="8"/>
        <v>627043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7003</v>
      </c>
      <c r="L24" s="263">
        <f t="shared" si="40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154800</v>
      </c>
      <c r="Y24" s="309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44611</v>
      </c>
      <c r="AS24" s="407">
        <f t="shared" si="50"/>
        <v>0.9</v>
      </c>
      <c r="AT24" s="201">
        <f t="shared" si="50"/>
        <v>150</v>
      </c>
      <c r="AU24" s="408">
        <f t="shared" si="42"/>
        <v>1.1000000000000001</v>
      </c>
      <c r="AV24" s="201">
        <f t="shared" si="43"/>
        <v>96</v>
      </c>
      <c r="AW24" s="5">
        <v>2.9</v>
      </c>
      <c r="AX24" s="201">
        <f t="shared" si="44"/>
        <v>98</v>
      </c>
      <c r="AY24" s="409">
        <f t="shared" si="36"/>
        <v>135</v>
      </c>
      <c r="AZ24" s="409">
        <f t="shared" si="37"/>
        <v>105.60000000000001</v>
      </c>
      <c r="BA24" s="409">
        <f t="shared" si="38"/>
        <v>284.2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44612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267.85714285714283</v>
      </c>
      <c r="F25" s="312"/>
      <c r="G25" s="5">
        <v>627124</v>
      </c>
      <c r="H25" s="5">
        <f t="shared" si="9"/>
        <v>81</v>
      </c>
      <c r="I25" s="5">
        <f t="shared" si="10"/>
        <v>81</v>
      </c>
      <c r="J25" s="319">
        <f t="shared" si="0"/>
        <v>3.3068783068783065</v>
      </c>
      <c r="K25" s="5">
        <f>'Swimming Pool quality check '!H25</f>
        <v>7013</v>
      </c>
      <c r="L25" s="263">
        <f t="shared" si="40"/>
        <v>10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154800</v>
      </c>
      <c r="Y25" s="309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-10</v>
      </c>
      <c r="AL25" s="312">
        <f t="shared" si="27"/>
        <v>0</v>
      </c>
      <c r="AM25" s="312">
        <f>'General information '!D24</f>
        <v>15.5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44612</v>
      </c>
      <c r="AS25" s="407">
        <f t="shared" si="50"/>
        <v>0.9</v>
      </c>
      <c r="AT25" s="201">
        <v>196</v>
      </c>
      <c r="AU25" s="408">
        <f t="shared" si="42"/>
        <v>1.1000000000000001</v>
      </c>
      <c r="AV25" s="201">
        <v>95</v>
      </c>
      <c r="AW25" s="5">
        <v>2.9</v>
      </c>
      <c r="AX25" s="201">
        <v>93</v>
      </c>
      <c r="AY25" s="409">
        <f t="shared" si="36"/>
        <v>176.4</v>
      </c>
      <c r="AZ25" s="409">
        <f t="shared" si="37"/>
        <v>104.50000000000001</v>
      </c>
      <c r="BA25" s="409">
        <f t="shared" si="38"/>
        <v>269.7</v>
      </c>
      <c r="BB25" s="21">
        <f t="shared" si="49"/>
        <v>41.400000000000006</v>
      </c>
      <c r="BC25" s="21">
        <f t="shared" si="49"/>
        <v>-1.0999999999999943</v>
      </c>
      <c r="BD25" s="21">
        <f t="shared" si="49"/>
        <v>-14.5</v>
      </c>
      <c r="BE25" s="24">
        <f t="shared" si="31"/>
        <v>25.800000000000011</v>
      </c>
      <c r="BF25" s="96">
        <f t="shared" si="32"/>
        <v>55.199999999999989</v>
      </c>
      <c r="BG25" s="82">
        <f t="shared" si="4"/>
        <v>25.800000000000011</v>
      </c>
    </row>
    <row r="26" spans="1:61" ht="15.75" thickBot="1">
      <c r="A26" s="6">
        <f>ELEC!C24</f>
        <v>44613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267.85714285714283</v>
      </c>
      <c r="F26" s="312"/>
      <c r="G26" s="5">
        <f t="shared" si="8"/>
        <v>627124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7015</v>
      </c>
      <c r="L26" s="263">
        <f t="shared" si="40"/>
        <v>2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v>154864</v>
      </c>
      <c r="Y26" s="309">
        <f t="shared" si="41"/>
        <v>64</v>
      </c>
      <c r="Z26" s="5">
        <v>99301</v>
      </c>
      <c r="AA26" s="83">
        <f t="shared" si="18"/>
        <v>43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43</v>
      </c>
      <c r="AK26" s="312">
        <f>SUM(Y26-L26)</f>
        <v>62</v>
      </c>
      <c r="AL26" s="312">
        <f>SUM(AJ26-W26)</f>
        <v>43</v>
      </c>
      <c r="AM26" s="312">
        <f>'General information '!D25</f>
        <v>16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44613</v>
      </c>
      <c r="AS26" s="407">
        <f t="shared" si="50"/>
        <v>0.9</v>
      </c>
      <c r="AT26" s="201">
        <v>101</v>
      </c>
      <c r="AU26" s="408">
        <f t="shared" si="42"/>
        <v>1.1000000000000001</v>
      </c>
      <c r="AV26" s="201">
        <v>125</v>
      </c>
      <c r="AW26" s="5">
        <v>2.9</v>
      </c>
      <c r="AX26" s="201">
        <v>108</v>
      </c>
      <c r="AY26" s="409">
        <f t="shared" si="36"/>
        <v>90.9</v>
      </c>
      <c r="AZ26" s="409">
        <f t="shared" si="37"/>
        <v>137.5</v>
      </c>
      <c r="BA26" s="409">
        <f t="shared" si="38"/>
        <v>313.2</v>
      </c>
      <c r="BB26" s="21">
        <f>AY26-AY25</f>
        <v>-85.5</v>
      </c>
      <c r="BC26" s="21">
        <f t="shared" si="49"/>
        <v>32.999999999999986</v>
      </c>
      <c r="BD26" s="21">
        <f t="shared" si="49"/>
        <v>43.5</v>
      </c>
      <c r="BE26" s="24">
        <f t="shared" si="31"/>
        <v>-9.0000000000000142</v>
      </c>
      <c r="BF26" s="96">
        <f t="shared" si="32"/>
        <v>9.0000000000000142</v>
      </c>
      <c r="BG26" s="82">
        <f t="shared" si="4"/>
        <v>-9.0000000000000142</v>
      </c>
    </row>
    <row r="27" spans="1:61" ht="15.75" thickBot="1">
      <c r="A27" s="6">
        <f>ELEC!C25</f>
        <v>44614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267.85714285714283</v>
      </c>
      <c r="F27" s="312"/>
      <c r="G27" s="5">
        <f t="shared" si="8"/>
        <v>627124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7015</v>
      </c>
      <c r="L27" s="263">
        <f t="shared" si="40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478</v>
      </c>
      <c r="W27" s="309">
        <f t="shared" si="15"/>
        <v>0</v>
      </c>
      <c r="X27" s="5">
        <f t="shared" si="16"/>
        <v>154864</v>
      </c>
      <c r="Y27" s="309">
        <f t="shared" si="41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18.5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44614</v>
      </c>
      <c r="AS27" s="407">
        <f t="shared" si="50"/>
        <v>0.9</v>
      </c>
      <c r="AT27" s="201">
        <f t="shared" si="50"/>
        <v>101</v>
      </c>
      <c r="AU27" s="408">
        <f t="shared" si="42"/>
        <v>1.1000000000000001</v>
      </c>
      <c r="AV27" s="201">
        <f t="shared" si="43"/>
        <v>125</v>
      </c>
      <c r="AW27" s="5">
        <v>2.9</v>
      </c>
      <c r="AX27" s="201">
        <f t="shared" si="44"/>
        <v>108</v>
      </c>
      <c r="AY27" s="409">
        <f t="shared" si="36"/>
        <v>90.9</v>
      </c>
      <c r="AZ27" s="409">
        <f t="shared" si="37"/>
        <v>137.5</v>
      </c>
      <c r="BA27" s="409">
        <f t="shared" si="38"/>
        <v>313.2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44615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267.85714285714283</v>
      </c>
      <c r="F28" s="312"/>
      <c r="G28" s="5">
        <v>627244</v>
      </c>
      <c r="H28" s="5">
        <f t="shared" si="9"/>
        <v>120</v>
      </c>
      <c r="I28" s="5">
        <f t="shared" si="10"/>
        <v>120</v>
      </c>
      <c r="J28" s="319">
        <f t="shared" si="0"/>
        <v>2.2321428571428568</v>
      </c>
      <c r="K28" s="5">
        <f>'Swimming Pool quality check '!H28</f>
        <v>7015</v>
      </c>
      <c r="L28" s="263">
        <f t="shared" si="40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154864</v>
      </c>
      <c r="Y28" s="309">
        <f t="shared" si="41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19.5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44615</v>
      </c>
      <c r="AS28" s="407">
        <f t="shared" si="50"/>
        <v>0.9</v>
      </c>
      <c r="AT28" s="201">
        <v>164</v>
      </c>
      <c r="AU28" s="408">
        <f t="shared" si="42"/>
        <v>1.1000000000000001</v>
      </c>
      <c r="AV28" s="201">
        <v>123</v>
      </c>
      <c r="AW28" s="5">
        <v>2.9</v>
      </c>
      <c r="AX28" s="201">
        <v>104</v>
      </c>
      <c r="AY28" s="409">
        <f t="shared" si="36"/>
        <v>147.6</v>
      </c>
      <c r="AZ28" s="409">
        <f t="shared" si="37"/>
        <v>135.30000000000001</v>
      </c>
      <c r="BA28" s="409">
        <f t="shared" si="38"/>
        <v>301.59999999999997</v>
      </c>
      <c r="BB28" s="21">
        <f t="shared" si="49"/>
        <v>56.699999999999989</v>
      </c>
      <c r="BC28" s="21">
        <f t="shared" si="49"/>
        <v>-2.1999999999999886</v>
      </c>
      <c r="BD28" s="21">
        <f t="shared" si="49"/>
        <v>-11.600000000000023</v>
      </c>
      <c r="BE28" s="24">
        <f t="shared" si="31"/>
        <v>42.899999999999977</v>
      </c>
      <c r="BF28" s="96">
        <f t="shared" si="32"/>
        <v>77.100000000000023</v>
      </c>
      <c r="BG28" s="82">
        <f t="shared" si="4"/>
        <v>42.899999999999977</v>
      </c>
    </row>
    <row r="29" spans="1:61" ht="15.75" thickBot="1">
      <c r="A29" s="6">
        <f>ELEC!C27</f>
        <v>44616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267.85714285714283</v>
      </c>
      <c r="F29" s="312"/>
      <c r="G29" s="5">
        <v>627273</v>
      </c>
      <c r="H29" s="5">
        <f t="shared" si="9"/>
        <v>29</v>
      </c>
      <c r="I29" s="5">
        <f t="shared" si="10"/>
        <v>29</v>
      </c>
      <c r="J29" s="319">
        <f t="shared" si="0"/>
        <v>9.2364532019704431</v>
      </c>
      <c r="K29" s="5">
        <f>'Swimming Pool quality check '!H29</f>
        <v>7015</v>
      </c>
      <c r="L29" s="263">
        <f t="shared" si="40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154864</v>
      </c>
      <c r="Y29" s="309">
        <f t="shared" si="41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19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44616</v>
      </c>
      <c r="AS29" s="407">
        <f t="shared" si="50"/>
        <v>0.9</v>
      </c>
      <c r="AT29" s="201">
        <v>183</v>
      </c>
      <c r="AU29" s="408">
        <f t="shared" si="42"/>
        <v>1.1000000000000001</v>
      </c>
      <c r="AV29" s="201">
        <f t="shared" si="43"/>
        <v>123</v>
      </c>
      <c r="AW29" s="5">
        <v>2.9</v>
      </c>
      <c r="AX29" s="201">
        <v>103</v>
      </c>
      <c r="AY29" s="409">
        <f t="shared" si="36"/>
        <v>164.70000000000002</v>
      </c>
      <c r="AZ29" s="409">
        <f t="shared" si="37"/>
        <v>135.30000000000001</v>
      </c>
      <c r="BA29" s="409">
        <f t="shared" si="38"/>
        <v>298.7</v>
      </c>
      <c r="BB29" s="21">
        <f t="shared" si="49"/>
        <v>17.100000000000023</v>
      </c>
      <c r="BC29" s="21">
        <f t="shared" si="49"/>
        <v>0</v>
      </c>
      <c r="BD29" s="21">
        <f t="shared" si="49"/>
        <v>-2.8999999999999773</v>
      </c>
      <c r="BE29" s="24">
        <f t="shared" si="31"/>
        <v>14.200000000000045</v>
      </c>
      <c r="BF29" s="96">
        <f t="shared" si="32"/>
        <v>14.799999999999955</v>
      </c>
      <c r="BG29" s="82">
        <f t="shared" si="4"/>
        <v>14.200000000000045</v>
      </c>
    </row>
    <row r="30" spans="1:61" ht="15.75" thickBot="1">
      <c r="A30" s="6">
        <f>ELEC!C28</f>
        <v>44617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267.85714285714283</v>
      </c>
      <c r="F30" s="312"/>
      <c r="G30" s="5">
        <f t="shared" si="8"/>
        <v>627273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7015</v>
      </c>
      <c r="L30" s="263">
        <f t="shared" si="40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154864</v>
      </c>
      <c r="Y30" s="309">
        <f t="shared" si="41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44617</v>
      </c>
      <c r="AS30" s="407">
        <f t="shared" si="50"/>
        <v>0.9</v>
      </c>
      <c r="AT30" s="201">
        <f t="shared" si="50"/>
        <v>183</v>
      </c>
      <c r="AU30" s="408">
        <f t="shared" si="42"/>
        <v>1.1000000000000001</v>
      </c>
      <c r="AV30" s="201">
        <f t="shared" si="43"/>
        <v>123</v>
      </c>
      <c r="AW30" s="5">
        <v>2.9</v>
      </c>
      <c r="AX30" s="201">
        <f t="shared" si="44"/>
        <v>103</v>
      </c>
      <c r="AY30" s="409">
        <f t="shared" si="36"/>
        <v>164.70000000000002</v>
      </c>
      <c r="AZ30" s="409">
        <f t="shared" si="37"/>
        <v>135.30000000000001</v>
      </c>
      <c r="BA30" s="409">
        <f t="shared" si="38"/>
        <v>298.7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44618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267.85714285714283</v>
      </c>
      <c r="F31" s="312"/>
      <c r="G31" s="5">
        <f t="shared" si="8"/>
        <v>627273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7015</v>
      </c>
      <c r="L31" s="263">
        <f t="shared" si="40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154864</v>
      </c>
      <c r="Y31" s="309">
        <f t="shared" si="41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44618</v>
      </c>
      <c r="AS31" s="407">
        <f t="shared" si="50"/>
        <v>0.9</v>
      </c>
      <c r="AT31" s="201">
        <f t="shared" si="50"/>
        <v>183</v>
      </c>
      <c r="AU31" s="408">
        <f t="shared" si="42"/>
        <v>1.1000000000000001</v>
      </c>
      <c r="AV31" s="201">
        <f t="shared" si="43"/>
        <v>123</v>
      </c>
      <c r="AW31" s="5">
        <v>2.9</v>
      </c>
      <c r="AX31" s="201">
        <f t="shared" si="44"/>
        <v>103</v>
      </c>
      <c r="AY31" s="409">
        <f t="shared" si="36"/>
        <v>164.70000000000002</v>
      </c>
      <c r="AZ31" s="409">
        <f>AU31*AV31</f>
        <v>135.30000000000001</v>
      </c>
      <c r="BA31" s="409">
        <f t="shared" si="38"/>
        <v>298.7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44619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267.85714285714283</v>
      </c>
      <c r="F32" s="312"/>
      <c r="G32" s="5">
        <f t="shared" si="8"/>
        <v>627273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7015</v>
      </c>
      <c r="L32" s="263">
        <f t="shared" si="40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154864</v>
      </c>
      <c r="Y32" s="309">
        <f t="shared" si="41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44619</v>
      </c>
      <c r="AS32" s="407">
        <f t="shared" si="50"/>
        <v>0.9</v>
      </c>
      <c r="AT32" s="201">
        <f t="shared" si="50"/>
        <v>183</v>
      </c>
      <c r="AU32" s="408">
        <f t="shared" si="42"/>
        <v>1.1000000000000001</v>
      </c>
      <c r="AV32" s="201">
        <f t="shared" si="43"/>
        <v>123</v>
      </c>
      <c r="AW32" s="5">
        <v>2.9</v>
      </c>
      <c r="AX32" s="201">
        <f t="shared" si="44"/>
        <v>103</v>
      </c>
      <c r="AY32" s="409">
        <f t="shared" si="36"/>
        <v>164.70000000000002</v>
      </c>
      <c r="AZ32" s="409">
        <f t="shared" si="37"/>
        <v>135.30000000000001</v>
      </c>
      <c r="BA32" s="409">
        <f t="shared" si="38"/>
        <v>298.7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44620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267.85714285714283</v>
      </c>
      <c r="F33" s="312"/>
      <c r="G33" s="5">
        <f t="shared" si="8"/>
        <v>627273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7015</v>
      </c>
      <c r="L33" s="263">
        <f t="shared" si="40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154864</v>
      </c>
      <c r="Y33" s="309">
        <f t="shared" si="41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44620</v>
      </c>
      <c r="AS33" s="407">
        <f t="shared" si="50"/>
        <v>0.9</v>
      </c>
      <c r="AT33" s="201">
        <f t="shared" si="50"/>
        <v>183</v>
      </c>
      <c r="AU33" s="408">
        <f t="shared" si="42"/>
        <v>1.1000000000000001</v>
      </c>
      <c r="AV33" s="201">
        <f t="shared" si="43"/>
        <v>123</v>
      </c>
      <c r="AW33" s="5">
        <v>2.9</v>
      </c>
      <c r="AX33" s="201">
        <f t="shared" si="44"/>
        <v>103</v>
      </c>
      <c r="AY33" s="409">
        <f t="shared" si="36"/>
        <v>164.70000000000002</v>
      </c>
      <c r="AZ33" s="409">
        <f t="shared" si="37"/>
        <v>135.30000000000001</v>
      </c>
      <c r="BA33" s="409">
        <f t="shared" si="38"/>
        <v>298.7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/>
      <c r="B34" s="5"/>
      <c r="C34" s="5"/>
      <c r="D34" s="402"/>
      <c r="E34" s="318"/>
      <c r="F34" s="312"/>
      <c r="G34" s="5"/>
      <c r="H34" s="5"/>
      <c r="I34" s="5"/>
      <c r="J34" s="319"/>
      <c r="K34" s="5"/>
      <c r="L34" s="263"/>
      <c r="M34" s="393"/>
      <c r="N34" s="482"/>
      <c r="O34" s="393"/>
      <c r="P34" s="482"/>
      <c r="Q34" s="482"/>
      <c r="R34" s="484"/>
      <c r="S34" s="484"/>
      <c r="T34" s="5"/>
      <c r="U34" s="5"/>
      <c r="V34" s="5"/>
      <c r="W34" s="309"/>
      <c r="X34" s="5"/>
      <c r="Y34" s="309"/>
      <c r="Z34" s="5"/>
      <c r="AA34" s="83"/>
      <c r="AB34" s="5"/>
      <c r="AC34" s="5"/>
      <c r="AD34" s="83"/>
      <c r="AE34" s="5"/>
      <c r="AF34" s="83"/>
      <c r="AG34" s="5"/>
      <c r="AH34" s="83"/>
      <c r="AI34" s="83"/>
      <c r="AJ34" s="311"/>
      <c r="AK34" s="312"/>
      <c r="AL34" s="312"/>
      <c r="AM34" s="312"/>
      <c r="AN34" s="84"/>
      <c r="AO34" s="84"/>
      <c r="AP34" s="84"/>
      <c r="AR34" s="266"/>
      <c r="AS34" s="407"/>
      <c r="AT34" s="201"/>
      <c r="AU34" s="408"/>
      <c r="AV34" s="201"/>
      <c r="AW34" s="5"/>
      <c r="AX34" s="201"/>
      <c r="AY34" s="409"/>
      <c r="AZ34" s="409"/>
      <c r="BA34" s="409"/>
      <c r="BB34" s="21"/>
      <c r="BC34" s="21"/>
      <c r="BD34" s="21"/>
      <c r="BE34" s="24"/>
      <c r="BF34" s="96"/>
      <c r="BG34" s="82"/>
    </row>
    <row r="35" spans="1:59" ht="15.75" thickBot="1">
      <c r="A35" s="6"/>
      <c r="B35" s="5"/>
      <c r="C35" s="5"/>
      <c r="D35" s="402"/>
      <c r="E35" s="318"/>
      <c r="F35" s="312"/>
      <c r="G35" s="5"/>
      <c r="H35" s="5"/>
      <c r="I35" s="5"/>
      <c r="J35" s="319"/>
      <c r="K35" s="5"/>
      <c r="L35" s="263"/>
      <c r="M35" s="393"/>
      <c r="N35" s="482"/>
      <c r="O35" s="393"/>
      <c r="P35" s="482"/>
      <c r="Q35" s="482"/>
      <c r="R35" s="484"/>
      <c r="S35" s="484"/>
      <c r="T35" s="5"/>
      <c r="U35" s="5"/>
      <c r="V35" s="5"/>
      <c r="W35" s="309"/>
      <c r="X35" s="5"/>
      <c r="Y35" s="309"/>
      <c r="Z35" s="5"/>
      <c r="AA35" s="83"/>
      <c r="AB35" s="5"/>
      <c r="AC35" s="5"/>
      <c r="AD35" s="83"/>
      <c r="AE35" s="5"/>
      <c r="AF35" s="83"/>
      <c r="AG35" s="5"/>
      <c r="AH35" s="83"/>
      <c r="AI35" s="83"/>
      <c r="AJ35" s="311"/>
      <c r="AK35" s="312"/>
      <c r="AL35" s="312"/>
      <c r="AM35" s="312"/>
      <c r="AN35" s="84"/>
      <c r="AO35" s="84"/>
      <c r="AP35" s="84"/>
      <c r="AR35" s="266"/>
      <c r="AS35" s="407"/>
      <c r="AT35" s="201"/>
      <c r="AU35" s="408"/>
      <c r="AV35" s="201"/>
      <c r="AW35" s="5"/>
      <c r="AX35" s="201"/>
      <c r="AY35" s="409"/>
      <c r="AZ35" s="409"/>
      <c r="BA35" s="409"/>
      <c r="BB35" s="21"/>
      <c r="BC35" s="21"/>
      <c r="BD35" s="21"/>
      <c r="BE35" s="24"/>
      <c r="BF35" s="96">
        <f>SUM(I35-BE35)</f>
        <v>0</v>
      </c>
      <c r="BG35" s="82">
        <f>SUM(I35-BF35)</f>
        <v>0</v>
      </c>
    </row>
    <row r="36" spans="1:59" ht="15.75" thickBot="1">
      <c r="A36" s="6"/>
      <c r="B36" s="5"/>
      <c r="C36" s="5"/>
      <c r="D36" s="402"/>
      <c r="E36" s="318"/>
      <c r="F36" s="312"/>
      <c r="G36" s="5"/>
      <c r="H36" s="5"/>
      <c r="I36" s="5"/>
      <c r="J36" s="319"/>
      <c r="K36" s="5"/>
      <c r="L36" s="263"/>
      <c r="M36" s="393"/>
      <c r="N36" s="482"/>
      <c r="O36" s="393"/>
      <c r="P36" s="482"/>
      <c r="Q36" s="482"/>
      <c r="R36" s="484"/>
      <c r="S36" s="484"/>
      <c r="T36" s="5"/>
      <c r="U36" s="5"/>
      <c r="V36" s="5"/>
      <c r="W36" s="309"/>
      <c r="X36" s="5"/>
      <c r="Y36" s="309"/>
      <c r="Z36" s="5"/>
      <c r="AA36" s="83"/>
      <c r="AB36" s="5"/>
      <c r="AC36" s="5"/>
      <c r="AD36" s="83"/>
      <c r="AE36" s="5"/>
      <c r="AF36" s="83"/>
      <c r="AG36" s="5"/>
      <c r="AH36" s="83"/>
      <c r="AI36" s="83"/>
      <c r="AJ36" s="311"/>
      <c r="AK36" s="312"/>
      <c r="AL36" s="312"/>
      <c r="AM36" s="312"/>
      <c r="AN36" s="84"/>
      <c r="AO36" s="84"/>
      <c r="AP36" s="84"/>
      <c r="AR36" s="266"/>
      <c r="AS36" s="407"/>
      <c r="AT36" s="201"/>
      <c r="AU36" s="408"/>
      <c r="AV36" s="201"/>
      <c r="AW36" s="5"/>
      <c r="AX36" s="201"/>
      <c r="AY36" s="409"/>
      <c r="AZ36" s="409"/>
      <c r="BA36" s="409"/>
      <c r="BB36" s="21"/>
      <c r="BC36" s="21"/>
      <c r="BD36" s="21"/>
      <c r="BE36" s="24"/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409</v>
      </c>
      <c r="I37" s="395">
        <f>SUM(I6:I36)</f>
        <v>409</v>
      </c>
      <c r="L37" s="258">
        <f>SUM(L7:L36)</f>
        <v>14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43</v>
      </c>
      <c r="AK37" s="312">
        <f>SUM(Y37-L37)</f>
        <v>-14</v>
      </c>
      <c r="AL37" s="307">
        <f>SUM(AL6:AL36)</f>
        <v>43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7500.0000000000018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409</v>
      </c>
      <c r="Z38" s="307">
        <f>SUM(Y37:AJ37)</f>
        <v>43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409</v>
      </c>
      <c r="H39" s="1">
        <f>SUM(H38+C38)</f>
        <v>7500</v>
      </c>
      <c r="K39" s="1">
        <f>SUM(H39/G39)</f>
        <v>18.337408312958434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D26" sqref="D26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44592</v>
      </c>
      <c r="B2" s="260">
        <f>[2]GEN!B33</f>
        <v>11428</v>
      </c>
      <c r="C2" s="260">
        <f>[2]GEN!C33</f>
        <v>0</v>
      </c>
      <c r="D2" s="260">
        <f>[2]GEN!D33</f>
        <v>620016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11528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13521</v>
      </c>
      <c r="S2" s="260">
        <f>[2]GEN!S33</f>
        <v>9</v>
      </c>
      <c r="T2" s="260">
        <f>[2]GEN!T33</f>
        <v>319762</v>
      </c>
      <c r="U2" s="260">
        <f>[2]GEN!U33</f>
        <v>2259</v>
      </c>
      <c r="V2" s="260">
        <f>[2]GEN!V33</f>
        <v>251</v>
      </c>
      <c r="W2" s="260">
        <f>[2]GEN!W33</f>
        <v>0</v>
      </c>
      <c r="X2" s="260">
        <f>[2]GEN!X33</f>
        <v>13550</v>
      </c>
      <c r="Y2" s="260" t="str">
        <f>[2]GEN!Y33</f>
        <v>ok</v>
      </c>
      <c r="Z2" s="260">
        <f>[2]GEN!Z33</f>
        <v>9</v>
      </c>
      <c r="AA2" s="260">
        <f>[2]GEN!AA33</f>
        <v>2259</v>
      </c>
      <c r="AB2" s="260">
        <f>[2]GEN!AB33</f>
        <v>251</v>
      </c>
      <c r="AC2" s="260">
        <f>[2]GEN!AC33</f>
        <v>251</v>
      </c>
      <c r="AD2" s="260">
        <f>[2]GEN!AD33</f>
        <v>5000</v>
      </c>
      <c r="AE2" s="260">
        <f>[2]GEN!AE33</f>
        <v>555.55555555555554</v>
      </c>
      <c r="AF2" s="260">
        <f>[2]GEN!AF33</f>
        <v>0.34722222222222221</v>
      </c>
      <c r="AG2" s="260">
        <f>[2]GEN!AG33</f>
        <v>2.1701388888888888E-4</v>
      </c>
      <c r="AH2" s="260">
        <f>[2]GEN!AH33</f>
        <v>250.99978298611111</v>
      </c>
      <c r="AI2" s="260">
        <f>[2]GEN!AI33</f>
        <v>1286.9198312236288</v>
      </c>
      <c r="AJ2" s="260">
        <f>[2]GEN!AJ33</f>
        <v>0.25738396624472576</v>
      </c>
      <c r="AK2" s="260">
        <f>[2]GEN!AK33</f>
        <v>142.99109235818096</v>
      </c>
      <c r="AL2" s="260">
        <f>[2]GEN!AL33</f>
        <v>1</v>
      </c>
    </row>
    <row r="3" spans="1:38" ht="15.75" thickBot="1">
      <c r="A3" s="4">
        <f>ELEC!C4</f>
        <v>44593</v>
      </c>
      <c r="B3" s="502">
        <f>B2</f>
        <v>11428</v>
      </c>
      <c r="C3" s="276">
        <f>B3-B2</f>
        <v>0</v>
      </c>
      <c r="D3" s="503">
        <f>D2+C3*250</f>
        <v>620016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13534</v>
      </c>
      <c r="S3" s="276">
        <f t="shared" ref="S3:S30" si="4">R3-R2</f>
        <v>13</v>
      </c>
      <c r="T3" s="503">
        <f>T2+U3</f>
        <v>323012</v>
      </c>
      <c r="U3" s="276">
        <f>V3*S3</f>
        <v>3250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13</v>
      </c>
      <c r="AA3" s="276">
        <f>U3+M3+E3</f>
        <v>3250</v>
      </c>
      <c r="AB3" s="276">
        <f>V3+N3+F3</f>
        <v>250</v>
      </c>
      <c r="AC3" s="276">
        <f>IF(Z3&gt;0,AA3/Z3,0)</f>
        <v>250</v>
      </c>
      <c r="AD3" s="73">
        <f>ELEC!Q4</f>
        <v>6186.0000000015134</v>
      </c>
      <c r="AE3" s="73">
        <f>SUM(AD3/Z3)</f>
        <v>475.84615384627028</v>
      </c>
      <c r="AF3" s="387">
        <f>SUM(AE3/1600)</f>
        <v>0.2974038461539189</v>
      </c>
      <c r="AG3" s="388">
        <f>SUM(360*AF3)</f>
        <v>107.06538461541081</v>
      </c>
      <c r="AH3" s="388">
        <f>SUM(AC3-AG3)</f>
        <v>142.93461538458919</v>
      </c>
      <c r="AI3" s="73">
        <f>AD3*AJ3</f>
        <v>1592.177215190263</v>
      </c>
      <c r="AJ3" s="278">
        <f t="shared" ref="AJ3:AJ30" si="7">305/1185</f>
        <v>0.25738396624472576</v>
      </c>
      <c r="AK3" s="278">
        <f t="shared" ref="AK3:AK30" si="8">AI3/Z3</f>
        <v>122.475170399251</v>
      </c>
      <c r="AL3">
        <f>IF(Z3=0,0,1)</f>
        <v>1</v>
      </c>
    </row>
    <row r="4" spans="1:38" ht="15.75" thickBot="1">
      <c r="A4" s="4">
        <f>ELEC!C5</f>
        <v>44594</v>
      </c>
      <c r="B4" s="502">
        <v>11430</v>
      </c>
      <c r="C4" s="276">
        <f t="shared" ref="C4:C30" si="9">B4-B3</f>
        <v>2</v>
      </c>
      <c r="D4" s="503">
        <f t="shared" ref="D4:D30" si="10">D3+C4*250</f>
        <v>620516</v>
      </c>
      <c r="E4" s="276">
        <f t="shared" ref="E4:E25" si="11">SUM(D4-D3)</f>
        <v>500</v>
      </c>
      <c r="F4" s="276">
        <f t="shared" si="0"/>
        <v>250</v>
      </c>
      <c r="G4" s="196"/>
      <c r="H4" s="260">
        <f t="shared" ref="H4:H30" si="12">H3</f>
        <v>11528</v>
      </c>
      <c r="I4" s="276" t="str">
        <f t="shared" si="1"/>
        <v>ok</v>
      </c>
      <c r="J4" s="502">
        <f t="shared" ref="J4:J30" si="13">J3</f>
        <v>10698</v>
      </c>
      <c r="K4" s="276">
        <f t="shared" si="2"/>
        <v>0</v>
      </c>
      <c r="L4" s="503">
        <f t="shared" ref="L4:L30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0" si="17">P3</f>
        <v>10873</v>
      </c>
      <c r="Q4" s="276" t="str">
        <f t="shared" si="3"/>
        <v>ok</v>
      </c>
      <c r="R4" s="502">
        <v>13543</v>
      </c>
      <c r="S4" s="276">
        <f t="shared" si="4"/>
        <v>9</v>
      </c>
      <c r="T4" s="503">
        <f t="shared" ref="T4:T30" si="18">T3+U4</f>
        <v>325262</v>
      </c>
      <c r="U4" s="276">
        <f t="shared" ref="U4:U30" si="19">V4*S4</f>
        <v>2250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11</v>
      </c>
      <c r="AA4" s="276">
        <f t="shared" ref="AA4:AA30" si="20">U4+M4+E4</f>
        <v>2750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5570.9999999999127</v>
      </c>
      <c r="AE4" s="73">
        <f>SUM(AD4/Z4)</f>
        <v>506.45454545453754</v>
      </c>
      <c r="AF4" s="387">
        <f>SUM(AE4/1600)</f>
        <v>0.31653409090908596</v>
      </c>
      <c r="AG4" s="388">
        <f>SUM(360*AF4)</f>
        <v>113.95227272727095</v>
      </c>
      <c r="AH4" s="388">
        <f t="shared" ref="AH4:AH30" si="23">SUM(AC4-AG4)</f>
        <v>136.04772727272905</v>
      </c>
      <c r="AI4" s="73">
        <f>AD4*AJ4</f>
        <v>1433.8860759493448</v>
      </c>
      <c r="AJ4" s="278">
        <f t="shared" si="7"/>
        <v>0.25738396624472576</v>
      </c>
      <c r="AK4" s="278">
        <f t="shared" si="8"/>
        <v>130.35327963175862</v>
      </c>
      <c r="AL4">
        <f t="shared" ref="AL4:AL30" si="24">IF(Z4=0,0,1)</f>
        <v>1</v>
      </c>
    </row>
    <row r="5" spans="1:38" ht="15.75" thickBot="1">
      <c r="A5" s="4">
        <f>ELEC!C6</f>
        <v>44595</v>
      </c>
      <c r="B5" s="502">
        <v>11438</v>
      </c>
      <c r="C5" s="276">
        <f t="shared" si="9"/>
        <v>8</v>
      </c>
      <c r="D5" s="503">
        <f t="shared" si="10"/>
        <v>622516</v>
      </c>
      <c r="E5" s="276">
        <f t="shared" si="11"/>
        <v>2000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13546</v>
      </c>
      <c r="S5" s="276">
        <f t="shared" si="4"/>
        <v>3</v>
      </c>
      <c r="T5" s="503">
        <f t="shared" si="18"/>
        <v>326012</v>
      </c>
      <c r="U5" s="276">
        <f t="shared" si="19"/>
        <v>750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11</v>
      </c>
      <c r="AA5" s="276">
        <f t="shared" si="20"/>
        <v>2750</v>
      </c>
      <c r="AB5" s="276">
        <f t="shared" si="21"/>
        <v>500</v>
      </c>
      <c r="AC5" s="276">
        <f t="shared" si="22"/>
        <v>250</v>
      </c>
      <c r="AD5" s="73">
        <f>ELEC!Q6</f>
        <v>5529.9999999988358</v>
      </c>
      <c r="AE5" s="73">
        <f t="shared" ref="AE5:AE30" si="25">SUM(AD5/Z5)</f>
        <v>502.72727272716691</v>
      </c>
      <c r="AF5" s="387">
        <f t="shared" ref="AF5:AG30" si="26">SUM(AE5/1600)</f>
        <v>0.31420454545447929</v>
      </c>
      <c r="AG5" s="388">
        <f>SUM(320*AF5)</f>
        <v>100.54545454543337</v>
      </c>
      <c r="AH5" s="388">
        <f t="shared" si="23"/>
        <v>149.45454545456664</v>
      </c>
      <c r="AI5" s="73">
        <f t="shared" ref="AI5:AI30" si="27">AD5*AJ5</f>
        <v>1423.3333333330338</v>
      </c>
      <c r="AJ5" s="278">
        <f t="shared" si="7"/>
        <v>0.25738396624472576</v>
      </c>
      <c r="AK5" s="278">
        <f t="shared" si="8"/>
        <v>129.39393939391218</v>
      </c>
      <c r="AL5">
        <f t="shared" si="24"/>
        <v>1</v>
      </c>
    </row>
    <row r="6" spans="1:38" ht="15.75" thickBot="1">
      <c r="A6" s="4">
        <f>ELEC!C7</f>
        <v>44596</v>
      </c>
      <c r="B6" s="502">
        <f>B5</f>
        <v>11438</v>
      </c>
      <c r="C6" s="276">
        <f>B6-B5</f>
        <v>0</v>
      </c>
      <c r="D6" s="503">
        <f t="shared" si="10"/>
        <v>622516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>R5</f>
        <v>13546</v>
      </c>
      <c r="S6" s="276">
        <f t="shared" si="4"/>
        <v>0</v>
      </c>
      <c r="T6" s="503">
        <f t="shared" si="18"/>
        <v>326012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44597</v>
      </c>
      <c r="B7" s="502">
        <v>11438</v>
      </c>
      <c r="C7" s="276">
        <f t="shared" si="9"/>
        <v>0</v>
      </c>
      <c r="D7" s="503">
        <f t="shared" si="10"/>
        <v>622516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ref="R7:R30" si="28">R6</f>
        <v>13546</v>
      </c>
      <c r="S7" s="276">
        <f t="shared" si="4"/>
        <v>0</v>
      </c>
      <c r="T7" s="503">
        <f t="shared" si="18"/>
        <v>326012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44598</v>
      </c>
      <c r="B8" s="502">
        <v>11438</v>
      </c>
      <c r="C8" s="276">
        <f t="shared" si="9"/>
        <v>0</v>
      </c>
      <c r="D8" s="503">
        <f t="shared" si="10"/>
        <v>622516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11528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13561</v>
      </c>
      <c r="S8" s="276">
        <f t="shared" si="4"/>
        <v>15</v>
      </c>
      <c r="T8" s="503">
        <f>T7+U8</f>
        <v>329762</v>
      </c>
      <c r="U8" s="276">
        <f>V8*S8</f>
        <v>3750</v>
      </c>
      <c r="V8" s="276">
        <v>250</v>
      </c>
      <c r="W8" s="196"/>
      <c r="X8" s="260">
        <v>13550</v>
      </c>
      <c r="Y8" s="276" t="str">
        <f t="shared" si="5"/>
        <v>oil change</v>
      </c>
      <c r="Z8" s="276">
        <f t="shared" si="6"/>
        <v>15</v>
      </c>
      <c r="AA8" s="276">
        <f t="shared" si="20"/>
        <v>3750</v>
      </c>
      <c r="AB8" s="276">
        <f t="shared" si="21"/>
        <v>250</v>
      </c>
      <c r="AC8" s="276">
        <f t="shared" si="22"/>
        <v>250</v>
      </c>
      <c r="AD8" s="73">
        <f>ELEC!Q9</f>
        <v>7247.9999999995925</v>
      </c>
      <c r="AE8" s="73">
        <f>SUM(AD8/Z8)</f>
        <v>483.19999999997282</v>
      </c>
      <c r="AF8" s="387">
        <f t="shared" si="26"/>
        <v>0.301999999999983</v>
      </c>
      <c r="AG8" s="387">
        <f t="shared" si="26"/>
        <v>1.8874999999998938E-4</v>
      </c>
      <c r="AH8" s="388">
        <f t="shared" si="23"/>
        <v>249.99981124999999</v>
      </c>
      <c r="AI8" s="73">
        <f t="shared" si="27"/>
        <v>1865.5189873416675</v>
      </c>
      <c r="AJ8" s="278">
        <f t="shared" si="7"/>
        <v>0.25738396624472576</v>
      </c>
      <c r="AK8" s="278">
        <f t="shared" si="8"/>
        <v>124.3679324894445</v>
      </c>
      <c r="AL8">
        <f t="shared" si="24"/>
        <v>1</v>
      </c>
    </row>
    <row r="9" spans="1:38" ht="15.75" thickBot="1">
      <c r="A9" s="4">
        <f>ELEC!C10</f>
        <v>44599</v>
      </c>
      <c r="B9" s="502">
        <v>11441</v>
      </c>
      <c r="C9" s="276">
        <f t="shared" si="9"/>
        <v>3</v>
      </c>
      <c r="D9" s="503">
        <f t="shared" si="10"/>
        <v>623266</v>
      </c>
      <c r="E9" s="276">
        <f t="shared" si="11"/>
        <v>750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13568</v>
      </c>
      <c r="S9" s="276">
        <f t="shared" si="4"/>
        <v>7</v>
      </c>
      <c r="T9" s="503">
        <f t="shared" si="18"/>
        <v>331512</v>
      </c>
      <c r="U9" s="276">
        <f t="shared" si="19"/>
        <v>1750</v>
      </c>
      <c r="V9" s="276">
        <v>250</v>
      </c>
      <c r="W9" s="196"/>
      <c r="X9" s="260">
        <v>13550</v>
      </c>
      <c r="Y9" s="276" t="str">
        <f t="shared" si="5"/>
        <v>oil change</v>
      </c>
      <c r="Z9" s="276">
        <f t="shared" si="6"/>
        <v>10</v>
      </c>
      <c r="AA9" s="276">
        <f t="shared" si="20"/>
        <v>2500</v>
      </c>
      <c r="AB9" s="276">
        <f t="shared" si="21"/>
        <v>500</v>
      </c>
      <c r="AC9" s="276">
        <f t="shared" si="22"/>
        <v>250</v>
      </c>
      <c r="AD9" s="73">
        <f>ELEC!Q10</f>
        <v>5552.9999999998836</v>
      </c>
      <c r="AE9" s="73">
        <f t="shared" si="25"/>
        <v>555.29999999998836</v>
      </c>
      <c r="AF9" s="387">
        <f t="shared" si="26"/>
        <v>0.34706249999999272</v>
      </c>
      <c r="AG9" s="387">
        <f t="shared" si="26"/>
        <v>2.1691406249999546E-4</v>
      </c>
      <c r="AH9" s="388">
        <f t="shared" si="23"/>
        <v>249.99978308593751</v>
      </c>
      <c r="AI9" s="73">
        <f t="shared" si="27"/>
        <v>1429.2531645569322</v>
      </c>
      <c r="AJ9" s="278">
        <f t="shared" si="7"/>
        <v>0.25738396624472576</v>
      </c>
      <c r="AK9" s="278">
        <f t="shared" si="8"/>
        <v>142.92531645569323</v>
      </c>
      <c r="AL9">
        <f t="shared" si="24"/>
        <v>1</v>
      </c>
    </row>
    <row r="10" spans="1:38" ht="15.75" thickBot="1">
      <c r="A10" s="4">
        <f>ELEC!C11</f>
        <v>44600</v>
      </c>
      <c r="B10" s="502">
        <f>B9</f>
        <v>11441</v>
      </c>
      <c r="C10" s="276">
        <f t="shared" si="9"/>
        <v>0</v>
      </c>
      <c r="D10" s="503">
        <f t="shared" si="10"/>
        <v>623266</v>
      </c>
      <c r="E10" s="276">
        <f>SUM(D10-D9)</f>
        <v>0</v>
      </c>
      <c r="F10" s="276">
        <f t="shared" si="0"/>
        <v>0</v>
      </c>
      <c r="G10" s="196"/>
      <c r="H10" s="260">
        <f t="shared" si="12"/>
        <v>11528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28"/>
        <v>13568</v>
      </c>
      <c r="S10" s="276">
        <f t="shared" si="4"/>
        <v>0</v>
      </c>
      <c r="T10" s="503">
        <f t="shared" si="18"/>
        <v>331512</v>
      </c>
      <c r="U10" s="276">
        <f t="shared" si="19"/>
        <v>0</v>
      </c>
      <c r="V10" s="276">
        <v>250</v>
      </c>
      <c r="W10" s="323"/>
      <c r="X10" s="260">
        <v>13550</v>
      </c>
      <c r="Y10" s="276" t="str">
        <f t="shared" si="5"/>
        <v>oil change</v>
      </c>
      <c r="Z10" s="276">
        <f t="shared" si="6"/>
        <v>0</v>
      </c>
      <c r="AA10" s="276">
        <f t="shared" si="20"/>
        <v>0</v>
      </c>
      <c r="AB10" s="276">
        <f t="shared" si="21"/>
        <v>250</v>
      </c>
      <c r="AC10" s="276">
        <f t="shared" si="22"/>
        <v>0</v>
      </c>
      <c r="AD10" s="73">
        <f>ELEC!Q11</f>
        <v>0</v>
      </c>
      <c r="AE10" s="73" t="e">
        <f t="shared" si="25"/>
        <v>#DIV/0!</v>
      </c>
      <c r="AF10" s="387" t="e">
        <f t="shared" si="26"/>
        <v>#DIV/0!</v>
      </c>
      <c r="AG10" s="387" t="e">
        <f t="shared" si="26"/>
        <v>#DIV/0!</v>
      </c>
      <c r="AH10" s="388" t="e">
        <f t="shared" si="23"/>
        <v>#DIV/0!</v>
      </c>
      <c r="AI10" s="73">
        <f t="shared" si="27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4"/>
        <v>0</v>
      </c>
    </row>
    <row r="11" spans="1:38" ht="15.75" thickBot="1">
      <c r="A11" s="4">
        <f>ELEC!C12</f>
        <v>44601</v>
      </c>
      <c r="B11" s="502">
        <v>11443</v>
      </c>
      <c r="C11" s="276">
        <f t="shared" si="9"/>
        <v>2</v>
      </c>
      <c r="D11" s="503">
        <f t="shared" si="10"/>
        <v>623766</v>
      </c>
      <c r="E11" s="276">
        <f t="shared" si="11"/>
        <v>500</v>
      </c>
      <c r="F11" s="276">
        <f>IF(C11&gt;0,E11/C11,0)</f>
        <v>250</v>
      </c>
      <c r="G11" s="196"/>
      <c r="H11" s="260">
        <f t="shared" si="12"/>
        <v>11528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13576</v>
      </c>
      <c r="S11" s="276">
        <f t="shared" si="4"/>
        <v>8</v>
      </c>
      <c r="T11" s="503">
        <f t="shared" si="18"/>
        <v>333512</v>
      </c>
      <c r="U11" s="276">
        <f t="shared" si="19"/>
        <v>2000</v>
      </c>
      <c r="V11" s="276">
        <v>250</v>
      </c>
      <c r="W11" s="323"/>
      <c r="X11" s="260">
        <v>13550</v>
      </c>
      <c r="Y11" s="276" t="str">
        <f t="shared" si="5"/>
        <v>oil change</v>
      </c>
      <c r="Z11" s="276">
        <f t="shared" si="6"/>
        <v>10</v>
      </c>
      <c r="AA11" s="276">
        <f t="shared" si="20"/>
        <v>2500</v>
      </c>
      <c r="AB11" s="276">
        <f t="shared" si="21"/>
        <v>500</v>
      </c>
      <c r="AC11" s="276">
        <f t="shared" si="22"/>
        <v>250</v>
      </c>
      <c r="AD11" s="73">
        <f>ELEC!Q12</f>
        <v>4406.9999999992433</v>
      </c>
      <c r="AE11" s="73">
        <f t="shared" si="25"/>
        <v>440.69999999992433</v>
      </c>
      <c r="AF11" s="387">
        <f t="shared" si="26"/>
        <v>0.27543749999995271</v>
      </c>
      <c r="AG11" s="387">
        <f t="shared" si="26"/>
        <v>1.7214843749997045E-4</v>
      </c>
      <c r="AH11" s="388">
        <f t="shared" si="23"/>
        <v>249.99982785156249</v>
      </c>
      <c r="AI11" s="73">
        <f t="shared" si="27"/>
        <v>1134.2911392403116</v>
      </c>
      <c r="AJ11" s="278">
        <f t="shared" si="7"/>
        <v>0.25738396624472576</v>
      </c>
      <c r="AK11" s="278">
        <f t="shared" si="8"/>
        <v>113.42911392403116</v>
      </c>
      <c r="AL11">
        <f t="shared" si="24"/>
        <v>1</v>
      </c>
    </row>
    <row r="12" spans="1:38" ht="15.75" thickBot="1">
      <c r="A12" s="4">
        <f>ELEC!C13</f>
        <v>44602</v>
      </c>
      <c r="B12" s="502">
        <v>11445</v>
      </c>
      <c r="C12" s="276">
        <f t="shared" si="9"/>
        <v>2</v>
      </c>
      <c r="D12" s="503">
        <f t="shared" si="10"/>
        <v>624266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11528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13584</v>
      </c>
      <c r="S12" s="276">
        <f t="shared" si="4"/>
        <v>8</v>
      </c>
      <c r="T12" s="503">
        <f t="shared" si="18"/>
        <v>335512</v>
      </c>
      <c r="U12" s="276">
        <f t="shared" si="19"/>
        <v>2000</v>
      </c>
      <c r="V12" s="276">
        <v>250</v>
      </c>
      <c r="W12" s="323"/>
      <c r="X12" s="260">
        <v>13550</v>
      </c>
      <c r="Y12" s="276" t="str">
        <f t="shared" si="5"/>
        <v>oil change</v>
      </c>
      <c r="Z12" s="276">
        <f t="shared" si="6"/>
        <v>10</v>
      </c>
      <c r="AA12" s="276">
        <f t="shared" si="20"/>
        <v>2500</v>
      </c>
      <c r="AB12" s="276">
        <f t="shared" si="21"/>
        <v>500</v>
      </c>
      <c r="AC12" s="276">
        <f t="shared" si="22"/>
        <v>250</v>
      </c>
      <c r="AD12" s="73">
        <f>ELEC!Q13</f>
        <v>5587.9999999997381</v>
      </c>
      <c r="AE12" s="73">
        <f t="shared" si="25"/>
        <v>558.79999999997381</v>
      </c>
      <c r="AF12" s="387">
        <f t="shared" si="26"/>
        <v>0.34924999999998363</v>
      </c>
      <c r="AG12" s="387">
        <f t="shared" si="26"/>
        <v>2.1828124999998978E-4</v>
      </c>
      <c r="AH12" s="388">
        <f t="shared" si="23"/>
        <v>249.99978171875</v>
      </c>
      <c r="AI12" s="73">
        <f t="shared" si="27"/>
        <v>1438.26160337546</v>
      </c>
      <c r="AJ12" s="278">
        <f t="shared" si="7"/>
        <v>0.25738396624472576</v>
      </c>
      <c r="AK12" s="278">
        <f t="shared" si="8"/>
        <v>143.82616033754601</v>
      </c>
      <c r="AL12">
        <f t="shared" si="24"/>
        <v>1</v>
      </c>
    </row>
    <row r="13" spans="1:38" ht="15.75" thickBot="1">
      <c r="A13" s="4">
        <f>ELEC!C14</f>
        <v>44603</v>
      </c>
      <c r="B13" s="502">
        <f t="shared" ref="B13:B30" si="29">B12</f>
        <v>11445</v>
      </c>
      <c r="C13" s="276">
        <f t="shared" si="9"/>
        <v>0</v>
      </c>
      <c r="D13" s="503">
        <f t="shared" si="10"/>
        <v>624266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11528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8"/>
        <v>13584</v>
      </c>
      <c r="S13" s="276">
        <f t="shared" si="4"/>
        <v>0</v>
      </c>
      <c r="T13" s="503">
        <f t="shared" si="18"/>
        <v>335512</v>
      </c>
      <c r="U13" s="276">
        <f t="shared" si="19"/>
        <v>0</v>
      </c>
      <c r="V13" s="276">
        <v>250</v>
      </c>
      <c r="W13" s="323"/>
      <c r="X13" s="260">
        <v>13719</v>
      </c>
      <c r="Y13" s="276" t="str">
        <f t="shared" si="5"/>
        <v>ok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44604</v>
      </c>
      <c r="B14" s="502">
        <f t="shared" si="29"/>
        <v>11445</v>
      </c>
      <c r="C14" s="276">
        <f t="shared" si="9"/>
        <v>0</v>
      </c>
      <c r="D14" s="503">
        <f t="shared" si="10"/>
        <v>624266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11528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8"/>
        <v>13584</v>
      </c>
      <c r="S14" s="276">
        <f t="shared" si="4"/>
        <v>0</v>
      </c>
      <c r="T14" s="503">
        <f t="shared" si="18"/>
        <v>335512</v>
      </c>
      <c r="U14" s="276">
        <f t="shared" si="19"/>
        <v>0</v>
      </c>
      <c r="V14" s="276">
        <v>250</v>
      </c>
      <c r="W14" s="323"/>
      <c r="X14" s="260">
        <v>13719</v>
      </c>
      <c r="Y14" s="276" t="str">
        <f t="shared" si="5"/>
        <v>ok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44605</v>
      </c>
      <c r="B15" s="502">
        <v>11457</v>
      </c>
      <c r="C15" s="276">
        <f t="shared" si="9"/>
        <v>12</v>
      </c>
      <c r="D15" s="503">
        <f t="shared" si="10"/>
        <v>627266</v>
      </c>
      <c r="E15" s="276">
        <f t="shared" si="11"/>
        <v>3000</v>
      </c>
      <c r="F15" s="276">
        <f t="shared" si="0"/>
        <v>250</v>
      </c>
      <c r="G15" s="196"/>
      <c r="H15" s="260">
        <f t="shared" si="12"/>
        <v>11528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13585</v>
      </c>
      <c r="S15" s="276">
        <f t="shared" si="4"/>
        <v>1</v>
      </c>
      <c r="T15" s="503">
        <f t="shared" si="18"/>
        <v>335762</v>
      </c>
      <c r="U15" s="276">
        <f t="shared" si="19"/>
        <v>250</v>
      </c>
      <c r="V15" s="276">
        <v>250</v>
      </c>
      <c r="W15" s="323"/>
      <c r="X15" s="260">
        <v>13719</v>
      </c>
      <c r="Y15" s="276" t="str">
        <f t="shared" si="5"/>
        <v>ok</v>
      </c>
      <c r="Z15" s="276">
        <f t="shared" si="6"/>
        <v>13</v>
      </c>
      <c r="AA15" s="276">
        <f t="shared" si="20"/>
        <v>3250</v>
      </c>
      <c r="AB15" s="276">
        <f t="shared" si="21"/>
        <v>500</v>
      </c>
      <c r="AC15" s="276">
        <f t="shared" si="22"/>
        <v>250</v>
      </c>
      <c r="AD15" s="73">
        <f>ELEC!Q16</f>
        <v>6513.0000000026484</v>
      </c>
      <c r="AE15" s="73">
        <f t="shared" si="25"/>
        <v>501.00000000020373</v>
      </c>
      <c r="AF15" s="387">
        <f t="shared" si="26"/>
        <v>0.31312500000012733</v>
      </c>
      <c r="AG15" s="387">
        <f t="shared" si="26"/>
        <v>1.9570312500007958E-4</v>
      </c>
      <c r="AH15" s="388">
        <f t="shared" si="23"/>
        <v>249.999804296875</v>
      </c>
      <c r="AI15" s="73">
        <f t="shared" si="27"/>
        <v>1676.3417721525805</v>
      </c>
      <c r="AJ15" s="278">
        <f t="shared" si="7"/>
        <v>0.25738396624472576</v>
      </c>
      <c r="AK15" s="278">
        <f t="shared" si="8"/>
        <v>128.94936708866004</v>
      </c>
      <c r="AL15">
        <f t="shared" si="24"/>
        <v>1</v>
      </c>
    </row>
    <row r="16" spans="1:38" ht="15.75" thickBot="1">
      <c r="A16" s="4">
        <f>ELEC!C17</f>
        <v>44606</v>
      </c>
      <c r="B16" s="502">
        <v>11459</v>
      </c>
      <c r="C16" s="276">
        <f t="shared" si="9"/>
        <v>2</v>
      </c>
      <c r="D16" s="503">
        <f t="shared" si="10"/>
        <v>627766</v>
      </c>
      <c r="E16" s="276">
        <f t="shared" si="11"/>
        <v>500</v>
      </c>
      <c r="F16" s="276">
        <f t="shared" si="0"/>
        <v>250</v>
      </c>
      <c r="G16" s="196"/>
      <c r="H16" s="260">
        <f t="shared" si="12"/>
        <v>11528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13594</v>
      </c>
      <c r="S16" s="276">
        <f t="shared" si="4"/>
        <v>9</v>
      </c>
      <c r="T16" s="503">
        <f t="shared" si="18"/>
        <v>338012</v>
      </c>
      <c r="U16" s="276">
        <f t="shared" si="19"/>
        <v>2250</v>
      </c>
      <c r="V16" s="276">
        <v>250</v>
      </c>
      <c r="W16" s="323"/>
      <c r="X16" s="260">
        <v>13719</v>
      </c>
      <c r="Y16" s="276" t="str">
        <f t="shared" si="5"/>
        <v>ok</v>
      </c>
      <c r="Z16" s="276">
        <f t="shared" si="6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6098.9999999983411</v>
      </c>
      <c r="AE16" s="73">
        <f t="shared" si="25"/>
        <v>554.45454545439463</v>
      </c>
      <c r="AF16" s="387">
        <f t="shared" si="26"/>
        <v>0.34653409090899667</v>
      </c>
      <c r="AG16" s="387">
        <f t="shared" si="26"/>
        <v>2.1658380681812293E-4</v>
      </c>
      <c r="AH16" s="388">
        <f t="shared" si="23"/>
        <v>249.99978341619317</v>
      </c>
      <c r="AI16" s="73">
        <f t="shared" si="27"/>
        <v>1569.7848101261554</v>
      </c>
      <c r="AJ16" s="278">
        <f t="shared" si="7"/>
        <v>0.25738396624472576</v>
      </c>
      <c r="AK16" s="278">
        <f t="shared" si="8"/>
        <v>142.70771001146866</v>
      </c>
      <c r="AL16">
        <f t="shared" si="24"/>
        <v>1</v>
      </c>
    </row>
    <row r="17" spans="1:38" ht="15.75" thickBot="1">
      <c r="A17" s="4">
        <f>ELEC!C18</f>
        <v>44607</v>
      </c>
      <c r="B17" s="502">
        <v>11467</v>
      </c>
      <c r="C17" s="276">
        <f t="shared" si="9"/>
        <v>8</v>
      </c>
      <c r="D17" s="503">
        <f t="shared" si="10"/>
        <v>629766</v>
      </c>
      <c r="E17" s="276">
        <f t="shared" si="11"/>
        <v>2000</v>
      </c>
      <c r="F17" s="276">
        <f t="shared" si="0"/>
        <v>250</v>
      </c>
      <c r="G17" s="196"/>
      <c r="H17" s="260">
        <f t="shared" si="12"/>
        <v>11528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13596</v>
      </c>
      <c r="S17" s="276">
        <f t="shared" si="4"/>
        <v>2</v>
      </c>
      <c r="T17" s="503">
        <f t="shared" si="18"/>
        <v>338512</v>
      </c>
      <c r="U17" s="276">
        <f t="shared" si="19"/>
        <v>500</v>
      </c>
      <c r="V17" s="276">
        <v>250</v>
      </c>
      <c r="W17" s="323"/>
      <c r="X17" s="260">
        <v>13719</v>
      </c>
      <c r="Y17" s="276" t="str">
        <f t="shared" si="5"/>
        <v>ok</v>
      </c>
      <c r="Z17" s="276">
        <f t="shared" si="6"/>
        <v>10</v>
      </c>
      <c r="AA17" s="276">
        <f t="shared" si="20"/>
        <v>2500</v>
      </c>
      <c r="AB17" s="276">
        <f t="shared" si="21"/>
        <v>500</v>
      </c>
      <c r="AC17" s="276">
        <f t="shared" si="22"/>
        <v>250</v>
      </c>
      <c r="AD17" s="73">
        <f>ELEC!Q18</f>
        <v>5045.9999999984575</v>
      </c>
      <c r="AE17" s="73">
        <f t="shared" si="25"/>
        <v>504.59999999984575</v>
      </c>
      <c r="AF17" s="387">
        <f t="shared" si="26"/>
        <v>0.31537499999990359</v>
      </c>
      <c r="AG17" s="387">
        <f t="shared" si="26"/>
        <v>1.9710937499993974E-4</v>
      </c>
      <c r="AH17" s="388">
        <f t="shared" si="23"/>
        <v>249.99980289062501</v>
      </c>
      <c r="AI17" s="73">
        <f t="shared" si="27"/>
        <v>1298.7594936704891</v>
      </c>
      <c r="AJ17" s="278">
        <f t="shared" si="7"/>
        <v>0.25738396624472576</v>
      </c>
      <c r="AK17" s="278">
        <f t="shared" si="8"/>
        <v>129.87594936704892</v>
      </c>
      <c r="AL17">
        <f t="shared" si="24"/>
        <v>1</v>
      </c>
    </row>
    <row r="18" spans="1:38" ht="15.75" thickBot="1">
      <c r="A18" s="4">
        <f>ELEC!C19</f>
        <v>44608</v>
      </c>
      <c r="B18" s="502">
        <v>11468</v>
      </c>
      <c r="C18" s="276">
        <f t="shared" si="9"/>
        <v>1</v>
      </c>
      <c r="D18" s="503">
        <f t="shared" si="10"/>
        <v>630016</v>
      </c>
      <c r="E18" s="276">
        <f t="shared" si="11"/>
        <v>250</v>
      </c>
      <c r="F18" s="276">
        <f t="shared" si="0"/>
        <v>250</v>
      </c>
      <c r="G18" s="196"/>
      <c r="H18" s="260">
        <f t="shared" si="12"/>
        <v>11528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v>13605</v>
      </c>
      <c r="S18" s="276">
        <f t="shared" si="4"/>
        <v>9</v>
      </c>
      <c r="T18" s="503">
        <f t="shared" si="18"/>
        <v>340762</v>
      </c>
      <c r="U18" s="276">
        <f t="shared" si="19"/>
        <v>2250</v>
      </c>
      <c r="V18" s="276">
        <v>250</v>
      </c>
      <c r="W18" s="323"/>
      <c r="X18" s="260">
        <v>13719</v>
      </c>
      <c r="Y18" s="276" t="str">
        <f t="shared" si="5"/>
        <v>ok</v>
      </c>
      <c r="Z18" s="276">
        <f t="shared" si="6"/>
        <v>10</v>
      </c>
      <c r="AA18" s="276">
        <f t="shared" si="20"/>
        <v>2500</v>
      </c>
      <c r="AB18" s="276">
        <f t="shared" si="21"/>
        <v>500</v>
      </c>
      <c r="AC18" s="276">
        <f t="shared" si="22"/>
        <v>250</v>
      </c>
      <c r="AD18" s="73">
        <f>ELEC!Q19</f>
        <v>5168.0000000014843</v>
      </c>
      <c r="AE18" s="73">
        <f t="shared" si="25"/>
        <v>516.80000000014843</v>
      </c>
      <c r="AF18" s="387">
        <f t="shared" si="26"/>
        <v>0.32300000000009277</v>
      </c>
      <c r="AG18" s="387">
        <f t="shared" si="26"/>
        <v>2.0187500000005799E-4</v>
      </c>
      <c r="AH18" s="388">
        <f t="shared" si="23"/>
        <v>249.99979812500001</v>
      </c>
      <c r="AI18" s="73">
        <f t="shared" si="27"/>
        <v>1330.1603375531247</v>
      </c>
      <c r="AJ18" s="278">
        <f t="shared" si="7"/>
        <v>0.25738396624472576</v>
      </c>
      <c r="AK18" s="278">
        <f t="shared" si="8"/>
        <v>133.01603375531246</v>
      </c>
      <c r="AL18">
        <f t="shared" si="24"/>
        <v>1</v>
      </c>
    </row>
    <row r="19" spans="1:38" ht="15.75" thickBot="1">
      <c r="A19" s="4">
        <f>ELEC!C20</f>
        <v>44609</v>
      </c>
      <c r="B19" s="502">
        <v>11476</v>
      </c>
      <c r="C19" s="276">
        <f t="shared" si="9"/>
        <v>8</v>
      </c>
      <c r="D19" s="503">
        <f t="shared" si="10"/>
        <v>632016</v>
      </c>
      <c r="E19" s="276">
        <f t="shared" si="11"/>
        <v>2000</v>
      </c>
      <c r="F19" s="276">
        <f t="shared" si="0"/>
        <v>250</v>
      </c>
      <c r="G19" s="196"/>
      <c r="H19" s="260">
        <f t="shared" si="12"/>
        <v>11528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0">IF(J19-P19&lt;=0,"ok","oil change")</f>
        <v>ok</v>
      </c>
      <c r="R19" s="502">
        <v>13606</v>
      </c>
      <c r="S19" s="276">
        <f t="shared" si="4"/>
        <v>1</v>
      </c>
      <c r="T19" s="503">
        <f t="shared" si="18"/>
        <v>341012</v>
      </c>
      <c r="U19" s="276">
        <f t="shared" si="19"/>
        <v>250</v>
      </c>
      <c r="V19" s="276">
        <v>250</v>
      </c>
      <c r="W19" s="323"/>
      <c r="X19" s="260">
        <v>13719</v>
      </c>
      <c r="Y19" s="276" t="str">
        <f t="shared" si="5"/>
        <v>ok</v>
      </c>
      <c r="Z19" s="276">
        <f t="shared" si="6"/>
        <v>9</v>
      </c>
      <c r="AA19" s="276">
        <f t="shared" si="20"/>
        <v>2250</v>
      </c>
      <c r="AB19" s="276">
        <f t="shared" si="21"/>
        <v>500</v>
      </c>
      <c r="AC19" s="276">
        <f t="shared" si="22"/>
        <v>250</v>
      </c>
      <c r="AD19" s="73">
        <f>ELEC!Q20</f>
        <v>4622.9999999995925</v>
      </c>
      <c r="AE19" s="73">
        <f t="shared" si="25"/>
        <v>513.66666666662138</v>
      </c>
      <c r="AF19" s="387">
        <f t="shared" si="26"/>
        <v>0.32104166666663836</v>
      </c>
      <c r="AG19" s="387">
        <f t="shared" si="26"/>
        <v>2.0065104166664899E-4</v>
      </c>
      <c r="AH19" s="388">
        <f t="shared" si="23"/>
        <v>249.99979934895833</v>
      </c>
      <c r="AI19" s="73">
        <f t="shared" si="27"/>
        <v>1189.8860759492622</v>
      </c>
      <c r="AJ19" s="278">
        <f t="shared" si="7"/>
        <v>0.25738396624472576</v>
      </c>
      <c r="AK19" s="278">
        <f t="shared" si="8"/>
        <v>132.20956399436247</v>
      </c>
      <c r="AL19">
        <f t="shared" si="24"/>
        <v>1</v>
      </c>
    </row>
    <row r="20" spans="1:38" ht="15.75" thickBot="1">
      <c r="A20" s="4">
        <f>ELEC!C21</f>
        <v>44610</v>
      </c>
      <c r="B20" s="502">
        <f t="shared" si="29"/>
        <v>11476</v>
      </c>
      <c r="C20" s="276">
        <f>B20-B19</f>
        <v>0</v>
      </c>
      <c r="D20" s="503">
        <f t="shared" si="10"/>
        <v>632016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11528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0"/>
        <v>ok</v>
      </c>
      <c r="R20" s="502">
        <f t="shared" si="28"/>
        <v>13606</v>
      </c>
      <c r="S20" s="276">
        <f t="shared" si="4"/>
        <v>0</v>
      </c>
      <c r="T20" s="503">
        <f t="shared" si="18"/>
        <v>341012</v>
      </c>
      <c r="U20" s="276">
        <f t="shared" si="19"/>
        <v>0</v>
      </c>
      <c r="V20" s="276">
        <v>250</v>
      </c>
      <c r="W20" s="323"/>
      <c r="X20" s="260">
        <v>13719</v>
      </c>
      <c r="Y20" s="276" t="str">
        <f>IF(R20-X20&lt;=0,"ok","oil change")</f>
        <v>ok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44611</v>
      </c>
      <c r="B21" s="502">
        <f t="shared" si="29"/>
        <v>11476</v>
      </c>
      <c r="C21" s="276">
        <f>B21-B20</f>
        <v>0</v>
      </c>
      <c r="D21" s="503">
        <f t="shared" si="10"/>
        <v>632016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11528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0"/>
        <v>ok</v>
      </c>
      <c r="R21" s="502">
        <f t="shared" si="28"/>
        <v>13606</v>
      </c>
      <c r="S21" s="276">
        <f t="shared" si="4"/>
        <v>0</v>
      </c>
      <c r="T21" s="503">
        <f t="shared" si="18"/>
        <v>341012</v>
      </c>
      <c r="U21" s="276">
        <f t="shared" si="19"/>
        <v>0</v>
      </c>
      <c r="V21" s="276">
        <v>250</v>
      </c>
      <c r="W21" s="196"/>
      <c r="X21" s="260">
        <v>13719</v>
      </c>
      <c r="Y21" s="276" t="str">
        <f>Y20</f>
        <v>ok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44612</v>
      </c>
      <c r="B22" s="502">
        <v>11476</v>
      </c>
      <c r="C22" s="276">
        <f t="shared" si="9"/>
        <v>0</v>
      </c>
      <c r="D22" s="503">
        <f t="shared" si="10"/>
        <v>632016</v>
      </c>
      <c r="E22" s="276">
        <f>150*C22</f>
        <v>0</v>
      </c>
      <c r="F22" s="276">
        <f t="shared" si="0"/>
        <v>0</v>
      </c>
      <c r="G22" s="196"/>
      <c r="H22" s="260">
        <f t="shared" si="12"/>
        <v>11528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0"/>
        <v>ok</v>
      </c>
      <c r="R22" s="502">
        <v>13619</v>
      </c>
      <c r="S22" s="276">
        <f t="shared" si="4"/>
        <v>13</v>
      </c>
      <c r="T22" s="503">
        <f t="shared" si="18"/>
        <v>344262</v>
      </c>
      <c r="U22" s="276">
        <f t="shared" si="19"/>
        <v>3250</v>
      </c>
      <c r="V22" s="276">
        <v>250</v>
      </c>
      <c r="W22" s="196"/>
      <c r="X22" s="260">
        <v>13719</v>
      </c>
      <c r="Y22" s="276" t="str">
        <f t="shared" ref="Y22:Y30" si="31">Y21</f>
        <v>ok</v>
      </c>
      <c r="Z22" s="276">
        <f t="shared" si="6"/>
        <v>13</v>
      </c>
      <c r="AA22" s="276">
        <f t="shared" si="20"/>
        <v>3250</v>
      </c>
      <c r="AB22" s="276">
        <f t="shared" si="21"/>
        <v>250</v>
      </c>
      <c r="AC22" s="276">
        <f t="shared" si="22"/>
        <v>250</v>
      </c>
      <c r="AD22" s="73">
        <f>ELEC!Q23</f>
        <v>6507.0000000014261</v>
      </c>
      <c r="AE22" s="73">
        <f t="shared" si="25"/>
        <v>500.53846153857126</v>
      </c>
      <c r="AF22" s="387">
        <f t="shared" si="26"/>
        <v>0.31283653846160703</v>
      </c>
      <c r="AG22" s="387">
        <f t="shared" si="26"/>
        <v>1.955228365385044E-4</v>
      </c>
      <c r="AH22" s="388">
        <f t="shared" si="23"/>
        <v>249.99980447716345</v>
      </c>
      <c r="AI22" s="73">
        <f t="shared" si="27"/>
        <v>1674.7974683547975</v>
      </c>
      <c r="AJ22" s="278">
        <f t="shared" si="7"/>
        <v>0.25738396624472576</v>
      </c>
      <c r="AK22" s="278">
        <f t="shared" si="8"/>
        <v>128.83057448883056</v>
      </c>
      <c r="AL22">
        <f t="shared" si="24"/>
        <v>1</v>
      </c>
    </row>
    <row r="23" spans="1:38" ht="15.75" thickBot="1">
      <c r="A23" s="4">
        <f>ELEC!C24</f>
        <v>44613</v>
      </c>
      <c r="B23" s="502">
        <v>11477</v>
      </c>
      <c r="C23" s="276">
        <f t="shared" si="9"/>
        <v>1</v>
      </c>
      <c r="D23" s="503">
        <f t="shared" si="10"/>
        <v>632266</v>
      </c>
      <c r="E23" s="276">
        <f>150*C23</f>
        <v>150</v>
      </c>
      <c r="F23" s="276">
        <f t="shared" si="0"/>
        <v>150</v>
      </c>
      <c r="G23" s="196"/>
      <c r="H23" s="260">
        <f t="shared" si="12"/>
        <v>11528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0"/>
        <v>ok</v>
      </c>
      <c r="R23" s="502">
        <v>13628</v>
      </c>
      <c r="S23" s="276">
        <f>R23-R22</f>
        <v>9</v>
      </c>
      <c r="T23" s="503">
        <f t="shared" si="18"/>
        <v>346512</v>
      </c>
      <c r="U23" s="276">
        <f>V23*S23</f>
        <v>2250</v>
      </c>
      <c r="V23" s="276">
        <v>250</v>
      </c>
      <c r="W23" s="196"/>
      <c r="X23" s="260">
        <v>13719</v>
      </c>
      <c r="Y23" s="276" t="str">
        <f t="shared" si="31"/>
        <v>ok</v>
      </c>
      <c r="Z23" s="276">
        <f t="shared" si="6"/>
        <v>10</v>
      </c>
      <c r="AA23" s="276">
        <f t="shared" si="20"/>
        <v>2400</v>
      </c>
      <c r="AB23" s="276">
        <f t="shared" si="21"/>
        <v>400</v>
      </c>
      <c r="AC23" s="276">
        <f t="shared" si="22"/>
        <v>240</v>
      </c>
      <c r="AD23" s="73">
        <f>ELEC!Q24</f>
        <v>5599.9999999985448</v>
      </c>
      <c r="AE23" s="73">
        <f t="shared" si="25"/>
        <v>559.99999999985448</v>
      </c>
      <c r="AF23" s="387">
        <f t="shared" si="26"/>
        <v>0.34999999999990905</v>
      </c>
      <c r="AG23" s="387">
        <f t="shared" si="26"/>
        <v>2.1874999999994317E-4</v>
      </c>
      <c r="AH23" s="388">
        <f t="shared" si="23"/>
        <v>239.99978125000001</v>
      </c>
      <c r="AI23" s="73">
        <f t="shared" si="27"/>
        <v>1441.3502109700896</v>
      </c>
      <c r="AJ23" s="278">
        <f t="shared" si="7"/>
        <v>0.25738396624472576</v>
      </c>
      <c r="AK23" s="278">
        <f t="shared" si="8"/>
        <v>144.13502109700897</v>
      </c>
      <c r="AL23">
        <f t="shared" si="24"/>
        <v>1</v>
      </c>
    </row>
    <row r="24" spans="1:38" ht="15.75" thickBot="1">
      <c r="A24" s="4">
        <f>ELEC!C25</f>
        <v>44614</v>
      </c>
      <c r="B24" s="502">
        <v>11481</v>
      </c>
      <c r="C24" s="276">
        <f t="shared" si="9"/>
        <v>4</v>
      </c>
      <c r="D24" s="503">
        <f t="shared" si="10"/>
        <v>633266</v>
      </c>
      <c r="E24" s="276">
        <f t="shared" si="11"/>
        <v>1000</v>
      </c>
      <c r="F24" s="276">
        <f t="shared" si="0"/>
        <v>250</v>
      </c>
      <c r="G24" s="196"/>
      <c r="H24" s="260">
        <f t="shared" si="12"/>
        <v>11528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0"/>
        <v>ok</v>
      </c>
      <c r="R24" s="502">
        <v>13639</v>
      </c>
      <c r="S24" s="276">
        <f t="shared" si="4"/>
        <v>11</v>
      </c>
      <c r="T24" s="503">
        <f t="shared" si="18"/>
        <v>349262</v>
      </c>
      <c r="U24" s="276">
        <f t="shared" si="19"/>
        <v>2750</v>
      </c>
      <c r="V24" s="276">
        <v>250</v>
      </c>
      <c r="W24" s="196"/>
      <c r="X24" s="260">
        <v>13719</v>
      </c>
      <c r="Y24" s="276" t="str">
        <f t="shared" si="31"/>
        <v>ok</v>
      </c>
      <c r="Z24" s="276">
        <f t="shared" si="6"/>
        <v>15</v>
      </c>
      <c r="AA24" s="276">
        <f t="shared" si="20"/>
        <v>3750</v>
      </c>
      <c r="AB24" s="276">
        <f t="shared" si="21"/>
        <v>500</v>
      </c>
      <c r="AC24" s="276">
        <f t="shared" si="22"/>
        <v>250</v>
      </c>
      <c r="AD24" s="73">
        <f>ELEC!Q25</f>
        <v>7200.0000000007276</v>
      </c>
      <c r="AE24" s="73">
        <f t="shared" si="25"/>
        <v>480.00000000004849</v>
      </c>
      <c r="AF24" s="387">
        <f t="shared" si="26"/>
        <v>0.3000000000000303</v>
      </c>
      <c r="AG24" s="387">
        <f t="shared" si="26"/>
        <v>1.8750000000001892E-4</v>
      </c>
      <c r="AH24" s="388">
        <f t="shared" si="23"/>
        <v>249.99981249999999</v>
      </c>
      <c r="AI24" s="73">
        <f t="shared" si="27"/>
        <v>1853.1645569622128</v>
      </c>
      <c r="AJ24" s="278">
        <f t="shared" si="7"/>
        <v>0.25738396624472576</v>
      </c>
      <c r="AK24" s="278">
        <f t="shared" si="8"/>
        <v>123.54430379748085</v>
      </c>
      <c r="AL24">
        <f t="shared" si="24"/>
        <v>1</v>
      </c>
    </row>
    <row r="25" spans="1:38" ht="15.75" thickBot="1">
      <c r="A25" s="4">
        <f>ELEC!C26</f>
        <v>44615</v>
      </c>
      <c r="B25" s="502">
        <v>11493</v>
      </c>
      <c r="C25" s="276">
        <f t="shared" si="9"/>
        <v>12</v>
      </c>
      <c r="D25" s="503">
        <f t="shared" si="10"/>
        <v>636266</v>
      </c>
      <c r="E25" s="276">
        <f t="shared" si="11"/>
        <v>3000</v>
      </c>
      <c r="F25" s="276">
        <f t="shared" si="0"/>
        <v>250</v>
      </c>
      <c r="G25" s="196"/>
      <c r="H25" s="260">
        <f t="shared" si="12"/>
        <v>11528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0"/>
        <v>ok</v>
      </c>
      <c r="R25" s="502">
        <v>13640</v>
      </c>
      <c r="S25" s="276">
        <f t="shared" si="4"/>
        <v>1</v>
      </c>
      <c r="T25" s="503">
        <f t="shared" si="18"/>
        <v>349512</v>
      </c>
      <c r="U25" s="276">
        <f t="shared" si="19"/>
        <v>250</v>
      </c>
      <c r="V25" s="276">
        <v>250</v>
      </c>
      <c r="W25" s="196"/>
      <c r="X25" s="260">
        <v>13719</v>
      </c>
      <c r="Y25" s="276" t="str">
        <f t="shared" si="31"/>
        <v>ok</v>
      </c>
      <c r="Z25" s="276">
        <f t="shared" si="6"/>
        <v>13</v>
      </c>
      <c r="AA25" s="276">
        <f t="shared" si="20"/>
        <v>3250</v>
      </c>
      <c r="AB25" s="276">
        <f t="shared" si="21"/>
        <v>500</v>
      </c>
      <c r="AC25" s="276">
        <f t="shared" si="22"/>
        <v>250</v>
      </c>
      <c r="AD25" s="73">
        <f>ELEC!Q26</f>
        <v>6715.0000000001455</v>
      </c>
      <c r="AE25" s="73">
        <f t="shared" si="25"/>
        <v>516.53846153847269</v>
      </c>
      <c r="AF25" s="387">
        <f t="shared" si="26"/>
        <v>0.32283653846154542</v>
      </c>
      <c r="AG25" s="387">
        <f t="shared" si="26"/>
        <v>2.0177283653846588E-4</v>
      </c>
      <c r="AH25" s="388">
        <f t="shared" si="23"/>
        <v>249.99979822716347</v>
      </c>
      <c r="AI25" s="73">
        <f t="shared" si="27"/>
        <v>1728.333333333371</v>
      </c>
      <c r="AJ25" s="278">
        <f t="shared" si="7"/>
        <v>0.25738396624472576</v>
      </c>
      <c r="AK25" s="278">
        <f t="shared" si="8"/>
        <v>132.94871794872086</v>
      </c>
      <c r="AL25">
        <f t="shared" si="24"/>
        <v>1</v>
      </c>
    </row>
    <row r="26" spans="1:38" ht="15.75" thickBot="1">
      <c r="A26" s="4">
        <f>ELEC!C27</f>
        <v>44616</v>
      </c>
      <c r="B26" s="502">
        <v>11495</v>
      </c>
      <c r="C26" s="276">
        <f>B26-B25</f>
        <v>2</v>
      </c>
      <c r="D26" s="503">
        <f t="shared" si="10"/>
        <v>636766</v>
      </c>
      <c r="E26" s="276">
        <f>SUM(D26-D25)</f>
        <v>500</v>
      </c>
      <c r="F26" s="276">
        <f t="shared" si="0"/>
        <v>250</v>
      </c>
      <c r="G26" s="196"/>
      <c r="H26" s="260">
        <f t="shared" si="12"/>
        <v>11528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0"/>
        <v>ok</v>
      </c>
      <c r="R26" s="502">
        <v>13651</v>
      </c>
      <c r="S26" s="276">
        <f>R26-R25</f>
        <v>11</v>
      </c>
      <c r="T26" s="503">
        <f t="shared" si="18"/>
        <v>352262</v>
      </c>
      <c r="U26" s="276">
        <f t="shared" si="19"/>
        <v>2750</v>
      </c>
      <c r="V26" s="276">
        <v>250</v>
      </c>
      <c r="W26" s="196"/>
      <c r="X26" s="260">
        <v>13719</v>
      </c>
      <c r="Y26" s="276" t="str">
        <f t="shared" si="31"/>
        <v>ok</v>
      </c>
      <c r="Z26" s="276">
        <f t="shared" si="6"/>
        <v>13</v>
      </c>
      <c r="AA26" s="276">
        <f t="shared" si="20"/>
        <v>3250</v>
      </c>
      <c r="AB26" s="276">
        <f t="shared" si="21"/>
        <v>500</v>
      </c>
      <c r="AC26" s="276">
        <f t="shared" si="22"/>
        <v>250</v>
      </c>
      <c r="AD26" s="73">
        <f>ELEC!Q27</f>
        <v>6350.9999999987485</v>
      </c>
      <c r="AE26" s="73">
        <f t="shared" si="25"/>
        <v>488.53846153836525</v>
      </c>
      <c r="AF26" s="387">
        <f t="shared" si="26"/>
        <v>0.30533653846147829</v>
      </c>
      <c r="AG26" s="387">
        <f t="shared" si="26"/>
        <v>1.9083533653842393E-4</v>
      </c>
      <c r="AH26" s="388">
        <f t="shared" si="23"/>
        <v>249.99980916466347</v>
      </c>
      <c r="AI26" s="73">
        <f t="shared" si="27"/>
        <v>1634.6455696199312</v>
      </c>
      <c r="AJ26" s="278">
        <f t="shared" si="7"/>
        <v>0.25738396624472576</v>
      </c>
      <c r="AK26" s="278">
        <f t="shared" si="8"/>
        <v>125.74196689384085</v>
      </c>
      <c r="AL26">
        <f t="shared" si="24"/>
        <v>1</v>
      </c>
    </row>
    <row r="27" spans="1:38" ht="15.75" thickBot="1">
      <c r="A27" s="4">
        <f>ELEC!C28</f>
        <v>44617</v>
      </c>
      <c r="B27" s="502">
        <f t="shared" si="29"/>
        <v>11495</v>
      </c>
      <c r="C27" s="276">
        <f>B27-B26</f>
        <v>0</v>
      </c>
      <c r="D27" s="503">
        <f t="shared" si="10"/>
        <v>636766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11528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0"/>
        <v>ok</v>
      </c>
      <c r="R27" s="502">
        <f t="shared" si="28"/>
        <v>13651</v>
      </c>
      <c r="S27" s="276">
        <f t="shared" si="4"/>
        <v>0</v>
      </c>
      <c r="T27" s="503">
        <f t="shared" si="18"/>
        <v>352262</v>
      </c>
      <c r="U27" s="276">
        <f t="shared" si="19"/>
        <v>0</v>
      </c>
      <c r="V27" s="276">
        <v>250</v>
      </c>
      <c r="W27" s="196"/>
      <c r="X27" s="260">
        <v>13719</v>
      </c>
      <c r="Y27" s="276" t="str">
        <f t="shared" si="31"/>
        <v>ok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44618</v>
      </c>
      <c r="B28" s="502">
        <f t="shared" si="29"/>
        <v>11495</v>
      </c>
      <c r="C28" s="276">
        <f t="shared" si="9"/>
        <v>0</v>
      </c>
      <c r="D28" s="503">
        <f t="shared" si="10"/>
        <v>636766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11528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0"/>
        <v>ok</v>
      </c>
      <c r="R28" s="502">
        <f t="shared" si="28"/>
        <v>13651</v>
      </c>
      <c r="S28" s="276">
        <f t="shared" si="4"/>
        <v>0</v>
      </c>
      <c r="T28" s="503">
        <f t="shared" si="18"/>
        <v>352262</v>
      </c>
      <c r="U28" s="276">
        <f t="shared" si="19"/>
        <v>0</v>
      </c>
      <c r="V28" s="276">
        <v>250</v>
      </c>
      <c r="W28" s="196"/>
      <c r="X28" s="260">
        <v>13719</v>
      </c>
      <c r="Y28" s="276" t="str">
        <f t="shared" si="31"/>
        <v>ok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44619</v>
      </c>
      <c r="B29" s="502">
        <f t="shared" si="29"/>
        <v>11495</v>
      </c>
      <c r="C29" s="276">
        <f t="shared" si="9"/>
        <v>0</v>
      </c>
      <c r="D29" s="503">
        <f t="shared" si="10"/>
        <v>636766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11528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0"/>
        <v>ok</v>
      </c>
      <c r="R29" s="502">
        <f t="shared" si="28"/>
        <v>13651</v>
      </c>
      <c r="S29" s="276">
        <f t="shared" si="4"/>
        <v>0</v>
      </c>
      <c r="T29" s="503">
        <f>T28+U29</f>
        <v>352262</v>
      </c>
      <c r="U29" s="276">
        <f>V29*S29</f>
        <v>0</v>
      </c>
      <c r="V29" s="276">
        <v>250</v>
      </c>
      <c r="W29" s="196"/>
      <c r="X29" s="260">
        <v>13719</v>
      </c>
      <c r="Y29" s="276" t="str">
        <f t="shared" si="31"/>
        <v>ok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44620</v>
      </c>
      <c r="B30" s="502">
        <f t="shared" si="29"/>
        <v>11495</v>
      </c>
      <c r="C30" s="276">
        <f t="shared" si="9"/>
        <v>0</v>
      </c>
      <c r="D30" s="503">
        <f t="shared" si="10"/>
        <v>636766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11528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0"/>
        <v>ok</v>
      </c>
      <c r="R30" s="502">
        <f t="shared" si="28"/>
        <v>13651</v>
      </c>
      <c r="S30" s="276">
        <f t="shared" si="4"/>
        <v>0</v>
      </c>
      <c r="T30" s="503">
        <f t="shared" si="18"/>
        <v>352262</v>
      </c>
      <c r="U30" s="276">
        <f t="shared" si="19"/>
        <v>0</v>
      </c>
      <c r="V30" s="276">
        <v>250</v>
      </c>
      <c r="W30" s="274"/>
      <c r="X30" s="260">
        <v>13719</v>
      </c>
      <c r="Y30" s="276" t="str">
        <f t="shared" si="31"/>
        <v>ok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/>
      <c r="B31" s="502"/>
      <c r="C31" s="276"/>
      <c r="D31" s="503"/>
      <c r="E31" s="276"/>
      <c r="F31" s="276"/>
      <c r="G31" s="323"/>
      <c r="H31" s="260"/>
      <c r="I31" s="276"/>
      <c r="J31" s="502"/>
      <c r="K31" s="276"/>
      <c r="L31" s="503"/>
      <c r="M31" s="276"/>
      <c r="N31" s="276"/>
      <c r="O31" s="323"/>
      <c r="P31" s="277"/>
      <c r="Q31" s="276"/>
      <c r="R31" s="502"/>
      <c r="S31" s="276"/>
      <c r="T31" s="503"/>
      <c r="U31" s="276"/>
      <c r="V31" s="276"/>
      <c r="W31" s="323"/>
      <c r="X31" s="260"/>
      <c r="Y31" s="276"/>
      <c r="Z31" s="276"/>
      <c r="AA31" s="276"/>
      <c r="AB31" s="276"/>
      <c r="AC31" s="276"/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/>
      <c r="B32" s="502"/>
      <c r="C32" s="276"/>
      <c r="D32" s="503"/>
      <c r="E32" s="276"/>
      <c r="F32" s="276"/>
      <c r="G32" s="323"/>
      <c r="H32" s="260"/>
      <c r="I32" s="276"/>
      <c r="J32" s="502"/>
      <c r="K32" s="276"/>
      <c r="L32" s="503"/>
      <c r="M32" s="276"/>
      <c r="N32" s="276"/>
      <c r="O32" s="323"/>
      <c r="P32" s="277"/>
      <c r="Q32" s="276"/>
      <c r="R32" s="502"/>
      <c r="S32" s="276"/>
      <c r="T32" s="503"/>
      <c r="U32" s="276"/>
      <c r="V32" s="276"/>
      <c r="W32" s="323"/>
      <c r="X32" s="260"/>
      <c r="Y32" s="276"/>
      <c r="Z32" s="276"/>
      <c r="AA32" s="276"/>
      <c r="AB32" s="276"/>
      <c r="AC32" s="276"/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/>
      <c r="B33" s="502"/>
      <c r="C33" s="276"/>
      <c r="D33" s="503"/>
      <c r="E33" s="276"/>
      <c r="F33" s="276"/>
      <c r="G33" s="323"/>
      <c r="H33" s="260"/>
      <c r="I33" s="276"/>
      <c r="J33" s="502"/>
      <c r="K33" s="276"/>
      <c r="L33" s="503"/>
      <c r="M33" s="276"/>
      <c r="N33" s="276"/>
      <c r="O33" s="323"/>
      <c r="P33" s="277"/>
      <c r="Q33" s="276"/>
      <c r="R33" s="502"/>
      <c r="S33" s="276"/>
      <c r="T33" s="503"/>
      <c r="U33" s="276"/>
      <c r="V33" s="276"/>
      <c r="W33" s="323"/>
      <c r="X33" s="260"/>
      <c r="Y33" s="276"/>
      <c r="Z33" s="276"/>
      <c r="AA33" s="276"/>
      <c r="AB33" s="276"/>
      <c r="AC33" s="276"/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197</v>
      </c>
      <c r="V34" s="40"/>
      <c r="X34">
        <v>341</v>
      </c>
      <c r="Z34" s="404">
        <f>SUM(Z3:Z33)</f>
        <v>197</v>
      </c>
      <c r="AF34" s="387">
        <f>SUM(AE34/1600)</f>
        <v>0</v>
      </c>
      <c r="AL34">
        <f>SUM(AL3:AL33)</f>
        <v>17</v>
      </c>
    </row>
    <row r="35" spans="1:38">
      <c r="C35" s="40">
        <f>SUM(C3:C33)</f>
        <v>67</v>
      </c>
      <c r="K35" s="40">
        <f>SUM(K3:K33)</f>
        <v>0</v>
      </c>
      <c r="S35" s="40">
        <f>SUM(S3:S33)</f>
        <v>130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opLeftCell="A7" zoomScale="85" zoomScaleNormal="85" workbookViewId="0">
      <pane xSplit="1" topLeftCell="AB1" activePane="topRight" state="frozen"/>
      <selection pane="topRight" activeCell="T27" sqref="T2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44592</v>
      </c>
      <c r="B5" s="499">
        <f>[2]tanks!B36</f>
        <v>162</v>
      </c>
      <c r="C5" s="499">
        <f>[2]tanks!C36</f>
        <v>3485.6129032258063</v>
      </c>
      <c r="D5" s="499">
        <f>[2]tanks!D36</f>
        <v>162</v>
      </c>
      <c r="E5" s="499">
        <f>[2]tanks!E36</f>
        <v>3485.6129032258063</v>
      </c>
      <c r="F5" s="499">
        <f>[2]tanks!F36</f>
        <v>162</v>
      </c>
      <c r="G5" s="499">
        <f>[2]tanks!G36</f>
        <v>3485.6129032258063</v>
      </c>
      <c r="H5" s="499">
        <f>[2]tanks!H36</f>
        <v>162</v>
      </c>
      <c r="I5" s="499">
        <f>[2]tanks!I36</f>
        <v>3485.6129032258063</v>
      </c>
      <c r="J5" s="499">
        <f>[2]tanks!J36</f>
        <v>162</v>
      </c>
      <c r="K5" s="499">
        <f>[2]tanks!K36</f>
        <v>3485.6129032258063</v>
      </c>
      <c r="L5" s="499">
        <f>[2]tanks!L36</f>
        <v>162</v>
      </c>
      <c r="M5" s="499">
        <f>[2]tanks!M36</f>
        <v>3485.6129032258063</v>
      </c>
      <c r="N5" s="499">
        <f>[2]tanks!N36</f>
        <v>162</v>
      </c>
      <c r="O5" s="499">
        <f>[2]tanks!O36</f>
        <v>3485.6129032258063</v>
      </c>
      <c r="P5" s="499">
        <f>[2]tanks!P36</f>
        <v>162</v>
      </c>
      <c r="Q5" s="499">
        <f>[2]tanks!Q36</f>
        <v>3485.6129032258063</v>
      </c>
      <c r="R5" s="499">
        <f>[2]tanks!R36</f>
        <v>162</v>
      </c>
      <c r="S5" s="499">
        <f>[2]tanks!S36</f>
        <v>3485.6129032258063</v>
      </c>
      <c r="T5" s="499">
        <f>[2]tanks!T36</f>
        <v>162</v>
      </c>
      <c r="U5" s="499">
        <f>[2]tanks!U36</f>
        <v>3485.6129032258063</v>
      </c>
      <c r="V5" s="499">
        <f>[2]tanks!V36</f>
        <v>162</v>
      </c>
      <c r="W5" s="499">
        <f>[2]tanks!W36</f>
        <v>3485.6129032258063</v>
      </c>
      <c r="X5" s="476">
        <f>[2]tanks!X36</f>
        <v>0.52258064516129021</v>
      </c>
      <c r="Y5" s="499">
        <f>[2]tanks!Y36</f>
        <v>38341.741935483864</v>
      </c>
      <c r="Z5" s="499">
        <f>[2]tanks!Z36</f>
        <v>169</v>
      </c>
      <c r="AA5" s="499">
        <f>[2]tanks!AA36</f>
        <v>1690</v>
      </c>
      <c r="AB5" s="499">
        <f>[2]tanks!AB36</f>
        <v>169</v>
      </c>
      <c r="AC5" s="499">
        <f>[2]tanks!AC36</f>
        <v>1690</v>
      </c>
      <c r="AD5" s="499">
        <f>[2]tanks!AD36</f>
        <v>169</v>
      </c>
      <c r="AE5" s="499">
        <f>[2]tanks!AE36</f>
        <v>1690</v>
      </c>
      <c r="AF5" s="499">
        <f>[2]tanks!AF36</f>
        <v>169</v>
      </c>
      <c r="AG5" s="499">
        <f>[2]tanks!AG36</f>
        <v>1690</v>
      </c>
      <c r="AH5" s="499">
        <f>[2]tanks!AH36</f>
        <v>169</v>
      </c>
      <c r="AI5" s="499">
        <f>[2]tanks!AI36</f>
        <v>1690</v>
      </c>
      <c r="AJ5" s="499">
        <f>[2]tanks!AJ36</f>
        <v>169</v>
      </c>
      <c r="AK5" s="499">
        <f>[2]tanks!AK36</f>
        <v>1690</v>
      </c>
      <c r="AL5" s="499">
        <f>[2]tanks!AL36</f>
        <v>169</v>
      </c>
      <c r="AM5" s="499">
        <f>[2]tanks!AM36</f>
        <v>1690</v>
      </c>
      <c r="AN5" s="476">
        <f>[2]tanks!AN36</f>
        <v>0.60357142857142854</v>
      </c>
      <c r="AO5" s="499">
        <f>[2]tanks!AO36</f>
        <v>11830</v>
      </c>
      <c r="AP5" s="499"/>
      <c r="AQ5" s="476">
        <f>[2]tanks!AQ36</f>
        <v>0.53965517839608335</v>
      </c>
      <c r="AR5" s="576">
        <f>[2]tanks!AR36</f>
        <v>50171.741935483864</v>
      </c>
      <c r="AS5" s="576">
        <f>[2]tanks!AS36</f>
        <v>-2146.7419354838785</v>
      </c>
      <c r="AT5" s="576">
        <f>[2]tanks!AT36</f>
        <v>0</v>
      </c>
      <c r="AU5" s="576">
        <f>[2]tanks!AU36</f>
        <v>0</v>
      </c>
      <c r="AV5" s="576">
        <f>[2]tanks!AV36</f>
        <v>0.63800000000000001</v>
      </c>
      <c r="AW5" s="576">
        <f>[2]tanks!AW36</f>
        <v>0</v>
      </c>
      <c r="AX5" s="576">
        <f>[2]tanks!AX36</f>
        <v>-2146.7419354838785</v>
      </c>
      <c r="AY5" s="576">
        <f>[2]tanks!AY36</f>
        <v>-2146.7419354838785</v>
      </c>
      <c r="AZ5" s="476">
        <f>[2]tanks!AZ36</f>
        <v>0</v>
      </c>
      <c r="BA5" s="576">
        <f>[2]tanks!BA36</f>
        <v>14</v>
      </c>
      <c r="BB5" s="476">
        <f>[2]tanks!BB36</f>
        <v>0.61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44593</v>
      </c>
      <c r="B6" s="499">
        <f>'B5'!B5</f>
        <v>153</v>
      </c>
      <c r="C6" s="203">
        <f>B6*$B$4</f>
        <v>3291.9677419354839</v>
      </c>
      <c r="D6">
        <f>SUM(B6)</f>
        <v>153</v>
      </c>
      <c r="E6" s="203">
        <f>D6*$B$4</f>
        <v>3291.9677419354839</v>
      </c>
      <c r="F6">
        <f>SUM(D6)</f>
        <v>153</v>
      </c>
      <c r="G6" s="203">
        <f t="shared" ref="G6:G33" si="1">F6*$B$4</f>
        <v>3291.9677419354839</v>
      </c>
      <c r="H6" s="203">
        <f>SUM(F6)</f>
        <v>153</v>
      </c>
      <c r="I6" s="203">
        <f t="shared" ref="I6:I33" si="2">H6*$B$4</f>
        <v>3291.9677419354839</v>
      </c>
      <c r="J6" s="203">
        <f>SUM(H6)</f>
        <v>153</v>
      </c>
      <c r="K6" s="203">
        <f t="shared" ref="K6:K33" si="3">J6*$B$4</f>
        <v>3291.9677419354839</v>
      </c>
      <c r="L6" s="203">
        <f>SUM(J6)</f>
        <v>153</v>
      </c>
      <c r="M6" s="203">
        <f t="shared" ref="M6:M33" si="4">L6*$B$4</f>
        <v>3291.9677419354839</v>
      </c>
      <c r="N6" s="203">
        <f>SUM(L6)</f>
        <v>153</v>
      </c>
      <c r="O6" s="203">
        <f t="shared" ref="O6:O33" si="5">N6*$B$4</f>
        <v>3291.9677419354839</v>
      </c>
      <c r="P6" s="203">
        <f>SUM(N6)</f>
        <v>153</v>
      </c>
      <c r="Q6" s="203">
        <f t="shared" ref="Q6:Q33" si="6">P6*$B$4</f>
        <v>3291.9677419354839</v>
      </c>
      <c r="R6" s="203">
        <f>SUM(P6)</f>
        <v>153</v>
      </c>
      <c r="S6" s="203">
        <f t="shared" ref="S6:S33" si="7">R6*$B$4</f>
        <v>3291.9677419354839</v>
      </c>
      <c r="T6" s="203">
        <f>SUM(R6)</f>
        <v>153</v>
      </c>
      <c r="U6" s="203">
        <f t="shared" ref="U6:U33" si="8">T6*$B$4</f>
        <v>3291.9677419354839</v>
      </c>
      <c r="V6" s="203">
        <f>SUM(T6)</f>
        <v>153</v>
      </c>
      <c r="W6" s="203">
        <f t="shared" ref="W6:W33" si="9">V6*$B$4</f>
        <v>3291.9677419354839</v>
      </c>
      <c r="X6" s="35">
        <f t="shared" ref="X6:X29" si="10">SUM(Y6/73370)</f>
        <v>0.49354838709677423</v>
      </c>
      <c r="Y6" s="36">
        <f>SUM(C6+E6+G6+I6+K6+M6+O6+Q6+S6+U6+W6)</f>
        <v>36211.645161290326</v>
      </c>
      <c r="Z6" s="203">
        <f>'B5'!C5</f>
        <v>160</v>
      </c>
      <c r="AA6" s="203">
        <f>SUM(Z6*$Z$4)</f>
        <v>1600</v>
      </c>
      <c r="AB6" s="203">
        <f>SUM(Z6)</f>
        <v>160</v>
      </c>
      <c r="AC6" s="203">
        <f>SUM(AB6*$Z$4)</f>
        <v>1600</v>
      </c>
      <c r="AD6" s="203">
        <f>SUM(AB6)</f>
        <v>160</v>
      </c>
      <c r="AE6" s="203">
        <f t="shared" ref="AE6:AE33" si="11">SUM(AD6*$Z$4)</f>
        <v>1600</v>
      </c>
      <c r="AF6" s="203">
        <f>SUM(AD6)</f>
        <v>160</v>
      </c>
      <c r="AG6" s="203">
        <f t="shared" ref="AG6:AG33" si="12">SUM(AF6*$Z$4)</f>
        <v>1600</v>
      </c>
      <c r="AH6" s="203">
        <f>SUM(AF6)</f>
        <v>160</v>
      </c>
      <c r="AI6" s="203">
        <f t="shared" ref="AI6:AI33" si="13">SUM(AH6*$Z$4)</f>
        <v>1600</v>
      </c>
      <c r="AJ6" s="203">
        <f>SUM(AH6)</f>
        <v>160</v>
      </c>
      <c r="AK6" s="203">
        <f t="shared" ref="AK6:AK33" si="14">SUM(AJ6*$Z$4)</f>
        <v>1600</v>
      </c>
      <c r="AL6" s="203">
        <f>SUM(AJ6)</f>
        <v>160</v>
      </c>
      <c r="AM6" s="203">
        <f t="shared" ref="AM6:AM33" si="15">SUM(AL6*$Z$4)</f>
        <v>1600</v>
      </c>
      <c r="AN6" s="35">
        <f t="shared" ref="AN6:AN29" si="16">SUM(AO6/19600)</f>
        <v>0.5714285714285714</v>
      </c>
      <c r="AO6" s="36">
        <f>SUM(AA6+AC6+AE6+AG6+AI6+AK6+AM6)</f>
        <v>11200</v>
      </c>
      <c r="AQ6" s="223">
        <f>SUM(AR6/92970)</f>
        <v>0.50996714167247847</v>
      </c>
      <c r="AR6" s="38">
        <f>Y6+AO6</f>
        <v>47411.645161290326</v>
      </c>
      <c r="AS6" s="197">
        <f>SUM(AR6-AR5-AT6)</f>
        <v>-2760.0967741935383</v>
      </c>
      <c r="AT6" s="340"/>
      <c r="AU6" s="549"/>
      <c r="AV6" s="485">
        <f>IF(AT6&gt;0,AU6,AV5)</f>
        <v>0.63800000000000001</v>
      </c>
      <c r="AW6" s="279">
        <f>-SUM('B5'!AI5)</f>
        <v>-485</v>
      </c>
      <c r="AX6" s="279">
        <f t="shared" ref="AX6:AX33" si="17">-SUM(AW6-AS6)</f>
        <v>-2275.0967741935383</v>
      </c>
      <c r="AY6" s="37">
        <f>SUM(AX6+AW6)</f>
        <v>-2760.0967741935383</v>
      </c>
      <c r="AZ6" s="100">
        <f>ELEC!A4</f>
        <v>0</v>
      </c>
      <c r="BA6" s="118">
        <f>'General information '!D5</f>
        <v>14.5</v>
      </c>
      <c r="BB6" s="269">
        <f>SUM('General information '!E5)</f>
        <v>0.59</v>
      </c>
      <c r="BC6" s="3">
        <f>IF(AR3&gt;=AR6,0,1)</f>
        <v>0</v>
      </c>
      <c r="BD6" s="102">
        <v>19222</v>
      </c>
      <c r="BE6" s="14">
        <f>(305/1185)*ELEC!Q5</f>
        <v>1433.8860759493448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-189.59139784946152</v>
      </c>
      <c r="BK6" s="538">
        <f>GEN!AF3</f>
        <v>0.2974038461539189</v>
      </c>
    </row>
    <row r="7" spans="1:63">
      <c r="A7" s="425">
        <f>ELEC!C5</f>
        <v>44594</v>
      </c>
      <c r="B7">
        <f>'B5'!B6</f>
        <v>145</v>
      </c>
      <c r="C7" s="203">
        <f t="shared" ref="C7:E33" si="18">B7*$B$4</f>
        <v>3119.8387096774195</v>
      </c>
      <c r="D7">
        <f t="shared" ref="D7:D29" si="19">SUM(B7)</f>
        <v>145</v>
      </c>
      <c r="E7" s="203">
        <f t="shared" si="18"/>
        <v>3119.8387096774195</v>
      </c>
      <c r="F7">
        <f t="shared" ref="F7:F29" si="20">SUM(D7)</f>
        <v>145</v>
      </c>
      <c r="G7" s="203">
        <f t="shared" si="1"/>
        <v>3119.8387096774195</v>
      </c>
      <c r="H7" s="203">
        <f t="shared" ref="H7:H29" si="21">SUM(F7)</f>
        <v>145</v>
      </c>
      <c r="I7" s="203">
        <f t="shared" si="2"/>
        <v>3119.8387096774195</v>
      </c>
      <c r="J7" s="203">
        <f t="shared" ref="J7:J29" si="22">SUM(H7)</f>
        <v>145</v>
      </c>
      <c r="K7" s="203">
        <f t="shared" si="3"/>
        <v>3119.8387096774195</v>
      </c>
      <c r="L7" s="203">
        <f t="shared" ref="L7:L29" si="23">SUM(J7)</f>
        <v>145</v>
      </c>
      <c r="M7" s="203">
        <f t="shared" si="4"/>
        <v>3119.8387096774195</v>
      </c>
      <c r="N7" s="203">
        <f t="shared" ref="N7:N29" si="24">SUM(L7)</f>
        <v>145</v>
      </c>
      <c r="O7" s="203">
        <f t="shared" si="5"/>
        <v>3119.8387096774195</v>
      </c>
      <c r="P7" s="203">
        <f t="shared" ref="P7:P29" si="25">SUM(N7)</f>
        <v>145</v>
      </c>
      <c r="Q7" s="203">
        <f t="shared" si="6"/>
        <v>3119.8387096774195</v>
      </c>
      <c r="R7" s="203">
        <f t="shared" ref="R7:R29" si="26">SUM(P7)</f>
        <v>145</v>
      </c>
      <c r="S7" s="203">
        <f t="shared" si="7"/>
        <v>3119.8387096774195</v>
      </c>
      <c r="T7" s="203">
        <f t="shared" ref="T7:T29" si="27">SUM(R7)</f>
        <v>145</v>
      </c>
      <c r="U7" s="203">
        <f t="shared" si="8"/>
        <v>3119.8387096774195</v>
      </c>
      <c r="V7" s="203">
        <f t="shared" ref="V7:V29" si="28">SUM(T7)</f>
        <v>145</v>
      </c>
      <c r="W7" s="203">
        <f t="shared" si="9"/>
        <v>3119.8387096774195</v>
      </c>
      <c r="X7" s="35">
        <f t="shared" si="10"/>
        <v>0.46774193548387105</v>
      </c>
      <c r="Y7" s="36">
        <f t="shared" ref="Y7:Y29" si="29">SUM(C7+E7+G7+I7+K7+M7+O7+Q7+S7+U7+W7)</f>
        <v>34318.225806451621</v>
      </c>
      <c r="Z7" s="203">
        <f>'B5'!C6</f>
        <v>152</v>
      </c>
      <c r="AA7" s="203">
        <f t="shared" ref="AA7:AC33" si="30">SUM(Z7*$Z$4)</f>
        <v>1520</v>
      </c>
      <c r="AB7" s="203">
        <f t="shared" ref="AB7:AB29" si="31">SUM(Z7)</f>
        <v>152</v>
      </c>
      <c r="AC7" s="203">
        <f t="shared" si="30"/>
        <v>1520</v>
      </c>
      <c r="AD7" s="203">
        <f t="shared" ref="AD7:AD29" si="32">SUM(AB7)</f>
        <v>152</v>
      </c>
      <c r="AE7" s="203">
        <f t="shared" si="11"/>
        <v>1520</v>
      </c>
      <c r="AF7" s="203">
        <f t="shared" ref="AF7:AF29" si="33">SUM(AD7)</f>
        <v>152</v>
      </c>
      <c r="AG7" s="203">
        <f t="shared" si="12"/>
        <v>1520</v>
      </c>
      <c r="AH7" s="203">
        <f t="shared" ref="AH7:AH29" si="34">SUM(AF7)</f>
        <v>152</v>
      </c>
      <c r="AI7" s="203">
        <f t="shared" si="13"/>
        <v>1520</v>
      </c>
      <c r="AJ7" s="203">
        <f t="shared" ref="AJ7:AJ29" si="35">SUM(AH7)</f>
        <v>152</v>
      </c>
      <c r="AK7" s="203">
        <f t="shared" si="14"/>
        <v>1520</v>
      </c>
      <c r="AL7" s="203">
        <f t="shared" ref="AL7:AL29" si="36">SUM(AJ7)</f>
        <v>152</v>
      </c>
      <c r="AM7" s="203">
        <f t="shared" si="15"/>
        <v>1520</v>
      </c>
      <c r="AN7" s="35">
        <f t="shared" si="16"/>
        <v>0.54285714285714282</v>
      </c>
      <c r="AO7" s="36">
        <f>SUM(AA7+AC7+AE7+AG7+AI7+AK7+AM7)</f>
        <v>10640</v>
      </c>
      <c r="AQ7" s="223">
        <f t="shared" ref="AQ7:AQ33" si="37">SUM(AR7/92970)</f>
        <v>0.48357777569594085</v>
      </c>
      <c r="AR7" s="38">
        <f t="shared" ref="AR7:AR33" si="38">Y7+AO7</f>
        <v>44958.225806451621</v>
      </c>
      <c r="AS7" s="197">
        <f>SUM(AR7-AR6-AT7)</f>
        <v>-2453.4193548387047</v>
      </c>
      <c r="AT7" s="340"/>
      <c r="AU7" s="549"/>
      <c r="AV7" s="485">
        <f>IF(AT7&gt;0,AU7,AV6)</f>
        <v>0.63800000000000001</v>
      </c>
      <c r="AW7" s="279">
        <f>-SUM('B5'!AI6)</f>
        <v>-503</v>
      </c>
      <c r="AX7" s="279">
        <f t="shared" si="17"/>
        <v>-1950.4193548387047</v>
      </c>
      <c r="AY7" s="37">
        <f t="shared" ref="AY7:AY33" si="39">SUM(AX7+AW7)</f>
        <v>-2453.4193548387047</v>
      </c>
      <c r="AZ7" s="100">
        <f>ELEC!A5</f>
        <v>0</v>
      </c>
      <c r="BA7" s="118">
        <f>'General information '!D6</f>
        <v>15</v>
      </c>
      <c r="BB7" s="378">
        <f>SUM('General information '!E6)</f>
        <v>0.48</v>
      </c>
      <c r="BC7" s="3">
        <v>0</v>
      </c>
      <c r="BD7" s="102">
        <v>19222</v>
      </c>
      <c r="BE7" s="14">
        <f>(305/1185)*ELEC!Q6</f>
        <v>1423.3333333330338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-130.02795698924697</v>
      </c>
      <c r="BK7" s="538">
        <f>GEN!AF4</f>
        <v>0.31653409090908596</v>
      </c>
    </row>
    <row r="8" spans="1:63">
      <c r="A8" s="425">
        <f>ELEC!C6</f>
        <v>44595</v>
      </c>
      <c r="B8">
        <f>'B5'!B7</f>
        <v>137</v>
      </c>
      <c r="C8" s="203">
        <f t="shared" si="18"/>
        <v>2947.7096774193546</v>
      </c>
      <c r="D8">
        <f t="shared" si="19"/>
        <v>137</v>
      </c>
      <c r="E8" s="203">
        <f t="shared" si="18"/>
        <v>2947.7096774193546</v>
      </c>
      <c r="F8">
        <f t="shared" si="20"/>
        <v>137</v>
      </c>
      <c r="G8" s="203">
        <f t="shared" si="1"/>
        <v>2947.7096774193546</v>
      </c>
      <c r="H8" s="203">
        <f t="shared" si="21"/>
        <v>137</v>
      </c>
      <c r="I8" s="203">
        <f t="shared" si="2"/>
        <v>2947.7096774193546</v>
      </c>
      <c r="J8" s="203">
        <f t="shared" si="22"/>
        <v>137</v>
      </c>
      <c r="K8" s="203">
        <f t="shared" si="3"/>
        <v>2947.7096774193546</v>
      </c>
      <c r="L8" s="203">
        <f t="shared" si="23"/>
        <v>137</v>
      </c>
      <c r="M8" s="203">
        <f t="shared" si="4"/>
        <v>2947.7096774193546</v>
      </c>
      <c r="N8" s="203">
        <f t="shared" si="24"/>
        <v>137</v>
      </c>
      <c r="O8" s="203">
        <f t="shared" si="5"/>
        <v>2947.7096774193546</v>
      </c>
      <c r="P8" s="203">
        <f t="shared" si="25"/>
        <v>137</v>
      </c>
      <c r="Q8" s="203">
        <f t="shared" si="6"/>
        <v>2947.7096774193546</v>
      </c>
      <c r="R8" s="203">
        <f t="shared" si="26"/>
        <v>137</v>
      </c>
      <c r="S8" s="203">
        <f t="shared" si="7"/>
        <v>2947.7096774193546</v>
      </c>
      <c r="T8" s="203">
        <f t="shared" si="27"/>
        <v>137</v>
      </c>
      <c r="U8" s="203">
        <f t="shared" si="8"/>
        <v>2947.7096774193546</v>
      </c>
      <c r="V8" s="203">
        <f t="shared" si="28"/>
        <v>137</v>
      </c>
      <c r="W8" s="203">
        <f t="shared" si="9"/>
        <v>2947.7096774193546</v>
      </c>
      <c r="X8" s="35">
        <f t="shared" si="10"/>
        <v>0.44193548387096782</v>
      </c>
      <c r="Y8" s="36">
        <f t="shared" si="29"/>
        <v>32424.806451612909</v>
      </c>
      <c r="Z8" s="203">
        <f>'B5'!C7</f>
        <v>145</v>
      </c>
      <c r="AA8" s="203">
        <f t="shared" si="30"/>
        <v>1450</v>
      </c>
      <c r="AB8" s="203">
        <f t="shared" si="31"/>
        <v>145</v>
      </c>
      <c r="AC8" s="203">
        <f t="shared" si="30"/>
        <v>1450</v>
      </c>
      <c r="AD8" s="203">
        <f t="shared" si="32"/>
        <v>145</v>
      </c>
      <c r="AE8" s="203">
        <f t="shared" si="11"/>
        <v>1450</v>
      </c>
      <c r="AF8" s="203">
        <f t="shared" si="33"/>
        <v>145</v>
      </c>
      <c r="AG8" s="203">
        <f t="shared" si="12"/>
        <v>1450</v>
      </c>
      <c r="AH8" s="203">
        <f t="shared" si="34"/>
        <v>145</v>
      </c>
      <c r="AI8" s="203">
        <f t="shared" si="13"/>
        <v>1450</v>
      </c>
      <c r="AJ8" s="203">
        <f t="shared" si="35"/>
        <v>145</v>
      </c>
      <c r="AK8" s="203">
        <f t="shared" si="14"/>
        <v>1450</v>
      </c>
      <c r="AL8" s="203">
        <f t="shared" si="36"/>
        <v>145</v>
      </c>
      <c r="AM8" s="203">
        <f t="shared" si="15"/>
        <v>1450</v>
      </c>
      <c r="AN8" s="35">
        <f t="shared" si="16"/>
        <v>0.5178571428571429</v>
      </c>
      <c r="AO8" s="36">
        <f t="shared" ref="AO8:AO29" si="41">SUM(AA8+AC8+AE8+AG8+AI8+AK8+AM8)</f>
        <v>10150</v>
      </c>
      <c r="AQ8" s="223">
        <f t="shared" si="37"/>
        <v>0.45794134077243098</v>
      </c>
      <c r="AR8" s="38">
        <f t="shared" si="38"/>
        <v>42574.806451612909</v>
      </c>
      <c r="AS8" s="197">
        <f t="shared" ref="AS8:AS17" si="42">SUM(AR8-AR7-AT8)</f>
        <v>-2383.419354838712</v>
      </c>
      <c r="AT8" s="340"/>
      <c r="AU8" s="549"/>
      <c r="AV8" s="485">
        <f t="shared" ref="AV8:AV31" si="43">IF(AT8&gt;0,AU8,AV7)</f>
        <v>0.63800000000000001</v>
      </c>
      <c r="AW8" s="279">
        <f>-SUM('B5'!AI7)</f>
        <v>-323</v>
      </c>
      <c r="AX8" s="279">
        <f t="shared" si="17"/>
        <v>-2060.419354838712</v>
      </c>
      <c r="AY8" s="37">
        <f t="shared" si="39"/>
        <v>-2383.419354838712</v>
      </c>
      <c r="AZ8" s="100">
        <f>ELEC!A6</f>
        <v>0</v>
      </c>
      <c r="BA8" s="118">
        <f>'General information '!D7</f>
        <v>15</v>
      </c>
      <c r="BB8" s="378">
        <f>SUM('General information '!E7)</f>
        <v>0.5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-228.935483870968</v>
      </c>
      <c r="BK8" s="538">
        <f>GEN!AF5</f>
        <v>0.31420454545447929</v>
      </c>
    </row>
    <row r="9" spans="1:63">
      <c r="A9" s="425">
        <f>ELEC!C7</f>
        <v>44596</v>
      </c>
      <c r="B9">
        <f>'B5'!B8</f>
        <v>137</v>
      </c>
      <c r="C9" s="203">
        <f t="shared" si="18"/>
        <v>2947.7096774193546</v>
      </c>
      <c r="D9">
        <f t="shared" si="19"/>
        <v>137</v>
      </c>
      <c r="E9" s="203">
        <f t="shared" si="18"/>
        <v>2947.7096774193546</v>
      </c>
      <c r="F9">
        <f t="shared" si="20"/>
        <v>137</v>
      </c>
      <c r="G9" s="203">
        <f t="shared" si="1"/>
        <v>2947.7096774193546</v>
      </c>
      <c r="H9" s="203">
        <f t="shared" si="21"/>
        <v>137</v>
      </c>
      <c r="I9" s="203">
        <f t="shared" si="2"/>
        <v>2947.7096774193546</v>
      </c>
      <c r="J9" s="203">
        <f t="shared" si="22"/>
        <v>137</v>
      </c>
      <c r="K9" s="203">
        <f t="shared" si="3"/>
        <v>2947.7096774193546</v>
      </c>
      <c r="L9" s="203">
        <f t="shared" si="23"/>
        <v>137</v>
      </c>
      <c r="M9" s="203">
        <f t="shared" si="4"/>
        <v>2947.7096774193546</v>
      </c>
      <c r="N9" s="203">
        <f t="shared" si="24"/>
        <v>137</v>
      </c>
      <c r="O9" s="203">
        <f t="shared" si="5"/>
        <v>2947.7096774193546</v>
      </c>
      <c r="P9" s="203">
        <f t="shared" si="25"/>
        <v>137</v>
      </c>
      <c r="Q9" s="203">
        <f t="shared" si="6"/>
        <v>2947.7096774193546</v>
      </c>
      <c r="R9" s="203">
        <f t="shared" si="26"/>
        <v>137</v>
      </c>
      <c r="S9" s="203">
        <f t="shared" si="7"/>
        <v>2947.7096774193546</v>
      </c>
      <c r="T9" s="203">
        <f t="shared" si="27"/>
        <v>137</v>
      </c>
      <c r="U9" s="203">
        <f t="shared" si="8"/>
        <v>2947.7096774193546</v>
      </c>
      <c r="V9" s="203">
        <f t="shared" si="28"/>
        <v>137</v>
      </c>
      <c r="W9" s="203">
        <f t="shared" si="9"/>
        <v>2947.7096774193546</v>
      </c>
      <c r="X9" s="35">
        <f t="shared" si="10"/>
        <v>0.44193548387096782</v>
      </c>
      <c r="Y9" s="36">
        <f t="shared" si="29"/>
        <v>32424.806451612909</v>
      </c>
      <c r="Z9" s="203">
        <f>'B5'!C8</f>
        <v>145</v>
      </c>
      <c r="AA9" s="203">
        <f t="shared" si="30"/>
        <v>1450</v>
      </c>
      <c r="AB9" s="203">
        <f t="shared" si="31"/>
        <v>145</v>
      </c>
      <c r="AC9" s="203">
        <f t="shared" si="30"/>
        <v>1450</v>
      </c>
      <c r="AD9" s="203">
        <f t="shared" si="32"/>
        <v>145</v>
      </c>
      <c r="AE9" s="203">
        <f t="shared" si="11"/>
        <v>1450</v>
      </c>
      <c r="AF9" s="203">
        <f t="shared" si="33"/>
        <v>145</v>
      </c>
      <c r="AG9" s="203">
        <f t="shared" si="12"/>
        <v>1450</v>
      </c>
      <c r="AH9" s="203">
        <f t="shared" si="34"/>
        <v>145</v>
      </c>
      <c r="AI9" s="203">
        <f t="shared" si="13"/>
        <v>1450</v>
      </c>
      <c r="AJ9" s="203">
        <f t="shared" si="35"/>
        <v>145</v>
      </c>
      <c r="AK9" s="203">
        <f t="shared" si="14"/>
        <v>1450</v>
      </c>
      <c r="AL9" s="203">
        <f t="shared" si="36"/>
        <v>145</v>
      </c>
      <c r="AM9" s="203">
        <f t="shared" si="15"/>
        <v>1450</v>
      </c>
      <c r="AN9" s="35">
        <f t="shared" si="16"/>
        <v>0.5178571428571429</v>
      </c>
      <c r="AO9" s="36">
        <f>SUM(AA9+AC9+AE9+AG9+AI9+AK9+AM9)</f>
        <v>10150</v>
      </c>
      <c r="AQ9" s="223">
        <f t="shared" si="37"/>
        <v>0.45794134077243098</v>
      </c>
      <c r="AR9" s="38">
        <f t="shared" si="38"/>
        <v>42574.806451612909</v>
      </c>
      <c r="AS9" s="197">
        <f t="shared" si="42"/>
        <v>0</v>
      </c>
      <c r="AT9" s="340"/>
      <c r="AU9" s="549"/>
      <c r="AV9" s="485">
        <f t="shared" si="43"/>
        <v>0.63800000000000001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44597</v>
      </c>
      <c r="B10">
        <f>'B5'!B9</f>
        <v>137</v>
      </c>
      <c r="C10" s="203">
        <f t="shared" si="18"/>
        <v>2947.7096774193546</v>
      </c>
      <c r="D10">
        <f t="shared" si="19"/>
        <v>137</v>
      </c>
      <c r="E10" s="203">
        <f t="shared" si="18"/>
        <v>2947.7096774193546</v>
      </c>
      <c r="F10">
        <f t="shared" si="20"/>
        <v>137</v>
      </c>
      <c r="G10" s="203">
        <f t="shared" si="1"/>
        <v>2947.7096774193546</v>
      </c>
      <c r="H10" s="203">
        <f t="shared" si="21"/>
        <v>137</v>
      </c>
      <c r="I10" s="203">
        <f t="shared" si="2"/>
        <v>2947.7096774193546</v>
      </c>
      <c r="J10" s="203">
        <f t="shared" si="22"/>
        <v>137</v>
      </c>
      <c r="K10" s="203">
        <f t="shared" si="3"/>
        <v>2947.7096774193546</v>
      </c>
      <c r="L10" s="203">
        <f t="shared" si="23"/>
        <v>137</v>
      </c>
      <c r="M10" s="203">
        <f t="shared" si="4"/>
        <v>2947.7096774193546</v>
      </c>
      <c r="N10" s="203">
        <f t="shared" si="24"/>
        <v>137</v>
      </c>
      <c r="O10" s="203">
        <f t="shared" si="5"/>
        <v>2947.7096774193546</v>
      </c>
      <c r="P10" s="203">
        <f t="shared" si="25"/>
        <v>137</v>
      </c>
      <c r="Q10" s="203">
        <f t="shared" si="6"/>
        <v>2947.7096774193546</v>
      </c>
      <c r="R10" s="203">
        <f t="shared" si="26"/>
        <v>137</v>
      </c>
      <c r="S10" s="203">
        <f t="shared" si="7"/>
        <v>2947.7096774193546</v>
      </c>
      <c r="T10" s="203">
        <f t="shared" si="27"/>
        <v>137</v>
      </c>
      <c r="U10" s="203">
        <f t="shared" si="8"/>
        <v>2947.7096774193546</v>
      </c>
      <c r="V10" s="203">
        <f t="shared" si="28"/>
        <v>137</v>
      </c>
      <c r="W10" s="203">
        <f t="shared" si="9"/>
        <v>2947.7096774193546</v>
      </c>
      <c r="X10" s="35">
        <f t="shared" si="10"/>
        <v>0.44193548387096782</v>
      </c>
      <c r="Y10" s="36">
        <f t="shared" si="29"/>
        <v>32424.806451612909</v>
      </c>
      <c r="Z10" s="203">
        <f>'B5'!C9</f>
        <v>145</v>
      </c>
      <c r="AA10" s="203">
        <f t="shared" si="30"/>
        <v>1450</v>
      </c>
      <c r="AB10" s="203">
        <f t="shared" si="31"/>
        <v>145</v>
      </c>
      <c r="AC10" s="203">
        <f t="shared" si="30"/>
        <v>1450</v>
      </c>
      <c r="AD10" s="203">
        <f t="shared" si="32"/>
        <v>145</v>
      </c>
      <c r="AE10" s="203">
        <f t="shared" si="11"/>
        <v>1450</v>
      </c>
      <c r="AF10" s="203">
        <f t="shared" si="33"/>
        <v>145</v>
      </c>
      <c r="AG10" s="203">
        <f t="shared" si="12"/>
        <v>1450</v>
      </c>
      <c r="AH10" s="203">
        <f t="shared" si="34"/>
        <v>145</v>
      </c>
      <c r="AI10" s="203">
        <f t="shared" si="13"/>
        <v>1450</v>
      </c>
      <c r="AJ10" s="203">
        <f t="shared" si="35"/>
        <v>145</v>
      </c>
      <c r="AK10" s="203">
        <f t="shared" si="14"/>
        <v>1450</v>
      </c>
      <c r="AL10" s="203">
        <f t="shared" si="36"/>
        <v>145</v>
      </c>
      <c r="AM10" s="203">
        <f t="shared" si="15"/>
        <v>1450</v>
      </c>
      <c r="AN10" s="35">
        <f t="shared" si="16"/>
        <v>0.5178571428571429</v>
      </c>
      <c r="AO10" s="36">
        <f t="shared" si="41"/>
        <v>10150</v>
      </c>
      <c r="AQ10" s="223">
        <f t="shared" si="37"/>
        <v>0.45794134077243098</v>
      </c>
      <c r="AR10" s="38">
        <f t="shared" si="38"/>
        <v>42574.806451612909</v>
      </c>
      <c r="AS10" s="197">
        <f t="shared" si="42"/>
        <v>0</v>
      </c>
      <c r="AT10" s="340"/>
      <c r="AU10" s="549"/>
      <c r="AV10" s="485">
        <f>IF(AT10&gt;0,AU10,AV9)</f>
        <v>0.63800000000000001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1865.5189873416675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44598</v>
      </c>
      <c r="B11">
        <f>'B5'!B10</f>
        <v>157</v>
      </c>
      <c r="C11" s="203">
        <f t="shared" si="18"/>
        <v>3378.0322580645161</v>
      </c>
      <c r="D11">
        <f>SUM(B11)</f>
        <v>157</v>
      </c>
      <c r="E11" s="203">
        <f t="shared" si="18"/>
        <v>3378.0322580645161</v>
      </c>
      <c r="F11">
        <f>SUM(D11)</f>
        <v>157</v>
      </c>
      <c r="G11" s="203">
        <f t="shared" si="1"/>
        <v>3378.0322580645161</v>
      </c>
      <c r="H11" s="203">
        <f>SUM(F11)</f>
        <v>157</v>
      </c>
      <c r="I11" s="203">
        <f t="shared" si="2"/>
        <v>3378.0322580645161</v>
      </c>
      <c r="J11" s="203">
        <f>SUM(H11)</f>
        <v>157</v>
      </c>
      <c r="K11" s="203">
        <f t="shared" si="3"/>
        <v>3378.0322580645161</v>
      </c>
      <c r="L11" s="203">
        <f>SUM(J11)</f>
        <v>157</v>
      </c>
      <c r="M11" s="203">
        <f t="shared" si="4"/>
        <v>3378.0322580645161</v>
      </c>
      <c r="N11" s="203">
        <f>SUM(L11)</f>
        <v>157</v>
      </c>
      <c r="O11" s="203">
        <f t="shared" si="5"/>
        <v>3378.0322580645161</v>
      </c>
      <c r="P11" s="203">
        <f>SUM(N11)</f>
        <v>157</v>
      </c>
      <c r="Q11" s="203">
        <f t="shared" si="6"/>
        <v>3378.0322580645161</v>
      </c>
      <c r="R11" s="203">
        <f>SUM(P11)</f>
        <v>157</v>
      </c>
      <c r="S11" s="203">
        <f t="shared" si="7"/>
        <v>3378.0322580645161</v>
      </c>
      <c r="T11" s="203">
        <f>SUM(R11)</f>
        <v>157</v>
      </c>
      <c r="U11" s="203">
        <f t="shared" si="8"/>
        <v>3378.0322580645161</v>
      </c>
      <c r="V11" s="203">
        <f>SUM(T11)</f>
        <v>157</v>
      </c>
      <c r="W11" s="203">
        <f t="shared" si="9"/>
        <v>3378.0322580645161</v>
      </c>
      <c r="X11" s="35">
        <f>SUM(Y11/73370)</f>
        <v>0.50645161290322571</v>
      </c>
      <c r="Y11" s="36">
        <f>SUM(C11+E11+G11+I11+K11+M11+O11+Q11+S11+U11+W11)</f>
        <v>37158.354838709674</v>
      </c>
      <c r="Z11" s="203">
        <f>'B5'!C10</f>
        <v>163.5</v>
      </c>
      <c r="AA11" s="203">
        <f t="shared" si="30"/>
        <v>1635</v>
      </c>
      <c r="AB11" s="203">
        <f>SUM(Z11)</f>
        <v>163.5</v>
      </c>
      <c r="AC11" s="203">
        <f t="shared" si="30"/>
        <v>1635</v>
      </c>
      <c r="AD11" s="203">
        <f>SUM(AB11)</f>
        <v>163.5</v>
      </c>
      <c r="AE11" s="203">
        <f t="shared" si="11"/>
        <v>1635</v>
      </c>
      <c r="AF11" s="203">
        <f>SUM(AD11)</f>
        <v>163.5</v>
      </c>
      <c r="AG11" s="203">
        <f t="shared" si="12"/>
        <v>1635</v>
      </c>
      <c r="AH11" s="203">
        <f>SUM(AF11)</f>
        <v>163.5</v>
      </c>
      <c r="AI11" s="203">
        <f t="shared" si="13"/>
        <v>1635</v>
      </c>
      <c r="AJ11" s="203">
        <f>SUM(AH11)</f>
        <v>163.5</v>
      </c>
      <c r="AK11" s="203">
        <f t="shared" si="14"/>
        <v>1635</v>
      </c>
      <c r="AL11" s="203">
        <f>SUM(AJ11)</f>
        <v>163.5</v>
      </c>
      <c r="AM11" s="203">
        <f t="shared" si="15"/>
        <v>1635</v>
      </c>
      <c r="AN11" s="35">
        <f>SUM(AO11/19600)</f>
        <v>0.58392857142857146</v>
      </c>
      <c r="AO11" s="36">
        <f t="shared" si="41"/>
        <v>11445</v>
      </c>
      <c r="AP11" s="525"/>
      <c r="AQ11" s="223">
        <f t="shared" si="37"/>
        <v>0.5227853591342333</v>
      </c>
      <c r="AR11" s="38">
        <f t="shared" si="38"/>
        <v>48603.354838709674</v>
      </c>
      <c r="AS11" s="197">
        <f t="shared" si="42"/>
        <v>-1471.4516129032345</v>
      </c>
      <c r="AT11" s="340">
        <v>7500</v>
      </c>
      <c r="AU11" s="549">
        <v>0.76</v>
      </c>
      <c r="AV11" s="485">
        <f>IF(AT11&gt;0,AU11,AV10)</f>
        <v>0.76</v>
      </c>
      <c r="AW11" s="279">
        <f>-SUM('B5'!AI10)</f>
        <v>-396</v>
      </c>
      <c r="AX11" s="279">
        <f t="shared" si="17"/>
        <v>-1075.4516129032345</v>
      </c>
      <c r="AY11" s="37">
        <f t="shared" si="39"/>
        <v>-1471.4516129032345</v>
      </c>
      <c r="AZ11" s="100">
        <f>ELEC!A9</f>
        <v>0</v>
      </c>
      <c r="BA11" s="118">
        <f>'General information '!D10</f>
        <v>14.5</v>
      </c>
      <c r="BB11" s="378">
        <f>SUM('General information '!E10)</f>
        <v>0.7</v>
      </c>
      <c r="BC11" s="3">
        <f t="shared" si="44"/>
        <v>1</v>
      </c>
      <c r="BD11" s="102">
        <v>19222</v>
      </c>
      <c r="BE11" s="14">
        <f>(305/1185)*ELEC!Q10</f>
        <v>1429.2531645569322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-115.63995837670093</v>
      </c>
      <c r="BK11" s="538">
        <f>GEN!AF8</f>
        <v>0.301999999999983</v>
      </c>
    </row>
    <row r="12" spans="1:63">
      <c r="A12" s="425">
        <f>ELEC!C10</f>
        <v>44599</v>
      </c>
      <c r="B12">
        <f>'B5'!B11</f>
        <v>157</v>
      </c>
      <c r="C12" s="203">
        <f t="shared" si="18"/>
        <v>3378.0322580645161</v>
      </c>
      <c r="D12">
        <f t="shared" si="19"/>
        <v>157</v>
      </c>
      <c r="E12" s="203">
        <f t="shared" si="18"/>
        <v>3378.0322580645161</v>
      </c>
      <c r="F12">
        <f t="shared" si="20"/>
        <v>157</v>
      </c>
      <c r="G12" s="203">
        <f t="shared" si="1"/>
        <v>3378.0322580645161</v>
      </c>
      <c r="H12" s="203">
        <f t="shared" si="21"/>
        <v>157</v>
      </c>
      <c r="I12" s="203">
        <f t="shared" si="2"/>
        <v>3378.0322580645161</v>
      </c>
      <c r="J12" s="203">
        <f t="shared" si="22"/>
        <v>157</v>
      </c>
      <c r="K12" s="203">
        <f t="shared" si="3"/>
        <v>3378.0322580645161</v>
      </c>
      <c r="L12" s="203">
        <f t="shared" si="23"/>
        <v>157</v>
      </c>
      <c r="M12" s="203">
        <f t="shared" si="4"/>
        <v>3378.0322580645161</v>
      </c>
      <c r="N12" s="203">
        <f t="shared" si="24"/>
        <v>157</v>
      </c>
      <c r="O12" s="203">
        <f t="shared" si="5"/>
        <v>3378.0322580645161</v>
      </c>
      <c r="P12" s="203">
        <f t="shared" si="25"/>
        <v>157</v>
      </c>
      <c r="Q12" s="203">
        <f t="shared" si="6"/>
        <v>3378.0322580645161</v>
      </c>
      <c r="R12" s="203">
        <f t="shared" si="26"/>
        <v>157</v>
      </c>
      <c r="S12" s="203">
        <f t="shared" si="7"/>
        <v>3378.0322580645161</v>
      </c>
      <c r="T12" s="203">
        <f t="shared" si="27"/>
        <v>157</v>
      </c>
      <c r="U12" s="203">
        <f t="shared" si="8"/>
        <v>3378.0322580645161</v>
      </c>
      <c r="V12" s="203">
        <f t="shared" si="28"/>
        <v>157</v>
      </c>
      <c r="W12" s="203">
        <f t="shared" si="9"/>
        <v>3378.0322580645161</v>
      </c>
      <c r="X12" s="35">
        <f t="shared" si="10"/>
        <v>0.50645161290322571</v>
      </c>
      <c r="Y12" s="36">
        <f t="shared" si="29"/>
        <v>37158.354838709674</v>
      </c>
      <c r="Z12" s="203">
        <f>'B5'!C11</f>
        <v>165</v>
      </c>
      <c r="AA12" s="203">
        <f t="shared" si="30"/>
        <v>1650</v>
      </c>
      <c r="AB12" s="203">
        <f t="shared" si="31"/>
        <v>165</v>
      </c>
      <c r="AC12" s="203">
        <f t="shared" si="30"/>
        <v>1650</v>
      </c>
      <c r="AD12" s="203">
        <f t="shared" si="32"/>
        <v>165</v>
      </c>
      <c r="AE12" s="203">
        <f t="shared" si="11"/>
        <v>1650</v>
      </c>
      <c r="AF12" s="203">
        <f t="shared" si="33"/>
        <v>165</v>
      </c>
      <c r="AG12" s="203">
        <f t="shared" si="12"/>
        <v>1650</v>
      </c>
      <c r="AH12" s="203">
        <f t="shared" si="34"/>
        <v>165</v>
      </c>
      <c r="AI12" s="203">
        <f t="shared" si="13"/>
        <v>1650</v>
      </c>
      <c r="AJ12" s="203">
        <f t="shared" si="35"/>
        <v>165</v>
      </c>
      <c r="AK12" s="203">
        <f t="shared" si="14"/>
        <v>1650</v>
      </c>
      <c r="AL12" s="203">
        <f t="shared" si="36"/>
        <v>165</v>
      </c>
      <c r="AM12" s="203">
        <f t="shared" si="15"/>
        <v>1650</v>
      </c>
      <c r="AN12" s="35">
        <f t="shared" si="16"/>
        <v>0.5892857142857143</v>
      </c>
      <c r="AO12" s="36">
        <f t="shared" si="41"/>
        <v>11550</v>
      </c>
      <c r="AP12" s="525"/>
      <c r="AQ12" s="223">
        <f t="shared" si="37"/>
        <v>0.5239147557137751</v>
      </c>
      <c r="AR12" s="38">
        <f t="shared" si="38"/>
        <v>48708.354838709674</v>
      </c>
      <c r="AS12" s="197">
        <f t="shared" si="42"/>
        <v>-2395</v>
      </c>
      <c r="AT12" s="340">
        <v>2500</v>
      </c>
      <c r="AU12" s="549">
        <v>0.76</v>
      </c>
      <c r="AV12" s="485">
        <f t="shared" si="43"/>
        <v>0.76</v>
      </c>
      <c r="AW12" s="279">
        <f>-SUM('B5'!AI11)</f>
        <v>-581</v>
      </c>
      <c r="AX12" s="279">
        <f t="shared" si="17"/>
        <v>-1814</v>
      </c>
      <c r="AY12" s="37">
        <f t="shared" si="39"/>
        <v>-2395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0.83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-490.27027027017385</v>
      </c>
      <c r="BK12" s="538">
        <f>GEN!AF9</f>
        <v>0.34706249999999272</v>
      </c>
    </row>
    <row r="13" spans="1:63">
      <c r="A13" s="425">
        <f>ELEC!C11</f>
        <v>44600</v>
      </c>
      <c r="B13">
        <f>'B5'!B12</f>
        <v>157</v>
      </c>
      <c r="C13" s="203">
        <f t="shared" si="18"/>
        <v>3378.0322580645161</v>
      </c>
      <c r="D13">
        <f t="shared" si="19"/>
        <v>157</v>
      </c>
      <c r="E13" s="203">
        <f t="shared" si="18"/>
        <v>3378.0322580645161</v>
      </c>
      <c r="F13">
        <f t="shared" si="20"/>
        <v>157</v>
      </c>
      <c r="G13" s="203">
        <f t="shared" si="1"/>
        <v>3378.0322580645161</v>
      </c>
      <c r="H13" s="203">
        <f t="shared" si="21"/>
        <v>157</v>
      </c>
      <c r="I13" s="203">
        <f t="shared" si="2"/>
        <v>3378.0322580645161</v>
      </c>
      <c r="J13" s="203">
        <f t="shared" si="22"/>
        <v>157</v>
      </c>
      <c r="K13" s="203">
        <f t="shared" si="3"/>
        <v>3378.0322580645161</v>
      </c>
      <c r="L13" s="203">
        <f t="shared" si="23"/>
        <v>157</v>
      </c>
      <c r="M13" s="203">
        <f t="shared" si="4"/>
        <v>3378.0322580645161</v>
      </c>
      <c r="N13" s="203">
        <f t="shared" si="24"/>
        <v>157</v>
      </c>
      <c r="O13" s="203">
        <f t="shared" si="5"/>
        <v>3378.0322580645161</v>
      </c>
      <c r="P13" s="203">
        <f t="shared" si="25"/>
        <v>157</v>
      </c>
      <c r="Q13" s="203">
        <f t="shared" si="6"/>
        <v>3378.0322580645161</v>
      </c>
      <c r="R13" s="203">
        <f t="shared" si="26"/>
        <v>157</v>
      </c>
      <c r="S13" s="203">
        <f t="shared" si="7"/>
        <v>3378.0322580645161</v>
      </c>
      <c r="T13" s="203">
        <f t="shared" si="27"/>
        <v>157</v>
      </c>
      <c r="U13" s="203">
        <f t="shared" si="8"/>
        <v>3378.0322580645161</v>
      </c>
      <c r="V13" s="203">
        <f t="shared" si="28"/>
        <v>157</v>
      </c>
      <c r="W13" s="203">
        <f t="shared" si="9"/>
        <v>3378.0322580645161</v>
      </c>
      <c r="X13" s="35">
        <f t="shared" si="10"/>
        <v>0.50645161290322571</v>
      </c>
      <c r="Y13" s="36">
        <f t="shared" si="29"/>
        <v>37158.354838709674</v>
      </c>
      <c r="Z13" s="203">
        <f>'B5'!C12</f>
        <v>165</v>
      </c>
      <c r="AA13" s="203">
        <f t="shared" si="30"/>
        <v>1650</v>
      </c>
      <c r="AB13" s="203">
        <f t="shared" si="31"/>
        <v>165</v>
      </c>
      <c r="AC13" s="203">
        <f t="shared" si="30"/>
        <v>1650</v>
      </c>
      <c r="AD13" s="203">
        <f t="shared" si="32"/>
        <v>165</v>
      </c>
      <c r="AE13" s="203">
        <f t="shared" si="11"/>
        <v>1650</v>
      </c>
      <c r="AF13" s="203">
        <f t="shared" si="33"/>
        <v>165</v>
      </c>
      <c r="AG13" s="203">
        <f t="shared" si="12"/>
        <v>1650</v>
      </c>
      <c r="AH13" s="203">
        <f t="shared" si="34"/>
        <v>165</v>
      </c>
      <c r="AI13" s="203">
        <f t="shared" si="13"/>
        <v>1650</v>
      </c>
      <c r="AJ13" s="203">
        <f t="shared" si="35"/>
        <v>165</v>
      </c>
      <c r="AK13" s="203">
        <f t="shared" si="14"/>
        <v>1650</v>
      </c>
      <c r="AL13" s="203">
        <f t="shared" si="36"/>
        <v>165</v>
      </c>
      <c r="AM13" s="203">
        <f t="shared" si="15"/>
        <v>1650</v>
      </c>
      <c r="AN13" s="35">
        <f t="shared" si="16"/>
        <v>0.5892857142857143</v>
      </c>
      <c r="AO13" s="36">
        <f t="shared" si="41"/>
        <v>11550</v>
      </c>
      <c r="AP13" s="525"/>
      <c r="AQ13" s="223">
        <f t="shared" si="37"/>
        <v>0.5239147557137751</v>
      </c>
      <c r="AR13" s="38">
        <f t="shared" si="38"/>
        <v>48708.354838709674</v>
      </c>
      <c r="AS13" s="197">
        <f t="shared" si="42"/>
        <v>0</v>
      </c>
      <c r="AT13" s="340"/>
      <c r="AU13" s="549"/>
      <c r="AV13" s="485">
        <f t="shared" si="43"/>
        <v>0.76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1134.2911392403116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44601</v>
      </c>
      <c r="B14">
        <f>'B5'!B13</f>
        <v>151</v>
      </c>
      <c r="C14" s="203">
        <f t="shared" si="18"/>
        <v>3248.9354838709678</v>
      </c>
      <c r="D14">
        <f t="shared" si="19"/>
        <v>151</v>
      </c>
      <c r="E14" s="203">
        <f t="shared" si="18"/>
        <v>3248.9354838709678</v>
      </c>
      <c r="F14">
        <f t="shared" si="20"/>
        <v>151</v>
      </c>
      <c r="G14" s="203">
        <f t="shared" si="1"/>
        <v>3248.9354838709678</v>
      </c>
      <c r="H14" s="203">
        <f t="shared" si="21"/>
        <v>151</v>
      </c>
      <c r="I14" s="203">
        <f t="shared" si="2"/>
        <v>3248.9354838709678</v>
      </c>
      <c r="J14" s="203">
        <f t="shared" si="22"/>
        <v>151</v>
      </c>
      <c r="K14" s="203">
        <f t="shared" si="3"/>
        <v>3248.9354838709678</v>
      </c>
      <c r="L14" s="203">
        <f t="shared" si="23"/>
        <v>151</v>
      </c>
      <c r="M14" s="203">
        <f t="shared" si="4"/>
        <v>3248.9354838709678</v>
      </c>
      <c r="N14" s="203">
        <f t="shared" si="24"/>
        <v>151</v>
      </c>
      <c r="O14" s="203">
        <f t="shared" si="5"/>
        <v>3248.9354838709678</v>
      </c>
      <c r="P14" s="203">
        <f t="shared" si="25"/>
        <v>151</v>
      </c>
      <c r="Q14" s="203">
        <f t="shared" si="6"/>
        <v>3248.9354838709678</v>
      </c>
      <c r="R14" s="203">
        <f t="shared" si="26"/>
        <v>151</v>
      </c>
      <c r="S14" s="203">
        <f t="shared" si="7"/>
        <v>3248.9354838709678</v>
      </c>
      <c r="T14" s="203">
        <f t="shared" si="27"/>
        <v>151</v>
      </c>
      <c r="U14" s="203">
        <f t="shared" si="8"/>
        <v>3248.9354838709678</v>
      </c>
      <c r="V14" s="203">
        <f t="shared" si="28"/>
        <v>151</v>
      </c>
      <c r="W14" s="203">
        <f t="shared" si="9"/>
        <v>3248.9354838709678</v>
      </c>
      <c r="X14" s="35">
        <f t="shared" si="10"/>
        <v>0.48709677419354847</v>
      </c>
      <c r="Y14" s="36">
        <f t="shared" si="29"/>
        <v>35738.290322580651</v>
      </c>
      <c r="Z14" s="203">
        <f>'B5'!C13</f>
        <v>158</v>
      </c>
      <c r="AA14" s="203">
        <f t="shared" si="30"/>
        <v>1580</v>
      </c>
      <c r="AB14" s="203">
        <f t="shared" si="31"/>
        <v>158</v>
      </c>
      <c r="AC14" s="203">
        <f t="shared" si="30"/>
        <v>1580</v>
      </c>
      <c r="AD14" s="203">
        <f t="shared" si="32"/>
        <v>158</v>
      </c>
      <c r="AE14" s="203">
        <f t="shared" si="11"/>
        <v>1580</v>
      </c>
      <c r="AF14" s="203">
        <f t="shared" si="33"/>
        <v>158</v>
      </c>
      <c r="AG14" s="203">
        <f t="shared" si="12"/>
        <v>1580</v>
      </c>
      <c r="AH14" s="203">
        <f t="shared" si="34"/>
        <v>158</v>
      </c>
      <c r="AI14" s="203">
        <f t="shared" si="13"/>
        <v>1580</v>
      </c>
      <c r="AJ14" s="203">
        <f t="shared" si="35"/>
        <v>158</v>
      </c>
      <c r="AK14" s="203">
        <f t="shared" si="14"/>
        <v>1580</v>
      </c>
      <c r="AL14" s="203">
        <f t="shared" si="36"/>
        <v>158</v>
      </c>
      <c r="AM14" s="203">
        <f t="shared" si="15"/>
        <v>1580</v>
      </c>
      <c r="AN14" s="35">
        <f t="shared" si="16"/>
        <v>0.56428571428571428</v>
      </c>
      <c r="AO14" s="36">
        <f t="shared" si="41"/>
        <v>11060</v>
      </c>
      <c r="AQ14" s="223">
        <f t="shared" si="37"/>
        <v>0.5033698001783441</v>
      </c>
      <c r="AR14" s="38">
        <f t="shared" si="38"/>
        <v>46798.290322580651</v>
      </c>
      <c r="AS14" s="197">
        <f t="shared" si="42"/>
        <v>-1910.0645161290231</v>
      </c>
      <c r="AT14" s="340"/>
      <c r="AU14" s="549"/>
      <c r="AV14" s="485">
        <f t="shared" si="43"/>
        <v>0.76</v>
      </c>
      <c r="AW14" s="279">
        <f>-SUM('B5'!AI13)</f>
        <v>-295</v>
      </c>
      <c r="AX14" s="279">
        <f t="shared" si="17"/>
        <v>-1615.0645161290231</v>
      </c>
      <c r="AY14" s="37">
        <f t="shared" si="39"/>
        <v>-1910.0645161290231</v>
      </c>
      <c r="AZ14" s="100">
        <f>ELEC!A12</f>
        <v>0</v>
      </c>
      <c r="BA14" s="118">
        <f>'General information '!D13</f>
        <v>15.5</v>
      </c>
      <c r="BB14" s="378">
        <f>SUM('General information '!E13)</f>
        <v>0.59</v>
      </c>
      <c r="BC14" s="3">
        <f t="shared" si="44"/>
        <v>0</v>
      </c>
      <c r="BD14" s="102">
        <v>19222</v>
      </c>
      <c r="BE14" s="14">
        <f>(305/1185)*ELEC!Q13</f>
        <v>1438.26160337546</v>
      </c>
      <c r="BF14" s="14"/>
      <c r="BG14" s="14" t="e">
        <f>#REF!-BE14</f>
        <v>#REF!</v>
      </c>
      <c r="BH14" s="11"/>
      <c r="BI14">
        <v>3</v>
      </c>
      <c r="BJ14">
        <f t="shared" si="40"/>
        <v>-538.35483870967437</v>
      </c>
      <c r="BK14" s="538">
        <f>GEN!AF11</f>
        <v>0.27543749999995271</v>
      </c>
    </row>
    <row r="15" spans="1:63" ht="13.5" customHeight="1">
      <c r="A15" s="425">
        <f>ELEC!C13</f>
        <v>44602</v>
      </c>
      <c r="B15">
        <f>'B5'!B14</f>
        <v>143</v>
      </c>
      <c r="C15" s="203">
        <f>B15*$B$4</f>
        <v>3076.8064516129029</v>
      </c>
      <c r="D15">
        <f t="shared" si="19"/>
        <v>143</v>
      </c>
      <c r="E15" s="203">
        <f t="shared" si="18"/>
        <v>3076.8064516129029</v>
      </c>
      <c r="F15">
        <f t="shared" si="20"/>
        <v>143</v>
      </c>
      <c r="G15" s="203">
        <f t="shared" si="1"/>
        <v>3076.8064516129029</v>
      </c>
      <c r="H15" s="203">
        <f t="shared" si="21"/>
        <v>143</v>
      </c>
      <c r="I15" s="203">
        <f t="shared" si="2"/>
        <v>3076.8064516129029</v>
      </c>
      <c r="J15" s="203">
        <f t="shared" si="22"/>
        <v>143</v>
      </c>
      <c r="K15" s="203">
        <f t="shared" si="3"/>
        <v>3076.8064516129029</v>
      </c>
      <c r="L15" s="203">
        <f t="shared" si="23"/>
        <v>143</v>
      </c>
      <c r="M15" s="203">
        <f t="shared" si="4"/>
        <v>3076.8064516129029</v>
      </c>
      <c r="N15" s="203">
        <f t="shared" si="24"/>
        <v>143</v>
      </c>
      <c r="O15" s="203">
        <f t="shared" si="5"/>
        <v>3076.8064516129029</v>
      </c>
      <c r="P15" s="203">
        <f t="shared" si="25"/>
        <v>143</v>
      </c>
      <c r="Q15" s="203">
        <f t="shared" si="6"/>
        <v>3076.8064516129029</v>
      </c>
      <c r="R15" s="203">
        <f t="shared" si="26"/>
        <v>143</v>
      </c>
      <c r="S15" s="203">
        <f t="shared" si="7"/>
        <v>3076.8064516129029</v>
      </c>
      <c r="T15" s="203">
        <f t="shared" si="27"/>
        <v>143</v>
      </c>
      <c r="U15" s="203">
        <f t="shared" si="8"/>
        <v>3076.8064516129029</v>
      </c>
      <c r="V15" s="203">
        <f t="shared" si="28"/>
        <v>143</v>
      </c>
      <c r="W15" s="203">
        <f t="shared" si="9"/>
        <v>3076.8064516129029</v>
      </c>
      <c r="X15" s="35">
        <f t="shared" si="10"/>
        <v>0.46129032258064501</v>
      </c>
      <c r="Y15" s="36">
        <f t="shared" si="29"/>
        <v>33844.870967741925</v>
      </c>
      <c r="Z15" s="203">
        <f>'B5'!C14</f>
        <v>150</v>
      </c>
      <c r="AA15" s="203">
        <f t="shared" si="30"/>
        <v>1500</v>
      </c>
      <c r="AB15" s="203">
        <f t="shared" si="31"/>
        <v>150</v>
      </c>
      <c r="AC15" s="203">
        <f t="shared" si="30"/>
        <v>1500</v>
      </c>
      <c r="AD15" s="203">
        <f t="shared" si="32"/>
        <v>150</v>
      </c>
      <c r="AE15" s="203">
        <f t="shared" si="11"/>
        <v>1500</v>
      </c>
      <c r="AF15" s="203">
        <f t="shared" si="33"/>
        <v>150</v>
      </c>
      <c r="AG15" s="203">
        <f t="shared" si="12"/>
        <v>1500</v>
      </c>
      <c r="AH15" s="203">
        <f t="shared" si="34"/>
        <v>150</v>
      </c>
      <c r="AI15" s="203">
        <f t="shared" si="13"/>
        <v>1500</v>
      </c>
      <c r="AJ15" s="203">
        <f t="shared" si="35"/>
        <v>150</v>
      </c>
      <c r="AK15" s="203">
        <f t="shared" si="14"/>
        <v>1500</v>
      </c>
      <c r="AL15" s="203">
        <f t="shared" si="36"/>
        <v>150</v>
      </c>
      <c r="AM15" s="203">
        <f t="shared" si="15"/>
        <v>1500</v>
      </c>
      <c r="AN15" s="35">
        <f t="shared" si="16"/>
        <v>0.5357142857142857</v>
      </c>
      <c r="AO15" s="36">
        <f t="shared" si="41"/>
        <v>10500</v>
      </c>
      <c r="AQ15" s="223">
        <f t="shared" si="37"/>
        <v>0.47698043420180625</v>
      </c>
      <c r="AR15" s="38">
        <f>Y15+AO15</f>
        <v>44344.870967741925</v>
      </c>
      <c r="AS15" s="197">
        <f t="shared" si="42"/>
        <v>-2453.4193548387266</v>
      </c>
      <c r="AT15" s="340"/>
      <c r="AU15" s="549"/>
      <c r="AV15" s="485">
        <f>IF(AT15&gt;0,AU15,AV14)</f>
        <v>0.76</v>
      </c>
      <c r="AW15" s="279">
        <f>-SUM('B5'!AI14)</f>
        <v>-435</v>
      </c>
      <c r="AX15" s="279">
        <f t="shared" si="17"/>
        <v>-2018.4193548387266</v>
      </c>
      <c r="AY15" s="37">
        <f t="shared" si="39"/>
        <v>-2453.4193548387266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-504.60483870968164</v>
      </c>
      <c r="BK15" s="538">
        <f>GEN!AF12</f>
        <v>0.34924999999998363</v>
      </c>
    </row>
    <row r="16" spans="1:63">
      <c r="A16" s="425">
        <f>ELEC!C14</f>
        <v>44603</v>
      </c>
      <c r="B16">
        <f>'B5'!B15</f>
        <v>143</v>
      </c>
      <c r="C16" s="203">
        <f t="shared" si="18"/>
        <v>3076.8064516129029</v>
      </c>
      <c r="D16">
        <f t="shared" si="19"/>
        <v>143</v>
      </c>
      <c r="E16" s="203">
        <f t="shared" si="18"/>
        <v>3076.8064516129029</v>
      </c>
      <c r="F16">
        <f t="shared" si="20"/>
        <v>143</v>
      </c>
      <c r="G16" s="203">
        <f t="shared" si="1"/>
        <v>3076.8064516129029</v>
      </c>
      <c r="H16" s="203">
        <f t="shared" si="21"/>
        <v>143</v>
      </c>
      <c r="I16" s="203">
        <f t="shared" si="2"/>
        <v>3076.8064516129029</v>
      </c>
      <c r="J16" s="203">
        <f t="shared" si="22"/>
        <v>143</v>
      </c>
      <c r="K16" s="203">
        <f t="shared" si="3"/>
        <v>3076.8064516129029</v>
      </c>
      <c r="L16" s="203">
        <f t="shared" si="23"/>
        <v>143</v>
      </c>
      <c r="M16" s="203">
        <f t="shared" si="4"/>
        <v>3076.8064516129029</v>
      </c>
      <c r="N16" s="203">
        <f t="shared" si="24"/>
        <v>143</v>
      </c>
      <c r="O16" s="203">
        <f t="shared" si="5"/>
        <v>3076.8064516129029</v>
      </c>
      <c r="P16" s="203">
        <f t="shared" si="25"/>
        <v>143</v>
      </c>
      <c r="Q16" s="203">
        <f t="shared" si="6"/>
        <v>3076.8064516129029</v>
      </c>
      <c r="R16" s="203">
        <f t="shared" si="26"/>
        <v>143</v>
      </c>
      <c r="S16" s="203">
        <f t="shared" si="7"/>
        <v>3076.8064516129029</v>
      </c>
      <c r="T16" s="203">
        <f t="shared" si="27"/>
        <v>143</v>
      </c>
      <c r="U16" s="203">
        <f t="shared" si="8"/>
        <v>3076.8064516129029</v>
      </c>
      <c r="V16" s="203">
        <f t="shared" si="28"/>
        <v>143</v>
      </c>
      <c r="W16" s="203">
        <f t="shared" si="9"/>
        <v>3076.8064516129029</v>
      </c>
      <c r="X16" s="35">
        <f t="shared" si="10"/>
        <v>0.46129032258064501</v>
      </c>
      <c r="Y16" s="36">
        <f t="shared" si="29"/>
        <v>33844.870967741925</v>
      </c>
      <c r="Z16" s="203">
        <f>'B5'!C15</f>
        <v>150</v>
      </c>
      <c r="AA16" s="203">
        <f t="shared" si="30"/>
        <v>1500</v>
      </c>
      <c r="AB16" s="203">
        <f t="shared" si="31"/>
        <v>150</v>
      </c>
      <c r="AC16" s="203">
        <f t="shared" si="30"/>
        <v>1500</v>
      </c>
      <c r="AD16" s="203">
        <f t="shared" si="32"/>
        <v>150</v>
      </c>
      <c r="AE16" s="203">
        <f t="shared" si="11"/>
        <v>1500</v>
      </c>
      <c r="AF16" s="203">
        <f t="shared" si="33"/>
        <v>150</v>
      </c>
      <c r="AG16" s="203">
        <f t="shared" si="12"/>
        <v>1500</v>
      </c>
      <c r="AH16" s="203">
        <f t="shared" si="34"/>
        <v>150</v>
      </c>
      <c r="AI16" s="203">
        <f t="shared" si="13"/>
        <v>1500</v>
      </c>
      <c r="AJ16" s="203">
        <f t="shared" si="35"/>
        <v>150</v>
      </c>
      <c r="AK16" s="203">
        <f t="shared" si="14"/>
        <v>1500</v>
      </c>
      <c r="AL16" s="203">
        <f t="shared" si="36"/>
        <v>150</v>
      </c>
      <c r="AM16" s="203">
        <f t="shared" si="15"/>
        <v>1500</v>
      </c>
      <c r="AN16" s="35">
        <f t="shared" si="16"/>
        <v>0.5357142857142857</v>
      </c>
      <c r="AO16" s="36">
        <f t="shared" si="41"/>
        <v>10500</v>
      </c>
      <c r="AQ16" s="223">
        <f t="shared" si="37"/>
        <v>0.47698043420180625</v>
      </c>
      <c r="AR16" s="38">
        <f t="shared" si="38"/>
        <v>44344.870967741925</v>
      </c>
      <c r="AS16" s="197">
        <f t="shared" si="42"/>
        <v>0</v>
      </c>
      <c r="AT16" s="340"/>
      <c r="AU16" s="549"/>
      <c r="AV16" s="485">
        <f t="shared" ref="AV16:AV21" si="45">IF(AT16&gt;0,AU16,AV15)</f>
        <v>0.76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44604</v>
      </c>
      <c r="B17">
        <f>'B5'!B16</f>
        <v>143</v>
      </c>
      <c r="C17" s="203">
        <f t="shared" si="18"/>
        <v>3076.8064516129029</v>
      </c>
      <c r="D17">
        <f t="shared" si="19"/>
        <v>143</v>
      </c>
      <c r="E17" s="203">
        <f t="shared" si="18"/>
        <v>3076.8064516129029</v>
      </c>
      <c r="F17">
        <f t="shared" si="20"/>
        <v>143</v>
      </c>
      <c r="G17" s="203">
        <f t="shared" si="1"/>
        <v>3076.8064516129029</v>
      </c>
      <c r="H17" s="203">
        <f t="shared" si="21"/>
        <v>143</v>
      </c>
      <c r="I17" s="203">
        <f t="shared" si="2"/>
        <v>3076.8064516129029</v>
      </c>
      <c r="J17" s="203">
        <f t="shared" si="22"/>
        <v>143</v>
      </c>
      <c r="K17" s="203">
        <f t="shared" si="3"/>
        <v>3076.8064516129029</v>
      </c>
      <c r="L17" s="203">
        <f t="shared" si="23"/>
        <v>143</v>
      </c>
      <c r="M17" s="203">
        <f t="shared" si="4"/>
        <v>3076.8064516129029</v>
      </c>
      <c r="N17" s="203">
        <f t="shared" si="24"/>
        <v>143</v>
      </c>
      <c r="O17" s="203">
        <f t="shared" si="5"/>
        <v>3076.8064516129029</v>
      </c>
      <c r="P17" s="203">
        <f t="shared" si="25"/>
        <v>143</v>
      </c>
      <c r="Q17" s="203">
        <f t="shared" si="6"/>
        <v>3076.8064516129029</v>
      </c>
      <c r="R17" s="203">
        <f t="shared" si="26"/>
        <v>143</v>
      </c>
      <c r="S17" s="203">
        <f t="shared" si="7"/>
        <v>3076.8064516129029</v>
      </c>
      <c r="T17" s="203">
        <f t="shared" si="27"/>
        <v>143</v>
      </c>
      <c r="U17" s="203">
        <f t="shared" si="8"/>
        <v>3076.8064516129029</v>
      </c>
      <c r="V17" s="203">
        <f t="shared" si="28"/>
        <v>143</v>
      </c>
      <c r="W17" s="203">
        <f t="shared" si="9"/>
        <v>3076.8064516129029</v>
      </c>
      <c r="X17" s="35">
        <f t="shared" si="10"/>
        <v>0.46129032258064501</v>
      </c>
      <c r="Y17" s="36">
        <f t="shared" si="29"/>
        <v>33844.870967741925</v>
      </c>
      <c r="Z17" s="203">
        <f>'B5'!C16</f>
        <v>150</v>
      </c>
      <c r="AA17" s="203">
        <f t="shared" si="30"/>
        <v>1500</v>
      </c>
      <c r="AB17" s="203">
        <f t="shared" si="31"/>
        <v>150</v>
      </c>
      <c r="AC17" s="203">
        <f t="shared" si="30"/>
        <v>1500</v>
      </c>
      <c r="AD17" s="203">
        <f t="shared" si="32"/>
        <v>150</v>
      </c>
      <c r="AE17" s="203">
        <f t="shared" si="11"/>
        <v>1500</v>
      </c>
      <c r="AF17" s="203">
        <f t="shared" si="33"/>
        <v>150</v>
      </c>
      <c r="AG17" s="203">
        <f t="shared" si="12"/>
        <v>1500</v>
      </c>
      <c r="AH17" s="203">
        <f t="shared" si="34"/>
        <v>150</v>
      </c>
      <c r="AI17" s="203">
        <f t="shared" si="13"/>
        <v>1500</v>
      </c>
      <c r="AJ17" s="203">
        <f t="shared" si="35"/>
        <v>150</v>
      </c>
      <c r="AK17" s="203">
        <f t="shared" si="14"/>
        <v>1500</v>
      </c>
      <c r="AL17" s="203">
        <f t="shared" si="36"/>
        <v>150</v>
      </c>
      <c r="AM17" s="203">
        <f t="shared" si="15"/>
        <v>1500</v>
      </c>
      <c r="AN17" s="35">
        <f t="shared" si="16"/>
        <v>0.5357142857142857</v>
      </c>
      <c r="AO17" s="36">
        <f>SUM(AA17+AC17+AE17+AG17+AI17+AK17+AM17)</f>
        <v>10500</v>
      </c>
      <c r="AQ17" s="223">
        <f t="shared" si="37"/>
        <v>0.47698043420180625</v>
      </c>
      <c r="AR17" s="38">
        <f t="shared" si="38"/>
        <v>44344.870967741925</v>
      </c>
      <c r="AS17" s="197">
        <f t="shared" si="42"/>
        <v>0</v>
      </c>
      <c r="AU17" s="3"/>
      <c r="AV17" s="485">
        <f t="shared" si="45"/>
        <v>0.76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1676.3417721525805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44605</v>
      </c>
      <c r="B18">
        <f>'B5'!B17</f>
        <v>169</v>
      </c>
      <c r="C18" s="203">
        <f t="shared" si="18"/>
        <v>3636.2258064516127</v>
      </c>
      <c r="D18">
        <f t="shared" si="19"/>
        <v>169</v>
      </c>
      <c r="E18" s="203">
        <f t="shared" si="18"/>
        <v>3636.2258064516127</v>
      </c>
      <c r="F18">
        <f t="shared" si="20"/>
        <v>169</v>
      </c>
      <c r="G18" s="203">
        <f t="shared" si="1"/>
        <v>3636.2258064516127</v>
      </c>
      <c r="H18" s="203">
        <f t="shared" si="21"/>
        <v>169</v>
      </c>
      <c r="I18" s="203">
        <f t="shared" si="2"/>
        <v>3636.2258064516127</v>
      </c>
      <c r="J18" s="203">
        <f t="shared" si="22"/>
        <v>169</v>
      </c>
      <c r="K18" s="203">
        <f t="shared" si="3"/>
        <v>3636.2258064516127</v>
      </c>
      <c r="L18" s="203">
        <f t="shared" si="23"/>
        <v>169</v>
      </c>
      <c r="M18" s="203">
        <f t="shared" si="4"/>
        <v>3636.2258064516127</v>
      </c>
      <c r="N18" s="203">
        <f t="shared" si="24"/>
        <v>169</v>
      </c>
      <c r="O18" s="203">
        <f t="shared" si="5"/>
        <v>3636.2258064516127</v>
      </c>
      <c r="P18" s="203">
        <f t="shared" si="25"/>
        <v>169</v>
      </c>
      <c r="Q18" s="203">
        <f t="shared" si="6"/>
        <v>3636.2258064516127</v>
      </c>
      <c r="R18" s="203">
        <f t="shared" si="26"/>
        <v>169</v>
      </c>
      <c r="S18" s="203">
        <f t="shared" si="7"/>
        <v>3636.2258064516127</v>
      </c>
      <c r="T18" s="203">
        <f t="shared" si="27"/>
        <v>169</v>
      </c>
      <c r="U18" s="203">
        <f t="shared" si="8"/>
        <v>3636.2258064516127</v>
      </c>
      <c r="V18" s="203">
        <f t="shared" si="28"/>
        <v>169</v>
      </c>
      <c r="W18" s="203">
        <f t="shared" si="9"/>
        <v>3636.2258064516127</v>
      </c>
      <c r="X18" s="35">
        <f t="shared" si="10"/>
        <v>0.54516129032258065</v>
      </c>
      <c r="Y18" s="36">
        <f t="shared" si="29"/>
        <v>39998.483870967742</v>
      </c>
      <c r="Z18" s="203">
        <f>'B5'!C17</f>
        <v>176</v>
      </c>
      <c r="AA18" s="203">
        <f t="shared" si="30"/>
        <v>1760</v>
      </c>
      <c r="AB18" s="203">
        <f t="shared" si="31"/>
        <v>176</v>
      </c>
      <c r="AC18" s="203">
        <f t="shared" si="30"/>
        <v>1760</v>
      </c>
      <c r="AD18" s="203">
        <f t="shared" si="32"/>
        <v>176</v>
      </c>
      <c r="AE18" s="203">
        <f t="shared" si="11"/>
        <v>1760</v>
      </c>
      <c r="AF18" s="203">
        <f t="shared" si="33"/>
        <v>176</v>
      </c>
      <c r="AG18" s="203">
        <f t="shared" si="12"/>
        <v>1760</v>
      </c>
      <c r="AH18" s="203">
        <f t="shared" si="34"/>
        <v>176</v>
      </c>
      <c r="AI18" s="203">
        <f t="shared" si="13"/>
        <v>1760</v>
      </c>
      <c r="AJ18" s="203">
        <f t="shared" si="35"/>
        <v>176</v>
      </c>
      <c r="AK18" s="203">
        <f t="shared" si="14"/>
        <v>1760</v>
      </c>
      <c r="AL18" s="203">
        <f t="shared" si="36"/>
        <v>176</v>
      </c>
      <c r="AM18" s="203">
        <f t="shared" si="15"/>
        <v>1760</v>
      </c>
      <c r="AN18" s="35">
        <f t="shared" si="16"/>
        <v>0.62857142857142856</v>
      </c>
      <c r="AO18" s="36">
        <f t="shared" si="41"/>
        <v>12320</v>
      </c>
      <c r="AQ18" s="223">
        <f t="shared" si="37"/>
        <v>0.56274587362555384</v>
      </c>
      <c r="AR18" s="38">
        <f t="shared" si="38"/>
        <v>52318.483870967742</v>
      </c>
      <c r="AS18" s="197">
        <f>SUM(AR18-AR17-AT18)</f>
        <v>-1591.3870967741823</v>
      </c>
      <c r="AT18" s="340">
        <v>9565</v>
      </c>
      <c r="AU18" s="549">
        <v>0.74099999999999999</v>
      </c>
      <c r="AV18" s="485">
        <f t="shared" si="45"/>
        <v>0.74099999999999999</v>
      </c>
      <c r="AW18" s="279">
        <f>-SUM('B5'!AI17)</f>
        <v>-591</v>
      </c>
      <c r="AX18" s="279">
        <f t="shared" si="17"/>
        <v>-1000.3870967741823</v>
      </c>
      <c r="AY18" s="37">
        <f t="shared" si="39"/>
        <v>-1591.3870967741823</v>
      </c>
      <c r="AZ18" s="100">
        <f>ELEC!A16</f>
        <v>0</v>
      </c>
      <c r="BA18" s="118">
        <f>'General information '!D17</f>
        <v>14.5</v>
      </c>
      <c r="BB18" s="378">
        <f>SUM('General information '!E17)</f>
        <v>0.54</v>
      </c>
      <c r="BC18" s="3">
        <f t="shared" si="44"/>
        <v>1</v>
      </c>
      <c r="BD18" s="102">
        <v>19222</v>
      </c>
      <c r="BE18" s="14">
        <f>(305/1185)*ELEC!Q17</f>
        <v>1569.7848101261554</v>
      </c>
      <c r="BF18" s="14"/>
      <c r="BG18" s="14" t="e">
        <f>#REF!-BE18</f>
        <v>#REF!</v>
      </c>
      <c r="BH18" s="11"/>
      <c r="BI18">
        <v>5</v>
      </c>
      <c r="BJ18">
        <f t="shared" si="46"/>
        <v>-200.07741935483645</v>
      </c>
      <c r="BK18" s="538">
        <f>GEN!AF15</f>
        <v>0.31312500000012733</v>
      </c>
    </row>
    <row r="19" spans="1:64">
      <c r="A19" s="425">
        <f>ELEC!C17</f>
        <v>44606</v>
      </c>
      <c r="B19">
        <f>'B5'!B18</f>
        <v>162</v>
      </c>
      <c r="C19" s="203">
        <f t="shared" si="18"/>
        <v>3485.6129032258063</v>
      </c>
      <c r="D19">
        <f t="shared" si="19"/>
        <v>162</v>
      </c>
      <c r="E19" s="203">
        <f t="shared" si="18"/>
        <v>3485.6129032258063</v>
      </c>
      <c r="F19">
        <f t="shared" si="20"/>
        <v>162</v>
      </c>
      <c r="G19" s="203">
        <f t="shared" si="1"/>
        <v>3485.6129032258063</v>
      </c>
      <c r="H19" s="203">
        <f t="shared" si="21"/>
        <v>162</v>
      </c>
      <c r="I19" s="203">
        <f t="shared" si="2"/>
        <v>3485.6129032258063</v>
      </c>
      <c r="J19" s="203">
        <f t="shared" si="22"/>
        <v>162</v>
      </c>
      <c r="K19" s="203">
        <f t="shared" si="3"/>
        <v>3485.6129032258063</v>
      </c>
      <c r="L19" s="203">
        <f t="shared" si="23"/>
        <v>162</v>
      </c>
      <c r="M19" s="203">
        <f t="shared" si="4"/>
        <v>3485.6129032258063</v>
      </c>
      <c r="N19" s="203">
        <f t="shared" si="24"/>
        <v>162</v>
      </c>
      <c r="O19" s="203">
        <f t="shared" si="5"/>
        <v>3485.6129032258063</v>
      </c>
      <c r="P19" s="203">
        <f t="shared" si="25"/>
        <v>162</v>
      </c>
      <c r="Q19" s="203">
        <f t="shared" si="6"/>
        <v>3485.6129032258063</v>
      </c>
      <c r="R19" s="203">
        <f t="shared" si="26"/>
        <v>162</v>
      </c>
      <c r="S19" s="203">
        <f t="shared" si="7"/>
        <v>3485.6129032258063</v>
      </c>
      <c r="T19" s="203">
        <f t="shared" si="27"/>
        <v>162</v>
      </c>
      <c r="U19" s="203">
        <f t="shared" si="8"/>
        <v>3485.6129032258063</v>
      </c>
      <c r="V19" s="203">
        <f t="shared" si="28"/>
        <v>162</v>
      </c>
      <c r="W19" s="203">
        <f t="shared" si="9"/>
        <v>3485.6129032258063</v>
      </c>
      <c r="X19" s="35">
        <f t="shared" si="10"/>
        <v>0.52258064516129021</v>
      </c>
      <c r="Y19" s="36">
        <f t="shared" si="29"/>
        <v>38341.741935483864</v>
      </c>
      <c r="Z19" s="203">
        <f>'B5'!C18</f>
        <v>169</v>
      </c>
      <c r="AA19" s="203">
        <f t="shared" si="30"/>
        <v>1690</v>
      </c>
      <c r="AB19" s="203">
        <f t="shared" si="31"/>
        <v>169</v>
      </c>
      <c r="AC19" s="203">
        <f t="shared" si="30"/>
        <v>1690</v>
      </c>
      <c r="AD19" s="203">
        <f t="shared" si="32"/>
        <v>169</v>
      </c>
      <c r="AE19" s="203">
        <f t="shared" si="11"/>
        <v>1690</v>
      </c>
      <c r="AF19" s="203">
        <f t="shared" si="33"/>
        <v>169</v>
      </c>
      <c r="AG19" s="203">
        <f t="shared" si="12"/>
        <v>1690</v>
      </c>
      <c r="AH19" s="203">
        <f t="shared" si="34"/>
        <v>169</v>
      </c>
      <c r="AI19" s="203">
        <f t="shared" si="13"/>
        <v>1690</v>
      </c>
      <c r="AJ19" s="203">
        <f t="shared" si="35"/>
        <v>169</v>
      </c>
      <c r="AK19" s="203">
        <f t="shared" si="14"/>
        <v>1690</v>
      </c>
      <c r="AL19" s="203">
        <f t="shared" si="36"/>
        <v>169</v>
      </c>
      <c r="AM19" s="203">
        <f t="shared" si="15"/>
        <v>1690</v>
      </c>
      <c r="AN19" s="35">
        <f t="shared" si="16"/>
        <v>0.60357142857142854</v>
      </c>
      <c r="AO19" s="36">
        <f t="shared" si="41"/>
        <v>11830</v>
      </c>
      <c r="AQ19" s="223">
        <f t="shared" si="37"/>
        <v>0.53965517839608335</v>
      </c>
      <c r="AR19" s="38">
        <f t="shared" si="38"/>
        <v>50171.741935483864</v>
      </c>
      <c r="AS19" s="197">
        <f t="shared" ref="AS19:AS32" si="47">SUM(AR19-AR18-AT19)</f>
        <v>-2146.7419354838785</v>
      </c>
      <c r="AT19" s="340"/>
      <c r="AU19" s="549"/>
      <c r="AV19" s="485">
        <f t="shared" si="45"/>
        <v>0.74099999999999999</v>
      </c>
      <c r="AW19" s="279">
        <f>-SUM('B5'!AI18)</f>
        <v>-330</v>
      </c>
      <c r="AX19" s="279">
        <f t="shared" si="17"/>
        <v>-1816.7419354838785</v>
      </c>
      <c r="AY19" s="37">
        <f t="shared" si="39"/>
        <v>-2146.7419354838785</v>
      </c>
      <c r="AZ19" s="100">
        <f>ELEC!A17</f>
        <v>0</v>
      </c>
      <c r="BA19" s="118">
        <f>'General information '!D18</f>
        <v>15</v>
      </c>
      <c r="BB19" s="378">
        <f>SUM('General information '!E18)</f>
        <v>0.65</v>
      </c>
      <c r="BC19" s="3">
        <f t="shared" si="44"/>
        <v>0</v>
      </c>
      <c r="BD19" s="102">
        <v>19222</v>
      </c>
      <c r="BE19" s="14">
        <f>(305/1185)*ELEC!Q18</f>
        <v>1298.7594936704891</v>
      </c>
      <c r="BF19" s="14"/>
      <c r="BG19" s="14" t="e">
        <f>#REF!-BE19</f>
        <v>#REF!</v>
      </c>
      <c r="BH19" s="11"/>
      <c r="BI19">
        <v>6</v>
      </c>
      <c r="BJ19">
        <f t="shared" si="46"/>
        <v>-302.79032258064643</v>
      </c>
      <c r="BK19" s="538">
        <f>GEN!AF16</f>
        <v>0.34653409090899667</v>
      </c>
    </row>
    <row r="20" spans="1:64">
      <c r="A20" s="425">
        <f>ELEC!C18</f>
        <v>44607</v>
      </c>
      <c r="B20">
        <f>'B5'!B19</f>
        <v>155</v>
      </c>
      <c r="C20" s="203">
        <f t="shared" si="18"/>
        <v>3335</v>
      </c>
      <c r="D20">
        <f t="shared" si="19"/>
        <v>155</v>
      </c>
      <c r="E20" s="203">
        <f t="shared" si="18"/>
        <v>3335</v>
      </c>
      <c r="F20">
        <f t="shared" si="20"/>
        <v>155</v>
      </c>
      <c r="G20" s="203">
        <f t="shared" si="1"/>
        <v>3335</v>
      </c>
      <c r="H20" s="203">
        <f t="shared" si="21"/>
        <v>155</v>
      </c>
      <c r="I20" s="203">
        <f t="shared" si="2"/>
        <v>3335</v>
      </c>
      <c r="J20" s="203">
        <f t="shared" si="22"/>
        <v>155</v>
      </c>
      <c r="K20" s="203">
        <f t="shared" si="3"/>
        <v>3335</v>
      </c>
      <c r="L20" s="203">
        <f t="shared" si="23"/>
        <v>155</v>
      </c>
      <c r="M20" s="203">
        <f t="shared" si="4"/>
        <v>3335</v>
      </c>
      <c r="N20" s="203">
        <f t="shared" si="24"/>
        <v>155</v>
      </c>
      <c r="O20" s="203">
        <f t="shared" si="5"/>
        <v>3335</v>
      </c>
      <c r="P20" s="203">
        <f t="shared" si="25"/>
        <v>155</v>
      </c>
      <c r="Q20" s="203">
        <f t="shared" si="6"/>
        <v>3335</v>
      </c>
      <c r="R20" s="203">
        <f t="shared" si="26"/>
        <v>155</v>
      </c>
      <c r="S20" s="203">
        <f t="shared" si="7"/>
        <v>3335</v>
      </c>
      <c r="T20" s="203">
        <f t="shared" si="27"/>
        <v>155</v>
      </c>
      <c r="U20" s="203">
        <f t="shared" si="8"/>
        <v>3335</v>
      </c>
      <c r="V20" s="203">
        <f t="shared" si="28"/>
        <v>155</v>
      </c>
      <c r="W20" s="203">
        <f t="shared" si="9"/>
        <v>3335</v>
      </c>
      <c r="X20" s="35">
        <f t="shared" si="10"/>
        <v>0.5</v>
      </c>
      <c r="Y20" s="36">
        <f t="shared" si="29"/>
        <v>36685</v>
      </c>
      <c r="Z20" s="203">
        <f>'B5'!C19</f>
        <v>162</v>
      </c>
      <c r="AA20" s="203">
        <f t="shared" si="30"/>
        <v>1620</v>
      </c>
      <c r="AB20" s="203">
        <f t="shared" si="31"/>
        <v>162</v>
      </c>
      <c r="AC20" s="203">
        <f t="shared" si="30"/>
        <v>1620</v>
      </c>
      <c r="AD20" s="203">
        <f t="shared" si="32"/>
        <v>162</v>
      </c>
      <c r="AE20" s="203">
        <f t="shared" si="11"/>
        <v>1620</v>
      </c>
      <c r="AF20" s="203">
        <f t="shared" si="33"/>
        <v>162</v>
      </c>
      <c r="AG20" s="203">
        <f t="shared" si="12"/>
        <v>1620</v>
      </c>
      <c r="AH20" s="203">
        <f t="shared" si="34"/>
        <v>162</v>
      </c>
      <c r="AI20" s="203">
        <f t="shared" si="13"/>
        <v>1620</v>
      </c>
      <c r="AJ20" s="203">
        <f t="shared" si="35"/>
        <v>162</v>
      </c>
      <c r="AK20" s="203">
        <f t="shared" si="14"/>
        <v>1620</v>
      </c>
      <c r="AL20" s="203">
        <f t="shared" si="36"/>
        <v>162</v>
      </c>
      <c r="AM20" s="203">
        <f t="shared" si="15"/>
        <v>1620</v>
      </c>
      <c r="AN20" s="35">
        <f t="shared" si="16"/>
        <v>0.57857142857142863</v>
      </c>
      <c r="AO20" s="36">
        <f t="shared" si="41"/>
        <v>11340</v>
      </c>
      <c r="AQ20" s="223">
        <f t="shared" si="37"/>
        <v>0.51656448316661285</v>
      </c>
      <c r="AR20" s="38">
        <f t="shared" si="38"/>
        <v>48025</v>
      </c>
      <c r="AS20" s="197">
        <f>SUM(AR20-AR19-AT20)</f>
        <v>-2146.7419354838639</v>
      </c>
      <c r="AT20" s="340"/>
      <c r="AU20" s="549"/>
      <c r="AV20" s="485">
        <f t="shared" si="45"/>
        <v>0.74099999999999999</v>
      </c>
      <c r="AW20" s="279">
        <f>-SUM('B5'!AI19)</f>
        <v>-306</v>
      </c>
      <c r="AX20" s="279">
        <f>-SUM(AW20-AS20)</f>
        <v>-1840.7419354838639</v>
      </c>
      <c r="AY20" s="37">
        <f t="shared" si="39"/>
        <v>-2146.7419354838639</v>
      </c>
      <c r="AZ20" s="100">
        <f>ELEC!A18</f>
        <v>0</v>
      </c>
      <c r="BA20" s="118">
        <f>'General information '!D19</f>
        <v>15.5</v>
      </c>
      <c r="BB20" s="378">
        <f>SUM('General information '!E19)</f>
        <v>0.66</v>
      </c>
      <c r="BC20" s="3">
        <f t="shared" si="44"/>
        <v>0</v>
      </c>
      <c r="BD20" s="102">
        <v>19222</v>
      </c>
      <c r="BE20" s="14">
        <f>(305/1185)*ELEC!Q19</f>
        <v>1330.1603375531247</v>
      </c>
      <c r="BF20" s="14"/>
      <c r="BG20" s="14" t="e">
        <f>#REF!-BE20</f>
        <v>#REF!</v>
      </c>
      <c r="BH20" s="11"/>
      <c r="BI20">
        <v>7</v>
      </c>
      <c r="BJ20">
        <f t="shared" si="46"/>
        <v>-262.96313364055197</v>
      </c>
      <c r="BK20" s="538">
        <f>GEN!AF17</f>
        <v>0.31537499999990359</v>
      </c>
      <c r="BL20" s="203"/>
    </row>
    <row r="21" spans="1:64">
      <c r="A21" s="425">
        <f>ELEC!C19</f>
        <v>44608</v>
      </c>
      <c r="B21">
        <f>'B5'!B20</f>
        <v>147</v>
      </c>
      <c r="C21" s="203">
        <f t="shared" si="18"/>
        <v>3162.8709677419356</v>
      </c>
      <c r="D21">
        <f t="shared" si="19"/>
        <v>147</v>
      </c>
      <c r="E21" s="203">
        <f t="shared" si="18"/>
        <v>3162.8709677419356</v>
      </c>
      <c r="F21">
        <f t="shared" si="20"/>
        <v>147</v>
      </c>
      <c r="G21" s="203">
        <f t="shared" si="1"/>
        <v>3162.8709677419356</v>
      </c>
      <c r="H21" s="203">
        <f t="shared" si="21"/>
        <v>147</v>
      </c>
      <c r="I21" s="203">
        <f t="shared" si="2"/>
        <v>3162.8709677419356</v>
      </c>
      <c r="J21" s="203">
        <f t="shared" si="22"/>
        <v>147</v>
      </c>
      <c r="K21" s="203">
        <f t="shared" si="3"/>
        <v>3162.8709677419356</v>
      </c>
      <c r="L21" s="203">
        <f t="shared" si="23"/>
        <v>147</v>
      </c>
      <c r="M21" s="203">
        <f t="shared" si="4"/>
        <v>3162.8709677419356</v>
      </c>
      <c r="N21" s="203">
        <f t="shared" si="24"/>
        <v>147</v>
      </c>
      <c r="O21" s="203">
        <f t="shared" si="5"/>
        <v>3162.8709677419356</v>
      </c>
      <c r="P21" s="203">
        <f t="shared" si="25"/>
        <v>147</v>
      </c>
      <c r="Q21" s="203">
        <f t="shared" si="6"/>
        <v>3162.8709677419356</v>
      </c>
      <c r="R21" s="203">
        <f t="shared" si="26"/>
        <v>147</v>
      </c>
      <c r="S21" s="203">
        <f t="shared" si="7"/>
        <v>3162.8709677419356</v>
      </c>
      <c r="T21" s="203">
        <f t="shared" si="27"/>
        <v>147</v>
      </c>
      <c r="U21" s="203">
        <f t="shared" si="8"/>
        <v>3162.8709677419356</v>
      </c>
      <c r="V21" s="203">
        <f t="shared" si="28"/>
        <v>147</v>
      </c>
      <c r="W21" s="203">
        <f t="shared" si="9"/>
        <v>3162.8709677419356</v>
      </c>
      <c r="X21" s="35">
        <f t="shared" si="10"/>
        <v>0.47419354838709676</v>
      </c>
      <c r="Y21" s="36">
        <f t="shared" si="29"/>
        <v>34791.580645161288</v>
      </c>
      <c r="Z21" s="203">
        <f>'B5'!C20</f>
        <v>155</v>
      </c>
      <c r="AA21" s="203">
        <f t="shared" si="30"/>
        <v>1550</v>
      </c>
      <c r="AB21" s="203">
        <f t="shared" si="31"/>
        <v>155</v>
      </c>
      <c r="AC21" s="203">
        <f t="shared" si="30"/>
        <v>1550</v>
      </c>
      <c r="AD21" s="203">
        <f t="shared" si="32"/>
        <v>155</v>
      </c>
      <c r="AE21" s="203">
        <f t="shared" si="11"/>
        <v>1550</v>
      </c>
      <c r="AF21" s="203">
        <f t="shared" si="33"/>
        <v>155</v>
      </c>
      <c r="AG21" s="203">
        <f t="shared" si="12"/>
        <v>1550</v>
      </c>
      <c r="AH21" s="203">
        <f t="shared" si="34"/>
        <v>155</v>
      </c>
      <c r="AI21" s="203">
        <f t="shared" si="13"/>
        <v>1550</v>
      </c>
      <c r="AJ21" s="203">
        <f t="shared" si="35"/>
        <v>155</v>
      </c>
      <c r="AK21" s="203">
        <f t="shared" si="14"/>
        <v>1550</v>
      </c>
      <c r="AL21" s="203">
        <f t="shared" si="36"/>
        <v>155</v>
      </c>
      <c r="AM21" s="203">
        <f t="shared" si="15"/>
        <v>1550</v>
      </c>
      <c r="AN21" s="35">
        <f t="shared" si="16"/>
        <v>0.5535714285714286</v>
      </c>
      <c r="AO21" s="36">
        <f t="shared" si="41"/>
        <v>10850</v>
      </c>
      <c r="AQ21" s="223">
        <f t="shared" si="37"/>
        <v>0.49092804824310304</v>
      </c>
      <c r="AR21" s="38">
        <f t="shared" si="38"/>
        <v>45641.580645161288</v>
      </c>
      <c r="AS21" s="197">
        <f>SUM(AR21-AR20-AT21)</f>
        <v>-2383.419354838712</v>
      </c>
      <c r="AT21" s="340"/>
      <c r="AU21" s="549"/>
      <c r="AV21" s="485">
        <f t="shared" si="45"/>
        <v>0.74099999999999999</v>
      </c>
      <c r="AW21" s="279">
        <f>-SUM('B5'!AI20)</f>
        <v>-407</v>
      </c>
      <c r="AX21" s="279">
        <f t="shared" si="17"/>
        <v>-1976.419354838712</v>
      </c>
      <c r="AY21" s="37">
        <f t="shared" si="39"/>
        <v>-2383.419354838712</v>
      </c>
      <c r="AZ21" s="100">
        <f>ELEC!A19</f>
        <v>0</v>
      </c>
      <c r="BA21" s="118">
        <f>'General information '!D20</f>
        <v>15</v>
      </c>
      <c r="BB21" s="378">
        <f>SUM('General information '!E20)</f>
        <v>0.63</v>
      </c>
      <c r="BC21" s="3">
        <f t="shared" si="44"/>
        <v>0</v>
      </c>
      <c r="BD21" s="102">
        <v>19222</v>
      </c>
      <c r="BE21" s="14">
        <f>(305/1185)*ELEC!Q20</f>
        <v>1189.8860759492622</v>
      </c>
      <c r="BF21" s="14"/>
      <c r="BG21" s="14" t="e">
        <f>#REF!-BE21</f>
        <v>#REF!</v>
      </c>
      <c r="BH21" s="11"/>
      <c r="BI21">
        <v>8</v>
      </c>
      <c r="BJ21">
        <f t="shared" si="46"/>
        <v>-247.052419354839</v>
      </c>
      <c r="BK21" s="538">
        <f>GEN!AF18</f>
        <v>0.32300000000009277</v>
      </c>
    </row>
    <row r="22" spans="1:64">
      <c r="A22" s="425">
        <f>ELEC!C20</f>
        <v>44609</v>
      </c>
      <c r="B22">
        <f>'B5'!B21</f>
        <v>179</v>
      </c>
      <c r="C22" s="203">
        <f t="shared" si="18"/>
        <v>3851.3870967741937</v>
      </c>
      <c r="D22">
        <f t="shared" si="19"/>
        <v>179</v>
      </c>
      <c r="E22" s="203">
        <f t="shared" si="18"/>
        <v>3851.3870967741937</v>
      </c>
      <c r="F22">
        <f t="shared" si="20"/>
        <v>179</v>
      </c>
      <c r="G22" s="203">
        <f t="shared" si="1"/>
        <v>3851.3870967741937</v>
      </c>
      <c r="H22" s="203">
        <f t="shared" si="21"/>
        <v>179</v>
      </c>
      <c r="I22" s="203">
        <f t="shared" si="2"/>
        <v>3851.3870967741937</v>
      </c>
      <c r="J22" s="203">
        <f t="shared" si="22"/>
        <v>179</v>
      </c>
      <c r="K22" s="203">
        <f t="shared" si="3"/>
        <v>3851.3870967741937</v>
      </c>
      <c r="L22" s="203">
        <f t="shared" si="23"/>
        <v>179</v>
      </c>
      <c r="M22" s="203">
        <f t="shared" si="4"/>
        <v>3851.3870967741937</v>
      </c>
      <c r="N22" s="203">
        <f t="shared" si="24"/>
        <v>179</v>
      </c>
      <c r="O22" s="203">
        <f t="shared" si="5"/>
        <v>3851.3870967741937</v>
      </c>
      <c r="P22" s="203">
        <f t="shared" si="25"/>
        <v>179</v>
      </c>
      <c r="Q22" s="203">
        <f t="shared" si="6"/>
        <v>3851.3870967741937</v>
      </c>
      <c r="R22" s="203">
        <f t="shared" si="26"/>
        <v>179</v>
      </c>
      <c r="S22" s="203">
        <f t="shared" si="7"/>
        <v>3851.3870967741937</v>
      </c>
      <c r="T22" s="203">
        <f t="shared" si="27"/>
        <v>179</v>
      </c>
      <c r="U22" s="203">
        <f t="shared" si="8"/>
        <v>3851.3870967741937</v>
      </c>
      <c r="V22" s="203">
        <f t="shared" si="28"/>
        <v>179</v>
      </c>
      <c r="W22" s="203">
        <f t="shared" si="9"/>
        <v>3851.3870967741937</v>
      </c>
      <c r="X22" s="35">
        <f t="shared" si="10"/>
        <v>0.57741935483870976</v>
      </c>
      <c r="Y22" s="36">
        <f t="shared" si="29"/>
        <v>42365.258064516136</v>
      </c>
      <c r="Z22" s="203">
        <f>'B5'!C21</f>
        <v>186</v>
      </c>
      <c r="AA22" s="203">
        <f t="shared" si="30"/>
        <v>1860</v>
      </c>
      <c r="AB22" s="203">
        <f t="shared" si="31"/>
        <v>186</v>
      </c>
      <c r="AC22" s="203">
        <f t="shared" si="30"/>
        <v>1860</v>
      </c>
      <c r="AD22" s="203">
        <f t="shared" si="32"/>
        <v>186</v>
      </c>
      <c r="AE22" s="203">
        <f t="shared" si="11"/>
        <v>1860</v>
      </c>
      <c r="AF22" s="203">
        <f t="shared" si="33"/>
        <v>186</v>
      </c>
      <c r="AG22" s="203">
        <f t="shared" si="12"/>
        <v>1860</v>
      </c>
      <c r="AH22" s="203">
        <f t="shared" si="34"/>
        <v>186</v>
      </c>
      <c r="AI22" s="203">
        <f t="shared" si="13"/>
        <v>1860</v>
      </c>
      <c r="AJ22" s="203">
        <f t="shared" si="35"/>
        <v>186</v>
      </c>
      <c r="AK22" s="203">
        <f t="shared" si="14"/>
        <v>1860</v>
      </c>
      <c r="AL22" s="203">
        <f t="shared" si="36"/>
        <v>186</v>
      </c>
      <c r="AM22" s="203">
        <f t="shared" si="15"/>
        <v>1860</v>
      </c>
      <c r="AN22" s="35">
        <f t="shared" si="16"/>
        <v>0.66428571428571426</v>
      </c>
      <c r="AO22" s="36">
        <f t="shared" si="41"/>
        <v>13020</v>
      </c>
      <c r="AQ22" s="223">
        <f t="shared" si="37"/>
        <v>0.59573258109622607</v>
      </c>
      <c r="AR22" s="38">
        <f t="shared" si="38"/>
        <v>55385.258064516136</v>
      </c>
      <c r="AS22" s="197">
        <f t="shared" si="47"/>
        <v>-106.3225806451519</v>
      </c>
      <c r="AT22" s="340">
        <v>9850</v>
      </c>
      <c r="AU22" s="549">
        <v>0.79500000000000004</v>
      </c>
      <c r="AV22" s="485">
        <f t="shared" si="43"/>
        <v>0.79500000000000004</v>
      </c>
      <c r="AW22" s="279">
        <f>-SUM('B5'!AI21)</f>
        <v>-232</v>
      </c>
      <c r="AX22" s="279">
        <f t="shared" si="17"/>
        <v>125.6774193548481</v>
      </c>
      <c r="AY22" s="37">
        <f t="shared" si="39"/>
        <v>-106.3225806451519</v>
      </c>
      <c r="AZ22" s="100">
        <f>ELEC!A20</f>
        <v>0</v>
      </c>
      <c r="BA22" s="118">
        <f>'General information '!D21</f>
        <v>15</v>
      </c>
      <c r="BB22" s="378">
        <f>SUM('General information '!E21)</f>
        <v>0.52</v>
      </c>
      <c r="BC22" s="3">
        <f t="shared" si="44"/>
        <v>1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13.964157706094234</v>
      </c>
      <c r="BK22" s="538">
        <f>GEN!AF19</f>
        <v>0.32104166666663836</v>
      </c>
    </row>
    <row r="23" spans="1:64">
      <c r="A23" s="425">
        <f>ELEC!C21</f>
        <v>44610</v>
      </c>
      <c r="B23">
        <f>'B5'!B22</f>
        <v>179</v>
      </c>
      <c r="C23" s="203">
        <f t="shared" si="18"/>
        <v>3851.3870967741937</v>
      </c>
      <c r="D23">
        <f t="shared" si="19"/>
        <v>179</v>
      </c>
      <c r="E23" s="203">
        <f t="shared" si="18"/>
        <v>3851.3870967741937</v>
      </c>
      <c r="F23">
        <f t="shared" si="20"/>
        <v>179</v>
      </c>
      <c r="G23" s="203">
        <f t="shared" si="1"/>
        <v>3851.3870967741937</v>
      </c>
      <c r="H23" s="203">
        <f t="shared" si="21"/>
        <v>179</v>
      </c>
      <c r="I23" s="203">
        <f t="shared" si="2"/>
        <v>3851.3870967741937</v>
      </c>
      <c r="J23" s="203">
        <f t="shared" si="22"/>
        <v>179</v>
      </c>
      <c r="K23" s="203">
        <f t="shared" si="3"/>
        <v>3851.3870967741937</v>
      </c>
      <c r="L23" s="203">
        <f t="shared" si="23"/>
        <v>179</v>
      </c>
      <c r="M23" s="203">
        <f t="shared" si="4"/>
        <v>3851.3870967741937</v>
      </c>
      <c r="N23" s="203">
        <f t="shared" si="24"/>
        <v>179</v>
      </c>
      <c r="O23" s="203">
        <f t="shared" si="5"/>
        <v>3851.3870967741937</v>
      </c>
      <c r="P23" s="203">
        <f t="shared" si="25"/>
        <v>179</v>
      </c>
      <c r="Q23" s="203">
        <f t="shared" si="6"/>
        <v>3851.3870967741937</v>
      </c>
      <c r="R23" s="203">
        <f t="shared" si="26"/>
        <v>179</v>
      </c>
      <c r="S23" s="203">
        <f t="shared" si="7"/>
        <v>3851.3870967741937</v>
      </c>
      <c r="T23" s="203">
        <f t="shared" si="27"/>
        <v>179</v>
      </c>
      <c r="U23" s="203">
        <f t="shared" si="8"/>
        <v>3851.3870967741937</v>
      </c>
      <c r="V23" s="203">
        <f t="shared" si="28"/>
        <v>179</v>
      </c>
      <c r="W23" s="203">
        <f t="shared" si="9"/>
        <v>3851.3870967741937</v>
      </c>
      <c r="X23" s="35">
        <f t="shared" si="10"/>
        <v>0.57741935483870976</v>
      </c>
      <c r="Y23" s="36">
        <f t="shared" si="29"/>
        <v>42365.258064516136</v>
      </c>
      <c r="Z23" s="203">
        <f>'B5'!C22</f>
        <v>186</v>
      </c>
      <c r="AA23" s="203">
        <f t="shared" si="30"/>
        <v>1860</v>
      </c>
      <c r="AB23" s="203">
        <f t="shared" si="31"/>
        <v>186</v>
      </c>
      <c r="AC23" s="203">
        <f t="shared" si="30"/>
        <v>1860</v>
      </c>
      <c r="AD23" s="203">
        <f t="shared" si="32"/>
        <v>186</v>
      </c>
      <c r="AE23" s="203">
        <f t="shared" si="11"/>
        <v>1860</v>
      </c>
      <c r="AF23" s="203">
        <f t="shared" si="33"/>
        <v>186</v>
      </c>
      <c r="AG23" s="203">
        <f t="shared" si="12"/>
        <v>1860</v>
      </c>
      <c r="AH23" s="203">
        <f t="shared" si="34"/>
        <v>186</v>
      </c>
      <c r="AI23" s="203">
        <f t="shared" si="13"/>
        <v>1860</v>
      </c>
      <c r="AJ23" s="203">
        <f t="shared" si="35"/>
        <v>186</v>
      </c>
      <c r="AK23" s="203">
        <f t="shared" si="14"/>
        <v>1860</v>
      </c>
      <c r="AL23" s="203">
        <f t="shared" si="36"/>
        <v>186</v>
      </c>
      <c r="AM23" s="203">
        <f t="shared" si="15"/>
        <v>1860</v>
      </c>
      <c r="AN23" s="35">
        <f t="shared" si="16"/>
        <v>0.66428571428571426</v>
      </c>
      <c r="AO23" s="36">
        <f t="shared" si="41"/>
        <v>13020</v>
      </c>
      <c r="AQ23" s="223">
        <f t="shared" si="37"/>
        <v>0.59573258109622607</v>
      </c>
      <c r="AR23" s="38">
        <f t="shared" si="38"/>
        <v>55385.258064516136</v>
      </c>
      <c r="AS23" s="197">
        <f t="shared" si="47"/>
        <v>0</v>
      </c>
      <c r="AT23" s="340"/>
      <c r="AU23" s="549"/>
      <c r="AV23" s="485">
        <f t="shared" si="43"/>
        <v>0.79500000000000004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44611</v>
      </c>
      <c r="B24">
        <f>'B5'!B23</f>
        <v>179</v>
      </c>
      <c r="C24" s="203">
        <f t="shared" si="18"/>
        <v>3851.3870967741937</v>
      </c>
      <c r="D24">
        <f t="shared" si="19"/>
        <v>179</v>
      </c>
      <c r="E24" s="203">
        <f t="shared" si="18"/>
        <v>3851.3870967741937</v>
      </c>
      <c r="F24">
        <f t="shared" si="20"/>
        <v>179</v>
      </c>
      <c r="G24" s="203">
        <f t="shared" si="1"/>
        <v>3851.3870967741937</v>
      </c>
      <c r="H24" s="203">
        <f t="shared" si="21"/>
        <v>179</v>
      </c>
      <c r="I24" s="203">
        <f t="shared" si="2"/>
        <v>3851.3870967741937</v>
      </c>
      <c r="J24" s="203">
        <f t="shared" si="22"/>
        <v>179</v>
      </c>
      <c r="K24" s="203">
        <f t="shared" si="3"/>
        <v>3851.3870967741937</v>
      </c>
      <c r="L24" s="203">
        <f t="shared" si="23"/>
        <v>179</v>
      </c>
      <c r="M24" s="203">
        <f t="shared" si="4"/>
        <v>3851.3870967741937</v>
      </c>
      <c r="N24" s="203">
        <f t="shared" si="24"/>
        <v>179</v>
      </c>
      <c r="O24" s="203">
        <f t="shared" si="5"/>
        <v>3851.3870967741937</v>
      </c>
      <c r="P24" s="203">
        <f t="shared" si="25"/>
        <v>179</v>
      </c>
      <c r="Q24" s="203">
        <f t="shared" si="6"/>
        <v>3851.3870967741937</v>
      </c>
      <c r="R24" s="203">
        <f t="shared" si="26"/>
        <v>179</v>
      </c>
      <c r="S24" s="203">
        <f t="shared" si="7"/>
        <v>3851.3870967741937</v>
      </c>
      <c r="T24" s="203">
        <f t="shared" si="27"/>
        <v>179</v>
      </c>
      <c r="U24" s="203">
        <f t="shared" si="8"/>
        <v>3851.3870967741937</v>
      </c>
      <c r="V24" s="203">
        <f t="shared" si="28"/>
        <v>179</v>
      </c>
      <c r="W24" s="203">
        <f t="shared" si="9"/>
        <v>3851.3870967741937</v>
      </c>
      <c r="X24" s="35">
        <f t="shared" si="10"/>
        <v>0.57741935483870976</v>
      </c>
      <c r="Y24" s="36">
        <f t="shared" si="29"/>
        <v>42365.258064516136</v>
      </c>
      <c r="Z24" s="203">
        <f>'B5'!C23</f>
        <v>186</v>
      </c>
      <c r="AA24" s="203">
        <f t="shared" si="30"/>
        <v>1860</v>
      </c>
      <c r="AB24" s="203">
        <f t="shared" si="31"/>
        <v>186</v>
      </c>
      <c r="AC24" s="203">
        <f t="shared" si="30"/>
        <v>1860</v>
      </c>
      <c r="AD24" s="203">
        <f t="shared" si="32"/>
        <v>186</v>
      </c>
      <c r="AE24" s="203">
        <f t="shared" si="11"/>
        <v>1860</v>
      </c>
      <c r="AF24" s="203">
        <f t="shared" si="33"/>
        <v>186</v>
      </c>
      <c r="AG24" s="203">
        <f t="shared" si="12"/>
        <v>1860</v>
      </c>
      <c r="AH24" s="203">
        <f t="shared" si="34"/>
        <v>186</v>
      </c>
      <c r="AI24" s="203">
        <f t="shared" si="13"/>
        <v>1860</v>
      </c>
      <c r="AJ24" s="203">
        <f t="shared" si="35"/>
        <v>186</v>
      </c>
      <c r="AK24" s="203">
        <f t="shared" si="14"/>
        <v>1860</v>
      </c>
      <c r="AL24" s="203">
        <f t="shared" si="36"/>
        <v>186</v>
      </c>
      <c r="AM24" s="203">
        <f t="shared" si="15"/>
        <v>1860</v>
      </c>
      <c r="AN24" s="35">
        <f t="shared" si="16"/>
        <v>0.66428571428571426</v>
      </c>
      <c r="AO24" s="36">
        <f t="shared" si="41"/>
        <v>13020</v>
      </c>
      <c r="AQ24" s="223">
        <f t="shared" si="37"/>
        <v>0.59573258109622607</v>
      </c>
      <c r="AR24" s="38">
        <f t="shared" si="38"/>
        <v>55385.258064516136</v>
      </c>
      <c r="AS24" s="197">
        <f t="shared" si="47"/>
        <v>0</v>
      </c>
      <c r="AT24" s="340"/>
      <c r="AU24" s="549"/>
      <c r="AV24" s="485">
        <f t="shared" si="43"/>
        <v>0.79500000000000004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1674.7974683547975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44612</v>
      </c>
      <c r="B25">
        <f>'B5'!B24</f>
        <v>208</v>
      </c>
      <c r="C25" s="203">
        <f t="shared" si="18"/>
        <v>4475.3548387096771</v>
      </c>
      <c r="D25">
        <f t="shared" si="19"/>
        <v>208</v>
      </c>
      <c r="E25" s="203">
        <f t="shared" si="18"/>
        <v>4475.3548387096771</v>
      </c>
      <c r="F25">
        <f t="shared" si="20"/>
        <v>208</v>
      </c>
      <c r="G25" s="203">
        <f t="shared" si="1"/>
        <v>4475.3548387096771</v>
      </c>
      <c r="H25" s="203">
        <f t="shared" si="21"/>
        <v>208</v>
      </c>
      <c r="I25" s="203">
        <f t="shared" si="2"/>
        <v>4475.3548387096771</v>
      </c>
      <c r="J25" s="203">
        <f t="shared" si="22"/>
        <v>208</v>
      </c>
      <c r="K25" s="203">
        <f t="shared" si="3"/>
        <v>4475.3548387096771</v>
      </c>
      <c r="L25" s="203">
        <f t="shared" si="23"/>
        <v>208</v>
      </c>
      <c r="M25" s="203">
        <f t="shared" si="4"/>
        <v>4475.3548387096771</v>
      </c>
      <c r="N25" s="203">
        <f t="shared" si="24"/>
        <v>208</v>
      </c>
      <c r="O25" s="203">
        <f t="shared" si="5"/>
        <v>4475.3548387096771</v>
      </c>
      <c r="P25" s="203">
        <f t="shared" si="25"/>
        <v>208</v>
      </c>
      <c r="Q25" s="203">
        <f t="shared" si="6"/>
        <v>4475.3548387096771</v>
      </c>
      <c r="R25" s="203">
        <f t="shared" si="26"/>
        <v>208</v>
      </c>
      <c r="S25" s="203">
        <f t="shared" si="7"/>
        <v>4475.3548387096771</v>
      </c>
      <c r="T25" s="203">
        <f t="shared" si="27"/>
        <v>208</v>
      </c>
      <c r="U25" s="203">
        <f t="shared" si="8"/>
        <v>4475.3548387096771</v>
      </c>
      <c r="V25" s="203">
        <f t="shared" si="28"/>
        <v>208</v>
      </c>
      <c r="W25" s="203">
        <f t="shared" si="9"/>
        <v>4475.3548387096771</v>
      </c>
      <c r="X25" s="35">
        <f t="shared" si="10"/>
        <v>0.6709677419354837</v>
      </c>
      <c r="Y25" s="36">
        <f t="shared" si="29"/>
        <v>49228.90322580644</v>
      </c>
      <c r="Z25" s="203">
        <f>'B5'!C24</f>
        <v>215</v>
      </c>
      <c r="AA25" s="203">
        <f t="shared" si="30"/>
        <v>2150</v>
      </c>
      <c r="AB25" s="203">
        <f t="shared" si="31"/>
        <v>215</v>
      </c>
      <c r="AC25" s="203">
        <f t="shared" si="30"/>
        <v>2150</v>
      </c>
      <c r="AD25" s="203">
        <f t="shared" si="32"/>
        <v>215</v>
      </c>
      <c r="AE25" s="203">
        <f t="shared" si="11"/>
        <v>2150</v>
      </c>
      <c r="AF25" s="203">
        <f t="shared" si="33"/>
        <v>215</v>
      </c>
      <c r="AG25" s="203">
        <f t="shared" si="12"/>
        <v>2150</v>
      </c>
      <c r="AH25" s="203">
        <f t="shared" si="34"/>
        <v>215</v>
      </c>
      <c r="AI25" s="203">
        <f t="shared" si="13"/>
        <v>2150</v>
      </c>
      <c r="AJ25" s="203">
        <f t="shared" si="35"/>
        <v>215</v>
      </c>
      <c r="AK25" s="203">
        <f t="shared" si="14"/>
        <v>2150</v>
      </c>
      <c r="AL25" s="203">
        <f t="shared" si="36"/>
        <v>215</v>
      </c>
      <c r="AM25" s="203">
        <f t="shared" si="15"/>
        <v>2150</v>
      </c>
      <c r="AN25" s="35">
        <f t="shared" si="16"/>
        <v>0.7678571428571429</v>
      </c>
      <c r="AO25" s="36">
        <f t="shared" si="41"/>
        <v>15050</v>
      </c>
      <c r="AQ25" s="223">
        <f t="shared" si="37"/>
        <v>0.69139403276117495</v>
      </c>
      <c r="AR25" s="38">
        <f>Y25+AO25</f>
        <v>64278.90322580644</v>
      </c>
      <c r="AS25" s="197">
        <f t="shared" si="47"/>
        <v>-1106.3548387096962</v>
      </c>
      <c r="AT25" s="340">
        <v>10000</v>
      </c>
      <c r="AU25" s="550">
        <v>0.79500000000000004</v>
      </c>
      <c r="AV25" s="485">
        <f t="shared" si="43"/>
        <v>0.79500000000000004</v>
      </c>
      <c r="AW25" s="279">
        <f>-SUM('B5'!AI24)</f>
        <v>-436</v>
      </c>
      <c r="AX25" s="279">
        <f t="shared" si="17"/>
        <v>-670.3548387096962</v>
      </c>
      <c r="AY25" s="37">
        <f t="shared" si="39"/>
        <v>-1106.3548387096962</v>
      </c>
      <c r="AZ25" s="100">
        <f>ELEC!A23</f>
        <v>0</v>
      </c>
      <c r="BA25" s="118">
        <f>'General information '!D24</f>
        <v>15.5</v>
      </c>
      <c r="BB25" s="378">
        <f>SUM('General information '!E24)</f>
        <v>0.65</v>
      </c>
      <c r="BC25" s="3">
        <f t="shared" si="44"/>
        <v>1</v>
      </c>
      <c r="BD25" s="102">
        <v>19222</v>
      </c>
      <c r="BE25" s="14">
        <f>(305/1185)*ELEC!Q24</f>
        <v>1441.3502109700896</v>
      </c>
      <c r="BF25" s="14"/>
      <c r="BG25" s="14" t="e">
        <f>#REF!-BE25</f>
        <v>#REF!</v>
      </c>
      <c r="BH25" s="11"/>
      <c r="BI25">
        <v>12</v>
      </c>
      <c r="BJ25">
        <f t="shared" si="46"/>
        <v>-55.862903225808019</v>
      </c>
      <c r="BK25" s="538">
        <f>GEN!AF22</f>
        <v>0.31283653846160703</v>
      </c>
    </row>
    <row r="26" spans="1:64">
      <c r="A26" s="425">
        <f>ELEC!C24</f>
        <v>44613</v>
      </c>
      <c r="B26">
        <f>'B5'!B25</f>
        <v>203</v>
      </c>
      <c r="C26" s="203">
        <f t="shared" si="18"/>
        <v>4367.7741935483873</v>
      </c>
      <c r="D26">
        <f t="shared" si="19"/>
        <v>203</v>
      </c>
      <c r="E26" s="203">
        <f t="shared" si="18"/>
        <v>4367.7741935483873</v>
      </c>
      <c r="F26">
        <f t="shared" si="20"/>
        <v>203</v>
      </c>
      <c r="G26" s="203">
        <f t="shared" si="1"/>
        <v>4367.7741935483873</v>
      </c>
      <c r="H26" s="203">
        <f t="shared" si="21"/>
        <v>203</v>
      </c>
      <c r="I26" s="203">
        <f t="shared" si="2"/>
        <v>4367.7741935483873</v>
      </c>
      <c r="J26" s="203">
        <f t="shared" si="22"/>
        <v>203</v>
      </c>
      <c r="K26" s="203">
        <f t="shared" si="3"/>
        <v>4367.7741935483873</v>
      </c>
      <c r="L26" s="203">
        <f t="shared" si="23"/>
        <v>203</v>
      </c>
      <c r="M26" s="203">
        <f t="shared" si="4"/>
        <v>4367.7741935483873</v>
      </c>
      <c r="N26" s="203">
        <f t="shared" si="24"/>
        <v>203</v>
      </c>
      <c r="O26" s="203">
        <f t="shared" si="5"/>
        <v>4367.7741935483873</v>
      </c>
      <c r="P26" s="203">
        <f t="shared" si="25"/>
        <v>203</v>
      </c>
      <c r="Q26" s="203">
        <f t="shared" si="6"/>
        <v>4367.7741935483873</v>
      </c>
      <c r="R26" s="203">
        <f t="shared" si="26"/>
        <v>203</v>
      </c>
      <c r="S26" s="203">
        <f t="shared" si="7"/>
        <v>4367.7741935483873</v>
      </c>
      <c r="T26" s="203">
        <f t="shared" si="27"/>
        <v>203</v>
      </c>
      <c r="U26" s="203">
        <f t="shared" si="8"/>
        <v>4367.7741935483873</v>
      </c>
      <c r="V26" s="203">
        <f t="shared" si="28"/>
        <v>203</v>
      </c>
      <c r="W26" s="203">
        <f t="shared" si="9"/>
        <v>4367.7741935483873</v>
      </c>
      <c r="X26" s="35">
        <f t="shared" si="10"/>
        <v>0.65483870967741931</v>
      </c>
      <c r="Y26" s="36">
        <f t="shared" si="29"/>
        <v>48045.516129032258</v>
      </c>
      <c r="Z26" s="203">
        <f>'B5'!C25</f>
        <v>210</v>
      </c>
      <c r="AA26" s="203">
        <f t="shared" si="30"/>
        <v>2100</v>
      </c>
      <c r="AB26" s="203">
        <f t="shared" si="31"/>
        <v>210</v>
      </c>
      <c r="AC26" s="203">
        <f t="shared" si="30"/>
        <v>2100</v>
      </c>
      <c r="AD26" s="203">
        <f t="shared" si="32"/>
        <v>210</v>
      </c>
      <c r="AE26" s="203">
        <f t="shared" si="11"/>
        <v>2100</v>
      </c>
      <c r="AF26" s="203">
        <f t="shared" si="33"/>
        <v>210</v>
      </c>
      <c r="AG26" s="203">
        <f t="shared" si="12"/>
        <v>2100</v>
      </c>
      <c r="AH26" s="203">
        <f t="shared" si="34"/>
        <v>210</v>
      </c>
      <c r="AI26" s="203">
        <f t="shared" si="13"/>
        <v>2100</v>
      </c>
      <c r="AJ26" s="203">
        <f t="shared" si="35"/>
        <v>210</v>
      </c>
      <c r="AK26" s="203">
        <f t="shared" si="14"/>
        <v>2100</v>
      </c>
      <c r="AL26" s="203">
        <f t="shared" si="36"/>
        <v>210</v>
      </c>
      <c r="AM26" s="203">
        <f t="shared" si="15"/>
        <v>2100</v>
      </c>
      <c r="AN26" s="35">
        <f t="shared" si="16"/>
        <v>0.75</v>
      </c>
      <c r="AO26" s="36">
        <f t="shared" si="41"/>
        <v>14700</v>
      </c>
      <c r="AQ26" s="223">
        <f t="shared" si="37"/>
        <v>0.67490067902583906</v>
      </c>
      <c r="AR26" s="38">
        <f>Y26+AO26</f>
        <v>62745.516129032258</v>
      </c>
      <c r="AS26" s="197">
        <f t="shared" si="47"/>
        <v>-2528.3870967741823</v>
      </c>
      <c r="AT26" s="340">
        <v>995</v>
      </c>
      <c r="AU26" s="549">
        <v>0.74</v>
      </c>
      <c r="AV26" s="485">
        <f t="shared" si="43"/>
        <v>0.74</v>
      </c>
      <c r="AW26" s="279">
        <f>-SUM('B5'!AI25)</f>
        <v>-422</v>
      </c>
      <c r="AX26" s="279">
        <f t="shared" si="17"/>
        <v>-2106.3870967741823</v>
      </c>
      <c r="AY26" s="37">
        <f t="shared" si="39"/>
        <v>-2528.3870967741823</v>
      </c>
      <c r="AZ26" s="100">
        <f>ELEC!A24</f>
        <v>0</v>
      </c>
      <c r="BA26" s="118">
        <f>'General information '!D25</f>
        <v>16</v>
      </c>
      <c r="BB26" s="378">
        <f>SUM('General information '!E25)</f>
        <v>0.61</v>
      </c>
      <c r="BC26" s="3">
        <f t="shared" si="44"/>
        <v>0</v>
      </c>
      <c r="BD26" s="102">
        <v>19222</v>
      </c>
      <c r="BE26" s="14">
        <f>(305/1185)*ELEC!Q25</f>
        <v>1853.1645569622128</v>
      </c>
      <c r="BF26" s="14"/>
      <c r="BG26" s="14" t="e">
        <f>#REF!-BE26</f>
        <v>#REF!</v>
      </c>
      <c r="BH26" s="11"/>
      <c r="BI26">
        <v>13</v>
      </c>
      <c r="BJ26">
        <f t="shared" si="46"/>
        <v>-162.0297766749371</v>
      </c>
      <c r="BK26" s="538">
        <f>GEN!AF23</f>
        <v>0.34999999999990905</v>
      </c>
    </row>
    <row r="27" spans="1:64">
      <c r="A27" s="425">
        <f>ELEC!C25</f>
        <v>44614</v>
      </c>
      <c r="B27">
        <f>'B5'!B26</f>
        <v>193</v>
      </c>
      <c r="C27" s="203">
        <f t="shared" si="18"/>
        <v>4152.6129032258068</v>
      </c>
      <c r="D27">
        <f t="shared" si="19"/>
        <v>193</v>
      </c>
      <c r="E27" s="203">
        <f t="shared" si="18"/>
        <v>4152.6129032258068</v>
      </c>
      <c r="F27">
        <f t="shared" si="20"/>
        <v>193</v>
      </c>
      <c r="G27" s="203">
        <f t="shared" si="1"/>
        <v>4152.6129032258068</v>
      </c>
      <c r="H27" s="203">
        <f t="shared" si="21"/>
        <v>193</v>
      </c>
      <c r="I27" s="203">
        <f t="shared" si="2"/>
        <v>4152.6129032258068</v>
      </c>
      <c r="J27" s="203">
        <f t="shared" si="22"/>
        <v>193</v>
      </c>
      <c r="K27" s="203">
        <f t="shared" si="3"/>
        <v>4152.6129032258068</v>
      </c>
      <c r="L27" s="203">
        <f t="shared" si="23"/>
        <v>193</v>
      </c>
      <c r="M27" s="203">
        <f t="shared" si="4"/>
        <v>4152.6129032258068</v>
      </c>
      <c r="N27" s="203">
        <f t="shared" si="24"/>
        <v>193</v>
      </c>
      <c r="O27" s="203">
        <f t="shared" si="5"/>
        <v>4152.6129032258068</v>
      </c>
      <c r="P27" s="203">
        <f t="shared" si="25"/>
        <v>193</v>
      </c>
      <c r="Q27" s="203">
        <f t="shared" si="6"/>
        <v>4152.6129032258068</v>
      </c>
      <c r="R27" s="203">
        <f t="shared" si="26"/>
        <v>193</v>
      </c>
      <c r="S27" s="203">
        <f t="shared" si="7"/>
        <v>4152.6129032258068</v>
      </c>
      <c r="T27" s="203">
        <f t="shared" si="27"/>
        <v>193</v>
      </c>
      <c r="U27" s="203">
        <f t="shared" si="8"/>
        <v>4152.6129032258068</v>
      </c>
      <c r="V27" s="203">
        <f t="shared" si="28"/>
        <v>193</v>
      </c>
      <c r="W27" s="203">
        <f t="shared" si="9"/>
        <v>4152.6129032258068</v>
      </c>
      <c r="X27" s="35">
        <f t="shared" si="10"/>
        <v>0.62258064516129019</v>
      </c>
      <c r="Y27" s="36">
        <f t="shared" si="29"/>
        <v>45678.741935483864</v>
      </c>
      <c r="Z27" s="203">
        <f>'B5'!C26</f>
        <v>200</v>
      </c>
      <c r="AA27" s="203">
        <f t="shared" si="30"/>
        <v>2000</v>
      </c>
      <c r="AB27" s="203">
        <f t="shared" si="31"/>
        <v>200</v>
      </c>
      <c r="AC27" s="203">
        <f t="shared" si="30"/>
        <v>2000</v>
      </c>
      <c r="AD27" s="203">
        <f t="shared" si="32"/>
        <v>200</v>
      </c>
      <c r="AE27" s="203">
        <f t="shared" si="11"/>
        <v>2000</v>
      </c>
      <c r="AF27" s="203">
        <f t="shared" si="33"/>
        <v>200</v>
      </c>
      <c r="AG27" s="203">
        <f t="shared" si="12"/>
        <v>2000</v>
      </c>
      <c r="AH27" s="203">
        <f t="shared" si="34"/>
        <v>200</v>
      </c>
      <c r="AI27" s="203">
        <f t="shared" si="13"/>
        <v>2000</v>
      </c>
      <c r="AJ27" s="203">
        <f t="shared" si="35"/>
        <v>200</v>
      </c>
      <c r="AK27" s="203">
        <f t="shared" si="14"/>
        <v>2000</v>
      </c>
      <c r="AL27" s="203">
        <f t="shared" si="36"/>
        <v>200</v>
      </c>
      <c r="AM27" s="203">
        <f t="shared" si="15"/>
        <v>2000</v>
      </c>
      <c r="AN27" s="35">
        <f t="shared" si="16"/>
        <v>0.7142857142857143</v>
      </c>
      <c r="AO27" s="36">
        <f t="shared" si="41"/>
        <v>14000</v>
      </c>
      <c r="AQ27" s="223">
        <f t="shared" si="37"/>
        <v>0.64191397155516683</v>
      </c>
      <c r="AR27" s="38">
        <f t="shared" si="38"/>
        <v>59678.741935483864</v>
      </c>
      <c r="AS27" s="197">
        <f t="shared" si="47"/>
        <v>-3066.7741935483937</v>
      </c>
      <c r="AT27" s="340"/>
      <c r="AU27" s="549"/>
      <c r="AV27" s="485">
        <f t="shared" si="43"/>
        <v>0.74</v>
      </c>
      <c r="AW27" s="279">
        <f>-SUM('B5'!AI26)</f>
        <v>-378</v>
      </c>
      <c r="AX27" s="279">
        <f t="shared" si="17"/>
        <v>-2688.7741935483937</v>
      </c>
      <c r="AY27" s="37">
        <f t="shared" si="39"/>
        <v>-3066.7741935483937</v>
      </c>
      <c r="AZ27" s="100">
        <f>ELEC!A25</f>
        <v>0</v>
      </c>
      <c r="BA27" s="118">
        <f>'General information '!D26</f>
        <v>18.5</v>
      </c>
      <c r="BB27" s="378">
        <f>SUM('General information '!E26)</f>
        <v>0.41</v>
      </c>
      <c r="BC27" s="3">
        <f t="shared" si="44"/>
        <v>0</v>
      </c>
      <c r="BD27" s="102">
        <v>19222</v>
      </c>
      <c r="BE27" s="14">
        <f>(305/1185)*ELEC!Q26</f>
        <v>1728.333333333371</v>
      </c>
      <c r="BF27" s="14"/>
      <c r="BG27" s="14" t="e">
        <f>#REF!-BE27</f>
        <v>#REF!</v>
      </c>
      <c r="BH27" s="11"/>
      <c r="BI27">
        <v>14</v>
      </c>
      <c r="BJ27">
        <f t="shared" si="46"/>
        <v>-192.05529953917099</v>
      </c>
      <c r="BK27" s="538">
        <f>GEN!AF24</f>
        <v>0.3000000000000303</v>
      </c>
    </row>
    <row r="28" spans="1:64">
      <c r="A28" s="425">
        <f>ELEC!C26</f>
        <v>44615</v>
      </c>
      <c r="B28">
        <f>'B5'!B27</f>
        <v>185</v>
      </c>
      <c r="C28" s="203">
        <f t="shared" si="18"/>
        <v>3980.483870967742</v>
      </c>
      <c r="D28">
        <f t="shared" si="19"/>
        <v>185</v>
      </c>
      <c r="E28" s="203">
        <f t="shared" si="18"/>
        <v>3980.483870967742</v>
      </c>
      <c r="F28">
        <f t="shared" si="20"/>
        <v>185</v>
      </c>
      <c r="G28" s="203">
        <f t="shared" si="1"/>
        <v>3980.483870967742</v>
      </c>
      <c r="H28" s="203">
        <f t="shared" si="21"/>
        <v>185</v>
      </c>
      <c r="I28" s="203">
        <f t="shared" si="2"/>
        <v>3980.483870967742</v>
      </c>
      <c r="J28" s="203">
        <f t="shared" si="22"/>
        <v>185</v>
      </c>
      <c r="K28" s="203">
        <f t="shared" si="3"/>
        <v>3980.483870967742</v>
      </c>
      <c r="L28" s="203">
        <f t="shared" si="23"/>
        <v>185</v>
      </c>
      <c r="M28" s="203">
        <f t="shared" si="4"/>
        <v>3980.483870967742</v>
      </c>
      <c r="N28" s="203">
        <f t="shared" si="24"/>
        <v>185</v>
      </c>
      <c r="O28" s="203">
        <f t="shared" si="5"/>
        <v>3980.483870967742</v>
      </c>
      <c r="P28" s="203">
        <f t="shared" si="25"/>
        <v>185</v>
      </c>
      <c r="Q28" s="203">
        <f t="shared" si="6"/>
        <v>3980.483870967742</v>
      </c>
      <c r="R28" s="203">
        <f t="shared" si="26"/>
        <v>185</v>
      </c>
      <c r="S28" s="203">
        <f t="shared" si="7"/>
        <v>3980.483870967742</v>
      </c>
      <c r="T28" s="203">
        <f t="shared" si="27"/>
        <v>185</v>
      </c>
      <c r="U28" s="203">
        <f t="shared" si="8"/>
        <v>3980.483870967742</v>
      </c>
      <c r="V28" s="203">
        <f t="shared" si="28"/>
        <v>185</v>
      </c>
      <c r="W28" s="203">
        <f t="shared" si="9"/>
        <v>3980.483870967742</v>
      </c>
      <c r="X28" s="35">
        <f t="shared" si="10"/>
        <v>0.59677419354838712</v>
      </c>
      <c r="Y28" s="36">
        <f t="shared" si="29"/>
        <v>43785.322580645159</v>
      </c>
      <c r="Z28" s="203">
        <f>'B5'!C27</f>
        <v>192</v>
      </c>
      <c r="AA28" s="203">
        <f t="shared" si="30"/>
        <v>1920</v>
      </c>
      <c r="AB28" s="203">
        <f t="shared" si="31"/>
        <v>192</v>
      </c>
      <c r="AC28" s="203">
        <f t="shared" si="30"/>
        <v>1920</v>
      </c>
      <c r="AD28" s="203">
        <f t="shared" si="32"/>
        <v>192</v>
      </c>
      <c r="AE28" s="203">
        <f t="shared" si="11"/>
        <v>1920</v>
      </c>
      <c r="AF28" s="203">
        <f t="shared" si="33"/>
        <v>192</v>
      </c>
      <c r="AG28" s="203">
        <f t="shared" si="12"/>
        <v>1920</v>
      </c>
      <c r="AH28" s="203">
        <f t="shared" si="34"/>
        <v>192</v>
      </c>
      <c r="AI28" s="203">
        <f t="shared" si="13"/>
        <v>1920</v>
      </c>
      <c r="AJ28" s="203">
        <f t="shared" si="35"/>
        <v>192</v>
      </c>
      <c r="AK28" s="203">
        <f t="shared" si="14"/>
        <v>1920</v>
      </c>
      <c r="AL28" s="203">
        <f t="shared" si="36"/>
        <v>192</v>
      </c>
      <c r="AM28" s="203">
        <f t="shared" si="15"/>
        <v>1920</v>
      </c>
      <c r="AN28" s="35">
        <f t="shared" si="16"/>
        <v>0.68571428571428572</v>
      </c>
      <c r="AO28" s="36">
        <f t="shared" si="41"/>
        <v>13440</v>
      </c>
      <c r="AQ28" s="223">
        <f t="shared" si="37"/>
        <v>0.6155246055786292</v>
      </c>
      <c r="AR28" s="38">
        <f t="shared" si="38"/>
        <v>57225.322580645159</v>
      </c>
      <c r="AS28" s="197">
        <f t="shared" si="47"/>
        <v>-2453.4193548387047</v>
      </c>
      <c r="AT28" s="340"/>
      <c r="AU28" s="550"/>
      <c r="AV28" s="485">
        <f t="shared" si="43"/>
        <v>0.74</v>
      </c>
      <c r="AW28" s="279">
        <f>-SUM('B5'!AI27)</f>
        <v>-324</v>
      </c>
      <c r="AX28" s="279">
        <f t="shared" si="17"/>
        <v>-2129.4193548387047</v>
      </c>
      <c r="AY28" s="37">
        <f t="shared" si="39"/>
        <v>-2453.4193548387047</v>
      </c>
      <c r="AZ28" s="100">
        <f>ELEC!A26</f>
        <v>0</v>
      </c>
      <c r="BA28" s="118">
        <f>'General information '!D27</f>
        <v>19.5</v>
      </c>
      <c r="BB28" s="378">
        <f>SUM('General information '!E27)</f>
        <v>0.46</v>
      </c>
      <c r="BC28" s="3">
        <f t="shared" si="44"/>
        <v>0</v>
      </c>
      <c r="BD28" s="102">
        <v>19222</v>
      </c>
      <c r="BE28" s="14">
        <f>(305/1185)*ELEC!Q27</f>
        <v>1634.6455696199312</v>
      </c>
      <c r="BF28" s="14"/>
      <c r="BG28" s="14" t="e">
        <f>#REF!-BE28</f>
        <v>#REF!</v>
      </c>
      <c r="BH28" s="11"/>
      <c r="BI28">
        <v>15</v>
      </c>
      <c r="BJ28">
        <f t="shared" si="46"/>
        <v>-141.96129032258031</v>
      </c>
      <c r="BK28" s="538">
        <f>GEN!AF25</f>
        <v>0.32283653846154542</v>
      </c>
    </row>
    <row r="29" spans="1:64">
      <c r="A29" s="425">
        <f>ELEC!C27</f>
        <v>44616</v>
      </c>
      <c r="B29">
        <f>'B5'!B28</f>
        <v>175</v>
      </c>
      <c r="C29" s="203">
        <f t="shared" si="18"/>
        <v>3765.322580645161</v>
      </c>
      <c r="D29">
        <f t="shared" si="19"/>
        <v>175</v>
      </c>
      <c r="E29" s="203">
        <f t="shared" si="18"/>
        <v>3765.322580645161</v>
      </c>
      <c r="F29">
        <f t="shared" si="20"/>
        <v>175</v>
      </c>
      <c r="G29" s="203">
        <f t="shared" si="1"/>
        <v>3765.322580645161</v>
      </c>
      <c r="H29" s="203">
        <f t="shared" si="21"/>
        <v>175</v>
      </c>
      <c r="I29" s="203">
        <f t="shared" si="2"/>
        <v>3765.322580645161</v>
      </c>
      <c r="J29" s="203">
        <f t="shared" si="22"/>
        <v>175</v>
      </c>
      <c r="K29" s="203">
        <f t="shared" si="3"/>
        <v>3765.322580645161</v>
      </c>
      <c r="L29" s="203">
        <f t="shared" si="23"/>
        <v>175</v>
      </c>
      <c r="M29" s="203">
        <f t="shared" si="4"/>
        <v>3765.322580645161</v>
      </c>
      <c r="N29" s="203">
        <f t="shared" si="24"/>
        <v>175</v>
      </c>
      <c r="O29" s="203">
        <f t="shared" si="5"/>
        <v>3765.322580645161</v>
      </c>
      <c r="P29" s="203">
        <f t="shared" si="25"/>
        <v>175</v>
      </c>
      <c r="Q29" s="203">
        <f t="shared" si="6"/>
        <v>3765.322580645161</v>
      </c>
      <c r="R29" s="203">
        <f t="shared" si="26"/>
        <v>175</v>
      </c>
      <c r="S29" s="203">
        <f t="shared" si="7"/>
        <v>3765.322580645161</v>
      </c>
      <c r="T29" s="203">
        <f t="shared" si="27"/>
        <v>175</v>
      </c>
      <c r="U29" s="203">
        <f t="shared" si="8"/>
        <v>3765.322580645161</v>
      </c>
      <c r="V29" s="203">
        <f t="shared" si="28"/>
        <v>175</v>
      </c>
      <c r="W29" s="203">
        <f t="shared" si="9"/>
        <v>3765.322580645161</v>
      </c>
      <c r="X29" s="35">
        <f t="shared" si="10"/>
        <v>0.5645161290322579</v>
      </c>
      <c r="Y29" s="36">
        <f t="shared" si="29"/>
        <v>41418.548387096758</v>
      </c>
      <c r="Z29" s="203">
        <f>'B5'!C28</f>
        <v>183</v>
      </c>
      <c r="AA29" s="203">
        <f t="shared" si="30"/>
        <v>1830</v>
      </c>
      <c r="AB29" s="203">
        <f t="shared" si="31"/>
        <v>183</v>
      </c>
      <c r="AC29" s="203">
        <f t="shared" si="30"/>
        <v>1830</v>
      </c>
      <c r="AD29" s="203">
        <f t="shared" si="32"/>
        <v>183</v>
      </c>
      <c r="AE29" s="203">
        <f t="shared" si="11"/>
        <v>1830</v>
      </c>
      <c r="AF29" s="203">
        <f t="shared" si="33"/>
        <v>183</v>
      </c>
      <c r="AG29" s="203">
        <f t="shared" si="12"/>
        <v>1830</v>
      </c>
      <c r="AH29" s="203">
        <f t="shared" si="34"/>
        <v>183</v>
      </c>
      <c r="AI29" s="203">
        <f t="shared" si="13"/>
        <v>1830</v>
      </c>
      <c r="AJ29" s="203">
        <f t="shared" si="35"/>
        <v>183</v>
      </c>
      <c r="AK29" s="203">
        <f t="shared" si="14"/>
        <v>1830</v>
      </c>
      <c r="AL29" s="203">
        <f t="shared" si="36"/>
        <v>183</v>
      </c>
      <c r="AM29" s="203">
        <f t="shared" si="15"/>
        <v>1830</v>
      </c>
      <c r="AN29" s="35">
        <f t="shared" si="16"/>
        <v>0.65357142857142858</v>
      </c>
      <c r="AO29" s="36">
        <f t="shared" si="41"/>
        <v>12810</v>
      </c>
      <c r="AQ29" s="223">
        <f t="shared" si="37"/>
        <v>0.58329082916098485</v>
      </c>
      <c r="AR29" s="38">
        <f t="shared" si="38"/>
        <v>54228.548387096758</v>
      </c>
      <c r="AS29" s="197">
        <f>SUM(AR29-AR28-AT29)</f>
        <v>-2996.7741935484009</v>
      </c>
      <c r="AT29" s="340"/>
      <c r="AU29" s="550"/>
      <c r="AV29" s="485">
        <f t="shared" si="43"/>
        <v>0.74</v>
      </c>
      <c r="AW29" s="279">
        <f>-SUM('B5'!AI28)</f>
        <v>-270</v>
      </c>
      <c r="AX29" s="279">
        <f t="shared" si="17"/>
        <v>-2726.7741935484009</v>
      </c>
      <c r="AY29" s="37">
        <f t="shared" si="39"/>
        <v>-2996.7741935484009</v>
      </c>
      <c r="AZ29" s="100">
        <f>ELEC!A27</f>
        <v>0</v>
      </c>
      <c r="BA29" s="118">
        <f>'General information '!D28</f>
        <v>19</v>
      </c>
      <c r="BB29" s="378">
        <f>SUM('General information '!E28)</f>
        <v>0.56000000000000005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-170.42338709677506</v>
      </c>
      <c r="BK29" s="538">
        <f>GEN!AF26</f>
        <v>0.30533653846147829</v>
      </c>
    </row>
    <row r="30" spans="1:64">
      <c r="A30" s="425">
        <f>ELEC!C28</f>
        <v>44617</v>
      </c>
      <c r="B30">
        <f>'B5'!B29</f>
        <v>175</v>
      </c>
      <c r="C30" s="203">
        <f t="shared" si="18"/>
        <v>3765.322580645161</v>
      </c>
      <c r="D30">
        <f>SUM(B30)</f>
        <v>175</v>
      </c>
      <c r="E30" s="203">
        <f t="shared" si="18"/>
        <v>3765.322580645161</v>
      </c>
      <c r="F30">
        <f>SUM(D30)</f>
        <v>175</v>
      </c>
      <c r="G30" s="203">
        <f t="shared" si="1"/>
        <v>3765.322580645161</v>
      </c>
      <c r="H30" s="203">
        <f>SUM(F30)</f>
        <v>175</v>
      </c>
      <c r="I30" s="203">
        <f t="shared" si="2"/>
        <v>3765.322580645161</v>
      </c>
      <c r="J30" s="203">
        <f>SUM(H30)</f>
        <v>175</v>
      </c>
      <c r="K30" s="203">
        <f t="shared" si="3"/>
        <v>3765.322580645161</v>
      </c>
      <c r="L30" s="203">
        <f>SUM(J30)</f>
        <v>175</v>
      </c>
      <c r="M30" s="203">
        <f t="shared" si="4"/>
        <v>3765.322580645161</v>
      </c>
      <c r="N30" s="203">
        <f>SUM(L30)</f>
        <v>175</v>
      </c>
      <c r="O30" s="203">
        <f t="shared" si="5"/>
        <v>3765.322580645161</v>
      </c>
      <c r="P30" s="203">
        <f>SUM(N30)</f>
        <v>175</v>
      </c>
      <c r="Q30" s="203">
        <f t="shared" si="6"/>
        <v>3765.322580645161</v>
      </c>
      <c r="R30" s="203">
        <f>SUM(P30)</f>
        <v>175</v>
      </c>
      <c r="S30" s="203">
        <f t="shared" si="7"/>
        <v>3765.322580645161</v>
      </c>
      <c r="T30" s="203">
        <f>SUM(R30)</f>
        <v>175</v>
      </c>
      <c r="U30" s="203">
        <f t="shared" si="8"/>
        <v>3765.322580645161</v>
      </c>
      <c r="V30" s="203">
        <f>SUM(T30)</f>
        <v>175</v>
      </c>
      <c r="W30" s="203">
        <f t="shared" si="9"/>
        <v>3765.322580645161</v>
      </c>
      <c r="X30" s="35">
        <f>SUM(Y30/73370)</f>
        <v>0.5645161290322579</v>
      </c>
      <c r="Y30" s="36">
        <f>SUM(C30+E30+G30+I30+K30+M30+O30+Q30+S30+U30+W30)</f>
        <v>41418.548387096758</v>
      </c>
      <c r="Z30" s="203">
        <f>'B5'!C29</f>
        <v>183</v>
      </c>
      <c r="AA30" s="203">
        <f t="shared" si="30"/>
        <v>1830</v>
      </c>
      <c r="AB30" s="203">
        <f>SUM(Z30)</f>
        <v>183</v>
      </c>
      <c r="AC30" s="203">
        <f t="shared" si="30"/>
        <v>1830</v>
      </c>
      <c r="AD30" s="203">
        <f>SUM(AB30)</f>
        <v>183</v>
      </c>
      <c r="AE30" s="203">
        <f t="shared" si="11"/>
        <v>1830</v>
      </c>
      <c r="AF30" s="203">
        <f>SUM(AD30)</f>
        <v>183</v>
      </c>
      <c r="AG30" s="203">
        <f t="shared" si="12"/>
        <v>1830</v>
      </c>
      <c r="AH30" s="203">
        <f>SUM(AF30)</f>
        <v>183</v>
      </c>
      <c r="AI30" s="203">
        <f t="shared" si="13"/>
        <v>1830</v>
      </c>
      <c r="AJ30" s="203">
        <f>SUM(AH30)</f>
        <v>183</v>
      </c>
      <c r="AK30" s="203">
        <f t="shared" si="14"/>
        <v>1830</v>
      </c>
      <c r="AL30" s="203">
        <f>SUM(AJ30)</f>
        <v>183</v>
      </c>
      <c r="AM30" s="203">
        <f t="shared" si="15"/>
        <v>1830</v>
      </c>
      <c r="AN30" s="35">
        <f>SUM(AO30/19600)</f>
        <v>0.65357142857142858</v>
      </c>
      <c r="AO30" s="36">
        <f>SUM(AA30+AC30+AE30+AG30+AI30+AK30+AM30)</f>
        <v>12810</v>
      </c>
      <c r="AQ30" s="223">
        <f t="shared" si="37"/>
        <v>0.58329082916098485</v>
      </c>
      <c r="AR30" s="38">
        <f t="shared" si="38"/>
        <v>54228.548387096758</v>
      </c>
      <c r="AS30" s="197">
        <f>SUM(AR30-AR29-AT30)</f>
        <v>0</v>
      </c>
      <c r="AT30" s="340"/>
      <c r="AU30" s="550"/>
      <c r="AV30" s="485">
        <f t="shared" si="43"/>
        <v>0.74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44618</v>
      </c>
      <c r="B31">
        <f>'B5'!B30</f>
        <v>175</v>
      </c>
      <c r="C31" s="203">
        <f t="shared" si="18"/>
        <v>3765.322580645161</v>
      </c>
      <c r="D31">
        <f>SUM(B31)</f>
        <v>175</v>
      </c>
      <c r="E31" s="203">
        <f t="shared" si="18"/>
        <v>3765.322580645161</v>
      </c>
      <c r="F31">
        <f>SUM(D31)</f>
        <v>175</v>
      </c>
      <c r="G31" s="203">
        <f t="shared" si="1"/>
        <v>3765.322580645161</v>
      </c>
      <c r="H31" s="203">
        <f>SUM(F31)</f>
        <v>175</v>
      </c>
      <c r="I31" s="203">
        <f t="shared" si="2"/>
        <v>3765.322580645161</v>
      </c>
      <c r="J31" s="203">
        <f>SUM(H31)</f>
        <v>175</v>
      </c>
      <c r="K31" s="203">
        <f t="shared" si="3"/>
        <v>3765.322580645161</v>
      </c>
      <c r="L31" s="203">
        <f>SUM(J31)</f>
        <v>175</v>
      </c>
      <c r="M31" s="203">
        <f t="shared" si="4"/>
        <v>3765.322580645161</v>
      </c>
      <c r="N31" s="203">
        <f>SUM(L31)</f>
        <v>175</v>
      </c>
      <c r="O31" s="203">
        <f t="shared" si="5"/>
        <v>3765.322580645161</v>
      </c>
      <c r="P31" s="203">
        <f>SUM(N31)</f>
        <v>175</v>
      </c>
      <c r="Q31" s="203">
        <f t="shared" si="6"/>
        <v>3765.322580645161</v>
      </c>
      <c r="R31" s="203">
        <f>SUM(P31)</f>
        <v>175</v>
      </c>
      <c r="S31" s="203">
        <f t="shared" si="7"/>
        <v>3765.322580645161</v>
      </c>
      <c r="T31" s="203">
        <f>SUM(R31)</f>
        <v>175</v>
      </c>
      <c r="U31" s="203">
        <f t="shared" si="8"/>
        <v>3765.322580645161</v>
      </c>
      <c r="V31" s="203">
        <f>SUM(T31)</f>
        <v>175</v>
      </c>
      <c r="W31" s="203">
        <f t="shared" si="9"/>
        <v>3765.322580645161</v>
      </c>
      <c r="X31" s="35">
        <f>SUM(Y31/73370)</f>
        <v>0.5645161290322579</v>
      </c>
      <c r="Y31" s="36">
        <f>SUM(C31+E31+G31+I31+K31+M31+O31+Q31+S31+U31+W31)</f>
        <v>41418.548387096758</v>
      </c>
      <c r="Z31" s="203">
        <f>'B5'!C30</f>
        <v>183</v>
      </c>
      <c r="AA31" s="203">
        <f t="shared" si="30"/>
        <v>1830</v>
      </c>
      <c r="AB31" s="203">
        <f>SUM(Z31)</f>
        <v>183</v>
      </c>
      <c r="AC31" s="203">
        <f t="shared" si="30"/>
        <v>1830</v>
      </c>
      <c r="AD31" s="203">
        <f>SUM(AB31)</f>
        <v>183</v>
      </c>
      <c r="AE31" s="203">
        <f t="shared" si="11"/>
        <v>1830</v>
      </c>
      <c r="AF31" s="203">
        <f>SUM(AD31)</f>
        <v>183</v>
      </c>
      <c r="AG31" s="203">
        <f t="shared" si="12"/>
        <v>1830</v>
      </c>
      <c r="AH31" s="203">
        <f>SUM(AF31)</f>
        <v>183</v>
      </c>
      <c r="AI31" s="203">
        <f t="shared" si="13"/>
        <v>1830</v>
      </c>
      <c r="AJ31" s="203">
        <f>SUM(AH31)</f>
        <v>183</v>
      </c>
      <c r="AK31" s="203">
        <f t="shared" si="14"/>
        <v>1830</v>
      </c>
      <c r="AL31" s="203">
        <f>SUM(AJ31)</f>
        <v>183</v>
      </c>
      <c r="AM31" s="203">
        <f t="shared" si="15"/>
        <v>1830</v>
      </c>
      <c r="AN31" s="35">
        <f>SUM(AO31/19600)</f>
        <v>0.65357142857142858</v>
      </c>
      <c r="AO31" s="36">
        <f>SUM(AA31+AC31+AE31+AG31+AI31+AK31+AM31)</f>
        <v>12810</v>
      </c>
      <c r="AQ31" s="223">
        <f t="shared" si="37"/>
        <v>0.58329082916098485</v>
      </c>
      <c r="AR31" s="38">
        <f t="shared" si="38"/>
        <v>54228.548387096758</v>
      </c>
      <c r="AS31" s="197">
        <f t="shared" si="47"/>
        <v>0</v>
      </c>
      <c r="AT31" s="340"/>
      <c r="AU31" s="575"/>
      <c r="AV31" s="485">
        <f t="shared" si="43"/>
        <v>0.74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44619</v>
      </c>
      <c r="B32">
        <f>'B5'!B31</f>
        <v>175</v>
      </c>
      <c r="C32" s="203">
        <f t="shared" si="18"/>
        <v>3765.322580645161</v>
      </c>
      <c r="D32">
        <f>SUM(B32)</f>
        <v>175</v>
      </c>
      <c r="E32" s="203">
        <f t="shared" si="18"/>
        <v>3765.322580645161</v>
      </c>
      <c r="F32">
        <f>SUM(D32)</f>
        <v>175</v>
      </c>
      <c r="G32" s="203">
        <f t="shared" si="1"/>
        <v>3765.322580645161</v>
      </c>
      <c r="H32" s="203">
        <f>SUM(F32)</f>
        <v>175</v>
      </c>
      <c r="I32" s="203">
        <f t="shared" si="2"/>
        <v>3765.322580645161</v>
      </c>
      <c r="J32" s="203">
        <f>SUM(H32)</f>
        <v>175</v>
      </c>
      <c r="K32" s="203">
        <f t="shared" si="3"/>
        <v>3765.322580645161</v>
      </c>
      <c r="L32" s="203">
        <f>SUM(J32)</f>
        <v>175</v>
      </c>
      <c r="M32" s="203">
        <f t="shared" si="4"/>
        <v>3765.322580645161</v>
      </c>
      <c r="N32" s="203">
        <f>SUM(L32)</f>
        <v>175</v>
      </c>
      <c r="O32" s="203">
        <f t="shared" si="5"/>
        <v>3765.322580645161</v>
      </c>
      <c r="P32" s="203">
        <f>SUM(N32)</f>
        <v>175</v>
      </c>
      <c r="Q32" s="203">
        <f t="shared" si="6"/>
        <v>3765.322580645161</v>
      </c>
      <c r="R32" s="203">
        <f>SUM(P32)</f>
        <v>175</v>
      </c>
      <c r="S32" s="203">
        <f t="shared" si="7"/>
        <v>3765.322580645161</v>
      </c>
      <c r="T32" s="203">
        <f>SUM(R32)</f>
        <v>175</v>
      </c>
      <c r="U32" s="203">
        <f t="shared" si="8"/>
        <v>3765.322580645161</v>
      </c>
      <c r="V32" s="203">
        <f>SUM(T32)</f>
        <v>175</v>
      </c>
      <c r="W32" s="203">
        <f t="shared" si="9"/>
        <v>3765.322580645161</v>
      </c>
      <c r="X32" s="35">
        <f>SUM(Y32/73370)</f>
        <v>0.5645161290322579</v>
      </c>
      <c r="Y32" s="36">
        <f>SUM(C32+E32+G32+I32+K32+M32+O32+Q32+S32+U32+W32)</f>
        <v>41418.548387096758</v>
      </c>
      <c r="Z32" s="203">
        <f>'B5'!C31</f>
        <v>183</v>
      </c>
      <c r="AA32" s="203">
        <f t="shared" si="30"/>
        <v>1830</v>
      </c>
      <c r="AB32" s="203">
        <f>SUM(Z32)</f>
        <v>183</v>
      </c>
      <c r="AC32" s="203">
        <f t="shared" si="30"/>
        <v>1830</v>
      </c>
      <c r="AD32" s="203">
        <f>SUM(AB32)</f>
        <v>183</v>
      </c>
      <c r="AE32" s="203">
        <f t="shared" si="11"/>
        <v>1830</v>
      </c>
      <c r="AF32" s="203">
        <f>SUM(AD32)</f>
        <v>183</v>
      </c>
      <c r="AG32" s="203">
        <f t="shared" si="12"/>
        <v>1830</v>
      </c>
      <c r="AH32" s="203">
        <f>SUM(AF32)</f>
        <v>183</v>
      </c>
      <c r="AI32" s="203">
        <f t="shared" si="13"/>
        <v>1830</v>
      </c>
      <c r="AJ32" s="203">
        <f>SUM(AH32)</f>
        <v>183</v>
      </c>
      <c r="AK32" s="203">
        <f t="shared" si="14"/>
        <v>1830</v>
      </c>
      <c r="AL32" s="203">
        <f>SUM(AJ32)</f>
        <v>183</v>
      </c>
      <c r="AM32" s="203">
        <f t="shared" si="15"/>
        <v>1830</v>
      </c>
      <c r="AN32" s="35">
        <f>SUM(AO32/19600)</f>
        <v>0.65357142857142858</v>
      </c>
      <c r="AO32" s="36">
        <f>SUM(AA32+AC32+AE32+AG32+AI32+AK32+AM32)</f>
        <v>12810</v>
      </c>
      <c r="AQ32" s="223">
        <f t="shared" si="37"/>
        <v>0.58329082916098485</v>
      </c>
      <c r="AR32" s="38">
        <f t="shared" si="38"/>
        <v>54228.548387096758</v>
      </c>
      <c r="AS32" s="197">
        <f t="shared" si="47"/>
        <v>0</v>
      </c>
      <c r="AT32" s="340"/>
      <c r="AU32" s="549"/>
      <c r="AV32" s="485">
        <f>IF(AT32&gt;0,AU32,AV31)</f>
        <v>0.74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44620</v>
      </c>
      <c r="B33">
        <f>'B5'!B32</f>
        <v>175</v>
      </c>
      <c r="C33" s="203">
        <f t="shared" si="18"/>
        <v>3765.322580645161</v>
      </c>
      <c r="D33">
        <f>SUM(B33)</f>
        <v>175</v>
      </c>
      <c r="E33" s="203">
        <f t="shared" si="18"/>
        <v>3765.322580645161</v>
      </c>
      <c r="F33">
        <f>SUM(D33)</f>
        <v>175</v>
      </c>
      <c r="G33" s="203">
        <f t="shared" si="1"/>
        <v>3765.322580645161</v>
      </c>
      <c r="H33" s="203">
        <f>SUM(F33)</f>
        <v>175</v>
      </c>
      <c r="I33" s="203">
        <f t="shared" si="2"/>
        <v>3765.322580645161</v>
      </c>
      <c r="J33" s="203">
        <f>SUM(H33)</f>
        <v>175</v>
      </c>
      <c r="K33" s="203">
        <f t="shared" si="3"/>
        <v>3765.322580645161</v>
      </c>
      <c r="L33" s="203">
        <f>SUM(J33)</f>
        <v>175</v>
      </c>
      <c r="M33" s="203">
        <f t="shared" si="4"/>
        <v>3765.322580645161</v>
      </c>
      <c r="N33" s="203">
        <f>SUM(L33)</f>
        <v>175</v>
      </c>
      <c r="O33" s="203">
        <f t="shared" si="5"/>
        <v>3765.322580645161</v>
      </c>
      <c r="P33" s="203">
        <f>SUM(N33)</f>
        <v>175</v>
      </c>
      <c r="Q33" s="203">
        <f t="shared" si="6"/>
        <v>3765.322580645161</v>
      </c>
      <c r="R33" s="203">
        <f>SUM(P33)</f>
        <v>175</v>
      </c>
      <c r="S33" s="203">
        <f t="shared" si="7"/>
        <v>3765.322580645161</v>
      </c>
      <c r="T33" s="203">
        <f>SUM(R33)</f>
        <v>175</v>
      </c>
      <c r="U33" s="203">
        <f t="shared" si="8"/>
        <v>3765.322580645161</v>
      </c>
      <c r="V33" s="203">
        <f>SUM(T33)</f>
        <v>175</v>
      </c>
      <c r="W33" s="203">
        <f t="shared" si="9"/>
        <v>3765.322580645161</v>
      </c>
      <c r="X33" s="35">
        <f>SUM(Y33/73370)</f>
        <v>0.5645161290322579</v>
      </c>
      <c r="Y33" s="36">
        <f>SUM(C33+E33+G33+I33+K33+M33+O33+Q33+S33+U33+W33)</f>
        <v>41418.548387096758</v>
      </c>
      <c r="Z33" s="203">
        <f>'B5'!C32</f>
        <v>183</v>
      </c>
      <c r="AA33" s="203">
        <f t="shared" si="30"/>
        <v>1830</v>
      </c>
      <c r="AB33" s="203">
        <f>SUM(Z33)</f>
        <v>183</v>
      </c>
      <c r="AC33" s="203">
        <f t="shared" si="30"/>
        <v>1830</v>
      </c>
      <c r="AD33" s="203">
        <f>SUM(AB33)</f>
        <v>183</v>
      </c>
      <c r="AE33" s="203">
        <f t="shared" si="11"/>
        <v>1830</v>
      </c>
      <c r="AF33" s="203">
        <f>SUM(AD33)</f>
        <v>183</v>
      </c>
      <c r="AG33" s="203">
        <f t="shared" si="12"/>
        <v>1830</v>
      </c>
      <c r="AH33" s="203">
        <f>SUM(AF33)</f>
        <v>183</v>
      </c>
      <c r="AI33" s="203">
        <f t="shared" si="13"/>
        <v>1830</v>
      </c>
      <c r="AJ33" s="203">
        <f>SUM(AH33)</f>
        <v>183</v>
      </c>
      <c r="AK33" s="203">
        <f t="shared" si="14"/>
        <v>1830</v>
      </c>
      <c r="AL33" s="203">
        <f>SUM(AJ33)</f>
        <v>183</v>
      </c>
      <c r="AM33" s="203">
        <f t="shared" si="15"/>
        <v>1830</v>
      </c>
      <c r="AN33" s="35">
        <f>SUM(AO33/19600)</f>
        <v>0.65357142857142858</v>
      </c>
      <c r="AO33" s="36">
        <f>SUM(AA33+AC33+AE33+AG33+AI33+AK33+AM33)</f>
        <v>12810</v>
      </c>
      <c r="AQ33" s="223">
        <f t="shared" si="37"/>
        <v>0.58329082916098485</v>
      </c>
      <c r="AR33" s="38">
        <f t="shared" si="38"/>
        <v>54228.548387096758</v>
      </c>
      <c r="AS33" s="197">
        <f>SUM(AR33-AR32-AT33)</f>
        <v>0</v>
      </c>
      <c r="AT33" s="340"/>
      <c r="AU33" s="549"/>
      <c r="AV33" s="485">
        <f>IF(AT33&gt;0,AU33,AV32)</f>
        <v>0.74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/>
      <c r="C34" s="203"/>
      <c r="E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35"/>
      <c r="Y34" s="36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35"/>
      <c r="AO34" s="36"/>
      <c r="AQ34" s="223"/>
      <c r="AR34" s="38"/>
      <c r="AS34" s="197"/>
      <c r="AT34" s="340"/>
      <c r="AU34" s="549"/>
      <c r="AV34" s="485"/>
      <c r="AW34" s="279"/>
      <c r="AX34" s="279"/>
      <c r="AY34" s="37"/>
      <c r="AZ34" s="100"/>
      <c r="BA34" s="118"/>
      <c r="BB34" s="378"/>
      <c r="BC34" s="3"/>
      <c r="BD34" s="102"/>
      <c r="BE34" s="14"/>
      <c r="BF34" s="14"/>
      <c r="BG34" s="14"/>
      <c r="BH34" s="11"/>
      <c r="BK34" s="538"/>
    </row>
    <row r="35" spans="1:63">
      <c r="A35" s="425"/>
      <c r="C35" s="203"/>
      <c r="E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35"/>
      <c r="Y35" s="36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35"/>
      <c r="AO35" s="36"/>
      <c r="AQ35" s="223"/>
      <c r="AR35" s="38"/>
      <c r="AS35" s="197"/>
      <c r="AT35" s="340"/>
      <c r="AU35" s="549"/>
      <c r="AV35" s="539"/>
      <c r="AW35" s="279"/>
      <c r="AX35" s="279"/>
      <c r="AY35" s="37"/>
      <c r="AZ35" s="100"/>
      <c r="BA35" s="118"/>
      <c r="BB35" s="378"/>
      <c r="BC35" s="3"/>
      <c r="BD35" s="102"/>
      <c r="BE35" s="14"/>
      <c r="BF35" s="14"/>
      <c r="BG35" s="14"/>
      <c r="BH35" s="11"/>
      <c r="BK35" s="538"/>
    </row>
    <row r="36" spans="1:63">
      <c r="A36" s="425"/>
      <c r="C36" s="203"/>
      <c r="E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35"/>
      <c r="Y36" s="36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35"/>
      <c r="AO36" s="36"/>
      <c r="AQ36" s="223"/>
      <c r="AR36" s="38"/>
      <c r="AS36" s="197"/>
      <c r="AT36" s="340"/>
      <c r="AU36" s="549"/>
      <c r="AV36" s="539"/>
      <c r="AW36" s="279"/>
      <c r="AX36" s="279"/>
      <c r="AY36" s="37"/>
      <c r="AZ36" s="100"/>
      <c r="BA36" s="118"/>
      <c r="BB36" s="378"/>
      <c r="BC36" s="17"/>
      <c r="BD36" s="565"/>
      <c r="BE36" s="566"/>
      <c r="BF36" s="566"/>
      <c r="BG36" s="566"/>
      <c r="BH36" s="567"/>
      <c r="BK36" s="538"/>
    </row>
    <row r="37" spans="1:63">
      <c r="AQ37" s="20"/>
      <c r="AR37" s="456" t="s">
        <v>223</v>
      </c>
      <c r="AS37" s="461">
        <f>COUNT(AT6:AT36)</f>
        <v>6</v>
      </c>
      <c r="AT37" s="203">
        <f>SUM(AT6:AT36)</f>
        <v>40410</v>
      </c>
      <c r="AU37" s="545">
        <f>SUM(AU6:AU36)/AS37</f>
        <v>0.76516666666666666</v>
      </c>
      <c r="AX37" s="203">
        <f>SUM(AX6:AX36)</f>
        <v>-29639.193548387106</v>
      </c>
      <c r="AY37" s="203">
        <f>SUM(AY6:AY36)</f>
        <v>-36353.193548387106</v>
      </c>
    </row>
    <row r="38" spans="1:63">
      <c r="AS38" s="206"/>
      <c r="AT38" s="82">
        <f>+AT37*AU37</f>
        <v>30920.384999999998</v>
      </c>
    </row>
    <row r="40" spans="1:63">
      <c r="AS40" s="165">
        <f>SUM(AS6:AS36)/'EDl log'!A35</f>
        <v>-3635.3193548387108</v>
      </c>
      <c r="AT40" s="203"/>
    </row>
    <row r="41" spans="1:63">
      <c r="AX41">
        <v>43309</v>
      </c>
    </row>
    <row r="42" spans="1:63">
      <c r="AR42" s="203">
        <f>AR33-22000</f>
        <v>32228.548387096758</v>
      </c>
      <c r="AU42" s="203"/>
      <c r="AX42">
        <f>AX37/AX41</f>
        <v>-0.68436568723330271</v>
      </c>
    </row>
    <row r="43" spans="1:63">
      <c r="AR43">
        <f>AR42/5500</f>
        <v>5.8597360703812287</v>
      </c>
    </row>
    <row r="44" spans="1:63">
      <c r="AR44">
        <f>AR43*2</f>
        <v>11.719472140762457</v>
      </c>
    </row>
    <row r="45" spans="1:63">
      <c r="AR45" s="203"/>
    </row>
    <row r="46" spans="1:63">
      <c r="AT46" s="614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J27" sqref="J2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44592</v>
      </c>
      <c r="B3" s="254">
        <f>'[2]EDl log'!B34</f>
        <v>1109342</v>
      </c>
      <c r="C3" s="254">
        <f>'[2]EDl log'!C34</f>
        <v>0</v>
      </c>
      <c r="D3" s="254">
        <f>'[2]EDl log'!D34</f>
        <v>0</v>
      </c>
      <c r="E3" s="254">
        <f>'[2]EDl log'!E34</f>
        <v>1109342</v>
      </c>
      <c r="F3" s="254">
        <f>'[2]EDl log'!F34</f>
        <v>160439</v>
      </c>
      <c r="G3" s="254">
        <f>'[2]EDl log'!G34</f>
        <v>0</v>
      </c>
      <c r="H3" s="254">
        <f>'[2]EDl log'!H34</f>
        <v>548374</v>
      </c>
      <c r="I3" s="254">
        <f>'[2]EDl log'!I34</f>
        <v>0</v>
      </c>
      <c r="J3" s="254">
        <f>'[2]EDl log'!J34</f>
        <v>400529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1352.4474193548435</v>
      </c>
      <c r="R3" s="254">
        <f>'[2]EDl log'!R34</f>
        <v>1507.2504579254314</v>
      </c>
      <c r="S3" s="254">
        <f>'[2]EDl log'!S34</f>
        <v>5187.2000000001863</v>
      </c>
      <c r="T3" s="254">
        <f>'[2]EDl log'!T34</f>
        <v>0.29057110925458385</v>
      </c>
      <c r="Z3" t="s">
        <v>213</v>
      </c>
      <c r="AA3">
        <v>0.1</v>
      </c>
    </row>
    <row r="4" spans="1:32" ht="20.100000000000001" customHeight="1">
      <c r="A4" s="163">
        <f>ELEC!C4</f>
        <v>44593</v>
      </c>
      <c r="B4" s="536">
        <v>1109655</v>
      </c>
      <c r="C4" s="254">
        <f t="shared" ref="C4:C30" si="0">SUM(B4-B3)</f>
        <v>313</v>
      </c>
      <c r="D4" s="295">
        <f>SUM(G4+I4+K4)</f>
        <v>312</v>
      </c>
      <c r="E4" s="295">
        <f>B3+D4</f>
        <v>1109654</v>
      </c>
      <c r="F4" s="540">
        <v>160656</v>
      </c>
      <c r="G4" s="160">
        <f t="shared" ref="G4:G30" si="1">F4-F3</f>
        <v>217</v>
      </c>
      <c r="H4" s="540">
        <v>548468</v>
      </c>
      <c r="I4" s="161">
        <f t="shared" ref="I4:I30" si="2">H4-H3</f>
        <v>94</v>
      </c>
      <c r="J4" s="593">
        <v>400530</v>
      </c>
      <c r="K4" s="162">
        <f>J4-J3</f>
        <v>1</v>
      </c>
      <c r="L4" s="284">
        <f t="shared" ref="L4:L13" si="3">SUM(G4*$Y$28)/1507.5</f>
        <v>46.063018242122723</v>
      </c>
      <c r="M4" s="284">
        <f t="shared" ref="M4:M13" si="4">SUM(I4*$Y$27)/1507.5</f>
        <v>6.9837479270315095</v>
      </c>
      <c r="N4" s="284">
        <f t="shared" ref="N4:N13" si="5">SUM(K4*$Y$26)/1507.5</f>
        <v>5.306799336650083E-2</v>
      </c>
      <c r="O4" s="284">
        <f t="shared" ref="O4:O31" si="6">($AC$29/$A$37)/1507.5</f>
        <v>171.38907841743662</v>
      </c>
      <c r="P4" s="285">
        <f>SUM(L4:O4)</f>
        <v>224.48891257995734</v>
      </c>
      <c r="Q4" s="285">
        <f>SUM(-tanks!AX6*tanks!$AU$37)</f>
        <v>1740.8282150537557</v>
      </c>
      <c r="R4" s="285">
        <f>SUM(P4:Q4)</f>
        <v>1965.317127633713</v>
      </c>
      <c r="S4" s="287">
        <f>SUM(ELEC!N4)</f>
        <v>7726.7999999998137</v>
      </c>
      <c r="T4" s="321">
        <f>IF(S4&gt;0,R4/S4,0)</f>
        <v>0.25435071797299791</v>
      </c>
      <c r="U4" s="245"/>
      <c r="V4" s="166" t="s">
        <v>200</v>
      </c>
      <c r="W4" s="167">
        <v>44218</v>
      </c>
      <c r="X4" s="168"/>
      <c r="Y4" s="168"/>
      <c r="Z4" s="169" t="s">
        <v>201</v>
      </c>
      <c r="AA4" s="168"/>
      <c r="AB4" s="658"/>
      <c r="AC4" s="659"/>
    </row>
    <row r="5" spans="1:32" ht="20.100000000000001" customHeight="1">
      <c r="A5" s="163">
        <f>ELEC!C5</f>
        <v>44594</v>
      </c>
      <c r="B5" s="617">
        <v>1109896</v>
      </c>
      <c r="C5" s="254">
        <f t="shared" si="0"/>
        <v>241</v>
      </c>
      <c r="D5" s="295">
        <f>SUM(G5+I5+K5)</f>
        <v>242</v>
      </c>
      <c r="E5" s="295">
        <f>B4+D5</f>
        <v>1109897</v>
      </c>
      <c r="F5" s="617">
        <f t="shared" ref="F5:F31" si="7">F4</f>
        <v>160656</v>
      </c>
      <c r="G5" s="160">
        <f t="shared" si="1"/>
        <v>0</v>
      </c>
      <c r="H5" s="617">
        <v>548637</v>
      </c>
      <c r="I5" s="161">
        <f t="shared" si="2"/>
        <v>169</v>
      </c>
      <c r="J5" s="617">
        <v>400603</v>
      </c>
      <c r="K5" s="162">
        <f t="shared" ref="K5:K30" si="8">J5-J4</f>
        <v>73</v>
      </c>
      <c r="L5" s="284">
        <f t="shared" si="3"/>
        <v>0</v>
      </c>
      <c r="M5" s="284">
        <f t="shared" si="4"/>
        <v>12.555887230514097</v>
      </c>
      <c r="N5" s="284">
        <f t="shared" si="5"/>
        <v>3.8739635157545607</v>
      </c>
      <c r="O5" s="284">
        <f t="shared" si="6"/>
        <v>171.38907841743662</v>
      </c>
      <c r="P5" s="285">
        <f t="shared" ref="P5:P30" si="9">SUM(L5:O5)</f>
        <v>187.81892916370526</v>
      </c>
      <c r="Q5" s="285">
        <f>SUM(-tanks!AX7*tanks!$AU$37)</f>
        <v>1492.3958763440824</v>
      </c>
      <c r="R5" s="285">
        <f t="shared" ref="R5:R30" si="10">SUM(P5:Q5)</f>
        <v>1680.2148055077876</v>
      </c>
      <c r="S5" s="287">
        <f>SUM(ELEC!N5)</f>
        <v>4558</v>
      </c>
      <c r="T5" s="321">
        <f>IF(S5&gt;0,R5/S5,0)</f>
        <v>0.36862983885646938</v>
      </c>
      <c r="U5" s="245"/>
      <c r="V5" s="652"/>
      <c r="W5" s="653"/>
      <c r="X5" s="653"/>
      <c r="Y5" s="654"/>
      <c r="Z5" s="26" t="s">
        <v>202</v>
      </c>
      <c r="AA5" s="26">
        <v>5000</v>
      </c>
      <c r="AB5" s="660"/>
      <c r="AC5" s="661"/>
    </row>
    <row r="6" spans="1:32" ht="20.100000000000001" customHeight="1">
      <c r="A6" s="163">
        <f>ELEC!C6</f>
        <v>44595</v>
      </c>
      <c r="B6" s="617">
        <f t="shared" ref="B6:B31" si="11">B5</f>
        <v>1109896</v>
      </c>
      <c r="C6" s="254">
        <f t="shared" si="0"/>
        <v>0</v>
      </c>
      <c r="D6" s="295">
        <f t="shared" ref="D6:D31" si="12">SUM(G6+I6+K6)</f>
        <v>0</v>
      </c>
      <c r="E6" s="295">
        <f t="shared" ref="E6:E30" si="13">B5+D6</f>
        <v>1109896</v>
      </c>
      <c r="F6" s="617">
        <f t="shared" si="7"/>
        <v>160656</v>
      </c>
      <c r="G6" s="160">
        <f t="shared" si="1"/>
        <v>0</v>
      </c>
      <c r="H6" s="617">
        <f t="shared" ref="H6:H31" si="14">H5</f>
        <v>548637</v>
      </c>
      <c r="I6" s="161">
        <f t="shared" si="2"/>
        <v>0</v>
      </c>
      <c r="J6" s="617">
        <f t="shared" ref="J6:J31" si="15">J5</f>
        <v>400603</v>
      </c>
      <c r="K6" s="162">
        <f t="shared" si="8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171.38907841743662</v>
      </c>
      <c r="P6" s="285">
        <f t="shared" si="9"/>
        <v>171.38907841743662</v>
      </c>
      <c r="Q6" s="285">
        <f>SUM(-tanks!AX8*tanks!$AU$37)</f>
        <v>1576.5642096774211</v>
      </c>
      <c r="R6" s="285">
        <f t="shared" si="10"/>
        <v>1747.9532880948577</v>
      </c>
      <c r="S6" s="287">
        <f>SUM(ELEC!N6)</f>
        <v>5673</v>
      </c>
      <c r="T6" s="321">
        <f t="shared" ref="T6:T30" si="16">IF(S6&gt;0,R6/S6,0)</f>
        <v>0.30811797780625028</v>
      </c>
      <c r="V6" s="655"/>
      <c r="W6" s="656"/>
      <c r="X6" s="656"/>
      <c r="Y6" s="657"/>
      <c r="Z6" s="664"/>
      <c r="AA6" s="665"/>
      <c r="AB6" s="660"/>
      <c r="AC6" s="661"/>
    </row>
    <row r="7" spans="1:32" ht="20.100000000000001" customHeight="1">
      <c r="A7" s="163">
        <f>ELEC!C7</f>
        <v>44596</v>
      </c>
      <c r="B7" s="617">
        <f t="shared" si="11"/>
        <v>1109896</v>
      </c>
      <c r="C7" s="254">
        <f t="shared" si="0"/>
        <v>0</v>
      </c>
      <c r="D7" s="295">
        <f t="shared" si="12"/>
        <v>0</v>
      </c>
      <c r="E7" s="295">
        <f t="shared" si="13"/>
        <v>1109896</v>
      </c>
      <c r="F7" s="617">
        <f t="shared" si="7"/>
        <v>160656</v>
      </c>
      <c r="G7" s="160">
        <f t="shared" si="1"/>
        <v>0</v>
      </c>
      <c r="H7" s="617">
        <f t="shared" si="14"/>
        <v>548637</v>
      </c>
      <c r="I7" s="161">
        <f t="shared" si="2"/>
        <v>0</v>
      </c>
      <c r="J7" s="617">
        <f t="shared" si="15"/>
        <v>400603</v>
      </c>
      <c r="K7" s="162">
        <f t="shared" si="8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171.38907841743662</v>
      </c>
      <c r="P7" s="285">
        <f t="shared" si="9"/>
        <v>171.38907841743662</v>
      </c>
      <c r="Q7" s="285">
        <f>SUM(-tanks!AX9*tanks!$AU$37)</f>
        <v>0</v>
      </c>
      <c r="R7" s="285">
        <f t="shared" si="10"/>
        <v>171.38907841743662</v>
      </c>
      <c r="S7" s="287">
        <f>SUM(ELEC!N7)</f>
        <v>0</v>
      </c>
      <c r="T7" s="321">
        <f t="shared" si="16"/>
        <v>0</v>
      </c>
      <c r="V7" s="647" t="s">
        <v>203</v>
      </c>
      <c r="W7" s="648"/>
      <c r="X7" s="649" t="s">
        <v>204</v>
      </c>
      <c r="Y7" s="650"/>
      <c r="Z7" s="651"/>
      <c r="AA7" s="170"/>
      <c r="AB7" s="662"/>
      <c r="AC7" s="663"/>
    </row>
    <row r="8" spans="1:32" ht="20.100000000000001" customHeight="1">
      <c r="A8" s="163">
        <f>ELEC!C8</f>
        <v>44597</v>
      </c>
      <c r="B8" s="617">
        <f t="shared" si="11"/>
        <v>1109896</v>
      </c>
      <c r="C8" s="254">
        <f t="shared" si="0"/>
        <v>0</v>
      </c>
      <c r="D8" s="295">
        <f t="shared" si="12"/>
        <v>0</v>
      </c>
      <c r="E8" s="295">
        <f t="shared" si="13"/>
        <v>1109896</v>
      </c>
      <c r="F8" s="617">
        <f t="shared" si="7"/>
        <v>160656</v>
      </c>
      <c r="G8" s="160">
        <f t="shared" si="1"/>
        <v>0</v>
      </c>
      <c r="H8" s="617">
        <f t="shared" si="14"/>
        <v>548637</v>
      </c>
      <c r="I8" s="161">
        <f t="shared" si="2"/>
        <v>0</v>
      </c>
      <c r="J8" s="617">
        <f t="shared" si="15"/>
        <v>400603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171.38907841743662</v>
      </c>
      <c r="P8" s="285">
        <f t="shared" si="9"/>
        <v>171.38907841743662</v>
      </c>
      <c r="Q8" s="285">
        <f>SUM(-tanks!AX10*tanks!$AU$37)</f>
        <v>0</v>
      </c>
      <c r="R8" s="285">
        <f t="shared" si="10"/>
        <v>171.38907841743662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44598</v>
      </c>
      <c r="B9" s="617">
        <v>1110053</v>
      </c>
      <c r="C9" s="254">
        <f t="shared" si="0"/>
        <v>157</v>
      </c>
      <c r="D9" s="295">
        <f t="shared" si="12"/>
        <v>157</v>
      </c>
      <c r="E9" s="295">
        <f t="shared" si="13"/>
        <v>1110053</v>
      </c>
      <c r="F9" s="617">
        <f t="shared" si="7"/>
        <v>160656</v>
      </c>
      <c r="G9" s="160">
        <f t="shared" si="1"/>
        <v>0</v>
      </c>
      <c r="H9" s="617">
        <v>548794</v>
      </c>
      <c r="I9" s="161">
        <f t="shared" si="2"/>
        <v>157</v>
      </c>
      <c r="J9" s="617">
        <f t="shared" si="15"/>
        <v>400603</v>
      </c>
      <c r="K9" s="162">
        <f>J9-J8</f>
        <v>0</v>
      </c>
      <c r="L9" s="284">
        <f t="shared" si="3"/>
        <v>0</v>
      </c>
      <c r="M9" s="284">
        <f t="shared" si="4"/>
        <v>11.664344941956882</v>
      </c>
      <c r="N9" s="284">
        <f t="shared" si="5"/>
        <v>0</v>
      </c>
      <c r="O9" s="284">
        <f t="shared" si="6"/>
        <v>171.38907841743662</v>
      </c>
      <c r="P9" s="285">
        <f t="shared" si="9"/>
        <v>183.05342335939349</v>
      </c>
      <c r="Q9" s="285">
        <f>SUM(-tanks!AX11*tanks!$AU$37)</f>
        <v>822.89972580645826</v>
      </c>
      <c r="R9" s="285">
        <f>SUM(P9:Q9)</f>
        <v>1005.9531491658518</v>
      </c>
      <c r="S9" s="287">
        <f>SUM(ELEC!N9)</f>
        <v>7240.3999999999069</v>
      </c>
      <c r="T9" s="321">
        <f t="shared" si="16"/>
        <v>0.13893612910417444</v>
      </c>
      <c r="V9" s="246">
        <f>'[2]EDl log'!V26</f>
        <v>400225</v>
      </c>
      <c r="W9" s="246">
        <f>'[2]EDl log'!W26</f>
        <v>400529</v>
      </c>
      <c r="X9" s="172" t="s">
        <v>199</v>
      </c>
      <c r="Y9" s="172">
        <f>'[5]EDl log'!Y26</f>
        <v>80</v>
      </c>
      <c r="Z9" s="172">
        <f>'[5]EDl log'!Z26</f>
        <v>1</v>
      </c>
      <c r="AA9" s="172">
        <f>'[2]EDl log'!AA26</f>
        <v>304</v>
      </c>
      <c r="AB9" s="172">
        <f>'[2]EDl log'!AB26</f>
        <v>24320</v>
      </c>
      <c r="AC9" s="172">
        <f>'[2]EDl log'!AC26</f>
        <v>1033333</v>
      </c>
      <c r="AD9" s="378">
        <f>'[2]EDl log'!AD26</f>
        <v>0.12474353713582274</v>
      </c>
      <c r="AE9" s="172"/>
      <c r="AF9" s="172"/>
    </row>
    <row r="10" spans="1:32" ht="20.100000000000001" customHeight="1">
      <c r="A10" s="163">
        <f>ELEC!C10</f>
        <v>44599</v>
      </c>
      <c r="B10" s="617">
        <f t="shared" si="11"/>
        <v>1110053</v>
      </c>
      <c r="C10" s="254">
        <f t="shared" si="0"/>
        <v>0</v>
      </c>
      <c r="D10" s="295">
        <f t="shared" si="12"/>
        <v>0</v>
      </c>
      <c r="E10" s="295">
        <f t="shared" si="13"/>
        <v>1110053</v>
      </c>
      <c r="F10" s="617">
        <f t="shared" si="7"/>
        <v>160656</v>
      </c>
      <c r="G10" s="160">
        <f t="shared" si="1"/>
        <v>0</v>
      </c>
      <c r="H10" s="617">
        <f t="shared" si="14"/>
        <v>548794</v>
      </c>
      <c r="I10" s="161">
        <f t="shared" si="2"/>
        <v>0</v>
      </c>
      <c r="J10" s="617">
        <f t="shared" si="15"/>
        <v>400603</v>
      </c>
      <c r="K10" s="162">
        <f t="shared" si="8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171.38907841743662</v>
      </c>
      <c r="P10" s="285">
        <f t="shared" si="9"/>
        <v>171.38907841743662</v>
      </c>
      <c r="Q10" s="285">
        <f>SUM(-tanks!AX12*tanks!$AU$37)</f>
        <v>1388.0123333333333</v>
      </c>
      <c r="R10" s="285">
        <f t="shared" si="10"/>
        <v>1559.40141175077</v>
      </c>
      <c r="S10" s="287">
        <f>SUM(ELEC!N10)</f>
        <v>5591.6000000000931</v>
      </c>
      <c r="T10" s="321">
        <f t="shared" si="16"/>
        <v>0.27888286210579155</v>
      </c>
      <c r="V10" s="246">
        <f>'[2]EDl log'!V27</f>
        <v>546590</v>
      </c>
      <c r="W10" s="246">
        <f>'[2]EDl log'!W27</f>
        <v>548374</v>
      </c>
      <c r="X10" s="172" t="s">
        <v>212</v>
      </c>
      <c r="Y10" s="172">
        <f>'[5]EDl log'!Y27</f>
        <v>112</v>
      </c>
      <c r="Z10" s="172">
        <f>'[5]EDl log'!Z27</f>
        <v>1</v>
      </c>
      <c r="AA10" s="172">
        <f>'[2]EDl log'!AA27</f>
        <v>1784</v>
      </c>
      <c r="AB10" s="172">
        <f>'[2]EDl log'!AB27</f>
        <v>199808</v>
      </c>
      <c r="AC10" s="172">
        <f>'[2]EDl log'!AC27</f>
        <v>6200000</v>
      </c>
      <c r="AD10" s="378">
        <f>'[2]EDl log'!AD27</f>
        <v>0.73204759950759135</v>
      </c>
      <c r="AE10" s="172"/>
      <c r="AF10" s="172"/>
    </row>
    <row r="11" spans="1:32" ht="20.100000000000001" customHeight="1">
      <c r="A11" s="163">
        <f>ELEC!C11</f>
        <v>44600</v>
      </c>
      <c r="B11" s="617">
        <f t="shared" si="11"/>
        <v>1110053</v>
      </c>
      <c r="C11" s="254">
        <f t="shared" si="0"/>
        <v>0</v>
      </c>
      <c r="D11" s="295">
        <f t="shared" si="12"/>
        <v>0</v>
      </c>
      <c r="E11" s="295">
        <f t="shared" si="13"/>
        <v>1110053</v>
      </c>
      <c r="F11" s="617">
        <f t="shared" si="7"/>
        <v>160656</v>
      </c>
      <c r="G11" s="160">
        <f t="shared" si="1"/>
        <v>0</v>
      </c>
      <c r="H11" s="617">
        <f t="shared" si="14"/>
        <v>548794</v>
      </c>
      <c r="I11" s="161">
        <f t="shared" si="2"/>
        <v>0</v>
      </c>
      <c r="J11" s="617">
        <f t="shared" si="15"/>
        <v>400603</v>
      </c>
      <c r="K11" s="162">
        <f t="shared" si="8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171.38907841743662</v>
      </c>
      <c r="P11" s="285">
        <f t="shared" si="9"/>
        <v>171.38907841743662</v>
      </c>
      <c r="Q11" s="285">
        <f>SUM(-tanks!AX13*tanks!$AU$37)</f>
        <v>0</v>
      </c>
      <c r="R11" s="285">
        <f t="shared" si="10"/>
        <v>171.38907841743662</v>
      </c>
      <c r="S11" s="287">
        <f>SUM(ELEC!N11)</f>
        <v>0</v>
      </c>
      <c r="T11" s="321">
        <f t="shared" si="16"/>
        <v>0</v>
      </c>
      <c r="V11" s="246">
        <f>'[2]EDl log'!V28</f>
        <v>160089</v>
      </c>
      <c r="W11" s="246">
        <f>'[2]EDl log'!W28</f>
        <v>160439</v>
      </c>
      <c r="X11" s="172" t="s">
        <v>197</v>
      </c>
      <c r="Y11" s="172">
        <f>'[5]EDl log'!Y28</f>
        <v>320</v>
      </c>
      <c r="Z11" s="172">
        <f>'[5]EDl log'!Z28</f>
        <v>1</v>
      </c>
      <c r="AA11" s="172">
        <f>'[2]EDl log'!AA28</f>
        <v>350</v>
      </c>
      <c r="AB11" s="172">
        <f>'[2]EDl log'!AB28</f>
        <v>112000</v>
      </c>
      <c r="AC11" s="172">
        <f>'[2]EDl log'!AC28</f>
        <v>1000</v>
      </c>
      <c r="AD11" s="378">
        <f>'[2]EDl log'!AD28</f>
        <v>0.14361920393926961</v>
      </c>
      <c r="AE11" s="172">
        <f>'[2]EDl log'!AE28</f>
        <v>5600</v>
      </c>
      <c r="AF11" s="172">
        <f>'[2]EDl log'!AF28</f>
        <v>24800</v>
      </c>
    </row>
    <row r="12" spans="1:32" ht="20.100000000000001" customHeight="1">
      <c r="A12" s="163">
        <f>ELEC!C12</f>
        <v>44601</v>
      </c>
      <c r="B12" s="617">
        <f t="shared" si="11"/>
        <v>1110053</v>
      </c>
      <c r="C12" s="254">
        <f t="shared" si="0"/>
        <v>0</v>
      </c>
      <c r="D12" s="295">
        <f t="shared" si="12"/>
        <v>0</v>
      </c>
      <c r="E12" s="295">
        <f t="shared" si="13"/>
        <v>1110053</v>
      </c>
      <c r="F12" s="617">
        <f t="shared" si="7"/>
        <v>160656</v>
      </c>
      <c r="G12" s="160">
        <f t="shared" si="1"/>
        <v>0</v>
      </c>
      <c r="H12" s="617">
        <f t="shared" si="14"/>
        <v>548794</v>
      </c>
      <c r="I12" s="161">
        <f t="shared" si="2"/>
        <v>0</v>
      </c>
      <c r="J12" s="617">
        <f t="shared" si="15"/>
        <v>400603</v>
      </c>
      <c r="K12" s="162">
        <f t="shared" si="8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171.38907841743662</v>
      </c>
      <c r="P12" s="285">
        <f t="shared" si="9"/>
        <v>171.38907841743662</v>
      </c>
      <c r="Q12" s="285">
        <f>SUM(-tanks!AX14*tanks!$AU$37)</f>
        <v>1235.7935322580574</v>
      </c>
      <c r="R12" s="285">
        <f t="shared" si="10"/>
        <v>1407.1826106754941</v>
      </c>
      <c r="S12" s="287">
        <f>SUM(ELEC!N12)</f>
        <v>4598</v>
      </c>
      <c r="T12" s="321">
        <f t="shared" si="16"/>
        <v>0.30604232507079038</v>
      </c>
      <c r="V12" s="213"/>
      <c r="W12" s="214"/>
      <c r="X12" s="214"/>
      <c r="Y12" s="215"/>
      <c r="Z12" s="3"/>
      <c r="AA12" s="172">
        <f>'[2]EDl log'!AA29</f>
        <v>2438</v>
      </c>
      <c r="AB12" s="172">
        <f>'[2]EDl log'!AB29</f>
        <v>336128</v>
      </c>
      <c r="AC12" s="172">
        <f>'[2]EDl log'!AC29</f>
        <v>7234333</v>
      </c>
    </row>
    <row r="13" spans="1:32" ht="20.100000000000001" customHeight="1">
      <c r="A13" s="163">
        <f>ELEC!C13</f>
        <v>44602</v>
      </c>
      <c r="B13" s="617">
        <v>1110528</v>
      </c>
      <c r="C13" s="254">
        <f t="shared" si="0"/>
        <v>475</v>
      </c>
      <c r="D13" s="295">
        <f t="shared" si="12"/>
        <v>474</v>
      </c>
      <c r="E13" s="295">
        <f t="shared" si="13"/>
        <v>1110527</v>
      </c>
      <c r="F13" s="617">
        <v>160711</v>
      </c>
      <c r="G13" s="160">
        <f t="shared" si="1"/>
        <v>55</v>
      </c>
      <c r="H13" s="617">
        <v>549213</v>
      </c>
      <c r="I13" s="161">
        <f t="shared" si="2"/>
        <v>419</v>
      </c>
      <c r="J13" s="617">
        <f t="shared" si="15"/>
        <v>400603</v>
      </c>
      <c r="K13" s="162">
        <f t="shared" si="8"/>
        <v>0</v>
      </c>
      <c r="L13" s="284">
        <f t="shared" si="3"/>
        <v>11.674958540630183</v>
      </c>
      <c r="M13" s="284">
        <f t="shared" si="4"/>
        <v>31.129684908789386</v>
      </c>
      <c r="N13" s="284">
        <f t="shared" si="5"/>
        <v>0</v>
      </c>
      <c r="O13" s="284">
        <f t="shared" si="6"/>
        <v>171.38907841743662</v>
      </c>
      <c r="P13" s="285">
        <f t="shared" si="9"/>
        <v>214.19372186685621</v>
      </c>
      <c r="Q13" s="285">
        <f>SUM(-tanks!AX15*tanks!$AU$37)</f>
        <v>1544.4272096774323</v>
      </c>
      <c r="R13" s="285">
        <f t="shared" si="10"/>
        <v>1758.6209315442884</v>
      </c>
      <c r="S13" s="287">
        <f>SUM(ELEC!N13)</f>
        <v>5970</v>
      </c>
      <c r="T13" s="321">
        <f>IF(S13&gt;0,R13/S13,0)</f>
        <v>0.29457637044292939</v>
      </c>
      <c r="V13" s="216" t="s">
        <v>314</v>
      </c>
      <c r="W13" s="424">
        <f>'[5]General information '!F19</f>
        <v>0</v>
      </c>
      <c r="X13" s="217"/>
      <c r="Y13" s="218" t="s">
        <v>327</v>
      </c>
      <c r="Z13" s="3"/>
      <c r="AA13" s="172">
        <f>'[2]EDl log'!AA30</f>
        <v>0</v>
      </c>
      <c r="AB13" s="172">
        <f>'[2]EDl log'!AB30</f>
        <v>7570461</v>
      </c>
      <c r="AC13" s="172">
        <f>'[2]EDl log'!AC30</f>
        <v>0</v>
      </c>
    </row>
    <row r="14" spans="1:32" ht="20.100000000000001" customHeight="1">
      <c r="A14" s="163">
        <f>ELEC!C14</f>
        <v>44603</v>
      </c>
      <c r="B14" s="617">
        <f t="shared" si="11"/>
        <v>1110528</v>
      </c>
      <c r="C14" s="254">
        <f t="shared" si="0"/>
        <v>0</v>
      </c>
      <c r="D14" s="295">
        <f t="shared" si="12"/>
        <v>0</v>
      </c>
      <c r="E14" s="295">
        <f t="shared" si="13"/>
        <v>1110528</v>
      </c>
      <c r="F14" s="617">
        <f t="shared" si="7"/>
        <v>160711</v>
      </c>
      <c r="G14" s="160">
        <f t="shared" si="1"/>
        <v>0</v>
      </c>
      <c r="H14" s="617">
        <f t="shared" si="14"/>
        <v>549213</v>
      </c>
      <c r="I14" s="161">
        <f t="shared" si="2"/>
        <v>0</v>
      </c>
      <c r="J14" s="617">
        <f t="shared" si="15"/>
        <v>400603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171.38907841743662</v>
      </c>
      <c r="P14" s="285">
        <f>SUM(L14:O14)</f>
        <v>171.38907841743662</v>
      </c>
      <c r="Q14" s="285">
        <f>SUM(-tanks!AX16*tanks!$AU$37)</f>
        <v>0</v>
      </c>
      <c r="R14" s="285">
        <f>SUM(P14:Q14)</f>
        <v>171.38907841743662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172">
        <f>'[2]EDl log'!AA31</f>
        <v>0</v>
      </c>
      <c r="AB14" s="172">
        <f>'[2]EDl log'!AB31</f>
        <v>0</v>
      </c>
      <c r="AC14" s="172">
        <f>'[2]EDl log'!AC31</f>
        <v>0</v>
      </c>
    </row>
    <row r="15" spans="1:32" ht="20.100000000000001" customHeight="1">
      <c r="A15" s="163">
        <f>ELEC!C15</f>
        <v>44604</v>
      </c>
      <c r="B15" s="617">
        <f t="shared" si="11"/>
        <v>1110528</v>
      </c>
      <c r="C15" s="254">
        <f t="shared" si="0"/>
        <v>0</v>
      </c>
      <c r="D15" s="295">
        <f t="shared" si="12"/>
        <v>0</v>
      </c>
      <c r="E15" s="295">
        <f t="shared" si="13"/>
        <v>1110528</v>
      </c>
      <c r="F15" s="617">
        <f t="shared" si="7"/>
        <v>160711</v>
      </c>
      <c r="G15" s="160">
        <f t="shared" si="1"/>
        <v>0</v>
      </c>
      <c r="H15" s="617">
        <f t="shared" si="14"/>
        <v>549213</v>
      </c>
      <c r="I15" s="161">
        <f t="shared" si="2"/>
        <v>0</v>
      </c>
      <c r="J15" s="617">
        <f t="shared" si="15"/>
        <v>400603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171.38907841743662</v>
      </c>
      <c r="P15" s="285">
        <f>SUM(L15:O15)</f>
        <v>171.38907841743662</v>
      </c>
      <c r="Q15" s="285">
        <f>SUM(-tanks!AX17*tanks!$AU$37)</f>
        <v>0</v>
      </c>
      <c r="R15" s="285">
        <f>SUM(P15:Q15)</f>
        <v>171.38907841743662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log'!W32</f>
        <v>201</v>
      </c>
      <c r="X15" s="541">
        <f>'[2]EDl log'!X32</f>
        <v>18.272727272727273</v>
      </c>
      <c r="Y15" s="618">
        <f>'[2]EDl log'!Y32</f>
        <v>18.272727272727273</v>
      </c>
      <c r="Z15" s="3"/>
      <c r="AA15" s="172">
        <f>'[2]EDl log'!AA32</f>
        <v>0</v>
      </c>
      <c r="AB15" s="172">
        <f>'[2]EDl log'!AB32</f>
        <v>0</v>
      </c>
      <c r="AC15" s="172">
        <f>'[2]EDl log'!AC32</f>
        <v>0</v>
      </c>
    </row>
    <row r="16" spans="1:32" ht="20.100000000000001" customHeight="1">
      <c r="A16" s="163">
        <f>ELEC!C16</f>
        <v>44605</v>
      </c>
      <c r="B16" s="617">
        <v>1110719</v>
      </c>
      <c r="C16" s="254">
        <f t="shared" si="0"/>
        <v>191</v>
      </c>
      <c r="D16" s="295">
        <f t="shared" si="12"/>
        <v>191</v>
      </c>
      <c r="E16" s="295">
        <f t="shared" si="13"/>
        <v>1110719</v>
      </c>
      <c r="F16" s="617">
        <v>160854</v>
      </c>
      <c r="G16" s="160">
        <f t="shared" si="1"/>
        <v>143</v>
      </c>
      <c r="H16" s="617">
        <v>549232</v>
      </c>
      <c r="I16" s="161">
        <f t="shared" si="2"/>
        <v>19</v>
      </c>
      <c r="J16" s="617">
        <v>400632</v>
      </c>
      <c r="K16" s="162">
        <f>J16-J15</f>
        <v>29</v>
      </c>
      <c r="L16" s="284">
        <f>SUM(G16*$Y$28)/1507.5</f>
        <v>30.354892205638475</v>
      </c>
      <c r="M16" s="284">
        <f>SUM(I16*$Y$27)/1507.5</f>
        <v>1.411608623548922</v>
      </c>
      <c r="N16" s="284">
        <f>SUM(K16*$Y$26)/1507.5</f>
        <v>1.5389718076285241</v>
      </c>
      <c r="O16" s="284">
        <f t="shared" si="6"/>
        <v>171.38907841743662</v>
      </c>
      <c r="P16" s="285">
        <f>SUM(L16:O16)</f>
        <v>204.69455105425254</v>
      </c>
      <c r="Q16" s="285">
        <f>SUM(-tanks!AX18*tanks!$AU$37)</f>
        <v>765.46286021504511</v>
      </c>
      <c r="R16" s="285">
        <f>SUM(P16:Q16)</f>
        <v>970.15741126929765</v>
      </c>
      <c r="S16" s="287">
        <f>SUM(ELEC!N16)</f>
        <v>6925</v>
      </c>
      <c r="T16" s="321">
        <f>IF(S16&gt;0,R16/S16,0)</f>
        <v>0.14009493303527765</v>
      </c>
      <c r="V16" s="216" t="s">
        <v>413</v>
      </c>
      <c r="W16" s="541"/>
      <c r="X16" s="222"/>
      <c r="Y16" s="250"/>
      <c r="Z16" s="3" t="s">
        <v>415</v>
      </c>
      <c r="AA16" s="378">
        <f>'[2]EDl log'!AA33</f>
        <v>0.11</v>
      </c>
      <c r="AB16" s="172">
        <f>'[2]EDl log'!AB33</f>
        <v>832750.71</v>
      </c>
      <c r="AC16" s="172">
        <f>'[2]EDl log'!AC33</f>
        <v>7234333</v>
      </c>
    </row>
    <row r="17" spans="1:32" ht="20.100000000000001" customHeight="1">
      <c r="A17" s="163">
        <f>ELEC!C17</f>
        <v>44606</v>
      </c>
      <c r="B17" s="617">
        <f t="shared" si="11"/>
        <v>1110719</v>
      </c>
      <c r="C17" s="254">
        <f t="shared" si="0"/>
        <v>0</v>
      </c>
      <c r="D17" s="295">
        <f t="shared" si="12"/>
        <v>0</v>
      </c>
      <c r="E17" s="295">
        <f t="shared" si="13"/>
        <v>1110719</v>
      </c>
      <c r="F17" s="617">
        <f t="shared" si="7"/>
        <v>160854</v>
      </c>
      <c r="G17" s="160">
        <f>F17-F16</f>
        <v>0</v>
      </c>
      <c r="H17" s="617">
        <f t="shared" si="14"/>
        <v>549232</v>
      </c>
      <c r="I17" s="161">
        <f t="shared" si="2"/>
        <v>0</v>
      </c>
      <c r="J17" s="617">
        <f t="shared" si="15"/>
        <v>400632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171.38907841743662</v>
      </c>
      <c r="P17" s="285">
        <f>SUM(L17:O17)</f>
        <v>171.38907841743662</v>
      </c>
      <c r="Q17" s="285">
        <f>SUM(-tanks!AX19*tanks!$AU$37)</f>
        <v>1390.1103709677477</v>
      </c>
      <c r="R17" s="285">
        <f>SUM(P17:Q17)</f>
        <v>1561.4994493851843</v>
      </c>
      <c r="S17" s="287">
        <f>SUM(ELEC!N17)</f>
        <v>6020</v>
      </c>
      <c r="T17" s="321">
        <f>IF(S17&gt;0,R17/S17,0)</f>
        <v>0.25938529059554555</v>
      </c>
      <c r="V17" s="216" t="s">
        <v>414</v>
      </c>
      <c r="Z17" s="3"/>
      <c r="AA17" s="172">
        <f>'[2]EDl log'!AA34</f>
        <v>0</v>
      </c>
      <c r="AB17" s="172">
        <f>'[2]EDl log'!AB34</f>
        <v>8403211.7100000009</v>
      </c>
      <c r="AC17" s="172">
        <f>'[2]EDl log'!AC34</f>
        <v>0</v>
      </c>
    </row>
    <row r="18" spans="1:32" ht="20.100000000000001" customHeight="1" thickBot="1">
      <c r="A18" s="163">
        <f>ELEC!C18</f>
        <v>44607</v>
      </c>
      <c r="B18" s="617">
        <v>1110858</v>
      </c>
      <c r="C18" s="254">
        <f>SUM(B18-B17)</f>
        <v>139</v>
      </c>
      <c r="D18" s="295">
        <f>SUM(G18+I18+K18)</f>
        <v>139</v>
      </c>
      <c r="E18" s="295">
        <f t="shared" si="13"/>
        <v>1110858</v>
      </c>
      <c r="F18" s="617">
        <f t="shared" si="7"/>
        <v>160854</v>
      </c>
      <c r="G18" s="160">
        <f t="shared" si="1"/>
        <v>0</v>
      </c>
      <c r="H18" s="617">
        <v>549340</v>
      </c>
      <c r="I18" s="161">
        <f t="shared" si="2"/>
        <v>108</v>
      </c>
      <c r="J18" s="617">
        <v>400663</v>
      </c>
      <c r="K18" s="162">
        <f t="shared" si="8"/>
        <v>31</v>
      </c>
      <c r="L18" s="284">
        <f t="shared" ref="L18:L30" si="17">SUM(G18*$Y$28)/1507.5</f>
        <v>0</v>
      </c>
      <c r="M18" s="284">
        <f t="shared" ref="M18:M30" si="18">SUM(I18*$Y$27)/1507.5</f>
        <v>8.0238805970149247</v>
      </c>
      <c r="N18" s="284">
        <f t="shared" ref="N18:N30" si="19">SUM(K18*$Y$26)/1507.5</f>
        <v>1.6451077943615258</v>
      </c>
      <c r="O18" s="284">
        <f t="shared" si="6"/>
        <v>171.38907841743662</v>
      </c>
      <c r="P18" s="285">
        <f t="shared" si="9"/>
        <v>181.05806680881307</v>
      </c>
      <c r="Q18" s="285">
        <f>SUM(-tanks!AX20*tanks!$AU$37)</f>
        <v>1408.4743709677366</v>
      </c>
      <c r="R18" s="285">
        <f t="shared" si="10"/>
        <v>1589.5324377765496</v>
      </c>
      <c r="S18" s="287">
        <f>SUM(ELEC!N18)</f>
        <v>5276</v>
      </c>
      <c r="T18" s="321">
        <f t="shared" si="16"/>
        <v>0.30127604961648019</v>
      </c>
      <c r="V18" s="226"/>
      <c r="W18" s="227"/>
      <c r="X18" s="227"/>
      <c r="Y18" s="227"/>
      <c r="Z18" s="3"/>
      <c r="AA18" s="172">
        <f>'[2]EDl log'!AA35</f>
        <v>0</v>
      </c>
      <c r="AB18" s="172">
        <f>'[2]EDl log'!AB35</f>
        <v>0</v>
      </c>
      <c r="AC18" s="172">
        <f>'[2]EDl log'!AC35</f>
        <v>0</v>
      </c>
    </row>
    <row r="19" spans="1:32" ht="20.100000000000001" customHeight="1" thickBot="1">
      <c r="A19" s="163">
        <f>ELEC!C19</f>
        <v>44608</v>
      </c>
      <c r="B19" s="617">
        <v>1111071</v>
      </c>
      <c r="C19" s="254">
        <f t="shared" si="0"/>
        <v>213</v>
      </c>
      <c r="D19" s="295">
        <f t="shared" si="12"/>
        <v>213</v>
      </c>
      <c r="E19" s="295">
        <f t="shared" si="13"/>
        <v>1111071</v>
      </c>
      <c r="F19" s="617">
        <v>160915</v>
      </c>
      <c r="G19" s="160">
        <f t="shared" si="1"/>
        <v>61</v>
      </c>
      <c r="H19" s="617">
        <v>549420</v>
      </c>
      <c r="I19" s="161">
        <f t="shared" si="2"/>
        <v>80</v>
      </c>
      <c r="J19" s="617">
        <v>400735</v>
      </c>
      <c r="K19" s="162">
        <f t="shared" si="8"/>
        <v>72</v>
      </c>
      <c r="L19" s="284">
        <f>SUM(G19*$Y$28)/1507.5</f>
        <v>12.948590381426202</v>
      </c>
      <c r="M19" s="284">
        <f>SUM(I19*$Y$27)/1507.5</f>
        <v>5.9436152570480925</v>
      </c>
      <c r="N19" s="284">
        <f>SUM(K19*$Y$26)/1507.5</f>
        <v>3.8208955223880596</v>
      </c>
      <c r="O19" s="284">
        <f>($AC$29/$A$37)/1507.5</f>
        <v>171.38907841743662</v>
      </c>
      <c r="P19" s="285">
        <f>SUM(L19:O19)</f>
        <v>194.10217957829897</v>
      </c>
      <c r="Q19" s="285">
        <f>SUM(-tanks!AX21*tanks!$AU$37)</f>
        <v>1512.2902096774212</v>
      </c>
      <c r="R19" s="285">
        <f>SUM(P19:Q19)</f>
        <v>1706.3923892557202</v>
      </c>
      <c r="S19" s="287">
        <f>SUM(ELEC!N19)</f>
        <v>5334</v>
      </c>
      <c r="T19" s="321">
        <f>IF(S19&gt;0,R19/S19,0)</f>
        <v>0.319908584412396</v>
      </c>
      <c r="V19" s="226"/>
      <c r="W19" s="227"/>
      <c r="X19" s="227"/>
      <c r="Y19" s="227"/>
      <c r="Z19" s="227"/>
      <c r="AA19" s="172" t="str">
        <f>'[2]EDl log'!AA36</f>
        <v>$ without VAT</v>
      </c>
      <c r="AB19" s="172">
        <f>'[2]EDl log'!AB36</f>
        <v>5021.8646766169159</v>
      </c>
      <c r="AC19" s="172">
        <f>'[2]EDl log'!AC36</f>
        <v>0</v>
      </c>
    </row>
    <row r="20" spans="1:32" ht="20.100000000000001" customHeight="1" thickBot="1">
      <c r="A20" s="163">
        <f>ELEC!C20</f>
        <v>44609</v>
      </c>
      <c r="B20" s="617">
        <f t="shared" si="11"/>
        <v>1111071</v>
      </c>
      <c r="C20" s="254">
        <f t="shared" si="0"/>
        <v>0</v>
      </c>
      <c r="D20" s="295">
        <f t="shared" si="12"/>
        <v>0</v>
      </c>
      <c r="E20" s="295">
        <v>160188</v>
      </c>
      <c r="F20" s="617">
        <f t="shared" si="7"/>
        <v>160915</v>
      </c>
      <c r="G20" s="160">
        <f t="shared" si="1"/>
        <v>0</v>
      </c>
      <c r="H20" s="617">
        <f t="shared" si="14"/>
        <v>549420</v>
      </c>
      <c r="I20" s="161">
        <f t="shared" si="2"/>
        <v>0</v>
      </c>
      <c r="J20" s="617">
        <f t="shared" si="15"/>
        <v>400735</v>
      </c>
      <c r="K20" s="162">
        <f t="shared" si="8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171.38907841743662</v>
      </c>
      <c r="P20" s="285">
        <f t="shared" si="9"/>
        <v>171.38907841743662</v>
      </c>
      <c r="Q20" s="285">
        <f>SUM(-tanks!AX22*tanks!$AU$37)</f>
        <v>-96.164172043017942</v>
      </c>
      <c r="R20" s="285">
        <f t="shared" si="10"/>
        <v>75.22490637441868</v>
      </c>
      <c r="S20" s="287">
        <f>SUM(ELEC!N20)</f>
        <v>4858</v>
      </c>
      <c r="T20" s="321">
        <f t="shared" si="16"/>
        <v>1.548474812153534E-2</v>
      </c>
      <c r="AB20" s="527"/>
    </row>
    <row r="21" spans="1:32" ht="20.100000000000001" customHeight="1">
      <c r="A21" s="163">
        <f>ELEC!C21</f>
        <v>44610</v>
      </c>
      <c r="B21" s="617">
        <f t="shared" si="11"/>
        <v>1111071</v>
      </c>
      <c r="C21" s="254">
        <f t="shared" si="0"/>
        <v>0</v>
      </c>
      <c r="D21" s="295">
        <f t="shared" si="12"/>
        <v>0</v>
      </c>
      <c r="E21" s="295">
        <f t="shared" si="13"/>
        <v>1111071</v>
      </c>
      <c r="F21" s="617">
        <f t="shared" si="7"/>
        <v>160915</v>
      </c>
      <c r="G21" s="160">
        <f t="shared" si="1"/>
        <v>0</v>
      </c>
      <c r="H21" s="617">
        <f t="shared" si="14"/>
        <v>549420</v>
      </c>
      <c r="I21" s="161">
        <f t="shared" si="2"/>
        <v>0</v>
      </c>
      <c r="J21" s="617">
        <f t="shared" si="15"/>
        <v>400735</v>
      </c>
      <c r="K21" s="162">
        <f t="shared" si="8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171.38907841743662</v>
      </c>
      <c r="P21" s="285">
        <f t="shared" si="9"/>
        <v>171.38907841743662</v>
      </c>
      <c r="Q21" s="285">
        <f>SUM(-tanks!AX23*tanks!$AU$37)</f>
        <v>0</v>
      </c>
      <c r="R21" s="285">
        <f t="shared" si="10"/>
        <v>171.38907841743662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44249</v>
      </c>
      <c r="X21" s="168"/>
      <c r="Y21" s="168"/>
      <c r="Z21" s="169" t="s">
        <v>201</v>
      </c>
      <c r="AA21" s="168"/>
      <c r="AB21" s="658"/>
      <c r="AC21" s="659"/>
    </row>
    <row r="22" spans="1:32" ht="20.100000000000001" customHeight="1">
      <c r="A22" s="163">
        <f>ELEC!C22</f>
        <v>44611</v>
      </c>
      <c r="B22" s="617">
        <f t="shared" si="11"/>
        <v>1111071</v>
      </c>
      <c r="C22" s="254">
        <f t="shared" si="0"/>
        <v>0</v>
      </c>
      <c r="D22" s="295">
        <f t="shared" si="12"/>
        <v>0</v>
      </c>
      <c r="E22" s="295">
        <f t="shared" si="13"/>
        <v>1111071</v>
      </c>
      <c r="F22" s="617">
        <f t="shared" si="7"/>
        <v>160915</v>
      </c>
      <c r="G22" s="160">
        <f t="shared" si="1"/>
        <v>0</v>
      </c>
      <c r="H22" s="617">
        <f t="shared" si="14"/>
        <v>549420</v>
      </c>
      <c r="I22" s="161">
        <f t="shared" si="2"/>
        <v>0</v>
      </c>
      <c r="J22" s="617">
        <f t="shared" si="15"/>
        <v>400735</v>
      </c>
      <c r="K22" s="162">
        <f t="shared" si="8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171.38907841743662</v>
      </c>
      <c r="P22" s="285">
        <f t="shared" si="9"/>
        <v>171.38907841743662</v>
      </c>
      <c r="Q22" s="285">
        <f>SUM(-tanks!AX24*tanks!$AU$37)</f>
        <v>0</v>
      </c>
      <c r="R22" s="285">
        <f t="shared" si="10"/>
        <v>171.38907841743662</v>
      </c>
      <c r="S22" s="287">
        <f>SUM(ELEC!N22)</f>
        <v>0</v>
      </c>
      <c r="T22" s="321">
        <f t="shared" si="16"/>
        <v>0</v>
      </c>
      <c r="V22" s="652"/>
      <c r="W22" s="653"/>
      <c r="X22" s="653"/>
      <c r="Y22" s="654"/>
      <c r="Z22" s="26" t="s">
        <v>202</v>
      </c>
      <c r="AA22" s="26">
        <v>5000</v>
      </c>
      <c r="AB22" s="660"/>
      <c r="AC22" s="661"/>
    </row>
    <row r="23" spans="1:32" ht="20.100000000000001" customHeight="1">
      <c r="A23" s="163">
        <f>ELEC!C23</f>
        <v>44612</v>
      </c>
      <c r="B23" s="617">
        <f t="shared" si="11"/>
        <v>1111071</v>
      </c>
      <c r="C23" s="254">
        <f t="shared" si="0"/>
        <v>0</v>
      </c>
      <c r="D23" s="295">
        <f t="shared" si="12"/>
        <v>0</v>
      </c>
      <c r="E23" s="295">
        <f t="shared" si="13"/>
        <v>1111071</v>
      </c>
      <c r="F23" s="617">
        <f t="shared" si="7"/>
        <v>160915</v>
      </c>
      <c r="G23" s="160">
        <f t="shared" si="1"/>
        <v>0</v>
      </c>
      <c r="H23" s="617">
        <f t="shared" si="14"/>
        <v>549420</v>
      </c>
      <c r="I23" s="161">
        <f t="shared" si="2"/>
        <v>0</v>
      </c>
      <c r="J23" s="617">
        <f t="shared" si="15"/>
        <v>400735</v>
      </c>
      <c r="K23" s="162">
        <f t="shared" si="8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171.38907841743662</v>
      </c>
      <c r="P23" s="285">
        <f t="shared" si="9"/>
        <v>171.38907841743662</v>
      </c>
      <c r="Q23" s="285">
        <f>SUM(-tanks!AX25*tanks!$AU$37)</f>
        <v>512.93317741936926</v>
      </c>
      <c r="R23" s="285">
        <f t="shared" si="10"/>
        <v>684.32225583680588</v>
      </c>
      <c r="S23" s="287">
        <f>SUM(ELEC!N23)</f>
        <v>6585</v>
      </c>
      <c r="T23" s="321">
        <f t="shared" si="16"/>
        <v>0.10392137522199026</v>
      </c>
      <c r="V23" s="655"/>
      <c r="W23" s="656"/>
      <c r="X23" s="656"/>
      <c r="Y23" s="657"/>
      <c r="Z23" s="664"/>
      <c r="AA23" s="665"/>
      <c r="AB23" s="660"/>
      <c r="AC23" s="661"/>
    </row>
    <row r="24" spans="1:32" ht="20.100000000000001" customHeight="1">
      <c r="A24" s="163">
        <f>ELEC!C24</f>
        <v>44613</v>
      </c>
      <c r="B24" s="617">
        <f t="shared" si="11"/>
        <v>1111071</v>
      </c>
      <c r="C24" s="254">
        <f t="shared" si="0"/>
        <v>0</v>
      </c>
      <c r="D24" s="295">
        <f t="shared" si="12"/>
        <v>0</v>
      </c>
      <c r="E24" s="295">
        <f t="shared" si="13"/>
        <v>1111071</v>
      </c>
      <c r="F24" s="617">
        <f t="shared" si="7"/>
        <v>160915</v>
      </c>
      <c r="G24" s="160">
        <f t="shared" si="1"/>
        <v>0</v>
      </c>
      <c r="H24" s="617">
        <f t="shared" si="14"/>
        <v>549420</v>
      </c>
      <c r="I24" s="161">
        <f t="shared" si="2"/>
        <v>0</v>
      </c>
      <c r="J24" s="617">
        <f t="shared" si="15"/>
        <v>400735</v>
      </c>
      <c r="K24" s="162">
        <f t="shared" si="8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171.38907841743662</v>
      </c>
      <c r="P24" s="285">
        <f t="shared" si="9"/>
        <v>171.38907841743662</v>
      </c>
      <c r="Q24" s="285">
        <f>SUM(-tanks!AX26*tanks!$AU$37)</f>
        <v>1611.7371935483784</v>
      </c>
      <c r="R24" s="285">
        <f t="shared" si="10"/>
        <v>1783.126271965815</v>
      </c>
      <c r="S24" s="287">
        <f>SUM(ELEC!N24)</f>
        <v>5728</v>
      </c>
      <c r="T24" s="321">
        <f t="shared" si="16"/>
        <v>0.31129997764766326</v>
      </c>
      <c r="V24" s="647" t="s">
        <v>203</v>
      </c>
      <c r="W24" s="648"/>
      <c r="X24" s="649" t="s">
        <v>204</v>
      </c>
      <c r="Y24" s="650"/>
      <c r="Z24" s="651"/>
      <c r="AA24" s="170"/>
      <c r="AB24" s="662"/>
      <c r="AC24" s="663"/>
    </row>
    <row r="25" spans="1:32" ht="20.100000000000001" customHeight="1">
      <c r="A25" s="163">
        <f>ELEC!C25</f>
        <v>44614</v>
      </c>
      <c r="B25" s="617">
        <v>1111428</v>
      </c>
      <c r="C25" s="254">
        <f t="shared" si="0"/>
        <v>357</v>
      </c>
      <c r="D25" s="295">
        <f t="shared" si="12"/>
        <v>357</v>
      </c>
      <c r="E25" s="295">
        <f t="shared" si="13"/>
        <v>1111428</v>
      </c>
      <c r="F25" s="617">
        <v>160998</v>
      </c>
      <c r="G25" s="160">
        <f t="shared" si="1"/>
        <v>83</v>
      </c>
      <c r="H25" s="617">
        <v>549526</v>
      </c>
      <c r="I25" s="161">
        <f t="shared" si="2"/>
        <v>106</v>
      </c>
      <c r="J25" s="617">
        <v>400903</v>
      </c>
      <c r="K25" s="162">
        <f t="shared" si="8"/>
        <v>168</v>
      </c>
      <c r="L25" s="284">
        <f t="shared" si="17"/>
        <v>17.618573797678277</v>
      </c>
      <c r="M25" s="284">
        <f t="shared" si="18"/>
        <v>7.8752902155887234</v>
      </c>
      <c r="N25" s="284">
        <f t="shared" si="19"/>
        <v>8.9154228855721396</v>
      </c>
      <c r="O25" s="284">
        <f t="shared" si="6"/>
        <v>171.38907841743662</v>
      </c>
      <c r="P25" s="285">
        <f t="shared" si="9"/>
        <v>205.79836531627575</v>
      </c>
      <c r="Q25" s="285">
        <f>SUM(-tanks!AX27*tanks!$AU$37)</f>
        <v>2057.360387096779</v>
      </c>
      <c r="R25" s="285">
        <f t="shared" si="10"/>
        <v>2263.1587524130546</v>
      </c>
      <c r="S25" s="287">
        <f>SUM(ELEC!N25)</f>
        <v>7227</v>
      </c>
      <c r="T25" s="321">
        <f t="shared" si="16"/>
        <v>0.31315327970292717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44615</v>
      </c>
      <c r="B26" s="617">
        <v>1111659</v>
      </c>
      <c r="C26" s="254">
        <f t="shared" si="0"/>
        <v>231</v>
      </c>
      <c r="D26" s="295">
        <f t="shared" si="12"/>
        <v>232</v>
      </c>
      <c r="E26" s="295">
        <f t="shared" si="13"/>
        <v>1111660</v>
      </c>
      <c r="F26" s="617">
        <f t="shared" si="7"/>
        <v>160998</v>
      </c>
      <c r="G26" s="160">
        <f t="shared" si="1"/>
        <v>0</v>
      </c>
      <c r="H26" s="617">
        <v>549685</v>
      </c>
      <c r="I26" s="161">
        <f t="shared" si="2"/>
        <v>159</v>
      </c>
      <c r="J26" s="617">
        <v>400976</v>
      </c>
      <c r="K26" s="162">
        <f t="shared" si="8"/>
        <v>73</v>
      </c>
      <c r="L26" s="284">
        <f t="shared" si="17"/>
        <v>0</v>
      </c>
      <c r="M26" s="284">
        <f t="shared" si="18"/>
        <v>11.812935323383085</v>
      </c>
      <c r="N26" s="284">
        <f t="shared" si="19"/>
        <v>3.8739635157545607</v>
      </c>
      <c r="O26" s="284">
        <f t="shared" si="6"/>
        <v>171.38907841743662</v>
      </c>
      <c r="P26" s="285">
        <f t="shared" si="9"/>
        <v>187.07597725657428</v>
      </c>
      <c r="Q26" s="285">
        <f>SUM(-tanks!AX28*tanks!$AU$37)</f>
        <v>1629.3607096774156</v>
      </c>
      <c r="R26" s="285">
        <f t="shared" si="10"/>
        <v>1816.4366869339899</v>
      </c>
      <c r="S26" s="287">
        <f>SUM(ELEC!N26)</f>
        <v>6719</v>
      </c>
      <c r="T26" s="321">
        <f t="shared" si="16"/>
        <v>0.27034330807173534</v>
      </c>
      <c r="V26" s="246">
        <f>W9</f>
        <v>400529</v>
      </c>
      <c r="W26" s="170">
        <f>J31</f>
        <v>400976</v>
      </c>
      <c r="X26" s="172" t="s">
        <v>199</v>
      </c>
      <c r="Y26" s="172">
        <v>80</v>
      </c>
      <c r="Z26" s="172">
        <v>1</v>
      </c>
      <c r="AA26" s="323">
        <f>(W26-V26)*Z26</f>
        <v>447</v>
      </c>
      <c r="AB26" s="323">
        <f>AA26*Y26</f>
        <v>35760</v>
      </c>
      <c r="AC26" s="244">
        <f>AC9</f>
        <v>1033333</v>
      </c>
      <c r="AD26" s="476">
        <f>SUM(K36)</f>
        <v>0.18244897959183676</v>
      </c>
    </row>
    <row r="27" spans="1:32" ht="20.100000000000001" customHeight="1">
      <c r="A27" s="163">
        <f>ELEC!C27</f>
        <v>44616</v>
      </c>
      <c r="B27" s="617">
        <v>1111792</v>
      </c>
      <c r="C27" s="254">
        <f t="shared" si="0"/>
        <v>133</v>
      </c>
      <c r="D27" s="295">
        <f t="shared" si="12"/>
        <v>132</v>
      </c>
      <c r="E27" s="295">
        <f t="shared" si="13"/>
        <v>1111791</v>
      </c>
      <c r="F27" s="617">
        <v>161035</v>
      </c>
      <c r="G27" s="160">
        <f t="shared" si="1"/>
        <v>37</v>
      </c>
      <c r="H27" s="617">
        <v>549780</v>
      </c>
      <c r="I27" s="161">
        <f t="shared" si="2"/>
        <v>95</v>
      </c>
      <c r="J27" s="617">
        <f t="shared" si="15"/>
        <v>400976</v>
      </c>
      <c r="K27" s="162">
        <f t="shared" si="8"/>
        <v>0</v>
      </c>
      <c r="L27" s="284">
        <f t="shared" si="17"/>
        <v>7.8540630182421225</v>
      </c>
      <c r="M27" s="284">
        <f t="shared" si="18"/>
        <v>7.0580431177446101</v>
      </c>
      <c r="N27" s="284">
        <f t="shared" si="19"/>
        <v>0</v>
      </c>
      <c r="O27" s="284">
        <f t="shared" si="6"/>
        <v>171.38907841743662</v>
      </c>
      <c r="P27" s="285">
        <f t="shared" si="9"/>
        <v>186.30118455342335</v>
      </c>
      <c r="Q27" s="285">
        <f>SUM(-tanks!AX29*tanks!$AU$37)</f>
        <v>2086.4367204301179</v>
      </c>
      <c r="R27" s="285">
        <f t="shared" si="10"/>
        <v>2272.7379049835413</v>
      </c>
      <c r="S27" s="287">
        <f>SUM(ELEC!N27)</f>
        <v>6653</v>
      </c>
      <c r="T27" s="321">
        <f t="shared" si="16"/>
        <v>0.34161098827349184</v>
      </c>
      <c r="V27" s="246">
        <f>W10</f>
        <v>548374</v>
      </c>
      <c r="W27" s="170">
        <f>H31</f>
        <v>549780</v>
      </c>
      <c r="X27" s="172" t="s">
        <v>212</v>
      </c>
      <c r="Y27" s="172">
        <v>112</v>
      </c>
      <c r="Z27" s="172">
        <v>1</v>
      </c>
      <c r="AA27" s="323">
        <f>(W27-V27)*Z27</f>
        <v>1406</v>
      </c>
      <c r="AB27" s="323">
        <f>SUM(AA27*Y27)</f>
        <v>157472</v>
      </c>
      <c r="AC27" s="244">
        <f>AC10</f>
        <v>6200000</v>
      </c>
      <c r="AD27" s="476">
        <f>SUM(I36)</f>
        <v>0.57387755102040816</v>
      </c>
    </row>
    <row r="28" spans="1:32" ht="20.100000000000001" customHeight="1">
      <c r="A28" s="163">
        <f>ELEC!C28</f>
        <v>44617</v>
      </c>
      <c r="B28" s="617">
        <f t="shared" si="11"/>
        <v>1111792</v>
      </c>
      <c r="C28" s="254">
        <f t="shared" si="0"/>
        <v>0</v>
      </c>
      <c r="D28" s="295">
        <f t="shared" si="12"/>
        <v>0</v>
      </c>
      <c r="E28" s="295">
        <f>B27+D28</f>
        <v>1111792</v>
      </c>
      <c r="F28" s="617">
        <f t="shared" si="7"/>
        <v>161035</v>
      </c>
      <c r="G28" s="160">
        <f t="shared" si="1"/>
        <v>0</v>
      </c>
      <c r="H28" s="617">
        <f t="shared" si="14"/>
        <v>549780</v>
      </c>
      <c r="I28" s="161">
        <f t="shared" si="2"/>
        <v>0</v>
      </c>
      <c r="J28" s="617">
        <f t="shared" si="15"/>
        <v>400976</v>
      </c>
      <c r="K28" s="162">
        <f t="shared" si="8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171.38907841743662</v>
      </c>
      <c r="P28" s="285">
        <f t="shared" si="9"/>
        <v>171.38907841743662</v>
      </c>
      <c r="Q28" s="285">
        <f>SUM(-tanks!AX30*tanks!$AU$37)</f>
        <v>0</v>
      </c>
      <c r="R28" s="285">
        <f t="shared" si="10"/>
        <v>171.38907841743662</v>
      </c>
      <c r="S28" s="287">
        <f>SUM(ELEC!N28)</f>
        <v>0</v>
      </c>
      <c r="T28" s="321">
        <f t="shared" si="16"/>
        <v>0</v>
      </c>
      <c r="V28" s="246">
        <f>W11</f>
        <v>160439</v>
      </c>
      <c r="W28" s="170">
        <f>F31</f>
        <v>161035</v>
      </c>
      <c r="X28" s="172" t="s">
        <v>197</v>
      </c>
      <c r="Y28" s="172">
        <v>320</v>
      </c>
      <c r="Z28" s="172">
        <v>1</v>
      </c>
      <c r="AA28" s="323">
        <f>(W28-V28)*Z28</f>
        <v>596</v>
      </c>
      <c r="AB28" s="323">
        <f>SUM(AA28*Y28)</f>
        <v>190720</v>
      </c>
      <c r="AC28" s="244">
        <f>AC11</f>
        <v>1000</v>
      </c>
      <c r="AD28" s="476">
        <f>SUM(G36)</f>
        <v>0.24326530612244898</v>
      </c>
      <c r="AE28" s="40">
        <f>SUM(AB28*5%)</f>
        <v>9536</v>
      </c>
      <c r="AF28" s="82">
        <f>SUM(AE28/7)*31</f>
        <v>42230.857142857138</v>
      </c>
    </row>
    <row r="29" spans="1:32" ht="20.100000000000001" customHeight="1">
      <c r="A29" s="163">
        <f>ELEC!C29</f>
        <v>44618</v>
      </c>
      <c r="B29" s="617">
        <f t="shared" si="11"/>
        <v>1111792</v>
      </c>
      <c r="C29" s="254">
        <f t="shared" si="0"/>
        <v>0</v>
      </c>
      <c r="D29" s="295">
        <f t="shared" si="12"/>
        <v>0</v>
      </c>
      <c r="E29" s="295">
        <f>B28+D29</f>
        <v>1111792</v>
      </c>
      <c r="F29" s="617">
        <f t="shared" si="7"/>
        <v>161035</v>
      </c>
      <c r="G29" s="160">
        <f t="shared" si="1"/>
        <v>0</v>
      </c>
      <c r="H29" s="617">
        <f t="shared" si="14"/>
        <v>549780</v>
      </c>
      <c r="I29" s="161">
        <f t="shared" si="2"/>
        <v>0</v>
      </c>
      <c r="J29" s="617">
        <f t="shared" si="15"/>
        <v>400976</v>
      </c>
      <c r="K29" s="162">
        <f t="shared" si="8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171.38907841743662</v>
      </c>
      <c r="P29" s="285">
        <f t="shared" si="9"/>
        <v>171.38907841743662</v>
      </c>
      <c r="Q29" s="285">
        <f>SUM(-tanks!AX31*tanks!$AU$37)</f>
        <v>0</v>
      </c>
      <c r="R29" s="285">
        <f t="shared" si="10"/>
        <v>171.38907841743662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2449</v>
      </c>
      <c r="AB29" s="323">
        <f>SUM(AB26:AB28)</f>
        <v>383952</v>
      </c>
      <c r="AC29" s="244">
        <f>SUM(AC26:AC28)</f>
        <v>7234333</v>
      </c>
    </row>
    <row r="30" spans="1:32" ht="20.100000000000001" customHeight="1">
      <c r="A30" s="163">
        <f>ELEC!C30</f>
        <v>44619</v>
      </c>
      <c r="B30" s="617">
        <f t="shared" si="11"/>
        <v>1111792</v>
      </c>
      <c r="C30" s="254">
        <f t="shared" si="0"/>
        <v>0</v>
      </c>
      <c r="D30" s="295">
        <f t="shared" si="12"/>
        <v>0</v>
      </c>
      <c r="E30" s="295">
        <f t="shared" si="13"/>
        <v>1111792</v>
      </c>
      <c r="F30" s="617">
        <f t="shared" si="7"/>
        <v>161035</v>
      </c>
      <c r="G30" s="160">
        <f t="shared" si="1"/>
        <v>0</v>
      </c>
      <c r="H30" s="617">
        <f t="shared" si="14"/>
        <v>549780</v>
      </c>
      <c r="I30" s="161">
        <f t="shared" si="2"/>
        <v>0</v>
      </c>
      <c r="J30" s="617">
        <f t="shared" si="15"/>
        <v>400976</v>
      </c>
      <c r="K30" s="162">
        <f t="shared" si="8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171.38907841743662</v>
      </c>
      <c r="P30" s="285">
        <f t="shared" si="9"/>
        <v>171.38907841743662</v>
      </c>
      <c r="Q30" s="285">
        <f>SUM(-tanks!AX32*tanks!$AU$37)</f>
        <v>0</v>
      </c>
      <c r="R30" s="285">
        <f t="shared" si="10"/>
        <v>171.38907841743662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7618285</v>
      </c>
      <c r="AC30" s="244"/>
    </row>
    <row r="31" spans="1:32" ht="20.100000000000001" customHeight="1">
      <c r="A31" s="163">
        <f>ELEC!C31</f>
        <v>44620</v>
      </c>
      <c r="B31" s="617">
        <f t="shared" si="11"/>
        <v>1111792</v>
      </c>
      <c r="C31" s="254">
        <f>SUM(B31-B30)</f>
        <v>0</v>
      </c>
      <c r="D31" s="295">
        <f t="shared" si="12"/>
        <v>0</v>
      </c>
      <c r="E31" s="295">
        <f>B30+D31</f>
        <v>1111792</v>
      </c>
      <c r="F31" s="617">
        <f t="shared" si="7"/>
        <v>161035</v>
      </c>
      <c r="G31" s="160">
        <f>F31-F30</f>
        <v>0</v>
      </c>
      <c r="H31" s="617">
        <f t="shared" si="14"/>
        <v>549780</v>
      </c>
      <c r="I31" s="161">
        <f>H31-H30</f>
        <v>0</v>
      </c>
      <c r="J31" s="617">
        <f t="shared" si="15"/>
        <v>400976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171.38907841743662</v>
      </c>
      <c r="P31" s="285">
        <f>SUM(L31:O31)</f>
        <v>171.38907841743662</v>
      </c>
      <c r="Q31" s="285">
        <f>SUM(-tanks!AX33*tanks!$AU$37)</f>
        <v>0</v>
      </c>
      <c r="R31" s="285">
        <f>SUM(P31:Q31)</f>
        <v>171.38907841743662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/>
      <c r="B32" s="617"/>
      <c r="C32" s="254"/>
      <c r="D32" s="295"/>
      <c r="E32" s="295"/>
      <c r="F32" s="617"/>
      <c r="G32" s="160"/>
      <c r="H32" s="617"/>
      <c r="I32" s="161"/>
      <c r="J32" s="617"/>
      <c r="K32" s="162"/>
      <c r="L32" s="284"/>
      <c r="M32" s="284"/>
      <c r="N32" s="284"/>
      <c r="O32" s="284"/>
      <c r="P32" s="285"/>
      <c r="Q32" s="285"/>
      <c r="R32" s="285"/>
      <c r="S32" s="287"/>
      <c r="T32" s="321"/>
      <c r="V32" s="216" t="s">
        <v>315</v>
      </c>
      <c r="W32" s="541">
        <f>'Utility Cost '!B18</f>
        <v>197</v>
      </c>
      <c r="X32" s="222">
        <f>SUM(W32/A35)</f>
        <v>19.7</v>
      </c>
      <c r="Y32" s="250">
        <f>SUM(X32/1)</f>
        <v>19.7</v>
      </c>
      <c r="Z32" s="3"/>
      <c r="AA32" s="323"/>
      <c r="AB32" s="323"/>
      <c r="AC32" s="244"/>
    </row>
    <row r="33" spans="1:32" ht="20.100000000000001" customHeight="1">
      <c r="A33" s="163"/>
      <c r="B33" s="617"/>
      <c r="C33" s="254"/>
      <c r="D33" s="295"/>
      <c r="E33" s="295"/>
      <c r="F33" s="617"/>
      <c r="G33" s="160"/>
      <c r="H33" s="617"/>
      <c r="I33" s="161"/>
      <c r="J33" s="617"/>
      <c r="K33" s="162"/>
      <c r="L33" s="284"/>
      <c r="M33" s="284"/>
      <c r="N33" s="284"/>
      <c r="O33" s="284"/>
      <c r="P33" s="285"/>
      <c r="Q33" s="285"/>
      <c r="R33" s="285"/>
      <c r="S33" s="287"/>
      <c r="T33" s="321"/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838011.35</v>
      </c>
      <c r="AC33" s="244">
        <f>SUM(AC29)</f>
        <v>7234333</v>
      </c>
    </row>
    <row r="34" spans="1:32" ht="20.100000000000001" customHeight="1">
      <c r="A34" s="163"/>
      <c r="B34" s="617"/>
      <c r="C34" s="254"/>
      <c r="D34" s="295"/>
      <c r="E34" s="295"/>
      <c r="F34" s="617"/>
      <c r="G34" s="160"/>
      <c r="H34" s="617"/>
      <c r="I34" s="161"/>
      <c r="J34" s="617"/>
      <c r="K34" s="162"/>
      <c r="L34" s="284"/>
      <c r="M34" s="284"/>
      <c r="N34" s="284"/>
      <c r="O34" s="284"/>
      <c r="P34" s="285"/>
      <c r="Q34" s="285"/>
      <c r="R34" s="285"/>
      <c r="S34" s="287"/>
      <c r="T34" s="321"/>
      <c r="V34" s="216" t="s">
        <v>414</v>
      </c>
      <c r="Z34" s="3"/>
      <c r="AA34" s="3"/>
      <c r="AB34" s="504">
        <f>AB30+AB33</f>
        <v>8456296.3499999996</v>
      </c>
      <c r="AC34" s="244">
        <f>SUM(AC30)</f>
        <v>0</v>
      </c>
    </row>
    <row r="35" spans="1:32" ht="15.75" thickBot="1">
      <c r="A35" s="501">
        <f>A37-COUNTIF(C4:C31,0)</f>
        <v>10</v>
      </c>
      <c r="C35" s="173">
        <f>SUM(C4:C34)/A35</f>
        <v>245</v>
      </c>
      <c r="D35" s="173"/>
      <c r="E35" s="173"/>
      <c r="F35" s="568"/>
      <c r="G35" s="568">
        <f>SUM(G4:G34)/A35</f>
        <v>59.6</v>
      </c>
      <c r="H35" s="173"/>
      <c r="I35" s="173">
        <f>SUM(I4:I34)/A35</f>
        <v>140.6</v>
      </c>
      <c r="K35" s="173">
        <f>SUM(K4:K34)/A35</f>
        <v>44.7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0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0.99959183673469387</v>
      </c>
      <c r="G36" s="225">
        <f>IF(C35&gt;0,G35/C35,0)</f>
        <v>0.24326530612244898</v>
      </c>
      <c r="H36" s="212"/>
      <c r="I36" s="225">
        <f>SUM(I35/C35)</f>
        <v>0.57387755102040816</v>
      </c>
      <c r="J36" s="212"/>
      <c r="K36" s="225">
        <f>SUM(K35/C35)</f>
        <v>0.18244897959183676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5053.5887230514099</v>
      </c>
      <c r="AC36" s="533"/>
    </row>
    <row r="37" spans="1:32" ht="15.75" thickBot="1">
      <c r="A37">
        <v>28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5053.5887230514099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6"/>
      <c r="AC45" s="666"/>
      <c r="AD45" s="543"/>
      <c r="AE45" s="17"/>
      <c r="AF45" s="17"/>
    </row>
    <row r="46" spans="1:32">
      <c r="V46" s="666"/>
      <c r="W46" s="666"/>
      <c r="X46" s="666"/>
      <c r="Y46" s="666"/>
      <c r="Z46" s="508"/>
      <c r="AA46" s="508"/>
      <c r="AB46" s="666"/>
      <c r="AC46" s="666"/>
      <c r="AD46" s="543"/>
      <c r="AE46" s="17"/>
      <c r="AF46" s="17"/>
    </row>
    <row r="47" spans="1:32">
      <c r="V47" s="666"/>
      <c r="W47" s="666"/>
      <c r="X47" s="666"/>
      <c r="Y47" s="666"/>
      <c r="Z47" s="666"/>
      <c r="AA47" s="666"/>
      <c r="AB47" s="666"/>
      <c r="AC47" s="666"/>
      <c r="AD47" s="543"/>
      <c r="AE47" s="17"/>
      <c r="AF47" s="17"/>
    </row>
    <row r="48" spans="1:32">
      <c r="V48" s="667"/>
      <c r="W48" s="667"/>
      <c r="X48" s="668"/>
      <c r="Y48" s="668"/>
      <c r="Z48" s="668"/>
      <c r="AA48" s="509"/>
      <c r="AB48" s="666"/>
      <c r="AC48" s="666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G30" sqref="G30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44593</v>
      </c>
      <c r="B5" s="37">
        <v>17</v>
      </c>
      <c r="C5" s="37">
        <v>12</v>
      </c>
      <c r="D5" s="26">
        <f t="shared" ref="D5:D11" si="0">(C5+B5)/2</f>
        <v>14.5</v>
      </c>
      <c r="E5" s="325">
        <v>0.59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44594</v>
      </c>
      <c r="B6" s="37">
        <v>19</v>
      </c>
      <c r="C6" s="37">
        <v>11</v>
      </c>
      <c r="D6" s="26">
        <f t="shared" si="0"/>
        <v>15</v>
      </c>
      <c r="E6" s="325">
        <v>0.48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44595</v>
      </c>
      <c r="B7" s="37">
        <v>19</v>
      </c>
      <c r="C7" s="37">
        <v>11</v>
      </c>
      <c r="D7" s="26">
        <f t="shared" si="0"/>
        <v>15</v>
      </c>
      <c r="E7" s="325">
        <v>0.5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44596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44597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44598</v>
      </c>
      <c r="B10" s="37">
        <v>17</v>
      </c>
      <c r="C10" s="37">
        <v>12</v>
      </c>
      <c r="D10" s="26">
        <f t="shared" si="0"/>
        <v>14.5</v>
      </c>
      <c r="E10" s="378">
        <v>0.7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44599</v>
      </c>
      <c r="B11" s="37">
        <v>17</v>
      </c>
      <c r="C11" s="37">
        <v>13</v>
      </c>
      <c r="D11" s="26">
        <f t="shared" si="0"/>
        <v>15</v>
      </c>
      <c r="E11" s="378">
        <v>0.83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44600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44601</v>
      </c>
      <c r="B13" s="37">
        <v>21</v>
      </c>
      <c r="C13" s="37">
        <v>10</v>
      </c>
      <c r="D13" s="26">
        <f t="shared" ref="D13:D32" si="3">(C13+B13)/2</f>
        <v>15.5</v>
      </c>
      <c r="E13" s="325">
        <v>0.59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44602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44603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44604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44605</v>
      </c>
      <c r="B17" s="37">
        <v>17</v>
      </c>
      <c r="C17" s="37">
        <v>12</v>
      </c>
      <c r="D17" s="26">
        <f t="shared" si="3"/>
        <v>14.5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44606</v>
      </c>
      <c r="B18" s="37">
        <v>18</v>
      </c>
      <c r="C18" s="37">
        <v>12</v>
      </c>
      <c r="D18" s="26">
        <f t="shared" si="3"/>
        <v>15</v>
      </c>
      <c r="E18" s="325">
        <v>0.65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44607</v>
      </c>
      <c r="B19" s="37">
        <v>17</v>
      </c>
      <c r="C19" s="37">
        <v>14</v>
      </c>
      <c r="D19" s="26">
        <f t="shared" si="3"/>
        <v>15.5</v>
      </c>
      <c r="E19" s="325">
        <v>0.66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44608</v>
      </c>
      <c r="B20" s="37">
        <v>17</v>
      </c>
      <c r="C20" s="37">
        <v>13</v>
      </c>
      <c r="D20" s="26">
        <f>(C20+B20)/2</f>
        <v>15</v>
      </c>
      <c r="E20" s="325">
        <v>0.63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44609</v>
      </c>
      <c r="B21" s="37">
        <v>18</v>
      </c>
      <c r="C21" s="37">
        <v>12</v>
      </c>
      <c r="D21" s="26">
        <f t="shared" si="3"/>
        <v>15</v>
      </c>
      <c r="E21" s="325">
        <v>0.52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44610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44611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44612</v>
      </c>
      <c r="B24" s="37">
        <v>18</v>
      </c>
      <c r="C24" s="37">
        <v>13</v>
      </c>
      <c r="D24" s="26">
        <f t="shared" si="3"/>
        <v>15.5</v>
      </c>
      <c r="E24" s="325">
        <v>0.65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44613</v>
      </c>
      <c r="B25" s="37">
        <v>19</v>
      </c>
      <c r="C25" s="37">
        <v>13</v>
      </c>
      <c r="D25" s="26">
        <f t="shared" si="3"/>
        <v>16</v>
      </c>
      <c r="E25" s="325">
        <v>0.61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44614</v>
      </c>
      <c r="B26" s="37">
        <v>23</v>
      </c>
      <c r="C26" s="37">
        <v>14</v>
      </c>
      <c r="D26" s="26">
        <f t="shared" si="3"/>
        <v>18.5</v>
      </c>
      <c r="E26" s="378">
        <v>0.41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44615</v>
      </c>
      <c r="B27" s="37">
        <v>25</v>
      </c>
      <c r="C27" s="37">
        <v>14</v>
      </c>
      <c r="D27" s="26">
        <f t="shared" si="3"/>
        <v>19.5</v>
      </c>
      <c r="E27" s="378">
        <v>0.46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44616</v>
      </c>
      <c r="B28" s="37">
        <v>26</v>
      </c>
      <c r="C28" s="37">
        <v>12</v>
      </c>
      <c r="D28" s="26">
        <f t="shared" si="3"/>
        <v>19</v>
      </c>
      <c r="E28" s="325">
        <v>0.56000000000000005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44617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44618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44619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44620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/>
      <c r="B33" s="37"/>
      <c r="C33" s="37"/>
      <c r="D33" s="26"/>
      <c r="E33" s="378"/>
      <c r="F33" s="327"/>
      <c r="G33" s="238"/>
      <c r="H33" s="3"/>
      <c r="I33" s="3"/>
      <c r="J33" s="37"/>
      <c r="K33" s="253"/>
      <c r="L33" s="3"/>
      <c r="M33" s="3"/>
      <c r="N33" s="155"/>
      <c r="O33" s="3"/>
    </row>
    <row r="34" spans="1:15">
      <c r="A34" s="459"/>
      <c r="B34" s="37"/>
      <c r="C34" s="37"/>
      <c r="D34" s="26"/>
      <c r="E34" s="378"/>
      <c r="F34" s="327"/>
      <c r="G34" s="238"/>
      <c r="H34" s="3"/>
      <c r="I34" s="3"/>
      <c r="J34" s="37"/>
      <c r="K34" s="253"/>
      <c r="L34" s="3"/>
      <c r="M34" s="3"/>
      <c r="N34" s="155"/>
      <c r="O34" s="3"/>
    </row>
    <row r="35" spans="1:15">
      <c r="A35" s="459"/>
      <c r="B35" s="37"/>
      <c r="C35" s="37"/>
      <c r="D35" s="26"/>
      <c r="E35" s="378"/>
      <c r="F35" s="327"/>
      <c r="G35" s="238"/>
      <c r="H35" s="3"/>
      <c r="I35" s="3"/>
      <c r="J35" s="37"/>
      <c r="K35" s="253"/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25.3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7726.7999999998137</v>
      </c>
      <c r="D2" s="3">
        <f>C2-E2</f>
        <v>1540.7999999983003</v>
      </c>
      <c r="E2" s="3">
        <f>ELEC!Q4</f>
        <v>6186.0000000015134</v>
      </c>
      <c r="F2" s="3">
        <f>GEN!Z2</f>
        <v>9</v>
      </c>
      <c r="G2" s="3">
        <f>WATER!C5+WATER!H5</f>
        <v>0</v>
      </c>
      <c r="H2" s="3">
        <f>WATER!L5</f>
        <v>0</v>
      </c>
      <c r="I2" s="15">
        <f>WATER!BC5+WATER!BD5+WATER!BE6-Sheet1!G2</f>
        <v>-10.100000000000009</v>
      </c>
      <c r="J2" s="9">
        <f>'B5'!A4</f>
        <v>44592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4558</v>
      </c>
      <c r="D3" s="3">
        <f t="shared" ref="D3:D30" si="0">C3-E3</f>
        <v>-1012.9999999999127</v>
      </c>
      <c r="E3" s="3">
        <f>ELEC!Q5</f>
        <v>5570.9999999999127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-13.800000000000026</v>
      </c>
      <c r="J3" s="9">
        <f>'B5'!A5</f>
        <v>44593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5673</v>
      </c>
      <c r="D4" s="3">
        <f t="shared" si="0"/>
        <v>143.00000000116415</v>
      </c>
      <c r="E4" s="3">
        <f>ELEC!Q6</f>
        <v>5529.9999999988358</v>
      </c>
      <c r="F4" s="3">
        <f>GEN!Z4</f>
        <v>11</v>
      </c>
      <c r="G4" s="3">
        <f>WATER!C7+WATER!H7</f>
        <v>0</v>
      </c>
      <c r="H4" s="3">
        <f>WATER!L7</f>
        <v>0</v>
      </c>
      <c r="I4" s="15">
        <f>WATER!BC7+WATER!BD7+WATER!BE8-Sheet1!G4</f>
        <v>-13.800000000000011</v>
      </c>
      <c r="J4" s="9">
        <f>'B5'!A6</f>
        <v>44594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-6.9000000000000057</v>
      </c>
      <c r="J5" s="9">
        <f>'B5'!A7</f>
        <v>44595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-7200.0000000007276</v>
      </c>
      <c r="E6" s="3">
        <f>ELEC!Q25</f>
        <v>7200.0000000007276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44596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7240.3999999999069</v>
      </c>
      <c r="D7" s="3">
        <f t="shared" si="0"/>
        <v>-7.5999999996856786</v>
      </c>
      <c r="E7" s="3">
        <f>ELEC!Q9</f>
        <v>7247.9999999995925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-8.6999999999999602</v>
      </c>
      <c r="J7" s="9">
        <f>'B5'!A9</f>
        <v>44597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5591.6000000000931</v>
      </c>
      <c r="D8" s="3">
        <f t="shared" si="0"/>
        <v>38.600000000209548</v>
      </c>
      <c r="E8" s="3">
        <f>ELEC!Q10</f>
        <v>5552.9999999998836</v>
      </c>
      <c r="F8" s="3">
        <f>GEN!Z8</f>
        <v>15</v>
      </c>
      <c r="G8" s="3">
        <f>WATER!C11+WATER!H11</f>
        <v>0</v>
      </c>
      <c r="H8" s="3">
        <f>WATER!L11</f>
        <v>1</v>
      </c>
      <c r="I8" s="15">
        <f>WATER!BC11+WATER!BD11+WATER!BE12-Sheet1!G8</f>
        <v>-15.59999999999998</v>
      </c>
      <c r="J8" s="9">
        <f>'B5'!A10</f>
        <v>44598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1</v>
      </c>
      <c r="I9" s="15">
        <f>WATER!BC12+WATER!BD12+WATER!BE13-Sheet1!G9</f>
        <v>-6.9000000000000199</v>
      </c>
      <c r="J9" s="9">
        <f>'B5'!A11</f>
        <v>44599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4598</v>
      </c>
      <c r="D10" s="3">
        <f t="shared" si="0"/>
        <v>191.0000000007567</v>
      </c>
      <c r="E10" s="3">
        <f>ELEC!Q12</f>
        <v>4406.9999999992433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-5.8000000000000114</v>
      </c>
      <c r="J10" s="9">
        <f>'B5'!A12</f>
        <v>44600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5970</v>
      </c>
      <c r="D11" s="3">
        <f t="shared" si="0"/>
        <v>382.00000000026193</v>
      </c>
      <c r="E11" s="3">
        <f>ELEC!Q13</f>
        <v>5587.9999999997381</v>
      </c>
      <c r="F11" s="3">
        <f>GEN!Z11</f>
        <v>10</v>
      </c>
      <c r="G11" s="3">
        <f>WATER!C14+WATER!H14</f>
        <v>0</v>
      </c>
      <c r="H11" s="3">
        <f>WATER!L14</f>
        <v>0</v>
      </c>
      <c r="I11" s="15">
        <f>WATER!BC14+WATER!BD14+WATER!BE15-Sheet1!G11</f>
        <v>-12.699999999999989</v>
      </c>
      <c r="J11" s="9">
        <f>'B5'!A13</f>
        <v>44601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10</v>
      </c>
      <c r="G12" s="3">
        <f>WATER!C15+WATER!H15</f>
        <v>0</v>
      </c>
      <c r="H12" s="3">
        <f>WATER!L15</f>
        <v>0</v>
      </c>
      <c r="I12" s="15">
        <f>WATER!BC15+WATER!BD15+WATER!BE16-Sheet1!G12</f>
        <v>-6.8999999999999773</v>
      </c>
      <c r="J12" s="9">
        <f>'B5'!A14</f>
        <v>44602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44603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6925</v>
      </c>
      <c r="D14" s="3">
        <f t="shared" si="0"/>
        <v>411.99999999735155</v>
      </c>
      <c r="E14" s="3">
        <f>ELEC!Q16</f>
        <v>6513.0000000026484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-18.099999999999994</v>
      </c>
      <c r="J14" s="9">
        <f>'B5'!A16</f>
        <v>44604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6020</v>
      </c>
      <c r="D15" s="3">
        <f t="shared" si="0"/>
        <v>-78.999999998341082</v>
      </c>
      <c r="E15" s="3">
        <f>ELEC!Q17</f>
        <v>6098.9999999983411</v>
      </c>
      <c r="F15" s="3">
        <f>GEN!Z15</f>
        <v>13</v>
      </c>
      <c r="G15" s="3">
        <f>WATER!C18+WATER!H18</f>
        <v>0</v>
      </c>
      <c r="H15" s="3">
        <f>WATER!L18</f>
        <v>0</v>
      </c>
      <c r="I15" s="15">
        <f>WATER!BC18+WATER!BD18+WATER!BE19-Sheet1!G15</f>
        <v>59.799999999999969</v>
      </c>
      <c r="J15" s="9">
        <f>'B5'!A17</f>
        <v>44605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5276</v>
      </c>
      <c r="D16" s="3">
        <f t="shared" si="0"/>
        <v>230.0000000015425</v>
      </c>
      <c r="E16" s="3">
        <f>ELEC!Q18</f>
        <v>5045.9999999984575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54.3</v>
      </c>
      <c r="J16" s="9">
        <f>'B5'!A18</f>
        <v>44606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5334</v>
      </c>
      <c r="D17" s="3">
        <f t="shared" si="0"/>
        <v>165.9999999985157</v>
      </c>
      <c r="E17" s="3">
        <f>ELEC!Q19</f>
        <v>5168.0000000014843</v>
      </c>
      <c r="F17" s="3">
        <f>GEN!Z17</f>
        <v>10</v>
      </c>
      <c r="G17" s="3">
        <f>WATER!C20+WATER!H20</f>
        <v>179</v>
      </c>
      <c r="H17" s="3">
        <f>WATER!L20</f>
        <v>0</v>
      </c>
      <c r="I17" s="15">
        <f>WATER!BC20+WATER!BD20+WATER!BE21-Sheet1!G17</f>
        <v>-185.9</v>
      </c>
      <c r="J17" s="9">
        <f>'B5'!A19</f>
        <v>44607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4858</v>
      </c>
      <c r="D18" s="3">
        <f t="shared" si="0"/>
        <v>235.00000000040745</v>
      </c>
      <c r="E18" s="3">
        <f>ELEC!Q20</f>
        <v>4622.9999999995925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-5.1000000000000227</v>
      </c>
      <c r="J18" s="9">
        <f>'B5'!A20</f>
        <v>44608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-2.8999999999999773</v>
      </c>
      <c r="J19" s="9">
        <f>'B5'!A21</f>
        <v>44609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44610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6585</v>
      </c>
      <c r="D21" s="3">
        <f t="shared" si="0"/>
        <v>77.999999998573912</v>
      </c>
      <c r="E21" s="3">
        <f>ELEC!Q23</f>
        <v>6507.0000000014261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25.800000000000011</v>
      </c>
      <c r="J21" s="9">
        <f>'B5'!A23</f>
        <v>44611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5728</v>
      </c>
      <c r="D22" s="3">
        <f t="shared" si="0"/>
        <v>128.00000000145519</v>
      </c>
      <c r="E22" s="3">
        <f>ELEC!Q24</f>
        <v>5599.9999999985448</v>
      </c>
      <c r="F22" s="3">
        <f>GEN!Z22</f>
        <v>13</v>
      </c>
      <c r="G22" s="3">
        <f>WATER!C25+WATER!H25</f>
        <v>81</v>
      </c>
      <c r="H22" s="3">
        <f>WATER!L25</f>
        <v>10</v>
      </c>
      <c r="I22" s="15">
        <f>WATER!BC25+WATER!BD25+WATER!BE26-Sheet1!G22</f>
        <v>-105.60000000000001</v>
      </c>
      <c r="J22" s="9">
        <f>'B5'!A24</f>
        <v>44612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7227</v>
      </c>
      <c r="D23" s="3">
        <f t="shared" si="0"/>
        <v>26.999999999272404</v>
      </c>
      <c r="E23" s="3">
        <f>ELEC!Q25</f>
        <v>7200.0000000007276</v>
      </c>
      <c r="F23" s="3">
        <f>GEN!Z23</f>
        <v>10</v>
      </c>
      <c r="G23" s="3">
        <f>WATER!C26+WATER!H26</f>
        <v>0</v>
      </c>
      <c r="H23" s="3">
        <f>WATER!L26</f>
        <v>2</v>
      </c>
      <c r="I23" s="15">
        <f>WATER!BC26+WATER!BD26+WATER!BE27-Sheet1!G23</f>
        <v>76.499999999999986</v>
      </c>
      <c r="J23" s="9">
        <f>'B5'!A25</f>
        <v>44613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6719</v>
      </c>
      <c r="D24" s="3">
        <f t="shared" si="0"/>
        <v>3.9999999998544808</v>
      </c>
      <c r="E24" s="3">
        <f>ELEC!Q26</f>
        <v>6715.0000000001455</v>
      </c>
      <c r="F24" s="3">
        <f>GEN!Z24</f>
        <v>15</v>
      </c>
      <c r="G24" s="3">
        <f>WATER!C27+WATER!H27</f>
        <v>0</v>
      </c>
      <c r="H24" s="3">
        <f>WATER!L27</f>
        <v>0</v>
      </c>
      <c r="I24" s="15">
        <f>WATER!BC27+WATER!BD27+WATER!BE28-Sheet1!G24</f>
        <v>42.899999999999977</v>
      </c>
      <c r="J24" s="9">
        <f>'B5'!A26</f>
        <v>44614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6653</v>
      </c>
      <c r="D25" s="3">
        <f t="shared" si="0"/>
        <v>302.00000000125146</v>
      </c>
      <c r="E25" s="3">
        <f>ELEC!Q27</f>
        <v>6350.9999999987485</v>
      </c>
      <c r="F25" s="3">
        <f>GEN!Z25</f>
        <v>13</v>
      </c>
      <c r="G25" s="3">
        <f>WATER!C28+WATER!H28</f>
        <v>120</v>
      </c>
      <c r="H25" s="3">
        <f>WATER!L28</f>
        <v>0</v>
      </c>
      <c r="I25" s="15">
        <f>WATER!BC28+WATER!BD28+WATER!BE29-Sheet1!G25</f>
        <v>-119.59999999999997</v>
      </c>
      <c r="J25" s="9">
        <f>'B5'!A27</f>
        <v>44615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13</v>
      </c>
      <c r="G26" s="3">
        <f>WATER!C29+WATER!H29</f>
        <v>29</v>
      </c>
      <c r="H26" s="3">
        <f>WATER!L29</f>
        <v>0</v>
      </c>
      <c r="I26" s="15">
        <f>WATER!BC29+WATER!BD29+WATER!BE30-Sheet1!G26</f>
        <v>-31.899999999999977</v>
      </c>
      <c r="J26" s="9">
        <f>'B5'!A28</f>
        <v>44616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44617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44618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44619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44620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9" t="s">
        <v>119</v>
      </c>
      <c r="C1" s="679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76" t="s">
        <v>115</v>
      </c>
      <c r="I1" s="677" t="s">
        <v>116</v>
      </c>
      <c r="J1" s="676" t="s">
        <v>117</v>
      </c>
      <c r="K1" s="675" t="s">
        <v>121</v>
      </c>
      <c r="L1" s="675" t="s">
        <v>122</v>
      </c>
      <c r="M1" s="675" t="s">
        <v>123</v>
      </c>
      <c r="N1" s="675" t="s">
        <v>124</v>
      </c>
    </row>
    <row r="2" spans="1:14">
      <c r="A2" s="682"/>
      <c r="B2" s="680"/>
      <c r="C2" s="680"/>
      <c r="D2" s="683"/>
      <c r="E2" s="683"/>
      <c r="F2" s="684"/>
      <c r="G2" s="685"/>
      <c r="H2" s="676"/>
      <c r="I2" s="678"/>
      <c r="J2" s="676"/>
      <c r="K2" s="675"/>
      <c r="L2" s="675"/>
      <c r="M2" s="675"/>
      <c r="N2" s="67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44593</v>
      </c>
      <c r="B5" s="76">
        <f>'B5'!V5</f>
        <v>485</v>
      </c>
      <c r="C5" s="76">
        <f>'B5'!AH5</f>
        <v>0</v>
      </c>
      <c r="D5" s="76">
        <f>GEN!AI3</f>
        <v>1592.177215190263</v>
      </c>
      <c r="E5" s="239">
        <f t="shared" ref="E5:E33" si="0">B5+C5+D5</f>
        <v>2077.1772151902633</v>
      </c>
      <c r="F5" s="75">
        <f>WATER!L5</f>
        <v>0</v>
      </c>
      <c r="G5" s="78">
        <f>WATER!BG5</f>
        <v>-3.1999999999999886</v>
      </c>
      <c r="H5" s="79">
        <f>ELEC!AF4</f>
        <v>0</v>
      </c>
      <c r="I5" s="79">
        <f>ELEC!Q4</f>
        <v>6186.0000000015134</v>
      </c>
      <c r="J5" s="79">
        <f>ELEC!R4</f>
        <v>1540.7999999983003</v>
      </c>
      <c r="K5" s="80"/>
      <c r="L5" s="3"/>
      <c r="M5" s="3"/>
      <c r="N5" s="3"/>
    </row>
    <row r="6" spans="1:14">
      <c r="A6" s="63">
        <f>'B5'!A6</f>
        <v>44594</v>
      </c>
      <c r="B6" s="76">
        <f>'B5'!V6</f>
        <v>503</v>
      </c>
      <c r="C6" s="76">
        <f>'B5'!AH6</f>
        <v>0</v>
      </c>
      <c r="D6" s="76">
        <f>GEN!AI4</f>
        <v>1433.8860759493448</v>
      </c>
      <c r="E6" s="239">
        <f t="shared" si="0"/>
        <v>1936.8860759493448</v>
      </c>
      <c r="F6" s="75">
        <f>WATER!L6</f>
        <v>0</v>
      </c>
      <c r="G6" s="78">
        <f>WATER!BG6</f>
        <v>-6.9000000000000199</v>
      </c>
      <c r="H6" s="79">
        <f>ELEC!AF5</f>
        <v>0</v>
      </c>
      <c r="I6" s="79">
        <f>ELEC!Q5</f>
        <v>5570.9999999999127</v>
      </c>
      <c r="J6" s="79">
        <f>ELEC!R5</f>
        <v>-1012.9999999999127</v>
      </c>
      <c r="K6" s="3"/>
      <c r="L6" s="3"/>
      <c r="M6" s="3"/>
      <c r="N6" s="3"/>
    </row>
    <row r="7" spans="1:14">
      <c r="A7" s="63">
        <f>'B5'!A7</f>
        <v>44595</v>
      </c>
      <c r="B7" s="76">
        <f>'B5'!V7</f>
        <v>323</v>
      </c>
      <c r="C7" s="76">
        <f>'B5'!AH7</f>
        <v>0</v>
      </c>
      <c r="D7" s="76">
        <f>GEN!AI5</f>
        <v>1423.3333333330338</v>
      </c>
      <c r="E7" s="239">
        <f t="shared" si="0"/>
        <v>1746.3333333330338</v>
      </c>
      <c r="F7" s="75">
        <f>WATER!L7</f>
        <v>0</v>
      </c>
      <c r="G7" s="78">
        <f>WATER!BG7</f>
        <v>-6.9000000000000057</v>
      </c>
      <c r="H7" s="79">
        <f>ELEC!AF6</f>
        <v>0</v>
      </c>
      <c r="I7" s="79">
        <f>ELEC!Q6</f>
        <v>5529.9999999988358</v>
      </c>
      <c r="J7" s="79">
        <f>ELEC!R6</f>
        <v>143.00000000116415</v>
      </c>
      <c r="K7" s="3"/>
      <c r="L7" s="3"/>
      <c r="M7" s="3"/>
      <c r="N7" s="3"/>
    </row>
    <row r="8" spans="1:14">
      <c r="A8" s="63">
        <f>'B5'!A8</f>
        <v>44596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-6.9000000000000057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44597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44598</v>
      </c>
      <c r="B10" s="76">
        <f>'B5'!V10</f>
        <v>396</v>
      </c>
      <c r="C10" s="76">
        <f>'B5'!AH10</f>
        <v>0</v>
      </c>
      <c r="D10" s="76">
        <f>GEN!AI8</f>
        <v>1865.5189873416675</v>
      </c>
      <c r="E10" s="239">
        <f t="shared" si="0"/>
        <v>2261.5189873416675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7247.9999999995925</v>
      </c>
      <c r="J10" s="79">
        <f>ELEC!R9</f>
        <v>-7.5999999996856786</v>
      </c>
      <c r="K10" s="3"/>
      <c r="L10" s="3"/>
      <c r="M10" s="3"/>
      <c r="N10" s="3"/>
    </row>
    <row r="11" spans="1:14">
      <c r="A11" s="63">
        <f>'B5'!A11</f>
        <v>44599</v>
      </c>
      <c r="B11" s="76">
        <f>'B5'!V11</f>
        <v>581</v>
      </c>
      <c r="C11" s="76">
        <f>'B5'!AH11</f>
        <v>0</v>
      </c>
      <c r="D11" s="76">
        <f>GEN!AI9</f>
        <v>1429.2531645569322</v>
      </c>
      <c r="E11" s="239">
        <f t="shared" si="0"/>
        <v>2010.2531645569322</v>
      </c>
      <c r="F11" s="75">
        <f>WATER!L11</f>
        <v>1</v>
      </c>
      <c r="G11" s="78">
        <f>WATER!BG11</f>
        <v>-8.6999999999999602</v>
      </c>
      <c r="H11" s="79">
        <f>ELEC!AF10</f>
        <v>0</v>
      </c>
      <c r="I11" s="79">
        <f>ELEC!Q10</f>
        <v>5552.9999999998836</v>
      </c>
      <c r="J11" s="79">
        <f>ELEC!R10</f>
        <v>38.600000000209548</v>
      </c>
      <c r="K11" s="3"/>
      <c r="L11" s="3"/>
      <c r="M11" s="3"/>
      <c r="N11" s="3"/>
    </row>
    <row r="12" spans="1:14">
      <c r="A12" s="63">
        <f>'B5'!A12</f>
        <v>44600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1</v>
      </c>
      <c r="G12" s="78">
        <f>WATER!BG12</f>
        <v>-6.9000000000000199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44601</v>
      </c>
      <c r="B13" s="76">
        <f>'B5'!V13</f>
        <v>295</v>
      </c>
      <c r="C13" s="76">
        <f>'B5'!AH13</f>
        <v>0</v>
      </c>
      <c r="D13" s="76">
        <f>GEN!AI11</f>
        <v>1134.2911392403116</v>
      </c>
      <c r="E13" s="239">
        <f t="shared" si="0"/>
        <v>1429.2911392403116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4406.9999999992433</v>
      </c>
      <c r="J13" s="79">
        <f>ELEC!R12</f>
        <v>191.0000000007567</v>
      </c>
      <c r="K13" s="3"/>
      <c r="L13" s="3"/>
      <c r="M13" s="3"/>
      <c r="N13" s="3"/>
    </row>
    <row r="14" spans="1:14">
      <c r="A14" s="63">
        <f>'B5'!A14</f>
        <v>44602</v>
      </c>
      <c r="B14" s="76">
        <f>'B5'!V14</f>
        <v>435</v>
      </c>
      <c r="C14" s="76">
        <f>'B5'!AH14</f>
        <v>0</v>
      </c>
      <c r="D14" s="76">
        <f>GEN!AI12</f>
        <v>1438.26160337546</v>
      </c>
      <c r="E14" s="239">
        <f t="shared" si="0"/>
        <v>1873.26160337546</v>
      </c>
      <c r="F14" s="75">
        <f>WATER!L14</f>
        <v>0</v>
      </c>
      <c r="G14" s="78">
        <f>WATER!BG14</f>
        <v>-5.8000000000000114</v>
      </c>
      <c r="H14" s="79">
        <f>ELEC!AF13</f>
        <v>0</v>
      </c>
      <c r="I14" s="79">
        <f>ELEC!Q13</f>
        <v>5587.9999999997381</v>
      </c>
      <c r="J14" s="79">
        <f>ELEC!R13</f>
        <v>382.00000000026193</v>
      </c>
      <c r="K14" s="3"/>
      <c r="L14" s="3"/>
      <c r="M14" s="3"/>
      <c r="N14" s="3"/>
    </row>
    <row r="15" spans="1:14">
      <c r="A15" s="63">
        <f>'B5'!A15</f>
        <v>44603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-6.8999999999999773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44604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44605</v>
      </c>
      <c r="B17" s="76">
        <f>'B5'!V17</f>
        <v>591</v>
      </c>
      <c r="C17" s="76">
        <f>'B5'!AH17</f>
        <v>0</v>
      </c>
      <c r="D17" s="76">
        <f>GEN!AI15</f>
        <v>1676.3417721525805</v>
      </c>
      <c r="E17" s="239">
        <f t="shared" si="0"/>
        <v>2267.3417721525802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6513.0000000026484</v>
      </c>
      <c r="J17" s="79">
        <f>ELEC!R16</f>
        <v>411.99999999735155</v>
      </c>
      <c r="K17" s="3"/>
      <c r="L17" s="3"/>
      <c r="M17" s="3"/>
      <c r="N17" s="3"/>
    </row>
    <row r="18" spans="1:14">
      <c r="A18" s="63">
        <f>'B5'!A18</f>
        <v>44606</v>
      </c>
      <c r="B18" s="76">
        <f>'B5'!V18</f>
        <v>330</v>
      </c>
      <c r="C18" s="76">
        <f>'B5'!AH18</f>
        <v>0</v>
      </c>
      <c r="D18" s="76">
        <f>GEN!AI16</f>
        <v>1569.7848101261554</v>
      </c>
      <c r="E18" s="239">
        <f t="shared" si="0"/>
        <v>1899.7848101261554</v>
      </c>
      <c r="F18" s="75">
        <f>WATER!L18</f>
        <v>0</v>
      </c>
      <c r="G18" s="78">
        <f>WATER!BG18</f>
        <v>-18.099999999999994</v>
      </c>
      <c r="H18" s="79">
        <f>ELEC!AF17</f>
        <v>0</v>
      </c>
      <c r="I18" s="79">
        <f>ELEC!Q17</f>
        <v>6098.9999999983411</v>
      </c>
      <c r="J18" s="79">
        <f>ELEC!R17</f>
        <v>-78.999999998341082</v>
      </c>
      <c r="K18" s="3"/>
      <c r="L18" s="3"/>
      <c r="M18" s="3"/>
      <c r="N18" s="3"/>
    </row>
    <row r="19" spans="1:14">
      <c r="A19" s="63">
        <f>'B5'!A19</f>
        <v>44607</v>
      </c>
      <c r="B19" s="76">
        <f>'B5'!V19</f>
        <v>306</v>
      </c>
      <c r="C19" s="76">
        <f>'B5'!AH19</f>
        <v>0</v>
      </c>
      <c r="D19" s="76">
        <f>GEN!AI17</f>
        <v>1298.7594936704891</v>
      </c>
      <c r="E19" s="239">
        <f t="shared" si="0"/>
        <v>1604.7594936704891</v>
      </c>
      <c r="F19" s="75">
        <f>WATER!L19</f>
        <v>0</v>
      </c>
      <c r="G19" s="78">
        <f>WATER!BG19</f>
        <v>-4.0000000000000426</v>
      </c>
      <c r="H19" s="79">
        <f>ELEC!AF18</f>
        <v>0</v>
      </c>
      <c r="I19" s="79">
        <f>ELEC!Q18</f>
        <v>5045.9999999984575</v>
      </c>
      <c r="J19" s="79">
        <f>ELEC!R18</f>
        <v>230.0000000015425</v>
      </c>
      <c r="K19" s="3"/>
      <c r="L19" s="3"/>
      <c r="M19" s="3"/>
      <c r="N19" s="3"/>
    </row>
    <row r="20" spans="1:14">
      <c r="A20" s="63">
        <f>'B5'!A20</f>
        <v>44608</v>
      </c>
      <c r="B20" s="76">
        <f>'B5'!V20</f>
        <v>407</v>
      </c>
      <c r="C20" s="76">
        <f>'B5'!AH20</f>
        <v>0</v>
      </c>
      <c r="D20" s="76">
        <f>GEN!AI18</f>
        <v>1330.1603375531247</v>
      </c>
      <c r="E20" s="239">
        <f t="shared" si="0"/>
        <v>1737.1603375531247</v>
      </c>
      <c r="F20" s="75">
        <f>WATER!L20</f>
        <v>0</v>
      </c>
      <c r="G20" s="78">
        <f>WATER!BG20</f>
        <v>58.30000000000004</v>
      </c>
      <c r="H20" s="79">
        <f>ELEC!AF19</f>
        <v>0</v>
      </c>
      <c r="I20" s="79">
        <f>ELEC!Q19</f>
        <v>5168.0000000014843</v>
      </c>
      <c r="J20" s="79">
        <f>ELEC!R19</f>
        <v>165.9999999985157</v>
      </c>
      <c r="K20" s="3"/>
      <c r="L20" s="3"/>
      <c r="M20" s="3"/>
      <c r="N20" s="3"/>
    </row>
    <row r="21" spans="1:14">
      <c r="A21" s="63">
        <f>'B5'!A21</f>
        <v>44609</v>
      </c>
      <c r="B21" s="76">
        <f>'B5'!V21</f>
        <v>232</v>
      </c>
      <c r="C21" s="76">
        <f>'B5'!AH21</f>
        <v>0</v>
      </c>
      <c r="D21" s="76">
        <f>GEN!AI19</f>
        <v>1189.8860759492622</v>
      </c>
      <c r="E21" s="239">
        <f t="shared" si="0"/>
        <v>1421.8860759492622</v>
      </c>
      <c r="F21" s="75">
        <f>WATER!L21</f>
        <v>0</v>
      </c>
      <c r="G21" s="78">
        <f>WATER!BG21</f>
        <v>-4.0000000000000284</v>
      </c>
      <c r="H21" s="79">
        <f>ELEC!AF20</f>
        <v>0</v>
      </c>
      <c r="I21" s="79">
        <f>ELEC!Q20</f>
        <v>4622.9999999995925</v>
      </c>
      <c r="J21" s="79">
        <f>ELEC!R20</f>
        <v>235.00000000040745</v>
      </c>
      <c r="K21" s="3"/>
      <c r="L21" s="3"/>
      <c r="M21" s="3"/>
      <c r="N21" s="3"/>
    </row>
    <row r="22" spans="1:14">
      <c r="A22" s="63">
        <f>'B5'!A22</f>
        <v>44610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-1.0999999999999943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44611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44612</v>
      </c>
      <c r="B24" s="76">
        <f>'B5'!V24</f>
        <v>436</v>
      </c>
      <c r="C24" s="76">
        <f>'B5'!AH24</f>
        <v>0</v>
      </c>
      <c r="D24" s="76">
        <f>GEN!AI22</f>
        <v>1674.7974683547975</v>
      </c>
      <c r="E24" s="239">
        <f t="shared" si="0"/>
        <v>2110.7974683547973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6507.0000000014261</v>
      </c>
      <c r="J24" s="79">
        <f>ELEC!R23</f>
        <v>77.999999998573912</v>
      </c>
      <c r="K24" s="3"/>
      <c r="L24" s="3"/>
      <c r="M24" s="3"/>
      <c r="N24" s="3"/>
    </row>
    <row r="25" spans="1:14">
      <c r="A25" s="63">
        <f>'B5'!A25</f>
        <v>44613</v>
      </c>
      <c r="B25" s="76">
        <f>'B5'!V25</f>
        <v>422</v>
      </c>
      <c r="C25" s="76">
        <f>'B5'!AH25</f>
        <v>0</v>
      </c>
      <c r="D25" s="76">
        <f>GEN!AI23</f>
        <v>1441.3502109700896</v>
      </c>
      <c r="E25" s="239">
        <f t="shared" si="0"/>
        <v>1863.3502109700896</v>
      </c>
      <c r="F25" s="75">
        <f>WATER!L25</f>
        <v>10</v>
      </c>
      <c r="G25" s="78">
        <f>WATER!BG25</f>
        <v>25.800000000000011</v>
      </c>
      <c r="H25" s="79">
        <f>ELEC!AF24</f>
        <v>0</v>
      </c>
      <c r="I25" s="79">
        <f>ELEC!Q24</f>
        <v>5599.9999999985448</v>
      </c>
      <c r="J25" s="79">
        <f>ELEC!R24</f>
        <v>128.00000000145519</v>
      </c>
      <c r="K25" s="3"/>
      <c r="L25" s="3"/>
      <c r="M25" s="3"/>
      <c r="N25" s="3"/>
    </row>
    <row r="26" spans="1:14">
      <c r="A26" s="63">
        <f>'B5'!A26</f>
        <v>44614</v>
      </c>
      <c r="B26" s="76">
        <f>'B5'!V26</f>
        <v>378</v>
      </c>
      <c r="C26" s="76">
        <f>'B5'!AH26</f>
        <v>0</v>
      </c>
      <c r="D26" s="76">
        <f>GEN!AI24</f>
        <v>1853.1645569622128</v>
      </c>
      <c r="E26" s="239">
        <f t="shared" si="0"/>
        <v>2231.1645569622128</v>
      </c>
      <c r="F26" s="75">
        <f>WATER!L26</f>
        <v>2</v>
      </c>
      <c r="G26" s="78">
        <f>WATER!BG26</f>
        <v>-9.0000000000000142</v>
      </c>
      <c r="H26" s="79">
        <f>ELEC!AF25</f>
        <v>0</v>
      </c>
      <c r="I26" s="79">
        <f>ELEC!Q25</f>
        <v>7200.0000000007276</v>
      </c>
      <c r="J26" s="79">
        <f>ELEC!R25</f>
        <v>26.999999999272404</v>
      </c>
      <c r="K26" s="3"/>
      <c r="L26" s="3"/>
      <c r="M26" s="3"/>
      <c r="N26" s="3"/>
    </row>
    <row r="27" spans="1:14">
      <c r="A27" s="63">
        <f>'B5'!A27</f>
        <v>44615</v>
      </c>
      <c r="B27" s="76">
        <f>'B5'!V27</f>
        <v>324</v>
      </c>
      <c r="C27" s="76">
        <f>'B5'!AH27</f>
        <v>0</v>
      </c>
      <c r="D27" s="76">
        <f>GEN!AI25</f>
        <v>1728.333333333371</v>
      </c>
      <c r="E27" s="239">
        <f t="shared" si="0"/>
        <v>2052.3333333333712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6715.0000000001455</v>
      </c>
      <c r="J27" s="79">
        <f>ELEC!R26</f>
        <v>3.9999999998544808</v>
      </c>
      <c r="K27" s="3"/>
      <c r="L27" s="3"/>
      <c r="M27" s="3"/>
      <c r="N27" s="3"/>
    </row>
    <row r="28" spans="1:14">
      <c r="A28" s="63">
        <f>'B5'!A28</f>
        <v>44616</v>
      </c>
      <c r="B28" s="76">
        <f>'B5'!V28</f>
        <v>270</v>
      </c>
      <c r="C28" s="76">
        <f>'B5'!AH28</f>
        <v>0</v>
      </c>
      <c r="D28" s="76">
        <f>GEN!AI26</f>
        <v>1634.6455696199312</v>
      </c>
      <c r="E28" s="239">
        <f t="shared" si="0"/>
        <v>1904.6455696199312</v>
      </c>
      <c r="F28" s="75">
        <f>WATER!L28</f>
        <v>0</v>
      </c>
      <c r="G28" s="78">
        <f>WATER!BG28</f>
        <v>42.899999999999977</v>
      </c>
      <c r="H28" s="79">
        <f>ELEC!AF27</f>
        <v>0</v>
      </c>
      <c r="I28" s="79">
        <f>ELEC!Q27</f>
        <v>6350.9999999987485</v>
      </c>
      <c r="J28" s="79">
        <f>ELEC!R27</f>
        <v>302.00000000125146</v>
      </c>
      <c r="K28" s="3"/>
      <c r="L28" s="3"/>
      <c r="M28" s="3"/>
      <c r="N28" s="3"/>
    </row>
    <row r="29" spans="1:14">
      <c r="A29" s="63">
        <f>'B5'!A29</f>
        <v>44617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14.200000000000045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44618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44619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44620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13</v>
      </c>
    </row>
    <row r="6" spans="3:21">
      <c r="C6" s="99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7</v>
      </c>
      <c r="E12">
        <f t="shared" si="0"/>
        <v>630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8</v>
      </c>
      <c r="E18">
        <f t="shared" si="0"/>
        <v>720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5</v>
      </c>
      <c r="E19">
        <f t="shared" si="0"/>
        <v>450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4</v>
      </c>
      <c r="E20">
        <f t="shared" si="0"/>
        <v>360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5</v>
      </c>
      <c r="E21">
        <f t="shared" si="0"/>
        <v>450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3</v>
      </c>
      <c r="E22">
        <f t="shared" si="0"/>
        <v>270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6</v>
      </c>
      <c r="E25">
        <f t="shared" si="0"/>
        <v>540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6</v>
      </c>
      <c r="E26">
        <f t="shared" si="0"/>
        <v>540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5</v>
      </c>
      <c r="E28">
        <f t="shared" si="0"/>
        <v>450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3</v>
      </c>
      <c r="E29">
        <f t="shared" si="0"/>
        <v>270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28" sqref="H2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6"/>
      <c r="B4" s="594" t="s">
        <v>325</v>
      </c>
      <c r="C4" s="595" t="s">
        <v>320</v>
      </c>
      <c r="D4" s="596" t="s">
        <v>326</v>
      </c>
      <c r="E4" s="597" t="s">
        <v>325</v>
      </c>
      <c r="F4" s="596" t="s">
        <v>320</v>
      </c>
      <c r="G4" s="597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9">
        <f>'[2]Swimming Pool quality check '!$A$36</f>
        <v>44592</v>
      </c>
      <c r="B5" s="610">
        <f>'[2]Swimming Pool quality check '!B36</f>
        <v>0</v>
      </c>
      <c r="C5" s="610">
        <f>'[2]Swimming Pool quality check '!C36</f>
        <v>0</v>
      </c>
      <c r="D5" s="610">
        <f>'[2]Swimming Pool quality check '!D36</f>
        <v>0</v>
      </c>
      <c r="E5" s="610">
        <f>'[2]Swimming Pool quality check '!E36</f>
        <v>0</v>
      </c>
      <c r="F5" s="610">
        <f>'[2]Swimming Pool quality check '!F36</f>
        <v>0</v>
      </c>
      <c r="G5" s="610">
        <f>'[2]Swimming Pool quality check '!G36</f>
        <v>0</v>
      </c>
      <c r="H5" s="610">
        <f>'[2]Swimming Pool quality check '!H36</f>
        <v>7000</v>
      </c>
      <c r="I5" s="611">
        <f>'[6]Swimming Pool quality check '!I36</f>
        <v>0</v>
      </c>
      <c r="J5" s="612">
        <f>'[7]Swimming Pool quality check '!J36</f>
        <v>0.33333333333333398</v>
      </c>
      <c r="K5" s="587">
        <v>0</v>
      </c>
      <c r="L5" s="500">
        <f>A5</f>
        <v>44592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 thickBot="1">
      <c r="A6" s="606">
        <f>ELEC!C4</f>
        <v>44593</v>
      </c>
      <c r="B6" s="621">
        <v>0</v>
      </c>
      <c r="C6" s="605">
        <v>8.1999999999999993</v>
      </c>
      <c r="D6" s="622">
        <v>0</v>
      </c>
      <c r="E6" s="622">
        <v>0</v>
      </c>
      <c r="F6" s="622">
        <v>0</v>
      </c>
      <c r="G6" s="622">
        <v>0</v>
      </c>
      <c r="H6" s="622">
        <v>7001</v>
      </c>
      <c r="I6" s="607">
        <f>H6-H5</f>
        <v>1</v>
      </c>
      <c r="J6" s="608">
        <v>0.29166666666666669</v>
      </c>
      <c r="L6" s="99">
        <f t="shared" ref="L6:L33" si="0">A6</f>
        <v>44593</v>
      </c>
      <c r="M6" s="3">
        <f>M5</f>
        <v>6541</v>
      </c>
      <c r="N6" s="477"/>
      <c r="O6" s="477">
        <f>M6+N6</f>
        <v>6541</v>
      </c>
    </row>
    <row r="7" spans="1:18" ht="15.75" thickBot="1">
      <c r="A7" s="589">
        <f>ELEC!C5</f>
        <v>44594</v>
      </c>
      <c r="B7" s="621">
        <v>0</v>
      </c>
      <c r="C7" s="605">
        <v>8</v>
      </c>
      <c r="D7" s="622">
        <v>0</v>
      </c>
      <c r="E7" s="622">
        <v>0</v>
      </c>
      <c r="F7" s="622">
        <v>0</v>
      </c>
      <c r="G7" s="622">
        <v>0</v>
      </c>
      <c r="H7" s="622">
        <v>7001</v>
      </c>
      <c r="I7" s="600">
        <f>H7-H6</f>
        <v>0</v>
      </c>
      <c r="J7" s="462">
        <v>0.29166666666666669</v>
      </c>
      <c r="L7" s="99">
        <f t="shared" si="0"/>
        <v>44594</v>
      </c>
      <c r="M7" s="3">
        <f t="shared" ref="M7:M33" si="1">M6</f>
        <v>6541</v>
      </c>
      <c r="N7" s="477"/>
      <c r="O7" s="477">
        <f t="shared" ref="O7:O33" si="2">M7+N7</f>
        <v>6541</v>
      </c>
    </row>
    <row r="8" spans="1:18" ht="15.75" thickBot="1">
      <c r="A8" s="589">
        <f>ELEC!C6</f>
        <v>44595</v>
      </c>
      <c r="B8" s="602"/>
      <c r="C8" s="615"/>
      <c r="D8" s="615">
        <v>0</v>
      </c>
      <c r="E8" s="615">
        <v>0</v>
      </c>
      <c r="F8" s="615">
        <v>0</v>
      </c>
      <c r="G8" s="615">
        <v>0</v>
      </c>
      <c r="H8" s="616">
        <f t="shared" ref="H8:H33" si="3">H7</f>
        <v>7001</v>
      </c>
      <c r="I8" s="600">
        <f t="shared" ref="I8:I33" si="4">H8-H7</f>
        <v>0</v>
      </c>
      <c r="J8" s="462">
        <v>0.29166666666666669</v>
      </c>
      <c r="L8" s="99">
        <f t="shared" si="0"/>
        <v>44595</v>
      </c>
      <c r="M8" s="3">
        <f t="shared" si="1"/>
        <v>6541</v>
      </c>
      <c r="N8" s="477"/>
      <c r="O8" s="477">
        <f t="shared" si="2"/>
        <v>6541</v>
      </c>
    </row>
    <row r="9" spans="1:18" ht="15.75" thickBot="1">
      <c r="A9" s="589">
        <f>ELEC!C7</f>
        <v>44596</v>
      </c>
      <c r="B9" s="602"/>
      <c r="C9" s="615"/>
      <c r="D9" s="615">
        <v>0</v>
      </c>
      <c r="E9" s="615">
        <v>0</v>
      </c>
      <c r="F9" s="615">
        <v>0</v>
      </c>
      <c r="G9" s="615">
        <v>0</v>
      </c>
      <c r="H9" s="616">
        <f t="shared" si="3"/>
        <v>7001</v>
      </c>
      <c r="I9" s="600">
        <f t="shared" si="4"/>
        <v>0</v>
      </c>
      <c r="J9" s="462">
        <v>0.25</v>
      </c>
      <c r="L9" s="99">
        <f t="shared" si="0"/>
        <v>44596</v>
      </c>
      <c r="M9" s="3">
        <f t="shared" si="1"/>
        <v>6541</v>
      </c>
      <c r="N9" s="477"/>
      <c r="O9" s="477">
        <f t="shared" si="2"/>
        <v>6541</v>
      </c>
    </row>
    <row r="10" spans="1:18" ht="15.75" thickBot="1">
      <c r="A10" s="589">
        <f>ELEC!C8</f>
        <v>44597</v>
      </c>
      <c r="B10" s="602"/>
      <c r="C10" s="615"/>
      <c r="D10" s="615">
        <v>0</v>
      </c>
      <c r="E10" s="615">
        <v>0</v>
      </c>
      <c r="F10" s="615">
        <v>0</v>
      </c>
      <c r="G10" s="615">
        <v>0</v>
      </c>
      <c r="H10" s="616">
        <f t="shared" si="3"/>
        <v>7001</v>
      </c>
      <c r="I10" s="600">
        <f t="shared" si="4"/>
        <v>0</v>
      </c>
      <c r="J10" s="462">
        <v>0.29166666666666669</v>
      </c>
      <c r="L10" s="99">
        <f t="shared" si="0"/>
        <v>44597</v>
      </c>
      <c r="M10" s="3">
        <f t="shared" si="1"/>
        <v>6541</v>
      </c>
      <c r="N10" s="477"/>
      <c r="O10" s="477">
        <f t="shared" si="2"/>
        <v>6541</v>
      </c>
    </row>
    <row r="11" spans="1:18" ht="15.75" thickBot="1">
      <c r="A11" s="589">
        <f>ELEC!C9</f>
        <v>44598</v>
      </c>
      <c r="B11" s="602">
        <v>0</v>
      </c>
      <c r="C11" s="615">
        <v>9</v>
      </c>
      <c r="D11" s="615">
        <v>0</v>
      </c>
      <c r="E11" s="615">
        <v>0</v>
      </c>
      <c r="F11" s="615">
        <v>0</v>
      </c>
      <c r="G11" s="615">
        <v>0</v>
      </c>
      <c r="H11" s="616">
        <v>7002</v>
      </c>
      <c r="I11" s="600">
        <f t="shared" si="4"/>
        <v>1</v>
      </c>
      <c r="J11" s="462">
        <v>0.29166666666666669</v>
      </c>
      <c r="L11" s="99">
        <f t="shared" si="0"/>
        <v>44598</v>
      </c>
      <c r="M11" s="3">
        <f t="shared" si="1"/>
        <v>6541</v>
      </c>
      <c r="N11" s="477"/>
      <c r="O11" s="477">
        <f t="shared" si="2"/>
        <v>6541</v>
      </c>
    </row>
    <row r="12" spans="1:18" ht="16.5" thickBot="1">
      <c r="A12" s="589">
        <f>ELEC!C10</f>
        <v>44599</v>
      </c>
      <c r="B12" s="602">
        <v>0.5</v>
      </c>
      <c r="C12" s="615">
        <v>7.8</v>
      </c>
      <c r="D12" s="615">
        <v>0</v>
      </c>
      <c r="E12" s="615">
        <v>0</v>
      </c>
      <c r="F12" s="615">
        <v>0</v>
      </c>
      <c r="G12" s="615">
        <v>0</v>
      </c>
      <c r="H12" s="616">
        <v>7003</v>
      </c>
      <c r="I12" s="600">
        <f t="shared" si="4"/>
        <v>1</v>
      </c>
      <c r="J12" s="462">
        <v>0.29166666666666669</v>
      </c>
      <c r="L12" s="99">
        <f t="shared" si="0"/>
        <v>44599</v>
      </c>
      <c r="M12" s="3">
        <f t="shared" si="1"/>
        <v>6541</v>
      </c>
      <c r="N12" s="477"/>
      <c r="O12" s="477">
        <f t="shared" si="2"/>
        <v>6541</v>
      </c>
      <c r="P12" s="419"/>
      <c r="Q12" s="342"/>
      <c r="R12" s="342"/>
    </row>
    <row r="13" spans="1:18" ht="15.75" thickBot="1">
      <c r="A13" s="589">
        <f>ELEC!C11</f>
        <v>44600</v>
      </c>
      <c r="B13" s="602"/>
      <c r="C13" s="615"/>
      <c r="D13" s="615">
        <v>0</v>
      </c>
      <c r="E13" s="615">
        <v>0</v>
      </c>
      <c r="F13" s="615">
        <v>0</v>
      </c>
      <c r="G13" s="615">
        <v>0</v>
      </c>
      <c r="H13" s="616">
        <f t="shared" si="3"/>
        <v>7003</v>
      </c>
      <c r="I13" s="600">
        <f t="shared" si="4"/>
        <v>0</v>
      </c>
      <c r="J13" s="462">
        <v>0.29166666666666669</v>
      </c>
      <c r="L13" s="99">
        <f t="shared" si="0"/>
        <v>44600</v>
      </c>
      <c r="M13" s="3">
        <f t="shared" si="1"/>
        <v>6541</v>
      </c>
      <c r="N13" s="477"/>
      <c r="O13" s="477">
        <f t="shared" si="2"/>
        <v>6541</v>
      </c>
    </row>
    <row r="14" spans="1:18" ht="15.75" thickBot="1">
      <c r="A14" s="589">
        <f>ELEC!C12</f>
        <v>44601</v>
      </c>
      <c r="B14" s="602"/>
      <c r="C14" s="615"/>
      <c r="D14" s="615">
        <v>0</v>
      </c>
      <c r="E14" s="615">
        <v>0</v>
      </c>
      <c r="F14" s="615">
        <v>0</v>
      </c>
      <c r="G14" s="615">
        <v>0</v>
      </c>
      <c r="H14" s="616">
        <f t="shared" si="3"/>
        <v>7003</v>
      </c>
      <c r="I14" s="600">
        <f t="shared" si="4"/>
        <v>0</v>
      </c>
      <c r="J14" s="462">
        <v>0.29166666666666669</v>
      </c>
      <c r="L14" s="99">
        <f t="shared" si="0"/>
        <v>44601</v>
      </c>
      <c r="M14" s="3">
        <f t="shared" si="1"/>
        <v>6541</v>
      </c>
      <c r="N14" s="477"/>
      <c r="O14" s="477">
        <f t="shared" si="2"/>
        <v>6541</v>
      </c>
    </row>
    <row r="15" spans="1:18" ht="15.75" thickBot="1">
      <c r="A15" s="589">
        <f>ELEC!C13</f>
        <v>44602</v>
      </c>
      <c r="B15" s="602"/>
      <c r="C15" s="615"/>
      <c r="D15" s="615">
        <v>0</v>
      </c>
      <c r="E15" s="615">
        <v>0</v>
      </c>
      <c r="F15" s="615">
        <v>0</v>
      </c>
      <c r="G15" s="615">
        <v>0</v>
      </c>
      <c r="H15" s="616">
        <f t="shared" si="3"/>
        <v>7003</v>
      </c>
      <c r="I15" s="600">
        <f t="shared" si="4"/>
        <v>0</v>
      </c>
      <c r="J15" s="462">
        <v>0.29166666666666669</v>
      </c>
      <c r="L15" s="99">
        <f t="shared" si="0"/>
        <v>44602</v>
      </c>
      <c r="M15" s="3">
        <f t="shared" si="1"/>
        <v>6541</v>
      </c>
      <c r="N15" s="477"/>
      <c r="O15" s="477">
        <f t="shared" si="2"/>
        <v>6541</v>
      </c>
    </row>
    <row r="16" spans="1:18" ht="15.75" thickBot="1">
      <c r="A16" s="589">
        <f>ELEC!C14</f>
        <v>44603</v>
      </c>
      <c r="B16" s="602"/>
      <c r="C16" s="615"/>
      <c r="D16" s="615">
        <v>0</v>
      </c>
      <c r="E16" s="615">
        <v>0</v>
      </c>
      <c r="F16" s="615">
        <v>0</v>
      </c>
      <c r="G16" s="615">
        <v>0</v>
      </c>
      <c r="H16" s="616">
        <f t="shared" si="3"/>
        <v>7003</v>
      </c>
      <c r="I16" s="600">
        <f t="shared" si="4"/>
        <v>0</v>
      </c>
      <c r="J16" s="462">
        <v>0.29166666666666669</v>
      </c>
      <c r="L16" s="99">
        <f t="shared" si="0"/>
        <v>44603</v>
      </c>
      <c r="M16" s="3">
        <f t="shared" si="1"/>
        <v>6541</v>
      </c>
      <c r="N16" s="477"/>
      <c r="O16" s="477">
        <f t="shared" si="2"/>
        <v>6541</v>
      </c>
    </row>
    <row r="17" spans="1:15" ht="15.75" thickBot="1">
      <c r="A17" s="589">
        <f>ELEC!C15</f>
        <v>44604</v>
      </c>
      <c r="B17" s="602"/>
      <c r="C17" s="615"/>
      <c r="D17" s="615">
        <v>0</v>
      </c>
      <c r="E17" s="615">
        <v>0</v>
      </c>
      <c r="F17" s="615">
        <v>0</v>
      </c>
      <c r="G17" s="615">
        <v>0</v>
      </c>
      <c r="H17" s="616">
        <f t="shared" si="3"/>
        <v>7003</v>
      </c>
      <c r="I17" s="600">
        <f t="shared" si="4"/>
        <v>0</v>
      </c>
      <c r="J17" s="462">
        <v>0.29166666666666669</v>
      </c>
      <c r="L17" s="99">
        <f t="shared" si="0"/>
        <v>44604</v>
      </c>
      <c r="M17" s="3">
        <f t="shared" si="1"/>
        <v>6541</v>
      </c>
      <c r="N17" s="477"/>
      <c r="O17" s="477">
        <f t="shared" si="2"/>
        <v>6541</v>
      </c>
    </row>
    <row r="18" spans="1:15" ht="15.75" thickBot="1">
      <c r="A18" s="589">
        <f>ELEC!C16</f>
        <v>44605</v>
      </c>
      <c r="B18" s="602">
        <v>0.5</v>
      </c>
      <c r="C18" s="615">
        <v>7.2</v>
      </c>
      <c r="D18" s="615">
        <v>0</v>
      </c>
      <c r="E18" s="615">
        <v>0</v>
      </c>
      <c r="F18" s="615">
        <v>0</v>
      </c>
      <c r="G18" s="615">
        <v>0</v>
      </c>
      <c r="H18" s="616">
        <f t="shared" si="3"/>
        <v>7003</v>
      </c>
      <c r="I18" s="600">
        <f t="shared" si="4"/>
        <v>0</v>
      </c>
      <c r="J18" s="462">
        <v>0.29166666666666669</v>
      </c>
      <c r="L18" s="99">
        <f t="shared" si="0"/>
        <v>44605</v>
      </c>
      <c r="M18" s="3">
        <f t="shared" si="1"/>
        <v>6541</v>
      </c>
      <c r="N18" s="477"/>
      <c r="O18" s="477">
        <f t="shared" si="2"/>
        <v>6541</v>
      </c>
    </row>
    <row r="19" spans="1:15" ht="15.75" thickBot="1">
      <c r="A19" s="589">
        <f>ELEC!C17</f>
        <v>44606</v>
      </c>
      <c r="B19" s="602"/>
      <c r="C19" s="615"/>
      <c r="D19" s="615">
        <v>0</v>
      </c>
      <c r="E19" s="615">
        <v>0</v>
      </c>
      <c r="F19" s="615">
        <v>0</v>
      </c>
      <c r="G19" s="615">
        <v>0</v>
      </c>
      <c r="H19" s="616">
        <f t="shared" si="3"/>
        <v>7003</v>
      </c>
      <c r="I19" s="600">
        <f t="shared" si="4"/>
        <v>0</v>
      </c>
      <c r="J19" s="462">
        <v>0.29166666666666669</v>
      </c>
      <c r="L19" s="99">
        <f t="shared" si="0"/>
        <v>44606</v>
      </c>
      <c r="M19" s="3">
        <f t="shared" si="1"/>
        <v>6541</v>
      </c>
      <c r="N19" s="477"/>
      <c r="O19" s="477">
        <f t="shared" si="2"/>
        <v>6541</v>
      </c>
    </row>
    <row r="20" spans="1:15" ht="15.75" thickBot="1">
      <c r="A20" s="589">
        <f>ELEC!C18</f>
        <v>44607</v>
      </c>
      <c r="B20" s="602"/>
      <c r="C20" s="615"/>
      <c r="D20" s="615">
        <v>0</v>
      </c>
      <c r="E20" s="615">
        <v>0</v>
      </c>
      <c r="F20" s="615">
        <v>0</v>
      </c>
      <c r="G20" s="615">
        <v>0</v>
      </c>
      <c r="H20" s="616">
        <f t="shared" si="3"/>
        <v>7003</v>
      </c>
      <c r="I20" s="600">
        <f t="shared" si="4"/>
        <v>0</v>
      </c>
      <c r="J20" s="462">
        <v>0.29166666666666669</v>
      </c>
      <c r="L20" s="99">
        <f t="shared" si="0"/>
        <v>44607</v>
      </c>
      <c r="M20" s="3">
        <f t="shared" si="1"/>
        <v>6541</v>
      </c>
      <c r="N20" s="477"/>
      <c r="O20" s="477">
        <f t="shared" si="2"/>
        <v>6541</v>
      </c>
    </row>
    <row r="21" spans="1:15" ht="15.75" thickBot="1">
      <c r="A21" s="589">
        <f>ELEC!C19</f>
        <v>44608</v>
      </c>
      <c r="B21" s="602"/>
      <c r="C21" s="615"/>
      <c r="D21" s="615">
        <v>0</v>
      </c>
      <c r="E21" s="615">
        <v>0</v>
      </c>
      <c r="F21" s="615">
        <v>0</v>
      </c>
      <c r="G21" s="615">
        <v>0</v>
      </c>
      <c r="H21" s="616">
        <f t="shared" si="3"/>
        <v>7003</v>
      </c>
      <c r="I21" s="600">
        <f t="shared" si="4"/>
        <v>0</v>
      </c>
      <c r="J21" s="535" t="s">
        <v>409</v>
      </c>
      <c r="L21" s="99">
        <f t="shared" si="0"/>
        <v>44608</v>
      </c>
      <c r="M21" s="3">
        <f t="shared" si="1"/>
        <v>6541</v>
      </c>
      <c r="N21" s="477"/>
      <c r="O21" s="477">
        <f t="shared" si="2"/>
        <v>6541</v>
      </c>
    </row>
    <row r="22" spans="1:15" ht="15.75" thickBot="1">
      <c r="A22" s="589">
        <f>ELEC!C20</f>
        <v>44609</v>
      </c>
      <c r="B22" s="602"/>
      <c r="C22" s="615"/>
      <c r="D22" s="615">
        <v>0</v>
      </c>
      <c r="E22" s="615">
        <v>0</v>
      </c>
      <c r="F22" s="615">
        <v>0</v>
      </c>
      <c r="G22" s="615">
        <v>0</v>
      </c>
      <c r="H22" s="616">
        <f t="shared" si="3"/>
        <v>7003</v>
      </c>
      <c r="I22" s="600">
        <f t="shared" si="4"/>
        <v>0</v>
      </c>
      <c r="J22" s="462">
        <v>0.29166666666666669</v>
      </c>
      <c r="L22" s="99">
        <f t="shared" si="0"/>
        <v>44609</v>
      </c>
      <c r="M22" s="3">
        <f t="shared" si="1"/>
        <v>6541</v>
      </c>
      <c r="N22" s="477"/>
      <c r="O22" s="477">
        <f t="shared" si="2"/>
        <v>6541</v>
      </c>
    </row>
    <row r="23" spans="1:15" ht="15.75" thickBot="1">
      <c r="A23" s="589">
        <f>ELEC!C21</f>
        <v>44610</v>
      </c>
      <c r="B23" s="602"/>
      <c r="C23" s="615"/>
      <c r="D23" s="615">
        <v>0</v>
      </c>
      <c r="E23" s="615">
        <v>0</v>
      </c>
      <c r="F23" s="615">
        <v>0</v>
      </c>
      <c r="G23" s="615">
        <v>0</v>
      </c>
      <c r="H23" s="616">
        <f t="shared" si="3"/>
        <v>7003</v>
      </c>
      <c r="I23" s="600">
        <f t="shared" si="4"/>
        <v>0</v>
      </c>
      <c r="J23" s="462">
        <v>0.29166666666666669</v>
      </c>
      <c r="L23" s="99">
        <f t="shared" si="0"/>
        <v>44610</v>
      </c>
      <c r="M23" s="3">
        <f t="shared" si="1"/>
        <v>6541</v>
      </c>
      <c r="N23" s="477"/>
      <c r="O23" s="477">
        <f t="shared" si="2"/>
        <v>6541</v>
      </c>
    </row>
    <row r="24" spans="1:15" ht="15.75" thickBot="1">
      <c r="A24" s="589">
        <f>ELEC!C22</f>
        <v>44611</v>
      </c>
      <c r="B24" s="602"/>
      <c r="C24" s="615"/>
      <c r="D24" s="615">
        <v>0</v>
      </c>
      <c r="E24" s="615">
        <v>0</v>
      </c>
      <c r="F24" s="615">
        <v>0</v>
      </c>
      <c r="G24" s="615">
        <v>0</v>
      </c>
      <c r="H24" s="616">
        <f t="shared" si="3"/>
        <v>7003</v>
      </c>
      <c r="I24" s="600">
        <f t="shared" si="4"/>
        <v>0</v>
      </c>
      <c r="J24" s="462">
        <v>0.29166666666666702</v>
      </c>
      <c r="L24" s="99">
        <f t="shared" si="0"/>
        <v>44611</v>
      </c>
      <c r="M24" s="3">
        <f t="shared" si="1"/>
        <v>6541</v>
      </c>
      <c r="N24" s="477"/>
      <c r="O24" s="477">
        <f t="shared" si="2"/>
        <v>6541</v>
      </c>
    </row>
    <row r="25" spans="1:15" ht="15.75" thickBot="1">
      <c r="A25" s="589">
        <f>ELEC!C23</f>
        <v>44612</v>
      </c>
      <c r="B25" s="602">
        <v>0</v>
      </c>
      <c r="C25" s="615">
        <v>8</v>
      </c>
      <c r="D25" s="615">
        <v>0</v>
      </c>
      <c r="E25" s="615">
        <v>0</v>
      </c>
      <c r="F25" s="615">
        <v>0</v>
      </c>
      <c r="G25" s="615">
        <v>0</v>
      </c>
      <c r="H25" s="616">
        <v>7013</v>
      </c>
      <c r="I25" s="600">
        <f t="shared" si="4"/>
        <v>10</v>
      </c>
      <c r="J25" s="462">
        <v>0.29166666666666702</v>
      </c>
      <c r="L25" s="99">
        <f t="shared" si="0"/>
        <v>44612</v>
      </c>
      <c r="M25" s="3">
        <f t="shared" si="1"/>
        <v>6541</v>
      </c>
      <c r="N25" s="477"/>
      <c r="O25" s="477">
        <f t="shared" si="2"/>
        <v>6541</v>
      </c>
    </row>
    <row r="26" spans="1:15" ht="15.75" thickBot="1">
      <c r="A26" s="589">
        <f>ELEC!C24</f>
        <v>44613</v>
      </c>
      <c r="B26" s="602">
        <v>4.5</v>
      </c>
      <c r="C26" s="615">
        <v>8</v>
      </c>
      <c r="D26" s="615">
        <v>0</v>
      </c>
      <c r="E26" s="615">
        <v>0</v>
      </c>
      <c r="F26" s="615">
        <v>0</v>
      </c>
      <c r="G26" s="615">
        <v>0</v>
      </c>
      <c r="H26" s="616">
        <v>7015</v>
      </c>
      <c r="I26" s="600">
        <f t="shared" si="4"/>
        <v>2</v>
      </c>
      <c r="J26" s="462">
        <v>0.29166666666666702</v>
      </c>
      <c r="L26" s="99">
        <f t="shared" si="0"/>
        <v>44613</v>
      </c>
      <c r="M26" s="3">
        <f t="shared" si="1"/>
        <v>6541</v>
      </c>
      <c r="N26" s="477"/>
      <c r="O26" s="477">
        <f t="shared" si="2"/>
        <v>6541</v>
      </c>
    </row>
    <row r="27" spans="1:15" ht="15.75" thickBot="1">
      <c r="A27" s="589">
        <f>ELEC!C25</f>
        <v>44614</v>
      </c>
      <c r="B27" s="602">
        <v>4</v>
      </c>
      <c r="C27" s="615">
        <v>8</v>
      </c>
      <c r="D27" s="615">
        <v>0</v>
      </c>
      <c r="E27" s="615">
        <v>0</v>
      </c>
      <c r="F27" s="615">
        <v>0</v>
      </c>
      <c r="G27" s="615">
        <v>0</v>
      </c>
      <c r="H27" s="616">
        <f t="shared" si="3"/>
        <v>7015</v>
      </c>
      <c r="I27" s="600">
        <f t="shared" si="4"/>
        <v>0</v>
      </c>
      <c r="J27" s="462">
        <v>0.29166666666666702</v>
      </c>
      <c r="L27" s="99">
        <f t="shared" si="0"/>
        <v>44614</v>
      </c>
      <c r="M27" s="3">
        <f t="shared" si="1"/>
        <v>6541</v>
      </c>
      <c r="N27" s="477"/>
      <c r="O27" s="477">
        <f t="shared" si="2"/>
        <v>6541</v>
      </c>
    </row>
    <row r="28" spans="1:15" ht="15.75" thickBot="1">
      <c r="A28" s="589">
        <f>ELEC!C26</f>
        <v>44615</v>
      </c>
      <c r="B28" s="602">
        <v>3.5</v>
      </c>
      <c r="C28" s="615">
        <v>8</v>
      </c>
      <c r="D28" s="615">
        <v>0</v>
      </c>
      <c r="E28" s="615">
        <v>0</v>
      </c>
      <c r="F28" s="615">
        <v>0</v>
      </c>
      <c r="G28" s="615">
        <v>0</v>
      </c>
      <c r="H28" s="616">
        <f t="shared" si="3"/>
        <v>7015</v>
      </c>
      <c r="I28" s="600">
        <f t="shared" si="4"/>
        <v>0</v>
      </c>
      <c r="J28" s="463">
        <v>0.29166666666666702</v>
      </c>
      <c r="L28" s="99">
        <f t="shared" si="0"/>
        <v>44615</v>
      </c>
      <c r="M28" s="3">
        <f t="shared" si="1"/>
        <v>6541</v>
      </c>
      <c r="N28" s="477"/>
      <c r="O28" s="477">
        <f t="shared" si="2"/>
        <v>6541</v>
      </c>
    </row>
    <row r="29" spans="1:15" ht="15.75" thickBot="1">
      <c r="A29" s="589">
        <f>ELEC!C27</f>
        <v>44616</v>
      </c>
      <c r="B29" s="602"/>
      <c r="C29" s="615"/>
      <c r="D29" s="615">
        <v>0</v>
      </c>
      <c r="E29" s="615">
        <v>0</v>
      </c>
      <c r="F29" s="615">
        <v>0</v>
      </c>
      <c r="G29" s="615">
        <v>0</v>
      </c>
      <c r="H29" s="616">
        <f t="shared" si="3"/>
        <v>7015</v>
      </c>
      <c r="I29" s="600">
        <f t="shared" si="4"/>
        <v>0</v>
      </c>
      <c r="J29" s="462">
        <v>0.29166666666666702</v>
      </c>
      <c r="L29" s="99">
        <f t="shared" si="0"/>
        <v>44616</v>
      </c>
      <c r="M29" s="3">
        <f t="shared" si="1"/>
        <v>6541</v>
      </c>
      <c r="N29" s="477"/>
      <c r="O29" s="477">
        <f t="shared" si="2"/>
        <v>6541</v>
      </c>
    </row>
    <row r="30" spans="1:15" ht="15.75" thickBot="1">
      <c r="A30" s="589">
        <f>ELEC!C28</f>
        <v>44617</v>
      </c>
      <c r="B30" s="602"/>
      <c r="C30" s="615"/>
      <c r="D30" s="615">
        <v>0</v>
      </c>
      <c r="E30" s="615">
        <v>0</v>
      </c>
      <c r="F30" s="615">
        <v>0</v>
      </c>
      <c r="G30" s="615">
        <v>0</v>
      </c>
      <c r="H30" s="616">
        <f t="shared" si="3"/>
        <v>7015</v>
      </c>
      <c r="I30" s="600">
        <f t="shared" si="4"/>
        <v>0</v>
      </c>
      <c r="J30" s="462">
        <v>0.29166666666666702</v>
      </c>
      <c r="L30" s="99">
        <f t="shared" si="0"/>
        <v>44617</v>
      </c>
      <c r="M30" s="3">
        <f t="shared" si="1"/>
        <v>6541</v>
      </c>
      <c r="N30" s="477"/>
      <c r="O30" s="477">
        <f t="shared" si="2"/>
        <v>6541</v>
      </c>
    </row>
    <row r="31" spans="1:15" ht="15.75" thickBot="1">
      <c r="A31" s="589">
        <f>ELEC!C29</f>
        <v>44618</v>
      </c>
      <c r="B31" s="602"/>
      <c r="C31" s="615"/>
      <c r="D31" s="615">
        <v>0</v>
      </c>
      <c r="E31" s="615">
        <v>0</v>
      </c>
      <c r="F31" s="615">
        <v>0</v>
      </c>
      <c r="G31" s="615">
        <v>0</v>
      </c>
      <c r="H31" s="616">
        <f t="shared" si="3"/>
        <v>7015</v>
      </c>
      <c r="I31" s="600">
        <f t="shared" si="4"/>
        <v>0</v>
      </c>
      <c r="J31" s="462">
        <v>0.29166666666666702</v>
      </c>
      <c r="L31" s="99">
        <f t="shared" si="0"/>
        <v>44618</v>
      </c>
      <c r="M31" s="3">
        <f t="shared" si="1"/>
        <v>6541</v>
      </c>
      <c r="N31" s="477"/>
      <c r="O31" s="477">
        <f t="shared" si="2"/>
        <v>6541</v>
      </c>
    </row>
    <row r="32" spans="1:15" ht="15.75" thickBot="1">
      <c r="A32" s="589">
        <f>ELEC!C30</f>
        <v>44619</v>
      </c>
      <c r="B32" s="602"/>
      <c r="C32" s="615"/>
      <c r="D32" s="615">
        <v>0</v>
      </c>
      <c r="E32" s="615">
        <v>0</v>
      </c>
      <c r="F32" s="615">
        <v>0</v>
      </c>
      <c r="G32" s="615">
        <v>0</v>
      </c>
      <c r="H32" s="616">
        <f t="shared" si="3"/>
        <v>7015</v>
      </c>
      <c r="I32" s="600">
        <f t="shared" si="4"/>
        <v>0</v>
      </c>
      <c r="J32" s="462">
        <v>0.29166666666666702</v>
      </c>
      <c r="L32" s="99">
        <f t="shared" si="0"/>
        <v>44619</v>
      </c>
      <c r="M32" s="3">
        <f t="shared" si="1"/>
        <v>6541</v>
      </c>
      <c r="N32" s="477"/>
      <c r="O32" s="477">
        <v>6879</v>
      </c>
    </row>
    <row r="33" spans="1:15" ht="15.75" thickBot="1">
      <c r="A33" s="589">
        <f>ELEC!C31</f>
        <v>44620</v>
      </c>
      <c r="B33" s="602"/>
      <c r="C33" s="615"/>
      <c r="D33" s="615">
        <v>0</v>
      </c>
      <c r="E33" s="615">
        <v>0</v>
      </c>
      <c r="F33" s="615">
        <v>0</v>
      </c>
      <c r="G33" s="615">
        <v>0</v>
      </c>
      <c r="H33" s="616">
        <f t="shared" si="3"/>
        <v>7015</v>
      </c>
      <c r="I33" s="600">
        <f t="shared" si="4"/>
        <v>0</v>
      </c>
      <c r="J33" s="462">
        <v>0.29166666666666702</v>
      </c>
      <c r="L33" s="99">
        <f t="shared" si="0"/>
        <v>44620</v>
      </c>
      <c r="M33" s="3">
        <f t="shared" si="1"/>
        <v>6541</v>
      </c>
      <c r="N33" s="477"/>
      <c r="O33" s="477">
        <f t="shared" si="2"/>
        <v>6541</v>
      </c>
    </row>
    <row r="34" spans="1:15" ht="15.75" thickBot="1">
      <c r="A34" s="589"/>
      <c r="B34" s="602"/>
      <c r="C34" s="615"/>
      <c r="D34" s="615"/>
      <c r="E34" s="615"/>
      <c r="F34" s="615"/>
      <c r="G34" s="615"/>
      <c r="H34" s="616"/>
      <c r="I34" s="600"/>
      <c r="J34" s="462"/>
      <c r="L34" s="99"/>
      <c r="M34" s="3"/>
      <c r="N34" s="477"/>
      <c r="O34" s="477"/>
    </row>
    <row r="35" spans="1:15" ht="15.75" thickBot="1">
      <c r="A35" s="589"/>
      <c r="B35" s="602"/>
      <c r="C35" s="615"/>
      <c r="D35" s="615"/>
      <c r="E35" s="615"/>
      <c r="F35" s="615"/>
      <c r="G35" s="615"/>
      <c r="H35" s="616"/>
      <c r="I35" s="600"/>
      <c r="J35" s="462"/>
      <c r="L35" s="99"/>
      <c r="M35" s="3"/>
      <c r="N35" s="477"/>
      <c r="O35" s="477"/>
    </row>
    <row r="36" spans="1:15" ht="15.75" thickBot="1">
      <c r="A36" s="590"/>
      <c r="B36" s="604"/>
      <c r="C36" s="605"/>
      <c r="D36" s="605"/>
      <c r="E36" s="605"/>
      <c r="F36" s="605"/>
      <c r="G36" s="605"/>
      <c r="H36" s="616"/>
      <c r="I36" s="601"/>
      <c r="J36" s="588"/>
      <c r="L36" s="99"/>
      <c r="M36" s="3"/>
      <c r="N36" s="477"/>
      <c r="O36" s="477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AF21" sqref="AF21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4" t="s">
        <v>161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</row>
    <row r="2" spans="1:28" ht="19.5">
      <c r="A2" s="715"/>
      <c r="B2" s="715"/>
      <c r="C2" s="715"/>
      <c r="D2" s="715"/>
      <c r="E2" s="715"/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Q2" s="715"/>
      <c r="R2" s="715"/>
      <c r="S2" s="715"/>
      <c r="T2" s="715"/>
      <c r="U2" s="715"/>
      <c r="V2" s="715"/>
      <c r="W2" s="715"/>
      <c r="X2" s="715"/>
    </row>
    <row r="3" spans="1:28" ht="19.5">
      <c r="A3" s="715" t="s">
        <v>162</v>
      </c>
      <c r="B3" s="715"/>
      <c r="C3" s="715"/>
      <c r="D3" s="715"/>
      <c r="E3" s="715"/>
      <c r="F3" s="715"/>
      <c r="G3" s="715"/>
      <c r="H3" s="715"/>
      <c r="I3" s="715"/>
      <c r="J3" s="715"/>
      <c r="K3" s="715"/>
      <c r="L3" s="715"/>
      <c r="M3" s="715"/>
      <c r="N3" s="715"/>
      <c r="O3" s="715"/>
      <c r="P3" s="715"/>
      <c r="Q3" s="715"/>
      <c r="R3" s="715"/>
      <c r="S3" s="715"/>
      <c r="T3" s="715"/>
      <c r="U3" s="715"/>
      <c r="V3" s="715"/>
      <c r="W3" s="715"/>
      <c r="X3" s="71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5" t="s">
        <v>404</v>
      </c>
      <c r="B5" s="715"/>
      <c r="C5" s="715"/>
      <c r="D5" s="715"/>
      <c r="E5" s="715"/>
      <c r="F5" s="715"/>
      <c r="G5" s="715"/>
      <c r="H5" s="715"/>
      <c r="I5" s="715"/>
      <c r="J5" s="715"/>
      <c r="K5" s="715"/>
      <c r="L5" s="715"/>
      <c r="M5" s="715"/>
      <c r="N5" s="715"/>
      <c r="O5" s="715"/>
      <c r="P5" s="715"/>
      <c r="Q5" s="715"/>
      <c r="R5" s="715"/>
      <c r="S5" s="715"/>
      <c r="T5" s="715"/>
      <c r="U5" s="715"/>
      <c r="V5" s="715"/>
      <c r="W5" s="715"/>
      <c r="X5" s="715"/>
    </row>
    <row r="6" spans="1:28" ht="15.75" thickBot="1">
      <c r="A6" s="716"/>
      <c r="B6" s="716"/>
      <c r="C6" s="716"/>
      <c r="D6" s="716"/>
      <c r="E6" s="716"/>
      <c r="F6" s="716"/>
      <c r="G6" s="716"/>
      <c r="H6" s="716"/>
      <c r="I6" s="716"/>
      <c r="J6" s="716"/>
      <c r="K6" s="716"/>
      <c r="L6" s="716"/>
      <c r="M6" s="716"/>
      <c r="N6" s="716"/>
      <c r="O6" s="716"/>
      <c r="P6" s="716"/>
      <c r="Q6" s="716"/>
      <c r="R6" s="716"/>
      <c r="S6" s="716"/>
      <c r="T6" s="716"/>
      <c r="U6" s="716"/>
      <c r="V6" s="716"/>
      <c r="W6" s="716"/>
      <c r="X6" s="716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'[2]Degree Days 2022'!B10</f>
        <v>0</v>
      </c>
      <c r="C10" s="261">
        <f>'General information '!C5</f>
        <v>12</v>
      </c>
      <c r="D10" s="261">
        <f>'[9]Degree Days 2020'!D10</f>
        <v>-0.80000000000000071</v>
      </c>
      <c r="E10" s="498">
        <v>1</v>
      </c>
      <c r="F10" s="261">
        <f>'General information '!B5</f>
        <v>17</v>
      </c>
      <c r="G10" s="261">
        <f>'General information '!C5</f>
        <v>12</v>
      </c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'[2]Degree Days 2022'!B11</f>
        <v>0</v>
      </c>
      <c r="C11" s="261">
        <f>'General information '!C6</f>
        <v>11</v>
      </c>
      <c r="D11" s="261">
        <f>'[9]Degree Days 2020'!D11</f>
        <v>-0.30000000000000071</v>
      </c>
      <c r="E11" s="498">
        <v>2</v>
      </c>
      <c r="F11" s="261">
        <f>'General information '!B6</f>
        <v>19</v>
      </c>
      <c r="G11" s="261">
        <f>'General information '!C6</f>
        <v>11</v>
      </c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'[2]Degree Days 2022'!B12</f>
        <v>0</v>
      </c>
      <c r="C12" s="261">
        <f>'General information '!C7</f>
        <v>11</v>
      </c>
      <c r="D12" s="261">
        <f>'[9]Degree Days 2020'!D12</f>
        <v>0.19999999999999929</v>
      </c>
      <c r="E12" s="498">
        <v>3</v>
      </c>
      <c r="F12" s="261">
        <f>'General information '!B7</f>
        <v>19</v>
      </c>
      <c r="G12" s="261">
        <f>'General information '!C7</f>
        <v>11</v>
      </c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'[2]Degree Days 2022'!B13</f>
        <v>18</v>
      </c>
      <c r="C13" s="261">
        <f>'General information '!C8</f>
        <v>0</v>
      </c>
      <c r="D13" s="261">
        <f>'[9]Degree Days 2020'!D13</f>
        <v>0.19999999999999929</v>
      </c>
      <c r="E13" s="498">
        <f>'[9]Degree Days 2020'!E13</f>
        <v>4</v>
      </c>
      <c r="F13" s="261">
        <f>'General information '!B8</f>
        <v>0</v>
      </c>
      <c r="G13" s="261">
        <f>'General information '!C8</f>
        <v>0</v>
      </c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'[2]Degree Days 2022'!B14</f>
        <v>19</v>
      </c>
      <c r="C14" s="261">
        <f>'General information '!C9</f>
        <v>0</v>
      </c>
      <c r="D14" s="261">
        <f>'[9]Degree Days 2020'!D14</f>
        <v>0.69999999999999929</v>
      </c>
      <c r="E14" s="498">
        <f>'[9]Degree Days 2020'!E14</f>
        <v>5</v>
      </c>
      <c r="F14" s="261">
        <f>'General information '!B9</f>
        <v>0</v>
      </c>
      <c r="G14" s="261">
        <f>'General information '!C9</f>
        <v>0</v>
      </c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'[2]Degree Days 2022'!B15</f>
        <v>21</v>
      </c>
      <c r="C15" s="261">
        <f>'General information '!C10</f>
        <v>12</v>
      </c>
      <c r="D15" s="261">
        <f>'[9]Degree Days 2020'!D15</f>
        <v>0.19999999999999929</v>
      </c>
      <c r="E15" s="498">
        <f>'[9]Degree Days 2020'!E15</f>
        <v>6</v>
      </c>
      <c r="F15" s="261">
        <f>'General information '!B10</f>
        <v>17</v>
      </c>
      <c r="G15" s="261">
        <f>'General information '!C10</f>
        <v>12</v>
      </c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'[2]Degree Days 2022'!B16</f>
        <v>0</v>
      </c>
      <c r="C16" s="261">
        <f>'General information '!C11</f>
        <v>13</v>
      </c>
      <c r="D16" s="261">
        <f>'[9]Degree Days 2020'!D16</f>
        <v>-1.3000000000000007</v>
      </c>
      <c r="E16" s="498">
        <f>'[9]Degree Days 2020'!E16</f>
        <v>7</v>
      </c>
      <c r="F16" s="261">
        <f>'General information '!B11</f>
        <v>17</v>
      </c>
      <c r="G16" s="261">
        <f>'General information '!C11</f>
        <v>13</v>
      </c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'[2]Degree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>
        <f>'General information '!B12</f>
        <v>0</v>
      </c>
      <c r="G17" s="261">
        <f>'General information '!C12</f>
        <v>0</v>
      </c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'[2]Degree Days 2022'!B18</f>
        <v>23</v>
      </c>
      <c r="C18" s="261">
        <f>'General information '!C13</f>
        <v>10</v>
      </c>
      <c r="D18" s="261">
        <f>'[9]Degree Days 2020'!D18</f>
        <v>0.19999999999999929</v>
      </c>
      <c r="E18" s="498">
        <f>'[9]Degree Days 2020'!E18</f>
        <v>9</v>
      </c>
      <c r="F18" s="261">
        <f>'General information '!B13</f>
        <v>21</v>
      </c>
      <c r="G18" s="261">
        <f>'General information '!C13</f>
        <v>10</v>
      </c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'[2]Degree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8">
        <f>'[9]Degree Days 2020'!E19</f>
        <v>10</v>
      </c>
      <c r="F19" s="261">
        <f>'General information '!B14</f>
        <v>0</v>
      </c>
      <c r="G19" s="261">
        <f>'General information '!C14</f>
        <v>0</v>
      </c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'[2]Degree Days 2022'!B20</f>
        <v>19</v>
      </c>
      <c r="C20" s="261">
        <f>'General information '!C15</f>
        <v>0</v>
      </c>
      <c r="D20" s="261">
        <f>'[9]Degree Days 2020'!D20</f>
        <v>0.69999999999999929</v>
      </c>
      <c r="E20" s="498">
        <f>'[9]Degree Days 2020'!E20</f>
        <v>11</v>
      </c>
      <c r="F20" s="261">
        <f>'General information '!B15</f>
        <v>0</v>
      </c>
      <c r="G20" s="261">
        <f>'General information '!C15</f>
        <v>0</v>
      </c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'[2]Degree Days 2022'!B21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>
        <f>'General information '!B16</f>
        <v>0</v>
      </c>
      <c r="G21" s="261">
        <f>'General information '!C16</f>
        <v>0</v>
      </c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'[2]Degree Days 2022'!B22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>
        <f>'General information '!B17</f>
        <v>17</v>
      </c>
      <c r="G22" s="261">
        <f>'General information '!C17</f>
        <v>12</v>
      </c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'[2]Degree Days 2022'!B23</f>
        <v>0</v>
      </c>
      <c r="C23" s="261">
        <f>'General information '!C18</f>
        <v>12</v>
      </c>
      <c r="D23" s="261">
        <f>'[9]Degree Days 2020'!D23</f>
        <v>-3.8000000000000007</v>
      </c>
      <c r="E23" s="498">
        <f>'[9]Degree Days 2020'!E23</f>
        <v>14</v>
      </c>
      <c r="F23" s="261">
        <f>'General information '!B18</f>
        <v>18</v>
      </c>
      <c r="G23" s="261">
        <f>'General information '!C18</f>
        <v>12</v>
      </c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'[2]Degree Days 2022'!B24</f>
        <v>0</v>
      </c>
      <c r="C24" s="261">
        <f>'General information '!C19</f>
        <v>14</v>
      </c>
      <c r="D24" s="261">
        <f>'[9]Degree Days 2020'!D24</f>
        <v>-2.3000000000000007</v>
      </c>
      <c r="E24" s="498">
        <f>'[9]Degree Days 2020'!E24</f>
        <v>15</v>
      </c>
      <c r="F24" s="261">
        <f>'General information '!B19</f>
        <v>17</v>
      </c>
      <c r="G24" s="261">
        <f>'General information '!C19</f>
        <v>14</v>
      </c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'[2]Degree Days 2022'!B25</f>
        <v>14</v>
      </c>
      <c r="C25" s="261">
        <f>'General information '!C20</f>
        <v>13</v>
      </c>
      <c r="D25" s="261">
        <f>'[9]Degree Days 2020'!D25</f>
        <v>-6.3000000000000007</v>
      </c>
      <c r="E25" s="498">
        <f>'[9]Degree Days 2020'!E25</f>
        <v>16</v>
      </c>
      <c r="F25" s="261">
        <f>'General information '!B20</f>
        <v>17</v>
      </c>
      <c r="G25" s="261">
        <f>'General information '!C20</f>
        <v>13</v>
      </c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'[2]Degree Days 2022'!B26</f>
        <v>12</v>
      </c>
      <c r="C26" s="261">
        <f>'General information '!C21</f>
        <v>12</v>
      </c>
      <c r="D26" s="261">
        <f>'[9]Degree Days 2020'!D26</f>
        <v>-4.8000000000000007</v>
      </c>
      <c r="E26" s="498">
        <f>'[9]Degree Days 2020'!E26</f>
        <v>17</v>
      </c>
      <c r="F26" s="261">
        <f>'General information '!B21</f>
        <v>18</v>
      </c>
      <c r="G26" s="261">
        <f>'General information '!C21</f>
        <v>12</v>
      </c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'[2]Degree Days 2022'!B27</f>
        <v>15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>
        <f>'General information '!B22</f>
        <v>0</v>
      </c>
      <c r="G27" s="261">
        <f>'General information '!C22</f>
        <v>0</v>
      </c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'[2]Degree Days 2022'!B28</f>
        <v>14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>
        <f>'General information '!B23</f>
        <v>0</v>
      </c>
      <c r="G28" s="261">
        <f>'General information '!C23</f>
        <v>0</v>
      </c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'[2]Degree Days 2022'!B29</f>
        <v>11</v>
      </c>
      <c r="C29" s="261">
        <f>'General information '!C24</f>
        <v>13</v>
      </c>
      <c r="D29" s="261">
        <f>'[9]Degree Days 2020'!D29</f>
        <v>-4.8000000000000007</v>
      </c>
      <c r="E29" s="498">
        <f>'[9]Degree Days 2020'!E29</f>
        <v>20</v>
      </c>
      <c r="F29" s="261">
        <f>'General information '!B24</f>
        <v>18</v>
      </c>
      <c r="G29" s="261">
        <f>'General information '!C24</f>
        <v>13</v>
      </c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'[2]Degree Days 2022'!B30</f>
        <v>0</v>
      </c>
      <c r="C30" s="261">
        <f>'General information '!C25</f>
        <v>13</v>
      </c>
      <c r="D30" s="261">
        <f>'[9]Degree Days 2020'!D30</f>
        <v>-5.8000000000000007</v>
      </c>
      <c r="E30" s="498">
        <f>'[9]Degree Days 2020'!E30</f>
        <v>21</v>
      </c>
      <c r="F30" s="261">
        <f>'General information '!B25</f>
        <v>19</v>
      </c>
      <c r="G30" s="261">
        <f>'General information '!C25</f>
        <v>13</v>
      </c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'[2]Degree Days 2022'!B31</f>
        <v>0</v>
      </c>
      <c r="C31" s="261">
        <f>'General information '!C26</f>
        <v>14</v>
      </c>
      <c r="D31" s="261">
        <f>'[9]Degree Days 2020'!D31</f>
        <v>-4.8000000000000007</v>
      </c>
      <c r="E31" s="498">
        <f>'[9]Degree Days 2020'!E31</f>
        <v>22</v>
      </c>
      <c r="F31" s="261">
        <f>'General information '!B26</f>
        <v>23</v>
      </c>
      <c r="G31" s="261">
        <f>'General information '!C26</f>
        <v>14</v>
      </c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'[2]Degree Days 2022'!B32</f>
        <v>0</v>
      </c>
      <c r="C32" s="261">
        <f>'General information '!C27</f>
        <v>14</v>
      </c>
      <c r="D32" s="261">
        <f>'[9]Degree Days 2020'!D32</f>
        <v>-3.3000000000000007</v>
      </c>
      <c r="E32" s="498">
        <f>'[9]Degree Days 2020'!E32</f>
        <v>23</v>
      </c>
      <c r="F32" s="261">
        <f>'General information '!B27</f>
        <v>25</v>
      </c>
      <c r="G32" s="261">
        <f>'General information '!C27</f>
        <v>14</v>
      </c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'[2]Degree Days 2022'!B33</f>
        <v>13</v>
      </c>
      <c r="C33" s="261">
        <f>'General information '!C28</f>
        <v>12</v>
      </c>
      <c r="D33" s="261">
        <f>'[9]Degree Days 2020'!D33</f>
        <v>-4.3000000000000007</v>
      </c>
      <c r="E33" s="498">
        <f>'[9]Degree Days 2020'!E33</f>
        <v>24</v>
      </c>
      <c r="F33" s="261">
        <f>'General information '!B28</f>
        <v>26</v>
      </c>
      <c r="G33" s="261">
        <f>'General information '!C28</f>
        <v>12</v>
      </c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'[2]Degree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>
        <f>'General information '!B29</f>
        <v>0</v>
      </c>
      <c r="G34" s="261">
        <f>'General information '!C29</f>
        <v>0</v>
      </c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'[2]Degree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>
        <f>'General information '!B30</f>
        <v>0</v>
      </c>
      <c r="G35" s="261">
        <f>'General information '!C30</f>
        <v>0</v>
      </c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'[2]Degree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>
        <f>'General information '!B31</f>
        <v>0</v>
      </c>
      <c r="G36" s="261">
        <f>'General information '!C31</f>
        <v>0</v>
      </c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'[2]Degree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>
        <f>'General information '!B32</f>
        <v>0</v>
      </c>
      <c r="G37" s="261">
        <f>'General information '!C32</f>
        <v>0</v>
      </c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'[2]Degree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'[2]Degree Days 2022'!B39</f>
        <v>17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'[2]Degree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27" sqref="G27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28</v>
      </c>
      <c r="G4" s="195">
        <v>24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409</v>
      </c>
      <c r="C7" s="184">
        <v>8200</v>
      </c>
      <c r="D7" s="187">
        <f>SUM(C7)*D4</f>
        <v>12361500</v>
      </c>
      <c r="E7" s="185">
        <f>SUM(D7/D4/F4)</f>
        <v>292.85714285714283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40410</v>
      </c>
      <c r="C8" s="466">
        <f>SUM(tanks!AU37)</f>
        <v>0.76516666666666666</v>
      </c>
      <c r="D8" s="191">
        <f>SUM(B8*C8)*D4</f>
        <v>46612480.387499996</v>
      </c>
      <c r="E8" s="192">
        <f>SUM(D8/D4/F4)</f>
        <v>1104.2994642857143</v>
      </c>
      <c r="F8" s="192">
        <f>SUM(E8*F4)</f>
        <v>30920.385000000002</v>
      </c>
      <c r="G8" s="574">
        <f>E8*$G$4</f>
        <v>26503.187142857143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2449</v>
      </c>
      <c r="C10" s="181"/>
      <c r="D10" s="183">
        <f>'EDl log'!AB30</f>
        <v>7618285</v>
      </c>
      <c r="E10" s="182">
        <f>SUM(D10/D4/F4)</f>
        <v>180.48531153755036</v>
      </c>
      <c r="F10" s="182">
        <f>SUM(E10*F4)</f>
        <v>5053.5887230514099</v>
      </c>
      <c r="G10" s="478">
        <f>E10*$G$4</f>
        <v>4331.6474769012084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1577.6419186804076</v>
      </c>
      <c r="F12" s="180">
        <f>SUM(F6:F10)</f>
        <v>44173.973723051415</v>
      </c>
      <c r="G12" s="179">
        <f>SUM(G6:G10)</f>
        <v>39034.834619758352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'!$B$14</f>
        <v>6.4999999999999964</v>
      </c>
      <c r="D14" s="170"/>
      <c r="E14" s="416">
        <f>B14-C14</f>
        <v>-6.4999999999999964</v>
      </c>
      <c r="F14" s="477">
        <v>0</v>
      </c>
      <c r="G14" s="405"/>
      <c r="H14" s="406">
        <f>SUM(G12-H12)</f>
        <v>-41094.065380241642</v>
      </c>
      <c r="I14" s="406">
        <f>SUM(G12-I12)</f>
        <v>-12209.085100671757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'!$B$15</f>
        <v>-75.899999999999977</v>
      </c>
      <c r="D15" s="170"/>
      <c r="E15" s="416">
        <f>B15-C15</f>
        <v>-473.10000000000014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25.3</v>
      </c>
      <c r="C16" s="415">
        <f>'[12]Utility Cost '!$B$16</f>
        <v>15.821428571428571</v>
      </c>
      <c r="D16" s="415"/>
      <c r="E16" s="580">
        <f>B16-C16</f>
        <v>9.4785714285714295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19">
        <f>'[12]Utility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197</v>
      </c>
      <c r="C18" s="416">
        <f>'[12]Utility Cost '!$B$18</f>
        <v>189</v>
      </c>
      <c r="D18" s="413">
        <f>'[13]Other Fuel Calculation 2021'!$G$116</f>
        <v>202.66666666666666</v>
      </c>
      <c r="E18" s="492">
        <f>B18-C18</f>
        <v>8</v>
      </c>
      <c r="F18" s="495">
        <f>B18-D18</f>
        <v>-5.6666666666666572</v>
      </c>
    </row>
    <row r="19" spans="1:10">
      <c r="A19" s="489" t="s">
        <v>412</v>
      </c>
      <c r="B19" s="493">
        <f>GEN!AL34</f>
        <v>17</v>
      </c>
      <c r="C19" s="416">
        <f>'[12]Utility Cost '!$B$18</f>
        <v>189</v>
      </c>
      <c r="D19" s="413"/>
      <c r="E19" s="492"/>
      <c r="F19" s="495"/>
    </row>
    <row r="20" spans="1:10">
      <c r="A20" s="489" t="s">
        <v>406</v>
      </c>
      <c r="B20" s="487">
        <f>B18/B19</f>
        <v>11.588235294117647</v>
      </c>
      <c r="C20" s="620">
        <f>'[12]Utility Cost '!$B$19</f>
        <v>6.75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2022-02-25T08:19:00Z</dcterms:modified>
</cp:coreProperties>
</file>