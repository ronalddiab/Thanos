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HEP FINAL\HEP 2022\"/>
    </mc:Choice>
  </mc:AlternateContent>
  <xr:revisionPtr revIDLastSave="0" documentId="13_ncr:1_{6A70EAA3-8FF6-4EB0-B56F-C7224C17F3E3}" xr6:coauthVersionLast="47" xr6:coauthVersionMax="47" xr10:uidLastSave="{00000000-0000-0000-0000-000000000000}"/>
  <bookViews>
    <workbookView xWindow="-120" yWindow="-120" windowWidth="29040" windowHeight="15840" tabRatio="764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journalier D'élect" sheetId="19" r:id="rId6"/>
    <sheet name="facture électricité" sheetId="10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énergie'!$A$1:$Y$55</definedName>
    <definedName name="_xlnm.Print_Area" localSheetId="6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49" i="2" l="1"/>
  <c r="N48" i="2"/>
  <c r="L47" i="2"/>
  <c r="N47" i="2" s="1"/>
  <c r="L46" i="2"/>
  <c r="N46" i="2" s="1"/>
  <c r="X17" i="2"/>
  <c r="X25" i="2"/>
  <c r="X33" i="2"/>
  <c r="X34" i="2"/>
  <c r="H3" i="21"/>
  <c r="H4" i="21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G6" i="21"/>
  <c r="G14" i="21"/>
  <c r="G22" i="21"/>
  <c r="G30" i="21"/>
  <c r="F9" i="21"/>
  <c r="F17" i="21"/>
  <c r="F25" i="21"/>
  <c r="E4" i="21"/>
  <c r="E12" i="21"/>
  <c r="E20" i="21"/>
  <c r="E28" i="21"/>
  <c r="N11" i="2"/>
  <c r="G3" i="21" s="1"/>
  <c r="N12" i="2"/>
  <c r="G4" i="21" s="1"/>
  <c r="N13" i="2"/>
  <c r="G5" i="21" s="1"/>
  <c r="N14" i="2"/>
  <c r="N15" i="2"/>
  <c r="G7" i="21" s="1"/>
  <c r="N16" i="2"/>
  <c r="G8" i="21" s="1"/>
  <c r="N17" i="2"/>
  <c r="G9" i="21" s="1"/>
  <c r="N18" i="2"/>
  <c r="G10" i="21" s="1"/>
  <c r="N19" i="2"/>
  <c r="G11" i="21" s="1"/>
  <c r="N20" i="2"/>
  <c r="G12" i="21" s="1"/>
  <c r="N21" i="2"/>
  <c r="G13" i="21" s="1"/>
  <c r="N22" i="2"/>
  <c r="N23" i="2"/>
  <c r="G15" i="21" s="1"/>
  <c r="N24" i="2"/>
  <c r="G16" i="21" s="1"/>
  <c r="N25" i="2"/>
  <c r="G17" i="21" s="1"/>
  <c r="N26" i="2"/>
  <c r="G18" i="21" s="1"/>
  <c r="N27" i="2"/>
  <c r="G19" i="21" s="1"/>
  <c r="N28" i="2"/>
  <c r="G20" i="21" s="1"/>
  <c r="N29" i="2"/>
  <c r="G21" i="21" s="1"/>
  <c r="N30" i="2"/>
  <c r="N31" i="2"/>
  <c r="G23" i="21" s="1"/>
  <c r="N32" i="2"/>
  <c r="G24" i="21" s="1"/>
  <c r="N33" i="2"/>
  <c r="G25" i="21" s="1"/>
  <c r="N34" i="2"/>
  <c r="G26" i="21" s="1"/>
  <c r="N35" i="2"/>
  <c r="G27" i="21" s="1"/>
  <c r="N36" i="2"/>
  <c r="G28" i="21" s="1"/>
  <c r="N37" i="2"/>
  <c r="G29" i="21" s="1"/>
  <c r="N38" i="2"/>
  <c r="N39" i="2"/>
  <c r="G31" i="21" s="1"/>
  <c r="M11" i="2"/>
  <c r="Q11" i="2" s="1"/>
  <c r="M12" i="2"/>
  <c r="F4" i="21" s="1"/>
  <c r="M13" i="2"/>
  <c r="F5" i="21" s="1"/>
  <c r="M14" i="2"/>
  <c r="F6" i="21" s="1"/>
  <c r="M15" i="2"/>
  <c r="F7" i="21" s="1"/>
  <c r="M16" i="2"/>
  <c r="F8" i="21" s="1"/>
  <c r="M17" i="2"/>
  <c r="M18" i="2"/>
  <c r="F10" i="21" s="1"/>
  <c r="M19" i="2"/>
  <c r="F11" i="21" s="1"/>
  <c r="M20" i="2"/>
  <c r="F12" i="21" s="1"/>
  <c r="M21" i="2"/>
  <c r="F13" i="21" s="1"/>
  <c r="M22" i="2"/>
  <c r="F14" i="21" s="1"/>
  <c r="M23" i="2"/>
  <c r="F15" i="21" s="1"/>
  <c r="M24" i="2"/>
  <c r="F16" i="21" s="1"/>
  <c r="M25" i="2"/>
  <c r="M26" i="2"/>
  <c r="F18" i="21" s="1"/>
  <c r="M27" i="2"/>
  <c r="F19" i="21" s="1"/>
  <c r="M28" i="2"/>
  <c r="F20" i="21" s="1"/>
  <c r="M29" i="2"/>
  <c r="F21" i="21" s="1"/>
  <c r="M30" i="2"/>
  <c r="F22" i="21" s="1"/>
  <c r="M31" i="2"/>
  <c r="F23" i="21" s="1"/>
  <c r="M32" i="2"/>
  <c r="F24" i="21" s="1"/>
  <c r="M33" i="2"/>
  <c r="M34" i="2"/>
  <c r="F26" i="21" s="1"/>
  <c r="M35" i="2"/>
  <c r="F27" i="21" s="1"/>
  <c r="M36" i="2"/>
  <c r="F28" i="21" s="1"/>
  <c r="M37" i="2"/>
  <c r="F29" i="21" s="1"/>
  <c r="M38" i="2"/>
  <c r="F30" i="21" s="1"/>
  <c r="M39" i="2"/>
  <c r="F31" i="21" s="1"/>
  <c r="L11" i="2"/>
  <c r="E3" i="21" s="1"/>
  <c r="L12" i="2"/>
  <c r="L13" i="2"/>
  <c r="E5" i="21" s="1"/>
  <c r="L14" i="2"/>
  <c r="E6" i="21" s="1"/>
  <c r="L15" i="2"/>
  <c r="E7" i="21" s="1"/>
  <c r="L16" i="2"/>
  <c r="E8" i="21" s="1"/>
  <c r="L17" i="2"/>
  <c r="E9" i="21" s="1"/>
  <c r="L18" i="2"/>
  <c r="E10" i="21" s="1"/>
  <c r="L19" i="2"/>
  <c r="E11" i="21" s="1"/>
  <c r="L20" i="2"/>
  <c r="L21" i="2"/>
  <c r="E13" i="21" s="1"/>
  <c r="L22" i="2"/>
  <c r="E14" i="21" s="1"/>
  <c r="L23" i="2"/>
  <c r="E15" i="21" s="1"/>
  <c r="L24" i="2"/>
  <c r="E16" i="21" s="1"/>
  <c r="L25" i="2"/>
  <c r="E17" i="21" s="1"/>
  <c r="L26" i="2"/>
  <c r="E18" i="21" s="1"/>
  <c r="L27" i="2"/>
  <c r="E19" i="21" s="1"/>
  <c r="L28" i="2"/>
  <c r="L29" i="2"/>
  <c r="E21" i="21" s="1"/>
  <c r="L30" i="2"/>
  <c r="E22" i="21" s="1"/>
  <c r="L31" i="2"/>
  <c r="E23" i="21" s="1"/>
  <c r="L32" i="2"/>
  <c r="E24" i="21" s="1"/>
  <c r="L33" i="2"/>
  <c r="E25" i="21" s="1"/>
  <c r="L34" i="2"/>
  <c r="E26" i="21" s="1"/>
  <c r="L35" i="2"/>
  <c r="E27" i="21" s="1"/>
  <c r="L36" i="2"/>
  <c r="L37" i="2"/>
  <c r="E29" i="21" s="1"/>
  <c r="L38" i="2"/>
  <c r="E30" i="21" s="1"/>
  <c r="L39" i="2"/>
  <c r="E31" i="21" s="1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E11" i="6"/>
  <c r="E12" i="6"/>
  <c r="E13" i="6"/>
  <c r="E14" i="6"/>
  <c r="E15" i="6"/>
  <c r="E16" i="6"/>
  <c r="E17" i="6"/>
  <c r="F18" i="2" s="1"/>
  <c r="E18" i="6"/>
  <c r="F19" i="2" s="1"/>
  <c r="E19" i="6"/>
  <c r="E20" i="6"/>
  <c r="E21" i="6"/>
  <c r="E22" i="6"/>
  <c r="E23" i="6"/>
  <c r="E24" i="6"/>
  <c r="E25" i="6"/>
  <c r="F26" i="2" s="1"/>
  <c r="E26" i="6"/>
  <c r="F27" i="2" s="1"/>
  <c r="E27" i="6"/>
  <c r="E28" i="6"/>
  <c r="E29" i="6"/>
  <c r="E30" i="6"/>
  <c r="E31" i="6"/>
  <c r="E32" i="6"/>
  <c r="E33" i="6"/>
  <c r="E34" i="6"/>
  <c r="F35" i="2" s="1"/>
  <c r="E35" i="6"/>
  <c r="E36" i="6"/>
  <c r="E37" i="6"/>
  <c r="E38" i="6"/>
  <c r="E39" i="6"/>
  <c r="M48" i="4"/>
  <c r="P43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4" i="4"/>
  <c r="O5" i="4"/>
  <c r="O6" i="4"/>
  <c r="O7" i="4"/>
  <c r="O8" i="4"/>
  <c r="O9" i="4"/>
  <c r="O10" i="4"/>
  <c r="O11" i="4"/>
  <c r="V17" i="2" s="1"/>
  <c r="O12" i="4"/>
  <c r="O13" i="4"/>
  <c r="O14" i="4"/>
  <c r="O15" i="4"/>
  <c r="O16" i="4"/>
  <c r="O17" i="4"/>
  <c r="O18" i="4"/>
  <c r="O19" i="4"/>
  <c r="V25" i="2" s="1"/>
  <c r="O20" i="4"/>
  <c r="O21" i="4"/>
  <c r="O22" i="4"/>
  <c r="O23" i="4"/>
  <c r="O24" i="4"/>
  <c r="O25" i="4"/>
  <c r="O26" i="4"/>
  <c r="O27" i="4"/>
  <c r="V33" i="2" s="1"/>
  <c r="O28" i="4"/>
  <c r="V34" i="2" s="1"/>
  <c r="O29" i="4"/>
  <c r="O30" i="4"/>
  <c r="O31" i="4"/>
  <c r="O32" i="4"/>
  <c r="O33" i="4"/>
  <c r="O34" i="4"/>
  <c r="V11" i="2"/>
  <c r="G3" i="22" s="1"/>
  <c r="V12" i="2"/>
  <c r="G4" i="22" s="1"/>
  <c r="V13" i="2"/>
  <c r="G5" i="22" s="1"/>
  <c r="V14" i="2"/>
  <c r="X14" i="2" s="1"/>
  <c r="V15" i="2"/>
  <c r="X15" i="2" s="1"/>
  <c r="V16" i="2"/>
  <c r="G8" i="22" s="1"/>
  <c r="V19" i="2"/>
  <c r="G11" i="22" s="1"/>
  <c r="V20" i="2"/>
  <c r="X20" i="2" s="1"/>
  <c r="V21" i="2"/>
  <c r="G13" i="22" s="1"/>
  <c r="V22" i="2"/>
  <c r="X22" i="2" s="1"/>
  <c r="V23" i="2"/>
  <c r="G15" i="22" s="1"/>
  <c r="V24" i="2"/>
  <c r="G16" i="22" s="1"/>
  <c r="V27" i="2"/>
  <c r="G19" i="22" s="1"/>
  <c r="V28" i="2"/>
  <c r="X28" i="2" s="1"/>
  <c r="V29" i="2"/>
  <c r="G21" i="22" s="1"/>
  <c r="V30" i="2"/>
  <c r="X30" i="2" s="1"/>
  <c r="V31" i="2"/>
  <c r="X31" i="2" s="1"/>
  <c r="V32" i="2"/>
  <c r="G24" i="22" s="1"/>
  <c r="V35" i="2"/>
  <c r="G27" i="22" s="1"/>
  <c r="V36" i="2"/>
  <c r="X36" i="2" s="1"/>
  <c r="V37" i="2"/>
  <c r="G29" i="22" s="1"/>
  <c r="V38" i="2"/>
  <c r="X38" i="2" s="1"/>
  <c r="V39" i="2"/>
  <c r="X39" i="2" s="1"/>
  <c r="K3" i="22"/>
  <c r="K4" i="22"/>
  <c r="K5" i="22"/>
  <c r="K6" i="22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I17" i="22"/>
  <c r="I21" i="22"/>
  <c r="G7" i="22"/>
  <c r="G12" i="22"/>
  <c r="G14" i="22"/>
  <c r="G22" i="22"/>
  <c r="G23" i="22"/>
  <c r="G30" i="22"/>
  <c r="G31" i="22"/>
  <c r="C39" i="6"/>
  <c r="F39" i="2"/>
  <c r="I31" i="22" s="1"/>
  <c r="C38" i="6"/>
  <c r="F38" i="2"/>
  <c r="I30" i="22" s="1"/>
  <c r="C37" i="6"/>
  <c r="F37" i="2"/>
  <c r="I29" i="22" s="1"/>
  <c r="C36" i="6"/>
  <c r="F36" i="2"/>
  <c r="I28" i="22" s="1"/>
  <c r="F34" i="2"/>
  <c r="I26" i="22" s="1"/>
  <c r="C34" i="6"/>
  <c r="C35" i="6"/>
  <c r="C33" i="6"/>
  <c r="F33" i="2"/>
  <c r="I25" i="22" s="1"/>
  <c r="C32" i="6"/>
  <c r="F32" i="2"/>
  <c r="I24" i="22" s="1"/>
  <c r="C31" i="6"/>
  <c r="F31" i="2"/>
  <c r="I23" i="22" s="1"/>
  <c r="C30" i="6"/>
  <c r="F30" i="2"/>
  <c r="I22" i="22" s="1"/>
  <c r="C29" i="6"/>
  <c r="F28" i="2"/>
  <c r="I20" i="22" s="1"/>
  <c r="F29" i="2"/>
  <c r="C28" i="6"/>
  <c r="C27" i="6"/>
  <c r="C26" i="6"/>
  <c r="C25" i="6"/>
  <c r="F25" i="2"/>
  <c r="C24" i="6"/>
  <c r="F24" i="2"/>
  <c r="I16" i="22" s="1"/>
  <c r="C23" i="6"/>
  <c r="F23" i="2"/>
  <c r="I15" i="22" s="1"/>
  <c r="C22" i="6"/>
  <c r="F20" i="2"/>
  <c r="I12" i="22" s="1"/>
  <c r="F21" i="2"/>
  <c r="H21" i="2" s="1"/>
  <c r="F22" i="2"/>
  <c r="H22" i="2" s="1"/>
  <c r="C21" i="6"/>
  <c r="C19" i="6"/>
  <c r="C20" i="6"/>
  <c r="C18" i="6"/>
  <c r="C17" i="6"/>
  <c r="F17" i="2"/>
  <c r="H17" i="2" s="1"/>
  <c r="C16" i="6"/>
  <c r="F16" i="2"/>
  <c r="I8" i="22" s="1"/>
  <c r="C15" i="6"/>
  <c r="F12" i="2"/>
  <c r="F13" i="2"/>
  <c r="I5" i="22" s="1"/>
  <c r="F14" i="2"/>
  <c r="I6" i="22" s="1"/>
  <c r="F15" i="2"/>
  <c r="I7" i="22" s="1"/>
  <c r="C14" i="6"/>
  <c r="C13" i="6"/>
  <c r="C12" i="6"/>
  <c r="C11" i="6"/>
  <c r="V10" i="2"/>
  <c r="X10" i="2" s="1"/>
  <c r="N10" i="2"/>
  <c r="M10" i="2"/>
  <c r="L10" i="2"/>
  <c r="F10" i="2"/>
  <c r="H10" i="2" s="1"/>
  <c r="K10" i="6"/>
  <c r="I10" i="6"/>
  <c r="G10" i="6"/>
  <c r="E10" i="6"/>
  <c r="F11" i="2" s="1"/>
  <c r="I3" i="22" s="1"/>
  <c r="C10" i="6"/>
  <c r="C35" i="4"/>
  <c r="D29" i="10"/>
  <c r="G4" i="4"/>
  <c r="E4" i="4"/>
  <c r="C4" i="4"/>
  <c r="L31" i="22"/>
  <c r="I31" i="21"/>
  <c r="Q10" i="2"/>
  <c r="L27" i="22"/>
  <c r="L28" i="22"/>
  <c r="L29" i="22"/>
  <c r="L30" i="22"/>
  <c r="I26" i="21"/>
  <c r="I27" i="21"/>
  <c r="I28" i="21"/>
  <c r="I29" i="21"/>
  <c r="I30" i="21"/>
  <c r="H37" i="2"/>
  <c r="H36" i="2"/>
  <c r="G21" i="4"/>
  <c r="E21" i="4"/>
  <c r="C21" i="4"/>
  <c r="M4" i="4"/>
  <c r="M5" i="4"/>
  <c r="M6" i="4"/>
  <c r="M7" i="4"/>
  <c r="G17" i="4"/>
  <c r="P42" i="4"/>
  <c r="L21" i="22"/>
  <c r="L22" i="22"/>
  <c r="L23" i="22"/>
  <c r="L24" i="22"/>
  <c r="L25" i="22"/>
  <c r="L26" i="22"/>
  <c r="C31" i="4"/>
  <c r="G28" i="4"/>
  <c r="G31" i="4"/>
  <c r="G33" i="4"/>
  <c r="G35" i="4"/>
  <c r="E28" i="4"/>
  <c r="E31" i="4"/>
  <c r="E33" i="4"/>
  <c r="E35" i="4"/>
  <c r="C28" i="4"/>
  <c r="C33" i="4"/>
  <c r="G8" i="4"/>
  <c r="G16" i="4"/>
  <c r="E8" i="4"/>
  <c r="E16" i="4"/>
  <c r="E17" i="4"/>
  <c r="C8" i="4"/>
  <c r="C16" i="4"/>
  <c r="C17" i="4"/>
  <c r="AC9" i="4"/>
  <c r="AC10" i="4"/>
  <c r="I23" i="21"/>
  <c r="I24" i="21"/>
  <c r="I25" i="2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G2" i="21"/>
  <c r="O10" i="2"/>
  <c r="H38" i="2"/>
  <c r="H30" i="2"/>
  <c r="H25" i="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L3" i="22"/>
  <c r="L4" i="22"/>
  <c r="L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18" i="22"/>
  <c r="L19" i="22"/>
  <c r="L20" i="22"/>
  <c r="L2" i="22"/>
  <c r="K2" i="22"/>
  <c r="I3" i="21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" i="21"/>
  <c r="H2" i="21"/>
  <c r="D40" i="2"/>
  <c r="E40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1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B31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I34" i="4" s="1"/>
  <c r="AD34" i="4"/>
  <c r="AE34" i="4"/>
  <c r="AC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0" i="2"/>
  <c r="U40" i="2"/>
  <c r="G38" i="4"/>
  <c r="G39" i="4"/>
  <c r="H28" i="19"/>
  <c r="I28" i="19"/>
  <c r="C36" i="4"/>
  <c r="G37" i="4"/>
  <c r="I35" i="4"/>
  <c r="I25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P41" i="4" s="1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I17" i="10"/>
  <c r="F19" i="10"/>
  <c r="B13" i="11"/>
  <c r="F13" i="11"/>
  <c r="F20" i="11" s="1"/>
  <c r="I16" i="4"/>
  <c r="H28" i="2"/>
  <c r="H24" i="2"/>
  <c r="I19" i="10"/>
  <c r="E20" i="10"/>
  <c r="D25" i="10"/>
  <c r="F25" i="10"/>
  <c r="F32" i="10"/>
  <c r="H25" i="10"/>
  <c r="I25" i="10"/>
  <c r="I32" i="10"/>
  <c r="F18" i="10"/>
  <c r="H29" i="2"/>
  <c r="F25" i="18"/>
  <c r="F29" i="18"/>
  <c r="F21" i="11"/>
  <c r="F23" i="11"/>
  <c r="F24" i="11"/>
  <c r="F2" i="21"/>
  <c r="I21" i="4"/>
  <c r="I12" i="4"/>
  <c r="L23" i="4"/>
  <c r="N23" i="4"/>
  <c r="L17" i="4"/>
  <c r="N17" i="4"/>
  <c r="L13" i="4"/>
  <c r="N13" i="4"/>
  <c r="L10" i="4"/>
  <c r="N10" i="4"/>
  <c r="L31" i="4"/>
  <c r="N31" i="4"/>
  <c r="L28" i="4"/>
  <c r="N28" i="4"/>
  <c r="L16" i="4"/>
  <c r="N16" i="4"/>
  <c r="L14" i="4"/>
  <c r="N14" i="4"/>
  <c r="L27" i="4"/>
  <c r="N27" i="4"/>
  <c r="L34" i="4"/>
  <c r="N34" i="4"/>
  <c r="L30" i="4"/>
  <c r="N30" i="4"/>
  <c r="L18" i="4"/>
  <c r="N18" i="4"/>
  <c r="L21" i="4"/>
  <c r="N21" i="4"/>
  <c r="L29" i="4"/>
  <c r="N29" i="4"/>
  <c r="L24" i="4"/>
  <c r="N24" i="4"/>
  <c r="L12" i="4"/>
  <c r="N12" i="4"/>
  <c r="L11" i="4"/>
  <c r="N11" i="4"/>
  <c r="L32" i="4"/>
  <c r="N32" i="4"/>
  <c r="L26" i="4"/>
  <c r="N26" i="4"/>
  <c r="L25" i="4"/>
  <c r="N25" i="4"/>
  <c r="L19" i="4"/>
  <c r="N19" i="4"/>
  <c r="L20" i="4"/>
  <c r="N20" i="4"/>
  <c r="L33" i="4"/>
  <c r="N33" i="4"/>
  <c r="L15" i="4"/>
  <c r="N15" i="4"/>
  <c r="E2" i="21"/>
  <c r="E2" i="22" s="1"/>
  <c r="J2" i="21"/>
  <c r="Q44" i="4"/>
  <c r="AC44" i="4"/>
  <c r="K48" i="4" s="1"/>
  <c r="L48" i="4" s="1"/>
  <c r="L9" i="4"/>
  <c r="N9" i="4"/>
  <c r="AC43" i="4"/>
  <c r="I9" i="4"/>
  <c r="H39" i="2" l="1"/>
  <c r="I14" i="22"/>
  <c r="X32" i="2"/>
  <c r="X24" i="2"/>
  <c r="X16" i="2"/>
  <c r="I2" i="22"/>
  <c r="G6" i="22"/>
  <c r="I13" i="22"/>
  <c r="X23" i="2"/>
  <c r="G28" i="22"/>
  <c r="I9" i="22"/>
  <c r="O11" i="2"/>
  <c r="F40" i="2"/>
  <c r="X37" i="2"/>
  <c r="X29" i="2"/>
  <c r="X21" i="2"/>
  <c r="X13" i="2"/>
  <c r="H20" i="2"/>
  <c r="X12" i="2"/>
  <c r="F3" i="21"/>
  <c r="X35" i="2"/>
  <c r="X27" i="2"/>
  <c r="X19" i="2"/>
  <c r="X11" i="2"/>
  <c r="O22" i="2"/>
  <c r="Q22" i="2"/>
  <c r="E4" i="22"/>
  <c r="E6" i="22"/>
  <c r="O37" i="2"/>
  <c r="Q37" i="2"/>
  <c r="O29" i="2"/>
  <c r="Q29" i="2"/>
  <c r="J21" i="21"/>
  <c r="O21" i="2"/>
  <c r="E13" i="22"/>
  <c r="Q21" i="2"/>
  <c r="N40" i="2"/>
  <c r="I45" i="2" s="1"/>
  <c r="L45" i="2" s="1"/>
  <c r="O30" i="2"/>
  <c r="O33" i="2"/>
  <c r="E25" i="22"/>
  <c r="O25" i="2"/>
  <c r="O17" i="2"/>
  <c r="J9" i="21"/>
  <c r="Q17" i="2"/>
  <c r="J15" i="21"/>
  <c r="O38" i="2"/>
  <c r="Q38" i="2"/>
  <c r="Q30" i="2"/>
  <c r="Q33" i="2"/>
  <c r="Q24" i="2"/>
  <c r="E5" i="22"/>
  <c r="E28" i="22"/>
  <c r="Q36" i="2"/>
  <c r="O36" i="2"/>
  <c r="Q28" i="2"/>
  <c r="O28" i="2"/>
  <c r="J20" i="21"/>
  <c r="O20" i="2"/>
  <c r="J12" i="21"/>
  <c r="Q20" i="2"/>
  <c r="E27" i="22"/>
  <c r="O35" i="2"/>
  <c r="Q35" i="2"/>
  <c r="J19" i="21"/>
  <c r="Q27" i="2"/>
  <c r="O27" i="2"/>
  <c r="O19" i="2"/>
  <c r="Q19" i="2"/>
  <c r="O34" i="2"/>
  <c r="E9" i="22"/>
  <c r="O31" i="2"/>
  <c r="Q23" i="2"/>
  <c r="J11" i="21"/>
  <c r="Q18" i="2"/>
  <c r="Q25" i="2"/>
  <c r="H35" i="2"/>
  <c r="I27" i="22"/>
  <c r="H27" i="2"/>
  <c r="I19" i="22"/>
  <c r="I11" i="22"/>
  <c r="H19" i="2"/>
  <c r="I18" i="22"/>
  <c r="H26" i="2"/>
  <c r="H18" i="2"/>
  <c r="I10" i="22"/>
  <c r="H32" i="2"/>
  <c r="H34" i="2"/>
  <c r="I4" i="22"/>
  <c r="H31" i="2"/>
  <c r="H15" i="2"/>
  <c r="H23" i="2"/>
  <c r="G25" i="22"/>
  <c r="G17" i="22"/>
  <c r="G9" i="22"/>
  <c r="V26" i="2"/>
  <c r="V18" i="2"/>
  <c r="X18" i="2" s="1"/>
  <c r="G20" i="22"/>
  <c r="E11" i="22"/>
  <c r="O23" i="2"/>
  <c r="E17" i="22"/>
  <c r="E29" i="22"/>
  <c r="O26" i="2"/>
  <c r="Q31" i="2"/>
  <c r="J22" i="21"/>
  <c r="E31" i="22"/>
  <c r="E15" i="22"/>
  <c r="J3" i="21"/>
  <c r="E24" i="22"/>
  <c r="M40" i="2"/>
  <c r="I44" i="2" s="1"/>
  <c r="L44" i="2" s="1"/>
  <c r="E3" i="22"/>
  <c r="O18" i="2"/>
  <c r="O39" i="2"/>
  <c r="E30" i="22"/>
  <c r="E8" i="22"/>
  <c r="Q39" i="2"/>
  <c r="E7" i="22"/>
  <c r="O32" i="2"/>
  <c r="O24" i="2"/>
  <c r="Q16" i="2"/>
  <c r="Q26" i="2"/>
  <c r="E16" i="22"/>
  <c r="Q34" i="2"/>
  <c r="E22" i="22"/>
  <c r="O16" i="2"/>
  <c r="Q32" i="2"/>
  <c r="G26" i="22"/>
  <c r="J24" i="21"/>
  <c r="J16" i="21"/>
  <c r="J8" i="21"/>
  <c r="G30" i="4"/>
  <c r="E30" i="4"/>
  <c r="C30" i="4"/>
  <c r="I30" i="4"/>
  <c r="G14" i="4"/>
  <c r="E14" i="4"/>
  <c r="C14" i="4"/>
  <c r="P34" i="4"/>
  <c r="G26" i="4"/>
  <c r="E26" i="4"/>
  <c r="C26" i="4"/>
  <c r="G12" i="4"/>
  <c r="E12" i="4"/>
  <c r="C12" i="4"/>
  <c r="G27" i="4"/>
  <c r="E27" i="4"/>
  <c r="C27" i="4"/>
  <c r="G22" i="4"/>
  <c r="E22" i="4"/>
  <c r="C22" i="4"/>
  <c r="G29" i="4"/>
  <c r="E29" i="4"/>
  <c r="C29" i="4"/>
  <c r="G24" i="4"/>
  <c r="E24" i="4"/>
  <c r="C24" i="4"/>
  <c r="G15" i="4"/>
  <c r="E15" i="4"/>
  <c r="C15" i="4"/>
  <c r="G13" i="4"/>
  <c r="E13" i="4"/>
  <c r="C13" i="4"/>
  <c r="G34" i="4"/>
  <c r="E34" i="4"/>
  <c r="C34" i="4"/>
  <c r="G23" i="4"/>
  <c r="E23" i="4"/>
  <c r="C23" i="4"/>
  <c r="G18" i="4"/>
  <c r="E18" i="4"/>
  <c r="C18" i="4"/>
  <c r="G20" i="4"/>
  <c r="E20" i="4"/>
  <c r="C20" i="4"/>
  <c r="G11" i="4"/>
  <c r="E11" i="4"/>
  <c r="C11" i="4"/>
  <c r="L5" i="4"/>
  <c r="N5" i="4" s="1"/>
  <c r="G5" i="4"/>
  <c r="E5" i="4"/>
  <c r="C5" i="4"/>
  <c r="G25" i="4"/>
  <c r="E25" i="4"/>
  <c r="C25" i="4"/>
  <c r="G7" i="4"/>
  <c r="E7" i="4"/>
  <c r="C7" i="4"/>
  <c r="L40" i="2"/>
  <c r="G10" i="4"/>
  <c r="E10" i="4"/>
  <c r="C10" i="4"/>
  <c r="G32" i="4"/>
  <c r="E32" i="4"/>
  <c r="C32" i="4"/>
  <c r="G19" i="4"/>
  <c r="E19" i="4"/>
  <c r="C19" i="4"/>
  <c r="L6" i="4"/>
  <c r="N6" i="4" s="1"/>
  <c r="G6" i="4"/>
  <c r="E6" i="4"/>
  <c r="C6" i="4"/>
  <c r="G9" i="4"/>
  <c r="E9" i="4"/>
  <c r="C9" i="4"/>
  <c r="Q14" i="2"/>
  <c r="O14" i="2"/>
  <c r="L8" i="4"/>
  <c r="N8" i="4" s="1"/>
  <c r="J14" i="21"/>
  <c r="I4" i="4"/>
  <c r="L4" i="4"/>
  <c r="N4" i="4" s="1"/>
  <c r="G10" i="22" l="1"/>
  <c r="G18" i="22"/>
  <c r="X26" i="2"/>
  <c r="J25" i="21"/>
  <c r="E21" i="22"/>
  <c r="M21" i="22" s="1"/>
  <c r="J17" i="21"/>
  <c r="E26" i="22"/>
  <c r="M26" i="22" s="1"/>
  <c r="E18" i="22"/>
  <c r="M18" i="22" s="1"/>
  <c r="E12" i="22"/>
  <c r="M12" i="22" s="1"/>
  <c r="E14" i="22"/>
  <c r="M14" i="22" s="1"/>
  <c r="J13" i="21"/>
  <c r="J18" i="21"/>
  <c r="J26" i="21"/>
  <c r="E20" i="22"/>
  <c r="M20" i="22" s="1"/>
  <c r="E19" i="22"/>
  <c r="M19" i="22" s="1"/>
  <c r="E23" i="22"/>
  <c r="M23" i="22" s="1"/>
  <c r="J23" i="21"/>
  <c r="Q40" i="2"/>
  <c r="E10" i="22"/>
  <c r="M10" i="22" s="1"/>
  <c r="J10" i="21"/>
  <c r="M25" i="22"/>
  <c r="M13" i="22"/>
  <c r="M11" i="22"/>
  <c r="M24" i="22"/>
  <c r="M15" i="22"/>
  <c r="M9" i="22"/>
  <c r="M22" i="22"/>
  <c r="M16" i="22"/>
  <c r="M17" i="22"/>
  <c r="O15" i="2"/>
  <c r="Q15" i="2"/>
  <c r="O13" i="2"/>
  <c r="Q13" i="2"/>
  <c r="Q12" i="2"/>
  <c r="O12" i="2"/>
  <c r="M8" i="22"/>
  <c r="H16" i="2"/>
  <c r="H14" i="2"/>
  <c r="H13" i="2"/>
  <c r="H12" i="2"/>
  <c r="H11" i="2"/>
  <c r="O4" i="4"/>
  <c r="N43" i="4"/>
  <c r="M3" i="22"/>
  <c r="H40" i="2" l="1"/>
  <c r="O40" i="2"/>
  <c r="I53" i="2"/>
  <c r="L53" i="2" s="1"/>
  <c r="N53" i="2" s="1"/>
  <c r="I43" i="2"/>
  <c r="L43" i="2" s="1"/>
  <c r="N43" i="2" s="1"/>
  <c r="J4" i="21"/>
  <c r="M4" i="22"/>
  <c r="J5" i="21"/>
  <c r="M5" i="22"/>
  <c r="M6" i="22"/>
  <c r="J6" i="21"/>
  <c r="M7" i="22"/>
  <c r="J7" i="21"/>
  <c r="O43" i="4"/>
  <c r="K47" i="4"/>
  <c r="X40" i="2"/>
  <c r="N52" i="2" l="1"/>
  <c r="N50" i="2"/>
  <c r="N51" i="2" s="1"/>
  <c r="G2" i="22"/>
  <c r="M2" i="22" s="1"/>
  <c r="V40" i="2"/>
  <c r="L47" i="4"/>
  <c r="M47" i="4"/>
  <c r="I54" i="2" l="1"/>
  <c r="L54" i="2" s="1"/>
  <c r="N54" i="2" s="1"/>
</calcChain>
</file>

<file path=xl/sharedStrings.xml><?xml version="1.0" encoding="utf-8"?>
<sst xmlns="http://schemas.openxmlformats.org/spreadsheetml/2006/main" count="488" uniqueCount="189">
  <si>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</si>
  <si>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</si>
  <si>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</si>
  <si>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</si>
  <si>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</si>
  <si>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</si>
  <si>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</si>
  <si>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</si>
  <si>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</si>
  <si>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</si>
  <si>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</si>
  <si>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</si>
  <si>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</si>
  <si>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</si>
  <si>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</si>
  <si>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</si>
  <si>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</si>
  <si>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</si>
  <si>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</si>
  <si>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</si>
  <si>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</si>
  <si>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</si>
  <si>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</si>
  <si>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</si>
  <si>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</si>
  <si>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</si>
  <si>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</si>
  <si>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</si>
  <si>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</si>
  <si>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</si>
  <si>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</si>
  <si>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</si>
  <si>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</si>
  <si>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</si>
  <si>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</si>
  <si>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</si>
  <si>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</si>
  <si>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</si>
  <si>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</si>
  <si>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</si>
  <si>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</si>
  <si>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JUIN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</si>
  <si>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</si>
  <si>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</si>
  <si>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</si>
  <si>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</si>
  <si>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</si>
  <si>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</si>
  <si>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</si>
  <si>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</si>
  <si>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</si>
  <si>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</si>
  <si>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</si>
  <si>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</si>
  <si>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</si>
  <si>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</si>
  <si>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</si>
  <si>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juin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</si>
  <si>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</si>
  <si>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</si>
  <si>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</si>
  <si>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</si>
  <si>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</si>
  <si>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</si>
  <si>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</si>
  <si>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</si>
  <si>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</si>
  <si>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</si>
  <si>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</si>
  <si>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</si>
  <si>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</si>
  <si>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</si>
  <si>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</si>
  <si>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</si>
  <si>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</si>
  <si>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</si>
  <si>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</si>
  <si>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</si>
  <si>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</si>
  <si>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</si>
  <si>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</si>
  <si>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</si>
  <si>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</si>
  <si>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</si>
  <si>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</si>
  <si>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</si>
  <si>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</si>
  <si>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juin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</si>
  <si>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</si>
  <si>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</si>
  <si>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</si>
  <si>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</si>
  <si>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</si>
  <si>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</si>
  <si>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</si>
  <si>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</si>
  <si>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</si>
  <si>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01jours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</si>
  <si>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</si>
  <si>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</si>
  <si>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</si>
  <si>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</si>
  <si>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</si>
  <si>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</si>
  <si>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</si>
  <si>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</si>
  <si>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</si>
  <si>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</si>
  <si>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</si>
  <si>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</si>
  <si>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</si>
  <si>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</si>
  <si>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</si>
  <si>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</si>
  <si>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</si>
  <si>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</si>
  <si>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</si>
  <si>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</si>
  <si>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</si>
  <si>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</si>
  <si>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</si>
  <si>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</si>
  <si>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</si>
  <si>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</si>
  <si>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</si>
  <si>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</si>
  <si>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</si>
  <si>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</si>
  <si>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</si>
  <si>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</si>
  <si>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</si>
  <si>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30jours</t>
  </si>
  <si>
    <t>Estimation de la consommation d'Eau Sanitaire juin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</si>
  <si>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</si>
  <si>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</si>
  <si>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</si>
  <si>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</si>
  <si>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</si>
  <si>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</si>
  <si>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</si>
  <si>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</si>
  <si>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</si>
  <si>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</si>
  <si>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</si>
  <si>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</si>
  <si>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</si>
  <si>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</si>
  <si>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</si>
  <si>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</si>
  <si>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</si>
  <si>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</si>
  <si>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</si>
  <si>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</si>
  <si>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Estimation de la consommation d'Eau Sanitaire MAI 2022</t>
  </si>
  <si>
    <t>Tranche 5</t>
  </si>
  <si>
    <t>Estimation de la consommation d'Eau incendie MAI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</si>
  <si>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</si>
  <si>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</si>
  <si>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</si>
  <si>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</si>
  <si>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</si>
  <si>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</si>
  <si>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</si>
  <si>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</si>
  <si>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</si>
  <si>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</si>
  <si>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</si>
  <si>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</si>
  <si>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</si>
  <si>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</si>
  <si>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</si>
  <si>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</si>
  <si>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</si>
  <si>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</si>
  <si>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</si>
  <si>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</si>
  <si>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</si>
  <si>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</si>
  <si>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</si>
  <si>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</si>
  <si>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</si>
  <si>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</si>
  <si>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</si>
  <si>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</si>
  <si>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</si>
  <si>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</si>
  <si>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</si>
  <si>
    <t xml:space="preserve">TOTAL  </t>
  </si>
  <si>
    <t>UNIT KW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</si>
</sst>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4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0" fontId="19" fillId="31" borderId="10" xfId="0" applyFont="1" applyFill="1" applyBorder="1" applyAlignment="1">
      <alignment horizontal="center" vertical="center"/>
    </xf>
    <xf numFmtId="164" fontId="2" fillId="4" borderId="8" xfId="0" applyNumberFormat="1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40" fillId="6" borderId="5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2" fontId="11" fillId="6" borderId="30" xfId="0" applyNumberFormat="1" applyFont="1" applyFill="1" applyBorder="1" applyAlignment="1">
      <alignment horizontal="center" vertical="center" wrapText="1"/>
    </xf>
    <xf numFmtId="2" fontId="11" fillId="6" borderId="37" xfId="0" applyNumberFormat="1" applyFont="1" applyFill="1" applyBorder="1" applyAlignment="1">
      <alignment horizontal="center" vertical="center" wrapText="1"/>
    </xf>
    <xf numFmtId="2" fontId="11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40" fillId="6" borderId="30" xfId="0" applyNumberFormat="1" applyFont="1" applyFill="1" applyBorder="1" applyAlignment="1">
      <alignment horizontal="center" vertical="center" wrapText="1"/>
    </xf>
    <xf numFmtId="0" fontId="37" fillId="0" borderId="3" xfId="0" applyFont="1" applyBorder="1" applyAlignment="1">
      <alignment horizontal="center" vertical="center" wrapText="1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7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  <c:pt idx="30">
                  <c:v>44743</c:v>
                </c:pt>
                <c:pt idx="31">
                  <c:v>44744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267</c:v>
                </c:pt>
                <c:pt idx="1">
                  <c:v>165.29999999998836</c:v>
                </c:pt>
                <c:pt idx="2">
                  <c:v>158.90000000002328</c:v>
                </c:pt>
                <c:pt idx="3">
                  <c:v>157.79999999998836</c:v>
                </c:pt>
                <c:pt idx="4">
                  <c:v>160</c:v>
                </c:pt>
                <c:pt idx="5">
                  <c:v>145</c:v>
                </c:pt>
                <c:pt idx="6">
                  <c:v>155</c:v>
                </c:pt>
                <c:pt idx="7">
                  <c:v>139</c:v>
                </c:pt>
                <c:pt idx="8">
                  <c:v>135</c:v>
                </c:pt>
                <c:pt idx="9">
                  <c:v>175.29999999998836</c:v>
                </c:pt>
                <c:pt idx="10">
                  <c:v>170.60000000000582</c:v>
                </c:pt>
                <c:pt idx="11">
                  <c:v>163.10000000000582</c:v>
                </c:pt>
                <c:pt idx="12">
                  <c:v>151</c:v>
                </c:pt>
                <c:pt idx="13">
                  <c:v>149.10000000000582</c:v>
                </c:pt>
                <c:pt idx="14">
                  <c:v>153</c:v>
                </c:pt>
                <c:pt idx="15">
                  <c:v>161.89999999999418</c:v>
                </c:pt>
                <c:pt idx="16">
                  <c:v>160</c:v>
                </c:pt>
                <c:pt idx="17">
                  <c:v>182</c:v>
                </c:pt>
                <c:pt idx="18">
                  <c:v>156.39999999999418</c:v>
                </c:pt>
                <c:pt idx="19">
                  <c:v>287.60000000000582</c:v>
                </c:pt>
                <c:pt idx="20">
                  <c:v>155.10000000000582</c:v>
                </c:pt>
                <c:pt idx="21">
                  <c:v>179.19999999998254</c:v>
                </c:pt>
                <c:pt idx="22">
                  <c:v>158.70000000001164</c:v>
                </c:pt>
                <c:pt idx="23">
                  <c:v>173</c:v>
                </c:pt>
                <c:pt idx="24">
                  <c:v>154</c:v>
                </c:pt>
                <c:pt idx="25">
                  <c:v>176</c:v>
                </c:pt>
                <c:pt idx="26">
                  <c:v>180</c:v>
                </c:pt>
                <c:pt idx="27">
                  <c:v>165</c:v>
                </c:pt>
                <c:pt idx="28">
                  <c:v>145.89999999999418</c:v>
                </c:pt>
                <c:pt idx="29">
                  <c:v>154.39999999999418</c:v>
                </c:pt>
                <c:pt idx="30">
                  <c:v>171.70000000001164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  <c:pt idx="30">
                  <c:v>44743</c:v>
                </c:pt>
                <c:pt idx="31">
                  <c:v>44744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4384</c:v>
                </c:pt>
                <c:pt idx="1">
                  <c:v>4441</c:v>
                </c:pt>
                <c:pt idx="2">
                  <c:v>3749</c:v>
                </c:pt>
                <c:pt idx="3">
                  <c:v>4936</c:v>
                </c:pt>
                <c:pt idx="4">
                  <c:v>4461</c:v>
                </c:pt>
                <c:pt idx="5">
                  <c:v>4437</c:v>
                </c:pt>
                <c:pt idx="6">
                  <c:v>4900</c:v>
                </c:pt>
                <c:pt idx="7">
                  <c:v>5117</c:v>
                </c:pt>
                <c:pt idx="8">
                  <c:v>5025</c:v>
                </c:pt>
                <c:pt idx="9">
                  <c:v>4793</c:v>
                </c:pt>
                <c:pt idx="10">
                  <c:v>5146</c:v>
                </c:pt>
                <c:pt idx="11">
                  <c:v>5362</c:v>
                </c:pt>
                <c:pt idx="12">
                  <c:v>4871</c:v>
                </c:pt>
                <c:pt idx="13">
                  <c:v>4707</c:v>
                </c:pt>
                <c:pt idx="14">
                  <c:v>5447</c:v>
                </c:pt>
                <c:pt idx="15">
                  <c:v>6069</c:v>
                </c:pt>
                <c:pt idx="16">
                  <c:v>4705</c:v>
                </c:pt>
                <c:pt idx="17">
                  <c:v>6739</c:v>
                </c:pt>
                <c:pt idx="18">
                  <c:v>4891</c:v>
                </c:pt>
                <c:pt idx="19">
                  <c:v>4790</c:v>
                </c:pt>
                <c:pt idx="20">
                  <c:v>4704</c:v>
                </c:pt>
                <c:pt idx="21">
                  <c:v>4239</c:v>
                </c:pt>
                <c:pt idx="22">
                  <c:v>4926</c:v>
                </c:pt>
                <c:pt idx="23">
                  <c:v>4361</c:v>
                </c:pt>
                <c:pt idx="24">
                  <c:v>4488</c:v>
                </c:pt>
                <c:pt idx="25">
                  <c:v>4644</c:v>
                </c:pt>
                <c:pt idx="26">
                  <c:v>4085</c:v>
                </c:pt>
                <c:pt idx="27">
                  <c:v>4509</c:v>
                </c:pt>
                <c:pt idx="28">
                  <c:v>3614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  <c:pt idx="30">
                  <c:v>44743</c:v>
                </c:pt>
                <c:pt idx="31">
                  <c:v>44744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9147</c:v>
                </c:pt>
                <c:pt idx="1">
                  <c:v>10256</c:v>
                </c:pt>
                <c:pt idx="2">
                  <c:v>10529</c:v>
                </c:pt>
                <c:pt idx="3">
                  <c:v>10072</c:v>
                </c:pt>
                <c:pt idx="4">
                  <c:v>10146</c:v>
                </c:pt>
                <c:pt idx="5">
                  <c:v>9912</c:v>
                </c:pt>
                <c:pt idx="6">
                  <c:v>10384</c:v>
                </c:pt>
                <c:pt idx="7">
                  <c:v>10773</c:v>
                </c:pt>
                <c:pt idx="8">
                  <c:v>10593</c:v>
                </c:pt>
                <c:pt idx="9">
                  <c:v>10865</c:v>
                </c:pt>
                <c:pt idx="10">
                  <c:v>10605</c:v>
                </c:pt>
                <c:pt idx="11">
                  <c:v>11461</c:v>
                </c:pt>
                <c:pt idx="12">
                  <c:v>12046</c:v>
                </c:pt>
                <c:pt idx="13">
                  <c:v>11903</c:v>
                </c:pt>
                <c:pt idx="14">
                  <c:v>11104</c:v>
                </c:pt>
                <c:pt idx="15">
                  <c:v>11429</c:v>
                </c:pt>
                <c:pt idx="16">
                  <c:v>9475</c:v>
                </c:pt>
                <c:pt idx="17">
                  <c:v>10063</c:v>
                </c:pt>
                <c:pt idx="18">
                  <c:v>8929</c:v>
                </c:pt>
                <c:pt idx="19">
                  <c:v>9626</c:v>
                </c:pt>
                <c:pt idx="20">
                  <c:v>9949</c:v>
                </c:pt>
                <c:pt idx="21">
                  <c:v>8691</c:v>
                </c:pt>
                <c:pt idx="22">
                  <c:v>10122</c:v>
                </c:pt>
                <c:pt idx="23">
                  <c:v>9600</c:v>
                </c:pt>
                <c:pt idx="24">
                  <c:v>9074</c:v>
                </c:pt>
                <c:pt idx="25">
                  <c:v>9126</c:v>
                </c:pt>
                <c:pt idx="26">
                  <c:v>8349</c:v>
                </c:pt>
                <c:pt idx="27">
                  <c:v>8329</c:v>
                </c:pt>
                <c:pt idx="28">
                  <c:v>9746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  <c:pt idx="30">
                  <c:v>44743</c:v>
                </c:pt>
                <c:pt idx="31">
                  <c:v>44744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3394</c:v>
                </c:pt>
                <c:pt idx="1">
                  <c:v>3721</c:v>
                </c:pt>
                <c:pt idx="2">
                  <c:v>3819</c:v>
                </c:pt>
                <c:pt idx="3">
                  <c:v>3952</c:v>
                </c:pt>
                <c:pt idx="4">
                  <c:v>3938</c:v>
                </c:pt>
                <c:pt idx="5">
                  <c:v>3710</c:v>
                </c:pt>
                <c:pt idx="6">
                  <c:v>4539</c:v>
                </c:pt>
                <c:pt idx="7">
                  <c:v>4172</c:v>
                </c:pt>
                <c:pt idx="8">
                  <c:v>4219</c:v>
                </c:pt>
                <c:pt idx="9">
                  <c:v>3986</c:v>
                </c:pt>
                <c:pt idx="10">
                  <c:v>4231</c:v>
                </c:pt>
                <c:pt idx="11">
                  <c:v>4511</c:v>
                </c:pt>
                <c:pt idx="12">
                  <c:v>4428</c:v>
                </c:pt>
                <c:pt idx="13">
                  <c:v>4890</c:v>
                </c:pt>
                <c:pt idx="14">
                  <c:v>4048</c:v>
                </c:pt>
                <c:pt idx="15">
                  <c:v>4644</c:v>
                </c:pt>
                <c:pt idx="16">
                  <c:v>3945</c:v>
                </c:pt>
                <c:pt idx="17">
                  <c:v>5247</c:v>
                </c:pt>
                <c:pt idx="18">
                  <c:v>3584</c:v>
                </c:pt>
                <c:pt idx="19">
                  <c:v>4619</c:v>
                </c:pt>
                <c:pt idx="20">
                  <c:v>3687</c:v>
                </c:pt>
                <c:pt idx="21">
                  <c:v>3846</c:v>
                </c:pt>
                <c:pt idx="22">
                  <c:v>3714</c:v>
                </c:pt>
                <c:pt idx="23">
                  <c:v>3351</c:v>
                </c:pt>
                <c:pt idx="24">
                  <c:v>3460</c:v>
                </c:pt>
                <c:pt idx="25">
                  <c:v>3594</c:v>
                </c:pt>
                <c:pt idx="26">
                  <c:v>3459</c:v>
                </c:pt>
                <c:pt idx="27">
                  <c:v>3535</c:v>
                </c:pt>
                <c:pt idx="28">
                  <c:v>4165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  <c:pt idx="30">
                  <c:v>44743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159.99605</c:v>
                </c:pt>
                <c:pt idx="1">
                  <c:v>287.99288999999999</c:v>
                </c:pt>
                <c:pt idx="2">
                  <c:v>319.99209999999999</c:v>
                </c:pt>
                <c:pt idx="3">
                  <c:v>351.99131</c:v>
                </c:pt>
                <c:pt idx="4">
                  <c:v>287.99288999999999</c:v>
                </c:pt>
                <c:pt idx="5">
                  <c:v>127.99684000000001</c:v>
                </c:pt>
                <c:pt idx="6">
                  <c:v>351.99131</c:v>
                </c:pt>
                <c:pt idx="7">
                  <c:v>223.99447000000001</c:v>
                </c:pt>
                <c:pt idx="8">
                  <c:v>287.99288999999999</c:v>
                </c:pt>
                <c:pt idx="9">
                  <c:v>383.99052</c:v>
                </c:pt>
                <c:pt idx="10">
                  <c:v>415.98973000000001</c:v>
                </c:pt>
                <c:pt idx="11">
                  <c:v>159.99605</c:v>
                </c:pt>
                <c:pt idx="12">
                  <c:v>95.997630000000001</c:v>
                </c:pt>
                <c:pt idx="13">
                  <c:v>287.99288999999999</c:v>
                </c:pt>
                <c:pt idx="14">
                  <c:v>159.99605</c:v>
                </c:pt>
                <c:pt idx="15">
                  <c:v>255.99368000000001</c:v>
                </c:pt>
                <c:pt idx="16">
                  <c:v>351.99131</c:v>
                </c:pt>
                <c:pt idx="17">
                  <c:v>223.99447000000001</c:v>
                </c:pt>
                <c:pt idx="18">
                  <c:v>415.98973000000001</c:v>
                </c:pt>
                <c:pt idx="19">
                  <c:v>255.99368000000001</c:v>
                </c:pt>
                <c:pt idx="20">
                  <c:v>287.99288999999999</c:v>
                </c:pt>
                <c:pt idx="21">
                  <c:v>351.99131</c:v>
                </c:pt>
                <c:pt idx="22">
                  <c:v>255.99368000000001</c:v>
                </c:pt>
                <c:pt idx="23">
                  <c:v>383.99052</c:v>
                </c:pt>
                <c:pt idx="24">
                  <c:v>127.99684000000001</c:v>
                </c:pt>
                <c:pt idx="25">
                  <c:v>127.99684000000001</c:v>
                </c:pt>
                <c:pt idx="26">
                  <c:v>799.98025000000007</c:v>
                </c:pt>
                <c:pt idx="27">
                  <c:v>31.999210000000001</c:v>
                </c:pt>
                <c:pt idx="28">
                  <c:v>95.997630000000001</c:v>
                </c:pt>
                <c:pt idx="29">
                  <c:v>351.99131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  <c:pt idx="2">
                  <c:v>316387</c:v>
                </c:pt>
                <c:pt idx="3">
                  <c:v>353545</c:v>
                </c:pt>
                <c:pt idx="4">
                  <c:v>452426</c:v>
                </c:pt>
                <c:pt idx="5">
                  <c:v>581939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  <c:pt idx="1">
                  <c:v>278597.25799999997</c:v>
                </c:pt>
                <c:pt idx="2">
                  <c:v>348747.65639999998</c:v>
                </c:pt>
                <c:pt idx="3">
                  <c:v>387220.18520000001</c:v>
                </c:pt>
                <c:pt idx="4">
                  <c:v>491171.98007499997</c:v>
                </c:pt>
                <c:pt idx="5">
                  <c:v>632956.33517999994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  <c:pt idx="1">
                  <c:v>2215.8999999999942</c:v>
                </c:pt>
                <c:pt idx="2">
                  <c:v>3842</c:v>
                </c:pt>
                <c:pt idx="3">
                  <c:v>3393</c:v>
                </c:pt>
                <c:pt idx="4">
                  <c:v>4551.1000000000058</c:v>
                </c:pt>
                <c:pt idx="5">
                  <c:v>4938.8999999999942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  <c:pt idx="1">
                  <c:v>25284.259999999933</c:v>
                </c:pt>
                <c:pt idx="2">
                  <c:v>43821.8</c:v>
                </c:pt>
                <c:pt idx="3">
                  <c:v>38703.199999999997</c:v>
                </c:pt>
                <c:pt idx="4">
                  <c:v>51905.540000000059</c:v>
                </c:pt>
                <c:pt idx="5">
                  <c:v>56326.459999999934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  <c:pt idx="1">
                  <c:v>13938.621000000001</c:v>
                </c:pt>
                <c:pt idx="2">
                  <c:v>316387</c:v>
                </c:pt>
                <c:pt idx="3">
                  <c:v>23168.613000000001</c:v>
                </c:pt>
                <c:pt idx="4">
                  <c:v>13780.45</c:v>
                </c:pt>
                <c:pt idx="5">
                  <c:v>4938.8999999999942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  <c:pt idx="1">
                  <c:v>164336.34159</c:v>
                </c:pt>
                <c:pt idx="2">
                  <c:v>348747.65639999998</c:v>
                </c:pt>
                <c:pt idx="3">
                  <c:v>316019.88132000004</c:v>
                </c:pt>
                <c:pt idx="4">
                  <c:v>181075.11300000001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0"/>
  <sheetViews>
    <sheetView workbookViewId="0">
      <selection activeCell="F2" sqref="F2:F31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38" customWidth="1"/>
    <col min="4" max="4" width="13.42578125" style="139" customWidth="1"/>
    <col min="5" max="5" width="12.5703125" style="135" customWidth="1"/>
    <col min="6" max="6" width="12.5703125" style="47" customWidth="1"/>
    <col min="7" max="10" width="8.85546875" style="47" customWidth="1"/>
    <col min="11" max="12" width="8.85546875" style="135" customWidth="1"/>
    <col min="13" max="13" width="0" hidden="1" customWidth="1"/>
  </cols>
  <sheetData>
    <row r="1" spans="1:13" s="98" customFormat="1" ht="75.75" thickBot="1" x14ac:dyDescent="0.3">
      <c r="A1" s="133" t="s">
        <v>0</v>
      </c>
      <c r="B1" s="136" t="s">
        <v>1</v>
      </c>
      <c r="C1" s="136" t="s">
        <v>2</v>
      </c>
      <c r="D1" s="137" t="s">
        <v>3</v>
      </c>
      <c r="E1" s="143" t="s">
        <v>4</v>
      </c>
      <c r="F1" s="140" t="s">
        <v>5</v>
      </c>
      <c r="G1" s="140" t="s">
        <v>6</v>
      </c>
      <c r="H1" s="140" t="s">
        <v>7</v>
      </c>
      <c r="I1" s="140" t="s">
        <v>8</v>
      </c>
      <c r="J1" s="140" t="s">
        <v>9</v>
      </c>
      <c r="K1" s="143" t="s">
        <v>10</v>
      </c>
      <c r="L1" s="143" t="s">
        <v>11</v>
      </c>
      <c r="M1" s="130" t="s">
        <v>12</v>
      </c>
    </row>
    <row r="2" spans="1:13" x14ac:dyDescent="0.2">
      <c r="A2" s="134" t="s">
        <v>13</v>
      </c>
      <c r="B2" s="138">
        <v>1</v>
      </c>
      <c r="C2" s="138">
        <v>6</v>
      </c>
      <c r="D2" s="139">
        <v>2022</v>
      </c>
      <c r="E2" s="135">
        <f>submetering!E2+submetering!F2+submetering!G2</f>
        <v>16925</v>
      </c>
      <c r="F2" s="132">
        <v>1.0900000000000001</v>
      </c>
      <c r="G2" s="132">
        <f>'Consommation mensuel énergie'!V10</f>
        <v>159.99605</v>
      </c>
      <c r="H2" s="132">
        <v>11.77</v>
      </c>
      <c r="I2" s="132">
        <f>'Consommation mensuel énergie'!F10</f>
        <v>267</v>
      </c>
      <c r="J2" s="132">
        <v>11.4</v>
      </c>
      <c r="K2" s="135">
        <f>'Consommation mensuel énergie'!D10</f>
        <v>179</v>
      </c>
      <c r="L2" s="135">
        <f>'Consommation mensuel énergie'!E10</f>
        <v>253</v>
      </c>
      <c r="M2" s="131" t="e">
        <f>E2*F2+G2*H2+#REF!*#REF!+I2*J2</f>
        <v>#REF!</v>
      </c>
    </row>
    <row r="3" spans="1:13" x14ac:dyDescent="0.2">
      <c r="A3" s="134" t="s">
        <v>13</v>
      </c>
      <c r="B3" s="138">
        <f>B2+1</f>
        <v>2</v>
      </c>
      <c r="C3" s="138">
        <v>6</v>
      </c>
      <c r="D3" s="139">
        <v>2022</v>
      </c>
      <c r="E3" s="135">
        <f>submetering!E3+submetering!F3+submetering!G3</f>
        <v>18418</v>
      </c>
      <c r="F3" s="132">
        <v>1.0900000000000001</v>
      </c>
      <c r="G3" s="132">
        <f>'Consommation mensuel énergie'!V11</f>
        <v>287.99288999999999</v>
      </c>
      <c r="H3" s="132">
        <v>11.77</v>
      </c>
      <c r="I3" s="132">
        <f>'Consommation mensuel énergie'!F11</f>
        <v>165.29999999998836</v>
      </c>
      <c r="J3" s="132">
        <v>11.4</v>
      </c>
      <c r="K3" s="135">
        <f>'Consommation mensuel énergie'!D11</f>
        <v>177</v>
      </c>
      <c r="L3" s="135">
        <f>'Consommation mensuel énergie'!E11</f>
        <v>263</v>
      </c>
      <c r="M3" s="131" t="e">
        <f>E3*F3+G3*H3+#REF!*#REF!+I3*J3</f>
        <v>#REF!</v>
      </c>
    </row>
    <row r="4" spans="1:13" x14ac:dyDescent="0.2">
      <c r="A4" s="134" t="s">
        <v>13</v>
      </c>
      <c r="B4" s="138">
        <f t="shared" ref="B4:B25" si="0">B3+1</f>
        <v>3</v>
      </c>
      <c r="C4" s="138">
        <v>6</v>
      </c>
      <c r="D4" s="139">
        <v>2022</v>
      </c>
      <c r="E4" s="135">
        <f>submetering!E4+submetering!F4+submetering!G4</f>
        <v>18097</v>
      </c>
      <c r="F4" s="132">
        <v>1.0900000000000001</v>
      </c>
      <c r="G4" s="132">
        <f>'Consommation mensuel énergie'!V12</f>
        <v>319.99209999999999</v>
      </c>
      <c r="H4" s="132">
        <v>11.77</v>
      </c>
      <c r="I4" s="132">
        <f>'Consommation mensuel énergie'!F12</f>
        <v>158.90000000002328</v>
      </c>
      <c r="J4" s="132">
        <v>11.4</v>
      </c>
      <c r="K4" s="135">
        <f>'Consommation mensuel énergie'!D12</f>
        <v>173</v>
      </c>
      <c r="L4" s="135">
        <f>'Consommation mensuel énergie'!E12</f>
        <v>289</v>
      </c>
      <c r="M4" s="131" t="e">
        <f>E4*F4+G4*H4+#REF!*#REF!+I4*J4</f>
        <v>#REF!</v>
      </c>
    </row>
    <row r="5" spans="1:13" x14ac:dyDescent="0.2">
      <c r="A5" s="134" t="s">
        <v>13</v>
      </c>
      <c r="B5" s="138">
        <f t="shared" si="0"/>
        <v>4</v>
      </c>
      <c r="C5" s="138">
        <v>6</v>
      </c>
      <c r="D5" s="139">
        <v>2022</v>
      </c>
      <c r="E5" s="135">
        <f>submetering!E5+submetering!F5+submetering!G5</f>
        <v>18960</v>
      </c>
      <c r="F5" s="132">
        <v>1.0900000000000001</v>
      </c>
      <c r="G5" s="132">
        <f>'Consommation mensuel énergie'!V13</f>
        <v>351.99131</v>
      </c>
      <c r="H5" s="132">
        <v>11.77</v>
      </c>
      <c r="I5" s="132">
        <f>'Consommation mensuel énergie'!F13</f>
        <v>157.79999999998836</v>
      </c>
      <c r="J5" s="132">
        <v>11.4</v>
      </c>
      <c r="K5" s="135">
        <f>'Consommation mensuel énergie'!D13</f>
        <v>171</v>
      </c>
      <c r="L5" s="135">
        <f>'Consommation mensuel énergie'!E13</f>
        <v>289</v>
      </c>
      <c r="M5" s="131" t="e">
        <f>E5*F5+G5*H5+#REF!*#REF!+I5*J5</f>
        <v>#REF!</v>
      </c>
    </row>
    <row r="6" spans="1:13" x14ac:dyDescent="0.2">
      <c r="A6" s="134" t="s">
        <v>13</v>
      </c>
      <c r="B6" s="138">
        <f t="shared" si="0"/>
        <v>5</v>
      </c>
      <c r="C6" s="138">
        <v>6</v>
      </c>
      <c r="D6" s="139">
        <v>2022</v>
      </c>
      <c r="E6" s="135">
        <f>submetering!E6+submetering!F6+submetering!G6</f>
        <v>18545</v>
      </c>
      <c r="F6" s="132">
        <v>1.0900000000000001</v>
      </c>
      <c r="G6" s="132">
        <f>'Consommation mensuel énergie'!V14</f>
        <v>287.99288999999999</v>
      </c>
      <c r="H6" s="132">
        <v>11.77</v>
      </c>
      <c r="I6" s="132">
        <f>'Consommation mensuel énergie'!F14</f>
        <v>160</v>
      </c>
      <c r="J6" s="132">
        <v>11.4</v>
      </c>
      <c r="K6" s="135">
        <f>'Consommation mensuel énergie'!D14</f>
        <v>146</v>
      </c>
      <c r="L6" s="135">
        <f>'Consommation mensuel énergie'!E14</f>
        <v>229</v>
      </c>
      <c r="M6" s="131" t="e">
        <f>E6*F6+G6*H6+#REF!*#REF!+I6*J6</f>
        <v>#REF!</v>
      </c>
    </row>
    <row r="7" spans="1:13" x14ac:dyDescent="0.2">
      <c r="A7" s="134" t="s">
        <v>13</v>
      </c>
      <c r="B7" s="138">
        <f t="shared" si="0"/>
        <v>6</v>
      </c>
      <c r="C7" s="138">
        <v>6</v>
      </c>
      <c r="D7" s="139">
        <v>2022</v>
      </c>
      <c r="E7" s="135">
        <f>submetering!E7+submetering!F7+submetering!G7</f>
        <v>18059</v>
      </c>
      <c r="F7" s="132">
        <v>1.0900000000000001</v>
      </c>
      <c r="G7" s="132">
        <f>'Consommation mensuel énergie'!V15</f>
        <v>127.99684000000001</v>
      </c>
      <c r="H7" s="132">
        <v>11.77</v>
      </c>
      <c r="I7" s="132">
        <f>'Consommation mensuel énergie'!F15</f>
        <v>145</v>
      </c>
      <c r="J7" s="132">
        <v>11.4</v>
      </c>
      <c r="K7" s="135">
        <f>'Consommation mensuel énergie'!D15</f>
        <v>134</v>
      </c>
      <c r="L7" s="135">
        <f>'Consommation mensuel énergie'!E15</f>
        <v>208</v>
      </c>
      <c r="M7" s="131" t="e">
        <f>E7*F7+G7*H7+#REF!*#REF!+I7*J7</f>
        <v>#REF!</v>
      </c>
    </row>
    <row r="8" spans="1:13" x14ac:dyDescent="0.2">
      <c r="A8" s="134" t="s">
        <v>13</v>
      </c>
      <c r="B8" s="138">
        <f t="shared" si="0"/>
        <v>7</v>
      </c>
      <c r="C8" s="138">
        <v>6</v>
      </c>
      <c r="D8" s="139">
        <v>2022</v>
      </c>
      <c r="E8" s="135">
        <f>submetering!E8+submetering!F8+submetering!G8</f>
        <v>19823</v>
      </c>
      <c r="F8" s="132">
        <v>1.0900000000000001</v>
      </c>
      <c r="G8" s="132">
        <f>'Consommation mensuel énergie'!V16</f>
        <v>351.99131</v>
      </c>
      <c r="H8" s="132">
        <v>11.77</v>
      </c>
      <c r="I8" s="132">
        <f>'Consommation mensuel énergie'!F16</f>
        <v>155</v>
      </c>
      <c r="J8" s="132">
        <v>11.4</v>
      </c>
      <c r="K8" s="135">
        <f>'Consommation mensuel énergie'!D16</f>
        <v>134</v>
      </c>
      <c r="L8" s="135">
        <f>'Consommation mensuel énergie'!E16</f>
        <v>201</v>
      </c>
      <c r="M8" s="131" t="e">
        <f>E8*F8+G8*H8+#REF!*#REF!+I8*J8</f>
        <v>#REF!</v>
      </c>
    </row>
    <row r="9" spans="1:13" x14ac:dyDescent="0.2">
      <c r="A9" s="134" t="s">
        <v>13</v>
      </c>
      <c r="B9" s="138">
        <f t="shared" si="0"/>
        <v>8</v>
      </c>
      <c r="C9" s="138">
        <v>6</v>
      </c>
      <c r="D9" s="139">
        <v>2022</v>
      </c>
      <c r="E9" s="135">
        <f>submetering!E9+submetering!F9+submetering!G9</f>
        <v>20062</v>
      </c>
      <c r="F9" s="132">
        <v>1.0900000000000001</v>
      </c>
      <c r="G9" s="132">
        <f>'Consommation mensuel énergie'!V17</f>
        <v>223.99447000000001</v>
      </c>
      <c r="H9" s="132">
        <v>11.77</v>
      </c>
      <c r="I9" s="132">
        <f>'Consommation mensuel énergie'!F17</f>
        <v>139</v>
      </c>
      <c r="J9" s="132">
        <v>11.4</v>
      </c>
      <c r="K9" s="135">
        <f>'Consommation mensuel énergie'!D17</f>
        <v>147</v>
      </c>
      <c r="L9" s="135">
        <f>'Consommation mensuel énergie'!E17</f>
        <v>205</v>
      </c>
      <c r="M9" s="131" t="e">
        <f>E9*F9+G9*H9+#REF!*#REF!+I9*J9</f>
        <v>#REF!</v>
      </c>
    </row>
    <row r="10" spans="1:13" x14ac:dyDescent="0.2">
      <c r="A10" s="134" t="s">
        <v>13</v>
      </c>
      <c r="B10" s="138">
        <f t="shared" si="0"/>
        <v>9</v>
      </c>
      <c r="C10" s="138">
        <v>6</v>
      </c>
      <c r="D10" s="139">
        <v>2022</v>
      </c>
      <c r="E10" s="135">
        <f>submetering!E10+submetering!F10+submetering!G10</f>
        <v>19837</v>
      </c>
      <c r="F10" s="132">
        <v>1.0900000000000001</v>
      </c>
      <c r="G10" s="132">
        <f>'Consommation mensuel énergie'!V18</f>
        <v>287.99288999999999</v>
      </c>
      <c r="H10" s="132">
        <v>11.77</v>
      </c>
      <c r="I10" s="132">
        <f>'Consommation mensuel énergie'!F18</f>
        <v>135</v>
      </c>
      <c r="J10" s="132">
        <v>11.4</v>
      </c>
      <c r="K10" s="135">
        <f>'Consommation mensuel énergie'!D18</f>
        <v>138</v>
      </c>
      <c r="L10" s="135">
        <f>'Consommation mensuel énergie'!E18</f>
        <v>200</v>
      </c>
      <c r="M10" s="131" t="e">
        <f>E10*F10+G10*H10+#REF!*#REF!+I10*J10</f>
        <v>#REF!</v>
      </c>
    </row>
    <row r="11" spans="1:13" x14ac:dyDescent="0.2">
      <c r="A11" s="134" t="s">
        <v>13</v>
      </c>
      <c r="B11" s="138">
        <f t="shared" si="0"/>
        <v>10</v>
      </c>
      <c r="C11" s="138">
        <v>6</v>
      </c>
      <c r="D11" s="139">
        <v>2022</v>
      </c>
      <c r="E11" s="135">
        <f>submetering!E11+submetering!F11+submetering!G11</f>
        <v>19644</v>
      </c>
      <c r="F11" s="132">
        <v>1.0900000000000001</v>
      </c>
      <c r="G11" s="132">
        <f>'Consommation mensuel énergie'!V19</f>
        <v>383.99052</v>
      </c>
      <c r="H11" s="132">
        <v>11.77</v>
      </c>
      <c r="I11" s="132">
        <f>'Consommation mensuel énergie'!F19</f>
        <v>175.29999999998836</v>
      </c>
      <c r="J11" s="132">
        <v>11.4</v>
      </c>
      <c r="K11" s="135">
        <f>'Consommation mensuel énergie'!D19</f>
        <v>120</v>
      </c>
      <c r="L11" s="135">
        <f>'Consommation mensuel énergie'!E19</f>
        <v>175</v>
      </c>
      <c r="M11" s="131" t="e">
        <f>E11*F11+G11*H11+#REF!*#REF!+I11*J11</f>
        <v>#REF!</v>
      </c>
    </row>
    <row r="12" spans="1:13" x14ac:dyDescent="0.2">
      <c r="A12" s="134" t="s">
        <v>13</v>
      </c>
      <c r="B12" s="138">
        <f t="shared" si="0"/>
        <v>11</v>
      </c>
      <c r="C12" s="138">
        <v>6</v>
      </c>
      <c r="D12" s="139">
        <v>2022</v>
      </c>
      <c r="E12" s="135">
        <f>submetering!E12+submetering!F12+submetering!G12</f>
        <v>19982</v>
      </c>
      <c r="F12" s="132">
        <v>1.0900000000000001</v>
      </c>
      <c r="G12" s="132">
        <f>'Consommation mensuel énergie'!V20</f>
        <v>415.98973000000001</v>
      </c>
      <c r="H12" s="132">
        <v>11.77</v>
      </c>
      <c r="I12" s="132">
        <f>'Consommation mensuel énergie'!F20</f>
        <v>170.60000000000582</v>
      </c>
      <c r="J12" s="132">
        <v>11.4</v>
      </c>
      <c r="K12" s="135">
        <f>'Consommation mensuel énergie'!D20</f>
        <v>173</v>
      </c>
      <c r="L12" s="135">
        <f>'Consommation mensuel énergie'!E20</f>
        <v>223</v>
      </c>
      <c r="M12" s="131" t="e">
        <f>E12*F12+G12*H12+#REF!*#REF!+I12*J12</f>
        <v>#REF!</v>
      </c>
    </row>
    <row r="13" spans="1:13" x14ac:dyDescent="0.2">
      <c r="A13" s="134" t="s">
        <v>13</v>
      </c>
      <c r="B13" s="138">
        <f t="shared" si="0"/>
        <v>12</v>
      </c>
      <c r="C13" s="138">
        <v>6</v>
      </c>
      <c r="D13" s="139">
        <v>2022</v>
      </c>
      <c r="E13" s="135">
        <f>submetering!E13+submetering!F13+submetering!G13</f>
        <v>21334</v>
      </c>
      <c r="F13" s="132">
        <v>1.0900000000000001</v>
      </c>
      <c r="G13" s="132">
        <f>'Consommation mensuel énergie'!V21</f>
        <v>159.99605</v>
      </c>
      <c r="H13" s="132">
        <v>11.77</v>
      </c>
      <c r="I13" s="132">
        <f>'Consommation mensuel énergie'!F21</f>
        <v>163.10000000000582</v>
      </c>
      <c r="J13" s="132">
        <v>11.4</v>
      </c>
      <c r="K13" s="135">
        <f>'Consommation mensuel énergie'!D21</f>
        <v>183</v>
      </c>
      <c r="L13" s="135">
        <f>'Consommation mensuel énergie'!E21</f>
        <v>237</v>
      </c>
      <c r="M13" s="131" t="e">
        <f>E13*F13+G13*H13+#REF!*#REF!+I13*J13</f>
        <v>#REF!</v>
      </c>
    </row>
    <row r="14" spans="1:13" x14ac:dyDescent="0.2">
      <c r="A14" s="134" t="s">
        <v>13</v>
      </c>
      <c r="B14" s="138">
        <f t="shared" si="0"/>
        <v>13</v>
      </c>
      <c r="C14" s="138">
        <v>6</v>
      </c>
      <c r="D14" s="139">
        <v>2022</v>
      </c>
      <c r="E14" s="135">
        <f>submetering!E14+submetering!F14+submetering!G14</f>
        <v>21345</v>
      </c>
      <c r="F14" s="132">
        <v>1.0900000000000001</v>
      </c>
      <c r="G14" s="132">
        <f>'Consommation mensuel énergie'!V22</f>
        <v>95.997630000000001</v>
      </c>
      <c r="H14" s="132">
        <v>11.77</v>
      </c>
      <c r="I14" s="132">
        <f>'Consommation mensuel énergie'!F22</f>
        <v>151</v>
      </c>
      <c r="J14" s="132">
        <v>11.4</v>
      </c>
      <c r="K14" s="135">
        <f>'Consommation mensuel énergie'!D22</f>
        <v>181</v>
      </c>
      <c r="L14" s="135">
        <f>'Consommation mensuel énergie'!E22</f>
        <v>226</v>
      </c>
      <c r="M14" s="131" t="e">
        <f>E14*F14+G14*H14+#REF!*#REF!+I14*J14</f>
        <v>#REF!</v>
      </c>
    </row>
    <row r="15" spans="1:13" x14ac:dyDescent="0.2">
      <c r="A15" s="134" t="s">
        <v>13</v>
      </c>
      <c r="B15" s="138">
        <f t="shared" si="0"/>
        <v>14</v>
      </c>
      <c r="C15" s="138">
        <v>6</v>
      </c>
      <c r="D15" s="139">
        <v>2022</v>
      </c>
      <c r="E15" s="135">
        <f>submetering!E15+submetering!F15+submetering!G15</f>
        <v>21500</v>
      </c>
      <c r="F15" s="132">
        <v>1.0900000000000001</v>
      </c>
      <c r="G15" s="132">
        <f>'Consommation mensuel énergie'!V23</f>
        <v>287.99288999999999</v>
      </c>
      <c r="H15" s="132">
        <v>11.77</v>
      </c>
      <c r="I15" s="132">
        <f>'Consommation mensuel énergie'!F23</f>
        <v>149.10000000000582</v>
      </c>
      <c r="J15" s="132">
        <v>11.4</v>
      </c>
      <c r="K15" s="135">
        <f>'Consommation mensuel énergie'!D23</f>
        <v>141</v>
      </c>
      <c r="L15" s="135">
        <f>'Consommation mensuel énergie'!E23</f>
        <v>189</v>
      </c>
      <c r="M15" s="131" t="e">
        <f>E15*F15+G15*H15+#REF!*#REF!+I15*J15</f>
        <v>#REF!</v>
      </c>
    </row>
    <row r="16" spans="1:13" x14ac:dyDescent="0.2">
      <c r="A16" s="134" t="s">
        <v>13</v>
      </c>
      <c r="B16" s="138">
        <f t="shared" si="0"/>
        <v>15</v>
      </c>
      <c r="C16" s="138">
        <v>6</v>
      </c>
      <c r="D16" s="139">
        <v>2022</v>
      </c>
      <c r="E16" s="135">
        <f>submetering!E16+submetering!F16+submetering!G16</f>
        <v>20599</v>
      </c>
      <c r="F16" s="132">
        <v>1.0900000000000001</v>
      </c>
      <c r="G16" s="132">
        <f>'Consommation mensuel énergie'!V24</f>
        <v>159.99605</v>
      </c>
      <c r="H16" s="132">
        <v>11.77</v>
      </c>
      <c r="I16" s="132">
        <f>'Consommation mensuel énergie'!F24</f>
        <v>153</v>
      </c>
      <c r="J16" s="132">
        <v>11.4</v>
      </c>
      <c r="K16" s="135">
        <f>'Consommation mensuel énergie'!D24</f>
        <v>170</v>
      </c>
      <c r="L16" s="135">
        <f>'Consommation mensuel énergie'!E24</f>
        <v>231</v>
      </c>
      <c r="M16" s="131" t="e">
        <f>E16*F16+G16*H16+#REF!*#REF!+I16*J16</f>
        <v>#REF!</v>
      </c>
    </row>
    <row r="17" spans="1:13" x14ac:dyDescent="0.2">
      <c r="A17" s="134" t="s">
        <v>13</v>
      </c>
      <c r="B17" s="138">
        <f t="shared" si="0"/>
        <v>16</v>
      </c>
      <c r="C17" s="138">
        <v>6</v>
      </c>
      <c r="D17" s="139">
        <v>2022</v>
      </c>
      <c r="E17" s="135">
        <f>submetering!E17+submetering!F17+submetering!G17</f>
        <v>22142</v>
      </c>
      <c r="F17" s="132">
        <v>1.0900000000000001</v>
      </c>
      <c r="G17" s="132">
        <f>'Consommation mensuel énergie'!V25</f>
        <v>255.99368000000001</v>
      </c>
      <c r="H17" s="132">
        <v>11.77</v>
      </c>
      <c r="I17" s="132">
        <f>'Consommation mensuel énergie'!F25</f>
        <v>161.89999999999418</v>
      </c>
      <c r="J17" s="132">
        <v>11.4</v>
      </c>
      <c r="K17" s="135">
        <f>'Consommation mensuel énergie'!D25</f>
        <v>163</v>
      </c>
      <c r="L17" s="135">
        <f>'Consommation mensuel énergie'!E25</f>
        <v>229</v>
      </c>
      <c r="M17" s="131" t="e">
        <f>E17*F17+G17*H17+#REF!*#REF!+I17*J17</f>
        <v>#REF!</v>
      </c>
    </row>
    <row r="18" spans="1:13" x14ac:dyDescent="0.2">
      <c r="A18" s="134" t="s">
        <v>13</v>
      </c>
      <c r="B18" s="138">
        <f t="shared" si="0"/>
        <v>17</v>
      </c>
      <c r="C18" s="138">
        <v>6</v>
      </c>
      <c r="D18" s="139">
        <v>2022</v>
      </c>
      <c r="E18" s="135">
        <f>submetering!E18+submetering!F18+submetering!G18</f>
        <v>18125</v>
      </c>
      <c r="F18" s="132">
        <v>1.0900000000000001</v>
      </c>
      <c r="G18" s="132">
        <f>'Consommation mensuel énergie'!V26</f>
        <v>351.99131</v>
      </c>
      <c r="H18" s="132">
        <v>11.77</v>
      </c>
      <c r="I18" s="132">
        <f>'Consommation mensuel énergie'!F26</f>
        <v>160</v>
      </c>
      <c r="J18" s="132">
        <v>11.4</v>
      </c>
      <c r="K18" s="135">
        <f>'Consommation mensuel énergie'!D26</f>
        <v>141</v>
      </c>
      <c r="L18" s="135">
        <f>'Consommation mensuel énergie'!E26</f>
        <v>205</v>
      </c>
      <c r="M18" s="131" t="e">
        <f>E18*F18+G18*H18+#REF!*#REF!+I18*J18</f>
        <v>#REF!</v>
      </c>
    </row>
    <row r="19" spans="1:13" x14ac:dyDescent="0.2">
      <c r="A19" s="134" t="s">
        <v>13</v>
      </c>
      <c r="B19" s="138">
        <f t="shared" si="0"/>
        <v>18</v>
      </c>
      <c r="C19" s="138">
        <v>6</v>
      </c>
      <c r="D19" s="139">
        <v>2022</v>
      </c>
      <c r="E19" s="135">
        <f>submetering!E19+submetering!F19+submetering!G19</f>
        <v>22049</v>
      </c>
      <c r="F19" s="132">
        <v>1.0900000000000001</v>
      </c>
      <c r="G19" s="132">
        <f>'Consommation mensuel énergie'!V27</f>
        <v>223.99447000000001</v>
      </c>
      <c r="H19" s="132">
        <v>11.77</v>
      </c>
      <c r="I19" s="132">
        <f>'Consommation mensuel énergie'!F27</f>
        <v>182</v>
      </c>
      <c r="J19" s="132">
        <v>11.4</v>
      </c>
      <c r="K19" s="135">
        <f>'Consommation mensuel énergie'!D27</f>
        <v>143</v>
      </c>
      <c r="L19" s="135">
        <f>'Consommation mensuel énergie'!E27</f>
        <v>223</v>
      </c>
      <c r="M19" s="131" t="e">
        <f>E19*F19+G19*H19+#REF!*#REF!+I19*J19</f>
        <v>#REF!</v>
      </c>
    </row>
    <row r="20" spans="1:13" x14ac:dyDescent="0.2">
      <c r="A20" s="134" t="s">
        <v>13</v>
      </c>
      <c r="B20" s="138">
        <f t="shared" si="0"/>
        <v>19</v>
      </c>
      <c r="C20" s="138">
        <v>6</v>
      </c>
      <c r="D20" s="139">
        <v>2022</v>
      </c>
      <c r="E20" s="135">
        <f>submetering!E20+submetering!F20+submetering!G20</f>
        <v>17404</v>
      </c>
      <c r="F20" s="132">
        <v>1.0900000000000001</v>
      </c>
      <c r="G20" s="132">
        <f>'Consommation mensuel énergie'!V28</f>
        <v>415.98973000000001</v>
      </c>
      <c r="H20" s="132">
        <v>11.77</v>
      </c>
      <c r="I20" s="132">
        <f>'Consommation mensuel énergie'!F28</f>
        <v>156.39999999999418</v>
      </c>
      <c r="J20" s="132">
        <v>11.4</v>
      </c>
      <c r="K20" s="135">
        <f>'Consommation mensuel énergie'!D28</f>
        <v>151</v>
      </c>
      <c r="L20" s="135">
        <f>'Consommation mensuel énergie'!E28</f>
        <v>230</v>
      </c>
      <c r="M20" s="131" t="e">
        <f>E20*F20+G20*H20+#REF!*#REF!+I20*J20</f>
        <v>#REF!</v>
      </c>
    </row>
    <row r="21" spans="1:13" x14ac:dyDescent="0.2">
      <c r="A21" s="134" t="s">
        <v>13</v>
      </c>
      <c r="B21" s="138">
        <f t="shared" si="0"/>
        <v>20</v>
      </c>
      <c r="C21" s="138">
        <v>6</v>
      </c>
      <c r="D21" s="139">
        <v>2022</v>
      </c>
      <c r="E21" s="135">
        <f>submetering!E21+submetering!F21+submetering!G21</f>
        <v>19035</v>
      </c>
      <c r="F21" s="132">
        <v>1.0900000000000001</v>
      </c>
      <c r="G21" s="132">
        <f>'Consommation mensuel énergie'!V29</f>
        <v>255.99368000000001</v>
      </c>
      <c r="H21" s="132">
        <v>11.77</v>
      </c>
      <c r="I21" s="132">
        <f>'Consommation mensuel énergie'!F29</f>
        <v>287.60000000000582</v>
      </c>
      <c r="J21" s="132">
        <v>11.4</v>
      </c>
      <c r="K21" s="135">
        <f>'Consommation mensuel énergie'!D29</f>
        <v>170</v>
      </c>
      <c r="L21" s="135">
        <f>'Consommation mensuel énergie'!E29</f>
        <v>256</v>
      </c>
      <c r="M21" s="131" t="e">
        <f>E21*F21+G21*H21+#REF!*#REF!+I21*J21</f>
        <v>#REF!</v>
      </c>
    </row>
    <row r="22" spans="1:13" x14ac:dyDescent="0.2">
      <c r="A22" s="134" t="s">
        <v>13</v>
      </c>
      <c r="B22" s="138">
        <f t="shared" si="0"/>
        <v>21</v>
      </c>
      <c r="C22" s="138">
        <v>6</v>
      </c>
      <c r="D22" s="139">
        <v>2022</v>
      </c>
      <c r="E22" s="135">
        <f>submetering!E22+submetering!F22+submetering!G22</f>
        <v>18340</v>
      </c>
      <c r="F22" s="132">
        <v>1.0900000000000001</v>
      </c>
      <c r="G22" s="132">
        <f>'Consommation mensuel énergie'!V30</f>
        <v>287.99288999999999</v>
      </c>
      <c r="H22" s="132">
        <v>11.77</v>
      </c>
      <c r="I22" s="132">
        <f>'Consommation mensuel énergie'!F30</f>
        <v>155.10000000000582</v>
      </c>
      <c r="J22" s="132">
        <v>11.4</v>
      </c>
      <c r="K22" s="135">
        <f>'Consommation mensuel énergie'!D30</f>
        <v>180</v>
      </c>
      <c r="L22" s="135">
        <f>'Consommation mensuel énergie'!E30</f>
        <v>256</v>
      </c>
      <c r="M22" s="131" t="e">
        <f>E22*F22+G22*H22+#REF!*#REF!+I22*J22</f>
        <v>#REF!</v>
      </c>
    </row>
    <row r="23" spans="1:13" x14ac:dyDescent="0.2">
      <c r="A23" s="134" t="s">
        <v>13</v>
      </c>
      <c r="B23" s="138">
        <f t="shared" si="0"/>
        <v>22</v>
      </c>
      <c r="C23" s="138">
        <v>6</v>
      </c>
      <c r="D23" s="139">
        <v>2022</v>
      </c>
      <c r="E23" s="135">
        <f>submetering!E23+submetering!F23+submetering!G23</f>
        <v>16776</v>
      </c>
      <c r="F23" s="132">
        <v>1.0900000000000001</v>
      </c>
      <c r="G23" s="132">
        <f>'Consommation mensuel énergie'!V31</f>
        <v>351.99131</v>
      </c>
      <c r="H23" s="132">
        <v>11.77</v>
      </c>
      <c r="I23" s="132">
        <f>'Consommation mensuel énergie'!F31</f>
        <v>179.19999999998254</v>
      </c>
      <c r="J23" s="132">
        <v>11.4</v>
      </c>
      <c r="K23" s="135">
        <f>'Consommation mensuel énergie'!D31</f>
        <v>161</v>
      </c>
      <c r="L23" s="135">
        <f>'Consommation mensuel énergie'!E31</f>
        <v>229</v>
      </c>
      <c r="M23" s="131" t="e">
        <f>E23*F23+G23*H23+#REF!*#REF!+I23*J23</f>
        <v>#REF!</v>
      </c>
    </row>
    <row r="24" spans="1:13" x14ac:dyDescent="0.2">
      <c r="A24" s="134" t="s">
        <v>13</v>
      </c>
      <c r="B24" s="138">
        <f t="shared" si="0"/>
        <v>23</v>
      </c>
      <c r="C24" s="138">
        <v>6</v>
      </c>
      <c r="D24" s="139">
        <v>2022</v>
      </c>
      <c r="E24" s="135">
        <f>submetering!E24+submetering!F24+submetering!G24</f>
        <v>18762</v>
      </c>
      <c r="F24" s="132">
        <v>1.0900000000000001</v>
      </c>
      <c r="G24" s="132">
        <f>'Consommation mensuel énergie'!V32</f>
        <v>255.99368000000001</v>
      </c>
      <c r="H24" s="132">
        <v>11.77</v>
      </c>
      <c r="I24" s="132">
        <f>'Consommation mensuel énergie'!F32</f>
        <v>158.70000000001164</v>
      </c>
      <c r="J24" s="132">
        <v>11.4</v>
      </c>
      <c r="K24" s="135">
        <f>'Consommation mensuel énergie'!D32</f>
        <v>158</v>
      </c>
      <c r="L24" s="135">
        <f>'Consommation mensuel énergie'!E32</f>
        <v>251</v>
      </c>
      <c r="M24" s="131" t="e">
        <f>E24*F24+G24*H24+#REF!*#REF!+I24*J24</f>
        <v>#REF!</v>
      </c>
    </row>
    <row r="25" spans="1:13" x14ac:dyDescent="0.2">
      <c r="A25" s="134" t="s">
        <v>13</v>
      </c>
      <c r="B25" s="138">
        <f t="shared" si="0"/>
        <v>24</v>
      </c>
      <c r="C25" s="138">
        <v>6</v>
      </c>
      <c r="D25" s="139">
        <v>2022</v>
      </c>
      <c r="E25" s="135">
        <f>submetering!E25+submetering!F25+submetering!G25</f>
        <v>17312</v>
      </c>
      <c r="F25" s="132">
        <v>1.0900000000000001</v>
      </c>
      <c r="G25" s="132">
        <f>'Consommation mensuel énergie'!V33</f>
        <v>383.99052</v>
      </c>
      <c r="H25" s="132">
        <v>11.77</v>
      </c>
      <c r="I25" s="132">
        <f>'Consommation mensuel énergie'!F33</f>
        <v>173</v>
      </c>
      <c r="J25" s="132">
        <v>11.4</v>
      </c>
      <c r="K25" s="135">
        <f>'Consommation mensuel énergie'!D33</f>
        <v>154</v>
      </c>
      <c r="L25" s="135">
        <f>'Consommation mensuel énergie'!E33</f>
        <v>265</v>
      </c>
      <c r="M25" s="131" t="e">
        <f>E25*F25+G25*H25+#REF!*#REF!+I25*J25</f>
        <v>#REF!</v>
      </c>
    </row>
    <row r="26" spans="1:13" x14ac:dyDescent="0.2">
      <c r="A26" s="134" t="s">
        <v>13</v>
      </c>
      <c r="B26" s="138">
        <f>B25+1</f>
        <v>25</v>
      </c>
      <c r="C26" s="138">
        <v>6</v>
      </c>
      <c r="D26" s="139">
        <v>2022</v>
      </c>
      <c r="E26" s="135">
        <f>submetering!E26+submetering!F26+submetering!G26</f>
        <v>17022</v>
      </c>
      <c r="F26" s="132">
        <v>1.0900000000000001</v>
      </c>
      <c r="G26" s="132">
        <f>'Consommation mensuel énergie'!V34</f>
        <v>127.99684000000001</v>
      </c>
      <c r="H26" s="132">
        <v>11.77</v>
      </c>
      <c r="I26" s="132">
        <f>'Consommation mensuel énergie'!F34</f>
        <v>154</v>
      </c>
      <c r="J26" s="132">
        <v>11.4</v>
      </c>
      <c r="K26" s="135">
        <f>'Consommation mensuel énergie'!D34</f>
        <v>146</v>
      </c>
      <c r="L26" s="135">
        <f>'Consommation mensuel énergie'!E34</f>
        <v>257</v>
      </c>
      <c r="M26" s="131" t="e">
        <f>E26*F26+G26*H26+#REF!*#REF!+I26*J26</f>
        <v>#REF!</v>
      </c>
    </row>
    <row r="27" spans="1:13" x14ac:dyDescent="0.2">
      <c r="A27" s="134" t="s">
        <v>13</v>
      </c>
      <c r="B27" s="138">
        <f t="shared" ref="B27:B31" si="1">B26+1</f>
        <v>26</v>
      </c>
      <c r="C27" s="138">
        <v>6</v>
      </c>
      <c r="D27" s="139">
        <v>2022</v>
      </c>
      <c r="E27" s="135">
        <f>submetering!E27+submetering!F27+submetering!G27</f>
        <v>17364</v>
      </c>
      <c r="F27" s="132">
        <v>1.0900000000000001</v>
      </c>
      <c r="G27" s="132">
        <f>'Consommation mensuel énergie'!V35</f>
        <v>127.99684000000001</v>
      </c>
      <c r="H27" s="132">
        <v>11.77</v>
      </c>
      <c r="I27" s="132">
        <f>'Consommation mensuel énergie'!F35</f>
        <v>176</v>
      </c>
      <c r="J27" s="132">
        <v>11.4</v>
      </c>
      <c r="K27" s="135">
        <f>'Consommation mensuel énergie'!D35</f>
        <v>143</v>
      </c>
      <c r="L27" s="135">
        <f>'Consommation mensuel énergie'!E35</f>
        <v>224</v>
      </c>
      <c r="M27" s="131"/>
    </row>
    <row r="28" spans="1:13" x14ac:dyDescent="0.2">
      <c r="A28" s="134" t="s">
        <v>13</v>
      </c>
      <c r="B28" s="138">
        <f t="shared" si="1"/>
        <v>27</v>
      </c>
      <c r="C28" s="138">
        <v>6</v>
      </c>
      <c r="D28" s="139">
        <v>2022</v>
      </c>
      <c r="E28" s="135">
        <f>submetering!E28+submetering!F28+submetering!G28</f>
        <v>15893</v>
      </c>
      <c r="F28" s="132">
        <v>1.0900000000000001</v>
      </c>
      <c r="G28" s="132">
        <f>'Consommation mensuel énergie'!V36</f>
        <v>799.98025000000007</v>
      </c>
      <c r="H28" s="132">
        <v>11.77</v>
      </c>
      <c r="I28" s="132">
        <f>'Consommation mensuel énergie'!F36</f>
        <v>180</v>
      </c>
      <c r="J28" s="132">
        <v>11.4</v>
      </c>
      <c r="K28" s="135">
        <f>'Consommation mensuel énergie'!D36</f>
        <v>163</v>
      </c>
      <c r="L28" s="135">
        <f>'Consommation mensuel énergie'!E36</f>
        <v>238</v>
      </c>
      <c r="M28" s="131"/>
    </row>
    <row r="29" spans="1:13" x14ac:dyDescent="0.2">
      <c r="A29" s="134" t="s">
        <v>13</v>
      </c>
      <c r="B29" s="138">
        <f t="shared" si="1"/>
        <v>28</v>
      </c>
      <c r="C29" s="138">
        <v>6</v>
      </c>
      <c r="D29" s="139">
        <v>2022</v>
      </c>
      <c r="E29" s="135">
        <f>submetering!E29+submetering!F29+submetering!G29</f>
        <v>16373</v>
      </c>
      <c r="F29" s="132">
        <v>1.0900000000000001</v>
      </c>
      <c r="G29" s="132">
        <f>'Consommation mensuel énergie'!V37</f>
        <v>31.999210000000001</v>
      </c>
      <c r="H29" s="132">
        <v>11.77</v>
      </c>
      <c r="I29" s="132">
        <f>'Consommation mensuel énergie'!F37</f>
        <v>165</v>
      </c>
      <c r="J29" s="132">
        <v>11.4</v>
      </c>
      <c r="K29" s="135">
        <f>'Consommation mensuel énergie'!D37</f>
        <v>150</v>
      </c>
      <c r="L29" s="135">
        <f>'Consommation mensuel énergie'!E37</f>
        <v>201</v>
      </c>
      <c r="M29" s="131"/>
    </row>
    <row r="30" spans="1:13" x14ac:dyDescent="0.2">
      <c r="A30" s="134" t="s">
        <v>13</v>
      </c>
      <c r="B30" s="138">
        <f t="shared" si="1"/>
        <v>29</v>
      </c>
      <c r="C30" s="138">
        <v>6</v>
      </c>
      <c r="D30" s="139">
        <v>2022</v>
      </c>
      <c r="E30" s="135">
        <f>submetering!E30+submetering!F30+submetering!G30</f>
        <v>17525</v>
      </c>
      <c r="F30" s="132">
        <v>1.0900000000000001</v>
      </c>
      <c r="G30" s="132">
        <f>'Consommation mensuel énergie'!V38</f>
        <v>95.997630000000001</v>
      </c>
      <c r="H30" s="132">
        <v>11.77</v>
      </c>
      <c r="I30" s="132">
        <f>'Consommation mensuel énergie'!F38</f>
        <v>145.89999999999418</v>
      </c>
      <c r="J30" s="132">
        <v>11.4</v>
      </c>
      <c r="K30" s="135">
        <f>'Consommation mensuel énergie'!D38</f>
        <v>143</v>
      </c>
      <c r="L30" s="135">
        <f>'Consommation mensuel énergie'!E38</f>
        <v>211</v>
      </c>
      <c r="M30" s="131"/>
    </row>
    <row r="31" spans="1:13" x14ac:dyDescent="0.2">
      <c r="A31" s="134" t="s">
        <v>13</v>
      </c>
      <c r="B31" s="138">
        <f t="shared" si="1"/>
        <v>30</v>
      </c>
      <c r="C31" s="138">
        <v>6</v>
      </c>
      <c r="D31" s="139">
        <v>2022</v>
      </c>
      <c r="E31" s="135">
        <f>submetering!E31+submetering!F31+submetering!G31</f>
        <v>17185</v>
      </c>
      <c r="F31" s="132">
        <v>1.0900000000000001</v>
      </c>
      <c r="G31" s="132">
        <f>'Consommation mensuel énergie'!V39</f>
        <v>351.99131</v>
      </c>
      <c r="H31" s="132">
        <v>11.77</v>
      </c>
      <c r="I31" s="132">
        <f>'Consommation mensuel énergie'!F39</f>
        <v>154.39999999999418</v>
      </c>
      <c r="J31" s="132">
        <v>11.4</v>
      </c>
      <c r="K31" s="135">
        <f>'Consommation mensuel énergie'!D39</f>
        <v>144</v>
      </c>
      <c r="L31" s="135">
        <f>'Consommation mensuel énergie'!E39</f>
        <v>244</v>
      </c>
      <c r="M31" s="131"/>
    </row>
    <row r="32" spans="1:13" x14ac:dyDescent="0.2">
      <c r="A32" s="134"/>
      <c r="F32" s="132"/>
      <c r="G32" s="132"/>
      <c r="H32" s="132"/>
      <c r="I32" s="132"/>
      <c r="J32" s="132"/>
      <c r="M32" s="131"/>
    </row>
    <row r="33" spans="1:13" x14ac:dyDescent="0.2">
      <c r="A33" s="134"/>
      <c r="F33" s="132"/>
      <c r="G33" s="132"/>
      <c r="H33" s="132"/>
      <c r="I33" s="132"/>
      <c r="J33" s="132"/>
      <c r="M33" s="131"/>
    </row>
    <row r="34" spans="1:13" x14ac:dyDescent="0.2">
      <c r="F34" s="132"/>
      <c r="G34" s="132"/>
      <c r="H34" s="132"/>
      <c r="I34" s="132"/>
      <c r="J34" s="132"/>
    </row>
    <row r="35" spans="1:13" x14ac:dyDescent="0.2">
      <c r="F35" s="132"/>
      <c r="G35" s="132"/>
      <c r="H35" s="132"/>
      <c r="I35" s="132"/>
      <c r="J35" s="132"/>
    </row>
    <row r="36" spans="1:13" x14ac:dyDescent="0.2">
      <c r="F36" s="132"/>
      <c r="G36" s="132"/>
      <c r="H36" s="132"/>
      <c r="I36" s="132"/>
      <c r="J36" s="132"/>
    </row>
    <row r="37" spans="1:13" x14ac:dyDescent="0.2">
      <c r="F37" s="132"/>
      <c r="G37" s="132"/>
      <c r="H37" s="132"/>
      <c r="I37" s="132"/>
      <c r="J37" s="132"/>
    </row>
    <row r="38" spans="1:13" x14ac:dyDescent="0.2">
      <c r="F38" s="132"/>
      <c r="G38" s="132"/>
      <c r="H38" s="132"/>
      <c r="I38" s="132"/>
      <c r="J38" s="132"/>
    </row>
    <row r="39" spans="1:13" x14ac:dyDescent="0.2">
      <c r="F39" s="132"/>
      <c r="G39" s="132"/>
      <c r="H39" s="132"/>
      <c r="I39" s="132"/>
      <c r="J39" s="132"/>
    </row>
    <row r="40" spans="1:13" x14ac:dyDescent="0.2">
      <c r="F40" s="132"/>
      <c r="G40" s="132"/>
      <c r="H40" s="132"/>
      <c r="I40" s="132"/>
      <c r="J40" s="13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8"/>
  <sheetViews>
    <sheetView workbookViewId="0">
      <selection activeCell="N25" sqref="N25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38" customWidth="1"/>
    <col min="4" max="4" width="13.42578125" style="139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98" customFormat="1" ht="45.75" thickBot="1" x14ac:dyDescent="0.3">
      <c r="A1" s="133" t="s">
        <v>0</v>
      </c>
      <c r="B1" s="136" t="s">
        <v>1</v>
      </c>
      <c r="C1" s="136" t="s">
        <v>2</v>
      </c>
      <c r="D1" s="137" t="s">
        <v>3</v>
      </c>
      <c r="E1" s="140" t="s">
        <v>14</v>
      </c>
      <c r="F1" s="140" t="s">
        <v>15</v>
      </c>
      <c r="G1" s="140" t="s">
        <v>16</v>
      </c>
      <c r="H1" s="129" t="s">
        <v>10</v>
      </c>
      <c r="I1" s="129" t="s">
        <v>11</v>
      </c>
      <c r="J1" s="130" t="s">
        <v>12</v>
      </c>
    </row>
    <row r="2" spans="1:10" x14ac:dyDescent="0.2">
      <c r="A2" s="134" t="s">
        <v>13</v>
      </c>
      <c r="B2" s="138">
        <v>1</v>
      </c>
      <c r="C2" s="138">
        <v>6</v>
      </c>
      <c r="D2" s="139">
        <v>2022</v>
      </c>
      <c r="E2" s="135">
        <f>'Consommation mensuel énergie'!L10</f>
        <v>4384</v>
      </c>
      <c r="F2" s="135">
        <f>'Consommation mensuel énergie'!M10</f>
        <v>9147</v>
      </c>
      <c r="G2" s="135">
        <f>'Consommation mensuel énergie'!N10</f>
        <v>3394</v>
      </c>
      <c r="H2" s="135">
        <f>'Consommation mensuel énergie'!D10</f>
        <v>179</v>
      </c>
      <c r="I2" s="135">
        <f>'Consommation mensuel énergie'!E10</f>
        <v>253</v>
      </c>
      <c r="J2" s="131" t="e">
        <f>E2*F2+G2*#REF!+#REF!*#REF!+#REF!*#REF!</f>
        <v>#REF!</v>
      </c>
    </row>
    <row r="3" spans="1:10" x14ac:dyDescent="0.2">
      <c r="A3" s="134" t="s">
        <v>13</v>
      </c>
      <c r="B3" s="138">
        <f>B2+1</f>
        <v>2</v>
      </c>
      <c r="C3" s="138">
        <v>6</v>
      </c>
      <c r="D3" s="139">
        <v>2022</v>
      </c>
      <c r="E3" s="135">
        <f>'Consommation mensuel énergie'!L11</f>
        <v>4441</v>
      </c>
      <c r="F3" s="135">
        <f>'Consommation mensuel énergie'!M11</f>
        <v>10256</v>
      </c>
      <c r="G3" s="135">
        <f>'Consommation mensuel énergie'!N11</f>
        <v>3721</v>
      </c>
      <c r="H3" s="135">
        <f>'Consommation mensuel énergie'!D11</f>
        <v>177</v>
      </c>
      <c r="I3" s="135">
        <f>'Consommation mensuel énergie'!E11</f>
        <v>263</v>
      </c>
      <c r="J3" s="131" t="e">
        <f>E3*F3+G3*#REF!+#REF!*#REF!+#REF!*#REF!</f>
        <v>#REF!</v>
      </c>
    </row>
    <row r="4" spans="1:10" x14ac:dyDescent="0.2">
      <c r="A4" s="134" t="s">
        <v>13</v>
      </c>
      <c r="B4" s="138">
        <f t="shared" ref="B4:B25" si="0">B3+1</f>
        <v>3</v>
      </c>
      <c r="C4" s="138">
        <v>6</v>
      </c>
      <c r="D4" s="139">
        <v>2022</v>
      </c>
      <c r="E4" s="135">
        <f>'Consommation mensuel énergie'!L12</f>
        <v>3749</v>
      </c>
      <c r="F4" s="135">
        <f>'Consommation mensuel énergie'!M12</f>
        <v>10529</v>
      </c>
      <c r="G4" s="135">
        <f>'Consommation mensuel énergie'!N12</f>
        <v>3819</v>
      </c>
      <c r="H4" s="135">
        <f>'Consommation mensuel énergie'!D12</f>
        <v>173</v>
      </c>
      <c r="I4" s="135">
        <f>'Consommation mensuel énergie'!E12</f>
        <v>289</v>
      </c>
      <c r="J4" s="131" t="e">
        <f>E4*F4+G4*#REF!+#REF!*#REF!+#REF!*#REF!</f>
        <v>#REF!</v>
      </c>
    </row>
    <row r="5" spans="1:10" x14ac:dyDescent="0.2">
      <c r="A5" s="134" t="s">
        <v>13</v>
      </c>
      <c r="B5" s="138">
        <f t="shared" si="0"/>
        <v>4</v>
      </c>
      <c r="C5" s="138">
        <v>6</v>
      </c>
      <c r="D5" s="139">
        <v>2022</v>
      </c>
      <c r="E5" s="135">
        <f>'Consommation mensuel énergie'!L13</f>
        <v>4936</v>
      </c>
      <c r="F5" s="135">
        <f>'Consommation mensuel énergie'!M13</f>
        <v>10072</v>
      </c>
      <c r="G5" s="135">
        <f>'Consommation mensuel énergie'!N13</f>
        <v>3952</v>
      </c>
      <c r="H5" s="135">
        <f>'Consommation mensuel énergie'!D13</f>
        <v>171</v>
      </c>
      <c r="I5" s="135">
        <f>'Consommation mensuel énergie'!E13</f>
        <v>289</v>
      </c>
      <c r="J5" s="131" t="e">
        <f>E5*F5+G5*#REF!+#REF!*#REF!+#REF!*#REF!</f>
        <v>#REF!</v>
      </c>
    </row>
    <row r="6" spans="1:10" x14ac:dyDescent="0.2">
      <c r="A6" s="134" t="s">
        <v>13</v>
      </c>
      <c r="B6" s="138">
        <f t="shared" si="0"/>
        <v>5</v>
      </c>
      <c r="C6" s="138">
        <v>6</v>
      </c>
      <c r="D6" s="139">
        <v>2022</v>
      </c>
      <c r="E6" s="135">
        <f>'Consommation mensuel énergie'!L14</f>
        <v>4461</v>
      </c>
      <c r="F6" s="135">
        <f>'Consommation mensuel énergie'!M14</f>
        <v>10146</v>
      </c>
      <c r="G6" s="135">
        <f>'Consommation mensuel énergie'!N14</f>
        <v>3938</v>
      </c>
      <c r="H6" s="135">
        <f>'Consommation mensuel énergie'!D14</f>
        <v>146</v>
      </c>
      <c r="I6" s="135">
        <f>'Consommation mensuel énergie'!E14</f>
        <v>229</v>
      </c>
      <c r="J6" s="131" t="e">
        <f>E6*F6+G6*#REF!+#REF!*#REF!+#REF!*#REF!</f>
        <v>#REF!</v>
      </c>
    </row>
    <row r="7" spans="1:10" x14ac:dyDescent="0.2">
      <c r="A7" s="134" t="s">
        <v>13</v>
      </c>
      <c r="B7" s="138">
        <f t="shared" si="0"/>
        <v>6</v>
      </c>
      <c r="C7" s="138">
        <v>6</v>
      </c>
      <c r="D7" s="139">
        <v>2022</v>
      </c>
      <c r="E7" s="135">
        <f>'Consommation mensuel énergie'!L15</f>
        <v>4437</v>
      </c>
      <c r="F7" s="135">
        <f>'Consommation mensuel énergie'!M15</f>
        <v>9912</v>
      </c>
      <c r="G7" s="135">
        <f>'Consommation mensuel énergie'!N15</f>
        <v>3710</v>
      </c>
      <c r="H7" s="135">
        <f>'Consommation mensuel énergie'!D15</f>
        <v>134</v>
      </c>
      <c r="I7" s="135">
        <f>'Consommation mensuel énergie'!E15</f>
        <v>208</v>
      </c>
      <c r="J7" s="131" t="e">
        <f>E7*F7+G7*#REF!+#REF!*#REF!+#REF!*#REF!</f>
        <v>#REF!</v>
      </c>
    </row>
    <row r="8" spans="1:10" x14ac:dyDescent="0.2">
      <c r="A8" s="134" t="s">
        <v>13</v>
      </c>
      <c r="B8" s="138">
        <f t="shared" si="0"/>
        <v>7</v>
      </c>
      <c r="C8" s="138">
        <v>6</v>
      </c>
      <c r="D8" s="139">
        <v>2022</v>
      </c>
      <c r="E8" s="135">
        <f>'Consommation mensuel énergie'!L16</f>
        <v>4900</v>
      </c>
      <c r="F8" s="135">
        <f>'Consommation mensuel énergie'!M16</f>
        <v>10384</v>
      </c>
      <c r="G8" s="135">
        <f>'Consommation mensuel énergie'!N16</f>
        <v>4539</v>
      </c>
      <c r="H8" s="135">
        <f>'Consommation mensuel énergie'!D16</f>
        <v>134</v>
      </c>
      <c r="I8" s="135">
        <f>'Consommation mensuel énergie'!E16</f>
        <v>201</v>
      </c>
      <c r="J8" s="131" t="e">
        <f>E8*F8+G8*#REF!+#REF!*#REF!+#REF!*#REF!</f>
        <v>#REF!</v>
      </c>
    </row>
    <row r="9" spans="1:10" x14ac:dyDescent="0.2">
      <c r="A9" s="134" t="s">
        <v>13</v>
      </c>
      <c r="B9" s="138">
        <f t="shared" si="0"/>
        <v>8</v>
      </c>
      <c r="C9" s="138">
        <v>6</v>
      </c>
      <c r="D9" s="139">
        <v>2022</v>
      </c>
      <c r="E9" s="135">
        <f>'Consommation mensuel énergie'!L17</f>
        <v>5117</v>
      </c>
      <c r="F9" s="135">
        <f>'Consommation mensuel énergie'!M17</f>
        <v>10773</v>
      </c>
      <c r="G9" s="135">
        <f>'Consommation mensuel énergie'!N17</f>
        <v>4172</v>
      </c>
      <c r="H9" s="135">
        <f>'Consommation mensuel énergie'!D17</f>
        <v>147</v>
      </c>
      <c r="I9" s="135">
        <f>'Consommation mensuel énergie'!E17</f>
        <v>205</v>
      </c>
      <c r="J9" s="131" t="e">
        <f>E9*F9+G9*#REF!+#REF!*#REF!+#REF!*#REF!</f>
        <v>#REF!</v>
      </c>
    </row>
    <row r="10" spans="1:10" x14ac:dyDescent="0.2">
      <c r="A10" s="134" t="s">
        <v>13</v>
      </c>
      <c r="B10" s="138">
        <f t="shared" si="0"/>
        <v>9</v>
      </c>
      <c r="C10" s="138">
        <v>6</v>
      </c>
      <c r="D10" s="139">
        <v>2022</v>
      </c>
      <c r="E10" s="135">
        <f>'Consommation mensuel énergie'!L18</f>
        <v>5025</v>
      </c>
      <c r="F10" s="135">
        <f>'Consommation mensuel énergie'!M18</f>
        <v>10593</v>
      </c>
      <c r="G10" s="135">
        <f>'Consommation mensuel énergie'!N18</f>
        <v>4219</v>
      </c>
      <c r="H10" s="135">
        <f>'Consommation mensuel énergie'!D18</f>
        <v>138</v>
      </c>
      <c r="I10" s="135">
        <f>'Consommation mensuel énergie'!E18</f>
        <v>200</v>
      </c>
      <c r="J10" s="131" t="e">
        <f>E10*F10+G10*#REF!+#REF!*#REF!+#REF!*#REF!</f>
        <v>#REF!</v>
      </c>
    </row>
    <row r="11" spans="1:10" x14ac:dyDescent="0.2">
      <c r="A11" s="134" t="s">
        <v>13</v>
      </c>
      <c r="B11" s="138">
        <f t="shared" si="0"/>
        <v>10</v>
      </c>
      <c r="C11" s="138">
        <v>6</v>
      </c>
      <c r="D11" s="139">
        <v>2022</v>
      </c>
      <c r="E11" s="135">
        <f>'Consommation mensuel énergie'!L19</f>
        <v>4793</v>
      </c>
      <c r="F11" s="135">
        <f>'Consommation mensuel énergie'!M19</f>
        <v>10865</v>
      </c>
      <c r="G11" s="135">
        <f>'Consommation mensuel énergie'!N19</f>
        <v>3986</v>
      </c>
      <c r="H11" s="135">
        <f>'Consommation mensuel énergie'!D19</f>
        <v>120</v>
      </c>
      <c r="I11" s="135">
        <f>'Consommation mensuel énergie'!E19</f>
        <v>175</v>
      </c>
      <c r="J11" s="131" t="e">
        <f>E11*F11+G11*#REF!+#REF!*#REF!+#REF!*#REF!</f>
        <v>#REF!</v>
      </c>
    </row>
    <row r="12" spans="1:10" x14ac:dyDescent="0.2">
      <c r="A12" s="134" t="s">
        <v>13</v>
      </c>
      <c r="B12" s="138">
        <f t="shared" si="0"/>
        <v>11</v>
      </c>
      <c r="C12" s="138">
        <v>6</v>
      </c>
      <c r="D12" s="139">
        <v>2022</v>
      </c>
      <c r="E12" s="135">
        <f>'Consommation mensuel énergie'!L20</f>
        <v>5146</v>
      </c>
      <c r="F12" s="135">
        <f>'Consommation mensuel énergie'!M20</f>
        <v>10605</v>
      </c>
      <c r="G12" s="135">
        <f>'Consommation mensuel énergie'!N20</f>
        <v>4231</v>
      </c>
      <c r="H12" s="135">
        <f>'Consommation mensuel énergie'!D20</f>
        <v>173</v>
      </c>
      <c r="I12" s="135">
        <f>'Consommation mensuel énergie'!E20</f>
        <v>223</v>
      </c>
      <c r="J12" s="131" t="e">
        <f>E12*F12+G12*#REF!+#REF!*#REF!+#REF!*#REF!</f>
        <v>#REF!</v>
      </c>
    </row>
    <row r="13" spans="1:10" x14ac:dyDescent="0.2">
      <c r="A13" s="134" t="s">
        <v>13</v>
      </c>
      <c r="B13" s="138">
        <f t="shared" si="0"/>
        <v>12</v>
      </c>
      <c r="C13" s="138">
        <v>6</v>
      </c>
      <c r="D13" s="139">
        <v>2022</v>
      </c>
      <c r="E13" s="135">
        <f>'Consommation mensuel énergie'!L21</f>
        <v>5362</v>
      </c>
      <c r="F13" s="135">
        <f>'Consommation mensuel énergie'!M21</f>
        <v>11461</v>
      </c>
      <c r="G13" s="135">
        <f>'Consommation mensuel énergie'!N21</f>
        <v>4511</v>
      </c>
      <c r="H13" s="135">
        <f>'Consommation mensuel énergie'!D21</f>
        <v>183</v>
      </c>
      <c r="I13" s="135">
        <f>'Consommation mensuel énergie'!E21</f>
        <v>237</v>
      </c>
      <c r="J13" s="131" t="e">
        <f>E13*F13+G13*#REF!+#REF!*#REF!+#REF!*#REF!</f>
        <v>#REF!</v>
      </c>
    </row>
    <row r="14" spans="1:10" x14ac:dyDescent="0.2">
      <c r="A14" s="134" t="s">
        <v>13</v>
      </c>
      <c r="B14" s="138">
        <f t="shared" si="0"/>
        <v>13</v>
      </c>
      <c r="C14" s="138">
        <v>6</v>
      </c>
      <c r="D14" s="139">
        <v>2022</v>
      </c>
      <c r="E14" s="135">
        <f>'Consommation mensuel énergie'!L22</f>
        <v>4871</v>
      </c>
      <c r="F14" s="135">
        <f>'Consommation mensuel énergie'!M22</f>
        <v>12046</v>
      </c>
      <c r="G14" s="135">
        <f>'Consommation mensuel énergie'!N22</f>
        <v>4428</v>
      </c>
      <c r="H14" s="135">
        <f>'Consommation mensuel énergie'!D22</f>
        <v>181</v>
      </c>
      <c r="I14" s="135">
        <f>'Consommation mensuel énergie'!E22</f>
        <v>226</v>
      </c>
      <c r="J14" s="131" t="e">
        <f>E14*F14+G14*#REF!+#REF!*#REF!+#REF!*#REF!</f>
        <v>#REF!</v>
      </c>
    </row>
    <row r="15" spans="1:10" x14ac:dyDescent="0.2">
      <c r="A15" s="134" t="s">
        <v>13</v>
      </c>
      <c r="B15" s="138">
        <f t="shared" si="0"/>
        <v>14</v>
      </c>
      <c r="C15" s="138">
        <v>6</v>
      </c>
      <c r="D15" s="139">
        <v>2022</v>
      </c>
      <c r="E15" s="135">
        <f>'Consommation mensuel énergie'!L23</f>
        <v>4707</v>
      </c>
      <c r="F15" s="135">
        <f>'Consommation mensuel énergie'!M23</f>
        <v>11903</v>
      </c>
      <c r="G15" s="135">
        <f>'Consommation mensuel énergie'!N23</f>
        <v>4890</v>
      </c>
      <c r="H15" s="135">
        <f>'Consommation mensuel énergie'!D23</f>
        <v>141</v>
      </c>
      <c r="I15" s="135">
        <f>'Consommation mensuel énergie'!E23</f>
        <v>189</v>
      </c>
      <c r="J15" s="131" t="e">
        <f>E15*F15+G15*#REF!+#REF!*#REF!+#REF!*#REF!</f>
        <v>#REF!</v>
      </c>
    </row>
    <row r="16" spans="1:10" x14ac:dyDescent="0.2">
      <c r="A16" s="134" t="s">
        <v>13</v>
      </c>
      <c r="B16" s="138">
        <f t="shared" si="0"/>
        <v>15</v>
      </c>
      <c r="C16" s="138">
        <v>6</v>
      </c>
      <c r="D16" s="139">
        <v>2022</v>
      </c>
      <c r="E16" s="135">
        <f>'Consommation mensuel énergie'!L24</f>
        <v>5447</v>
      </c>
      <c r="F16" s="135">
        <f>'Consommation mensuel énergie'!M24</f>
        <v>11104</v>
      </c>
      <c r="G16" s="135">
        <f>'Consommation mensuel énergie'!N24</f>
        <v>4048</v>
      </c>
      <c r="H16" s="135">
        <f>'Consommation mensuel énergie'!D24</f>
        <v>170</v>
      </c>
      <c r="I16" s="135">
        <f>'Consommation mensuel énergie'!E24</f>
        <v>231</v>
      </c>
      <c r="J16" s="131" t="e">
        <f>E16*F16+G16*#REF!+#REF!*#REF!+#REF!*#REF!</f>
        <v>#REF!</v>
      </c>
    </row>
    <row r="17" spans="1:10" x14ac:dyDescent="0.2">
      <c r="A17" s="134" t="s">
        <v>13</v>
      </c>
      <c r="B17" s="138">
        <f t="shared" si="0"/>
        <v>16</v>
      </c>
      <c r="C17" s="138">
        <v>6</v>
      </c>
      <c r="D17" s="139">
        <v>2022</v>
      </c>
      <c r="E17" s="135">
        <f>'Consommation mensuel énergie'!L25</f>
        <v>6069</v>
      </c>
      <c r="F17" s="135">
        <f>'Consommation mensuel énergie'!M25</f>
        <v>11429</v>
      </c>
      <c r="G17" s="135">
        <f>'Consommation mensuel énergie'!N25</f>
        <v>4644</v>
      </c>
      <c r="H17" s="135">
        <f>'Consommation mensuel énergie'!D25</f>
        <v>163</v>
      </c>
      <c r="I17" s="135">
        <f>'Consommation mensuel énergie'!E25</f>
        <v>229</v>
      </c>
      <c r="J17" s="131" t="e">
        <f>E17*F17+G17*#REF!+#REF!*#REF!+#REF!*#REF!</f>
        <v>#REF!</v>
      </c>
    </row>
    <row r="18" spans="1:10" x14ac:dyDescent="0.2">
      <c r="A18" s="134" t="s">
        <v>13</v>
      </c>
      <c r="B18" s="138">
        <f t="shared" si="0"/>
        <v>17</v>
      </c>
      <c r="C18" s="138">
        <v>6</v>
      </c>
      <c r="D18" s="139">
        <v>2022</v>
      </c>
      <c r="E18" s="135">
        <f>'Consommation mensuel énergie'!L26</f>
        <v>4705</v>
      </c>
      <c r="F18" s="135">
        <f>'Consommation mensuel énergie'!M26</f>
        <v>9475</v>
      </c>
      <c r="G18" s="135">
        <f>'Consommation mensuel énergie'!N26</f>
        <v>3945</v>
      </c>
      <c r="H18" s="135">
        <f>'Consommation mensuel énergie'!D26</f>
        <v>141</v>
      </c>
      <c r="I18" s="135">
        <f>'Consommation mensuel énergie'!E26</f>
        <v>205</v>
      </c>
      <c r="J18" s="131" t="e">
        <f>E18*F18+G18*#REF!+#REF!*#REF!+#REF!*#REF!</f>
        <v>#REF!</v>
      </c>
    </row>
    <row r="19" spans="1:10" x14ac:dyDescent="0.2">
      <c r="A19" s="134" t="s">
        <v>13</v>
      </c>
      <c r="B19" s="138">
        <f t="shared" si="0"/>
        <v>18</v>
      </c>
      <c r="C19" s="138">
        <v>6</v>
      </c>
      <c r="D19" s="139">
        <v>2022</v>
      </c>
      <c r="E19" s="135">
        <f>'Consommation mensuel énergie'!L27</f>
        <v>6739</v>
      </c>
      <c r="F19" s="135">
        <f>'Consommation mensuel énergie'!M27</f>
        <v>10063</v>
      </c>
      <c r="G19" s="135">
        <f>'Consommation mensuel énergie'!N27</f>
        <v>5247</v>
      </c>
      <c r="H19" s="135">
        <f>'Consommation mensuel énergie'!D27</f>
        <v>143</v>
      </c>
      <c r="I19" s="135">
        <f>'Consommation mensuel énergie'!E27</f>
        <v>223</v>
      </c>
      <c r="J19" s="131" t="e">
        <f>E19*F19+G19*#REF!+#REF!*#REF!+#REF!*#REF!</f>
        <v>#REF!</v>
      </c>
    </row>
    <row r="20" spans="1:10" x14ac:dyDescent="0.2">
      <c r="A20" s="134" t="s">
        <v>13</v>
      </c>
      <c r="B20" s="138">
        <f t="shared" si="0"/>
        <v>19</v>
      </c>
      <c r="C20" s="138">
        <v>6</v>
      </c>
      <c r="D20" s="139">
        <v>2022</v>
      </c>
      <c r="E20" s="135">
        <f>'Consommation mensuel énergie'!L28</f>
        <v>4891</v>
      </c>
      <c r="F20" s="135">
        <f>'Consommation mensuel énergie'!M28</f>
        <v>8929</v>
      </c>
      <c r="G20" s="135">
        <f>'Consommation mensuel énergie'!N28</f>
        <v>3584</v>
      </c>
      <c r="H20" s="135">
        <f>'Consommation mensuel énergie'!D28</f>
        <v>151</v>
      </c>
      <c r="I20" s="135">
        <f>'Consommation mensuel énergie'!E28</f>
        <v>230</v>
      </c>
      <c r="J20" s="131" t="e">
        <f>E20*F20+G20*#REF!+#REF!*#REF!+#REF!*#REF!</f>
        <v>#REF!</v>
      </c>
    </row>
    <row r="21" spans="1:10" x14ac:dyDescent="0.2">
      <c r="A21" s="134" t="s">
        <v>13</v>
      </c>
      <c r="B21" s="138">
        <f t="shared" si="0"/>
        <v>20</v>
      </c>
      <c r="C21" s="138">
        <v>6</v>
      </c>
      <c r="D21" s="139">
        <v>2022</v>
      </c>
      <c r="E21" s="135">
        <f>'Consommation mensuel énergie'!L29</f>
        <v>4790</v>
      </c>
      <c r="F21" s="135">
        <f>'Consommation mensuel énergie'!M29</f>
        <v>9626</v>
      </c>
      <c r="G21" s="135">
        <f>'Consommation mensuel énergie'!N29</f>
        <v>4619</v>
      </c>
      <c r="H21" s="135">
        <f>'Consommation mensuel énergie'!D29</f>
        <v>170</v>
      </c>
      <c r="I21" s="135">
        <f>'Consommation mensuel énergie'!E29</f>
        <v>256</v>
      </c>
      <c r="J21" s="131" t="e">
        <f>E21*F21+G21*#REF!+#REF!*#REF!+#REF!*#REF!</f>
        <v>#REF!</v>
      </c>
    </row>
    <row r="22" spans="1:10" x14ac:dyDescent="0.2">
      <c r="A22" s="134" t="s">
        <v>13</v>
      </c>
      <c r="B22" s="138">
        <f t="shared" si="0"/>
        <v>21</v>
      </c>
      <c r="C22" s="138">
        <v>6</v>
      </c>
      <c r="D22" s="139">
        <v>2022</v>
      </c>
      <c r="E22" s="135">
        <f>'Consommation mensuel énergie'!L30</f>
        <v>4704</v>
      </c>
      <c r="F22" s="135">
        <f>'Consommation mensuel énergie'!M30</f>
        <v>9949</v>
      </c>
      <c r="G22" s="135">
        <f>'Consommation mensuel énergie'!N30</f>
        <v>3687</v>
      </c>
      <c r="H22" s="135">
        <f>'Consommation mensuel énergie'!D30</f>
        <v>180</v>
      </c>
      <c r="I22" s="135">
        <f>'Consommation mensuel énergie'!E30</f>
        <v>256</v>
      </c>
      <c r="J22" s="131" t="e">
        <f>E22*F22+G22*#REF!+#REF!*#REF!+#REF!*#REF!</f>
        <v>#REF!</v>
      </c>
    </row>
    <row r="23" spans="1:10" x14ac:dyDescent="0.2">
      <c r="A23" s="134" t="s">
        <v>13</v>
      </c>
      <c r="B23" s="138">
        <f t="shared" si="0"/>
        <v>22</v>
      </c>
      <c r="C23" s="138">
        <v>6</v>
      </c>
      <c r="D23" s="139">
        <v>2022</v>
      </c>
      <c r="E23" s="135">
        <f>'Consommation mensuel énergie'!L31</f>
        <v>4239</v>
      </c>
      <c r="F23" s="135">
        <f>'Consommation mensuel énergie'!M31</f>
        <v>8691</v>
      </c>
      <c r="G23" s="135">
        <f>'Consommation mensuel énergie'!N31</f>
        <v>3846</v>
      </c>
      <c r="H23" s="135">
        <f>'Consommation mensuel énergie'!D31</f>
        <v>161</v>
      </c>
      <c r="I23" s="135">
        <f>'Consommation mensuel énergie'!E31</f>
        <v>229</v>
      </c>
      <c r="J23" s="131" t="e">
        <f>E23*F23+G23*#REF!+#REF!*#REF!+#REF!*#REF!</f>
        <v>#REF!</v>
      </c>
    </row>
    <row r="24" spans="1:10" x14ac:dyDescent="0.2">
      <c r="A24" s="134" t="s">
        <v>13</v>
      </c>
      <c r="B24" s="138">
        <f t="shared" si="0"/>
        <v>23</v>
      </c>
      <c r="C24" s="138">
        <v>6</v>
      </c>
      <c r="D24" s="139">
        <v>2022</v>
      </c>
      <c r="E24" s="135">
        <f>'Consommation mensuel énergie'!L32</f>
        <v>4926</v>
      </c>
      <c r="F24" s="135">
        <f>'Consommation mensuel énergie'!M32</f>
        <v>10122</v>
      </c>
      <c r="G24" s="135">
        <f>'Consommation mensuel énergie'!N32</f>
        <v>3714</v>
      </c>
      <c r="H24" s="135">
        <f>'Consommation mensuel énergie'!D32</f>
        <v>158</v>
      </c>
      <c r="I24" s="135">
        <f>'Consommation mensuel énergie'!E32</f>
        <v>251</v>
      </c>
      <c r="J24" s="131" t="e">
        <f>E24*F24+G24*#REF!+#REF!*#REF!+#REF!*#REF!</f>
        <v>#REF!</v>
      </c>
    </row>
    <row r="25" spans="1:10" x14ac:dyDescent="0.2">
      <c r="A25" s="134" t="s">
        <v>13</v>
      </c>
      <c r="B25" s="138">
        <f t="shared" si="0"/>
        <v>24</v>
      </c>
      <c r="C25" s="138">
        <v>6</v>
      </c>
      <c r="D25" s="139">
        <v>2022</v>
      </c>
      <c r="E25" s="135">
        <f>'Consommation mensuel énergie'!L33</f>
        <v>4361</v>
      </c>
      <c r="F25" s="135">
        <f>'Consommation mensuel énergie'!M33</f>
        <v>9600</v>
      </c>
      <c r="G25" s="135">
        <f>'Consommation mensuel énergie'!N33</f>
        <v>3351</v>
      </c>
      <c r="H25" s="135">
        <f>'Consommation mensuel énergie'!D33</f>
        <v>154</v>
      </c>
      <c r="I25" s="135">
        <f>'Consommation mensuel énergie'!E33</f>
        <v>265</v>
      </c>
      <c r="J25" s="131" t="e">
        <f>E25*F25+G25*#REF!+#REF!*#REF!+#REF!*#REF!</f>
        <v>#REF!</v>
      </c>
    </row>
    <row r="26" spans="1:10" x14ac:dyDescent="0.2">
      <c r="A26" s="134" t="s">
        <v>13</v>
      </c>
      <c r="B26" s="138">
        <f>B25+1</f>
        <v>25</v>
      </c>
      <c r="C26" s="138">
        <v>6</v>
      </c>
      <c r="D26" s="139">
        <v>2022</v>
      </c>
      <c r="E26" s="135">
        <f>'Consommation mensuel énergie'!L34</f>
        <v>4488</v>
      </c>
      <c r="F26" s="135">
        <f>'Consommation mensuel énergie'!M34</f>
        <v>9074</v>
      </c>
      <c r="G26" s="135">
        <f>'Consommation mensuel énergie'!N34</f>
        <v>3460</v>
      </c>
      <c r="H26" s="135">
        <f>'Consommation mensuel énergie'!D34</f>
        <v>146</v>
      </c>
      <c r="I26" s="135">
        <f>'Consommation mensuel énergie'!E34</f>
        <v>257</v>
      </c>
      <c r="J26" s="131" t="e">
        <f>E26*F26+G26*#REF!+#REF!*#REF!+#REF!*#REF!</f>
        <v>#REF!</v>
      </c>
    </row>
    <row r="27" spans="1:10" x14ac:dyDescent="0.2">
      <c r="A27" s="134" t="s">
        <v>13</v>
      </c>
      <c r="B27" s="138">
        <f t="shared" ref="B27:B31" si="1">B26+1</f>
        <v>26</v>
      </c>
      <c r="C27" s="138">
        <v>6</v>
      </c>
      <c r="D27" s="139">
        <v>2022</v>
      </c>
      <c r="E27" s="135">
        <f>'Consommation mensuel énergie'!L35</f>
        <v>4644</v>
      </c>
      <c r="F27" s="135">
        <f>'Consommation mensuel énergie'!M35</f>
        <v>9126</v>
      </c>
      <c r="G27" s="135">
        <f>'Consommation mensuel énergie'!N35</f>
        <v>3594</v>
      </c>
      <c r="H27" s="135">
        <f>'Consommation mensuel énergie'!D35</f>
        <v>143</v>
      </c>
      <c r="I27" s="135">
        <f>'Consommation mensuel énergie'!E35</f>
        <v>224</v>
      </c>
      <c r="J27" s="131"/>
    </row>
    <row r="28" spans="1:10" x14ac:dyDescent="0.2">
      <c r="A28" s="134" t="s">
        <v>13</v>
      </c>
      <c r="B28" s="138">
        <f t="shared" si="1"/>
        <v>27</v>
      </c>
      <c r="C28" s="138">
        <v>6</v>
      </c>
      <c r="D28" s="139">
        <v>2022</v>
      </c>
      <c r="E28" s="135">
        <f>'Consommation mensuel énergie'!L36</f>
        <v>4085</v>
      </c>
      <c r="F28" s="135">
        <f>'Consommation mensuel énergie'!M36</f>
        <v>8349</v>
      </c>
      <c r="G28" s="135">
        <f>'Consommation mensuel énergie'!N36</f>
        <v>3459</v>
      </c>
      <c r="H28" s="135">
        <f>'Consommation mensuel énergie'!D36</f>
        <v>163</v>
      </c>
      <c r="I28" s="135">
        <f>'Consommation mensuel énergie'!E36</f>
        <v>238</v>
      </c>
      <c r="J28" s="131"/>
    </row>
    <row r="29" spans="1:10" x14ac:dyDescent="0.2">
      <c r="A29" s="134" t="s">
        <v>13</v>
      </c>
      <c r="B29" s="138">
        <f t="shared" si="1"/>
        <v>28</v>
      </c>
      <c r="C29" s="138">
        <v>6</v>
      </c>
      <c r="D29" s="139">
        <v>2022</v>
      </c>
      <c r="E29" s="135">
        <f>'Consommation mensuel énergie'!L37</f>
        <v>4509</v>
      </c>
      <c r="F29" s="135">
        <f>'Consommation mensuel énergie'!M37</f>
        <v>8329</v>
      </c>
      <c r="G29" s="135">
        <f>'Consommation mensuel énergie'!N37</f>
        <v>3535</v>
      </c>
      <c r="H29" s="135">
        <f>'Consommation mensuel énergie'!D37</f>
        <v>150</v>
      </c>
      <c r="I29" s="135">
        <f>'Consommation mensuel énergie'!E37</f>
        <v>201</v>
      </c>
      <c r="J29" s="131"/>
    </row>
    <row r="30" spans="1:10" x14ac:dyDescent="0.2">
      <c r="A30" s="134" t="s">
        <v>13</v>
      </c>
      <c r="B30" s="138">
        <f t="shared" si="1"/>
        <v>29</v>
      </c>
      <c r="C30" s="138">
        <v>6</v>
      </c>
      <c r="D30" s="139">
        <v>2022</v>
      </c>
      <c r="E30" s="135">
        <f>'Consommation mensuel énergie'!L38</f>
        <v>3614</v>
      </c>
      <c r="F30" s="135">
        <f>'Consommation mensuel énergie'!M38</f>
        <v>9746</v>
      </c>
      <c r="G30" s="135">
        <f>'Consommation mensuel énergie'!N38</f>
        <v>4165</v>
      </c>
      <c r="H30" s="135">
        <f>'Consommation mensuel énergie'!D38</f>
        <v>143</v>
      </c>
      <c r="I30" s="135">
        <f>'Consommation mensuel énergie'!E38</f>
        <v>211</v>
      </c>
      <c r="J30" s="131"/>
    </row>
    <row r="31" spans="1:10" x14ac:dyDescent="0.2">
      <c r="A31" s="134" t="s">
        <v>13</v>
      </c>
      <c r="B31" s="138">
        <f t="shared" si="1"/>
        <v>30</v>
      </c>
      <c r="C31" s="138">
        <v>6</v>
      </c>
      <c r="D31" s="139">
        <v>2022</v>
      </c>
      <c r="E31" s="135">
        <f>'Consommation mensuel énergie'!L39</f>
        <v>3915</v>
      </c>
      <c r="F31" s="135">
        <f>'Consommation mensuel énergie'!M39</f>
        <v>9436</v>
      </c>
      <c r="G31" s="135">
        <f>'Consommation mensuel énergie'!N39</f>
        <v>3834</v>
      </c>
      <c r="H31" s="135">
        <f>'Consommation mensuel énergie'!D39</f>
        <v>144</v>
      </c>
      <c r="I31" s="135">
        <f>'Consommation mensuel énergie'!E39</f>
        <v>244</v>
      </c>
      <c r="J31" s="131"/>
    </row>
    <row r="32" spans="1:10" x14ac:dyDescent="0.2">
      <c r="E32" s="132"/>
      <c r="F32" s="132"/>
      <c r="G32" s="132"/>
      <c r="H32" s="131"/>
      <c r="I32" s="131"/>
    </row>
    <row r="33" spans="5:9" x14ac:dyDescent="0.2">
      <c r="E33" s="132"/>
      <c r="F33" s="132"/>
      <c r="G33" s="132"/>
      <c r="H33" s="131"/>
      <c r="I33" s="131"/>
    </row>
    <row r="34" spans="5:9" x14ac:dyDescent="0.2">
      <c r="E34" s="132"/>
      <c r="F34" s="132"/>
      <c r="G34" s="132"/>
      <c r="H34" s="131"/>
      <c r="I34" s="131"/>
    </row>
    <row r="35" spans="5:9" x14ac:dyDescent="0.2">
      <c r="E35" s="132"/>
      <c r="F35" s="132"/>
      <c r="G35" s="132"/>
      <c r="H35" s="131"/>
      <c r="I35" s="131"/>
    </row>
    <row r="36" spans="5:9" x14ac:dyDescent="0.2">
      <c r="E36" s="132"/>
      <c r="F36" s="132"/>
      <c r="G36" s="132"/>
      <c r="H36" s="131"/>
      <c r="I36" s="131"/>
    </row>
    <row r="37" spans="5:9" x14ac:dyDescent="0.2">
      <c r="E37" s="132"/>
      <c r="F37" s="132"/>
      <c r="G37" s="132"/>
      <c r="H37" s="131"/>
      <c r="I37" s="131"/>
    </row>
    <row r="38" spans="5:9" x14ac:dyDescent="0.2">
      <c r="E38" s="132"/>
      <c r="F38" s="132"/>
      <c r="G38" s="132"/>
      <c r="H38" s="131"/>
      <c r="I38" s="13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60"/>
  <sheetViews>
    <sheetView showGridLines="0" tabSelected="1" zoomScale="55" zoomScaleNormal="55" workbookViewId="0">
      <pane xSplit="3" ySplit="9" topLeftCell="D34" activePane="bottomRight" state="frozen"/>
      <selection pane="topRight" activeCell="B21" sqref="A21:IV21"/>
      <selection pane="bottomLeft" activeCell="B21" sqref="A21:IV21"/>
      <selection pane="bottomRight" activeCell="X36" sqref="X36"/>
    </sheetView>
  </sheetViews>
  <sheetFormatPr baseColWidth="10" defaultColWidth="11.42578125" defaultRowHeight="18" x14ac:dyDescent="0.2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 x14ac:dyDescent="0.25"/>
    <row r="2" spans="1:24" ht="100.5" customHeight="1" thickBot="1" x14ac:dyDescent="0.25">
      <c r="A2" s="195"/>
      <c r="B2" s="196"/>
      <c r="C2" s="196"/>
      <c r="D2" s="196"/>
      <c r="E2" s="196"/>
      <c r="F2" s="196"/>
      <c r="G2" s="196"/>
      <c r="H2" s="197"/>
      <c r="I2" s="206" t="s">
        <v>17</v>
      </c>
      <c r="J2" s="207"/>
      <c r="K2" s="207"/>
      <c r="L2" s="207"/>
      <c r="M2" s="207"/>
      <c r="N2" s="207"/>
      <c r="O2" s="207"/>
      <c r="P2" s="207"/>
      <c r="Q2" s="207"/>
      <c r="R2" s="207"/>
      <c r="S2" s="207"/>
      <c r="T2" s="207"/>
      <c r="U2" s="207"/>
      <c r="V2" s="207"/>
      <c r="W2" s="207"/>
      <c r="X2" s="207"/>
    </row>
    <row r="3" spans="1:24" ht="15" hidden="1" customHeight="1" thickBot="1" x14ac:dyDescent="0.25"/>
    <row r="4" spans="1:24" ht="39" hidden="1" customHeight="1" thickBot="1" x14ac:dyDescent="0.25">
      <c r="A4" s="198"/>
      <c r="B4" s="198"/>
      <c r="C4" s="198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 x14ac:dyDescent="0.25">
      <c r="A5" s="198"/>
      <c r="B5" s="198"/>
      <c r="C5" s="198"/>
      <c r="D5" s="5"/>
      <c r="E5" s="5"/>
      <c r="F5" s="5"/>
      <c r="G5" s="5"/>
      <c r="H5" s="5"/>
      <c r="I5" s="5"/>
      <c r="J5" s="5"/>
      <c r="K5" s="5"/>
      <c r="L5" s="5"/>
      <c r="M5" s="199"/>
      <c r="N5" s="199"/>
      <c r="O5" s="199"/>
      <c r="P5" s="199"/>
      <c r="Q5" s="199"/>
      <c r="R5" s="199"/>
      <c r="S5" s="199"/>
      <c r="T5" s="199"/>
      <c r="U5" s="199"/>
      <c r="V5" s="199"/>
      <c r="W5" s="199"/>
      <c r="X5" s="199"/>
    </row>
    <row r="6" spans="1:24" s="5" customFormat="1" ht="44.25" hidden="1" customHeight="1" thickBot="1" x14ac:dyDescent="0.25">
      <c r="A6" s="3"/>
      <c r="B6" s="3"/>
      <c r="C6" s="3"/>
      <c r="M6" s="199"/>
      <c r="N6" s="199"/>
      <c r="O6" s="199"/>
      <c r="P6" s="199"/>
      <c r="Q6" s="199"/>
      <c r="R6" s="199"/>
      <c r="S6" s="199"/>
      <c r="T6" s="199"/>
      <c r="U6" s="199"/>
      <c r="V6" s="199"/>
      <c r="W6" s="199"/>
      <c r="X6" s="199"/>
    </row>
    <row r="7" spans="1:24" s="5" customFormat="1" ht="18.75" hidden="1" customHeight="1" thickBot="1" x14ac:dyDescent="0.25">
      <c r="F7" s="199"/>
      <c r="G7" s="199"/>
      <c r="H7" s="199"/>
      <c r="I7" s="199"/>
      <c r="J7" s="199"/>
      <c r="K7" s="199"/>
      <c r="L7" s="199"/>
      <c r="M7" s="199"/>
      <c r="N7" s="208"/>
      <c r="O7" s="208"/>
      <c r="P7" s="199"/>
      <c r="Q7" s="199"/>
      <c r="R7" s="199"/>
      <c r="S7" s="199"/>
      <c r="T7" s="199"/>
      <c r="U7" s="199"/>
      <c r="V7" s="199"/>
      <c r="W7" s="199"/>
      <c r="X7" s="199"/>
    </row>
    <row r="8" spans="1:24" ht="18.75" customHeight="1" thickBot="1" x14ac:dyDescent="0.25">
      <c r="A8" s="199"/>
      <c r="B8" s="210" t="s">
        <v>19</v>
      </c>
      <c r="C8" s="4"/>
      <c r="D8" s="211" t="s">
        <v>20</v>
      </c>
      <c r="E8" s="211" t="s">
        <v>21</v>
      </c>
      <c r="F8" s="193" t="s">
        <v>22</v>
      </c>
      <c r="G8" s="2"/>
      <c r="H8" s="200" t="s">
        <v>23</v>
      </c>
      <c r="I8" s="201"/>
      <c r="J8" s="202"/>
      <c r="K8" s="188" t="s">
        <v>24</v>
      </c>
      <c r="L8" s="192" t="s">
        <v>25</v>
      </c>
      <c r="M8" s="192"/>
      <c r="N8" s="192"/>
      <c r="O8" s="192" t="s">
        <v>26</v>
      </c>
      <c r="P8" s="2"/>
      <c r="Q8" s="190" t="s">
        <v>23</v>
      </c>
      <c r="R8" s="2"/>
      <c r="S8" s="190" t="s">
        <v>27</v>
      </c>
      <c r="T8" s="2"/>
      <c r="U8" s="190" t="s">
        <v>28</v>
      </c>
      <c r="V8" s="213" t="s">
        <v>29</v>
      </c>
      <c r="W8" s="2"/>
      <c r="X8" s="190" t="s">
        <v>23</v>
      </c>
    </row>
    <row r="9" spans="1:24" ht="59.25" customHeight="1" thickBot="1" x14ac:dyDescent="0.25">
      <c r="A9" s="199"/>
      <c r="B9" s="210"/>
      <c r="C9" s="4"/>
      <c r="D9" s="212"/>
      <c r="E9" s="212"/>
      <c r="F9" s="194"/>
      <c r="G9" s="2"/>
      <c r="H9" s="203"/>
      <c r="I9" s="204"/>
      <c r="J9" s="205"/>
      <c r="K9" s="189"/>
      <c r="L9" s="152" t="s">
        <v>30</v>
      </c>
      <c r="M9" s="152" t="s">
        <v>31</v>
      </c>
      <c r="N9" s="152" t="s">
        <v>32</v>
      </c>
      <c r="O9" s="209"/>
      <c r="P9" s="2"/>
      <c r="Q9" s="191"/>
      <c r="R9" s="2"/>
      <c r="S9" s="191"/>
      <c r="T9" s="2"/>
      <c r="U9" s="191"/>
      <c r="V9" s="214"/>
      <c r="W9" s="2"/>
      <c r="X9" s="191"/>
    </row>
    <row r="10" spans="1:24" ht="32.25" customHeight="1" x14ac:dyDescent="0.2">
      <c r="A10" s="2"/>
      <c r="B10" s="6">
        <v>44713</v>
      </c>
      <c r="C10" s="7"/>
      <c r="D10" s="141">
        <v>179</v>
      </c>
      <c r="E10" s="141">
        <v>253</v>
      </c>
      <c r="F10" s="13">
        <f>'Suivi EAU-ELEC'!E9</f>
        <v>267</v>
      </c>
      <c r="G10" s="11"/>
      <c r="H10" s="185">
        <f>F10*8.79</f>
        <v>2346.9299999999998</v>
      </c>
      <c r="I10" s="186"/>
      <c r="J10" s="186"/>
      <c r="K10" s="58">
        <v>42278</v>
      </c>
      <c r="L10" s="88">
        <f>'Suivi EAU-ELEC'!G9</f>
        <v>4384</v>
      </c>
      <c r="M10" s="89">
        <f>'Suivi EAU-ELEC'!I9</f>
        <v>9147</v>
      </c>
      <c r="N10" s="89">
        <f>'Suivi EAU-ELEC'!K9</f>
        <v>3394</v>
      </c>
      <c r="O10" s="89">
        <f>L10+M10+N10</f>
        <v>16925</v>
      </c>
      <c r="P10" s="11"/>
      <c r="Q10" s="34">
        <f>L10*0.6985+M10*0.9514+N10*1.3304</f>
        <v>16280.0574</v>
      </c>
      <c r="R10" s="11"/>
      <c r="S10" s="28"/>
      <c r="T10" s="11"/>
      <c r="U10" s="28"/>
      <c r="V10" s="144">
        <f>'Suvi Gaz'!O4</f>
        <v>159.99605</v>
      </c>
      <c r="W10" s="11"/>
      <c r="X10" s="34">
        <f>V10*11.77</f>
        <v>1883.1535084999998</v>
      </c>
    </row>
    <row r="11" spans="1:24" ht="32.25" customHeight="1" x14ac:dyDescent="0.2">
      <c r="A11" s="2"/>
      <c r="B11" s="6">
        <v>44714</v>
      </c>
      <c r="C11" s="7"/>
      <c r="D11" s="141">
        <v>177</v>
      </c>
      <c r="E11" s="141">
        <v>263</v>
      </c>
      <c r="F11" s="13">
        <f>'Suivi EAU-ELEC'!E10</f>
        <v>165.29999999998836</v>
      </c>
      <c r="G11" s="11"/>
      <c r="H11" s="185">
        <f t="shared" ref="H11:H21" si="0">F11*8.79</f>
        <v>1452.9869999998975</v>
      </c>
      <c r="I11" s="186"/>
      <c r="J11" s="186"/>
      <c r="K11" s="58">
        <v>42279</v>
      </c>
      <c r="L11" s="88">
        <f>'Suivi EAU-ELEC'!G10</f>
        <v>4441</v>
      </c>
      <c r="M11" s="89">
        <f>'Suivi EAU-ELEC'!I10</f>
        <v>10256</v>
      </c>
      <c r="N11" s="89">
        <f>'Suivi EAU-ELEC'!K10</f>
        <v>3721</v>
      </c>
      <c r="O11" s="89">
        <f>L11+M11+N11</f>
        <v>18418</v>
      </c>
      <c r="P11" s="11"/>
      <c r="Q11" s="34">
        <f>L11*0.6985+M11*0.9514+N11*1.3304</f>
        <v>17810.015299999999</v>
      </c>
      <c r="R11" s="11"/>
      <c r="S11" s="28"/>
      <c r="T11" s="11"/>
      <c r="U11" s="28"/>
      <c r="V11" s="144">
        <f>'Suvi Gaz'!O5</f>
        <v>287.99288999999999</v>
      </c>
      <c r="W11" s="11"/>
      <c r="X11" s="34">
        <f t="shared" ref="X11:X39" si="1">V11*11.77</f>
        <v>3389.6763152999997</v>
      </c>
    </row>
    <row r="12" spans="1:24" ht="32.25" customHeight="1" x14ac:dyDescent="0.2">
      <c r="A12" s="2"/>
      <c r="B12" s="6">
        <v>44715</v>
      </c>
      <c r="C12" s="7"/>
      <c r="D12" s="141">
        <v>173</v>
      </c>
      <c r="E12" s="141">
        <v>289</v>
      </c>
      <c r="F12" s="13">
        <f>'Suivi EAU-ELEC'!E11</f>
        <v>158.90000000002328</v>
      </c>
      <c r="G12" s="11"/>
      <c r="H12" s="185">
        <f t="shared" si="0"/>
        <v>1396.7310000002046</v>
      </c>
      <c r="I12" s="186"/>
      <c r="J12" s="186"/>
      <c r="K12" s="58">
        <v>42280</v>
      </c>
      <c r="L12" s="88">
        <f>'Suivi EAU-ELEC'!G11</f>
        <v>3749</v>
      </c>
      <c r="M12" s="89">
        <f>'Suivi EAU-ELEC'!I11</f>
        <v>10529</v>
      </c>
      <c r="N12" s="89">
        <f>'Suivi EAU-ELEC'!K11</f>
        <v>3819</v>
      </c>
      <c r="O12" s="89">
        <f>L12+M12+N12</f>
        <v>18097</v>
      </c>
      <c r="P12" s="11"/>
      <c r="Q12" s="34">
        <f>L12*0.6985+M12*0.9514+N12*1.3304</f>
        <v>17716.7647</v>
      </c>
      <c r="R12" s="11"/>
      <c r="S12" s="28"/>
      <c r="T12" s="11"/>
      <c r="U12" s="28"/>
      <c r="V12" s="144">
        <f>'Suvi Gaz'!O6</f>
        <v>319.99209999999999</v>
      </c>
      <c r="W12" s="11"/>
      <c r="X12" s="34">
        <f t="shared" si="1"/>
        <v>3766.3070169999996</v>
      </c>
    </row>
    <row r="13" spans="1:24" ht="32.25" customHeight="1" x14ac:dyDescent="0.2">
      <c r="A13" s="2"/>
      <c r="B13" s="6">
        <v>44716</v>
      </c>
      <c r="C13" s="7"/>
      <c r="D13" s="141">
        <v>171</v>
      </c>
      <c r="E13" s="141">
        <v>289</v>
      </c>
      <c r="F13" s="13">
        <f>'Suivi EAU-ELEC'!E12</f>
        <v>157.79999999998836</v>
      </c>
      <c r="G13" s="11"/>
      <c r="H13" s="185">
        <f t="shared" si="0"/>
        <v>1387.0619999998976</v>
      </c>
      <c r="I13" s="186"/>
      <c r="J13" s="186"/>
      <c r="K13" s="58">
        <v>42281</v>
      </c>
      <c r="L13" s="88">
        <f>'Suivi EAU-ELEC'!G12</f>
        <v>4936</v>
      </c>
      <c r="M13" s="89">
        <f>'Suivi EAU-ELEC'!I12</f>
        <v>10072</v>
      </c>
      <c r="N13" s="89">
        <f>'Suivi EAU-ELEC'!K12</f>
        <v>3952</v>
      </c>
      <c r="O13" s="89">
        <f t="shared" ref="O13:O36" si="2">L13+M13+N13</f>
        <v>18960</v>
      </c>
      <c r="P13" s="11"/>
      <c r="Q13" s="34">
        <f t="shared" ref="Q13:Q36" si="3">L13*0.6985+M13*0.9514+N13*1.3304</f>
        <v>18288.0376</v>
      </c>
      <c r="R13" s="11"/>
      <c r="S13" s="28"/>
      <c r="T13" s="11"/>
      <c r="U13" s="28"/>
      <c r="V13" s="144">
        <f>'Suvi Gaz'!O7</f>
        <v>351.99131</v>
      </c>
      <c r="W13" s="11"/>
      <c r="X13" s="34">
        <f t="shared" si="1"/>
        <v>4142.9377187</v>
      </c>
    </row>
    <row r="14" spans="1:24" ht="32.25" customHeight="1" x14ac:dyDescent="0.2">
      <c r="A14" s="2"/>
      <c r="B14" s="6">
        <v>44717</v>
      </c>
      <c r="C14" s="7"/>
      <c r="D14" s="141">
        <v>146</v>
      </c>
      <c r="E14" s="141">
        <v>229</v>
      </c>
      <c r="F14" s="13">
        <f>'Suivi EAU-ELEC'!E13</f>
        <v>160</v>
      </c>
      <c r="G14" s="12"/>
      <c r="H14" s="185">
        <f t="shared" si="0"/>
        <v>1406.3999999999999</v>
      </c>
      <c r="I14" s="186"/>
      <c r="J14" s="186"/>
      <c r="K14" s="58">
        <v>42282</v>
      </c>
      <c r="L14" s="88">
        <f>'Suivi EAU-ELEC'!G13</f>
        <v>4461</v>
      </c>
      <c r="M14" s="89">
        <f>'Suivi EAU-ELEC'!I13</f>
        <v>10146</v>
      </c>
      <c r="N14" s="89">
        <f>'Suivi EAU-ELEC'!K13</f>
        <v>3938</v>
      </c>
      <c r="O14" s="89">
        <f t="shared" si="2"/>
        <v>18545</v>
      </c>
      <c r="P14" s="12"/>
      <c r="Q14" s="34">
        <f t="shared" si="3"/>
        <v>18008.0281</v>
      </c>
      <c r="R14" s="12"/>
      <c r="S14" s="28"/>
      <c r="T14" s="12"/>
      <c r="U14" s="28"/>
      <c r="V14" s="144">
        <f>'Suvi Gaz'!O8</f>
        <v>287.99288999999999</v>
      </c>
      <c r="W14" s="11"/>
      <c r="X14" s="34">
        <f t="shared" si="1"/>
        <v>3389.6763152999997</v>
      </c>
    </row>
    <row r="15" spans="1:24" ht="32.25" customHeight="1" x14ac:dyDescent="0.2">
      <c r="A15" s="5"/>
      <c r="B15" s="6">
        <v>44718</v>
      </c>
      <c r="C15" s="7"/>
      <c r="D15" s="141">
        <v>134</v>
      </c>
      <c r="E15" s="141">
        <v>208</v>
      </c>
      <c r="F15" s="13">
        <f>'Suivi EAU-ELEC'!E14</f>
        <v>145</v>
      </c>
      <c r="G15" s="11"/>
      <c r="H15" s="185">
        <f t="shared" si="0"/>
        <v>1274.55</v>
      </c>
      <c r="I15" s="186"/>
      <c r="J15" s="186"/>
      <c r="K15" s="58">
        <v>42283</v>
      </c>
      <c r="L15" s="88">
        <f>'Suivi EAU-ELEC'!G14</f>
        <v>4437</v>
      </c>
      <c r="M15" s="89">
        <f>'Suivi EAU-ELEC'!I14</f>
        <v>9912</v>
      </c>
      <c r="N15" s="89">
        <f>'Suivi EAU-ELEC'!K14</f>
        <v>3710</v>
      </c>
      <c r="O15" s="89">
        <f t="shared" si="2"/>
        <v>18059</v>
      </c>
      <c r="P15" s="12"/>
      <c r="Q15" s="34">
        <f>L15*0.6985+M15*0.9514+N15*1.3304</f>
        <v>17465.3053</v>
      </c>
      <c r="R15" s="12"/>
      <c r="S15" s="28"/>
      <c r="T15" s="12"/>
      <c r="U15" s="28"/>
      <c r="V15" s="144">
        <f>'Suvi Gaz'!O9</f>
        <v>127.99684000000001</v>
      </c>
      <c r="W15" s="11"/>
      <c r="X15" s="34">
        <f t="shared" si="1"/>
        <v>1506.5228068000001</v>
      </c>
    </row>
    <row r="16" spans="1:24" ht="32.25" customHeight="1" x14ac:dyDescent="0.2">
      <c r="A16" s="5"/>
      <c r="B16" s="6">
        <v>44719</v>
      </c>
      <c r="C16" s="7"/>
      <c r="D16" s="141">
        <v>134</v>
      </c>
      <c r="E16" s="141">
        <v>201</v>
      </c>
      <c r="F16" s="13">
        <f>'Suivi EAU-ELEC'!E15</f>
        <v>155</v>
      </c>
      <c r="G16" s="11"/>
      <c r="H16" s="185">
        <f t="shared" si="0"/>
        <v>1362.4499999999998</v>
      </c>
      <c r="I16" s="186"/>
      <c r="J16" s="186"/>
      <c r="K16" s="58">
        <v>42284</v>
      </c>
      <c r="L16" s="88">
        <f>'Suivi EAU-ELEC'!G15</f>
        <v>4900</v>
      </c>
      <c r="M16" s="89">
        <f>'Suivi EAU-ELEC'!I15</f>
        <v>10384</v>
      </c>
      <c r="N16" s="89">
        <f>'Suivi EAU-ELEC'!K15</f>
        <v>4539</v>
      </c>
      <c r="O16" s="89">
        <f t="shared" si="2"/>
        <v>19823</v>
      </c>
      <c r="P16" s="11"/>
      <c r="Q16" s="34">
        <f t="shared" si="3"/>
        <v>19340.673200000001</v>
      </c>
      <c r="R16" s="11"/>
      <c r="S16" s="28"/>
      <c r="T16" s="11"/>
      <c r="U16" s="28"/>
      <c r="V16" s="144">
        <f>'Suvi Gaz'!O10</f>
        <v>351.99131</v>
      </c>
      <c r="W16" s="11"/>
      <c r="X16" s="34">
        <f t="shared" si="1"/>
        <v>4142.9377187</v>
      </c>
    </row>
    <row r="17" spans="1:24" s="5" customFormat="1" ht="32.25" customHeight="1" x14ac:dyDescent="0.2">
      <c r="A17" s="2"/>
      <c r="B17" s="6">
        <v>44720</v>
      </c>
      <c r="C17" s="7"/>
      <c r="D17" s="141">
        <v>147</v>
      </c>
      <c r="E17" s="141">
        <v>205</v>
      </c>
      <c r="F17" s="13">
        <f>'Suivi EAU-ELEC'!E16</f>
        <v>139</v>
      </c>
      <c r="G17" s="11"/>
      <c r="H17" s="185">
        <f t="shared" si="0"/>
        <v>1221.81</v>
      </c>
      <c r="I17" s="186"/>
      <c r="J17" s="186"/>
      <c r="K17" s="58">
        <v>42285</v>
      </c>
      <c r="L17" s="88">
        <f>'Suivi EAU-ELEC'!G16</f>
        <v>5117</v>
      </c>
      <c r="M17" s="89">
        <f>'Suivi EAU-ELEC'!I16</f>
        <v>10773</v>
      </c>
      <c r="N17" s="89">
        <f>'Suivi EAU-ELEC'!K16</f>
        <v>4172</v>
      </c>
      <c r="O17" s="89">
        <f t="shared" si="2"/>
        <v>20062</v>
      </c>
      <c r="P17" s="12"/>
      <c r="Q17" s="34">
        <f t="shared" si="3"/>
        <v>19374.085500000001</v>
      </c>
      <c r="R17" s="12"/>
      <c r="S17" s="28"/>
      <c r="T17" s="12"/>
      <c r="U17" s="28"/>
      <c r="V17" s="144">
        <f>'Suvi Gaz'!O11</f>
        <v>223.99447000000001</v>
      </c>
      <c r="W17" s="11"/>
      <c r="X17" s="34">
        <f t="shared" si="1"/>
        <v>2636.4149118999999</v>
      </c>
    </row>
    <row r="18" spans="1:24" ht="32.25" customHeight="1" x14ac:dyDescent="0.2">
      <c r="A18" s="2"/>
      <c r="B18" s="6">
        <v>44721</v>
      </c>
      <c r="C18" s="7"/>
      <c r="D18" s="141">
        <v>138</v>
      </c>
      <c r="E18" s="141">
        <v>200</v>
      </c>
      <c r="F18" s="13">
        <f>'Suivi EAU-ELEC'!E17</f>
        <v>135</v>
      </c>
      <c r="G18" s="11"/>
      <c r="H18" s="185">
        <f t="shared" si="0"/>
        <v>1186.6499999999999</v>
      </c>
      <c r="I18" s="186"/>
      <c r="J18" s="186"/>
      <c r="K18" s="58">
        <v>42286</v>
      </c>
      <c r="L18" s="88">
        <f>'Suivi EAU-ELEC'!G17</f>
        <v>5025</v>
      </c>
      <c r="M18" s="89">
        <f>'Suivi EAU-ELEC'!I17</f>
        <v>10593</v>
      </c>
      <c r="N18" s="89">
        <f>'Suivi EAU-ELEC'!K17</f>
        <v>4219</v>
      </c>
      <c r="O18" s="89">
        <f t="shared" si="2"/>
        <v>19837</v>
      </c>
      <c r="P18" s="12"/>
      <c r="Q18" s="34">
        <f t="shared" si="3"/>
        <v>19201.100299999998</v>
      </c>
      <c r="R18" s="12"/>
      <c r="S18" s="28"/>
      <c r="T18" s="12"/>
      <c r="U18" s="28"/>
      <c r="V18" s="144">
        <f>'Suvi Gaz'!O12</f>
        <v>287.99288999999999</v>
      </c>
      <c r="W18" s="11"/>
      <c r="X18" s="34">
        <f t="shared" si="1"/>
        <v>3389.6763152999997</v>
      </c>
    </row>
    <row r="19" spans="1:24" ht="32.25" customHeight="1" x14ac:dyDescent="0.2">
      <c r="A19" s="2"/>
      <c r="B19" s="6">
        <v>44722</v>
      </c>
      <c r="C19" s="7"/>
      <c r="D19" s="141">
        <v>120</v>
      </c>
      <c r="E19" s="141">
        <v>175</v>
      </c>
      <c r="F19" s="13">
        <f>'Suivi EAU-ELEC'!E18</f>
        <v>175.29999999998836</v>
      </c>
      <c r="G19" s="12"/>
      <c r="H19" s="185">
        <f t="shared" si="0"/>
        <v>1540.8869999998976</v>
      </c>
      <c r="I19" s="186"/>
      <c r="J19" s="186"/>
      <c r="K19" s="58">
        <v>42287</v>
      </c>
      <c r="L19" s="88">
        <f>'Suivi EAU-ELEC'!G18</f>
        <v>4793</v>
      </c>
      <c r="M19" s="89">
        <f>'Suivi EAU-ELEC'!I18</f>
        <v>10865</v>
      </c>
      <c r="N19" s="89">
        <f>'Suivi EAU-ELEC'!K18</f>
        <v>3986</v>
      </c>
      <c r="O19" s="89">
        <f t="shared" si="2"/>
        <v>19644</v>
      </c>
      <c r="P19" s="12"/>
      <c r="Q19" s="34">
        <f t="shared" si="3"/>
        <v>18987.8459</v>
      </c>
      <c r="R19" s="12"/>
      <c r="S19" s="28"/>
      <c r="T19" s="12"/>
      <c r="U19" s="28"/>
      <c r="V19" s="144">
        <f>'Suvi Gaz'!O13</f>
        <v>383.99052</v>
      </c>
      <c r="W19" s="11"/>
      <c r="X19" s="34">
        <f t="shared" si="1"/>
        <v>4519.5684203999999</v>
      </c>
    </row>
    <row r="20" spans="1:24" ht="32.25" customHeight="1" x14ac:dyDescent="0.2">
      <c r="A20" s="2"/>
      <c r="B20" s="6">
        <v>44723</v>
      </c>
      <c r="C20" s="7"/>
      <c r="D20" s="141">
        <v>173</v>
      </c>
      <c r="E20" s="141">
        <v>223</v>
      </c>
      <c r="F20" s="13">
        <f>'Suivi EAU-ELEC'!E19</f>
        <v>170.60000000000582</v>
      </c>
      <c r="G20" s="12"/>
      <c r="H20" s="185">
        <f t="shared" si="0"/>
        <v>1499.574000000051</v>
      </c>
      <c r="I20" s="186"/>
      <c r="J20" s="186"/>
      <c r="K20" s="58">
        <v>42288</v>
      </c>
      <c r="L20" s="88">
        <f>'Suivi EAU-ELEC'!G19</f>
        <v>5146</v>
      </c>
      <c r="M20" s="89">
        <f>'Suivi EAU-ELEC'!I19</f>
        <v>10605</v>
      </c>
      <c r="N20" s="89">
        <f>'Suivi EAU-ELEC'!K19</f>
        <v>4231</v>
      </c>
      <c r="O20" s="89">
        <f t="shared" si="2"/>
        <v>19982</v>
      </c>
      <c r="P20" s="12"/>
      <c r="Q20" s="34">
        <f t="shared" si="3"/>
        <v>19313.000400000001</v>
      </c>
      <c r="R20" s="12"/>
      <c r="S20" s="28"/>
      <c r="T20" s="12"/>
      <c r="U20" s="28"/>
      <c r="V20" s="144">
        <f>'Suvi Gaz'!O14</f>
        <v>415.98973000000001</v>
      </c>
      <c r="W20" s="11"/>
      <c r="X20" s="34">
        <f t="shared" si="1"/>
        <v>4896.1991220999998</v>
      </c>
    </row>
    <row r="21" spans="1:24" ht="32.25" customHeight="1" x14ac:dyDescent="0.2">
      <c r="A21" s="2"/>
      <c r="B21" s="6">
        <v>44724</v>
      </c>
      <c r="C21" s="7"/>
      <c r="D21" s="141">
        <v>183</v>
      </c>
      <c r="E21" s="141">
        <v>237</v>
      </c>
      <c r="F21" s="13">
        <f>'Suivi EAU-ELEC'!E20</f>
        <v>163.10000000000582</v>
      </c>
      <c r="G21" s="12"/>
      <c r="H21" s="185">
        <f t="shared" si="0"/>
        <v>1433.649000000051</v>
      </c>
      <c r="I21" s="186"/>
      <c r="J21" s="186"/>
      <c r="K21" s="58">
        <v>42289</v>
      </c>
      <c r="L21" s="88">
        <f>'Suivi EAU-ELEC'!G20</f>
        <v>5362</v>
      </c>
      <c r="M21" s="89">
        <f>'Suivi EAU-ELEC'!I20</f>
        <v>11461</v>
      </c>
      <c r="N21" s="89">
        <f>'Suivi EAU-ELEC'!K20</f>
        <v>4511</v>
      </c>
      <c r="O21" s="89">
        <f>L21+M21+N21</f>
        <v>21334</v>
      </c>
      <c r="P21" s="12"/>
      <c r="Q21" s="34">
        <f t="shared" si="3"/>
        <v>20650.786800000002</v>
      </c>
      <c r="R21" s="12"/>
      <c r="S21" s="28"/>
      <c r="T21" s="12"/>
      <c r="U21" s="28"/>
      <c r="V21" s="144">
        <f>'Suvi Gaz'!O15</f>
        <v>159.99605</v>
      </c>
      <c r="W21" s="11"/>
      <c r="X21" s="34">
        <f t="shared" si="1"/>
        <v>1883.1535084999998</v>
      </c>
    </row>
    <row r="22" spans="1:24" ht="32.25" customHeight="1" x14ac:dyDescent="0.2">
      <c r="A22" s="2"/>
      <c r="B22" s="6">
        <v>44725</v>
      </c>
      <c r="C22" s="7"/>
      <c r="D22" s="141">
        <v>181</v>
      </c>
      <c r="E22" s="141">
        <v>226</v>
      </c>
      <c r="F22" s="13">
        <f>'Suivi EAU-ELEC'!E21</f>
        <v>151</v>
      </c>
      <c r="G22" s="12"/>
      <c r="H22" s="185">
        <f t="shared" ref="H22:H35" si="4">F22*8.79</f>
        <v>1327.29</v>
      </c>
      <c r="I22" s="186"/>
      <c r="J22" s="186"/>
      <c r="K22" s="58">
        <v>42290</v>
      </c>
      <c r="L22" s="88">
        <f>'Suivi EAU-ELEC'!G21</f>
        <v>4871</v>
      </c>
      <c r="M22" s="89">
        <f>'Suivi EAU-ELEC'!I21</f>
        <v>12046</v>
      </c>
      <c r="N22" s="89">
        <f>'Suivi EAU-ELEC'!K21</f>
        <v>4428</v>
      </c>
      <c r="O22" s="89">
        <f t="shared" si="2"/>
        <v>21345</v>
      </c>
      <c r="P22" s="12"/>
      <c r="Q22" s="34">
        <f t="shared" si="3"/>
        <v>20753.969100000002</v>
      </c>
      <c r="R22" s="12"/>
      <c r="S22" s="28"/>
      <c r="T22" s="12"/>
      <c r="U22" s="28"/>
      <c r="V22" s="144">
        <f>'Suvi Gaz'!O16</f>
        <v>95.997630000000001</v>
      </c>
      <c r="W22" s="11"/>
      <c r="X22" s="34">
        <f t="shared" si="1"/>
        <v>1129.8921051</v>
      </c>
    </row>
    <row r="23" spans="1:24" ht="32.25" customHeight="1" x14ac:dyDescent="0.2">
      <c r="A23" s="2"/>
      <c r="B23" s="6">
        <v>44726</v>
      </c>
      <c r="C23" s="7"/>
      <c r="D23" s="141">
        <v>141</v>
      </c>
      <c r="E23" s="141">
        <v>189</v>
      </c>
      <c r="F23" s="13">
        <f>'Suivi EAU-ELEC'!E22</f>
        <v>149.10000000000582</v>
      </c>
      <c r="G23" s="14"/>
      <c r="H23" s="185">
        <f t="shared" si="4"/>
        <v>1310.5890000000511</v>
      </c>
      <c r="I23" s="186"/>
      <c r="J23" s="186"/>
      <c r="K23" s="58">
        <v>42291</v>
      </c>
      <c r="L23" s="88">
        <f>'Suivi EAU-ELEC'!G22</f>
        <v>4707</v>
      </c>
      <c r="M23" s="89">
        <f>'Suivi EAU-ELEC'!I22</f>
        <v>11903</v>
      </c>
      <c r="N23" s="89">
        <f>'Suivi EAU-ELEC'!K22</f>
        <v>4890</v>
      </c>
      <c r="O23" s="89">
        <f>L23+M23+N23</f>
        <v>21500</v>
      </c>
      <c r="P23" s="12"/>
      <c r="Q23" s="34">
        <f>L23*0.6985+M23*0.9514+N23*1.3304</f>
        <v>21118.009699999999</v>
      </c>
      <c r="R23" s="12"/>
      <c r="S23" s="28"/>
      <c r="T23" s="14"/>
      <c r="U23" s="28"/>
      <c r="V23" s="144">
        <f>'Suvi Gaz'!O17</f>
        <v>287.99288999999999</v>
      </c>
      <c r="W23" s="11"/>
      <c r="X23" s="34">
        <f t="shared" si="1"/>
        <v>3389.6763152999997</v>
      </c>
    </row>
    <row r="24" spans="1:24" ht="32.25" customHeight="1" x14ac:dyDescent="0.2">
      <c r="A24" s="2"/>
      <c r="B24" s="6">
        <v>44727</v>
      </c>
      <c r="C24" s="7"/>
      <c r="D24" s="141">
        <v>170</v>
      </c>
      <c r="E24" s="141">
        <v>231</v>
      </c>
      <c r="F24" s="13">
        <f>'Suivi EAU-ELEC'!E23</f>
        <v>153</v>
      </c>
      <c r="G24" s="14"/>
      <c r="H24" s="185">
        <f t="shared" si="4"/>
        <v>1344.87</v>
      </c>
      <c r="I24" s="186"/>
      <c r="J24" s="186"/>
      <c r="K24" s="58">
        <v>42292</v>
      </c>
      <c r="L24" s="88">
        <f>'Suivi EAU-ELEC'!G23</f>
        <v>5447</v>
      </c>
      <c r="M24" s="89">
        <f>'Suivi EAU-ELEC'!I23</f>
        <v>11104</v>
      </c>
      <c r="N24" s="89">
        <f>'Suivi EAU-ELEC'!K23</f>
        <v>4048</v>
      </c>
      <c r="O24" s="89">
        <f>L24+M24+N24</f>
        <v>20599</v>
      </c>
      <c r="P24" s="12"/>
      <c r="Q24" s="34">
        <f>L24*0.6985+M24*0.9514+N24*1.3304</f>
        <v>19754.534299999999</v>
      </c>
      <c r="R24" s="12"/>
      <c r="S24" s="28"/>
      <c r="T24" s="14"/>
      <c r="U24" s="28"/>
      <c r="V24" s="144">
        <f>'Suvi Gaz'!O18</f>
        <v>159.99605</v>
      </c>
      <c r="W24" s="11"/>
      <c r="X24" s="34">
        <f t="shared" si="1"/>
        <v>1883.1535084999998</v>
      </c>
    </row>
    <row r="25" spans="1:24" ht="32.25" customHeight="1" x14ac:dyDescent="0.2">
      <c r="A25" s="2"/>
      <c r="B25" s="6">
        <v>44728</v>
      </c>
      <c r="C25" s="7"/>
      <c r="D25" s="141">
        <v>163</v>
      </c>
      <c r="E25" s="141">
        <v>229</v>
      </c>
      <c r="F25" s="13">
        <f>'Suivi EAU-ELEC'!E24</f>
        <v>161.89999999999418</v>
      </c>
      <c r="G25" s="14"/>
      <c r="H25" s="185">
        <f t="shared" si="4"/>
        <v>1423.1009999999487</v>
      </c>
      <c r="I25" s="186"/>
      <c r="J25" s="186"/>
      <c r="K25" s="58">
        <v>42293</v>
      </c>
      <c r="L25" s="88">
        <f>'Suivi EAU-ELEC'!G24</f>
        <v>6069</v>
      </c>
      <c r="M25" s="89">
        <f>'Suivi EAU-ELEC'!I24</f>
        <v>11429</v>
      </c>
      <c r="N25" s="89">
        <f>'Suivi EAU-ELEC'!K24</f>
        <v>4644</v>
      </c>
      <c r="O25" s="89">
        <f>L25+M25+N25</f>
        <v>22142</v>
      </c>
      <c r="P25" s="12"/>
      <c r="Q25" s="34">
        <f>L25*0.6985+M25*0.9514+N25*1.3304</f>
        <v>21291.1247</v>
      </c>
      <c r="R25" s="12"/>
      <c r="S25" s="28"/>
      <c r="T25" s="14"/>
      <c r="U25" s="28"/>
      <c r="V25" s="144">
        <f>'Suvi Gaz'!O19</f>
        <v>255.99368000000001</v>
      </c>
      <c r="W25" s="11"/>
      <c r="X25" s="34">
        <f t="shared" si="1"/>
        <v>3013.0456136000003</v>
      </c>
    </row>
    <row r="26" spans="1:24" ht="32.25" customHeight="1" x14ac:dyDescent="0.2">
      <c r="A26" s="2"/>
      <c r="B26" s="6">
        <v>44729</v>
      </c>
      <c r="C26" s="7"/>
      <c r="D26" s="141">
        <v>141</v>
      </c>
      <c r="E26" s="141">
        <v>205</v>
      </c>
      <c r="F26" s="13">
        <f>'Suivi EAU-ELEC'!E25</f>
        <v>160</v>
      </c>
      <c r="G26" s="14"/>
      <c r="H26" s="185">
        <f t="shared" si="4"/>
        <v>1406.3999999999999</v>
      </c>
      <c r="I26" s="186"/>
      <c r="J26" s="186"/>
      <c r="K26" s="58">
        <v>42294</v>
      </c>
      <c r="L26" s="88">
        <f>'Suivi EAU-ELEC'!G25</f>
        <v>4705</v>
      </c>
      <c r="M26" s="89">
        <f>'Suivi EAU-ELEC'!I25</f>
        <v>9475</v>
      </c>
      <c r="N26" s="89">
        <f>'Suivi EAU-ELEC'!K25</f>
        <v>3945</v>
      </c>
      <c r="O26" s="89">
        <f>L26+M26+N26</f>
        <v>18125</v>
      </c>
      <c r="P26" s="14"/>
      <c r="Q26" s="34">
        <f>L26*0.6985+M26*0.9514+N26*1.3304</f>
        <v>17549.3855</v>
      </c>
      <c r="R26" s="14"/>
      <c r="S26" s="28"/>
      <c r="T26" s="14"/>
      <c r="U26" s="28"/>
      <c r="V26" s="144">
        <f>'Suvi Gaz'!O20</f>
        <v>351.99131</v>
      </c>
      <c r="W26" s="11"/>
      <c r="X26" s="34">
        <f t="shared" si="1"/>
        <v>4142.9377187</v>
      </c>
    </row>
    <row r="27" spans="1:24" ht="32.25" customHeight="1" x14ac:dyDescent="0.2">
      <c r="A27" s="2"/>
      <c r="B27" s="6">
        <v>44730</v>
      </c>
      <c r="C27" s="7"/>
      <c r="D27" s="141">
        <v>143</v>
      </c>
      <c r="E27" s="141">
        <v>223</v>
      </c>
      <c r="F27" s="13">
        <f>'Suivi EAU-ELEC'!E26</f>
        <v>182</v>
      </c>
      <c r="G27" s="14"/>
      <c r="H27" s="185">
        <f t="shared" si="4"/>
        <v>1599.7799999999997</v>
      </c>
      <c r="I27" s="186"/>
      <c r="J27" s="186"/>
      <c r="K27" s="58">
        <v>42295</v>
      </c>
      <c r="L27" s="88">
        <f>'Suivi EAU-ELEC'!G26</f>
        <v>6739</v>
      </c>
      <c r="M27" s="89">
        <f>'Suivi EAU-ELEC'!I26</f>
        <v>10063</v>
      </c>
      <c r="N27" s="89">
        <f>'Suivi EAU-ELEC'!K26</f>
        <v>5247</v>
      </c>
      <c r="O27" s="89">
        <f t="shared" si="2"/>
        <v>22049</v>
      </c>
      <c r="P27" s="14"/>
      <c r="Q27" s="34">
        <f t="shared" si="3"/>
        <v>21261.738499999999</v>
      </c>
      <c r="R27" s="14"/>
      <c r="S27" s="28"/>
      <c r="T27" s="14"/>
      <c r="U27" s="28"/>
      <c r="V27" s="144">
        <f>'Suvi Gaz'!O21</f>
        <v>223.99447000000001</v>
      </c>
      <c r="W27" s="11"/>
      <c r="X27" s="34">
        <f t="shared" si="1"/>
        <v>2636.4149118999999</v>
      </c>
    </row>
    <row r="28" spans="1:24" ht="32.25" customHeight="1" x14ac:dyDescent="0.2">
      <c r="A28" s="2"/>
      <c r="B28" s="6">
        <v>44731</v>
      </c>
      <c r="C28" s="7"/>
      <c r="D28" s="141">
        <v>151</v>
      </c>
      <c r="E28" s="141">
        <v>230</v>
      </c>
      <c r="F28" s="13">
        <f>'Suivi EAU-ELEC'!E27</f>
        <v>156.39999999999418</v>
      </c>
      <c r="G28" s="11"/>
      <c r="H28" s="185">
        <f t="shared" si="4"/>
        <v>1374.7559999999487</v>
      </c>
      <c r="I28" s="186"/>
      <c r="J28" s="186"/>
      <c r="K28" s="58">
        <v>42296</v>
      </c>
      <c r="L28" s="88">
        <f>'Suivi EAU-ELEC'!G27</f>
        <v>4891</v>
      </c>
      <c r="M28" s="89">
        <f>'Suivi EAU-ELEC'!I27</f>
        <v>8929</v>
      </c>
      <c r="N28" s="89">
        <f>'Suivi EAU-ELEC'!K27</f>
        <v>3584</v>
      </c>
      <c r="O28" s="89">
        <f t="shared" si="2"/>
        <v>17404</v>
      </c>
      <c r="P28" s="11"/>
      <c r="Q28" s="34">
        <f>L28*0.6985+M28*0.9514+N28*1.3304</f>
        <v>16679.5677</v>
      </c>
      <c r="R28" s="11"/>
      <c r="S28" s="28"/>
      <c r="T28" s="11"/>
      <c r="U28" s="28"/>
      <c r="V28" s="144">
        <f>'Suvi Gaz'!O22</f>
        <v>415.98973000000001</v>
      </c>
      <c r="W28" s="11"/>
      <c r="X28" s="34">
        <f t="shared" si="1"/>
        <v>4896.1991220999998</v>
      </c>
    </row>
    <row r="29" spans="1:24" ht="32.25" customHeight="1" x14ac:dyDescent="0.2">
      <c r="A29" s="2"/>
      <c r="B29" s="6">
        <v>44732</v>
      </c>
      <c r="C29" s="7"/>
      <c r="D29" s="141">
        <v>170</v>
      </c>
      <c r="E29" s="141">
        <v>256</v>
      </c>
      <c r="F29" s="13">
        <f>'Suivi EAU-ELEC'!E28</f>
        <v>287.60000000000582</v>
      </c>
      <c r="G29" s="11"/>
      <c r="H29" s="185">
        <f t="shared" si="4"/>
        <v>2528.0040000000508</v>
      </c>
      <c r="I29" s="186"/>
      <c r="J29" s="186"/>
      <c r="K29" s="58">
        <v>42297</v>
      </c>
      <c r="L29" s="88">
        <f>'Suivi EAU-ELEC'!G28</f>
        <v>4790</v>
      </c>
      <c r="M29" s="89">
        <f>'Suivi EAU-ELEC'!I28</f>
        <v>9626</v>
      </c>
      <c r="N29" s="89">
        <f>'Suivi EAU-ELEC'!K28</f>
        <v>4619</v>
      </c>
      <c r="O29" s="89">
        <f>L29+M29+N29</f>
        <v>19035</v>
      </c>
      <c r="P29" s="11"/>
      <c r="Q29" s="34">
        <f t="shared" si="3"/>
        <v>18649.109</v>
      </c>
      <c r="R29" s="11"/>
      <c r="S29" s="28"/>
      <c r="T29" s="11"/>
      <c r="U29" s="28"/>
      <c r="V29" s="144">
        <f>'Suvi Gaz'!O23</f>
        <v>255.99368000000001</v>
      </c>
      <c r="W29" s="11"/>
      <c r="X29" s="34">
        <f t="shared" si="1"/>
        <v>3013.0456136000003</v>
      </c>
    </row>
    <row r="30" spans="1:24" ht="32.25" customHeight="1" x14ac:dyDescent="0.2">
      <c r="A30" s="2"/>
      <c r="B30" s="6">
        <v>44733</v>
      </c>
      <c r="C30" s="7"/>
      <c r="D30" s="141">
        <v>180</v>
      </c>
      <c r="E30" s="141">
        <v>256</v>
      </c>
      <c r="F30" s="13">
        <f>'Suivi EAU-ELEC'!E29</f>
        <v>155.10000000000582</v>
      </c>
      <c r="G30" s="11"/>
      <c r="H30" s="185">
        <f t="shared" si="4"/>
        <v>1363.3290000000511</v>
      </c>
      <c r="I30" s="186"/>
      <c r="J30" s="186"/>
      <c r="K30" s="58">
        <v>42298</v>
      </c>
      <c r="L30" s="88">
        <f>'Suivi EAU-ELEC'!G29</f>
        <v>4704</v>
      </c>
      <c r="M30" s="89">
        <f>'Suivi EAU-ELEC'!I29</f>
        <v>9949</v>
      </c>
      <c r="N30" s="89">
        <f>'Suivi EAU-ELEC'!K29</f>
        <v>3687</v>
      </c>
      <c r="O30" s="89">
        <f>L30+M30+N30</f>
        <v>18340</v>
      </c>
      <c r="P30" s="11"/>
      <c r="Q30" s="34">
        <f>L30*0.6985+M30*0.9514+N30*1.3304</f>
        <v>17656.4074</v>
      </c>
      <c r="R30" s="11"/>
      <c r="S30" s="28"/>
      <c r="T30" s="11"/>
      <c r="U30" s="28"/>
      <c r="V30" s="144">
        <f>'Suvi Gaz'!O24</f>
        <v>287.99288999999999</v>
      </c>
      <c r="W30" s="11"/>
      <c r="X30" s="34">
        <f t="shared" si="1"/>
        <v>3389.6763152999997</v>
      </c>
    </row>
    <row r="31" spans="1:24" ht="27.75" customHeight="1" x14ac:dyDescent="0.2">
      <c r="A31" s="2"/>
      <c r="B31" s="6">
        <v>44734</v>
      </c>
      <c r="C31" s="7"/>
      <c r="D31" s="141">
        <v>161</v>
      </c>
      <c r="E31" s="141">
        <v>229</v>
      </c>
      <c r="F31" s="13">
        <f>'Suivi EAU-ELEC'!E30</f>
        <v>179.19999999998254</v>
      </c>
      <c r="G31" s="11"/>
      <c r="H31" s="185">
        <f t="shared" si="4"/>
        <v>1575.1679999998464</v>
      </c>
      <c r="I31" s="186"/>
      <c r="J31" s="186"/>
      <c r="K31" s="58">
        <v>42299</v>
      </c>
      <c r="L31" s="88">
        <f>'Suivi EAU-ELEC'!G30</f>
        <v>4239</v>
      </c>
      <c r="M31" s="89">
        <f>'Suivi EAU-ELEC'!I30</f>
        <v>8691</v>
      </c>
      <c r="N31" s="89">
        <f>'Suivi EAU-ELEC'!K30</f>
        <v>3846</v>
      </c>
      <c r="O31" s="89">
        <f>L31+M31+N31</f>
        <v>16776</v>
      </c>
      <c r="P31" s="11"/>
      <c r="Q31" s="34">
        <f>L31*0.6985+M31*0.9514+N31*1.3304</f>
        <v>16346.2773</v>
      </c>
      <c r="R31" s="11"/>
      <c r="S31" s="28"/>
      <c r="T31" s="11"/>
      <c r="U31" s="28"/>
      <c r="V31" s="144">
        <f>'Suvi Gaz'!O25</f>
        <v>351.99131</v>
      </c>
      <c r="W31" s="11"/>
      <c r="X31" s="34">
        <f t="shared" si="1"/>
        <v>4142.9377187</v>
      </c>
    </row>
    <row r="32" spans="1:24" ht="37.5" customHeight="1" x14ac:dyDescent="0.2">
      <c r="A32" s="2"/>
      <c r="B32" s="6">
        <v>44735</v>
      </c>
      <c r="C32" s="7"/>
      <c r="D32" s="141">
        <v>158</v>
      </c>
      <c r="E32" s="141">
        <v>251</v>
      </c>
      <c r="F32" s="13">
        <f>'Suivi EAU-ELEC'!E31</f>
        <v>158.70000000001164</v>
      </c>
      <c r="G32" s="11"/>
      <c r="H32" s="185">
        <f t="shared" si="4"/>
        <v>1394.9730000001023</v>
      </c>
      <c r="I32" s="186"/>
      <c r="J32" s="186"/>
      <c r="K32" s="58">
        <v>42300</v>
      </c>
      <c r="L32" s="88">
        <f>'Suivi EAU-ELEC'!G31</f>
        <v>4926</v>
      </c>
      <c r="M32" s="89">
        <f>'Suivi EAU-ELEC'!I31</f>
        <v>10122</v>
      </c>
      <c r="N32" s="89">
        <f>'Suivi EAU-ELEC'!K31</f>
        <v>3714</v>
      </c>
      <c r="O32" s="89">
        <f t="shared" si="2"/>
        <v>18762</v>
      </c>
      <c r="P32" s="11"/>
      <c r="Q32" s="34">
        <f t="shared" si="3"/>
        <v>18011.987399999998</v>
      </c>
      <c r="R32" s="11"/>
      <c r="S32" s="28"/>
      <c r="T32" s="11"/>
      <c r="U32" s="28"/>
      <c r="V32" s="144">
        <f>'Suvi Gaz'!O26</f>
        <v>255.99368000000001</v>
      </c>
      <c r="W32" s="11"/>
      <c r="X32" s="34">
        <f t="shared" si="1"/>
        <v>3013.0456136000003</v>
      </c>
    </row>
    <row r="33" spans="1:24" ht="37.5" customHeight="1" x14ac:dyDescent="0.2">
      <c r="A33" s="2"/>
      <c r="B33" s="6">
        <v>44736</v>
      </c>
      <c r="C33" s="7"/>
      <c r="D33" s="141">
        <v>154</v>
      </c>
      <c r="E33" s="141">
        <v>265</v>
      </c>
      <c r="F33" s="13">
        <f>'Suivi EAU-ELEC'!E32</f>
        <v>173</v>
      </c>
      <c r="G33" s="11"/>
      <c r="H33" s="185">
        <f t="shared" si="4"/>
        <v>1520.6699999999998</v>
      </c>
      <c r="I33" s="186"/>
      <c r="J33" s="186"/>
      <c r="K33" s="58">
        <v>42301</v>
      </c>
      <c r="L33" s="88">
        <f>'Suivi EAU-ELEC'!G32</f>
        <v>4361</v>
      </c>
      <c r="M33" s="89">
        <f>'Suivi EAU-ELEC'!I32</f>
        <v>9600</v>
      </c>
      <c r="N33" s="89">
        <f>'Suivi EAU-ELEC'!K32</f>
        <v>3351</v>
      </c>
      <c r="O33" s="89">
        <f t="shared" si="2"/>
        <v>17312</v>
      </c>
      <c r="P33" s="11"/>
      <c r="Q33" s="34">
        <f t="shared" si="3"/>
        <v>16637.768899999999</v>
      </c>
      <c r="R33" s="11"/>
      <c r="S33" s="28"/>
      <c r="T33" s="11"/>
      <c r="U33" s="28"/>
      <c r="V33" s="144">
        <f>'Suvi Gaz'!O27</f>
        <v>383.99052</v>
      </c>
      <c r="W33" s="11"/>
      <c r="X33" s="34">
        <f t="shared" si="1"/>
        <v>4519.5684203999999</v>
      </c>
    </row>
    <row r="34" spans="1:24" ht="37.5" customHeight="1" x14ac:dyDescent="0.2">
      <c r="A34" s="2"/>
      <c r="B34" s="6">
        <v>44737</v>
      </c>
      <c r="C34" s="7"/>
      <c r="D34" s="141">
        <v>146</v>
      </c>
      <c r="E34" s="141">
        <v>257</v>
      </c>
      <c r="F34" s="13">
        <f>'Suivi EAU-ELEC'!E33</f>
        <v>154</v>
      </c>
      <c r="G34" s="11"/>
      <c r="H34" s="185">
        <f t="shared" si="4"/>
        <v>1353.6599999999999</v>
      </c>
      <c r="I34" s="186"/>
      <c r="J34" s="186"/>
      <c r="K34" s="58">
        <v>42302</v>
      </c>
      <c r="L34" s="88">
        <f>'Suivi EAU-ELEC'!G33</f>
        <v>4488</v>
      </c>
      <c r="M34" s="89">
        <f>'Suivi EAU-ELEC'!I33</f>
        <v>9074</v>
      </c>
      <c r="N34" s="89">
        <f>'Suivi EAU-ELEC'!K33</f>
        <v>3460</v>
      </c>
      <c r="O34" s="89">
        <f t="shared" si="2"/>
        <v>17022</v>
      </c>
      <c r="P34" s="11"/>
      <c r="Q34" s="34">
        <f t="shared" si="3"/>
        <v>16371.0556</v>
      </c>
      <c r="R34" s="11"/>
      <c r="S34" s="28"/>
      <c r="T34" s="11"/>
      <c r="U34" s="28"/>
      <c r="V34" s="144">
        <f>'Suvi Gaz'!O28</f>
        <v>127.99684000000001</v>
      </c>
      <c r="W34" s="11"/>
      <c r="X34" s="34">
        <f t="shared" si="1"/>
        <v>1506.5228068000001</v>
      </c>
    </row>
    <row r="35" spans="1:24" ht="33.75" customHeight="1" x14ac:dyDescent="0.2">
      <c r="A35" s="2"/>
      <c r="B35" s="6">
        <v>44738</v>
      </c>
      <c r="C35" s="7"/>
      <c r="D35" s="141">
        <v>143</v>
      </c>
      <c r="E35" s="141">
        <v>224</v>
      </c>
      <c r="F35" s="13">
        <f>'Suivi EAU-ELEC'!E34</f>
        <v>176</v>
      </c>
      <c r="G35" s="11"/>
      <c r="H35" s="185">
        <f t="shared" si="4"/>
        <v>1547.04</v>
      </c>
      <c r="I35" s="186"/>
      <c r="J35" s="186"/>
      <c r="K35" s="58">
        <v>42303</v>
      </c>
      <c r="L35" s="88">
        <f>'Suivi EAU-ELEC'!G34</f>
        <v>4644</v>
      </c>
      <c r="M35" s="89">
        <f>'Suivi EAU-ELEC'!I34</f>
        <v>9126</v>
      </c>
      <c r="N35" s="89">
        <f>'Suivi EAU-ELEC'!K34</f>
        <v>3594</v>
      </c>
      <c r="O35" s="89">
        <f t="shared" si="2"/>
        <v>17364</v>
      </c>
      <c r="P35" s="11"/>
      <c r="Q35" s="34">
        <f t="shared" si="3"/>
        <v>16707.767999999996</v>
      </c>
      <c r="R35" s="11"/>
      <c r="S35" s="28"/>
      <c r="T35" s="11"/>
      <c r="U35" s="28"/>
      <c r="V35" s="144">
        <f>'Suvi Gaz'!O29</f>
        <v>127.99684000000001</v>
      </c>
      <c r="W35" s="11"/>
      <c r="X35" s="34">
        <f t="shared" si="1"/>
        <v>1506.5228068000001</v>
      </c>
    </row>
    <row r="36" spans="1:24" ht="33.75" customHeight="1" x14ac:dyDescent="0.2">
      <c r="A36" s="2"/>
      <c r="B36" s="6">
        <v>44739</v>
      </c>
      <c r="C36" s="7"/>
      <c r="D36" s="141">
        <v>163</v>
      </c>
      <c r="E36" s="141">
        <v>238</v>
      </c>
      <c r="F36" s="13">
        <f>'Suivi EAU-ELEC'!E35</f>
        <v>180</v>
      </c>
      <c r="G36" s="11"/>
      <c r="H36" s="185">
        <f t="shared" ref="H36:H37" si="5">F36*8.79</f>
        <v>1582.1999999999998</v>
      </c>
      <c r="I36" s="186"/>
      <c r="J36" s="186"/>
      <c r="K36" s="58"/>
      <c r="L36" s="88">
        <f>'Suivi EAU-ELEC'!G35</f>
        <v>4085</v>
      </c>
      <c r="M36" s="89">
        <f>'Suivi EAU-ELEC'!I35</f>
        <v>8349</v>
      </c>
      <c r="N36" s="89">
        <f>'Suivi EAU-ELEC'!K35</f>
        <v>3459</v>
      </c>
      <c r="O36" s="89">
        <f t="shared" si="2"/>
        <v>15893</v>
      </c>
      <c r="P36" s="11"/>
      <c r="Q36" s="34">
        <f t="shared" si="3"/>
        <v>15398.4647</v>
      </c>
      <c r="R36" s="11"/>
      <c r="S36" s="28"/>
      <c r="T36" s="11"/>
      <c r="U36" s="28"/>
      <c r="V36" s="144">
        <f>'Suvi Gaz'!O30</f>
        <v>799.98025000000007</v>
      </c>
      <c r="W36" s="11"/>
      <c r="X36" s="34">
        <f t="shared" si="1"/>
        <v>9415.7675424999998</v>
      </c>
    </row>
    <row r="37" spans="1:24" ht="33.75" customHeight="1" x14ac:dyDescent="0.2">
      <c r="A37" s="2"/>
      <c r="B37" s="6">
        <v>44740</v>
      </c>
      <c r="C37" s="7"/>
      <c r="D37" s="141">
        <v>150</v>
      </c>
      <c r="E37" s="141">
        <v>201</v>
      </c>
      <c r="F37" s="13">
        <f>'Suivi EAU-ELEC'!E36</f>
        <v>165</v>
      </c>
      <c r="G37" s="11"/>
      <c r="H37" s="185">
        <f t="shared" si="5"/>
        <v>1450.35</v>
      </c>
      <c r="I37" s="186"/>
      <c r="J37" s="186"/>
      <c r="K37" s="58"/>
      <c r="L37" s="88">
        <f>'Suivi EAU-ELEC'!G36</f>
        <v>4509</v>
      </c>
      <c r="M37" s="89">
        <f>'Suivi EAU-ELEC'!I36</f>
        <v>8329</v>
      </c>
      <c r="N37" s="89">
        <f>'Suivi EAU-ELEC'!K36</f>
        <v>3535</v>
      </c>
      <c r="O37" s="89">
        <f>L37+M37+N37</f>
        <v>16373</v>
      </c>
      <c r="P37" s="11"/>
      <c r="Q37" s="34">
        <f>L37*0.6985+M37*0.9514+N37*1.3304</f>
        <v>15776.7111</v>
      </c>
      <c r="R37" s="11"/>
      <c r="S37" s="28"/>
      <c r="T37" s="11"/>
      <c r="U37" s="28"/>
      <c r="V37" s="144">
        <f>'Suvi Gaz'!O31</f>
        <v>31.999210000000001</v>
      </c>
      <c r="W37" s="11"/>
      <c r="X37" s="34">
        <f t="shared" si="1"/>
        <v>376.63070170000003</v>
      </c>
    </row>
    <row r="38" spans="1:24" ht="33.75" customHeight="1" x14ac:dyDescent="0.2">
      <c r="A38" s="2"/>
      <c r="B38" s="6">
        <v>44741</v>
      </c>
      <c r="C38" s="7"/>
      <c r="D38" s="141">
        <v>143</v>
      </c>
      <c r="E38" s="141">
        <v>211</v>
      </c>
      <c r="F38" s="13">
        <f>'Suivi EAU-ELEC'!E37</f>
        <v>145.89999999999418</v>
      </c>
      <c r="G38" s="11"/>
      <c r="H38" s="185">
        <f>F38*8.79</f>
        <v>1282.4609999999486</v>
      </c>
      <c r="I38" s="186"/>
      <c r="J38" s="186"/>
      <c r="K38" s="58">
        <v>42304</v>
      </c>
      <c r="L38" s="88">
        <f>'Suivi EAU-ELEC'!G37</f>
        <v>3614</v>
      </c>
      <c r="M38" s="89">
        <f>'Suivi EAU-ELEC'!I37</f>
        <v>9746</v>
      </c>
      <c r="N38" s="89">
        <f>'Suivi EAU-ELEC'!K37</f>
        <v>4165</v>
      </c>
      <c r="O38" s="89">
        <f>L38+M38+N38</f>
        <v>17525</v>
      </c>
      <c r="P38" s="11"/>
      <c r="Q38" s="34">
        <f>L38*0.6985+M38*0.9514+N38*1.3304</f>
        <v>17337.839399999997</v>
      </c>
      <c r="R38" s="11"/>
      <c r="S38" s="28"/>
      <c r="T38" s="11"/>
      <c r="U38" s="28"/>
      <c r="V38" s="144">
        <f>'Suvi Gaz'!O32</f>
        <v>95.997630000000001</v>
      </c>
      <c r="W38" s="11"/>
      <c r="X38" s="34">
        <f t="shared" si="1"/>
        <v>1129.8921051</v>
      </c>
    </row>
    <row r="39" spans="1:24" ht="33.75" customHeight="1" x14ac:dyDescent="0.2">
      <c r="A39" s="2"/>
      <c r="B39" s="6">
        <v>44742</v>
      </c>
      <c r="C39" s="7"/>
      <c r="D39" s="141">
        <v>144</v>
      </c>
      <c r="E39" s="141">
        <v>244</v>
      </c>
      <c r="F39" s="13">
        <f>'Suivi EAU-ELEC'!E38</f>
        <v>154.39999999999418</v>
      </c>
      <c r="G39" s="11"/>
      <c r="H39" s="185">
        <f>F39*8.79</f>
        <v>1357.1759999999488</v>
      </c>
      <c r="I39" s="186"/>
      <c r="J39" s="186"/>
      <c r="K39" s="58"/>
      <c r="L39" s="88">
        <f>'Suivi EAU-ELEC'!G38</f>
        <v>3915</v>
      </c>
      <c r="M39" s="89">
        <f>'Suivi EAU-ELEC'!I38</f>
        <v>9436</v>
      </c>
      <c r="N39" s="89">
        <f>'Suivi EAU-ELEC'!K38</f>
        <v>3834</v>
      </c>
      <c r="O39" s="89">
        <f t="shared" ref="O39" si="6">L39+M39+N39</f>
        <v>17185</v>
      </c>
      <c r="P39" s="11"/>
      <c r="Q39" s="34">
        <f t="shared" ref="Q39:Q40" si="7">L39*0.6985+M39*0.9514+N39*1.3304</f>
        <v>16812.791499999999</v>
      </c>
      <c r="R39" s="11"/>
      <c r="S39" s="28"/>
      <c r="T39" s="11"/>
      <c r="U39" s="28"/>
      <c r="V39" s="144">
        <f>'Suvi Gaz'!O33</f>
        <v>351.99131</v>
      </c>
      <c r="W39" s="11"/>
      <c r="X39" s="34">
        <f t="shared" si="1"/>
        <v>4142.9377187</v>
      </c>
    </row>
    <row r="40" spans="1:24" ht="42.75" customHeight="1" x14ac:dyDescent="0.2">
      <c r="A40" s="2"/>
      <c r="B40" s="10"/>
      <c r="C40" s="10"/>
      <c r="D40" s="8">
        <f>SUM(D10:D39)</f>
        <v>4677</v>
      </c>
      <c r="E40" s="8">
        <f>SUM(E10:E39)</f>
        <v>6937</v>
      </c>
      <c r="F40" s="149">
        <f>SUM(F10:F39)</f>
        <v>5034.2999999999884</v>
      </c>
      <c r="G40" s="1"/>
      <c r="H40" s="260">
        <f>SUM(H10:H39)</f>
        <v>44251.496999999887</v>
      </c>
      <c r="I40" s="261"/>
      <c r="J40" s="262"/>
      <c r="K40" s="1"/>
      <c r="L40" s="53">
        <f>SUM(L10:L39)</f>
        <v>142455</v>
      </c>
      <c r="M40" s="53">
        <f>SUM(M10:M39)</f>
        <v>301740</v>
      </c>
      <c r="N40" s="53">
        <f>SUM(N10:N39)</f>
        <v>120242</v>
      </c>
      <c r="O40" s="165">
        <f>SUM(O10:O39)</f>
        <v>564437</v>
      </c>
      <c r="P40" s="31"/>
      <c r="Q40" s="34">
        <f t="shared" si="7"/>
        <v>546550.21030000004</v>
      </c>
      <c r="R40" s="31"/>
      <c r="S40" s="30">
        <f>SUM(S10:S39)</f>
        <v>0</v>
      </c>
      <c r="T40" s="31"/>
      <c r="U40" s="30">
        <f>SUM(U10:U39)</f>
        <v>0</v>
      </c>
      <c r="V40" s="32">
        <f>SUM(V10:V39)</f>
        <v>8223.7969699999994</v>
      </c>
      <c r="W40" s="31"/>
      <c r="X40" s="32">
        <f>SUM(X10:X39)</f>
        <v>96794.09033690003</v>
      </c>
    </row>
    <row r="41" spans="1:24" s="5" customFormat="1" ht="12.75" customHeight="1" x14ac:dyDescent="0.2">
      <c r="A41" s="2"/>
      <c r="B41" s="2"/>
      <c r="C41" s="2"/>
      <c r="D41" s="2"/>
      <c r="E41" s="2"/>
      <c r="F41" s="2"/>
      <c r="G41" s="2"/>
      <c r="H41" s="15"/>
      <c r="I41" s="2"/>
      <c r="J41" s="15"/>
      <c r="K41" s="2"/>
      <c r="O41" s="1"/>
      <c r="P41" s="1"/>
      <c r="Q41" s="2"/>
      <c r="R41" s="1"/>
      <c r="S41" s="2"/>
      <c r="T41" s="1"/>
      <c r="U41" s="2"/>
      <c r="V41" s="2"/>
      <c r="W41" s="1"/>
      <c r="X41" s="2"/>
    </row>
    <row r="42" spans="1:24" s="5" customFormat="1" ht="32.25" customHeight="1" thickBot="1" x14ac:dyDescent="0.25">
      <c r="A42" s="220" t="s">
        <v>33</v>
      </c>
      <c r="B42" s="221"/>
      <c r="C42" s="221"/>
      <c r="D42" s="221"/>
      <c r="E42" s="221"/>
      <c r="F42" s="222"/>
      <c r="G42" s="26"/>
      <c r="H42" s="27" t="s">
        <v>34</v>
      </c>
      <c r="I42" s="257" t="s">
        <v>35</v>
      </c>
      <c r="J42" s="258"/>
      <c r="K42" s="259"/>
      <c r="L42" s="232" t="s">
        <v>36</v>
      </c>
      <c r="M42" s="233"/>
      <c r="N42" s="220" t="s">
        <v>37</v>
      </c>
      <c r="O42" s="221"/>
      <c r="P42" s="221"/>
      <c r="Q42" s="221"/>
      <c r="R42" s="221"/>
      <c r="S42" s="221"/>
      <c r="T42" s="221"/>
      <c r="U42" s="221"/>
      <c r="V42" s="221"/>
      <c r="W42" s="221"/>
      <c r="X42" s="222"/>
    </row>
    <row r="43" spans="1:24" s="18" customFormat="1" ht="29.25" customHeight="1" thickBot="1" x14ac:dyDescent="0.25">
      <c r="A43" s="227" t="s">
        <v>38</v>
      </c>
      <c r="B43" s="228"/>
      <c r="C43" s="229"/>
      <c r="D43" s="154" t="s">
        <v>30</v>
      </c>
      <c r="E43" s="154" t="s">
        <v>30</v>
      </c>
      <c r="F43" s="154" t="s">
        <v>30</v>
      </c>
      <c r="G43" s="16"/>
      <c r="H43" s="17">
        <v>0.69850000000000001</v>
      </c>
      <c r="I43" s="176">
        <f>L40</f>
        <v>142455</v>
      </c>
      <c r="J43" s="225"/>
      <c r="K43" s="226"/>
      <c r="L43" s="182">
        <f>I43*H43</f>
        <v>99504.817500000005</v>
      </c>
      <c r="M43" s="187"/>
      <c r="N43" s="241">
        <f>L43+L44+L45</f>
        <v>546550.21030000004</v>
      </c>
      <c r="O43" s="242"/>
      <c r="P43" s="242"/>
      <c r="Q43" s="242"/>
      <c r="R43" s="242"/>
      <c r="S43" s="242"/>
      <c r="T43" s="242"/>
      <c r="U43" s="242"/>
      <c r="V43" s="242"/>
      <c r="W43" s="242"/>
      <c r="X43" s="243"/>
    </row>
    <row r="44" spans="1:24" s="18" customFormat="1" ht="29.25" customHeight="1" thickBot="1" x14ac:dyDescent="0.25">
      <c r="A44" s="170"/>
      <c r="B44" s="230"/>
      <c r="C44" s="231"/>
      <c r="D44" s="153" t="s">
        <v>31</v>
      </c>
      <c r="E44" s="153" t="s">
        <v>31</v>
      </c>
      <c r="F44" s="153" t="s">
        <v>31</v>
      </c>
      <c r="G44" s="16"/>
      <c r="H44" s="19">
        <v>0.95140000000000002</v>
      </c>
      <c r="I44" s="176">
        <f>M40</f>
        <v>301740</v>
      </c>
      <c r="J44" s="225"/>
      <c r="K44" s="226"/>
      <c r="L44" s="182">
        <f>I44*H44</f>
        <v>287075.43599999999</v>
      </c>
      <c r="M44" s="187"/>
      <c r="N44" s="244"/>
      <c r="O44" s="245"/>
      <c r="P44" s="245"/>
      <c r="Q44" s="245"/>
      <c r="R44" s="245"/>
      <c r="S44" s="245"/>
      <c r="T44" s="245"/>
      <c r="U44" s="245"/>
      <c r="V44" s="245"/>
      <c r="W44" s="245"/>
      <c r="X44" s="246"/>
    </row>
    <row r="45" spans="1:24" s="18" customFormat="1" ht="24.75" customHeight="1" thickBot="1" x14ac:dyDescent="0.25">
      <c r="A45" s="170"/>
      <c r="B45" s="230"/>
      <c r="C45" s="231"/>
      <c r="D45" s="159" t="s">
        <v>32</v>
      </c>
      <c r="E45" s="159" t="s">
        <v>32</v>
      </c>
      <c r="F45" s="159" t="s">
        <v>32</v>
      </c>
      <c r="G45" s="20"/>
      <c r="H45" s="20">
        <v>1.3304</v>
      </c>
      <c r="I45" s="254">
        <f>N40</f>
        <v>120242</v>
      </c>
      <c r="J45" s="255"/>
      <c r="K45" s="256"/>
      <c r="L45" s="182">
        <f>I45*H45</f>
        <v>159969.95680000001</v>
      </c>
      <c r="M45" s="187"/>
      <c r="N45" s="247"/>
      <c r="O45" s="248"/>
      <c r="P45" s="248"/>
      <c r="Q45" s="248"/>
      <c r="R45" s="248"/>
      <c r="S45" s="248"/>
      <c r="T45" s="248"/>
      <c r="U45" s="248"/>
      <c r="V45" s="248"/>
      <c r="W45" s="248"/>
      <c r="X45" s="249"/>
    </row>
    <row r="46" spans="1:24" s="18" customFormat="1" ht="43.5" customHeight="1" thickBot="1" x14ac:dyDescent="0.25">
      <c r="A46" s="166"/>
      <c r="B46" s="167"/>
      <c r="C46" s="167"/>
      <c r="D46" s="176" t="s">
        <v>126</v>
      </c>
      <c r="E46" s="177"/>
      <c r="F46" s="178"/>
      <c r="G46" s="16"/>
      <c r="H46" s="19">
        <v>1000</v>
      </c>
      <c r="I46" s="176">
        <v>43.88167</v>
      </c>
      <c r="J46" s="177"/>
      <c r="K46" s="168"/>
      <c r="L46" s="183">
        <f>H46*I46</f>
        <v>43881.67</v>
      </c>
      <c r="M46" s="184"/>
      <c r="N46" s="173">
        <f>L46</f>
        <v>43881.67</v>
      </c>
      <c r="O46" s="174"/>
      <c r="P46" s="174"/>
      <c r="Q46" s="174"/>
      <c r="R46" s="174"/>
      <c r="S46" s="174"/>
      <c r="T46" s="174"/>
      <c r="U46" s="174"/>
      <c r="V46" s="174"/>
      <c r="W46" s="174"/>
      <c r="X46" s="175"/>
    </row>
    <row r="47" spans="1:24" s="18" customFormat="1" ht="43.5" customHeight="1" thickBot="1" x14ac:dyDescent="0.25">
      <c r="A47" s="166"/>
      <c r="B47" s="167"/>
      <c r="C47" s="167"/>
      <c r="D47" s="176" t="s">
        <v>127</v>
      </c>
      <c r="E47" s="177"/>
      <c r="F47" s="178"/>
      <c r="G47" s="16"/>
      <c r="H47" s="169">
        <v>356</v>
      </c>
      <c r="I47" s="176">
        <v>65.822505000000007</v>
      </c>
      <c r="J47" s="177"/>
      <c r="K47" s="178"/>
      <c r="L47" s="182">
        <f>I47*H47</f>
        <v>23432.811780000004</v>
      </c>
      <c r="M47" s="178"/>
      <c r="N47" s="173">
        <f t="shared" ref="N47:N49" si="8">L47</f>
        <v>23432.811780000004</v>
      </c>
      <c r="O47" s="174"/>
      <c r="P47" s="174"/>
      <c r="Q47" s="174"/>
      <c r="R47" s="174"/>
      <c r="S47" s="174"/>
      <c r="T47" s="174"/>
      <c r="U47" s="174"/>
      <c r="V47" s="174"/>
      <c r="W47" s="174"/>
      <c r="X47" s="175"/>
    </row>
    <row r="48" spans="1:24" s="18" customFormat="1" ht="43.5" customHeight="1" thickBot="1" x14ac:dyDescent="0.25">
      <c r="A48" s="166"/>
      <c r="B48" s="167"/>
      <c r="C48" s="167"/>
      <c r="D48" s="176" t="s">
        <v>128</v>
      </c>
      <c r="E48" s="177"/>
      <c r="F48" s="178"/>
      <c r="G48" s="16"/>
      <c r="H48" s="19"/>
      <c r="I48" s="176">
        <v>841</v>
      </c>
      <c r="J48" s="177"/>
      <c r="K48" s="178"/>
      <c r="L48" s="182">
        <v>841</v>
      </c>
      <c r="M48" s="178"/>
      <c r="N48" s="173">
        <f t="shared" si="8"/>
        <v>841</v>
      </c>
      <c r="O48" s="174"/>
      <c r="P48" s="174"/>
      <c r="Q48" s="174"/>
      <c r="R48" s="174"/>
      <c r="S48" s="174"/>
      <c r="T48" s="174"/>
      <c r="U48" s="174"/>
      <c r="V48" s="174"/>
      <c r="W48" s="174"/>
      <c r="X48" s="175"/>
    </row>
    <row r="49" spans="1:24" s="18" customFormat="1" ht="43.5" customHeight="1" thickBot="1" x14ac:dyDescent="0.25">
      <c r="A49" s="166"/>
      <c r="B49" s="167"/>
      <c r="C49" s="167"/>
      <c r="D49" s="176" t="s">
        <v>129</v>
      </c>
      <c r="E49" s="177"/>
      <c r="F49" s="178"/>
      <c r="G49" s="16"/>
      <c r="H49" s="19"/>
      <c r="I49" s="176">
        <v>1492</v>
      </c>
      <c r="J49" s="177"/>
      <c r="K49" s="178"/>
      <c r="L49" s="182">
        <v>1492</v>
      </c>
      <c r="M49" s="178"/>
      <c r="N49" s="173">
        <f t="shared" si="8"/>
        <v>1492</v>
      </c>
      <c r="O49" s="174"/>
      <c r="P49" s="174"/>
      <c r="Q49" s="174"/>
      <c r="R49" s="174"/>
      <c r="S49" s="174"/>
      <c r="T49" s="174"/>
      <c r="U49" s="174"/>
      <c r="V49" s="174"/>
      <c r="W49" s="174"/>
      <c r="X49" s="175"/>
    </row>
    <row r="50" spans="1:24" s="18" customFormat="1" ht="43.5" customHeight="1" thickBot="1" x14ac:dyDescent="0.25">
      <c r="A50" s="166"/>
      <c r="B50" s="167"/>
      <c r="C50" s="167"/>
      <c r="D50" s="170" t="s">
        <v>187</v>
      </c>
      <c r="E50" s="171"/>
      <c r="F50" s="171"/>
      <c r="G50" s="171"/>
      <c r="H50" s="171"/>
      <c r="I50" s="171"/>
      <c r="J50" s="171"/>
      <c r="K50" s="171"/>
      <c r="L50" s="171"/>
      <c r="M50" s="172"/>
      <c r="N50" s="173">
        <f>N43+N46+N47+N48+N49</f>
        <v>616197.69208000007</v>
      </c>
      <c r="O50" s="174"/>
      <c r="P50" s="174"/>
      <c r="Q50" s="174"/>
      <c r="R50" s="174"/>
      <c r="S50" s="174"/>
      <c r="T50" s="174"/>
      <c r="U50" s="174"/>
      <c r="V50" s="174"/>
      <c r="W50" s="174"/>
      <c r="X50" s="175"/>
    </row>
    <row r="51" spans="1:24" s="18" customFormat="1" ht="43.5" customHeight="1" thickBot="1" x14ac:dyDescent="0.25">
      <c r="A51" s="166"/>
      <c r="B51" s="167"/>
      <c r="C51" s="167"/>
      <c r="D51" s="176" t="s">
        <v>188</v>
      </c>
      <c r="E51" s="177"/>
      <c r="F51" s="177"/>
      <c r="G51" s="177"/>
      <c r="H51" s="177"/>
      <c r="I51" s="177"/>
      <c r="J51" s="177"/>
      <c r="K51" s="177"/>
      <c r="L51" s="177"/>
      <c r="M51" s="178"/>
      <c r="N51" s="179">
        <f>N50/O40</f>
        <v>1.0917032229992012</v>
      </c>
      <c r="O51" s="180"/>
      <c r="P51" s="180"/>
      <c r="Q51" s="180"/>
      <c r="R51" s="180"/>
      <c r="S51" s="180"/>
      <c r="T51" s="180"/>
      <c r="U51" s="180"/>
      <c r="V51" s="180"/>
      <c r="W51" s="180"/>
      <c r="X51" s="181"/>
    </row>
    <row r="52" spans="1:24" s="18" customFormat="1" ht="43.5" customHeight="1" thickBot="1" x14ac:dyDescent="0.25">
      <c r="A52" s="155"/>
      <c r="B52" s="156"/>
      <c r="C52" s="156"/>
      <c r="D52" s="159"/>
      <c r="E52" s="159"/>
      <c r="F52" s="159"/>
      <c r="G52" s="16"/>
      <c r="H52" s="16"/>
      <c r="I52" s="157"/>
      <c r="J52" s="158"/>
      <c r="K52" s="159"/>
      <c r="L52" s="150"/>
      <c r="M52" s="151"/>
      <c r="N52" s="173">
        <f>N43*1.3</f>
        <v>710515.2733900001</v>
      </c>
      <c r="O52" s="174"/>
      <c r="P52" s="174"/>
      <c r="Q52" s="174"/>
      <c r="R52" s="174"/>
      <c r="S52" s="174"/>
      <c r="T52" s="174"/>
      <c r="U52" s="174"/>
      <c r="V52" s="174"/>
      <c r="W52" s="174"/>
      <c r="X52" s="175"/>
    </row>
    <row r="53" spans="1:24" s="23" customFormat="1" ht="32.25" customHeight="1" thickBot="1" x14ac:dyDescent="0.25">
      <c r="A53" s="217" t="s">
        <v>39</v>
      </c>
      <c r="B53" s="218"/>
      <c r="C53" s="218"/>
      <c r="D53" s="218"/>
      <c r="E53" s="218"/>
      <c r="F53" s="219"/>
      <c r="G53" s="21"/>
      <c r="H53" s="22">
        <v>11.4</v>
      </c>
      <c r="I53" s="217">
        <f>F40</f>
        <v>5034.2999999999884</v>
      </c>
      <c r="J53" s="218"/>
      <c r="K53" s="219"/>
      <c r="L53" s="223">
        <f>I53*H53</f>
        <v>57391.019999999866</v>
      </c>
      <c r="M53" s="224"/>
      <c r="N53" s="238">
        <f>L53</f>
        <v>57391.019999999866</v>
      </c>
      <c r="O53" s="239"/>
      <c r="P53" s="239"/>
      <c r="Q53" s="239"/>
      <c r="R53" s="239"/>
      <c r="S53" s="239"/>
      <c r="T53" s="239"/>
      <c r="U53" s="239"/>
      <c r="V53" s="239"/>
      <c r="W53" s="239"/>
      <c r="X53" s="240"/>
    </row>
    <row r="54" spans="1:24" s="23" customFormat="1" ht="36.75" customHeight="1" x14ac:dyDescent="0.2">
      <c r="A54" s="250" t="s">
        <v>40</v>
      </c>
      <c r="B54" s="251"/>
      <c r="C54" s="251"/>
      <c r="D54" s="251"/>
      <c r="E54" s="251"/>
      <c r="F54" s="252"/>
      <c r="G54" s="24"/>
      <c r="H54" s="25">
        <v>11.77</v>
      </c>
      <c r="I54" s="215">
        <f>V40</f>
        <v>8223.7969699999994</v>
      </c>
      <c r="J54" s="253"/>
      <c r="K54" s="216"/>
      <c r="L54" s="215">
        <f>I54*H54</f>
        <v>96794.090336899986</v>
      </c>
      <c r="M54" s="216"/>
      <c r="N54" s="235">
        <f>L54</f>
        <v>96794.090336899986</v>
      </c>
      <c r="O54" s="236"/>
      <c r="P54" s="236"/>
      <c r="Q54" s="236"/>
      <c r="R54" s="236"/>
      <c r="S54" s="236"/>
      <c r="T54" s="236"/>
      <c r="U54" s="236"/>
      <c r="V54" s="236"/>
      <c r="W54" s="236"/>
      <c r="X54" s="237"/>
    </row>
    <row r="55" spans="1:24" ht="27" customHeight="1" x14ac:dyDescent="0.2">
      <c r="A55" s="2"/>
      <c r="B55" s="2"/>
      <c r="C55" s="2"/>
      <c r="D55" s="2"/>
      <c r="E55" s="2"/>
      <c r="F55" s="2"/>
      <c r="G55" s="33"/>
      <c r="H55" s="33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33"/>
      <c r="U55" s="33"/>
      <c r="V55" s="33"/>
      <c r="W55" s="33"/>
      <c r="X55" s="33"/>
    </row>
    <row r="56" spans="1:24" ht="18.75" customHeight="1" x14ac:dyDescent="0.2"/>
    <row r="60" spans="1:24" ht="39" customHeight="1" x14ac:dyDescent="0.2">
      <c r="B60" s="234"/>
      <c r="C60" s="234"/>
      <c r="D60" s="234"/>
      <c r="E60" s="234"/>
      <c r="F60" s="234"/>
      <c r="G60" s="234"/>
      <c r="H60" s="234"/>
      <c r="I60" s="234"/>
      <c r="J60" s="234"/>
      <c r="K60" s="234"/>
      <c r="L60" s="234"/>
      <c r="M60" s="234"/>
      <c r="N60" s="234"/>
      <c r="O60" s="234"/>
      <c r="P60" s="234"/>
      <c r="Q60" s="234"/>
      <c r="R60" s="234"/>
      <c r="S60" s="234"/>
      <c r="T60" s="234"/>
      <c r="U60" s="234"/>
      <c r="V60" s="234"/>
      <c r="W60" s="234"/>
      <c r="X60" s="234"/>
    </row>
  </sheetData>
  <mergeCells count="92">
    <mergeCell ref="H28:J28"/>
    <mergeCell ref="H32:J32"/>
    <mergeCell ref="H29:J29"/>
    <mergeCell ref="B60:X60"/>
    <mergeCell ref="N54:X54"/>
    <mergeCell ref="N53:X53"/>
    <mergeCell ref="N43:X45"/>
    <mergeCell ref="N42:X42"/>
    <mergeCell ref="A54:F54"/>
    <mergeCell ref="I54:K54"/>
    <mergeCell ref="I45:K45"/>
    <mergeCell ref="I42:K42"/>
    <mergeCell ref="N52:X52"/>
    <mergeCell ref="L45:M45"/>
    <mergeCell ref="H40:J40"/>
    <mergeCell ref="H30:J30"/>
    <mergeCell ref="D8:D9"/>
    <mergeCell ref="X8:X9"/>
    <mergeCell ref="V8:V9"/>
    <mergeCell ref="H26:J26"/>
    <mergeCell ref="L54:M54"/>
    <mergeCell ref="A53:F53"/>
    <mergeCell ref="A42:F42"/>
    <mergeCell ref="I53:K53"/>
    <mergeCell ref="L53:M53"/>
    <mergeCell ref="L44:M44"/>
    <mergeCell ref="H34:J34"/>
    <mergeCell ref="I43:K43"/>
    <mergeCell ref="A43:C45"/>
    <mergeCell ref="L42:M42"/>
    <mergeCell ref="H27:J27"/>
    <mergeCell ref="I44:K44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H25:J25"/>
    <mergeCell ref="H20:J20"/>
    <mergeCell ref="H24:J24"/>
    <mergeCell ref="H21:J21"/>
    <mergeCell ref="H19:J19"/>
    <mergeCell ref="H23:J23"/>
    <mergeCell ref="H38:J38"/>
    <mergeCell ref="L43:M43"/>
    <mergeCell ref="H33:J33"/>
    <mergeCell ref="H31:J31"/>
    <mergeCell ref="H35:J35"/>
    <mergeCell ref="H36:J36"/>
    <mergeCell ref="H37:J37"/>
    <mergeCell ref="H39:J39"/>
    <mergeCell ref="D46:F46"/>
    <mergeCell ref="I46:J46"/>
    <mergeCell ref="L46:M46"/>
    <mergeCell ref="N46:X46"/>
    <mergeCell ref="D47:F47"/>
    <mergeCell ref="I47:K47"/>
    <mergeCell ref="L47:M47"/>
    <mergeCell ref="N47:X47"/>
    <mergeCell ref="D50:M50"/>
    <mergeCell ref="N50:X50"/>
    <mergeCell ref="D51:M51"/>
    <mergeCell ref="N51:X51"/>
    <mergeCell ref="D48:F48"/>
    <mergeCell ref="I48:K48"/>
    <mergeCell ref="L48:M48"/>
    <mergeCell ref="N48:X48"/>
    <mergeCell ref="D49:F49"/>
    <mergeCell ref="I49:K49"/>
    <mergeCell ref="L49:M49"/>
    <mergeCell ref="N49:X49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E9" sqref="E9:E38"/>
    </sheetView>
  </sheetViews>
  <sheetFormatPr baseColWidth="10" defaultColWidth="11.42578125" defaultRowHeight="18" x14ac:dyDescent="0.25"/>
  <cols>
    <col min="1" max="1" width="18.5703125" style="47" customWidth="1"/>
    <col min="2" max="3" width="19.140625" style="47" customWidth="1"/>
    <col min="4" max="4" width="16.7109375" customWidth="1"/>
    <col min="5" max="5" width="19.5703125" style="142" customWidth="1"/>
    <col min="6" max="11" width="16.7109375" customWidth="1"/>
    <col min="12" max="12" width="24.28515625" customWidth="1"/>
  </cols>
  <sheetData>
    <row r="1" spans="1:12" ht="12.75" customHeight="1" x14ac:dyDescent="0.2">
      <c r="A1" s="282"/>
      <c r="B1" s="283"/>
      <c r="C1" s="283"/>
      <c r="D1" s="284"/>
      <c r="E1" s="265" t="s">
        <v>41</v>
      </c>
      <c r="F1" s="266"/>
      <c r="G1" s="266"/>
      <c r="H1" s="266"/>
      <c r="I1" s="267"/>
      <c r="J1" s="274" t="s">
        <v>42</v>
      </c>
      <c r="K1" s="275"/>
      <c r="L1" s="49"/>
    </row>
    <row r="2" spans="1:12" ht="16.5" customHeight="1" x14ac:dyDescent="0.2">
      <c r="A2" s="285"/>
      <c r="B2" s="286"/>
      <c r="C2" s="286"/>
      <c r="D2" s="287"/>
      <c r="E2" s="268"/>
      <c r="F2" s="269"/>
      <c r="G2" s="269"/>
      <c r="H2" s="269"/>
      <c r="I2" s="270"/>
      <c r="J2" s="276"/>
      <c r="K2" s="277"/>
      <c r="L2" s="49"/>
    </row>
    <row r="3" spans="1:12" ht="48" customHeight="1" x14ac:dyDescent="0.2">
      <c r="A3" s="288"/>
      <c r="B3" s="289"/>
      <c r="C3" s="289"/>
      <c r="D3" s="290"/>
      <c r="E3" s="271"/>
      <c r="F3" s="272"/>
      <c r="G3" s="272"/>
      <c r="H3" s="272"/>
      <c r="I3" s="273"/>
      <c r="J3" s="278"/>
      <c r="K3" s="279"/>
      <c r="L3" s="49"/>
    </row>
    <row r="6" spans="1:12" ht="10.5" customHeight="1" x14ac:dyDescent="0.25"/>
    <row r="7" spans="1:12" ht="16.5" customHeight="1" x14ac:dyDescent="0.2">
      <c r="A7" s="263" t="s">
        <v>43</v>
      </c>
      <c r="B7" s="291" t="s">
        <v>44</v>
      </c>
      <c r="C7" s="292"/>
      <c r="D7" s="280" t="s">
        <v>45</v>
      </c>
      <c r="E7" s="280"/>
      <c r="F7" s="281" t="s">
        <v>46</v>
      </c>
      <c r="G7" s="281"/>
      <c r="H7" s="281"/>
      <c r="I7" s="281"/>
      <c r="J7" s="281"/>
      <c r="K7" s="281"/>
    </row>
    <row r="8" spans="1:12" s="29" customFormat="1" ht="28.5" customHeight="1" x14ac:dyDescent="0.2">
      <c r="A8" s="264"/>
      <c r="B8" s="112" t="s">
        <v>47</v>
      </c>
      <c r="C8" s="112" t="s">
        <v>48</v>
      </c>
      <c r="D8" s="54" t="s">
        <v>47</v>
      </c>
      <c r="E8" s="54" t="s">
        <v>49</v>
      </c>
      <c r="F8" s="56" t="s">
        <v>50</v>
      </c>
      <c r="G8" s="56" t="s">
        <v>51</v>
      </c>
      <c r="H8" s="56" t="s">
        <v>52</v>
      </c>
      <c r="I8" s="56" t="s">
        <v>53</v>
      </c>
      <c r="J8" s="56" t="s">
        <v>54</v>
      </c>
      <c r="K8" s="56" t="s">
        <v>55</v>
      </c>
    </row>
    <row r="9" spans="1:12" ht="19.5" x14ac:dyDescent="0.3">
      <c r="A9" s="57">
        <v>44713</v>
      </c>
      <c r="B9" s="114">
        <v>2560</v>
      </c>
      <c r="C9" s="113">
        <v>0</v>
      </c>
      <c r="D9" s="55">
        <v>148296</v>
      </c>
      <c r="E9" s="50">
        <v>267</v>
      </c>
      <c r="F9" s="51">
        <v>11843664</v>
      </c>
      <c r="G9" s="50">
        <v>4384</v>
      </c>
      <c r="H9" s="51">
        <v>20106843</v>
      </c>
      <c r="I9" s="50">
        <v>9147</v>
      </c>
      <c r="J9" s="51">
        <v>8829353</v>
      </c>
      <c r="K9" s="50">
        <v>3394</v>
      </c>
    </row>
    <row r="10" spans="1:12" ht="19.5" x14ac:dyDescent="0.3">
      <c r="A10" s="57">
        <v>44714</v>
      </c>
      <c r="B10" s="114">
        <v>2560</v>
      </c>
      <c r="C10" s="113">
        <f t="shared" ref="C10:C18" si="0">B10-B9</f>
        <v>0</v>
      </c>
      <c r="D10" s="55">
        <v>148461.29999999999</v>
      </c>
      <c r="E10" s="50">
        <f>D10-D9</f>
        <v>165.29999999998836</v>
      </c>
      <c r="F10" s="51">
        <v>11848105</v>
      </c>
      <c r="G10" s="50">
        <f t="shared" ref="G10:G39" si="1">F10-F9</f>
        <v>4441</v>
      </c>
      <c r="H10" s="51">
        <v>20117099</v>
      </c>
      <c r="I10" s="50">
        <f t="shared" ref="I10:I39" si="2">H10-H9</f>
        <v>10256</v>
      </c>
      <c r="J10" s="51">
        <v>8833074</v>
      </c>
      <c r="K10" s="50">
        <f t="shared" ref="K10:K39" si="3">J10-J9</f>
        <v>3721</v>
      </c>
    </row>
    <row r="11" spans="1:12" ht="19.5" x14ac:dyDescent="0.3">
      <c r="A11" s="57">
        <v>44715</v>
      </c>
      <c r="B11" s="114">
        <v>2560</v>
      </c>
      <c r="C11" s="113">
        <f t="shared" si="0"/>
        <v>0</v>
      </c>
      <c r="D11" s="55">
        <v>148620.20000000001</v>
      </c>
      <c r="E11" s="50">
        <f t="shared" ref="E11:E39" si="4">D11-D10</f>
        <v>158.90000000002328</v>
      </c>
      <c r="F11" s="51">
        <v>11851854</v>
      </c>
      <c r="G11" s="50">
        <f t="shared" si="1"/>
        <v>3749</v>
      </c>
      <c r="H11" s="51">
        <v>20127628</v>
      </c>
      <c r="I11" s="50">
        <f t="shared" si="2"/>
        <v>10529</v>
      </c>
      <c r="J11" s="51">
        <v>8836893</v>
      </c>
      <c r="K11" s="50">
        <f t="shared" si="3"/>
        <v>3819</v>
      </c>
    </row>
    <row r="12" spans="1:12" ht="19.5" x14ac:dyDescent="0.3">
      <c r="A12" s="57">
        <v>44716</v>
      </c>
      <c r="B12" s="114">
        <v>2560</v>
      </c>
      <c r="C12" s="113">
        <f t="shared" si="0"/>
        <v>0</v>
      </c>
      <c r="D12" s="55">
        <v>148778</v>
      </c>
      <c r="E12" s="50">
        <f t="shared" si="4"/>
        <v>157.79999999998836</v>
      </c>
      <c r="F12" s="51">
        <v>11856790</v>
      </c>
      <c r="G12" s="50">
        <f t="shared" si="1"/>
        <v>4936</v>
      </c>
      <c r="H12" s="51">
        <v>20137700</v>
      </c>
      <c r="I12" s="50">
        <f t="shared" si="2"/>
        <v>10072</v>
      </c>
      <c r="J12" s="51">
        <v>8840845</v>
      </c>
      <c r="K12" s="50">
        <f t="shared" si="3"/>
        <v>3952</v>
      </c>
    </row>
    <row r="13" spans="1:12" ht="19.5" x14ac:dyDescent="0.3">
      <c r="A13" s="57">
        <v>44717</v>
      </c>
      <c r="B13" s="114">
        <v>2560</v>
      </c>
      <c r="C13" s="113">
        <f t="shared" si="0"/>
        <v>0</v>
      </c>
      <c r="D13" s="55">
        <v>148938</v>
      </c>
      <c r="E13" s="50">
        <f t="shared" si="4"/>
        <v>160</v>
      </c>
      <c r="F13" s="51">
        <v>11861251</v>
      </c>
      <c r="G13" s="50">
        <f t="shared" si="1"/>
        <v>4461</v>
      </c>
      <c r="H13" s="51">
        <v>20147846</v>
      </c>
      <c r="I13" s="50">
        <f t="shared" si="2"/>
        <v>10146</v>
      </c>
      <c r="J13" s="51">
        <v>8844783</v>
      </c>
      <c r="K13" s="50">
        <f t="shared" si="3"/>
        <v>3938</v>
      </c>
    </row>
    <row r="14" spans="1:12" ht="19.5" x14ac:dyDescent="0.3">
      <c r="A14" s="57">
        <v>44718</v>
      </c>
      <c r="B14" s="114">
        <v>2560</v>
      </c>
      <c r="C14" s="113">
        <f t="shared" si="0"/>
        <v>0</v>
      </c>
      <c r="D14" s="55">
        <v>149083</v>
      </c>
      <c r="E14" s="50">
        <f t="shared" si="4"/>
        <v>145</v>
      </c>
      <c r="F14" s="51">
        <v>11865688</v>
      </c>
      <c r="G14" s="50">
        <f t="shared" si="1"/>
        <v>4437</v>
      </c>
      <c r="H14" s="51">
        <v>20157758</v>
      </c>
      <c r="I14" s="50">
        <f t="shared" si="2"/>
        <v>9912</v>
      </c>
      <c r="J14" s="51">
        <v>8848493</v>
      </c>
      <c r="K14" s="50">
        <f t="shared" si="3"/>
        <v>3710</v>
      </c>
    </row>
    <row r="15" spans="1:12" ht="19.5" x14ac:dyDescent="0.3">
      <c r="A15" s="57">
        <v>44719</v>
      </c>
      <c r="B15" s="114">
        <v>2560</v>
      </c>
      <c r="C15" s="113">
        <f t="shared" si="0"/>
        <v>0</v>
      </c>
      <c r="D15" s="55">
        <v>149238</v>
      </c>
      <c r="E15" s="50">
        <f t="shared" si="4"/>
        <v>155</v>
      </c>
      <c r="F15" s="51">
        <v>11870588</v>
      </c>
      <c r="G15" s="50">
        <f t="shared" si="1"/>
        <v>4900</v>
      </c>
      <c r="H15" s="51">
        <v>20168142</v>
      </c>
      <c r="I15" s="50">
        <f t="shared" si="2"/>
        <v>10384</v>
      </c>
      <c r="J15" s="51">
        <v>8853032</v>
      </c>
      <c r="K15" s="50">
        <f t="shared" si="3"/>
        <v>4539</v>
      </c>
    </row>
    <row r="16" spans="1:12" ht="19.5" x14ac:dyDescent="0.3">
      <c r="A16" s="57">
        <v>44720</v>
      </c>
      <c r="B16" s="114">
        <v>2560</v>
      </c>
      <c r="C16" s="113">
        <f t="shared" si="0"/>
        <v>0</v>
      </c>
      <c r="D16" s="55">
        <v>149377</v>
      </c>
      <c r="E16" s="50">
        <f t="shared" si="4"/>
        <v>139</v>
      </c>
      <c r="F16" s="51">
        <v>11875705</v>
      </c>
      <c r="G16" s="50">
        <f t="shared" si="1"/>
        <v>5117</v>
      </c>
      <c r="H16" s="51">
        <v>20178915</v>
      </c>
      <c r="I16" s="50">
        <f t="shared" si="2"/>
        <v>10773</v>
      </c>
      <c r="J16" s="51">
        <v>8857204</v>
      </c>
      <c r="K16" s="50">
        <f t="shared" si="3"/>
        <v>4172</v>
      </c>
    </row>
    <row r="17" spans="1:29" ht="19.5" x14ac:dyDescent="0.3">
      <c r="A17" s="57">
        <v>44721</v>
      </c>
      <c r="B17" s="114">
        <v>2560</v>
      </c>
      <c r="C17" s="113">
        <f t="shared" si="0"/>
        <v>0</v>
      </c>
      <c r="D17" s="55">
        <v>149512</v>
      </c>
      <c r="E17" s="50">
        <f t="shared" si="4"/>
        <v>135</v>
      </c>
      <c r="F17" s="51">
        <v>11880730</v>
      </c>
      <c r="G17" s="50">
        <f t="shared" si="1"/>
        <v>5025</v>
      </c>
      <c r="H17" s="51">
        <v>20189508</v>
      </c>
      <c r="I17" s="50">
        <f t="shared" si="2"/>
        <v>10593</v>
      </c>
      <c r="J17" s="51">
        <v>8861423</v>
      </c>
      <c r="K17" s="50">
        <f t="shared" si="3"/>
        <v>4219</v>
      </c>
    </row>
    <row r="18" spans="1:29" ht="19.5" x14ac:dyDescent="0.3">
      <c r="A18" s="57">
        <v>44722</v>
      </c>
      <c r="B18" s="114">
        <v>2560</v>
      </c>
      <c r="C18" s="113">
        <f t="shared" si="0"/>
        <v>0</v>
      </c>
      <c r="D18" s="55">
        <v>149687.29999999999</v>
      </c>
      <c r="E18" s="50">
        <f t="shared" si="4"/>
        <v>175.29999999998836</v>
      </c>
      <c r="F18" s="51">
        <v>11885523</v>
      </c>
      <c r="G18" s="50">
        <f t="shared" si="1"/>
        <v>4793</v>
      </c>
      <c r="H18" s="51">
        <v>20200373</v>
      </c>
      <c r="I18" s="50">
        <f t="shared" si="2"/>
        <v>10865</v>
      </c>
      <c r="J18" s="51">
        <v>8865409</v>
      </c>
      <c r="K18" s="50">
        <f t="shared" si="3"/>
        <v>3986</v>
      </c>
    </row>
    <row r="19" spans="1:29" ht="19.5" x14ac:dyDescent="0.3">
      <c r="A19" s="57">
        <v>44723</v>
      </c>
      <c r="B19" s="114">
        <v>2560</v>
      </c>
      <c r="C19" s="113">
        <f t="shared" ref="C19:C39" si="5">B19-B18</f>
        <v>0</v>
      </c>
      <c r="D19" s="55">
        <v>149857.9</v>
      </c>
      <c r="E19" s="50">
        <f t="shared" si="4"/>
        <v>170.60000000000582</v>
      </c>
      <c r="F19" s="51">
        <v>11890669</v>
      </c>
      <c r="G19" s="50">
        <f t="shared" si="1"/>
        <v>5146</v>
      </c>
      <c r="H19" s="51">
        <v>20210978</v>
      </c>
      <c r="I19" s="50">
        <f t="shared" si="2"/>
        <v>10605</v>
      </c>
      <c r="J19" s="51">
        <v>8869640</v>
      </c>
      <c r="K19" s="50">
        <f t="shared" si="3"/>
        <v>4231</v>
      </c>
    </row>
    <row r="20" spans="1:29" ht="25.5" x14ac:dyDescent="0.35">
      <c r="A20" s="57">
        <v>44724</v>
      </c>
      <c r="B20" s="114">
        <v>2560</v>
      </c>
      <c r="C20" s="113">
        <f t="shared" si="5"/>
        <v>0</v>
      </c>
      <c r="D20" s="55">
        <v>150021</v>
      </c>
      <c r="E20" s="50">
        <f t="shared" si="4"/>
        <v>163.10000000000582</v>
      </c>
      <c r="F20" s="51">
        <v>11896031</v>
      </c>
      <c r="G20" s="50">
        <f t="shared" si="1"/>
        <v>5362</v>
      </c>
      <c r="H20" s="51">
        <v>20222439</v>
      </c>
      <c r="I20" s="50">
        <f t="shared" si="2"/>
        <v>11461</v>
      </c>
      <c r="J20" s="51">
        <v>8874151</v>
      </c>
      <c r="K20" s="50">
        <f t="shared" si="3"/>
        <v>4511</v>
      </c>
      <c r="L20" s="115" t="s">
        <v>18</v>
      </c>
      <c r="AC20" t="s">
        <v>56</v>
      </c>
    </row>
    <row r="21" spans="1:29" ht="19.5" x14ac:dyDescent="0.3">
      <c r="A21" s="57">
        <v>44725</v>
      </c>
      <c r="B21" s="114">
        <v>2560</v>
      </c>
      <c r="C21" s="113">
        <f t="shared" si="5"/>
        <v>0</v>
      </c>
      <c r="D21" s="55">
        <v>150172</v>
      </c>
      <c r="E21" s="50">
        <f t="shared" si="4"/>
        <v>151</v>
      </c>
      <c r="F21" s="51">
        <v>11900902</v>
      </c>
      <c r="G21" s="50">
        <f t="shared" si="1"/>
        <v>4871</v>
      </c>
      <c r="H21" s="51">
        <v>20234485</v>
      </c>
      <c r="I21" s="50">
        <f t="shared" si="2"/>
        <v>12046</v>
      </c>
      <c r="J21" s="51">
        <v>8878579</v>
      </c>
      <c r="K21" s="50">
        <f t="shared" si="3"/>
        <v>4428</v>
      </c>
    </row>
    <row r="22" spans="1:29" ht="19.5" x14ac:dyDescent="0.3">
      <c r="A22" s="57">
        <v>44726</v>
      </c>
      <c r="B22" s="114">
        <v>2560</v>
      </c>
      <c r="C22" s="113">
        <f t="shared" si="5"/>
        <v>0</v>
      </c>
      <c r="D22" s="55">
        <v>150321.1</v>
      </c>
      <c r="E22" s="50">
        <f t="shared" si="4"/>
        <v>149.10000000000582</v>
      </c>
      <c r="F22" s="51">
        <v>11905609</v>
      </c>
      <c r="G22" s="50">
        <f t="shared" si="1"/>
        <v>4707</v>
      </c>
      <c r="H22" s="51">
        <v>20246388</v>
      </c>
      <c r="I22" s="50">
        <f t="shared" si="2"/>
        <v>11903</v>
      </c>
      <c r="J22" s="51">
        <v>8883469</v>
      </c>
      <c r="K22" s="50">
        <f t="shared" si="3"/>
        <v>4890</v>
      </c>
    </row>
    <row r="23" spans="1:29" ht="19.5" x14ac:dyDescent="0.3">
      <c r="A23" s="57">
        <v>44727</v>
      </c>
      <c r="B23" s="114">
        <v>2560</v>
      </c>
      <c r="C23" s="113">
        <f t="shared" si="5"/>
        <v>0</v>
      </c>
      <c r="D23" s="55">
        <v>150474.1</v>
      </c>
      <c r="E23" s="50">
        <f t="shared" si="4"/>
        <v>153</v>
      </c>
      <c r="F23" s="51">
        <v>11911056</v>
      </c>
      <c r="G23" s="50">
        <f t="shared" si="1"/>
        <v>5447</v>
      </c>
      <c r="H23" s="51">
        <v>20257492</v>
      </c>
      <c r="I23" s="50">
        <f t="shared" si="2"/>
        <v>11104</v>
      </c>
      <c r="J23" s="51">
        <v>8887517</v>
      </c>
      <c r="K23" s="50">
        <f t="shared" si="3"/>
        <v>4048</v>
      </c>
    </row>
    <row r="24" spans="1:29" ht="19.5" x14ac:dyDescent="0.3">
      <c r="A24" s="57">
        <v>44728</v>
      </c>
      <c r="B24" s="114">
        <v>2560</v>
      </c>
      <c r="C24" s="113">
        <f t="shared" si="5"/>
        <v>0</v>
      </c>
      <c r="D24" s="55">
        <v>150636</v>
      </c>
      <c r="E24" s="50">
        <f t="shared" si="4"/>
        <v>161.89999999999418</v>
      </c>
      <c r="F24" s="51">
        <v>11917125</v>
      </c>
      <c r="G24" s="50">
        <f t="shared" si="1"/>
        <v>6069</v>
      </c>
      <c r="H24" s="51">
        <v>20268921</v>
      </c>
      <c r="I24" s="50">
        <f t="shared" si="2"/>
        <v>11429</v>
      </c>
      <c r="J24" s="51">
        <v>8892161</v>
      </c>
      <c r="K24" s="50">
        <f t="shared" si="3"/>
        <v>4644</v>
      </c>
    </row>
    <row r="25" spans="1:29" ht="19.5" x14ac:dyDescent="0.3">
      <c r="A25" s="57">
        <v>44729</v>
      </c>
      <c r="B25" s="114">
        <v>2560</v>
      </c>
      <c r="C25" s="113">
        <f t="shared" si="5"/>
        <v>0</v>
      </c>
      <c r="D25" s="55">
        <v>150796</v>
      </c>
      <c r="E25" s="50">
        <f t="shared" si="4"/>
        <v>160</v>
      </c>
      <c r="F25" s="51">
        <v>11921830</v>
      </c>
      <c r="G25" s="50">
        <f t="shared" si="1"/>
        <v>4705</v>
      </c>
      <c r="H25" s="51">
        <v>20278396</v>
      </c>
      <c r="I25" s="50">
        <f t="shared" si="2"/>
        <v>9475</v>
      </c>
      <c r="J25" s="51">
        <v>8896106</v>
      </c>
      <c r="K25" s="50">
        <f t="shared" si="3"/>
        <v>3945</v>
      </c>
    </row>
    <row r="26" spans="1:29" ht="19.5" x14ac:dyDescent="0.3">
      <c r="A26" s="57">
        <v>44730</v>
      </c>
      <c r="B26" s="114">
        <v>2560</v>
      </c>
      <c r="C26" s="113">
        <f t="shared" si="5"/>
        <v>0</v>
      </c>
      <c r="D26" s="55">
        <v>150978</v>
      </c>
      <c r="E26" s="50">
        <f t="shared" si="4"/>
        <v>182</v>
      </c>
      <c r="F26" s="51">
        <v>11928569</v>
      </c>
      <c r="G26" s="50">
        <f t="shared" si="1"/>
        <v>6739</v>
      </c>
      <c r="H26" s="51">
        <v>20288459</v>
      </c>
      <c r="I26" s="50">
        <f t="shared" si="2"/>
        <v>10063</v>
      </c>
      <c r="J26" s="51">
        <v>8901353</v>
      </c>
      <c r="K26" s="50">
        <f t="shared" si="3"/>
        <v>5247</v>
      </c>
    </row>
    <row r="27" spans="1:29" ht="19.5" x14ac:dyDescent="0.3">
      <c r="A27" s="57">
        <v>44731</v>
      </c>
      <c r="B27" s="114">
        <v>2560</v>
      </c>
      <c r="C27" s="113">
        <f t="shared" si="5"/>
        <v>0</v>
      </c>
      <c r="D27" s="55">
        <v>151134.39999999999</v>
      </c>
      <c r="E27" s="50">
        <f t="shared" si="4"/>
        <v>156.39999999999418</v>
      </c>
      <c r="F27" s="51">
        <v>11933460</v>
      </c>
      <c r="G27" s="50">
        <f t="shared" si="1"/>
        <v>4891</v>
      </c>
      <c r="H27" s="51">
        <v>20297388</v>
      </c>
      <c r="I27" s="50">
        <f t="shared" si="2"/>
        <v>8929</v>
      </c>
      <c r="J27" s="51">
        <v>8904937</v>
      </c>
      <c r="K27" s="50">
        <f t="shared" si="3"/>
        <v>3584</v>
      </c>
    </row>
    <row r="28" spans="1:29" ht="19.5" x14ac:dyDescent="0.3">
      <c r="A28" s="57">
        <v>44732</v>
      </c>
      <c r="B28" s="114">
        <v>2560</v>
      </c>
      <c r="C28" s="113">
        <f t="shared" si="5"/>
        <v>0</v>
      </c>
      <c r="D28" s="55">
        <v>151422</v>
      </c>
      <c r="E28" s="50">
        <f t="shared" si="4"/>
        <v>287.60000000000582</v>
      </c>
      <c r="F28" s="51">
        <v>11938250</v>
      </c>
      <c r="G28" s="50">
        <f t="shared" si="1"/>
        <v>4790</v>
      </c>
      <c r="H28" s="51">
        <v>20307014</v>
      </c>
      <c r="I28" s="50">
        <f t="shared" si="2"/>
        <v>9626</v>
      </c>
      <c r="J28" s="51">
        <v>8909556</v>
      </c>
      <c r="K28" s="50">
        <f t="shared" si="3"/>
        <v>4619</v>
      </c>
    </row>
    <row r="29" spans="1:29" ht="19.5" x14ac:dyDescent="0.3">
      <c r="A29" s="57">
        <v>44733</v>
      </c>
      <c r="B29" s="114">
        <v>2560</v>
      </c>
      <c r="C29" s="113">
        <f t="shared" si="5"/>
        <v>0</v>
      </c>
      <c r="D29" s="55">
        <v>151577.1</v>
      </c>
      <c r="E29" s="50">
        <f t="shared" si="4"/>
        <v>155.10000000000582</v>
      </c>
      <c r="F29" s="51">
        <v>11942954</v>
      </c>
      <c r="G29" s="50">
        <f t="shared" si="1"/>
        <v>4704</v>
      </c>
      <c r="H29" s="51">
        <v>20316963</v>
      </c>
      <c r="I29" s="50">
        <f t="shared" si="2"/>
        <v>9949</v>
      </c>
      <c r="J29" s="51">
        <v>8913243</v>
      </c>
      <c r="K29" s="50">
        <f t="shared" si="3"/>
        <v>3687</v>
      </c>
    </row>
    <row r="30" spans="1:29" ht="19.5" x14ac:dyDescent="0.3">
      <c r="A30" s="57">
        <v>44734</v>
      </c>
      <c r="B30" s="114">
        <v>2560</v>
      </c>
      <c r="C30" s="113">
        <f t="shared" si="5"/>
        <v>0</v>
      </c>
      <c r="D30" s="55">
        <v>151756.29999999999</v>
      </c>
      <c r="E30" s="50">
        <f t="shared" si="4"/>
        <v>179.19999999998254</v>
      </c>
      <c r="F30" s="51">
        <v>11947193</v>
      </c>
      <c r="G30" s="50">
        <f t="shared" si="1"/>
        <v>4239</v>
      </c>
      <c r="H30" s="51">
        <v>20325654</v>
      </c>
      <c r="I30" s="50">
        <f t="shared" si="2"/>
        <v>8691</v>
      </c>
      <c r="J30" s="51">
        <v>8917089</v>
      </c>
      <c r="K30" s="50">
        <f t="shared" si="3"/>
        <v>3846</v>
      </c>
    </row>
    <row r="31" spans="1:29" ht="19.5" x14ac:dyDescent="0.3">
      <c r="A31" s="57">
        <v>44735</v>
      </c>
      <c r="B31" s="114">
        <v>2560</v>
      </c>
      <c r="C31" s="113">
        <f t="shared" si="5"/>
        <v>0</v>
      </c>
      <c r="D31" s="55">
        <v>151915</v>
      </c>
      <c r="E31" s="50">
        <f t="shared" si="4"/>
        <v>158.70000000001164</v>
      </c>
      <c r="F31" s="51">
        <v>11952119</v>
      </c>
      <c r="G31" s="50">
        <f t="shared" si="1"/>
        <v>4926</v>
      </c>
      <c r="H31" s="51">
        <v>20335776</v>
      </c>
      <c r="I31" s="50">
        <f t="shared" si="2"/>
        <v>10122</v>
      </c>
      <c r="J31" s="51">
        <v>8920803</v>
      </c>
      <c r="K31" s="50">
        <f t="shared" si="3"/>
        <v>3714</v>
      </c>
    </row>
    <row r="32" spans="1:29" ht="19.5" x14ac:dyDescent="0.3">
      <c r="A32" s="57">
        <v>44736</v>
      </c>
      <c r="B32" s="114">
        <v>2560</v>
      </c>
      <c r="C32" s="113">
        <f t="shared" si="5"/>
        <v>0</v>
      </c>
      <c r="D32" s="55">
        <v>152088</v>
      </c>
      <c r="E32" s="50">
        <f t="shared" si="4"/>
        <v>173</v>
      </c>
      <c r="F32" s="51">
        <v>11956480</v>
      </c>
      <c r="G32" s="50">
        <f t="shared" si="1"/>
        <v>4361</v>
      </c>
      <c r="H32" s="51">
        <v>20345376</v>
      </c>
      <c r="I32" s="50">
        <f t="shared" si="2"/>
        <v>9600</v>
      </c>
      <c r="J32" s="51">
        <v>8924154</v>
      </c>
      <c r="K32" s="50">
        <f t="shared" si="3"/>
        <v>3351</v>
      </c>
    </row>
    <row r="33" spans="1:11" ht="19.5" x14ac:dyDescent="0.3">
      <c r="A33" s="57">
        <v>44737</v>
      </c>
      <c r="B33" s="114">
        <v>2560</v>
      </c>
      <c r="C33" s="113">
        <f t="shared" si="5"/>
        <v>0</v>
      </c>
      <c r="D33" s="55">
        <v>152242</v>
      </c>
      <c r="E33" s="50">
        <f t="shared" si="4"/>
        <v>154</v>
      </c>
      <c r="F33" s="51">
        <v>11960968</v>
      </c>
      <c r="G33" s="50">
        <f t="shared" si="1"/>
        <v>4488</v>
      </c>
      <c r="H33" s="51">
        <v>20354450</v>
      </c>
      <c r="I33" s="50">
        <f t="shared" si="2"/>
        <v>9074</v>
      </c>
      <c r="J33" s="51">
        <v>8927614</v>
      </c>
      <c r="K33" s="50">
        <f t="shared" si="3"/>
        <v>3460</v>
      </c>
    </row>
    <row r="34" spans="1:11" ht="19.5" x14ac:dyDescent="0.3">
      <c r="A34" s="57">
        <v>44738</v>
      </c>
      <c r="B34" s="114">
        <v>2560</v>
      </c>
      <c r="C34" s="113">
        <f t="shared" si="5"/>
        <v>0</v>
      </c>
      <c r="D34" s="55">
        <v>152418</v>
      </c>
      <c r="E34" s="50">
        <f t="shared" si="4"/>
        <v>176</v>
      </c>
      <c r="F34" s="51">
        <v>11965612</v>
      </c>
      <c r="G34" s="50">
        <f t="shared" si="1"/>
        <v>4644</v>
      </c>
      <c r="H34" s="51">
        <v>20363576</v>
      </c>
      <c r="I34" s="50">
        <f t="shared" si="2"/>
        <v>9126</v>
      </c>
      <c r="J34" s="51">
        <v>8931208</v>
      </c>
      <c r="K34" s="50">
        <f t="shared" si="3"/>
        <v>3594</v>
      </c>
    </row>
    <row r="35" spans="1:11" ht="19.5" x14ac:dyDescent="0.3">
      <c r="A35" s="57">
        <v>44739</v>
      </c>
      <c r="B35" s="114">
        <v>2560</v>
      </c>
      <c r="C35" s="113">
        <f t="shared" si="5"/>
        <v>0</v>
      </c>
      <c r="D35" s="55">
        <v>152598</v>
      </c>
      <c r="E35" s="50">
        <f t="shared" si="4"/>
        <v>180</v>
      </c>
      <c r="F35" s="51">
        <v>11969697</v>
      </c>
      <c r="G35" s="50">
        <f t="shared" si="1"/>
        <v>4085</v>
      </c>
      <c r="H35" s="51">
        <v>20371925</v>
      </c>
      <c r="I35" s="50">
        <f t="shared" si="2"/>
        <v>8349</v>
      </c>
      <c r="J35" s="51">
        <v>8934667</v>
      </c>
      <c r="K35" s="50">
        <f t="shared" si="3"/>
        <v>3459</v>
      </c>
    </row>
    <row r="36" spans="1:11" ht="19.5" x14ac:dyDescent="0.3">
      <c r="A36" s="57">
        <v>44740</v>
      </c>
      <c r="B36" s="114">
        <v>2560</v>
      </c>
      <c r="C36" s="113">
        <f t="shared" si="5"/>
        <v>0</v>
      </c>
      <c r="D36" s="55">
        <v>152763</v>
      </c>
      <c r="E36" s="50">
        <f t="shared" si="4"/>
        <v>165</v>
      </c>
      <c r="F36" s="51">
        <v>11974206</v>
      </c>
      <c r="G36" s="50">
        <f t="shared" si="1"/>
        <v>4509</v>
      </c>
      <c r="H36" s="51">
        <v>20380254</v>
      </c>
      <c r="I36" s="50">
        <f t="shared" si="2"/>
        <v>8329</v>
      </c>
      <c r="J36" s="51">
        <v>8938202</v>
      </c>
      <c r="K36" s="50">
        <f t="shared" si="3"/>
        <v>3535</v>
      </c>
    </row>
    <row r="37" spans="1:11" ht="19.5" x14ac:dyDescent="0.3">
      <c r="A37" s="57">
        <v>44741</v>
      </c>
      <c r="B37" s="114">
        <v>2560</v>
      </c>
      <c r="C37" s="113">
        <f t="shared" si="5"/>
        <v>0</v>
      </c>
      <c r="D37" s="55">
        <v>152908.9</v>
      </c>
      <c r="E37" s="50">
        <f t="shared" si="4"/>
        <v>145.89999999999418</v>
      </c>
      <c r="F37" s="51">
        <v>11977820</v>
      </c>
      <c r="G37" s="50">
        <f t="shared" si="1"/>
        <v>3614</v>
      </c>
      <c r="H37" s="51">
        <v>20390000</v>
      </c>
      <c r="I37" s="50">
        <f t="shared" si="2"/>
        <v>9746</v>
      </c>
      <c r="J37" s="51">
        <v>8942367</v>
      </c>
      <c r="K37" s="50">
        <f t="shared" si="3"/>
        <v>4165</v>
      </c>
    </row>
    <row r="38" spans="1:11" ht="19.5" x14ac:dyDescent="0.3">
      <c r="A38" s="57">
        <v>44742</v>
      </c>
      <c r="B38" s="114">
        <v>2560</v>
      </c>
      <c r="C38" s="113">
        <f t="shared" si="5"/>
        <v>0</v>
      </c>
      <c r="D38" s="55">
        <v>153063.29999999999</v>
      </c>
      <c r="E38" s="50">
        <f t="shared" si="4"/>
        <v>154.39999999999418</v>
      </c>
      <c r="F38" s="51">
        <v>11981735</v>
      </c>
      <c r="G38" s="50">
        <f t="shared" si="1"/>
        <v>3915</v>
      </c>
      <c r="H38" s="51">
        <v>20399436</v>
      </c>
      <c r="I38" s="50">
        <f t="shared" si="2"/>
        <v>9436</v>
      </c>
      <c r="J38" s="51">
        <v>8946201</v>
      </c>
      <c r="K38" s="50">
        <f t="shared" si="3"/>
        <v>3834</v>
      </c>
    </row>
    <row r="39" spans="1:11" ht="19.5" x14ac:dyDescent="0.3">
      <c r="A39" s="57">
        <v>44743</v>
      </c>
      <c r="B39" s="114">
        <v>2560</v>
      </c>
      <c r="C39" s="113">
        <f t="shared" si="5"/>
        <v>0</v>
      </c>
      <c r="D39" s="55">
        <v>153235</v>
      </c>
      <c r="E39" s="50">
        <f t="shared" si="4"/>
        <v>171.70000000001164</v>
      </c>
      <c r="F39" s="51">
        <v>11987278</v>
      </c>
      <c r="G39" s="50">
        <f t="shared" si="1"/>
        <v>5543</v>
      </c>
      <c r="H39" s="51">
        <v>20409181</v>
      </c>
      <c r="I39" s="50">
        <f t="shared" si="2"/>
        <v>9745</v>
      </c>
      <c r="J39" s="51">
        <v>8949480</v>
      </c>
      <c r="K39" s="50">
        <f t="shared" si="3"/>
        <v>3279</v>
      </c>
    </row>
    <row r="40" spans="1:11" ht="19.5" x14ac:dyDescent="0.3">
      <c r="A40" s="57">
        <v>44744</v>
      </c>
      <c r="B40" s="114"/>
      <c r="C40" s="113"/>
      <c r="D40" s="55"/>
      <c r="E40" s="50"/>
      <c r="F40" s="51"/>
      <c r="G40" s="50"/>
      <c r="H40" s="51"/>
      <c r="I40" s="50"/>
      <c r="J40" s="51"/>
      <c r="K40" s="50"/>
    </row>
    <row r="41" spans="1:11" ht="24" customHeight="1" x14ac:dyDescent="0.3">
      <c r="A41" s="52"/>
      <c r="B41" s="52"/>
      <c r="C41" s="52"/>
    </row>
    <row r="42" spans="1:11" x14ac:dyDescent="0.25">
      <c r="A42" s="48"/>
      <c r="B42" s="48"/>
      <c r="C42" s="48"/>
    </row>
    <row r="43" spans="1:11" x14ac:dyDescent="0.25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6" priority="63" stopIfTrue="1" operator="lessThanOrEqual">
      <formula>0</formula>
    </cfRule>
  </conditionalFormatting>
  <conditionalFormatting sqref="E10:E39">
    <cfRule type="cellIs" dxfId="5" priority="10" stopIfTrue="1" operator="lessThanOrEqual">
      <formula>0</formula>
    </cfRule>
  </conditionalFormatting>
  <conditionalFormatting sqref="E10:E39">
    <cfRule type="cellIs" dxfId="4" priority="9" stopIfTrue="1" operator="lessThanOrEqual">
      <formula>0</formula>
    </cfRule>
  </conditionalFormatting>
  <conditionalFormatting sqref="E9">
    <cfRule type="cellIs" dxfId="3" priority="8" stopIfTrue="1" operator="lessThanOrEqual">
      <formula>0</formula>
    </cfRule>
  </conditionalFormatting>
  <conditionalFormatting sqref="E9">
    <cfRule type="cellIs" dxfId="2" priority="7" stopIfTrue="1" operator="lessThanOrEqual">
      <formula>0</formula>
    </cfRule>
  </conditionalFormatting>
  <conditionalFormatting sqref="E40">
    <cfRule type="cellIs" dxfId="1" priority="2" stopIfTrue="1" operator="lessThanOrEqual">
      <formula>0</formula>
    </cfRule>
  </conditionalFormatting>
  <conditionalFormatting sqref="E40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29" activePane="bottomRight" state="frozen"/>
      <selection pane="topRight" activeCell="B1" sqref="B1"/>
      <selection pane="bottomLeft" activeCell="A4" sqref="A4"/>
      <selection pane="bottomRight" activeCell="M48" sqref="M48"/>
    </sheetView>
  </sheetViews>
  <sheetFormatPr baseColWidth="10" defaultColWidth="11.42578125" defaultRowHeight="15" x14ac:dyDescent="0.3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 x14ac:dyDescent="0.35">
      <c r="F1" s="296" t="s">
        <v>57</v>
      </c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  <c r="Y1" s="296"/>
      <c r="Z1" s="296"/>
    </row>
    <row r="2" spans="1:31" ht="41.25" customHeight="1" thickBot="1" x14ac:dyDescent="0.4">
      <c r="Q2" s="301">
        <v>803</v>
      </c>
      <c r="R2" s="302"/>
      <c r="S2" s="303"/>
      <c r="T2" s="304">
        <v>519</v>
      </c>
      <c r="U2" s="302"/>
      <c r="V2" s="303"/>
      <c r="W2" s="304">
        <v>800</v>
      </c>
      <c r="X2" s="302"/>
      <c r="Y2" s="303"/>
      <c r="Z2" s="304">
        <v>802</v>
      </c>
      <c r="AA2" s="302"/>
      <c r="AB2" s="305"/>
      <c r="AC2" s="36"/>
    </row>
    <row r="3" spans="1:31" s="128" customFormat="1" ht="50.25" customHeight="1" x14ac:dyDescent="0.3">
      <c r="A3" s="117"/>
      <c r="B3" s="118" t="s">
        <v>58</v>
      </c>
      <c r="C3" s="119" t="s">
        <v>59</v>
      </c>
      <c r="D3" s="118" t="s">
        <v>60</v>
      </c>
      <c r="E3" s="119" t="s">
        <v>61</v>
      </c>
      <c r="F3" s="118" t="s">
        <v>62</v>
      </c>
      <c r="G3" s="119" t="s">
        <v>63</v>
      </c>
      <c r="H3" s="118" t="s">
        <v>64</v>
      </c>
      <c r="I3" s="119" t="s">
        <v>65</v>
      </c>
      <c r="J3" s="120" t="s">
        <v>66</v>
      </c>
      <c r="K3" s="120" t="s">
        <v>67</v>
      </c>
      <c r="L3" s="120" t="s">
        <v>68</v>
      </c>
      <c r="M3" s="120" t="s">
        <v>69</v>
      </c>
      <c r="N3" s="120" t="s">
        <v>70</v>
      </c>
      <c r="O3" s="121" t="s">
        <v>71</v>
      </c>
      <c r="P3" s="121" t="s">
        <v>72</v>
      </c>
      <c r="Q3" s="122" t="s">
        <v>73</v>
      </c>
      <c r="R3" s="122" t="s">
        <v>74</v>
      </c>
      <c r="S3" s="122" t="s">
        <v>75</v>
      </c>
      <c r="T3" s="123" t="s">
        <v>76</v>
      </c>
      <c r="U3" s="124" t="s">
        <v>74</v>
      </c>
      <c r="V3" s="123" t="s">
        <v>75</v>
      </c>
      <c r="W3" s="123" t="s">
        <v>77</v>
      </c>
      <c r="X3" s="123" t="s">
        <v>74</v>
      </c>
      <c r="Y3" s="123" t="s">
        <v>75</v>
      </c>
      <c r="Z3" s="123" t="s">
        <v>78</v>
      </c>
      <c r="AA3" s="123" t="s">
        <v>74</v>
      </c>
      <c r="AB3" s="125" t="s">
        <v>75</v>
      </c>
      <c r="AC3" s="126" t="s">
        <v>79</v>
      </c>
      <c r="AD3" s="127" t="s">
        <v>80</v>
      </c>
      <c r="AE3" s="127" t="s">
        <v>81</v>
      </c>
    </row>
    <row r="4" spans="1:31" ht="32.25" customHeight="1" x14ac:dyDescent="0.3">
      <c r="A4" s="40">
        <v>44713</v>
      </c>
      <c r="B4" s="41">
        <v>84</v>
      </c>
      <c r="C4" s="39">
        <f t="shared" ref="C4" si="0">IF(AC4&gt;0,((B4-R4)+(S4-B5)),IF(B5=0, ,(B4-B5)))</f>
        <v>3</v>
      </c>
      <c r="D4" s="41">
        <v>85</v>
      </c>
      <c r="E4" s="39">
        <f t="shared" ref="E4" si="1">IF(AC4&gt;0,((D4-U4)+(V4-D5)),IF(D5=0, ,(D4-D5)))</f>
        <v>2</v>
      </c>
      <c r="F4" s="41">
        <v>85</v>
      </c>
      <c r="G4" s="39">
        <f t="shared" ref="G4" si="2">IF(AC4&gt;0,((F4-X4)+(Y4-F5)),IF(F5=0, ,(F4-F5)))</f>
        <v>0</v>
      </c>
      <c r="H4" s="41">
        <v>85</v>
      </c>
      <c r="I4" s="39">
        <f>IF(AC4&gt;0,((H4-AA4)+(AB4-H5)),IF(H5=0, ,(H4-H5)))</f>
        <v>0</v>
      </c>
      <c r="J4" s="39">
        <f>B4+D4+F4+H4</f>
        <v>339</v>
      </c>
      <c r="K4" s="39">
        <f>J4/4</f>
        <v>84.75</v>
      </c>
      <c r="L4" s="39">
        <f>IF(AC4&gt;0,((K4-AD4)+(AE4-K5)),IF(K5=0, ,(K4-K5)))</f>
        <v>1.25</v>
      </c>
      <c r="M4" s="146">
        <f t="shared" ref="M4:M7" si="3">6049*4</f>
        <v>24196</v>
      </c>
      <c r="N4" s="39">
        <f>L4*M4/100</f>
        <v>302.45</v>
      </c>
      <c r="O4" s="164">
        <f>N4*0.529</f>
        <v>159.99605</v>
      </c>
      <c r="P4" s="42">
        <f>O4*11.77</f>
        <v>1883.1535084999998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 x14ac:dyDescent="0.3">
      <c r="A5" s="40">
        <v>44714</v>
      </c>
      <c r="B5" s="41">
        <v>81</v>
      </c>
      <c r="C5" s="39">
        <f t="shared" ref="C5:C35" si="7">IF(AC5&gt;0,((B5-R5)+(S5-B6)),IF(B6=0, ,(B5-B6)))</f>
        <v>2</v>
      </c>
      <c r="D5" s="41">
        <v>83</v>
      </c>
      <c r="E5" s="39">
        <f t="shared" ref="E5:E35" si="8">IF(AC5&gt;0,((D5-U5)+(V5-D6)),IF(D6=0, ,(D5-D6)))</f>
        <v>3</v>
      </c>
      <c r="F5" s="41">
        <v>85</v>
      </c>
      <c r="G5" s="39">
        <f t="shared" ref="G5:G35" si="9">IF(AC5&gt;0,((F5-X5)+(Y5-F6)),IF(F6=0, ,(F5-F6)))</f>
        <v>2</v>
      </c>
      <c r="H5" s="41">
        <v>85</v>
      </c>
      <c r="I5" s="39">
        <f>IF(AC5&gt;0,((H5-AA5)+(AB5-H6)),IF(H6=0, ,(H5-H6)))</f>
        <v>2</v>
      </c>
      <c r="J5" s="39">
        <f>B5+D5+F5+H5</f>
        <v>334</v>
      </c>
      <c r="K5" s="39">
        <f>J5/4</f>
        <v>83.5</v>
      </c>
      <c r="L5" s="39">
        <f>IF(AC5&gt;0,((K5-AD5)+(AE5-K6)),IF(K6=0, ,(K5-K6)))</f>
        <v>2.25</v>
      </c>
      <c r="M5" s="146">
        <f t="shared" si="3"/>
        <v>24196</v>
      </c>
      <c r="N5" s="39">
        <f>L5*M5/100</f>
        <v>544.41</v>
      </c>
      <c r="O5" s="164">
        <f t="shared" ref="O5:O34" si="10">N5*0.529</f>
        <v>287.99288999999999</v>
      </c>
      <c r="P5" s="42">
        <f t="shared" ref="P5:P33" si="11">O5*11.77</f>
        <v>3389.6763152999997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 x14ac:dyDescent="0.3">
      <c r="A6" s="40">
        <v>44715</v>
      </c>
      <c r="B6" s="41">
        <v>79</v>
      </c>
      <c r="C6" s="39">
        <f t="shared" si="7"/>
        <v>3</v>
      </c>
      <c r="D6" s="41">
        <v>80</v>
      </c>
      <c r="E6" s="39">
        <f t="shared" si="8"/>
        <v>1</v>
      </c>
      <c r="F6" s="41">
        <v>83</v>
      </c>
      <c r="G6" s="39">
        <f t="shared" si="9"/>
        <v>3</v>
      </c>
      <c r="H6" s="41">
        <v>83</v>
      </c>
      <c r="I6" s="39">
        <f t="shared" ref="I6:I36" si="12">IF(AC6&gt;0,((H6-AA6)+(AB6-H7)),IF(H7=0, ,(H6-H7)))</f>
        <v>3</v>
      </c>
      <c r="J6" s="39">
        <f t="shared" ref="J6:J42" si="13">B6+D6+F6+H6</f>
        <v>325</v>
      </c>
      <c r="K6" s="39">
        <f t="shared" ref="K6:K42" si="14">J6/4</f>
        <v>81.25</v>
      </c>
      <c r="L6" s="39">
        <f t="shared" ref="L6:L19" si="15">IF(AC6&gt;0,((K6-AD6)+(AE6-K7)),IF(K7=0, ,(K6-K7)))</f>
        <v>2.5</v>
      </c>
      <c r="M6" s="146">
        <f t="shared" si="3"/>
        <v>24196</v>
      </c>
      <c r="N6" s="39">
        <f t="shared" ref="N6:N42" si="16">L6*M6/100</f>
        <v>604.9</v>
      </c>
      <c r="O6" s="164">
        <f t="shared" si="10"/>
        <v>319.99209999999999</v>
      </c>
      <c r="P6" s="42">
        <f t="shared" si="11"/>
        <v>3766.3070169999996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 x14ac:dyDescent="0.3">
      <c r="A7" s="40">
        <v>44716</v>
      </c>
      <c r="B7" s="41">
        <v>76</v>
      </c>
      <c r="C7" s="39">
        <f t="shared" si="7"/>
        <v>4</v>
      </c>
      <c r="D7" s="41">
        <v>79</v>
      </c>
      <c r="E7" s="39">
        <f t="shared" si="8"/>
        <v>1</v>
      </c>
      <c r="F7" s="41">
        <v>80</v>
      </c>
      <c r="G7" s="39">
        <f t="shared" si="9"/>
        <v>3</v>
      </c>
      <c r="H7" s="41">
        <v>80</v>
      </c>
      <c r="I7" s="39">
        <f t="shared" si="12"/>
        <v>3</v>
      </c>
      <c r="J7" s="39">
        <f t="shared" si="13"/>
        <v>315</v>
      </c>
      <c r="K7" s="39">
        <f t="shared" si="14"/>
        <v>78.75</v>
      </c>
      <c r="L7" s="39">
        <f t="shared" si="15"/>
        <v>2.75</v>
      </c>
      <c r="M7" s="146">
        <f t="shared" si="3"/>
        <v>24196</v>
      </c>
      <c r="N7" s="39">
        <f t="shared" si="16"/>
        <v>665.39</v>
      </c>
      <c r="O7" s="164">
        <f t="shared" si="10"/>
        <v>351.99131</v>
      </c>
      <c r="P7" s="42">
        <f t="shared" si="11"/>
        <v>4142.9377187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 x14ac:dyDescent="0.3">
      <c r="A8" s="40">
        <v>44717</v>
      </c>
      <c r="B8" s="41">
        <v>72</v>
      </c>
      <c r="C8" s="39">
        <f t="shared" si="7"/>
        <v>1</v>
      </c>
      <c r="D8" s="41">
        <v>78</v>
      </c>
      <c r="E8" s="39">
        <f t="shared" si="8"/>
        <v>4</v>
      </c>
      <c r="F8" s="41">
        <v>77</v>
      </c>
      <c r="G8" s="39">
        <f t="shared" si="9"/>
        <v>2</v>
      </c>
      <c r="H8" s="41">
        <v>77</v>
      </c>
      <c r="I8" s="39">
        <f t="shared" si="12"/>
        <v>2</v>
      </c>
      <c r="J8" s="39">
        <f t="shared" si="13"/>
        <v>304</v>
      </c>
      <c r="K8" s="39">
        <f t="shared" si="14"/>
        <v>76</v>
      </c>
      <c r="L8" s="39">
        <f t="shared" si="15"/>
        <v>2.25</v>
      </c>
      <c r="M8" s="146">
        <f>6049*4</f>
        <v>24196</v>
      </c>
      <c r="N8" s="39">
        <f t="shared" si="16"/>
        <v>544.41</v>
      </c>
      <c r="O8" s="164">
        <f t="shared" si="10"/>
        <v>287.99288999999999</v>
      </c>
      <c r="P8" s="42">
        <f t="shared" si="11"/>
        <v>3389.6763152999997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 x14ac:dyDescent="0.3">
      <c r="A9" s="40">
        <v>44718</v>
      </c>
      <c r="B9" s="41">
        <v>71</v>
      </c>
      <c r="C9" s="39">
        <f t="shared" si="7"/>
        <v>1</v>
      </c>
      <c r="D9" s="41">
        <v>74</v>
      </c>
      <c r="E9" s="39">
        <f t="shared" si="8"/>
        <v>3</v>
      </c>
      <c r="F9" s="41">
        <v>75</v>
      </c>
      <c r="G9" s="39">
        <f t="shared" si="9"/>
        <v>0</v>
      </c>
      <c r="H9" s="41">
        <v>75</v>
      </c>
      <c r="I9" s="39">
        <f t="shared" si="12"/>
        <v>0</v>
      </c>
      <c r="J9" s="39">
        <f t="shared" si="13"/>
        <v>295</v>
      </c>
      <c r="K9" s="39">
        <f t="shared" si="14"/>
        <v>73.75</v>
      </c>
      <c r="L9" s="39">
        <f t="shared" si="15"/>
        <v>1</v>
      </c>
      <c r="M9" s="146">
        <f t="shared" ref="M9:M42" si="17">6049*4</f>
        <v>24196</v>
      </c>
      <c r="N9" s="39">
        <f t="shared" si="16"/>
        <v>241.96</v>
      </c>
      <c r="O9" s="164">
        <f t="shared" si="10"/>
        <v>127.99684000000001</v>
      </c>
      <c r="P9" s="42">
        <f t="shared" si="11"/>
        <v>1506.5228068000001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 x14ac:dyDescent="0.3">
      <c r="A10" s="40">
        <v>44719</v>
      </c>
      <c r="B10" s="41">
        <v>70</v>
      </c>
      <c r="C10" s="39">
        <f t="shared" si="7"/>
        <v>4</v>
      </c>
      <c r="D10" s="41">
        <v>71</v>
      </c>
      <c r="E10" s="39">
        <f t="shared" si="8"/>
        <v>1</v>
      </c>
      <c r="F10" s="41">
        <v>75</v>
      </c>
      <c r="G10" s="39">
        <f t="shared" si="9"/>
        <v>3</v>
      </c>
      <c r="H10" s="41">
        <v>75</v>
      </c>
      <c r="I10" s="39">
        <f t="shared" si="12"/>
        <v>3</v>
      </c>
      <c r="J10" s="39">
        <f t="shared" si="13"/>
        <v>291</v>
      </c>
      <c r="K10" s="39">
        <f t="shared" si="14"/>
        <v>72.75</v>
      </c>
      <c r="L10" s="39">
        <f t="shared" si="15"/>
        <v>2.75</v>
      </c>
      <c r="M10" s="146">
        <f t="shared" si="17"/>
        <v>24196</v>
      </c>
      <c r="N10" s="39">
        <f t="shared" si="16"/>
        <v>665.39</v>
      </c>
      <c r="O10" s="164">
        <f t="shared" si="10"/>
        <v>351.99131</v>
      </c>
      <c r="P10" s="42">
        <f t="shared" si="11"/>
        <v>4142.9377187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 x14ac:dyDescent="0.3">
      <c r="A11" s="40">
        <v>44720</v>
      </c>
      <c r="B11" s="41">
        <v>66</v>
      </c>
      <c r="C11" s="39">
        <f t="shared" si="7"/>
        <v>1</v>
      </c>
      <c r="D11" s="41">
        <v>70</v>
      </c>
      <c r="E11" s="39">
        <f t="shared" si="8"/>
        <v>2</v>
      </c>
      <c r="F11" s="41">
        <v>72</v>
      </c>
      <c r="G11" s="39">
        <f t="shared" si="9"/>
        <v>2</v>
      </c>
      <c r="H11" s="41">
        <v>72</v>
      </c>
      <c r="I11" s="39">
        <f t="shared" si="12"/>
        <v>2</v>
      </c>
      <c r="J11" s="39">
        <f t="shared" si="13"/>
        <v>280</v>
      </c>
      <c r="K11" s="39">
        <f t="shared" si="14"/>
        <v>70</v>
      </c>
      <c r="L11" s="39">
        <f t="shared" si="15"/>
        <v>1.75</v>
      </c>
      <c r="M11" s="146">
        <f t="shared" si="17"/>
        <v>24196</v>
      </c>
      <c r="N11" s="39">
        <f t="shared" si="16"/>
        <v>423.43</v>
      </c>
      <c r="O11" s="164">
        <f t="shared" si="10"/>
        <v>223.99447000000001</v>
      </c>
      <c r="P11" s="42">
        <f t="shared" si="11"/>
        <v>2636.4149118999999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 x14ac:dyDescent="0.3">
      <c r="A12" s="40">
        <v>44721</v>
      </c>
      <c r="B12" s="41">
        <v>65</v>
      </c>
      <c r="C12" s="39">
        <f t="shared" si="7"/>
        <v>2</v>
      </c>
      <c r="D12" s="41">
        <v>68</v>
      </c>
      <c r="E12" s="39">
        <f t="shared" si="8"/>
        <v>3</v>
      </c>
      <c r="F12" s="41">
        <v>70</v>
      </c>
      <c r="G12" s="39">
        <f t="shared" si="9"/>
        <v>2</v>
      </c>
      <c r="H12" s="41">
        <v>70</v>
      </c>
      <c r="I12" s="39">
        <f t="shared" si="12"/>
        <v>2</v>
      </c>
      <c r="J12" s="39">
        <f t="shared" si="13"/>
        <v>273</v>
      </c>
      <c r="K12" s="39">
        <f t="shared" si="14"/>
        <v>68.25</v>
      </c>
      <c r="L12" s="39">
        <f t="shared" si="15"/>
        <v>2.25</v>
      </c>
      <c r="M12" s="146">
        <f t="shared" si="17"/>
        <v>24196</v>
      </c>
      <c r="N12" s="39">
        <f t="shared" si="16"/>
        <v>544.41</v>
      </c>
      <c r="O12" s="164">
        <f t="shared" si="10"/>
        <v>287.99288999999999</v>
      </c>
      <c r="P12" s="42">
        <f t="shared" si="11"/>
        <v>3389.6763152999997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 x14ac:dyDescent="0.3">
      <c r="A13" s="40">
        <v>44722</v>
      </c>
      <c r="B13" s="41">
        <v>63</v>
      </c>
      <c r="C13" s="39">
        <f t="shared" si="7"/>
        <v>3</v>
      </c>
      <c r="D13" s="41">
        <v>65</v>
      </c>
      <c r="E13" s="39">
        <f t="shared" si="8"/>
        <v>3</v>
      </c>
      <c r="F13" s="41">
        <v>68</v>
      </c>
      <c r="G13" s="39">
        <f t="shared" si="9"/>
        <v>3</v>
      </c>
      <c r="H13" s="41">
        <v>68</v>
      </c>
      <c r="I13" s="39">
        <f t="shared" si="12"/>
        <v>3</v>
      </c>
      <c r="J13" s="39">
        <f t="shared" si="13"/>
        <v>264</v>
      </c>
      <c r="K13" s="39">
        <f t="shared" si="14"/>
        <v>66</v>
      </c>
      <c r="L13" s="39">
        <f t="shared" si="15"/>
        <v>3</v>
      </c>
      <c r="M13" s="146">
        <f t="shared" si="17"/>
        <v>24196</v>
      </c>
      <c r="N13" s="39">
        <f t="shared" si="16"/>
        <v>725.88</v>
      </c>
      <c r="O13" s="164">
        <f t="shared" si="10"/>
        <v>383.99052</v>
      </c>
      <c r="P13" s="42">
        <f t="shared" si="11"/>
        <v>4519.5684203999999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 x14ac:dyDescent="0.3">
      <c r="A14" s="40">
        <v>44723</v>
      </c>
      <c r="B14" s="41">
        <v>60</v>
      </c>
      <c r="C14" s="39">
        <f t="shared" si="7"/>
        <v>4</v>
      </c>
      <c r="D14" s="41">
        <v>62</v>
      </c>
      <c r="E14" s="39">
        <f t="shared" si="8"/>
        <v>5</v>
      </c>
      <c r="F14" s="41">
        <v>65</v>
      </c>
      <c r="G14" s="39">
        <f t="shared" si="9"/>
        <v>2</v>
      </c>
      <c r="H14" s="41">
        <v>65</v>
      </c>
      <c r="I14" s="39">
        <f>IF(AC14&gt;0,((H14-AA14)+(AB14-H15)),IF(H15=0, ,(H14-H15)))</f>
        <v>2</v>
      </c>
      <c r="J14" s="39">
        <f t="shared" si="13"/>
        <v>252</v>
      </c>
      <c r="K14" s="39">
        <f t="shared" si="14"/>
        <v>63</v>
      </c>
      <c r="L14" s="39">
        <f t="shared" si="15"/>
        <v>3.25</v>
      </c>
      <c r="M14" s="146">
        <f t="shared" si="17"/>
        <v>24196</v>
      </c>
      <c r="N14" s="39">
        <f t="shared" si="16"/>
        <v>786.37</v>
      </c>
      <c r="O14" s="164">
        <f t="shared" si="10"/>
        <v>415.98973000000001</v>
      </c>
      <c r="P14" s="42">
        <f t="shared" si="11"/>
        <v>4896.1991220999998</v>
      </c>
      <c r="Q14" s="39">
        <v>2136</v>
      </c>
      <c r="R14" s="39">
        <v>56</v>
      </c>
      <c r="S14" s="39">
        <v>85</v>
      </c>
      <c r="T14" s="39">
        <v>2110</v>
      </c>
      <c r="U14" s="39">
        <v>57</v>
      </c>
      <c r="V14" s="39">
        <v>85</v>
      </c>
      <c r="W14" s="39">
        <v>1776</v>
      </c>
      <c r="X14" s="39">
        <v>63</v>
      </c>
      <c r="Y14" s="39">
        <v>85</v>
      </c>
      <c r="Z14" s="39">
        <v>1751</v>
      </c>
      <c r="AA14" s="39">
        <v>63</v>
      </c>
      <c r="AB14" s="39">
        <v>85</v>
      </c>
      <c r="AC14" s="39">
        <f>Q14+T14+W14+Z14</f>
        <v>7773</v>
      </c>
      <c r="AD14" s="38">
        <f>(R14+U14+X14+AA14)/4</f>
        <v>59.75</v>
      </c>
      <c r="AE14" s="38">
        <f>(S14+V14+Y14+AB14)/4</f>
        <v>85</v>
      </c>
    </row>
    <row r="15" spans="1:31" ht="32.25" customHeight="1" x14ac:dyDescent="0.3">
      <c r="A15" s="40">
        <v>44724</v>
      </c>
      <c r="B15" s="41">
        <v>85</v>
      </c>
      <c r="C15" s="39">
        <f t="shared" si="7"/>
        <v>2</v>
      </c>
      <c r="D15" s="41">
        <v>85</v>
      </c>
      <c r="E15" s="39">
        <f t="shared" si="8"/>
        <v>3</v>
      </c>
      <c r="F15" s="41">
        <v>85</v>
      </c>
      <c r="G15" s="39">
        <f t="shared" si="9"/>
        <v>0</v>
      </c>
      <c r="H15" s="41">
        <v>85</v>
      </c>
      <c r="I15" s="39">
        <f>IF(AC15&gt;0,((H15-AA15)+(AB15-H16)),IF(H16=0, ,(H15-H16)))</f>
        <v>0</v>
      </c>
      <c r="J15" s="39">
        <f t="shared" si="13"/>
        <v>340</v>
      </c>
      <c r="K15" s="39">
        <f t="shared" si="14"/>
        <v>85</v>
      </c>
      <c r="L15" s="39">
        <f t="shared" si="15"/>
        <v>1.25</v>
      </c>
      <c r="M15" s="146">
        <f t="shared" si="17"/>
        <v>24196</v>
      </c>
      <c r="N15" s="39">
        <f t="shared" si="16"/>
        <v>302.45</v>
      </c>
      <c r="O15" s="164">
        <f t="shared" si="10"/>
        <v>159.99605</v>
      </c>
      <c r="P15" s="42">
        <f t="shared" si="11"/>
        <v>1883.1535084999998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 x14ac:dyDescent="0.3">
      <c r="A16" s="40">
        <v>44725</v>
      </c>
      <c r="B16" s="41">
        <v>83</v>
      </c>
      <c r="C16" s="39">
        <f t="shared" si="7"/>
        <v>0</v>
      </c>
      <c r="D16" s="41">
        <v>82</v>
      </c>
      <c r="E16" s="39">
        <f t="shared" si="8"/>
        <v>2</v>
      </c>
      <c r="F16" s="41">
        <v>85</v>
      </c>
      <c r="G16" s="39">
        <f t="shared" si="9"/>
        <v>0</v>
      </c>
      <c r="H16" s="41">
        <v>85</v>
      </c>
      <c r="I16" s="39">
        <f t="shared" si="12"/>
        <v>1</v>
      </c>
      <c r="J16" s="39">
        <f t="shared" si="13"/>
        <v>335</v>
      </c>
      <c r="K16" s="39">
        <f t="shared" si="14"/>
        <v>83.75</v>
      </c>
      <c r="L16" s="39">
        <f t="shared" si="15"/>
        <v>0.75</v>
      </c>
      <c r="M16" s="146">
        <f t="shared" si="17"/>
        <v>24196</v>
      </c>
      <c r="N16" s="39">
        <f t="shared" si="16"/>
        <v>181.47</v>
      </c>
      <c r="O16" s="164">
        <f t="shared" si="10"/>
        <v>95.997630000000001</v>
      </c>
      <c r="P16" s="42">
        <f t="shared" si="11"/>
        <v>1129.8921051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 x14ac:dyDescent="0.3">
      <c r="A17" s="40">
        <v>44726</v>
      </c>
      <c r="B17" s="41">
        <v>83</v>
      </c>
      <c r="C17" s="39">
        <f t="shared" si="7"/>
        <v>2</v>
      </c>
      <c r="D17" s="41">
        <v>80</v>
      </c>
      <c r="E17" s="39">
        <f t="shared" si="8"/>
        <v>0</v>
      </c>
      <c r="F17" s="41">
        <v>85</v>
      </c>
      <c r="G17" s="39">
        <f t="shared" si="9"/>
        <v>4</v>
      </c>
      <c r="H17" s="41">
        <v>84</v>
      </c>
      <c r="I17" s="39">
        <f t="shared" si="12"/>
        <v>3</v>
      </c>
      <c r="J17" s="39">
        <f t="shared" si="13"/>
        <v>332</v>
      </c>
      <c r="K17" s="39">
        <f t="shared" si="14"/>
        <v>83</v>
      </c>
      <c r="L17" s="39">
        <f t="shared" si="15"/>
        <v>2.25</v>
      </c>
      <c r="M17" s="146">
        <f t="shared" si="17"/>
        <v>24196</v>
      </c>
      <c r="N17" s="39">
        <f t="shared" si="16"/>
        <v>544.41</v>
      </c>
      <c r="O17" s="164">
        <f t="shared" si="10"/>
        <v>287.99288999999999</v>
      </c>
      <c r="P17" s="42">
        <f t="shared" si="11"/>
        <v>3389.6763152999997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 x14ac:dyDescent="0.3">
      <c r="A18" s="40">
        <v>44727</v>
      </c>
      <c r="B18" s="41">
        <v>81</v>
      </c>
      <c r="C18" s="39">
        <f t="shared" si="7"/>
        <v>1</v>
      </c>
      <c r="D18" s="41">
        <v>80</v>
      </c>
      <c r="E18" s="39">
        <f t="shared" si="8"/>
        <v>2</v>
      </c>
      <c r="F18" s="41">
        <v>81</v>
      </c>
      <c r="G18" s="39">
        <f t="shared" si="9"/>
        <v>1</v>
      </c>
      <c r="H18" s="41">
        <v>81</v>
      </c>
      <c r="I18" s="39">
        <f t="shared" si="12"/>
        <v>1</v>
      </c>
      <c r="J18" s="39">
        <f t="shared" si="13"/>
        <v>323</v>
      </c>
      <c r="K18" s="39">
        <f t="shared" si="14"/>
        <v>80.75</v>
      </c>
      <c r="L18" s="39">
        <f t="shared" si="15"/>
        <v>1.25</v>
      </c>
      <c r="M18" s="146">
        <f t="shared" si="17"/>
        <v>24196</v>
      </c>
      <c r="N18" s="39">
        <f t="shared" si="16"/>
        <v>302.45</v>
      </c>
      <c r="O18" s="164">
        <f t="shared" si="10"/>
        <v>159.99605</v>
      </c>
      <c r="P18" s="42">
        <f t="shared" si="11"/>
        <v>1883.1535084999998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 x14ac:dyDescent="0.3">
      <c r="A19" s="40">
        <v>44728</v>
      </c>
      <c r="B19" s="41">
        <v>80</v>
      </c>
      <c r="C19" s="39">
        <f t="shared" si="7"/>
        <v>2</v>
      </c>
      <c r="D19" s="41">
        <v>78</v>
      </c>
      <c r="E19" s="39">
        <f t="shared" si="8"/>
        <v>2</v>
      </c>
      <c r="F19" s="41">
        <v>80</v>
      </c>
      <c r="G19" s="39">
        <f t="shared" si="9"/>
        <v>2</v>
      </c>
      <c r="H19" s="41">
        <v>80</v>
      </c>
      <c r="I19" s="39">
        <f t="shared" si="12"/>
        <v>2</v>
      </c>
      <c r="J19" s="39">
        <f t="shared" si="13"/>
        <v>318</v>
      </c>
      <c r="K19" s="39">
        <f t="shared" si="14"/>
        <v>79.5</v>
      </c>
      <c r="L19" s="39">
        <f t="shared" si="15"/>
        <v>2</v>
      </c>
      <c r="M19" s="146">
        <f t="shared" si="17"/>
        <v>24196</v>
      </c>
      <c r="N19" s="39">
        <f t="shared" si="16"/>
        <v>483.92</v>
      </c>
      <c r="O19" s="164">
        <f t="shared" si="10"/>
        <v>255.99368000000001</v>
      </c>
      <c r="P19" s="42">
        <f t="shared" si="11"/>
        <v>3013.0456136000003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 x14ac:dyDescent="0.3">
      <c r="A20" s="40">
        <v>44729</v>
      </c>
      <c r="B20" s="41">
        <v>78</v>
      </c>
      <c r="C20" s="39">
        <f t="shared" si="7"/>
        <v>3</v>
      </c>
      <c r="D20" s="41">
        <v>76</v>
      </c>
      <c r="E20" s="39">
        <f t="shared" si="8"/>
        <v>3</v>
      </c>
      <c r="F20" s="41">
        <v>78</v>
      </c>
      <c r="G20" s="39">
        <f t="shared" si="9"/>
        <v>3</v>
      </c>
      <c r="H20" s="41">
        <v>78</v>
      </c>
      <c r="I20" s="39">
        <f t="shared" si="12"/>
        <v>2</v>
      </c>
      <c r="J20" s="39">
        <f t="shared" si="13"/>
        <v>310</v>
      </c>
      <c r="K20" s="39">
        <f t="shared" si="14"/>
        <v>77.5</v>
      </c>
      <c r="L20" s="39">
        <f t="shared" ref="L20:L42" si="18">IF(AC20&gt;0,((K20-AD20)+(AE20-K21)),IF(K21=0, ,(K20-K21)))</f>
        <v>2.75</v>
      </c>
      <c r="M20" s="146">
        <f t="shared" si="17"/>
        <v>24196</v>
      </c>
      <c r="N20" s="39">
        <f t="shared" si="16"/>
        <v>665.39</v>
      </c>
      <c r="O20" s="164">
        <f t="shared" si="10"/>
        <v>351.99131</v>
      </c>
      <c r="P20" s="42">
        <f t="shared" si="11"/>
        <v>4142.9377187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 x14ac:dyDescent="0.3">
      <c r="A21" s="40">
        <v>44730</v>
      </c>
      <c r="B21" s="41">
        <v>75</v>
      </c>
      <c r="C21" s="39">
        <f t="shared" si="7"/>
        <v>3</v>
      </c>
      <c r="D21" s="41">
        <v>73</v>
      </c>
      <c r="E21" s="39">
        <f t="shared" si="8"/>
        <v>3</v>
      </c>
      <c r="F21" s="41">
        <v>75</v>
      </c>
      <c r="G21" s="39">
        <f t="shared" si="9"/>
        <v>0</v>
      </c>
      <c r="H21" s="41">
        <v>76</v>
      </c>
      <c r="I21" s="39">
        <f t="shared" si="12"/>
        <v>1</v>
      </c>
      <c r="J21" s="39">
        <f t="shared" si="13"/>
        <v>299</v>
      </c>
      <c r="K21" s="39">
        <f t="shared" si="14"/>
        <v>74.75</v>
      </c>
      <c r="L21" s="39">
        <f>IF(AC21&gt;0,((K21-AD21)+(AE21-K22)),IF(K22=0, ,(K21-K22)))</f>
        <v>1.75</v>
      </c>
      <c r="M21" s="146">
        <f t="shared" si="17"/>
        <v>24196</v>
      </c>
      <c r="N21" s="39">
        <f t="shared" si="16"/>
        <v>423.43</v>
      </c>
      <c r="O21" s="164">
        <f t="shared" si="10"/>
        <v>223.99447000000001</v>
      </c>
      <c r="P21" s="42">
        <f t="shared" si="11"/>
        <v>2636.4149118999999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 x14ac:dyDescent="0.3">
      <c r="A22" s="40">
        <v>44731</v>
      </c>
      <c r="B22" s="41">
        <v>72</v>
      </c>
      <c r="C22" s="39">
        <f t="shared" si="7"/>
        <v>2</v>
      </c>
      <c r="D22" s="41">
        <v>70</v>
      </c>
      <c r="E22" s="39">
        <f t="shared" si="8"/>
        <v>1</v>
      </c>
      <c r="F22" s="41">
        <v>75</v>
      </c>
      <c r="G22" s="39">
        <f t="shared" si="9"/>
        <v>5</v>
      </c>
      <c r="H22" s="41">
        <v>75</v>
      </c>
      <c r="I22" s="39">
        <f t="shared" si="12"/>
        <v>5</v>
      </c>
      <c r="J22" s="39">
        <f t="shared" si="13"/>
        <v>292</v>
      </c>
      <c r="K22" s="39">
        <f t="shared" si="14"/>
        <v>73</v>
      </c>
      <c r="L22" s="39">
        <f>IF(AC22&gt;0,((K22-AD22)+(AE22-K23)),IF(K23=0, ,(K22-K23)))</f>
        <v>3.25</v>
      </c>
      <c r="M22" s="146">
        <f t="shared" si="17"/>
        <v>24196</v>
      </c>
      <c r="N22" s="39">
        <f t="shared" si="16"/>
        <v>786.37</v>
      </c>
      <c r="O22" s="164">
        <f t="shared" si="10"/>
        <v>415.98973000000001</v>
      </c>
      <c r="P22" s="42">
        <f t="shared" si="11"/>
        <v>4896.1991220999998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 x14ac:dyDescent="0.3">
      <c r="A23" s="40">
        <v>44732</v>
      </c>
      <c r="B23" s="41">
        <v>70</v>
      </c>
      <c r="C23" s="39">
        <f t="shared" si="7"/>
        <v>4</v>
      </c>
      <c r="D23" s="41">
        <v>69</v>
      </c>
      <c r="E23" s="39">
        <f t="shared" si="8"/>
        <v>4</v>
      </c>
      <c r="F23" s="41">
        <v>70</v>
      </c>
      <c r="G23" s="39">
        <f t="shared" si="9"/>
        <v>0</v>
      </c>
      <c r="H23" s="41">
        <v>70</v>
      </c>
      <c r="I23" s="39">
        <f t="shared" si="12"/>
        <v>0</v>
      </c>
      <c r="J23" s="39">
        <f t="shared" si="13"/>
        <v>279</v>
      </c>
      <c r="K23" s="39">
        <f t="shared" si="14"/>
        <v>69.75</v>
      </c>
      <c r="L23" s="39">
        <f t="shared" si="18"/>
        <v>2</v>
      </c>
      <c r="M23" s="146">
        <f t="shared" si="17"/>
        <v>24196</v>
      </c>
      <c r="N23" s="39">
        <f t="shared" si="16"/>
        <v>483.92</v>
      </c>
      <c r="O23" s="164">
        <f t="shared" si="10"/>
        <v>255.99368000000001</v>
      </c>
      <c r="P23" s="42">
        <f t="shared" si="11"/>
        <v>3013.0456136000003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 x14ac:dyDescent="0.3">
      <c r="A24" s="40">
        <v>44733</v>
      </c>
      <c r="B24" s="41">
        <v>66</v>
      </c>
      <c r="C24" s="39">
        <f t="shared" si="7"/>
        <v>2</v>
      </c>
      <c r="D24" s="41">
        <v>65</v>
      </c>
      <c r="E24" s="39">
        <f t="shared" si="8"/>
        <v>1</v>
      </c>
      <c r="F24" s="41">
        <v>70</v>
      </c>
      <c r="G24" s="39">
        <f t="shared" si="9"/>
        <v>2</v>
      </c>
      <c r="H24" s="41">
        <v>70</v>
      </c>
      <c r="I24" s="39">
        <f t="shared" si="12"/>
        <v>4</v>
      </c>
      <c r="J24" s="39">
        <f t="shared" si="13"/>
        <v>271</v>
      </c>
      <c r="K24" s="39">
        <f t="shared" si="14"/>
        <v>67.75</v>
      </c>
      <c r="L24" s="39">
        <f t="shared" si="18"/>
        <v>2.25</v>
      </c>
      <c r="M24" s="146">
        <f t="shared" si="17"/>
        <v>24196</v>
      </c>
      <c r="N24" s="39">
        <f t="shared" si="16"/>
        <v>544.41</v>
      </c>
      <c r="O24" s="164">
        <f t="shared" si="10"/>
        <v>287.99288999999999</v>
      </c>
      <c r="P24" s="42">
        <f t="shared" si="11"/>
        <v>3389.6763152999997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 x14ac:dyDescent="0.3">
      <c r="A25" s="40">
        <v>44734</v>
      </c>
      <c r="B25" s="41">
        <v>64</v>
      </c>
      <c r="C25" s="39">
        <f t="shared" si="7"/>
        <v>3</v>
      </c>
      <c r="D25" s="41">
        <v>64</v>
      </c>
      <c r="E25" s="39">
        <f t="shared" si="8"/>
        <v>4</v>
      </c>
      <c r="F25" s="41">
        <v>68</v>
      </c>
      <c r="G25" s="39">
        <f t="shared" si="9"/>
        <v>3</v>
      </c>
      <c r="H25" s="41">
        <v>66</v>
      </c>
      <c r="I25" s="39">
        <f t="shared" si="12"/>
        <v>1</v>
      </c>
      <c r="J25" s="39">
        <f t="shared" si="13"/>
        <v>262</v>
      </c>
      <c r="K25" s="39">
        <f t="shared" si="14"/>
        <v>65.5</v>
      </c>
      <c r="L25" s="39">
        <f t="shared" si="18"/>
        <v>2.75</v>
      </c>
      <c r="M25" s="146">
        <f t="shared" si="17"/>
        <v>24196</v>
      </c>
      <c r="N25" s="39">
        <f t="shared" si="16"/>
        <v>665.39</v>
      </c>
      <c r="O25" s="164">
        <f t="shared" si="10"/>
        <v>351.99131</v>
      </c>
      <c r="P25" s="42">
        <f t="shared" si="11"/>
        <v>4142.9377187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 x14ac:dyDescent="0.3">
      <c r="A26" s="40">
        <v>44735</v>
      </c>
      <c r="B26" s="41">
        <v>61</v>
      </c>
      <c r="C26" s="39">
        <f t="shared" si="7"/>
        <v>1</v>
      </c>
      <c r="D26" s="41">
        <v>60</v>
      </c>
      <c r="E26" s="39">
        <f t="shared" si="8"/>
        <v>1</v>
      </c>
      <c r="F26" s="41">
        <v>65</v>
      </c>
      <c r="G26" s="39">
        <f t="shared" si="9"/>
        <v>3</v>
      </c>
      <c r="H26" s="41">
        <v>65</v>
      </c>
      <c r="I26" s="39">
        <f t="shared" si="12"/>
        <v>3</v>
      </c>
      <c r="J26" s="39">
        <f t="shared" si="13"/>
        <v>251</v>
      </c>
      <c r="K26" s="39">
        <f t="shared" si="14"/>
        <v>62.75</v>
      </c>
      <c r="L26" s="39">
        <f t="shared" si="18"/>
        <v>2</v>
      </c>
      <c r="M26" s="146">
        <f t="shared" si="17"/>
        <v>24196</v>
      </c>
      <c r="N26" s="39">
        <f t="shared" si="16"/>
        <v>483.92</v>
      </c>
      <c r="O26" s="164">
        <f t="shared" si="10"/>
        <v>255.99368000000001</v>
      </c>
      <c r="P26" s="42">
        <f t="shared" si="11"/>
        <v>3013.0456136000003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 x14ac:dyDescent="0.3">
      <c r="A27" s="40">
        <v>44736</v>
      </c>
      <c r="B27" s="41">
        <v>60</v>
      </c>
      <c r="C27" s="39">
        <f t="shared" ref="C27" si="21">IF(AC27&gt;0,((B27-R27)+(S27-B28)),IF(B28=0, ,(B27-B28)))</f>
        <v>4</v>
      </c>
      <c r="D27" s="41">
        <v>59</v>
      </c>
      <c r="E27" s="39">
        <f t="shared" ref="E27" si="22">IF(AC27&gt;0,((D27-U27)+(V27-D28)),IF(D28=0, ,(D27-D28)))</f>
        <v>4</v>
      </c>
      <c r="F27" s="41">
        <v>62</v>
      </c>
      <c r="G27" s="39">
        <f t="shared" ref="G27" si="23">IF(AC27&gt;0,((F27-X27)+(Y27-F28)),IF(F28=0, ,(F27-F28)))</f>
        <v>2</v>
      </c>
      <c r="H27" s="41">
        <v>62</v>
      </c>
      <c r="I27" s="39">
        <f t="shared" si="12"/>
        <v>2</v>
      </c>
      <c r="J27" s="39">
        <f t="shared" si="13"/>
        <v>243</v>
      </c>
      <c r="K27" s="39">
        <f t="shared" si="14"/>
        <v>60.75</v>
      </c>
      <c r="L27" s="39">
        <f t="shared" si="18"/>
        <v>3</v>
      </c>
      <c r="M27" s="146">
        <f t="shared" si="17"/>
        <v>24196</v>
      </c>
      <c r="N27" s="39">
        <f t="shared" si="16"/>
        <v>725.88</v>
      </c>
      <c r="O27" s="164">
        <f t="shared" si="10"/>
        <v>383.99052</v>
      </c>
      <c r="P27" s="42">
        <f t="shared" si="11"/>
        <v>4519.5684203999999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 x14ac:dyDescent="0.3">
      <c r="A28" s="40">
        <v>44737</v>
      </c>
      <c r="B28" s="41">
        <v>56</v>
      </c>
      <c r="C28" s="39">
        <f t="shared" si="7"/>
        <v>1</v>
      </c>
      <c r="D28" s="41">
        <v>55</v>
      </c>
      <c r="E28" s="39">
        <f t="shared" si="8"/>
        <v>1</v>
      </c>
      <c r="F28" s="41">
        <v>60</v>
      </c>
      <c r="G28" s="39">
        <f t="shared" si="9"/>
        <v>1</v>
      </c>
      <c r="H28" s="41">
        <v>60</v>
      </c>
      <c r="I28" s="39">
        <f>IF(AC28&gt;0,((H28-AA28)+(AB28-H29)),IF(H29=0, ,(H28-H29)))</f>
        <v>1</v>
      </c>
      <c r="J28" s="39">
        <f t="shared" si="13"/>
        <v>231</v>
      </c>
      <c r="K28" s="39">
        <f t="shared" si="14"/>
        <v>57.75</v>
      </c>
      <c r="L28" s="39">
        <f t="shared" si="18"/>
        <v>1</v>
      </c>
      <c r="M28" s="146">
        <f t="shared" si="17"/>
        <v>24196</v>
      </c>
      <c r="N28" s="39">
        <f t="shared" si="16"/>
        <v>241.96</v>
      </c>
      <c r="O28" s="164">
        <f t="shared" si="10"/>
        <v>127.99684000000001</v>
      </c>
      <c r="P28" s="42">
        <f t="shared" si="11"/>
        <v>1506.5228068000001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 x14ac:dyDescent="0.3">
      <c r="A29" s="40">
        <v>44738</v>
      </c>
      <c r="B29" s="41">
        <v>55</v>
      </c>
      <c r="C29" s="39">
        <f t="shared" si="7"/>
        <v>1</v>
      </c>
      <c r="D29" s="41">
        <v>54</v>
      </c>
      <c r="E29" s="39">
        <f t="shared" si="8"/>
        <v>2</v>
      </c>
      <c r="F29" s="41">
        <v>59</v>
      </c>
      <c r="G29" s="39">
        <f t="shared" si="9"/>
        <v>0</v>
      </c>
      <c r="H29" s="41">
        <v>59</v>
      </c>
      <c r="I29" s="39">
        <f t="shared" si="12"/>
        <v>1</v>
      </c>
      <c r="J29" s="39">
        <f t="shared" si="13"/>
        <v>227</v>
      </c>
      <c r="K29" s="39">
        <f t="shared" si="14"/>
        <v>56.75</v>
      </c>
      <c r="L29" s="39">
        <f t="shared" si="18"/>
        <v>1</v>
      </c>
      <c r="M29" s="146">
        <f t="shared" si="17"/>
        <v>24196</v>
      </c>
      <c r="N29" s="39">
        <f t="shared" si="16"/>
        <v>241.96</v>
      </c>
      <c r="O29" s="164">
        <f t="shared" si="10"/>
        <v>127.99684000000001</v>
      </c>
      <c r="P29" s="42">
        <f t="shared" si="11"/>
        <v>1506.5228068000001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 x14ac:dyDescent="0.3">
      <c r="A30" s="40">
        <v>44739</v>
      </c>
      <c r="B30" s="41">
        <v>54</v>
      </c>
      <c r="C30" s="39">
        <f t="shared" si="7"/>
        <v>8</v>
      </c>
      <c r="D30" s="41">
        <v>52</v>
      </c>
      <c r="E30" s="39">
        <f t="shared" si="8"/>
        <v>2</v>
      </c>
      <c r="F30" s="41">
        <v>59</v>
      </c>
      <c r="G30" s="39">
        <f t="shared" si="9"/>
        <v>9</v>
      </c>
      <c r="H30" s="41">
        <v>58</v>
      </c>
      <c r="I30" s="39">
        <f t="shared" si="12"/>
        <v>6</v>
      </c>
      <c r="J30" s="39">
        <f t="shared" si="13"/>
        <v>223</v>
      </c>
      <c r="K30" s="39">
        <f t="shared" si="14"/>
        <v>55.75</v>
      </c>
      <c r="L30" s="39">
        <f t="shared" si="18"/>
        <v>6.25</v>
      </c>
      <c r="M30" s="146">
        <f t="shared" si="17"/>
        <v>24196</v>
      </c>
      <c r="N30" s="39">
        <f t="shared" si="16"/>
        <v>1512.25</v>
      </c>
      <c r="O30" s="164">
        <f t="shared" si="10"/>
        <v>799.98025000000007</v>
      </c>
      <c r="P30" s="42">
        <f t="shared" si="11"/>
        <v>9415.7675424999998</v>
      </c>
      <c r="Q30" s="39">
        <v>2902</v>
      </c>
      <c r="R30" s="39">
        <v>46</v>
      </c>
      <c r="S30" s="39">
        <v>85</v>
      </c>
      <c r="T30" s="39">
        <v>2898</v>
      </c>
      <c r="U30" s="39">
        <v>50</v>
      </c>
      <c r="V30" s="39">
        <v>85</v>
      </c>
      <c r="W30" s="39">
        <v>2736</v>
      </c>
      <c r="X30" s="39">
        <v>50</v>
      </c>
      <c r="Y30" s="39">
        <v>85</v>
      </c>
      <c r="Z30" s="39">
        <v>2680</v>
      </c>
      <c r="AA30" s="39">
        <v>52</v>
      </c>
      <c r="AB30" s="39">
        <v>85</v>
      </c>
      <c r="AC30" s="39">
        <f t="shared" si="20"/>
        <v>11216</v>
      </c>
      <c r="AD30" s="38">
        <f t="shared" si="19"/>
        <v>49.5</v>
      </c>
      <c r="AE30" s="38">
        <f t="shared" ref="AE30:AE42" si="24">(S30+V30+Y30+AB30)/4</f>
        <v>85</v>
      </c>
    </row>
    <row r="31" spans="1:31" ht="32.25" customHeight="1" x14ac:dyDescent="0.3">
      <c r="A31" s="40">
        <v>44740</v>
      </c>
      <c r="B31" s="41">
        <v>85</v>
      </c>
      <c r="C31" s="39">
        <f t="shared" si="7"/>
        <v>1</v>
      </c>
      <c r="D31" s="41">
        <v>85</v>
      </c>
      <c r="E31" s="39">
        <f t="shared" si="8"/>
        <v>0</v>
      </c>
      <c r="F31" s="41">
        <v>85</v>
      </c>
      <c r="G31" s="39">
        <f t="shared" si="9"/>
        <v>0</v>
      </c>
      <c r="H31" s="41">
        <v>85</v>
      </c>
      <c r="I31" s="39">
        <f t="shared" si="12"/>
        <v>0</v>
      </c>
      <c r="J31" s="39">
        <f t="shared" si="13"/>
        <v>340</v>
      </c>
      <c r="K31" s="39">
        <f t="shared" si="14"/>
        <v>85</v>
      </c>
      <c r="L31" s="39">
        <f t="shared" si="18"/>
        <v>0.25</v>
      </c>
      <c r="M31" s="146">
        <f t="shared" si="17"/>
        <v>24196</v>
      </c>
      <c r="N31" s="39">
        <f t="shared" si="16"/>
        <v>60.49</v>
      </c>
      <c r="O31" s="164">
        <f t="shared" si="10"/>
        <v>31.999210000000001</v>
      </c>
      <c r="P31" s="42">
        <f t="shared" si="11"/>
        <v>376.63070170000003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4"/>
        <v>0</v>
      </c>
    </row>
    <row r="32" spans="1:31" ht="32.25" customHeight="1" x14ac:dyDescent="0.3">
      <c r="A32" s="40">
        <v>44741</v>
      </c>
      <c r="B32" s="41">
        <v>84</v>
      </c>
      <c r="C32" s="39">
        <f t="shared" si="7"/>
        <v>2</v>
      </c>
      <c r="D32" s="41">
        <v>85</v>
      </c>
      <c r="E32" s="39">
        <f t="shared" si="8"/>
        <v>1</v>
      </c>
      <c r="F32" s="41">
        <v>85</v>
      </c>
      <c r="G32" s="39">
        <f t="shared" si="9"/>
        <v>0</v>
      </c>
      <c r="H32" s="41">
        <v>85</v>
      </c>
      <c r="I32" s="39">
        <f t="shared" si="12"/>
        <v>0</v>
      </c>
      <c r="J32" s="39">
        <f t="shared" si="13"/>
        <v>339</v>
      </c>
      <c r="K32" s="39">
        <f t="shared" si="14"/>
        <v>84.75</v>
      </c>
      <c r="L32" s="39">
        <f t="shared" si="18"/>
        <v>0.75</v>
      </c>
      <c r="M32" s="146">
        <f t="shared" si="17"/>
        <v>24196</v>
      </c>
      <c r="N32" s="39">
        <f t="shared" si="16"/>
        <v>181.47</v>
      </c>
      <c r="O32" s="164">
        <f t="shared" si="10"/>
        <v>95.997630000000001</v>
      </c>
      <c r="P32" s="42">
        <f t="shared" si="11"/>
        <v>1129.8921051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4"/>
        <v>0</v>
      </c>
    </row>
    <row r="33" spans="1:31" ht="32.25" customHeight="1" x14ac:dyDescent="0.3">
      <c r="A33" s="40">
        <v>44742</v>
      </c>
      <c r="B33" s="41">
        <v>82</v>
      </c>
      <c r="C33" s="39">
        <f t="shared" si="7"/>
        <v>1</v>
      </c>
      <c r="D33" s="41">
        <v>84</v>
      </c>
      <c r="E33" s="39">
        <f t="shared" si="8"/>
        <v>4</v>
      </c>
      <c r="F33" s="41">
        <v>85</v>
      </c>
      <c r="G33" s="39">
        <f t="shared" si="9"/>
        <v>3</v>
      </c>
      <c r="H33" s="41">
        <v>85</v>
      </c>
      <c r="I33" s="39">
        <f t="shared" si="12"/>
        <v>3</v>
      </c>
      <c r="J33" s="39">
        <f t="shared" si="13"/>
        <v>336</v>
      </c>
      <c r="K33" s="39">
        <f t="shared" si="14"/>
        <v>84</v>
      </c>
      <c r="L33" s="39">
        <f t="shared" si="18"/>
        <v>2.75</v>
      </c>
      <c r="M33" s="146">
        <f t="shared" si="17"/>
        <v>24196</v>
      </c>
      <c r="N33" s="39">
        <f t="shared" si="16"/>
        <v>665.39</v>
      </c>
      <c r="O33" s="164">
        <f t="shared" si="10"/>
        <v>351.99131</v>
      </c>
      <c r="P33" s="42">
        <f t="shared" si="11"/>
        <v>4142.9377187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4"/>
        <v>0</v>
      </c>
    </row>
    <row r="34" spans="1:31" ht="32.25" customHeight="1" x14ac:dyDescent="0.3">
      <c r="A34" s="40">
        <v>44743</v>
      </c>
      <c r="B34" s="41">
        <v>81</v>
      </c>
      <c r="C34" s="39">
        <f t="shared" si="7"/>
        <v>0</v>
      </c>
      <c r="D34" s="41">
        <v>80</v>
      </c>
      <c r="E34" s="39">
        <f t="shared" si="8"/>
        <v>0</v>
      </c>
      <c r="F34" s="41">
        <v>82</v>
      </c>
      <c r="G34" s="39">
        <f t="shared" si="9"/>
        <v>0</v>
      </c>
      <c r="H34" s="41">
        <v>82</v>
      </c>
      <c r="I34" s="39">
        <f t="shared" si="12"/>
        <v>0</v>
      </c>
      <c r="J34" s="39">
        <f>B34+D34+F34+H34</f>
        <v>325</v>
      </c>
      <c r="K34" s="39">
        <f>J34/4</f>
        <v>81.25</v>
      </c>
      <c r="L34" s="39">
        <f>IF(AC34&gt;0,((K34-AD34)+(AE34-K35)),IF(K35=0, ,(K34-K35)))</f>
        <v>0</v>
      </c>
      <c r="M34" s="146">
        <f t="shared" si="17"/>
        <v>24196</v>
      </c>
      <c r="N34" s="39">
        <f>L34*M34/100</f>
        <v>0</v>
      </c>
      <c r="O34" s="164">
        <f t="shared" si="10"/>
        <v>0</v>
      </c>
      <c r="P34" s="42">
        <f t="shared" ref="P34:P36" si="25">O34*13.64</f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4"/>
        <v>0</v>
      </c>
    </row>
    <row r="35" spans="1:31" ht="32.25" customHeight="1" x14ac:dyDescent="0.3">
      <c r="A35" s="40">
        <v>44744</v>
      </c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2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6">
        <f t="shared" si="17"/>
        <v>24196</v>
      </c>
      <c r="N35" s="39">
        <f t="shared" si="16"/>
        <v>0</v>
      </c>
      <c r="O35" s="39">
        <f t="shared" ref="O35:O37" si="26">N35*0.529</f>
        <v>0</v>
      </c>
      <c r="P35" s="42">
        <f t="shared" si="25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4"/>
        <v>0</v>
      </c>
    </row>
    <row r="36" spans="1:31" ht="32.25" customHeight="1" x14ac:dyDescent="0.3">
      <c r="A36" s="40"/>
      <c r="B36" s="41"/>
      <c r="C36" s="39">
        <f>IF(AC36&gt;0,((B36-R36)+(S36-B37)),IF(B37=0, ,(B36-B37)))</f>
        <v>0</v>
      </c>
      <c r="D36" s="41"/>
      <c r="E36" s="39">
        <f t="shared" ref="E36" si="27">IF(AC36&gt;0,((D36-U36)+(V36-D37)),IF(D37=0, ,(D36-D37)))</f>
        <v>0</v>
      </c>
      <c r="F36" s="41"/>
      <c r="G36" s="39">
        <f t="shared" ref="G36" si="28">IF(AC36&gt;0,((F36-X36)+(Y36-F37)),IF(F37=0, ,(F36-F37)))</f>
        <v>0</v>
      </c>
      <c r="H36" s="41"/>
      <c r="I36" s="39">
        <f t="shared" si="12"/>
        <v>0</v>
      </c>
      <c r="J36" s="39">
        <f t="shared" si="13"/>
        <v>0</v>
      </c>
      <c r="K36" s="39">
        <f t="shared" si="14"/>
        <v>0</v>
      </c>
      <c r="L36" s="39">
        <f t="shared" si="18"/>
        <v>0</v>
      </c>
      <c r="M36" s="146">
        <f t="shared" si="17"/>
        <v>24196</v>
      </c>
      <c r="N36" s="39">
        <f t="shared" si="16"/>
        <v>0</v>
      </c>
      <c r="O36" s="39">
        <f t="shared" si="26"/>
        <v>0</v>
      </c>
      <c r="P36" s="42">
        <f t="shared" si="25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4"/>
        <v>0</v>
      </c>
    </row>
    <row r="37" spans="1:31" ht="32.25" customHeight="1" x14ac:dyDescent="0.3">
      <c r="A37" s="40"/>
      <c r="B37" s="41"/>
      <c r="C37" s="39">
        <f t="shared" ref="C37:C42" si="29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30">IF(AC37&gt;0,((F37-X37)+(Y37-F38)),IF(F38=0, ,(F37-F38)))</f>
        <v>0</v>
      </c>
      <c r="H37" s="41"/>
      <c r="I37" s="39">
        <f t="shared" ref="I37:I42" si="31">IF(AC37&gt;0,((H37-AA37)+(AB37-H38)),IF(H38=0, ,(H37-H38)))</f>
        <v>0</v>
      </c>
      <c r="J37" s="39">
        <f t="shared" si="13"/>
        <v>0</v>
      </c>
      <c r="K37" s="39">
        <f t="shared" si="14"/>
        <v>0</v>
      </c>
      <c r="L37" s="39">
        <f t="shared" si="18"/>
        <v>0</v>
      </c>
      <c r="M37" s="146">
        <f t="shared" si="17"/>
        <v>24196</v>
      </c>
      <c r="N37" s="39">
        <f t="shared" si="16"/>
        <v>0</v>
      </c>
      <c r="O37" s="39">
        <f t="shared" si="26"/>
        <v>0</v>
      </c>
      <c r="P37" s="42">
        <f t="shared" ref="P37" si="32">O37*12.64</f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4"/>
        <v>0</v>
      </c>
    </row>
    <row r="38" spans="1:31" ht="32.25" customHeight="1" x14ac:dyDescent="0.3">
      <c r="A38" s="40"/>
      <c r="B38" s="41"/>
      <c r="C38" s="39">
        <f t="shared" si="29"/>
        <v>0</v>
      </c>
      <c r="D38" s="41"/>
      <c r="E38" s="39">
        <f>IF(AC38:AC61&gt;0,((D38-U38)+(V38-D39)),IF(D39=0, ,(D38-D39)))</f>
        <v>0</v>
      </c>
      <c r="F38" s="41"/>
      <c r="G38" s="39">
        <f t="shared" si="30"/>
        <v>0</v>
      </c>
      <c r="H38" s="41"/>
      <c r="I38" s="39">
        <f t="shared" si="31"/>
        <v>0</v>
      </c>
      <c r="J38" s="39">
        <f t="shared" si="13"/>
        <v>0</v>
      </c>
      <c r="K38" s="39">
        <f t="shared" si="14"/>
        <v>0</v>
      </c>
      <c r="L38" s="39">
        <f t="shared" si="18"/>
        <v>0</v>
      </c>
      <c r="M38" s="146">
        <f t="shared" si="17"/>
        <v>24196</v>
      </c>
      <c r="N38" s="39">
        <f t="shared" si="16"/>
        <v>0</v>
      </c>
      <c r="O38" s="39">
        <f>N38*0.53</f>
        <v>0</v>
      </c>
      <c r="P38" s="42">
        <f t="shared" ref="P38" si="33">O38*11.565</f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4"/>
        <v>0</v>
      </c>
    </row>
    <row r="39" spans="1:31" ht="32.25" customHeight="1" x14ac:dyDescent="0.3">
      <c r="A39" s="40"/>
      <c r="B39" s="41"/>
      <c r="C39" s="39">
        <f t="shared" si="29"/>
        <v>0</v>
      </c>
      <c r="D39" s="41"/>
      <c r="E39" s="39">
        <f>IF(AC39&gt;0,((D39-U39)+(V39-D40)),IF(D40=0, ,(D39-D40)))</f>
        <v>0</v>
      </c>
      <c r="F39" s="41"/>
      <c r="G39" s="39">
        <f t="shared" si="30"/>
        <v>0</v>
      </c>
      <c r="H39" s="41"/>
      <c r="I39" s="39">
        <f t="shared" si="31"/>
        <v>0</v>
      </c>
      <c r="J39" s="39">
        <f t="shared" si="13"/>
        <v>0</v>
      </c>
      <c r="K39" s="39">
        <f t="shared" si="14"/>
        <v>0</v>
      </c>
      <c r="L39" s="39">
        <f t="shared" si="18"/>
        <v>0</v>
      </c>
      <c r="M39" s="146">
        <f t="shared" si="17"/>
        <v>24196</v>
      </c>
      <c r="N39" s="39">
        <f t="shared" si="16"/>
        <v>0</v>
      </c>
      <c r="O39" s="39">
        <f>N39*0.53</f>
        <v>0</v>
      </c>
      <c r="P39" s="42">
        <f t="shared" ref="P39" si="34">O39*11.2513</f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4"/>
        <v>0</v>
      </c>
    </row>
    <row r="40" spans="1:31" ht="32.25" customHeight="1" x14ac:dyDescent="0.3">
      <c r="A40" s="40"/>
      <c r="B40" s="41"/>
      <c r="C40" s="39">
        <f t="shared" si="29"/>
        <v>0</v>
      </c>
      <c r="D40" s="41"/>
      <c r="E40" s="39">
        <f>IF(AC40&gt;0,((D40-U40)+(V40-D41)),IF(D41=0, ,(D40-D41)))</f>
        <v>0</v>
      </c>
      <c r="F40" s="41"/>
      <c r="G40" s="39">
        <f t="shared" si="30"/>
        <v>0</v>
      </c>
      <c r="H40" s="41"/>
      <c r="I40" s="39">
        <f t="shared" si="31"/>
        <v>0</v>
      </c>
      <c r="J40" s="39">
        <f t="shared" si="13"/>
        <v>0</v>
      </c>
      <c r="K40" s="39">
        <f t="shared" si="14"/>
        <v>0</v>
      </c>
      <c r="L40" s="39">
        <f t="shared" si="18"/>
        <v>0</v>
      </c>
      <c r="M40" s="146">
        <f t="shared" si="17"/>
        <v>24196</v>
      </c>
      <c r="N40" s="39">
        <f t="shared" si="16"/>
        <v>0</v>
      </c>
      <c r="O40" s="39">
        <f>N40*0.53</f>
        <v>0</v>
      </c>
      <c r="P40" s="42">
        <f t="shared" ref="P40:P42" si="35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4"/>
        <v>0</v>
      </c>
    </row>
    <row r="41" spans="1:31" ht="32.25" customHeight="1" x14ac:dyDescent="0.3">
      <c r="A41" s="40"/>
      <c r="B41" s="41"/>
      <c r="C41" s="39">
        <f t="shared" si="29"/>
        <v>0</v>
      </c>
      <c r="D41" s="41"/>
      <c r="E41" s="39">
        <f>IF(AC41&gt;0,((D41-U41)+(V41-D42)),IF(D42=0, ,(D41-D42)))</f>
        <v>0</v>
      </c>
      <c r="F41" s="41"/>
      <c r="G41" s="39">
        <f t="shared" si="30"/>
        <v>0</v>
      </c>
      <c r="H41" s="41"/>
      <c r="I41" s="39">
        <f t="shared" si="31"/>
        <v>0</v>
      </c>
      <c r="J41" s="39">
        <f t="shared" si="13"/>
        <v>0</v>
      </c>
      <c r="K41" s="39">
        <f t="shared" si="14"/>
        <v>0</v>
      </c>
      <c r="L41" s="39">
        <f t="shared" si="18"/>
        <v>0</v>
      </c>
      <c r="M41" s="146">
        <f t="shared" si="17"/>
        <v>24196</v>
      </c>
      <c r="N41" s="39">
        <f t="shared" si="16"/>
        <v>0</v>
      </c>
      <c r="O41" s="39">
        <f>N41*0.53</f>
        <v>0</v>
      </c>
      <c r="P41" s="42">
        <f t="shared" si="35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4"/>
        <v>0</v>
      </c>
    </row>
    <row r="42" spans="1:31" ht="32.25" customHeight="1" x14ac:dyDescent="0.3">
      <c r="A42" s="40"/>
      <c r="B42" s="41"/>
      <c r="C42" s="39">
        <f t="shared" si="29"/>
        <v>0</v>
      </c>
      <c r="D42" s="41"/>
      <c r="E42" s="39">
        <f>IF(AC42&gt;0,((D42-U42)+(V42-D43)),IF(D43=0, ,(D42-D43)))</f>
        <v>0</v>
      </c>
      <c r="F42" s="41"/>
      <c r="G42" s="39">
        <f t="shared" si="30"/>
        <v>0</v>
      </c>
      <c r="H42" s="41"/>
      <c r="I42" s="39">
        <f t="shared" si="31"/>
        <v>0</v>
      </c>
      <c r="J42" s="39">
        <f t="shared" si="13"/>
        <v>0</v>
      </c>
      <c r="K42" s="39">
        <f t="shared" si="14"/>
        <v>0</v>
      </c>
      <c r="L42" s="39">
        <f t="shared" si="18"/>
        <v>0</v>
      </c>
      <c r="M42" s="146">
        <f t="shared" si="17"/>
        <v>24196</v>
      </c>
      <c r="N42" s="39">
        <f t="shared" si="16"/>
        <v>0</v>
      </c>
      <c r="O42" s="39">
        <f>N42*0.53</f>
        <v>0</v>
      </c>
      <c r="P42" s="42">
        <f t="shared" si="35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4"/>
        <v>0</v>
      </c>
    </row>
    <row r="43" spans="1:31" ht="32.25" customHeight="1" thickBot="1" x14ac:dyDescent="0.35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15545.929999999995</v>
      </c>
      <c r="O43" s="39">
        <f>N43*0.529</f>
        <v>8223.7969699999976</v>
      </c>
      <c r="P43" s="42">
        <f>O43*11.77</f>
        <v>96794.090336899972</v>
      </c>
      <c r="Q43" s="297">
        <f>SUM(Q4:Q42)</f>
        <v>5038</v>
      </c>
      <c r="R43" s="298"/>
      <c r="S43" s="299"/>
      <c r="T43" s="300">
        <f>SUM(T4:T42)</f>
        <v>5008</v>
      </c>
      <c r="U43" s="298"/>
      <c r="V43" s="299"/>
      <c r="W43" s="300">
        <f>SUM(W4:W42)</f>
        <v>4512</v>
      </c>
      <c r="X43" s="298"/>
      <c r="Y43" s="299"/>
      <c r="Z43" s="300">
        <f>SUM(Z4:Z42)</f>
        <v>4431</v>
      </c>
      <c r="AA43" s="298"/>
      <c r="AB43" s="299"/>
      <c r="AC43" s="39">
        <f t="shared" si="20"/>
        <v>18989</v>
      </c>
    </row>
    <row r="44" spans="1:31" ht="35.25" customHeight="1" thickBot="1" x14ac:dyDescent="0.35">
      <c r="B44" s="306"/>
      <c r="C44" s="307"/>
      <c r="D44" s="307"/>
      <c r="E44" s="307"/>
      <c r="F44" s="307"/>
      <c r="G44" s="307"/>
      <c r="H44" s="307"/>
      <c r="I44" s="308"/>
      <c r="J44" s="37"/>
      <c r="K44" s="37"/>
      <c r="L44" s="37"/>
      <c r="M44" s="37"/>
      <c r="N44" s="37"/>
      <c r="O44" s="37"/>
      <c r="P44" s="37"/>
      <c r="Q44" s="309">
        <f>Q43+T43+W43+Z43</f>
        <v>18989</v>
      </c>
      <c r="R44" s="310"/>
      <c r="S44" s="310"/>
      <c r="T44" s="310"/>
      <c r="U44" s="310"/>
      <c r="V44" s="310"/>
      <c r="W44" s="310"/>
      <c r="X44" s="310"/>
      <c r="Y44" s="310"/>
      <c r="Z44" s="310"/>
      <c r="AA44" s="310"/>
      <c r="AB44" s="311"/>
      <c r="AC44" s="39">
        <f>Q44+T44+W44+Z44</f>
        <v>18989</v>
      </c>
    </row>
    <row r="45" spans="1:31" ht="7.5" customHeight="1" thickBot="1" x14ac:dyDescent="0.35">
      <c r="D45" s="36" t="s">
        <v>18</v>
      </c>
    </row>
    <row r="46" spans="1:31" ht="51" customHeight="1" thickBot="1" x14ac:dyDescent="0.35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 x14ac:dyDescent="0.35">
      <c r="H47" s="293" t="s">
        <v>85</v>
      </c>
      <c r="I47" s="294"/>
      <c r="J47" s="295"/>
      <c r="K47" s="45">
        <f>N43</f>
        <v>15545.929999999995</v>
      </c>
      <c r="L47" s="46">
        <f>O43</f>
        <v>8223.7969699999976</v>
      </c>
      <c r="M47" s="46">
        <f>P43</f>
        <v>96794.090336899972</v>
      </c>
    </row>
    <row r="48" spans="1:31" ht="54.75" customHeight="1" thickBot="1" x14ac:dyDescent="0.35">
      <c r="H48" s="293" t="s">
        <v>86</v>
      </c>
      <c r="I48" s="294"/>
      <c r="J48" s="295"/>
      <c r="K48" s="43">
        <f>AC44</f>
        <v>18989</v>
      </c>
      <c r="L48" s="44">
        <f>K48*0.529</f>
        <v>10045.181</v>
      </c>
      <c r="M48" s="44">
        <f>L48*11.77</f>
        <v>118231.78037000001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L17" sqref="L17:L18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 x14ac:dyDescent="0.2">
      <c r="A1" s="282"/>
      <c r="B1" s="284"/>
      <c r="C1" s="370" t="s">
        <v>87</v>
      </c>
      <c r="D1" s="371"/>
      <c r="E1" s="371"/>
      <c r="F1" s="371"/>
      <c r="G1" s="371"/>
      <c r="H1" s="376" t="s">
        <v>88</v>
      </c>
      <c r="I1" s="377"/>
      <c r="J1" s="378"/>
    </row>
    <row r="2" spans="1:10" ht="16.5" customHeight="1" thickBot="1" x14ac:dyDescent="0.25">
      <c r="A2" s="285"/>
      <c r="B2" s="287"/>
      <c r="C2" s="372"/>
      <c r="D2" s="373"/>
      <c r="E2" s="373"/>
      <c r="F2" s="373"/>
      <c r="G2" s="373"/>
      <c r="H2" s="379"/>
      <c r="I2" s="380"/>
      <c r="J2" s="381"/>
    </row>
    <row r="3" spans="1:10" ht="15" customHeight="1" x14ac:dyDescent="0.2">
      <c r="A3" s="285"/>
      <c r="B3" s="287"/>
      <c r="C3" s="372"/>
      <c r="D3" s="373"/>
      <c r="E3" s="373"/>
      <c r="F3" s="373"/>
      <c r="G3" s="373"/>
      <c r="H3" s="382" t="s">
        <v>89</v>
      </c>
      <c r="I3" s="383"/>
      <c r="J3" s="384"/>
    </row>
    <row r="4" spans="1:10" ht="15.75" customHeight="1" thickBot="1" x14ac:dyDescent="0.25">
      <c r="A4" s="288"/>
      <c r="B4" s="290"/>
      <c r="C4" s="374"/>
      <c r="D4" s="375"/>
      <c r="E4" s="375"/>
      <c r="F4" s="375"/>
      <c r="G4" s="375"/>
      <c r="H4" s="385"/>
      <c r="I4" s="386"/>
      <c r="J4" s="387"/>
    </row>
    <row r="6" spans="1:10" ht="33" customHeight="1" thickBot="1" x14ac:dyDescent="0.25"/>
    <row r="7" spans="1:10" ht="36.75" thickTop="1" x14ac:dyDescent="0.2">
      <c r="A7" s="388" t="s">
        <v>90</v>
      </c>
      <c r="B7" s="388"/>
      <c r="C7" s="389" t="s">
        <v>91</v>
      </c>
      <c r="D7" s="390"/>
      <c r="E7" s="59" t="s">
        <v>92</v>
      </c>
      <c r="F7" s="59" t="s">
        <v>93</v>
      </c>
      <c r="G7" s="59" t="s">
        <v>94</v>
      </c>
      <c r="H7" s="59" t="s">
        <v>95</v>
      </c>
      <c r="I7" s="391" t="s">
        <v>96</v>
      </c>
      <c r="J7" s="392"/>
    </row>
    <row r="8" spans="1:10" x14ac:dyDescent="0.2">
      <c r="A8" s="360">
        <v>95670781</v>
      </c>
      <c r="B8" s="360"/>
      <c r="C8" s="361">
        <v>44567</v>
      </c>
      <c r="D8" s="362"/>
      <c r="E8" s="111">
        <v>44598</v>
      </c>
      <c r="F8" s="160" t="s">
        <v>97</v>
      </c>
      <c r="G8" s="60"/>
      <c r="H8" s="60"/>
      <c r="I8" s="363"/>
      <c r="J8" s="364"/>
    </row>
    <row r="10" spans="1:10" ht="23.25" customHeight="1" thickBot="1" x14ac:dyDescent="0.25"/>
    <row r="11" spans="1:10" ht="24.75" customHeight="1" thickTop="1" x14ac:dyDescent="0.2">
      <c r="A11" s="348" t="s">
        <v>98</v>
      </c>
      <c r="B11" s="348"/>
      <c r="C11" s="365" t="s">
        <v>99</v>
      </c>
      <c r="D11" s="366"/>
      <c r="E11" s="348" t="s">
        <v>100</v>
      </c>
      <c r="F11" s="348"/>
      <c r="G11" s="365" t="s">
        <v>101</v>
      </c>
      <c r="H11" s="366"/>
      <c r="I11" s="367" t="s">
        <v>102</v>
      </c>
      <c r="J11" s="367"/>
    </row>
    <row r="12" spans="1:10" x14ac:dyDescent="0.2">
      <c r="A12" s="360" t="s">
        <v>103</v>
      </c>
      <c r="B12" s="360"/>
      <c r="C12" s="360">
        <v>3750</v>
      </c>
      <c r="D12" s="360"/>
      <c r="E12" s="360">
        <v>1000</v>
      </c>
      <c r="F12" s="360"/>
      <c r="G12" s="368">
        <v>793</v>
      </c>
      <c r="H12" s="368"/>
      <c r="I12" s="369"/>
      <c r="J12" s="369"/>
    </row>
    <row r="13" spans="1:10" x14ac:dyDescent="0.2">
      <c r="A13" s="358"/>
      <c r="B13" s="359"/>
      <c r="C13" s="359"/>
      <c r="D13" s="359"/>
      <c r="E13" s="359"/>
      <c r="F13" s="359"/>
      <c r="G13" s="359"/>
      <c r="H13" s="359"/>
      <c r="I13" s="359"/>
      <c r="J13" s="359"/>
    </row>
    <row r="15" spans="1:10" ht="13.5" thickBot="1" x14ac:dyDescent="0.25"/>
    <row r="16" spans="1:10" ht="26.25" thickTop="1" x14ac:dyDescent="0.2">
      <c r="A16" s="348" t="s">
        <v>104</v>
      </c>
      <c r="B16" s="348"/>
      <c r="C16" s="61" t="s">
        <v>105</v>
      </c>
      <c r="D16" s="62" t="s">
        <v>106</v>
      </c>
      <c r="E16" s="62" t="s">
        <v>48</v>
      </c>
      <c r="F16" s="62" t="s">
        <v>107</v>
      </c>
      <c r="G16" s="355" t="s">
        <v>108</v>
      </c>
      <c r="H16" s="355"/>
      <c r="I16" s="356" t="s">
        <v>109</v>
      </c>
      <c r="J16" s="357"/>
    </row>
    <row r="17" spans="1:10" x14ac:dyDescent="0.2">
      <c r="A17" s="338" t="s">
        <v>110</v>
      </c>
      <c r="B17" s="339"/>
      <c r="C17" s="64">
        <v>20117099</v>
      </c>
      <c r="D17" s="64">
        <v>20106843</v>
      </c>
      <c r="E17" s="65">
        <f>MIN(C17-D17)</f>
        <v>10256</v>
      </c>
      <c r="F17" s="65">
        <f>+E17</f>
        <v>10256</v>
      </c>
      <c r="G17" s="340"/>
      <c r="H17" s="341"/>
      <c r="I17" s="340">
        <f>+E17</f>
        <v>10256</v>
      </c>
      <c r="J17" s="341"/>
    </row>
    <row r="18" spans="1:10" x14ac:dyDescent="0.2">
      <c r="A18" s="338" t="s">
        <v>111</v>
      </c>
      <c r="B18" s="339"/>
      <c r="C18" s="64">
        <v>11848105</v>
      </c>
      <c r="D18" s="64">
        <v>11843664</v>
      </c>
      <c r="E18" s="65">
        <f>MIN(C18-D18)</f>
        <v>4441</v>
      </c>
      <c r="F18" s="65">
        <f>+E18</f>
        <v>4441</v>
      </c>
      <c r="G18" s="340"/>
      <c r="H18" s="341"/>
      <c r="I18" s="340">
        <f>+E18</f>
        <v>4441</v>
      </c>
      <c r="J18" s="341"/>
    </row>
    <row r="19" spans="1:10" x14ac:dyDescent="0.2">
      <c r="A19" s="338" t="s">
        <v>112</v>
      </c>
      <c r="B19" s="339"/>
      <c r="C19" s="64">
        <v>8833074</v>
      </c>
      <c r="D19" s="64">
        <v>8829353</v>
      </c>
      <c r="E19" s="65">
        <f>AVERAGE(C19-D19)</f>
        <v>3721</v>
      </c>
      <c r="F19" s="65">
        <f>+E19</f>
        <v>3721</v>
      </c>
      <c r="G19" s="340"/>
      <c r="H19" s="341"/>
      <c r="I19" s="340">
        <f>+E19</f>
        <v>3721</v>
      </c>
      <c r="J19" s="341"/>
    </row>
    <row r="20" spans="1:10" ht="15" x14ac:dyDescent="0.25">
      <c r="A20" s="353" t="s">
        <v>113</v>
      </c>
      <c r="B20" s="354"/>
      <c r="C20" s="66"/>
      <c r="D20" s="67"/>
      <c r="E20" s="66">
        <f>SUM(E17:E19)</f>
        <v>18418</v>
      </c>
      <c r="F20" s="68"/>
      <c r="G20" s="330"/>
      <c r="H20" s="331"/>
      <c r="I20" s="330"/>
      <c r="J20" s="331"/>
    </row>
    <row r="21" spans="1:10" x14ac:dyDescent="0.2">
      <c r="C21" s="108" t="s">
        <v>18</v>
      </c>
      <c r="D21" t="s">
        <v>114</v>
      </c>
      <c r="G21" s="332"/>
      <c r="H21" s="332"/>
    </row>
    <row r="22" spans="1:10" ht="13.5" thickBot="1" x14ac:dyDescent="0.25">
      <c r="G22" s="333"/>
      <c r="H22" s="333"/>
    </row>
    <row r="23" spans="1:10" ht="13.5" thickTop="1" x14ac:dyDescent="0.2">
      <c r="A23" s="342" t="s">
        <v>115</v>
      </c>
      <c r="B23" s="343"/>
      <c r="C23" s="344"/>
      <c r="D23" s="348" t="s">
        <v>116</v>
      </c>
      <c r="E23" s="348" t="s">
        <v>117</v>
      </c>
      <c r="F23" s="350" t="s">
        <v>118</v>
      </c>
      <c r="G23" s="352" t="s">
        <v>119</v>
      </c>
      <c r="H23" s="352"/>
      <c r="I23" s="334" t="s">
        <v>120</v>
      </c>
      <c r="J23" s="334"/>
    </row>
    <row r="24" spans="1:10" x14ac:dyDescent="0.2">
      <c r="A24" s="345"/>
      <c r="B24" s="346"/>
      <c r="C24" s="347"/>
      <c r="D24" s="349"/>
      <c r="E24" s="349"/>
      <c r="F24" s="351"/>
      <c r="G24" s="161" t="s">
        <v>121</v>
      </c>
      <c r="H24" s="69" t="s">
        <v>122</v>
      </c>
      <c r="I24" s="334"/>
      <c r="J24" s="334"/>
    </row>
    <row r="25" spans="1:10" ht="15" x14ac:dyDescent="0.25">
      <c r="A25" s="335" t="s">
        <v>123</v>
      </c>
      <c r="B25" s="336"/>
      <c r="C25" s="337"/>
      <c r="D25" s="65">
        <f>+E17</f>
        <v>10256</v>
      </c>
      <c r="E25" s="70">
        <v>0.95140000000000002</v>
      </c>
      <c r="F25" s="71">
        <f>PRODUCT(D25*E25)</f>
        <v>9757.5583999999999</v>
      </c>
      <c r="G25" s="148">
        <v>14</v>
      </c>
      <c r="H25" s="63">
        <f>PRODUCT(0.14,F25)</f>
        <v>1366.058176</v>
      </c>
      <c r="I25" s="315">
        <f>SUM(H25,F25)</f>
        <v>11123.616576</v>
      </c>
      <c r="J25" s="316"/>
    </row>
    <row r="26" spans="1:10" ht="15" x14ac:dyDescent="0.25">
      <c r="A26" s="312" t="s">
        <v>124</v>
      </c>
      <c r="B26" s="313"/>
      <c r="C26" s="314"/>
      <c r="D26" s="65">
        <f>+E18</f>
        <v>4441</v>
      </c>
      <c r="E26" s="72">
        <v>0.69850000000000001</v>
      </c>
      <c r="F26" s="71">
        <f>PRODUCT(D26*E26)</f>
        <v>3102.0385000000001</v>
      </c>
      <c r="G26">
        <v>14</v>
      </c>
      <c r="H26" s="65">
        <f>PRODUCT(0.14,F26)</f>
        <v>434.28539000000006</v>
      </c>
      <c r="I26" s="315">
        <f t="shared" ref="I26:I31" si="0">SUM(H26,F26)</f>
        <v>3536.3238900000001</v>
      </c>
      <c r="J26" s="316"/>
    </row>
    <row r="27" spans="1:10" ht="15" x14ac:dyDescent="0.25">
      <c r="A27" s="312" t="s">
        <v>125</v>
      </c>
      <c r="B27" s="313"/>
      <c r="C27" s="314"/>
      <c r="D27" s="65">
        <f>+E19</f>
        <v>3721</v>
      </c>
      <c r="E27" s="72">
        <v>1.3304</v>
      </c>
      <c r="F27" s="71">
        <f>PRODUCT(D27*E27)</f>
        <v>4950.4184000000005</v>
      </c>
      <c r="G27">
        <v>14</v>
      </c>
      <c r="H27" s="65">
        <f>PRODUCT(0.14,F27)</f>
        <v>693.05857600000013</v>
      </c>
      <c r="I27" s="315">
        <f>SUM(H27,F27)</f>
        <v>5643.4769760000008</v>
      </c>
      <c r="J27" s="316"/>
    </row>
    <row r="28" spans="1:10" ht="15" x14ac:dyDescent="0.25">
      <c r="A28" s="312" t="s">
        <v>126</v>
      </c>
      <c r="B28" s="313"/>
      <c r="C28" s="314"/>
      <c r="D28" s="65">
        <v>1000</v>
      </c>
      <c r="E28" s="72">
        <v>43.88167</v>
      </c>
      <c r="F28" s="71">
        <f>PRODUCT(D28,E28)</f>
        <v>43881.67</v>
      </c>
      <c r="G28">
        <v>14</v>
      </c>
      <c r="H28" s="65">
        <f>PRODUCT(0.14,F28)</f>
        <v>6143.4338000000007</v>
      </c>
      <c r="I28" s="315">
        <f t="shared" si="0"/>
        <v>50025.103799999997</v>
      </c>
      <c r="J28" s="316"/>
    </row>
    <row r="29" spans="1:10" ht="15" x14ac:dyDescent="0.25">
      <c r="A29" s="325" t="s">
        <v>127</v>
      </c>
      <c r="B29" s="326"/>
      <c r="C29" s="327"/>
      <c r="D29" s="73">
        <v>0</v>
      </c>
      <c r="E29" s="74">
        <v>48.972490000000001</v>
      </c>
      <c r="F29" s="75">
        <f>PRODUCT(D29,E29)</f>
        <v>0</v>
      </c>
      <c r="G29" s="76">
        <v>14</v>
      </c>
      <c r="H29" s="73">
        <f>PRODUCT(0.14,F29)</f>
        <v>0</v>
      </c>
      <c r="I29" s="328">
        <f t="shared" si="0"/>
        <v>0</v>
      </c>
      <c r="J29" s="329"/>
    </row>
    <row r="30" spans="1:10" ht="15" x14ac:dyDescent="0.25">
      <c r="A30" s="312" t="s">
        <v>128</v>
      </c>
      <c r="B30" s="313"/>
      <c r="C30" s="314"/>
      <c r="D30" s="65"/>
      <c r="E30" s="77"/>
      <c r="F30" s="71">
        <v>841</v>
      </c>
      <c r="G30">
        <v>20</v>
      </c>
      <c r="H30" s="78">
        <f>PRODUCT(F30,0.2)</f>
        <v>168.20000000000002</v>
      </c>
      <c r="I30" s="315">
        <f>SUM(H30,F30)</f>
        <v>1009.2</v>
      </c>
      <c r="J30" s="316"/>
    </row>
    <row r="31" spans="1:10" ht="15.75" thickBot="1" x14ac:dyDescent="0.3">
      <c r="A31" s="317" t="s">
        <v>129</v>
      </c>
      <c r="B31" s="318"/>
      <c r="C31" s="319"/>
      <c r="D31" s="79"/>
      <c r="E31" s="80"/>
      <c r="F31" s="71">
        <v>1492</v>
      </c>
      <c r="G31" s="68">
        <v>7</v>
      </c>
      <c r="H31" s="81">
        <f>PRODUCT(F31,0.07)</f>
        <v>104.44000000000001</v>
      </c>
      <c r="I31" s="315">
        <f t="shared" si="0"/>
        <v>1596.44</v>
      </c>
      <c r="J31" s="316"/>
    </row>
    <row r="32" spans="1:10" ht="21" x14ac:dyDescent="0.2">
      <c r="A32" s="320" t="s">
        <v>130</v>
      </c>
      <c r="B32" s="321"/>
      <c r="C32" s="321"/>
      <c r="D32" s="321"/>
      <c r="E32" s="321"/>
      <c r="F32" s="82">
        <f>SUM(F25:F31)</f>
        <v>64024.685299999997</v>
      </c>
      <c r="G32" s="83"/>
      <c r="H32" s="84"/>
      <c r="I32" s="324">
        <f>SUM(I25:J31)</f>
        <v>72934.161242000002</v>
      </c>
      <c r="J32" s="324"/>
    </row>
    <row r="33" spans="1:10" ht="21.75" thickBot="1" x14ac:dyDescent="0.25">
      <c r="A33" s="322"/>
      <c r="B33" s="323"/>
      <c r="C33" s="323"/>
      <c r="D33" s="323"/>
      <c r="E33" s="323"/>
      <c r="F33" s="85"/>
      <c r="G33" s="86"/>
      <c r="H33" s="87"/>
      <c r="I33" s="324"/>
      <c r="J33" s="324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F32" sqref="F32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 x14ac:dyDescent="0.2">
      <c r="A1" s="282"/>
      <c r="B1" s="284"/>
      <c r="C1" s="370" t="s">
        <v>87</v>
      </c>
      <c r="D1" s="371"/>
      <c r="E1" s="371"/>
      <c r="F1" s="371"/>
      <c r="G1" s="371"/>
      <c r="H1" s="376" t="s">
        <v>88</v>
      </c>
      <c r="I1" s="377"/>
      <c r="J1" s="378"/>
    </row>
    <row r="2" spans="1:10" ht="16.5" customHeight="1" thickBot="1" x14ac:dyDescent="0.25">
      <c r="A2" s="285"/>
      <c r="B2" s="287"/>
      <c r="C2" s="372"/>
      <c r="D2" s="373"/>
      <c r="E2" s="373"/>
      <c r="F2" s="373"/>
      <c r="G2" s="373"/>
      <c r="H2" s="379"/>
      <c r="I2" s="380"/>
      <c r="J2" s="381"/>
    </row>
    <row r="3" spans="1:10" ht="15" customHeight="1" x14ac:dyDescent="0.2">
      <c r="A3" s="285"/>
      <c r="B3" s="287"/>
      <c r="C3" s="372"/>
      <c r="D3" s="373"/>
      <c r="E3" s="373"/>
      <c r="F3" s="373"/>
      <c r="G3" s="373"/>
      <c r="H3" s="382" t="s">
        <v>89</v>
      </c>
      <c r="I3" s="383"/>
      <c r="J3" s="384"/>
    </row>
    <row r="4" spans="1:10" ht="15.75" customHeight="1" thickBot="1" x14ac:dyDescent="0.25">
      <c r="A4" s="288"/>
      <c r="B4" s="290"/>
      <c r="C4" s="374"/>
      <c r="D4" s="375"/>
      <c r="E4" s="375"/>
      <c r="F4" s="375"/>
      <c r="G4" s="375"/>
      <c r="H4" s="385"/>
      <c r="I4" s="386"/>
      <c r="J4" s="387"/>
    </row>
    <row r="6" spans="1:10" ht="33" customHeight="1" thickBot="1" x14ac:dyDescent="0.25"/>
    <row r="7" spans="1:10" ht="36.75" thickTop="1" x14ac:dyDescent="0.2">
      <c r="A7" s="388" t="s">
        <v>90</v>
      </c>
      <c r="B7" s="388"/>
      <c r="C7" s="389" t="s">
        <v>91</v>
      </c>
      <c r="D7" s="390"/>
      <c r="E7" s="59" t="s">
        <v>92</v>
      </c>
      <c r="F7" s="59" t="s">
        <v>93</v>
      </c>
      <c r="G7" s="59" t="s">
        <v>94</v>
      </c>
      <c r="H7" s="59" t="s">
        <v>95</v>
      </c>
      <c r="I7" s="391" t="s">
        <v>96</v>
      </c>
      <c r="J7" s="392"/>
    </row>
    <row r="8" spans="1:10" x14ac:dyDescent="0.2">
      <c r="A8" s="360">
        <v>95670781</v>
      </c>
      <c r="B8" s="360"/>
      <c r="C8" s="361">
        <v>44344</v>
      </c>
      <c r="D8" s="362"/>
      <c r="E8" s="111">
        <v>44740</v>
      </c>
      <c r="F8" s="160" t="s">
        <v>131</v>
      </c>
      <c r="G8" s="60"/>
      <c r="H8" s="60"/>
      <c r="I8" s="363"/>
      <c r="J8" s="364"/>
    </row>
    <row r="10" spans="1:10" ht="23.25" customHeight="1" thickBot="1" x14ac:dyDescent="0.25"/>
    <row r="11" spans="1:10" ht="24.75" customHeight="1" thickTop="1" x14ac:dyDescent="0.2">
      <c r="A11" s="348" t="s">
        <v>98</v>
      </c>
      <c r="B11" s="348"/>
      <c r="C11" s="365" t="s">
        <v>99</v>
      </c>
      <c r="D11" s="366"/>
      <c r="E11" s="348" t="s">
        <v>100</v>
      </c>
      <c r="F11" s="348"/>
      <c r="G11" s="365" t="s">
        <v>101</v>
      </c>
      <c r="H11" s="366"/>
      <c r="I11" s="367" t="s">
        <v>102</v>
      </c>
      <c r="J11" s="367"/>
    </row>
    <row r="12" spans="1:10" x14ac:dyDescent="0.2">
      <c r="A12" s="360" t="s">
        <v>103</v>
      </c>
      <c r="B12" s="360"/>
      <c r="C12" s="360">
        <v>3750</v>
      </c>
      <c r="D12" s="360"/>
      <c r="E12" s="360">
        <v>1000</v>
      </c>
      <c r="F12" s="360"/>
      <c r="G12" s="368">
        <v>1356</v>
      </c>
      <c r="H12" s="368"/>
      <c r="I12" s="369"/>
      <c r="J12" s="369"/>
    </row>
    <row r="13" spans="1:10" x14ac:dyDescent="0.2">
      <c r="A13" s="358"/>
      <c r="B13" s="359"/>
      <c r="C13" s="359"/>
      <c r="D13" s="359"/>
      <c r="E13" s="359"/>
      <c r="F13" s="359"/>
      <c r="G13" s="359"/>
      <c r="H13" s="359"/>
      <c r="I13" s="359"/>
      <c r="J13" s="359"/>
    </row>
    <row r="15" spans="1:10" ht="13.5" thickBot="1" x14ac:dyDescent="0.25"/>
    <row r="16" spans="1:10" ht="26.25" thickTop="1" x14ac:dyDescent="0.2">
      <c r="A16" s="348" t="s">
        <v>104</v>
      </c>
      <c r="B16" s="348"/>
      <c r="C16" s="61" t="s">
        <v>105</v>
      </c>
      <c r="D16" s="62" t="s">
        <v>106</v>
      </c>
      <c r="E16" s="62" t="s">
        <v>48</v>
      </c>
      <c r="F16" s="62" t="s">
        <v>107</v>
      </c>
      <c r="G16" s="355" t="s">
        <v>108</v>
      </c>
      <c r="H16" s="355"/>
      <c r="I16" s="356" t="s">
        <v>109</v>
      </c>
      <c r="J16" s="357"/>
    </row>
    <row r="17" spans="1:10" x14ac:dyDescent="0.2">
      <c r="A17" s="338" t="s">
        <v>110</v>
      </c>
      <c r="B17" s="339"/>
      <c r="C17" s="64">
        <v>20380254</v>
      </c>
      <c r="D17" s="64">
        <v>20068636</v>
      </c>
      <c r="E17" s="65">
        <f>MIN(C17-D17)</f>
        <v>311618</v>
      </c>
      <c r="F17" s="65">
        <f>+E17</f>
        <v>311618</v>
      </c>
      <c r="G17" s="340"/>
      <c r="H17" s="341"/>
      <c r="I17" s="340">
        <f>+E17</f>
        <v>311618</v>
      </c>
      <c r="J17" s="341"/>
    </row>
    <row r="18" spans="1:10" x14ac:dyDescent="0.2">
      <c r="A18" s="338" t="s">
        <v>111</v>
      </c>
      <c r="B18" s="339"/>
      <c r="C18" s="64">
        <v>11971286</v>
      </c>
      <c r="D18" s="64">
        <v>11824428</v>
      </c>
      <c r="E18" s="65">
        <f>MIN(C18-D18)</f>
        <v>146858</v>
      </c>
      <c r="F18" s="65">
        <f>+E18</f>
        <v>146858</v>
      </c>
      <c r="G18" s="340"/>
      <c r="H18" s="341"/>
      <c r="I18" s="340">
        <f>+E18</f>
        <v>146858</v>
      </c>
      <c r="J18" s="341"/>
    </row>
    <row r="19" spans="1:10" x14ac:dyDescent="0.2">
      <c r="A19" s="338" t="s">
        <v>112</v>
      </c>
      <c r="B19" s="339"/>
      <c r="C19" s="64">
        <v>8938202</v>
      </c>
      <c r="D19" s="64">
        <v>8814739</v>
      </c>
      <c r="E19" s="65">
        <f>AVERAGE(C19-D19)</f>
        <v>123463</v>
      </c>
      <c r="F19" s="65">
        <f>+E19</f>
        <v>123463</v>
      </c>
      <c r="G19" s="340"/>
      <c r="H19" s="341"/>
      <c r="I19" s="340">
        <f>+E19</f>
        <v>123463</v>
      </c>
      <c r="J19" s="341"/>
    </row>
    <row r="20" spans="1:10" ht="15" x14ac:dyDescent="0.25">
      <c r="A20" s="353" t="s">
        <v>113</v>
      </c>
      <c r="B20" s="354"/>
      <c r="C20" s="66"/>
      <c r="D20" s="67"/>
      <c r="E20" s="66">
        <f>SUM(E17:E19)</f>
        <v>581939</v>
      </c>
      <c r="F20" s="68"/>
      <c r="G20" s="330"/>
      <c r="H20" s="331"/>
      <c r="I20" s="330"/>
      <c r="J20" s="331"/>
    </row>
    <row r="21" spans="1:10" x14ac:dyDescent="0.2">
      <c r="C21" s="108" t="s">
        <v>18</v>
      </c>
      <c r="D21" t="s">
        <v>114</v>
      </c>
      <c r="G21" s="332"/>
      <c r="H21" s="332"/>
    </row>
    <row r="22" spans="1:10" ht="13.5" thickBot="1" x14ac:dyDescent="0.25">
      <c r="G22" s="333"/>
      <c r="H22" s="333"/>
    </row>
    <row r="23" spans="1:10" ht="13.5" thickTop="1" x14ac:dyDescent="0.2">
      <c r="A23" s="342" t="s">
        <v>115</v>
      </c>
      <c r="B23" s="343"/>
      <c r="C23" s="344"/>
      <c r="D23" s="348" t="s">
        <v>116</v>
      </c>
      <c r="E23" s="348" t="s">
        <v>117</v>
      </c>
      <c r="F23" s="350" t="s">
        <v>118</v>
      </c>
      <c r="G23" s="352" t="s">
        <v>119</v>
      </c>
      <c r="H23" s="352"/>
      <c r="I23" s="334" t="s">
        <v>120</v>
      </c>
      <c r="J23" s="334"/>
    </row>
    <row r="24" spans="1:10" x14ac:dyDescent="0.2">
      <c r="A24" s="345"/>
      <c r="B24" s="346"/>
      <c r="C24" s="347"/>
      <c r="D24" s="349"/>
      <c r="E24" s="349"/>
      <c r="F24" s="351"/>
      <c r="G24" s="161" t="s">
        <v>121</v>
      </c>
      <c r="H24" s="69" t="s">
        <v>122</v>
      </c>
      <c r="I24" s="334"/>
      <c r="J24" s="334"/>
    </row>
    <row r="25" spans="1:10" ht="15" x14ac:dyDescent="0.25">
      <c r="A25" s="335" t="s">
        <v>123</v>
      </c>
      <c r="B25" s="336"/>
      <c r="C25" s="337"/>
      <c r="D25" s="65">
        <f>+E17</f>
        <v>311618</v>
      </c>
      <c r="E25" s="70">
        <v>0.95140000000000002</v>
      </c>
      <c r="F25" s="71">
        <f>PRODUCT(D25*E25)</f>
        <v>296473.3652</v>
      </c>
      <c r="G25" s="148">
        <v>14</v>
      </c>
      <c r="H25" s="63">
        <f>PRODUCT(0.14,F25)</f>
        <v>41506.271128000008</v>
      </c>
      <c r="I25" s="315">
        <f>SUM(H25,F25)</f>
        <v>337979.63632799999</v>
      </c>
      <c r="J25" s="316"/>
    </row>
    <row r="26" spans="1:10" ht="15" x14ac:dyDescent="0.25">
      <c r="A26" s="312" t="s">
        <v>124</v>
      </c>
      <c r="B26" s="313"/>
      <c r="C26" s="314"/>
      <c r="D26" s="65">
        <f>+E18</f>
        <v>146858</v>
      </c>
      <c r="E26" s="72">
        <v>0.69850000000000001</v>
      </c>
      <c r="F26" s="71">
        <f>PRODUCT(D26*E26)</f>
        <v>102580.31299999999</v>
      </c>
      <c r="G26">
        <v>14</v>
      </c>
      <c r="H26" s="65">
        <f>PRODUCT(0.14,F26)</f>
        <v>14361.243820000002</v>
      </c>
      <c r="I26" s="315">
        <f t="shared" ref="I26:I31" si="0">SUM(H26,F26)</f>
        <v>116941.55682</v>
      </c>
      <c r="J26" s="316"/>
    </row>
    <row r="27" spans="1:10" ht="15" x14ac:dyDescent="0.25">
      <c r="A27" s="312" t="s">
        <v>125</v>
      </c>
      <c r="B27" s="313"/>
      <c r="C27" s="314"/>
      <c r="D27" s="65">
        <f>+E19</f>
        <v>123463</v>
      </c>
      <c r="E27" s="72">
        <v>1.3304</v>
      </c>
      <c r="F27" s="71">
        <f>PRODUCT(D27*E27)</f>
        <v>164255.1752</v>
      </c>
      <c r="G27">
        <v>14</v>
      </c>
      <c r="H27" s="65">
        <f>PRODUCT(0.14,F27)</f>
        <v>22995.724528000002</v>
      </c>
      <c r="I27" s="315">
        <f>SUM(H27,F27)</f>
        <v>187250.89972799999</v>
      </c>
      <c r="J27" s="316"/>
    </row>
    <row r="28" spans="1:10" ht="15" x14ac:dyDescent="0.25">
      <c r="A28" s="312" t="s">
        <v>126</v>
      </c>
      <c r="B28" s="313"/>
      <c r="C28" s="314"/>
      <c r="D28" s="65">
        <v>1000</v>
      </c>
      <c r="E28" s="72">
        <v>43.88167</v>
      </c>
      <c r="F28" s="71">
        <f>PRODUCT(D28,E28)</f>
        <v>43881.67</v>
      </c>
      <c r="G28">
        <v>14</v>
      </c>
      <c r="H28" s="65">
        <f>PRODUCT(0.14,F28)</f>
        <v>6143.4338000000007</v>
      </c>
      <c r="I28" s="315">
        <f t="shared" si="0"/>
        <v>50025.103799999997</v>
      </c>
      <c r="J28" s="316"/>
    </row>
    <row r="29" spans="1:10" ht="15" x14ac:dyDescent="0.25">
      <c r="A29" s="325" t="s">
        <v>127</v>
      </c>
      <c r="B29" s="326"/>
      <c r="C29" s="327"/>
      <c r="D29" s="73">
        <f>G12-D28</f>
        <v>356</v>
      </c>
      <c r="E29" s="74">
        <f>E28*1.5</f>
        <v>65.822505000000007</v>
      </c>
      <c r="F29" s="75">
        <f>PRODUCT(D29,E29)</f>
        <v>23432.811780000004</v>
      </c>
      <c r="G29" s="76">
        <v>14</v>
      </c>
      <c r="H29" s="73">
        <f>PRODUCT(0.14,F29)</f>
        <v>3280.593649200001</v>
      </c>
      <c r="I29" s="328">
        <f t="shared" si="0"/>
        <v>26713.405429200004</v>
      </c>
      <c r="J29" s="329"/>
    </row>
    <row r="30" spans="1:10" ht="15" x14ac:dyDescent="0.25">
      <c r="A30" s="312" t="s">
        <v>128</v>
      </c>
      <c r="B30" s="313"/>
      <c r="C30" s="314"/>
      <c r="D30" s="65"/>
      <c r="E30" s="77"/>
      <c r="F30" s="71">
        <v>841</v>
      </c>
      <c r="G30">
        <v>20</v>
      </c>
      <c r="H30" s="78">
        <f>PRODUCT(F30,0.2)</f>
        <v>168.20000000000002</v>
      </c>
      <c r="I30" s="315">
        <f>SUM(H30,F30)</f>
        <v>1009.2</v>
      </c>
      <c r="J30" s="316"/>
    </row>
    <row r="31" spans="1:10" ht="15.75" thickBot="1" x14ac:dyDescent="0.3">
      <c r="A31" s="317" t="s">
        <v>129</v>
      </c>
      <c r="B31" s="318"/>
      <c r="C31" s="319"/>
      <c r="D31" s="79"/>
      <c r="E31" s="80"/>
      <c r="F31" s="71">
        <v>1492</v>
      </c>
      <c r="G31" s="68">
        <v>7</v>
      </c>
      <c r="H31" s="81">
        <f>PRODUCT(F31,0.07)</f>
        <v>104.44000000000001</v>
      </c>
      <c r="I31" s="315">
        <f t="shared" si="0"/>
        <v>1596.44</v>
      </c>
      <c r="J31" s="316"/>
    </row>
    <row r="32" spans="1:10" ht="21" x14ac:dyDescent="0.2">
      <c r="A32" s="320" t="s">
        <v>130</v>
      </c>
      <c r="B32" s="321"/>
      <c r="C32" s="321"/>
      <c r="D32" s="321"/>
      <c r="E32" s="321"/>
      <c r="F32" s="82">
        <f>SUM(F25:F31)</f>
        <v>632956.33517999994</v>
      </c>
      <c r="G32" s="83"/>
      <c r="H32" s="84"/>
      <c r="I32" s="324">
        <f>SUM(I25:J31)</f>
        <v>721516.24210519996</v>
      </c>
      <c r="J32" s="324"/>
    </row>
    <row r="33" spans="1:10" ht="21.75" thickBot="1" x14ac:dyDescent="0.25">
      <c r="A33" s="322"/>
      <c r="B33" s="323"/>
      <c r="C33" s="323"/>
      <c r="D33" s="323"/>
      <c r="E33" s="323"/>
      <c r="F33" s="85"/>
      <c r="G33" s="86"/>
      <c r="H33" s="87"/>
      <c r="I33" s="324"/>
      <c r="J33" s="324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topLeftCell="A5" workbookViewId="0">
      <selection activeCell="G8" sqref="G8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93"/>
      <c r="B1" s="370" t="s">
        <v>132</v>
      </c>
      <c r="C1" s="371"/>
      <c r="D1" s="371"/>
      <c r="E1" s="371"/>
      <c r="F1" s="396" t="s">
        <v>88</v>
      </c>
      <c r="G1" s="397"/>
      <c r="H1" s="398"/>
    </row>
    <row r="2" spans="1:8" ht="15.75" customHeight="1" thickBot="1" x14ac:dyDescent="0.25">
      <c r="A2" s="394"/>
      <c r="B2" s="372"/>
      <c r="C2" s="373"/>
      <c r="D2" s="373"/>
      <c r="E2" s="373"/>
      <c r="F2" s="399"/>
      <c r="G2" s="400"/>
      <c r="H2" s="401"/>
    </row>
    <row r="3" spans="1:8" ht="15" customHeight="1" x14ac:dyDescent="0.2">
      <c r="A3" s="394"/>
      <c r="B3" s="372"/>
      <c r="C3" s="373"/>
      <c r="D3" s="373"/>
      <c r="E3" s="373"/>
      <c r="F3" s="396" t="s">
        <v>89</v>
      </c>
      <c r="G3" s="397"/>
      <c r="H3" s="398"/>
    </row>
    <row r="4" spans="1:8" ht="15.75" customHeight="1" thickBot="1" x14ac:dyDescent="0.25">
      <c r="A4" s="395"/>
      <c r="B4" s="374"/>
      <c r="C4" s="375"/>
      <c r="D4" s="375"/>
      <c r="E4" s="375"/>
      <c r="F4" s="402"/>
      <c r="G4" s="403"/>
      <c r="H4" s="404"/>
    </row>
    <row r="6" spans="1:8" ht="42.75" customHeight="1" x14ac:dyDescent="0.2"/>
    <row r="7" spans="1:8" ht="42.75" customHeight="1" x14ac:dyDescent="0.2">
      <c r="A7" s="90" t="s">
        <v>90</v>
      </c>
      <c r="B7" s="90" t="s">
        <v>133</v>
      </c>
      <c r="C7" s="90" t="s">
        <v>134</v>
      </c>
      <c r="D7" s="92" t="s">
        <v>91</v>
      </c>
      <c r="E7" s="90" t="s">
        <v>135</v>
      </c>
      <c r="F7" s="92" t="s">
        <v>92</v>
      </c>
      <c r="G7" s="92" t="s">
        <v>136</v>
      </c>
      <c r="H7" s="91" t="s">
        <v>93</v>
      </c>
    </row>
    <row r="8" spans="1:8" ht="15" x14ac:dyDescent="0.25">
      <c r="A8" s="162"/>
      <c r="B8" s="93" t="s">
        <v>137</v>
      </c>
      <c r="C8" s="94">
        <v>148296.1</v>
      </c>
      <c r="D8" s="95">
        <v>44713</v>
      </c>
      <c r="E8" s="94">
        <v>153235</v>
      </c>
      <c r="F8" s="95">
        <v>44743</v>
      </c>
      <c r="G8" s="96">
        <f>E8-C8</f>
        <v>4938.8999999999942</v>
      </c>
      <c r="H8" s="97"/>
    </row>
    <row r="9" spans="1:8" ht="36" customHeight="1" x14ac:dyDescent="0.25">
      <c r="A9" s="98"/>
      <c r="B9" s="98"/>
      <c r="C9" s="98"/>
      <c r="D9" s="98"/>
      <c r="E9" s="98"/>
      <c r="F9" s="98"/>
      <c r="G9" s="98"/>
      <c r="H9" s="98"/>
    </row>
    <row r="10" spans="1:8" ht="15" x14ac:dyDescent="0.25">
      <c r="A10" s="99"/>
      <c r="B10" s="405" t="s">
        <v>116</v>
      </c>
      <c r="C10" s="406"/>
      <c r="D10" s="407" t="s">
        <v>138</v>
      </c>
      <c r="E10" s="407"/>
      <c r="F10" s="405" t="s">
        <v>139</v>
      </c>
      <c r="G10" s="408"/>
      <c r="H10" s="406"/>
    </row>
    <row r="11" spans="1:8" ht="15" x14ac:dyDescent="0.25">
      <c r="A11" s="100" t="s">
        <v>140</v>
      </c>
      <c r="B11" s="409"/>
      <c r="C11" s="409"/>
      <c r="D11" s="409"/>
      <c r="E11" s="409"/>
      <c r="F11" s="409">
        <v>23</v>
      </c>
      <c r="G11" s="409"/>
      <c r="H11" s="409"/>
    </row>
    <row r="12" spans="1:8" ht="21" x14ac:dyDescent="0.35">
      <c r="A12" s="410" t="s">
        <v>141</v>
      </c>
      <c r="B12" s="410"/>
      <c r="C12" s="410"/>
      <c r="D12" s="410"/>
      <c r="E12" s="410"/>
      <c r="F12" s="410"/>
      <c r="G12" s="410"/>
      <c r="H12" s="410"/>
    </row>
    <row r="13" spans="1:8" ht="15" x14ac:dyDescent="0.25">
      <c r="A13" s="100" t="s">
        <v>142</v>
      </c>
      <c r="B13" s="409">
        <f>G8</f>
        <v>4938.8999999999942</v>
      </c>
      <c r="C13" s="409"/>
      <c r="D13" s="409">
        <v>8.7899999999999991</v>
      </c>
      <c r="E13" s="409"/>
      <c r="F13" s="411">
        <f>PRODUCT(D13,B13)</f>
        <v>43412.930999999946</v>
      </c>
      <c r="G13" s="411"/>
      <c r="H13" s="411"/>
    </row>
    <row r="14" spans="1:8" ht="45" customHeight="1" x14ac:dyDescent="0.2">
      <c r="A14" s="412" t="s">
        <v>143</v>
      </c>
      <c r="B14" s="412"/>
      <c r="C14" s="412"/>
      <c r="D14" s="412"/>
      <c r="E14" s="412"/>
      <c r="F14" s="412"/>
      <c r="G14" s="412"/>
      <c r="H14" s="412"/>
    </row>
    <row r="15" spans="1:8" x14ac:dyDescent="0.2">
      <c r="A15" s="413"/>
      <c r="B15" s="413"/>
      <c r="C15" s="413"/>
      <c r="D15" s="413"/>
      <c r="E15" s="413"/>
      <c r="F15" s="413"/>
      <c r="G15" s="413"/>
      <c r="H15" s="413"/>
    </row>
    <row r="16" spans="1:8" ht="15" x14ac:dyDescent="0.25">
      <c r="A16" s="101" t="s">
        <v>144</v>
      </c>
      <c r="B16" s="409">
        <v>0</v>
      </c>
      <c r="C16" s="409"/>
      <c r="D16" s="409">
        <v>0</v>
      </c>
      <c r="E16" s="409"/>
      <c r="F16" s="409">
        <f>PRODUCT(D16,B16)</f>
        <v>0</v>
      </c>
      <c r="G16" s="409"/>
      <c r="H16" s="409"/>
    </row>
    <row r="17" spans="1:8" ht="15" x14ac:dyDescent="0.25">
      <c r="A17" s="101" t="s">
        <v>145</v>
      </c>
      <c r="B17" s="409">
        <v>0</v>
      </c>
      <c r="C17" s="409"/>
      <c r="D17" s="409">
        <v>0</v>
      </c>
      <c r="E17" s="409"/>
      <c r="F17" s="409">
        <f>PRODUCT(D17,B17)</f>
        <v>0</v>
      </c>
      <c r="G17" s="409"/>
      <c r="H17" s="409"/>
    </row>
    <row r="18" spans="1:8" ht="15" x14ac:dyDescent="0.25">
      <c r="A18" s="101" t="s">
        <v>146</v>
      </c>
      <c r="B18" s="409">
        <v>0</v>
      </c>
      <c r="C18" s="409"/>
      <c r="D18" s="409">
        <v>0</v>
      </c>
      <c r="E18" s="409"/>
      <c r="F18" s="409">
        <f>PRODUCT(D18,B18)</f>
        <v>0</v>
      </c>
      <c r="G18" s="409"/>
      <c r="H18" s="409"/>
    </row>
    <row r="19" spans="1:8" ht="15" x14ac:dyDescent="0.25">
      <c r="A19" s="101" t="s">
        <v>147</v>
      </c>
      <c r="B19" s="409">
        <f>G8</f>
        <v>4938.8999999999942</v>
      </c>
      <c r="C19" s="409"/>
      <c r="D19" s="409">
        <v>2.61</v>
      </c>
      <c r="E19" s="409"/>
      <c r="F19" s="409">
        <f>PRODUCT(D19,B19)</f>
        <v>12890.528999999984</v>
      </c>
      <c r="G19" s="409"/>
      <c r="H19" s="409"/>
    </row>
    <row r="20" spans="1:8" ht="18.75" x14ac:dyDescent="0.3">
      <c r="A20" s="425" t="s">
        <v>148</v>
      </c>
      <c r="B20" s="426"/>
      <c r="C20" s="426"/>
      <c r="D20" s="426"/>
      <c r="E20" s="427"/>
      <c r="F20" s="428">
        <f>SUM(F11+F13+F16+F17+F18+F19)</f>
        <v>56326.459999999934</v>
      </c>
      <c r="G20" s="428"/>
      <c r="H20" s="428"/>
    </row>
    <row r="21" spans="1:8" ht="15" x14ac:dyDescent="0.25">
      <c r="A21" s="414" t="s">
        <v>149</v>
      </c>
      <c r="B21" s="415"/>
      <c r="C21" s="415"/>
      <c r="D21" s="415"/>
      <c r="E21" s="416"/>
      <c r="F21" s="409">
        <f>PRODUCT(F20,0.07)</f>
        <v>3942.8521999999957</v>
      </c>
      <c r="G21" s="409"/>
      <c r="H21" s="409"/>
    </row>
    <row r="22" spans="1:8" ht="15" x14ac:dyDescent="0.25">
      <c r="A22" s="429" t="s">
        <v>150</v>
      </c>
      <c r="B22" s="430"/>
      <c r="C22" s="430"/>
      <c r="D22" s="430"/>
      <c r="E22" s="431"/>
      <c r="F22" s="409">
        <v>208.26</v>
      </c>
      <c r="G22" s="409"/>
      <c r="H22" s="409"/>
    </row>
    <row r="23" spans="1:8" ht="15.75" x14ac:dyDescent="0.25">
      <c r="A23" s="414" t="s">
        <v>151</v>
      </c>
      <c r="B23" s="415"/>
      <c r="C23" s="415"/>
      <c r="D23" s="415"/>
      <c r="E23" s="416"/>
      <c r="F23" s="417">
        <f>SUM(F21:H22)</f>
        <v>4151.1121999999959</v>
      </c>
      <c r="G23" s="417"/>
      <c r="H23" s="417"/>
    </row>
    <row r="24" spans="1:8" x14ac:dyDescent="0.2">
      <c r="A24" s="418" t="s">
        <v>152</v>
      </c>
      <c r="B24" s="419"/>
      <c r="C24" s="419"/>
      <c r="D24" s="419"/>
      <c r="E24" s="420"/>
      <c r="F24" s="424">
        <f>SUM(F20,F23)</f>
        <v>60477.57219999993</v>
      </c>
      <c r="G24" s="424"/>
      <c r="H24" s="424"/>
    </row>
    <row r="25" spans="1:8" x14ac:dyDescent="0.2">
      <c r="A25" s="421"/>
      <c r="B25" s="422"/>
      <c r="C25" s="422"/>
      <c r="D25" s="422"/>
      <c r="E25" s="423"/>
      <c r="F25" s="424"/>
      <c r="G25" s="424"/>
      <c r="H25" s="424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topLeftCell="B5" workbookViewId="0">
      <selection activeCell="E9" sqref="E9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93"/>
      <c r="B1" s="370" t="s">
        <v>153</v>
      </c>
      <c r="C1" s="371"/>
      <c r="D1" s="371"/>
      <c r="E1" s="371"/>
      <c r="F1" s="396" t="s">
        <v>88</v>
      </c>
      <c r="G1" s="397"/>
      <c r="H1" s="398"/>
    </row>
    <row r="2" spans="1:8" ht="15.75" customHeight="1" thickBot="1" x14ac:dyDescent="0.25">
      <c r="A2" s="394"/>
      <c r="B2" s="372"/>
      <c r="C2" s="373"/>
      <c r="D2" s="373"/>
      <c r="E2" s="373"/>
      <c r="F2" s="399"/>
      <c r="G2" s="400"/>
      <c r="H2" s="401"/>
    </row>
    <row r="3" spans="1:8" ht="15" customHeight="1" x14ac:dyDescent="0.2">
      <c r="A3" s="394"/>
      <c r="B3" s="372"/>
      <c r="C3" s="373"/>
      <c r="D3" s="373"/>
      <c r="E3" s="373"/>
      <c r="F3" s="396" t="s">
        <v>89</v>
      </c>
      <c r="G3" s="397"/>
      <c r="H3" s="398"/>
    </row>
    <row r="4" spans="1:8" ht="15.75" customHeight="1" thickBot="1" x14ac:dyDescent="0.25">
      <c r="A4" s="395"/>
      <c r="B4" s="374"/>
      <c r="C4" s="375"/>
      <c r="D4" s="375"/>
      <c r="E4" s="375"/>
      <c r="F4" s="402"/>
      <c r="G4" s="403"/>
      <c r="H4" s="404"/>
    </row>
    <row r="6" spans="1:8" ht="42.75" customHeight="1" x14ac:dyDescent="0.2"/>
    <row r="7" spans="1:8" ht="42.75" customHeight="1" x14ac:dyDescent="0.2">
      <c r="A7" s="90" t="s">
        <v>90</v>
      </c>
      <c r="B7" s="90" t="s">
        <v>133</v>
      </c>
      <c r="C7" s="90" t="s">
        <v>134</v>
      </c>
      <c r="D7" s="92" t="s">
        <v>91</v>
      </c>
      <c r="E7" s="90" t="s">
        <v>135</v>
      </c>
      <c r="F7" s="92" t="s">
        <v>92</v>
      </c>
      <c r="G7" s="92" t="s">
        <v>136</v>
      </c>
      <c r="H7" s="91" t="s">
        <v>93</v>
      </c>
    </row>
    <row r="8" spans="1:8" ht="15" x14ac:dyDescent="0.25">
      <c r="A8" s="162"/>
      <c r="B8" s="93" t="s">
        <v>137</v>
      </c>
      <c r="C8" s="94">
        <v>148296.1</v>
      </c>
      <c r="D8" s="95">
        <v>44713</v>
      </c>
      <c r="E8" s="94">
        <v>148461.29999999999</v>
      </c>
      <c r="F8" s="95">
        <v>44714</v>
      </c>
      <c r="G8" s="96">
        <f>E8-C8</f>
        <v>165.19999999998254</v>
      </c>
      <c r="H8" s="97"/>
    </row>
    <row r="9" spans="1:8" ht="36" customHeight="1" x14ac:dyDescent="0.25">
      <c r="A9" s="98"/>
      <c r="B9" s="98"/>
      <c r="C9" s="98"/>
      <c r="D9" s="98"/>
      <c r="E9" s="98"/>
      <c r="F9" s="98"/>
      <c r="G9" s="98"/>
      <c r="H9" s="98"/>
    </row>
    <row r="10" spans="1:8" ht="15" x14ac:dyDescent="0.25">
      <c r="A10" s="99"/>
      <c r="B10" s="405" t="s">
        <v>116</v>
      </c>
      <c r="C10" s="406"/>
      <c r="D10" s="407" t="s">
        <v>138</v>
      </c>
      <c r="E10" s="407"/>
      <c r="F10" s="405" t="s">
        <v>139</v>
      </c>
      <c r="G10" s="408"/>
      <c r="H10" s="406"/>
    </row>
    <row r="11" spans="1:8" ht="15" x14ac:dyDescent="0.25">
      <c r="A11" s="100" t="s">
        <v>140</v>
      </c>
      <c r="B11" s="409"/>
      <c r="C11" s="409"/>
      <c r="D11" s="409"/>
      <c r="E11" s="409"/>
      <c r="F11" s="409">
        <v>23</v>
      </c>
      <c r="G11" s="409"/>
      <c r="H11" s="409"/>
    </row>
    <row r="12" spans="1:8" ht="21" x14ac:dyDescent="0.35">
      <c r="A12" s="410" t="s">
        <v>141</v>
      </c>
      <c r="B12" s="410"/>
      <c r="C12" s="410"/>
      <c r="D12" s="410"/>
      <c r="E12" s="410"/>
      <c r="F12" s="410"/>
      <c r="G12" s="410"/>
      <c r="H12" s="410"/>
    </row>
    <row r="13" spans="1:8" ht="15" x14ac:dyDescent="0.25">
      <c r="A13" s="100" t="s">
        <v>142</v>
      </c>
      <c r="B13" s="409">
        <f>G8</f>
        <v>165.19999999998254</v>
      </c>
      <c r="C13" s="409"/>
      <c r="D13" s="409">
        <v>8.5</v>
      </c>
      <c r="E13" s="409"/>
      <c r="F13" s="411">
        <f>PRODUCT(D13,B13)</f>
        <v>1404.1999999998516</v>
      </c>
      <c r="G13" s="411"/>
      <c r="H13" s="411"/>
    </row>
    <row r="14" spans="1:8" ht="45" customHeight="1" x14ac:dyDescent="0.2">
      <c r="A14" s="412" t="s">
        <v>143</v>
      </c>
      <c r="B14" s="412"/>
      <c r="C14" s="412"/>
      <c r="D14" s="412"/>
      <c r="E14" s="412"/>
      <c r="F14" s="412"/>
      <c r="G14" s="412"/>
      <c r="H14" s="412"/>
    </row>
    <row r="15" spans="1:8" x14ac:dyDescent="0.2">
      <c r="A15" s="413"/>
      <c r="B15" s="413"/>
      <c r="C15" s="413"/>
      <c r="D15" s="413"/>
      <c r="E15" s="413"/>
      <c r="F15" s="413"/>
      <c r="G15" s="413"/>
      <c r="H15" s="413"/>
    </row>
    <row r="16" spans="1:8" ht="15" x14ac:dyDescent="0.25">
      <c r="A16" s="101" t="s">
        <v>144</v>
      </c>
      <c r="B16" s="409">
        <v>0</v>
      </c>
      <c r="C16" s="409"/>
      <c r="D16" s="409">
        <v>0</v>
      </c>
      <c r="E16" s="409"/>
      <c r="F16" s="409">
        <f>PRODUCT(D16,B16)</f>
        <v>0</v>
      </c>
      <c r="G16" s="409"/>
      <c r="H16" s="409"/>
    </row>
    <row r="17" spans="1:8" ht="15" x14ac:dyDescent="0.25">
      <c r="A17" s="101" t="s">
        <v>145</v>
      </c>
      <c r="B17" s="409">
        <v>0</v>
      </c>
      <c r="C17" s="409"/>
      <c r="D17" s="409">
        <v>0</v>
      </c>
      <c r="E17" s="409"/>
      <c r="F17" s="409">
        <f>PRODUCT(D17,B17)</f>
        <v>0</v>
      </c>
      <c r="G17" s="409"/>
      <c r="H17" s="409"/>
    </row>
    <row r="18" spans="1:8" ht="15" x14ac:dyDescent="0.25">
      <c r="A18" s="101" t="s">
        <v>146</v>
      </c>
      <c r="B18" s="409">
        <v>0</v>
      </c>
      <c r="C18" s="409"/>
      <c r="D18" s="409">
        <v>0</v>
      </c>
      <c r="E18" s="409"/>
      <c r="F18" s="409">
        <f>PRODUCT(D18,B18)</f>
        <v>0</v>
      </c>
      <c r="G18" s="409"/>
      <c r="H18" s="409"/>
    </row>
    <row r="19" spans="1:8" ht="15" x14ac:dyDescent="0.25">
      <c r="A19" s="101" t="s">
        <v>147</v>
      </c>
      <c r="B19" s="409">
        <v>0</v>
      </c>
      <c r="C19" s="409"/>
      <c r="D19" s="432">
        <v>0</v>
      </c>
      <c r="E19" s="433"/>
      <c r="F19" s="432">
        <v>0</v>
      </c>
      <c r="G19" s="433"/>
      <c r="H19" s="162"/>
    </row>
    <row r="20" spans="1:8" ht="15" x14ac:dyDescent="0.25">
      <c r="A20" s="101" t="s">
        <v>154</v>
      </c>
      <c r="B20" s="409">
        <f>G8</f>
        <v>165.19999999998254</v>
      </c>
      <c r="C20" s="409"/>
      <c r="D20" s="409">
        <v>2.54</v>
      </c>
      <c r="E20" s="409"/>
      <c r="F20" s="409">
        <f>PRODUCT(D20,B20)</f>
        <v>419.60799999995567</v>
      </c>
      <c r="G20" s="409"/>
      <c r="H20" s="409"/>
    </row>
    <row r="21" spans="1:8" ht="18.75" x14ac:dyDescent="0.3">
      <c r="A21" s="425" t="s">
        <v>148</v>
      </c>
      <c r="B21" s="426"/>
      <c r="C21" s="426"/>
      <c r="D21" s="426"/>
      <c r="E21" s="427"/>
      <c r="F21" s="428">
        <f>SUM(F11+F13+F16+F17+F18+F20)</f>
        <v>1846.8079999998072</v>
      </c>
      <c r="G21" s="428"/>
      <c r="H21" s="428"/>
    </row>
    <row r="22" spans="1:8" ht="15" x14ac:dyDescent="0.25">
      <c r="A22" s="414" t="s">
        <v>149</v>
      </c>
      <c r="B22" s="415"/>
      <c r="C22" s="415"/>
      <c r="D22" s="415"/>
      <c r="E22" s="416"/>
      <c r="F22" s="409">
        <f>PRODUCT(F21,0.07)</f>
        <v>129.27655999998652</v>
      </c>
      <c r="G22" s="409"/>
      <c r="H22" s="409"/>
    </row>
    <row r="23" spans="1:8" ht="15" x14ac:dyDescent="0.25">
      <c r="A23" s="429" t="s">
        <v>150</v>
      </c>
      <c r="B23" s="430"/>
      <c r="C23" s="430"/>
      <c r="D23" s="430"/>
      <c r="E23" s="431"/>
      <c r="F23" s="409">
        <v>208.26</v>
      </c>
      <c r="G23" s="409"/>
      <c r="H23" s="409"/>
    </row>
    <row r="24" spans="1:8" ht="15.75" x14ac:dyDescent="0.25">
      <c r="A24" s="414" t="s">
        <v>151</v>
      </c>
      <c r="B24" s="415"/>
      <c r="C24" s="415"/>
      <c r="D24" s="415"/>
      <c r="E24" s="416"/>
      <c r="F24" s="417">
        <f>SUM(F22:H23)</f>
        <v>337.53655999998648</v>
      </c>
      <c r="G24" s="417"/>
      <c r="H24" s="417"/>
    </row>
    <row r="25" spans="1:8" x14ac:dyDescent="0.2">
      <c r="A25" s="418" t="s">
        <v>152</v>
      </c>
      <c r="B25" s="419"/>
      <c r="C25" s="419"/>
      <c r="D25" s="419"/>
      <c r="E25" s="420"/>
      <c r="F25" s="424">
        <f>SUM(F21,F24)</f>
        <v>2184.3445599997935</v>
      </c>
      <c r="G25" s="424"/>
      <c r="H25" s="424"/>
    </row>
    <row r="26" spans="1:8" x14ac:dyDescent="0.2">
      <c r="A26" s="421"/>
      <c r="B26" s="422"/>
      <c r="C26" s="422"/>
      <c r="D26" s="422"/>
      <c r="E26" s="423"/>
      <c r="F26" s="424"/>
      <c r="G26" s="424"/>
      <c r="H26" s="424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F9" sqref="F9"/>
    </sheetView>
  </sheetViews>
  <sheetFormatPr baseColWidth="10" defaultColWidth="11.42578125" defaultRowHeight="12.75" x14ac:dyDescent="0.2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93"/>
      <c r="B1" s="370" t="s">
        <v>155</v>
      </c>
      <c r="C1" s="371"/>
      <c r="D1" s="371"/>
      <c r="E1" s="371"/>
      <c r="F1" s="396" t="s">
        <v>88</v>
      </c>
      <c r="G1" s="397"/>
      <c r="H1" s="398"/>
    </row>
    <row r="2" spans="1:8" ht="15.75" customHeight="1" thickBot="1" x14ac:dyDescent="0.25">
      <c r="A2" s="394"/>
      <c r="B2" s="372"/>
      <c r="C2" s="373"/>
      <c r="D2" s="373"/>
      <c r="E2" s="373"/>
      <c r="F2" s="399"/>
      <c r="G2" s="400"/>
      <c r="H2" s="401"/>
    </row>
    <row r="3" spans="1:8" ht="15" customHeight="1" x14ac:dyDescent="0.2">
      <c r="A3" s="394"/>
      <c r="B3" s="372"/>
      <c r="C3" s="373"/>
      <c r="D3" s="373"/>
      <c r="E3" s="373"/>
      <c r="F3" s="396" t="s">
        <v>89</v>
      </c>
      <c r="G3" s="397"/>
      <c r="H3" s="398"/>
    </row>
    <row r="4" spans="1:8" ht="15.75" customHeight="1" thickBot="1" x14ac:dyDescent="0.25">
      <c r="A4" s="395"/>
      <c r="B4" s="374"/>
      <c r="C4" s="375"/>
      <c r="D4" s="375"/>
      <c r="E4" s="375"/>
      <c r="F4" s="402"/>
      <c r="G4" s="403"/>
      <c r="H4" s="404"/>
    </row>
    <row r="6" spans="1:8" ht="42.75" customHeight="1" x14ac:dyDescent="0.2"/>
    <row r="7" spans="1:8" ht="42.75" customHeight="1" x14ac:dyDescent="0.2">
      <c r="A7" s="90" t="s">
        <v>90</v>
      </c>
      <c r="B7" s="90" t="s">
        <v>133</v>
      </c>
      <c r="C7" s="90" t="s">
        <v>134</v>
      </c>
      <c r="D7" s="92" t="s">
        <v>91</v>
      </c>
      <c r="E7" s="90" t="s">
        <v>135</v>
      </c>
      <c r="F7" s="92" t="s">
        <v>92</v>
      </c>
      <c r="G7" s="92" t="s">
        <v>136</v>
      </c>
      <c r="H7" s="91" t="s">
        <v>93</v>
      </c>
    </row>
    <row r="8" spans="1:8" ht="15" x14ac:dyDescent="0.25">
      <c r="A8" s="162"/>
      <c r="B8" s="93" t="s">
        <v>137</v>
      </c>
      <c r="C8" s="94">
        <v>2560</v>
      </c>
      <c r="D8" s="95">
        <v>44317</v>
      </c>
      <c r="E8" s="94">
        <v>2560</v>
      </c>
      <c r="F8" s="95">
        <v>44713</v>
      </c>
      <c r="G8" s="96">
        <f>E8-C8</f>
        <v>0</v>
      </c>
      <c r="H8" s="97"/>
    </row>
    <row r="9" spans="1:8" ht="36" customHeight="1" x14ac:dyDescent="0.25">
      <c r="A9" s="98"/>
      <c r="B9" s="98"/>
      <c r="C9" s="98"/>
      <c r="D9" s="98"/>
      <c r="E9" s="98"/>
      <c r="F9" s="98"/>
      <c r="G9" s="98"/>
      <c r="H9" s="98"/>
    </row>
    <row r="10" spans="1:8" ht="15" x14ac:dyDescent="0.25">
      <c r="A10" s="99"/>
      <c r="B10" s="405" t="s">
        <v>116</v>
      </c>
      <c r="C10" s="406"/>
      <c r="D10" s="407" t="s">
        <v>138</v>
      </c>
      <c r="E10" s="407"/>
      <c r="F10" s="405" t="s">
        <v>139</v>
      </c>
      <c r="G10" s="408"/>
      <c r="H10" s="406"/>
    </row>
    <row r="11" spans="1:8" ht="15" x14ac:dyDescent="0.25">
      <c r="A11" s="100" t="s">
        <v>140</v>
      </c>
      <c r="B11" s="409"/>
      <c r="C11" s="409"/>
      <c r="D11" s="409"/>
      <c r="E11" s="409"/>
      <c r="F11" s="409">
        <v>15</v>
      </c>
      <c r="G11" s="409"/>
      <c r="H11" s="409"/>
    </row>
    <row r="12" spans="1:8" ht="21" x14ac:dyDescent="0.35">
      <c r="A12" s="410" t="s">
        <v>141</v>
      </c>
      <c r="B12" s="410"/>
      <c r="C12" s="410"/>
      <c r="D12" s="410"/>
      <c r="E12" s="410"/>
      <c r="F12" s="410"/>
      <c r="G12" s="410"/>
      <c r="H12" s="410"/>
    </row>
    <row r="13" spans="1:8" ht="15" x14ac:dyDescent="0.25">
      <c r="A13" s="100" t="s">
        <v>156</v>
      </c>
      <c r="B13" s="409">
        <f>G8</f>
        <v>0</v>
      </c>
      <c r="C13" s="409"/>
      <c r="D13" s="409">
        <v>16.48</v>
      </c>
      <c r="E13" s="409"/>
      <c r="F13" s="411">
        <f>PRODUCT(D13,B13)</f>
        <v>0</v>
      </c>
      <c r="G13" s="411"/>
      <c r="H13" s="411"/>
    </row>
    <row r="14" spans="1:8" ht="15" x14ac:dyDescent="0.25">
      <c r="A14" s="100" t="s">
        <v>157</v>
      </c>
      <c r="B14" s="432"/>
      <c r="C14" s="433"/>
      <c r="D14" s="432"/>
      <c r="E14" s="433"/>
      <c r="F14" s="432"/>
      <c r="G14" s="433"/>
      <c r="H14" s="109"/>
    </row>
    <row r="15" spans="1:8" ht="15" x14ac:dyDescent="0.25">
      <c r="A15" s="100" t="s">
        <v>158</v>
      </c>
      <c r="B15" s="432"/>
      <c r="C15" s="433"/>
      <c r="D15" s="432"/>
      <c r="E15" s="433"/>
      <c r="F15" s="432"/>
      <c r="G15" s="433"/>
      <c r="H15" s="109"/>
    </row>
    <row r="16" spans="1:8" ht="15" x14ac:dyDescent="0.25">
      <c r="A16" s="100" t="s">
        <v>159</v>
      </c>
      <c r="B16" s="432"/>
      <c r="C16" s="433"/>
      <c r="D16" s="432"/>
      <c r="E16" s="433"/>
      <c r="F16" s="432"/>
      <c r="G16" s="433"/>
      <c r="H16" s="109"/>
    </row>
    <row r="17" spans="1:8" ht="15" x14ac:dyDescent="0.25">
      <c r="A17" s="100" t="s">
        <v>160</v>
      </c>
      <c r="B17" s="432"/>
      <c r="C17" s="433"/>
      <c r="D17" s="432"/>
      <c r="E17" s="433"/>
      <c r="F17" s="432"/>
      <c r="G17" s="433"/>
      <c r="H17" s="109"/>
    </row>
    <row r="18" spans="1:8" ht="45" customHeight="1" x14ac:dyDescent="0.2">
      <c r="A18" s="412" t="s">
        <v>143</v>
      </c>
      <c r="B18" s="412"/>
      <c r="C18" s="412"/>
      <c r="D18" s="412"/>
      <c r="E18" s="412"/>
      <c r="F18" s="412"/>
      <c r="G18" s="412"/>
      <c r="H18" s="412"/>
    </row>
    <row r="19" spans="1:8" x14ac:dyDescent="0.2">
      <c r="A19" s="413"/>
      <c r="B19" s="413"/>
      <c r="C19" s="413"/>
      <c r="D19" s="413"/>
      <c r="E19" s="413"/>
      <c r="F19" s="413"/>
      <c r="G19" s="413"/>
      <c r="H19" s="413"/>
    </row>
    <row r="20" spans="1:8" ht="15" x14ac:dyDescent="0.25">
      <c r="A20" s="101" t="s">
        <v>144</v>
      </c>
      <c r="B20" s="409">
        <v>0</v>
      </c>
      <c r="C20" s="409"/>
      <c r="D20" s="409">
        <v>0</v>
      </c>
      <c r="E20" s="409"/>
      <c r="F20" s="409">
        <f>PRODUCT(D20,B20)</f>
        <v>0</v>
      </c>
      <c r="G20" s="409"/>
      <c r="H20" s="409"/>
    </row>
    <row r="21" spans="1:8" ht="15" x14ac:dyDescent="0.25">
      <c r="A21" s="101" t="s">
        <v>145</v>
      </c>
      <c r="B21" s="409">
        <v>0</v>
      </c>
      <c r="C21" s="409"/>
      <c r="D21" s="409">
        <v>0</v>
      </c>
      <c r="E21" s="409"/>
      <c r="F21" s="409">
        <f>PRODUCT(D21,B21)</f>
        <v>0</v>
      </c>
      <c r="G21" s="409"/>
      <c r="H21" s="409"/>
    </row>
    <row r="22" spans="1:8" ht="15" x14ac:dyDescent="0.25">
      <c r="A22" s="101" t="s">
        <v>146</v>
      </c>
      <c r="B22" s="409">
        <v>0</v>
      </c>
      <c r="C22" s="409"/>
      <c r="D22" s="409">
        <v>0</v>
      </c>
      <c r="E22" s="409"/>
      <c r="F22" s="409">
        <f>PRODUCT(D22,B22)</f>
        <v>0</v>
      </c>
      <c r="G22" s="409"/>
      <c r="H22" s="409"/>
    </row>
    <row r="23" spans="1:8" ht="15" x14ac:dyDescent="0.25">
      <c r="A23" s="101" t="s">
        <v>147</v>
      </c>
      <c r="B23" s="409">
        <f>G8</f>
        <v>0</v>
      </c>
      <c r="C23" s="409"/>
      <c r="D23" s="409">
        <v>0</v>
      </c>
      <c r="E23" s="409"/>
      <c r="F23" s="409">
        <f>PRODUCT(D23,B23)</f>
        <v>0</v>
      </c>
      <c r="G23" s="409"/>
      <c r="H23" s="409"/>
    </row>
    <row r="24" spans="1:8" ht="15" x14ac:dyDescent="0.25">
      <c r="A24" s="101" t="s">
        <v>154</v>
      </c>
      <c r="B24" s="432">
        <v>0</v>
      </c>
      <c r="C24" s="433"/>
      <c r="D24" s="432">
        <v>2.54</v>
      </c>
      <c r="E24" s="433"/>
      <c r="F24" s="432">
        <f>B24*D24</f>
        <v>0</v>
      </c>
      <c r="G24" s="433"/>
      <c r="H24" s="162"/>
    </row>
    <row r="25" spans="1:8" ht="18.75" x14ac:dyDescent="0.3">
      <c r="A25" s="425" t="s">
        <v>148</v>
      </c>
      <c r="B25" s="426"/>
      <c r="C25" s="426"/>
      <c r="D25" s="426"/>
      <c r="E25" s="427"/>
      <c r="F25" s="434">
        <f>SUM(F11+F13+F20+F21+F22+F23)</f>
        <v>15</v>
      </c>
      <c r="G25" s="428"/>
      <c r="H25" s="428"/>
    </row>
    <row r="26" spans="1:8" ht="15" x14ac:dyDescent="0.25">
      <c r="A26" s="414" t="s">
        <v>149</v>
      </c>
      <c r="B26" s="415"/>
      <c r="C26" s="415"/>
      <c r="D26" s="415"/>
      <c r="E26" s="416"/>
      <c r="F26" s="409">
        <v>63.63</v>
      </c>
      <c r="G26" s="409"/>
      <c r="H26" s="409"/>
    </row>
    <row r="27" spans="1:8" ht="15" x14ac:dyDescent="0.25">
      <c r="A27" s="429" t="s">
        <v>150</v>
      </c>
      <c r="B27" s="430"/>
      <c r="C27" s="430"/>
      <c r="D27" s="430"/>
      <c r="E27" s="431"/>
      <c r="F27" s="409">
        <v>2.4300000000000002</v>
      </c>
      <c r="G27" s="409"/>
      <c r="H27" s="409"/>
    </row>
    <row r="28" spans="1:8" ht="15.75" x14ac:dyDescent="0.25">
      <c r="A28" s="414" t="s">
        <v>151</v>
      </c>
      <c r="B28" s="415"/>
      <c r="C28" s="415"/>
      <c r="D28" s="415"/>
      <c r="E28" s="416"/>
      <c r="F28" s="417">
        <f>SUM(F26:H27)</f>
        <v>66.06</v>
      </c>
      <c r="G28" s="417"/>
      <c r="H28" s="417"/>
    </row>
    <row r="29" spans="1:8" x14ac:dyDescent="0.2">
      <c r="A29" s="418" t="s">
        <v>152</v>
      </c>
      <c r="B29" s="419"/>
      <c r="C29" s="419"/>
      <c r="D29" s="419"/>
      <c r="E29" s="420"/>
      <c r="F29" s="424">
        <f>SUM(F25,F28)</f>
        <v>81.06</v>
      </c>
      <c r="G29" s="424"/>
      <c r="H29" s="424"/>
    </row>
    <row r="30" spans="1:8" x14ac:dyDescent="0.2">
      <c r="A30" s="421"/>
      <c r="B30" s="422"/>
      <c r="C30" s="422"/>
      <c r="D30" s="422"/>
      <c r="E30" s="423"/>
      <c r="F30" s="424"/>
      <c r="G30" s="424"/>
      <c r="H30" s="424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14" zoomScaleNormal="100" workbookViewId="0">
      <selection activeCell="H26" sqref="H26"/>
    </sheetView>
  </sheetViews>
  <sheetFormatPr baseColWidth="10" defaultColWidth="14.140625" defaultRowHeight="12.75" x14ac:dyDescent="0.2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 x14ac:dyDescent="0.25"/>
    <row r="5" spans="2:14" ht="21" thickBot="1" x14ac:dyDescent="0.35">
      <c r="C5" s="435" t="s">
        <v>161</v>
      </c>
      <c r="D5" s="436"/>
      <c r="E5" s="436"/>
      <c r="F5" s="436"/>
      <c r="G5" s="436"/>
      <c r="H5" s="436"/>
      <c r="I5" s="436"/>
      <c r="J5" s="436"/>
      <c r="K5" s="436"/>
      <c r="L5" s="436"/>
      <c r="M5" s="436"/>
      <c r="N5" s="437"/>
    </row>
    <row r="7" spans="2:14" x14ac:dyDescent="0.2">
      <c r="C7" s="103" t="s">
        <v>162</v>
      </c>
      <c r="D7" s="103" t="s">
        <v>163</v>
      </c>
      <c r="E7" s="103" t="s">
        <v>164</v>
      </c>
      <c r="F7" s="103" t="s">
        <v>165</v>
      </c>
      <c r="G7" s="103" t="s">
        <v>166</v>
      </c>
      <c r="H7" s="103" t="s">
        <v>167</v>
      </c>
      <c r="I7" s="103" t="s">
        <v>168</v>
      </c>
      <c r="J7" s="103" t="s">
        <v>169</v>
      </c>
      <c r="K7" s="103" t="s">
        <v>170</v>
      </c>
      <c r="L7" s="103" t="s">
        <v>171</v>
      </c>
      <c r="M7" s="103" t="s">
        <v>172</v>
      </c>
      <c r="N7" s="103" t="s">
        <v>173</v>
      </c>
    </row>
    <row r="8" spans="2:14" ht="32.25" customHeight="1" x14ac:dyDescent="0.2">
      <c r="B8" s="104" t="s">
        <v>174</v>
      </c>
      <c r="C8" s="441"/>
      <c r="D8" s="442"/>
      <c r="E8" s="442"/>
      <c r="F8" s="442"/>
      <c r="G8" s="442"/>
      <c r="H8" s="442"/>
      <c r="I8" s="442"/>
      <c r="J8" s="442"/>
      <c r="K8" s="443"/>
      <c r="L8" s="102">
        <v>544520</v>
      </c>
      <c r="M8" s="102">
        <v>561765</v>
      </c>
      <c r="N8" s="102">
        <v>546771</v>
      </c>
    </row>
    <row r="9" spans="2:14" ht="33" customHeight="1" x14ac:dyDescent="0.2">
      <c r="B9" s="105" t="s">
        <v>175</v>
      </c>
      <c r="C9" s="102">
        <v>564170</v>
      </c>
      <c r="D9" s="102">
        <v>532072</v>
      </c>
      <c r="E9" s="102">
        <v>405239</v>
      </c>
      <c r="F9" s="102">
        <v>469130</v>
      </c>
      <c r="G9" s="102">
        <v>543877</v>
      </c>
      <c r="H9" s="102">
        <v>605744</v>
      </c>
      <c r="I9" s="102">
        <v>722083</v>
      </c>
      <c r="J9" s="102">
        <v>802210</v>
      </c>
      <c r="K9" s="102">
        <v>762933</v>
      </c>
      <c r="L9" s="102">
        <v>670848</v>
      </c>
      <c r="M9" s="102">
        <v>626451</v>
      </c>
      <c r="N9" s="102">
        <v>557392</v>
      </c>
    </row>
    <row r="10" spans="2:14" ht="33" customHeight="1" x14ac:dyDescent="0.2">
      <c r="B10" s="110" t="s">
        <v>176</v>
      </c>
      <c r="C10" s="102">
        <v>520977</v>
      </c>
      <c r="D10" s="102">
        <v>541271</v>
      </c>
      <c r="E10" s="102">
        <v>508392</v>
      </c>
      <c r="F10" s="102">
        <v>659200</v>
      </c>
      <c r="G10" s="102">
        <v>705703</v>
      </c>
      <c r="H10" s="102">
        <v>784214</v>
      </c>
      <c r="I10" s="102">
        <v>823726</v>
      </c>
      <c r="J10" s="102">
        <v>913736</v>
      </c>
      <c r="K10" s="102">
        <v>831734</v>
      </c>
      <c r="L10" s="102">
        <v>794243</v>
      </c>
      <c r="M10" s="102">
        <v>688127</v>
      </c>
      <c r="N10" s="102">
        <v>577067</v>
      </c>
    </row>
    <row r="11" spans="2:14" ht="29.25" customHeight="1" x14ac:dyDescent="0.2">
      <c r="B11" s="106" t="s">
        <v>177</v>
      </c>
      <c r="C11" s="102">
        <v>586355</v>
      </c>
      <c r="D11" s="102">
        <v>563735</v>
      </c>
      <c r="E11" s="102">
        <v>512313</v>
      </c>
      <c r="F11" s="102">
        <v>573440</v>
      </c>
      <c r="G11" s="102">
        <v>535115</v>
      </c>
      <c r="H11" s="102">
        <v>570139</v>
      </c>
      <c r="I11" s="102">
        <v>669302</v>
      </c>
      <c r="J11" s="102">
        <v>704714</v>
      </c>
      <c r="K11" s="102">
        <v>682717</v>
      </c>
      <c r="L11" s="102">
        <v>581239</v>
      </c>
      <c r="M11" s="102">
        <v>438561</v>
      </c>
      <c r="N11" s="102">
        <v>400672</v>
      </c>
    </row>
    <row r="12" spans="2:14" ht="33.75" customHeight="1" x14ac:dyDescent="0.2">
      <c r="B12" s="116" t="s">
        <v>178</v>
      </c>
      <c r="C12" s="102">
        <v>388363</v>
      </c>
      <c r="D12" s="102">
        <v>407737</v>
      </c>
      <c r="E12" s="102">
        <v>392102</v>
      </c>
      <c r="F12" s="102">
        <v>454554</v>
      </c>
      <c r="G12" s="102">
        <v>448580</v>
      </c>
      <c r="H12" s="102">
        <v>535391</v>
      </c>
      <c r="I12" s="102">
        <v>549301</v>
      </c>
      <c r="J12" s="102">
        <v>576078</v>
      </c>
      <c r="K12" s="102">
        <v>612675</v>
      </c>
      <c r="L12" s="102">
        <v>542640</v>
      </c>
      <c r="M12" s="102">
        <v>507495</v>
      </c>
      <c r="N12" s="102">
        <v>444826</v>
      </c>
    </row>
    <row r="13" spans="2:14" ht="33.75" customHeight="1" x14ac:dyDescent="0.2">
      <c r="B13" s="145" t="s">
        <v>179</v>
      </c>
      <c r="C13" s="102">
        <v>417018</v>
      </c>
      <c r="D13" s="102">
        <v>434912</v>
      </c>
      <c r="E13" s="102">
        <v>278008</v>
      </c>
      <c r="F13" s="102">
        <v>90895</v>
      </c>
      <c r="G13" s="102">
        <v>70143</v>
      </c>
      <c r="H13" s="102">
        <v>76577</v>
      </c>
      <c r="I13" s="102">
        <v>238549</v>
      </c>
      <c r="J13" s="102">
        <v>371235</v>
      </c>
      <c r="K13" s="102">
        <v>295161</v>
      </c>
      <c r="L13" s="102">
        <v>318184</v>
      </c>
      <c r="M13" s="102">
        <v>297355</v>
      </c>
      <c r="N13" s="102">
        <v>260661</v>
      </c>
    </row>
    <row r="14" spans="2:14" ht="33.75" customHeight="1" x14ac:dyDescent="0.2">
      <c r="B14" s="147" t="s">
        <v>180</v>
      </c>
      <c r="C14" s="102">
        <v>239911</v>
      </c>
      <c r="D14" s="102">
        <v>247692</v>
      </c>
      <c r="E14" s="102">
        <v>242350</v>
      </c>
      <c r="F14" s="102">
        <v>282564</v>
      </c>
      <c r="G14" s="102">
        <v>272836</v>
      </c>
      <c r="H14" s="102">
        <v>362809</v>
      </c>
      <c r="I14" s="102">
        <v>454598</v>
      </c>
      <c r="J14" s="102">
        <v>470109</v>
      </c>
      <c r="K14" s="102">
        <v>458455</v>
      </c>
      <c r="L14" s="102">
        <v>444199</v>
      </c>
      <c r="M14" s="102">
        <v>374528</v>
      </c>
      <c r="N14" s="102">
        <v>256419</v>
      </c>
    </row>
    <row r="15" spans="2:14" ht="33.75" customHeight="1" x14ac:dyDescent="0.2">
      <c r="B15" s="163" t="s">
        <v>181</v>
      </c>
      <c r="C15" s="102">
        <v>206479</v>
      </c>
      <c r="D15" s="102">
        <v>244783</v>
      </c>
      <c r="E15" s="102">
        <v>316387</v>
      </c>
      <c r="F15" s="102">
        <v>353545</v>
      </c>
      <c r="G15" s="102">
        <v>452426</v>
      </c>
      <c r="H15" s="102">
        <v>581939</v>
      </c>
      <c r="I15" s="102"/>
      <c r="J15" s="102"/>
      <c r="K15" s="102"/>
      <c r="L15" s="102"/>
      <c r="M15" s="102"/>
      <c r="N15" s="102"/>
    </row>
    <row r="16" spans="2:14" ht="21" thickBot="1" x14ac:dyDescent="0.35">
      <c r="C16" s="438" t="s">
        <v>182</v>
      </c>
      <c r="D16" s="439"/>
      <c r="E16" s="439"/>
      <c r="F16" s="439"/>
      <c r="G16" s="439"/>
      <c r="H16" s="439"/>
      <c r="I16" s="439"/>
      <c r="J16" s="439"/>
      <c r="K16" s="439"/>
      <c r="L16" s="439"/>
      <c r="M16" s="439"/>
      <c r="N16" s="440"/>
    </row>
    <row r="18" spans="2:14" x14ac:dyDescent="0.2">
      <c r="C18" s="103" t="s">
        <v>162</v>
      </c>
      <c r="D18" s="103" t="s">
        <v>163</v>
      </c>
      <c r="E18" s="103" t="s">
        <v>164</v>
      </c>
      <c r="F18" s="103" t="s">
        <v>165</v>
      </c>
      <c r="G18" s="103" t="s">
        <v>166</v>
      </c>
      <c r="H18" s="103" t="s">
        <v>167</v>
      </c>
      <c r="I18" s="103" t="s">
        <v>168</v>
      </c>
      <c r="J18" s="103" t="s">
        <v>169</v>
      </c>
      <c r="K18" s="103" t="s">
        <v>170</v>
      </c>
      <c r="L18" s="103" t="s">
        <v>171</v>
      </c>
      <c r="M18" s="103" t="s">
        <v>172</v>
      </c>
      <c r="N18" s="103" t="s">
        <v>173</v>
      </c>
    </row>
    <row r="19" spans="2:14" ht="28.5" customHeight="1" x14ac:dyDescent="0.2">
      <c r="B19" s="104" t="s">
        <v>174</v>
      </c>
      <c r="C19" s="441"/>
      <c r="D19" s="442"/>
      <c r="E19" s="442"/>
      <c r="F19" s="442"/>
      <c r="G19" s="442"/>
      <c r="H19" s="442"/>
      <c r="I19" s="442"/>
      <c r="J19" s="442"/>
      <c r="K19" s="443"/>
      <c r="L19" s="102">
        <v>527344.76260000002</v>
      </c>
      <c r="M19" s="102">
        <v>542887.95270000002</v>
      </c>
      <c r="N19" s="102">
        <v>530789.10450000002</v>
      </c>
    </row>
    <row r="20" spans="2:14" ht="26.25" customHeight="1" x14ac:dyDescent="0.2">
      <c r="B20" s="105" t="s">
        <v>175</v>
      </c>
      <c r="C20" s="102">
        <v>577599.26069999998</v>
      </c>
      <c r="D20" s="102">
        <v>549500.304</v>
      </c>
      <c r="E20" s="102">
        <v>437038.73300000001</v>
      </c>
      <c r="F20" s="102">
        <v>498381.28909999994</v>
      </c>
      <c r="G20" s="102">
        <v>567710.58700000006</v>
      </c>
      <c r="H20" s="102">
        <v>626665.41229999997</v>
      </c>
      <c r="I20" s="102">
        <v>732996.54229999997</v>
      </c>
      <c r="J20" s="102">
        <v>807380.11509999994</v>
      </c>
      <c r="K20" s="102">
        <v>765103.69790000003</v>
      </c>
      <c r="L20" s="102">
        <v>674808.60869999998</v>
      </c>
      <c r="M20" s="102">
        <v>636029.23249999993</v>
      </c>
      <c r="N20" s="102">
        <v>575999.90890000004</v>
      </c>
    </row>
    <row r="21" spans="2:14" ht="28.5" customHeight="1" x14ac:dyDescent="0.2">
      <c r="B21" s="110" t="s">
        <v>176</v>
      </c>
      <c r="C21" s="102">
        <v>565777.06310000003</v>
      </c>
      <c r="D21" s="102">
        <v>589465.87030000007</v>
      </c>
      <c r="E21" s="102">
        <v>559348.96649999998</v>
      </c>
      <c r="F21" s="102">
        <v>706566.82740000007</v>
      </c>
      <c r="G21" s="102">
        <v>750048.77370000002</v>
      </c>
      <c r="H21" s="102">
        <v>823657.03619999997</v>
      </c>
      <c r="I21" s="102">
        <v>863911.20730000001</v>
      </c>
      <c r="J21" s="102">
        <v>948371.73810000008</v>
      </c>
      <c r="K21" s="102">
        <v>870086.49040000001</v>
      </c>
      <c r="L21" s="102">
        <v>828237.32940000005</v>
      </c>
      <c r="M21" s="102">
        <v>728226.36450000003</v>
      </c>
      <c r="N21" s="102">
        <v>620794.43210000009</v>
      </c>
    </row>
    <row r="22" spans="2:14" ht="30" customHeight="1" x14ac:dyDescent="0.2">
      <c r="B22" s="106" t="s">
        <v>177</v>
      </c>
      <c r="C22" s="102">
        <v>629018.45440000005</v>
      </c>
      <c r="D22" s="102">
        <v>609232.05440000002</v>
      </c>
      <c r="E22" s="102">
        <v>564099.54039999994</v>
      </c>
      <c r="F22" s="102">
        <v>625412.74040000001</v>
      </c>
      <c r="G22" s="102">
        <v>591310.6496</v>
      </c>
      <c r="H22" s="102">
        <v>627578.14100000006</v>
      </c>
      <c r="I22" s="102">
        <v>723790.51</v>
      </c>
      <c r="J22" s="102">
        <v>756208.25020000001</v>
      </c>
      <c r="K22" s="102">
        <v>734211.55240000004</v>
      </c>
      <c r="L22" s="102">
        <v>634725.01650000003</v>
      </c>
      <c r="M22" s="102">
        <v>492313.53600000002</v>
      </c>
      <c r="N22" s="102">
        <v>430486.08379999996</v>
      </c>
    </row>
    <row r="23" spans="2:14" ht="32.25" customHeight="1" x14ac:dyDescent="0.2">
      <c r="B23" s="116" t="s">
        <v>178</v>
      </c>
      <c r="C23" s="102">
        <v>417767.50199999998</v>
      </c>
      <c r="D23" s="102">
        <v>437511.45040000003</v>
      </c>
      <c r="E23" s="102">
        <v>422948.91399999999</v>
      </c>
      <c r="F23" s="102">
        <v>483026.4265</v>
      </c>
      <c r="G23" s="102">
        <v>494466.65997999994</v>
      </c>
      <c r="H23" s="102">
        <v>589026.66199500009</v>
      </c>
      <c r="I23" s="102">
        <v>597445.77220000012</v>
      </c>
      <c r="J23" s="102">
        <v>624719.21129500004</v>
      </c>
      <c r="K23" s="102">
        <v>662255.2733900001</v>
      </c>
      <c r="L23" s="102">
        <v>572138.68634500005</v>
      </c>
      <c r="M23" s="102">
        <v>536725.71495000005</v>
      </c>
      <c r="N23" s="102">
        <v>473017.45039999997</v>
      </c>
    </row>
    <row r="24" spans="2:14" ht="32.25" customHeight="1" x14ac:dyDescent="0.2">
      <c r="B24" s="145" t="s">
        <v>179</v>
      </c>
      <c r="C24" s="102">
        <v>445089.4596</v>
      </c>
      <c r="D24" s="102">
        <v>464838.33001999994</v>
      </c>
      <c r="E24" s="102">
        <v>310234.47700000001</v>
      </c>
      <c r="F24" s="102">
        <v>132086.1189</v>
      </c>
      <c r="G24" s="102">
        <v>81934.237999999998</v>
      </c>
      <c r="H24" s="102">
        <v>88016.122900000017</v>
      </c>
      <c r="I24" s="102">
        <v>290744.43883500004</v>
      </c>
      <c r="J24" s="102">
        <v>372885.53719999996</v>
      </c>
      <c r="K24" s="102">
        <v>328998.32740000001</v>
      </c>
      <c r="L24" s="102">
        <v>350713.83590000001</v>
      </c>
      <c r="M24" s="102">
        <v>329624.08839999995</v>
      </c>
      <c r="N24" s="102">
        <v>294931.19809999998</v>
      </c>
    </row>
    <row r="25" spans="2:14" ht="32.25" customHeight="1" x14ac:dyDescent="0.2">
      <c r="B25" s="147" t="s">
        <v>180</v>
      </c>
      <c r="C25" s="102">
        <v>274561.56439999997</v>
      </c>
      <c r="D25" s="102">
        <v>283692.47039999999</v>
      </c>
      <c r="E25" s="102">
        <v>278888.13439999998</v>
      </c>
      <c r="F25" s="102">
        <v>318224.91959999996</v>
      </c>
      <c r="G25" s="102">
        <v>309500.67789999995</v>
      </c>
      <c r="H25" s="102">
        <v>396582.05849999998</v>
      </c>
      <c r="I25" s="102">
        <v>498105.10527500004</v>
      </c>
      <c r="J25" s="102">
        <v>506423.32253</v>
      </c>
      <c r="K25" s="102">
        <v>486424.27340000001</v>
      </c>
      <c r="L25" s="102">
        <v>473503.95079999999</v>
      </c>
      <c r="M25" s="102">
        <v>403992.3469</v>
      </c>
      <c r="N25" s="102">
        <v>289205.48600000003</v>
      </c>
    </row>
    <row r="26" spans="2:14" ht="32.25" customHeight="1" x14ac:dyDescent="0.2">
      <c r="B26" s="163" t="s">
        <v>181</v>
      </c>
      <c r="C26" s="102">
        <v>240995.18219999998</v>
      </c>
      <c r="D26" s="102">
        <v>278597.25799999997</v>
      </c>
      <c r="E26" s="102">
        <v>348747.65639999998</v>
      </c>
      <c r="F26" s="102">
        <v>387220.18520000001</v>
      </c>
      <c r="G26" s="102">
        <v>491171.98007499997</v>
      </c>
      <c r="H26" s="102">
        <v>632956.33517999994</v>
      </c>
      <c r="I26" s="102"/>
      <c r="J26" s="102"/>
      <c r="K26" s="102"/>
      <c r="L26" s="102"/>
      <c r="M26" s="102"/>
      <c r="N26" s="102"/>
    </row>
    <row r="32" spans="2:14" ht="16.5" customHeight="1" x14ac:dyDescent="0.2"/>
    <row r="33" ht="15.75" customHeight="1" x14ac:dyDescent="0.2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17" zoomScaleNormal="100" workbookViewId="0">
      <selection activeCell="H15" sqref="H15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35" t="s">
        <v>183</v>
      </c>
      <c r="D5" s="444"/>
      <c r="E5" s="444"/>
      <c r="F5" s="444"/>
      <c r="G5" s="444"/>
      <c r="H5" s="444"/>
      <c r="I5" s="444"/>
      <c r="J5" s="444"/>
      <c r="K5" s="444"/>
      <c r="L5" s="444"/>
      <c r="M5" s="444"/>
      <c r="N5" s="445"/>
    </row>
    <row r="6" spans="2:14" ht="21" customHeight="1" x14ac:dyDescent="0.2"/>
    <row r="7" spans="2:14" x14ac:dyDescent="0.2">
      <c r="C7" s="103" t="s">
        <v>162</v>
      </c>
      <c r="D7" s="103" t="s">
        <v>163</v>
      </c>
      <c r="E7" s="103" t="s">
        <v>164</v>
      </c>
      <c r="F7" s="103" t="s">
        <v>165</v>
      </c>
      <c r="G7" s="103" t="s">
        <v>166</v>
      </c>
      <c r="H7" s="103" t="s">
        <v>167</v>
      </c>
      <c r="I7" s="103" t="s">
        <v>168</v>
      </c>
      <c r="J7" s="103" t="s">
        <v>169</v>
      </c>
      <c r="K7" s="103" t="s">
        <v>170</v>
      </c>
      <c r="L7" s="103" t="s">
        <v>171</v>
      </c>
      <c r="M7" s="103" t="s">
        <v>172</v>
      </c>
      <c r="N7" s="103" t="s">
        <v>173</v>
      </c>
    </row>
    <row r="8" spans="2:14" ht="33" customHeight="1" x14ac:dyDescent="0.2">
      <c r="B8" s="104" t="s">
        <v>174</v>
      </c>
      <c r="C8" s="441"/>
      <c r="D8" s="442"/>
      <c r="E8" s="442"/>
      <c r="F8" s="442"/>
      <c r="G8" s="442"/>
      <c r="H8" s="442"/>
      <c r="I8" s="442"/>
      <c r="J8" s="442"/>
      <c r="K8" s="443"/>
      <c r="L8" s="102"/>
      <c r="M8" s="102">
        <v>3298</v>
      </c>
      <c r="N8" s="102">
        <v>3866</v>
      </c>
    </row>
    <row r="9" spans="2:14" ht="39" customHeight="1" x14ac:dyDescent="0.2">
      <c r="B9" s="105" t="s">
        <v>175</v>
      </c>
      <c r="C9" s="102">
        <v>4094</v>
      </c>
      <c r="D9" s="102">
        <v>3691</v>
      </c>
      <c r="E9" s="102">
        <v>3917</v>
      </c>
      <c r="F9" s="102">
        <v>4785</v>
      </c>
      <c r="G9" s="102">
        <v>5213</v>
      </c>
      <c r="H9" s="102">
        <v>4103</v>
      </c>
      <c r="I9" s="102">
        <v>5622</v>
      </c>
      <c r="J9" s="102">
        <v>6568</v>
      </c>
      <c r="K9" s="102">
        <v>4813</v>
      </c>
      <c r="L9" s="102">
        <v>6088</v>
      </c>
      <c r="M9" s="102">
        <v>4819</v>
      </c>
      <c r="N9" s="102">
        <v>5252</v>
      </c>
    </row>
    <row r="10" spans="2:14" ht="36" customHeight="1" x14ac:dyDescent="0.2">
      <c r="B10" s="110" t="s">
        <v>176</v>
      </c>
      <c r="C10" s="102">
        <v>5132</v>
      </c>
      <c r="D10" s="102">
        <v>4589</v>
      </c>
      <c r="E10" s="102">
        <v>6190</v>
      </c>
      <c r="F10" s="102">
        <v>6170</v>
      </c>
      <c r="G10" s="102">
        <v>5980</v>
      </c>
      <c r="H10" s="102">
        <v>6097.8</v>
      </c>
      <c r="I10" s="102">
        <v>7050</v>
      </c>
      <c r="J10" s="102">
        <v>8050</v>
      </c>
      <c r="K10" s="102">
        <v>6678</v>
      </c>
      <c r="L10" s="102">
        <v>6859</v>
      </c>
      <c r="M10" s="102">
        <v>5960</v>
      </c>
      <c r="N10" s="102">
        <v>5210.0999999999985</v>
      </c>
    </row>
    <row r="11" spans="2:14" ht="36.75" customHeight="1" x14ac:dyDescent="0.2">
      <c r="B11" s="106" t="s">
        <v>177</v>
      </c>
      <c r="C11" s="102">
        <v>5598.9000000000015</v>
      </c>
      <c r="D11" s="102">
        <v>5297</v>
      </c>
      <c r="E11" s="102">
        <v>5857</v>
      </c>
      <c r="F11" s="102">
        <v>6284</v>
      </c>
      <c r="G11" s="102">
        <v>5500</v>
      </c>
      <c r="H11" s="102">
        <v>5583.8000000000029</v>
      </c>
      <c r="I11" s="102">
        <v>6266.8999999999942</v>
      </c>
      <c r="J11" s="102">
        <v>6178.3000000000029</v>
      </c>
      <c r="K11" s="102">
        <v>6144.5</v>
      </c>
      <c r="L11" s="102">
        <v>6117.5</v>
      </c>
      <c r="M11" s="102">
        <v>5023</v>
      </c>
      <c r="N11" s="102">
        <v>4767.8</v>
      </c>
    </row>
    <row r="12" spans="2:14" ht="33.75" customHeight="1" x14ac:dyDescent="0.2">
      <c r="B12" s="116" t="s">
        <v>178</v>
      </c>
      <c r="C12" s="102">
        <v>5044.8</v>
      </c>
      <c r="D12" s="102">
        <v>5061</v>
      </c>
      <c r="E12" s="102">
        <v>5504</v>
      </c>
      <c r="F12" s="102">
        <v>5372.2999999999993</v>
      </c>
      <c r="G12" s="102">
        <v>4507.2999999999993</v>
      </c>
      <c r="H12" s="102">
        <v>5269.2000000000044</v>
      </c>
      <c r="I12" s="102">
        <v>5509.1999999999971</v>
      </c>
      <c r="J12" s="102">
        <v>5601</v>
      </c>
      <c r="K12" s="102">
        <v>5387</v>
      </c>
      <c r="L12" s="102">
        <v>6051</v>
      </c>
      <c r="M12" s="102">
        <v>5532</v>
      </c>
      <c r="N12" s="102">
        <v>5565.1999999999971</v>
      </c>
    </row>
    <row r="13" spans="2:14" ht="33.75" customHeight="1" x14ac:dyDescent="0.2">
      <c r="B13" s="145" t="s">
        <v>179</v>
      </c>
      <c r="C13" s="102">
        <v>5763.4000000000087</v>
      </c>
      <c r="D13" s="102">
        <v>5632.3999999999942</v>
      </c>
      <c r="E13" s="102">
        <v>3058.6999999999971</v>
      </c>
      <c r="F13" s="102">
        <v>714.5</v>
      </c>
      <c r="G13" s="102">
        <v>439.80000000000291</v>
      </c>
      <c r="H13" s="102">
        <v>1383.3999999999942</v>
      </c>
      <c r="I13" s="102">
        <v>3491.8000000000029</v>
      </c>
      <c r="J13" s="102">
        <v>2618.6999999999971</v>
      </c>
      <c r="K13" s="102">
        <v>1829.7000000000116</v>
      </c>
      <c r="L13" s="102">
        <v>3000</v>
      </c>
      <c r="M13" s="102">
        <v>1896</v>
      </c>
      <c r="N13" s="102">
        <v>1780.5999999999913</v>
      </c>
    </row>
    <row r="14" spans="2:14" ht="33.75" customHeight="1" x14ac:dyDescent="0.2">
      <c r="B14" s="147" t="s">
        <v>180</v>
      </c>
      <c r="C14" s="102">
        <v>2083.1999999999971</v>
      </c>
      <c r="D14" s="102">
        <v>2115.3000000000029</v>
      </c>
      <c r="E14" s="102">
        <v>2406.3000000000029</v>
      </c>
      <c r="F14" s="102">
        <v>2166.1999999999971</v>
      </c>
      <c r="G14" s="102">
        <v>2527.1999999999971</v>
      </c>
      <c r="H14" s="102">
        <v>2925.2000000000116</v>
      </c>
      <c r="I14" s="102">
        <v>3819.2999999999884</v>
      </c>
      <c r="J14" s="102">
        <v>3510.1000000000058</v>
      </c>
      <c r="K14" s="102">
        <v>3086.1999999999971</v>
      </c>
      <c r="L14" s="102">
        <v>3330.5</v>
      </c>
      <c r="M14" s="102">
        <v>2932.1999999999971</v>
      </c>
      <c r="N14" s="102">
        <v>2091.1000000000058</v>
      </c>
    </row>
    <row r="15" spans="2:14" ht="33.75" customHeight="1" x14ac:dyDescent="0.2">
      <c r="B15" s="163" t="s">
        <v>181</v>
      </c>
      <c r="C15" s="102">
        <v>1595.1000000000058</v>
      </c>
      <c r="D15" s="102">
        <v>2215.8999999999942</v>
      </c>
      <c r="E15" s="102">
        <v>3842</v>
      </c>
      <c r="F15" s="102">
        <v>3393</v>
      </c>
      <c r="G15" s="102">
        <v>4551.1000000000058</v>
      </c>
      <c r="H15" s="102">
        <v>4938.8999999999942</v>
      </c>
      <c r="I15" s="102"/>
      <c r="J15" s="102"/>
      <c r="K15" s="102"/>
      <c r="L15" s="102"/>
      <c r="M15" s="102"/>
      <c r="N15" s="102"/>
    </row>
    <row r="16" spans="2:14" ht="21" thickBot="1" x14ac:dyDescent="0.35">
      <c r="C16" s="438" t="s">
        <v>184</v>
      </c>
      <c r="D16" s="446"/>
      <c r="E16" s="446"/>
      <c r="F16" s="446"/>
      <c r="G16" s="446"/>
      <c r="H16" s="446"/>
      <c r="I16" s="446"/>
      <c r="J16" s="446"/>
      <c r="K16" s="446"/>
      <c r="L16" s="446"/>
      <c r="M16" s="446"/>
      <c r="N16" s="447"/>
    </row>
    <row r="18" spans="2:15" ht="18" customHeight="1" x14ac:dyDescent="0.2">
      <c r="C18" s="103" t="s">
        <v>162</v>
      </c>
      <c r="D18" s="103" t="s">
        <v>163</v>
      </c>
      <c r="E18" s="103" t="s">
        <v>164</v>
      </c>
      <c r="F18" s="103" t="s">
        <v>165</v>
      </c>
      <c r="G18" s="103" t="s">
        <v>166</v>
      </c>
      <c r="H18" s="103" t="s">
        <v>167</v>
      </c>
      <c r="I18" s="103" t="s">
        <v>168</v>
      </c>
      <c r="J18" s="103" t="s">
        <v>169</v>
      </c>
      <c r="K18" s="103" t="s">
        <v>170</v>
      </c>
      <c r="L18" s="103" t="s">
        <v>171</v>
      </c>
      <c r="M18" s="103" t="s">
        <v>172</v>
      </c>
      <c r="N18" s="103" t="s">
        <v>173</v>
      </c>
    </row>
    <row r="19" spans="2:15" ht="30" customHeight="1" x14ac:dyDescent="0.2">
      <c r="B19" s="104" t="s">
        <v>174</v>
      </c>
      <c r="C19" s="441"/>
      <c r="D19" s="442"/>
      <c r="E19" s="442"/>
      <c r="F19" s="442"/>
      <c r="G19" s="442"/>
      <c r="H19" s="442"/>
      <c r="I19" s="442"/>
      <c r="J19" s="442"/>
      <c r="K19" s="443"/>
      <c r="L19" s="102"/>
      <c r="M19" s="102">
        <v>43165.84</v>
      </c>
      <c r="N19" s="102">
        <v>50595.28</v>
      </c>
    </row>
    <row r="20" spans="2:15" ht="31.5" customHeight="1" x14ac:dyDescent="0.2">
      <c r="B20" s="105" t="s">
        <v>175</v>
      </c>
      <c r="C20" s="102">
        <v>53565.520000000004</v>
      </c>
      <c r="D20" s="102">
        <v>48294.28</v>
      </c>
      <c r="E20" s="102">
        <v>51250.36</v>
      </c>
      <c r="F20" s="102">
        <v>62603.8</v>
      </c>
      <c r="G20" s="102">
        <v>68202.040000000008</v>
      </c>
      <c r="H20" s="102">
        <v>53683.240000000005</v>
      </c>
      <c r="I20" s="102">
        <v>73551.760000000009</v>
      </c>
      <c r="J20" s="102">
        <v>85925.440000000002</v>
      </c>
      <c r="K20" s="102">
        <v>57158.52</v>
      </c>
      <c r="L20" s="102">
        <v>67234.52</v>
      </c>
      <c r="M20" s="102">
        <v>53224.76</v>
      </c>
      <c r="N20" s="102">
        <v>58005.08</v>
      </c>
    </row>
    <row r="21" spans="2:15" ht="34.5" customHeight="1" x14ac:dyDescent="0.2">
      <c r="B21" s="110" t="s">
        <v>176</v>
      </c>
      <c r="C21" s="102">
        <v>56680.28</v>
      </c>
      <c r="D21" s="102">
        <v>50685.56</v>
      </c>
      <c r="E21" s="102">
        <v>68360.600000000006</v>
      </c>
      <c r="F21" s="102">
        <v>68139.8</v>
      </c>
      <c r="G21" s="102">
        <v>66042.2</v>
      </c>
      <c r="H21" s="102">
        <v>67342.712</v>
      </c>
      <c r="I21" s="102">
        <v>77855</v>
      </c>
      <c r="J21" s="102">
        <v>88895</v>
      </c>
      <c r="K21" s="102">
        <v>73748.12</v>
      </c>
      <c r="L21" s="102">
        <v>75746.36</v>
      </c>
      <c r="M21" s="102">
        <v>65821.399999999994</v>
      </c>
      <c r="N21" s="102">
        <v>57542.503999999986</v>
      </c>
    </row>
    <row r="22" spans="2:15" ht="36" customHeight="1" x14ac:dyDescent="0.2">
      <c r="B22" s="106" t="s">
        <v>177</v>
      </c>
      <c r="C22" s="102">
        <v>61834.856000000014</v>
      </c>
      <c r="D22" s="102">
        <v>58501.880000000005</v>
      </c>
      <c r="E22" s="102">
        <v>64684.28</v>
      </c>
      <c r="F22" s="102">
        <v>69398.36</v>
      </c>
      <c r="G22" s="102">
        <v>60743</v>
      </c>
      <c r="H22" s="102">
        <v>61668.152000000031</v>
      </c>
      <c r="I22" s="102">
        <v>69209.575999999943</v>
      </c>
      <c r="J22" s="102">
        <v>68231.43200000003</v>
      </c>
      <c r="K22" s="102">
        <v>67858.28</v>
      </c>
      <c r="L22" s="102">
        <v>67560.2</v>
      </c>
      <c r="M22" s="102">
        <v>55476.92</v>
      </c>
      <c r="N22" s="102">
        <v>52659.512000000002</v>
      </c>
    </row>
    <row r="23" spans="2:15" ht="32.25" customHeight="1" x14ac:dyDescent="0.2">
      <c r="B23" s="116" t="s">
        <v>178</v>
      </c>
      <c r="C23" s="102">
        <v>55717.592000000004</v>
      </c>
      <c r="D23" s="102">
        <v>57718.399999999994</v>
      </c>
      <c r="E23" s="102">
        <v>62768.599999999991</v>
      </c>
      <c r="F23" s="102">
        <v>61267.219999999987</v>
      </c>
      <c r="G23" s="102">
        <v>51406.219999999987</v>
      </c>
      <c r="H23" s="102">
        <v>60091.880000000041</v>
      </c>
      <c r="I23" s="102">
        <v>62827.879999999961</v>
      </c>
      <c r="J23" s="102">
        <v>63874.400000000001</v>
      </c>
      <c r="K23" s="102">
        <v>61434.799999999996</v>
      </c>
      <c r="L23" s="102">
        <v>69004.399999999994</v>
      </c>
      <c r="M23" s="102">
        <v>63087.799999999996</v>
      </c>
      <c r="N23" s="102">
        <v>63466.279999999962</v>
      </c>
    </row>
    <row r="24" spans="2:15" ht="32.25" customHeight="1" x14ac:dyDescent="0.2">
      <c r="B24" s="145" t="s">
        <v>179</v>
      </c>
      <c r="C24" s="102">
        <v>65725.760000000097</v>
      </c>
      <c r="D24" s="102">
        <v>64232.359999999928</v>
      </c>
      <c r="E24" s="102">
        <v>34892.179999999964</v>
      </c>
      <c r="F24" s="102">
        <v>8168.2999999999993</v>
      </c>
      <c r="G24" s="102">
        <v>5036.7200000000321</v>
      </c>
      <c r="H24" s="102">
        <v>15793.759999999933</v>
      </c>
      <c r="I24" s="102">
        <v>39829.519999999997</v>
      </c>
      <c r="J24" s="102">
        <v>29876.179999999964</v>
      </c>
      <c r="K24" s="102">
        <v>20881.580000000129</v>
      </c>
      <c r="L24" s="102">
        <v>34223</v>
      </c>
      <c r="M24" s="102">
        <v>21637.4</v>
      </c>
      <c r="N24" s="102">
        <v>20321.839999999898</v>
      </c>
    </row>
    <row r="25" spans="2:15" ht="32.25" customHeight="1" x14ac:dyDescent="0.2">
      <c r="B25" s="147" t="s">
        <v>180</v>
      </c>
      <c r="C25" s="102">
        <v>23771.479999999963</v>
      </c>
      <c r="D25" s="102">
        <v>24137.420000000031</v>
      </c>
      <c r="E25" s="102">
        <v>27454.820000000029</v>
      </c>
      <c r="F25" s="102">
        <v>24717.679999999964</v>
      </c>
      <c r="G25" s="102">
        <v>28833.079999999962</v>
      </c>
      <c r="H25" s="102">
        <v>33370.28000000013</v>
      </c>
      <c r="I25" s="102">
        <v>43563.019999999866</v>
      </c>
      <c r="J25" s="102">
        <v>40038.140000000065</v>
      </c>
      <c r="K25" s="102">
        <v>35205.679999999964</v>
      </c>
      <c r="L25" s="102">
        <v>37990.699999999997</v>
      </c>
      <c r="M25" s="102">
        <v>33450.079999999965</v>
      </c>
      <c r="N25" s="102">
        <v>23861.540000000066</v>
      </c>
    </row>
    <row r="26" spans="2:15" ht="32.25" customHeight="1" x14ac:dyDescent="0.2">
      <c r="B26" s="163" t="s">
        <v>181</v>
      </c>
      <c r="C26" s="102">
        <v>18207.140000000065</v>
      </c>
      <c r="D26" s="102">
        <v>25284.259999999933</v>
      </c>
      <c r="E26" s="102">
        <v>43821.8</v>
      </c>
      <c r="F26" s="102">
        <v>38703.199999999997</v>
      </c>
      <c r="G26" s="102">
        <v>51905.540000000059</v>
      </c>
      <c r="H26" s="102">
        <v>56326.459999999934</v>
      </c>
      <c r="I26" s="102"/>
      <c r="J26" s="102"/>
      <c r="K26" s="102"/>
      <c r="L26" s="102"/>
      <c r="M26" s="102"/>
      <c r="N26" s="102"/>
    </row>
    <row r="31" spans="2:15" ht="16.5" customHeight="1" x14ac:dyDescent="0.2">
      <c r="O31" t="s">
        <v>18</v>
      </c>
    </row>
    <row r="32" spans="2:15" ht="15.75" customHeight="1" x14ac:dyDescent="0.2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8" zoomScaleNormal="100" workbookViewId="0">
      <selection activeCell="H15" sqref="H15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35" t="s">
        <v>185</v>
      </c>
      <c r="D5" s="436"/>
      <c r="E5" s="436"/>
      <c r="F5" s="436"/>
      <c r="G5" s="436"/>
      <c r="H5" s="436"/>
      <c r="I5" s="436"/>
      <c r="J5" s="436"/>
      <c r="K5" s="436"/>
      <c r="L5" s="436"/>
      <c r="M5" s="436"/>
      <c r="N5" s="437"/>
    </row>
    <row r="6" spans="2:14" ht="23.25" customHeight="1" x14ac:dyDescent="0.2"/>
    <row r="7" spans="2:14" x14ac:dyDescent="0.2">
      <c r="C7" s="103" t="s">
        <v>162</v>
      </c>
      <c r="D7" s="103" t="s">
        <v>163</v>
      </c>
      <c r="E7" s="103" t="s">
        <v>164</v>
      </c>
      <c r="F7" s="103" t="s">
        <v>165</v>
      </c>
      <c r="G7" s="103" t="s">
        <v>166</v>
      </c>
      <c r="H7" s="103" t="s">
        <v>167</v>
      </c>
      <c r="I7" s="103" t="s">
        <v>168</v>
      </c>
      <c r="J7" s="103" t="s">
        <v>169</v>
      </c>
      <c r="K7" s="103" t="s">
        <v>170</v>
      </c>
      <c r="L7" s="103" t="s">
        <v>171</v>
      </c>
      <c r="M7" s="103" t="s">
        <v>172</v>
      </c>
      <c r="N7" s="103" t="s">
        <v>173</v>
      </c>
    </row>
    <row r="8" spans="2:14" ht="33.75" customHeight="1" x14ac:dyDescent="0.2">
      <c r="B8" s="104" t="s">
        <v>174</v>
      </c>
      <c r="C8" s="441"/>
      <c r="D8" s="442"/>
      <c r="E8" s="442"/>
      <c r="F8" s="442"/>
      <c r="G8" s="442"/>
      <c r="H8" s="442"/>
      <c r="I8" s="442"/>
      <c r="J8" s="442"/>
      <c r="K8" s="443"/>
      <c r="L8" s="102">
        <v>19365</v>
      </c>
      <c r="M8" s="102">
        <v>21235</v>
      </c>
      <c r="N8" s="102">
        <v>34053</v>
      </c>
    </row>
    <row r="9" spans="2:14" ht="35.25" customHeight="1" x14ac:dyDescent="0.2">
      <c r="B9" s="105" t="s">
        <v>175</v>
      </c>
      <c r="C9" s="102">
        <v>23598</v>
      </c>
      <c r="D9" s="102">
        <v>28302</v>
      </c>
      <c r="E9" s="102">
        <v>23000</v>
      </c>
      <c r="F9" s="102">
        <v>28601</v>
      </c>
      <c r="G9" s="102">
        <v>24612</v>
      </c>
      <c r="H9" s="102">
        <v>16695</v>
      </c>
      <c r="I9" s="102">
        <v>10756</v>
      </c>
      <c r="J9" s="102">
        <v>14749</v>
      </c>
      <c r="K9" s="102">
        <v>18297</v>
      </c>
      <c r="L9" s="102">
        <v>20801</v>
      </c>
      <c r="M9" s="102">
        <v>22927</v>
      </c>
      <c r="N9" s="102">
        <v>38265</v>
      </c>
    </row>
    <row r="10" spans="2:14" ht="32.25" customHeight="1" x14ac:dyDescent="0.2">
      <c r="B10" s="110" t="s">
        <v>176</v>
      </c>
      <c r="C10" s="102">
        <v>39843</v>
      </c>
      <c r="D10" s="102">
        <v>27644</v>
      </c>
      <c r="E10" s="102">
        <v>31207</v>
      </c>
      <c r="F10" s="102">
        <v>34231</v>
      </c>
      <c r="G10" s="102">
        <v>21149.420000000002</v>
      </c>
      <c r="H10" s="102">
        <v>19502</v>
      </c>
      <c r="I10" s="102">
        <v>22293</v>
      </c>
      <c r="J10" s="102">
        <v>21244</v>
      </c>
      <c r="K10" s="102">
        <v>20201</v>
      </c>
      <c r="L10" s="102">
        <v>21000</v>
      </c>
      <c r="M10" s="102">
        <v>30135</v>
      </c>
      <c r="N10" s="102">
        <v>28841</v>
      </c>
    </row>
    <row r="11" spans="2:14" ht="34.5" customHeight="1" x14ac:dyDescent="0.2">
      <c r="B11" s="106" t="s">
        <v>177</v>
      </c>
      <c r="C11" s="102">
        <v>33210.620000000003</v>
      </c>
      <c r="D11" s="102">
        <v>27328.669000000002</v>
      </c>
      <c r="E11" s="102">
        <v>22296.292000000001</v>
      </c>
      <c r="F11" s="102">
        <v>18205.006000000001</v>
      </c>
      <c r="G11" s="102">
        <v>16641.811000000002</v>
      </c>
      <c r="H11" s="102">
        <v>17087.758000000002</v>
      </c>
      <c r="I11" s="102">
        <v>13220.239000000001</v>
      </c>
      <c r="J11" s="102">
        <v>15457.909000000001</v>
      </c>
      <c r="K11" s="102">
        <v>10651.944000000001</v>
      </c>
      <c r="L11" s="102">
        <v>13951.846000000001</v>
      </c>
      <c r="M11" s="102">
        <v>24676.263000000003</v>
      </c>
      <c r="N11" s="102">
        <v>21781.575000000001</v>
      </c>
    </row>
    <row r="12" spans="2:14" ht="36.75" customHeight="1" x14ac:dyDescent="0.2">
      <c r="B12" s="116" t="s">
        <v>178</v>
      </c>
      <c r="C12" s="102">
        <v>26669.535</v>
      </c>
      <c r="D12" s="102">
        <v>26601.294000000002</v>
      </c>
      <c r="E12" s="102">
        <v>23114.126</v>
      </c>
      <c r="F12" s="102">
        <v>20873.811000000002</v>
      </c>
      <c r="G12" s="102">
        <v>14596.168000000001</v>
      </c>
      <c r="H12" s="102">
        <v>10659.35</v>
      </c>
      <c r="I12" s="102">
        <v>18584.299000000003</v>
      </c>
      <c r="J12" s="102">
        <v>10559.897999999999</v>
      </c>
      <c r="K12" s="102">
        <v>8546.5240000000013</v>
      </c>
      <c r="L12" s="102">
        <v>17517.306</v>
      </c>
      <c r="M12" s="102">
        <v>20452.198</v>
      </c>
      <c r="N12" s="102">
        <v>27341.365000000002</v>
      </c>
    </row>
    <row r="13" spans="2:14" ht="36.75" customHeight="1" x14ac:dyDescent="0.2">
      <c r="B13" s="145" t="s">
        <v>179</v>
      </c>
      <c r="C13" s="102">
        <v>30735.958000000002</v>
      </c>
      <c r="D13" s="102">
        <v>21724.442999999999</v>
      </c>
      <c r="E13" s="102">
        <v>11128.573</v>
      </c>
      <c r="F13" s="102">
        <v>4506.0219999999999</v>
      </c>
      <c r="G13" s="102">
        <v>0</v>
      </c>
      <c r="H13" s="102">
        <v>2998.3720000000003</v>
      </c>
      <c r="I13" s="102">
        <v>8663.5590000000011</v>
      </c>
      <c r="J13" s="102">
        <v>4731.9050000000007</v>
      </c>
      <c r="K13" s="102">
        <v>4832.415</v>
      </c>
      <c r="L13" s="102">
        <v>13092.221000000001</v>
      </c>
      <c r="M13" s="102">
        <v>17284.017</v>
      </c>
      <c r="N13" s="102">
        <v>16432.856</v>
      </c>
    </row>
    <row r="14" spans="2:14" ht="36.75" customHeight="1" x14ac:dyDescent="0.2">
      <c r="B14" s="147" t="s">
        <v>180</v>
      </c>
      <c r="C14" s="102">
        <v>16222.314</v>
      </c>
      <c r="D14" s="102">
        <v>13578.901</v>
      </c>
      <c r="E14" s="102">
        <v>18500.717000000001</v>
      </c>
      <c r="F14" s="102">
        <v>11555.476000000001</v>
      </c>
      <c r="G14" s="102">
        <v>10801.651</v>
      </c>
      <c r="H14" s="102">
        <v>13800.552000000001</v>
      </c>
      <c r="I14" s="102">
        <v>9448.469000000001</v>
      </c>
      <c r="J14" s="102">
        <v>8828.4809999999998</v>
      </c>
      <c r="K14" s="102">
        <v>11498.344000000001</v>
      </c>
      <c r="L14" s="102">
        <v>11280.396000000001</v>
      </c>
      <c r="M14" s="102">
        <v>20677.552</v>
      </c>
      <c r="N14" s="102">
        <v>12106.165000000001</v>
      </c>
    </row>
    <row r="15" spans="2:14" ht="36.75" customHeight="1" x14ac:dyDescent="0.2">
      <c r="B15" s="163" t="s">
        <v>181</v>
      </c>
      <c r="C15" s="102">
        <v>8859.1630000000005</v>
      </c>
      <c r="D15" s="102">
        <v>13938.621000000001</v>
      </c>
      <c r="E15" s="102">
        <v>316387</v>
      </c>
      <c r="F15" s="102">
        <v>23168.613000000001</v>
      </c>
      <c r="G15" s="102">
        <v>13780.45</v>
      </c>
      <c r="H15" s="102">
        <v>4938.8999999999942</v>
      </c>
      <c r="I15" s="102"/>
      <c r="J15" s="102"/>
      <c r="K15" s="102"/>
      <c r="L15" s="102"/>
      <c r="M15" s="102"/>
      <c r="N15" s="102"/>
    </row>
    <row r="16" spans="2:14" ht="21" thickBot="1" x14ac:dyDescent="0.35">
      <c r="C16" s="438" t="s">
        <v>186</v>
      </c>
      <c r="D16" s="439"/>
      <c r="E16" s="439"/>
      <c r="F16" s="439"/>
      <c r="G16" s="439"/>
      <c r="H16" s="439"/>
      <c r="I16" s="439"/>
      <c r="J16" s="439"/>
      <c r="K16" s="439"/>
      <c r="L16" s="439"/>
      <c r="M16" s="439"/>
      <c r="N16" s="440"/>
    </row>
    <row r="18" spans="2:14" ht="17.25" customHeight="1" x14ac:dyDescent="0.2">
      <c r="C18" s="103" t="s">
        <v>162</v>
      </c>
      <c r="D18" s="103" t="s">
        <v>163</v>
      </c>
      <c r="E18" s="103" t="s">
        <v>164</v>
      </c>
      <c r="F18" s="103" t="s">
        <v>165</v>
      </c>
      <c r="G18" s="103" t="s">
        <v>166</v>
      </c>
      <c r="H18" s="103" t="s">
        <v>167</v>
      </c>
      <c r="I18" s="103" t="s">
        <v>168</v>
      </c>
      <c r="J18" s="103" t="s">
        <v>169</v>
      </c>
      <c r="K18" s="103" t="s">
        <v>170</v>
      </c>
      <c r="L18" s="103" t="s">
        <v>171</v>
      </c>
      <c r="M18" s="103" t="s">
        <v>172</v>
      </c>
      <c r="N18" s="103" t="s">
        <v>173</v>
      </c>
    </row>
    <row r="19" spans="2:14" ht="30" customHeight="1" x14ac:dyDescent="0.2">
      <c r="B19" s="104" t="s">
        <v>174</v>
      </c>
      <c r="C19" s="441"/>
      <c r="D19" s="442"/>
      <c r="E19" s="442"/>
      <c r="F19" s="442"/>
      <c r="G19" s="442"/>
      <c r="H19" s="442"/>
      <c r="I19" s="442"/>
      <c r="J19" s="442"/>
      <c r="K19" s="443"/>
      <c r="L19" s="102">
        <v>222503.85</v>
      </c>
      <c r="M19" s="102">
        <v>248385.8</v>
      </c>
      <c r="N19" s="102">
        <v>412790.47</v>
      </c>
    </row>
    <row r="20" spans="2:14" ht="30" customHeight="1" x14ac:dyDescent="0.2">
      <c r="B20" s="105" t="s">
        <v>175</v>
      </c>
      <c r="C20" s="102">
        <v>281335.36</v>
      </c>
      <c r="D20" s="102">
        <v>329491.88</v>
      </c>
      <c r="E20" s="107">
        <v>263166</v>
      </c>
      <c r="F20" s="102">
        <v>334402.89</v>
      </c>
      <c r="G20" s="102">
        <v>287763.5</v>
      </c>
      <c r="H20" s="102">
        <v>200206.44</v>
      </c>
      <c r="I20" s="102">
        <v>128985.95</v>
      </c>
      <c r="J20" s="102">
        <v>174687.16</v>
      </c>
      <c r="K20" s="102">
        <v>221708.41</v>
      </c>
      <c r="L20" s="102">
        <v>257125.33</v>
      </c>
      <c r="M20" s="102">
        <v>290283.33</v>
      </c>
      <c r="N20" s="102">
        <v>491751.17</v>
      </c>
    </row>
    <row r="21" spans="2:14" ht="38.25" customHeight="1" x14ac:dyDescent="0.2">
      <c r="B21" s="110" t="s">
        <v>176</v>
      </c>
      <c r="C21" s="102">
        <v>534222.91</v>
      </c>
      <c r="D21" s="102">
        <v>397841.39</v>
      </c>
      <c r="E21" s="107">
        <v>463317.85</v>
      </c>
      <c r="F21" s="102">
        <v>473982.96</v>
      </c>
      <c r="G21" s="102">
        <v>288617.67497200001</v>
      </c>
      <c r="H21" s="102">
        <v>262138.08</v>
      </c>
      <c r="I21" s="102">
        <v>290959.32</v>
      </c>
      <c r="J21" s="102">
        <v>277268.19</v>
      </c>
      <c r="K21" s="102">
        <v>269109.64</v>
      </c>
      <c r="L21" s="102">
        <v>279753.59999999998</v>
      </c>
      <c r="M21" s="102">
        <v>411233.26</v>
      </c>
      <c r="N21" s="102">
        <v>393575.4632766</v>
      </c>
    </row>
    <row r="22" spans="2:14" ht="36" customHeight="1" x14ac:dyDescent="0.2">
      <c r="B22" s="106" t="s">
        <v>177</v>
      </c>
      <c r="C22" s="102">
        <v>433913.35561000003</v>
      </c>
      <c r="D22" s="102">
        <v>365261.32551950007</v>
      </c>
      <c r="E22" s="102">
        <v>291312.20312600001</v>
      </c>
      <c r="F22" s="102">
        <v>213834.17997540004</v>
      </c>
      <c r="G22" s="102">
        <v>197886.11041990001</v>
      </c>
      <c r="H22" s="102">
        <v>143537.16720000003</v>
      </c>
      <c r="I22" s="102">
        <v>111050.00760000001</v>
      </c>
      <c r="J22" s="102">
        <v>129846.43560000001</v>
      </c>
      <c r="K22" s="102">
        <v>97997.8848</v>
      </c>
      <c r="L22" s="102">
        <v>117195.50640000001</v>
      </c>
      <c r="M22" s="102">
        <v>207280.60920000004</v>
      </c>
      <c r="N22" s="102">
        <v>182965.23</v>
      </c>
    </row>
    <row r="23" spans="2:14" ht="36.75" customHeight="1" x14ac:dyDescent="0.2">
      <c r="B23" s="116" t="s">
        <v>178</v>
      </c>
      <c r="C23" s="102">
        <v>224024.09400000001</v>
      </c>
      <c r="D23" s="102">
        <v>223450.86960000003</v>
      </c>
      <c r="E23" s="102">
        <v>209182.84030000001</v>
      </c>
      <c r="F23" s="102">
        <v>188907.98955000003</v>
      </c>
      <c r="G23" s="102">
        <v>129176.0868</v>
      </c>
      <c r="H23" s="102">
        <v>94335.247499999998</v>
      </c>
      <c r="I23" s="102">
        <v>144957.53220000002</v>
      </c>
      <c r="J23" s="102">
        <v>77405.108330000003</v>
      </c>
      <c r="K23" s="102">
        <v>62646.875572400008</v>
      </c>
      <c r="L23" s="102">
        <v>128403.6047106</v>
      </c>
      <c r="M23" s="102">
        <v>149916.6565598</v>
      </c>
      <c r="N23" s="102">
        <v>217831.38909150002</v>
      </c>
    </row>
    <row r="24" spans="2:14" ht="36.75" customHeight="1" x14ac:dyDescent="0.2">
      <c r="B24" s="145" t="s">
        <v>179</v>
      </c>
      <c r="C24" s="102">
        <v>244876.45098180004</v>
      </c>
      <c r="D24" s="102">
        <v>193260.64492800002</v>
      </c>
      <c r="E24" s="102">
        <v>87871.212408000007</v>
      </c>
      <c r="F24" s="102">
        <v>35579.549712</v>
      </c>
      <c r="G24" s="102">
        <v>0</v>
      </c>
      <c r="H24" s="102">
        <v>23675.145312000001</v>
      </c>
      <c r="I24" s="102">
        <v>72782.559159000011</v>
      </c>
      <c r="J24" s="102">
        <v>40462.519659999998</v>
      </c>
      <c r="K24" s="102">
        <v>41321.980665000003</v>
      </c>
      <c r="L24" s="102">
        <v>111951.58177100001</v>
      </c>
      <c r="M24" s="102">
        <v>151252.43276699999</v>
      </c>
      <c r="N24" s="102">
        <v>147090.494056</v>
      </c>
    </row>
    <row r="25" spans="2:14" ht="36.75" customHeight="1" x14ac:dyDescent="0.2">
      <c r="B25" s="147" t="s">
        <v>180</v>
      </c>
      <c r="C25" s="102">
        <v>175249.65814200003</v>
      </c>
      <c r="D25" s="102">
        <v>133357.0288309</v>
      </c>
      <c r="E25" s="102">
        <v>160956.23789999998</v>
      </c>
      <c r="F25" s="102">
        <v>100532.6412</v>
      </c>
      <c r="G25" s="102">
        <v>93974.363699999987</v>
      </c>
      <c r="H25" s="102">
        <v>120064.8024</v>
      </c>
      <c r="I25" s="102">
        <v>79461.624290000007</v>
      </c>
      <c r="J25" s="102">
        <v>84841.702409999998</v>
      </c>
      <c r="K25" s="102">
        <v>114580.99796000001</v>
      </c>
      <c r="L25" s="102">
        <v>126919.11951480001</v>
      </c>
      <c r="M25" s="102">
        <v>216928.19803199999</v>
      </c>
      <c r="N25" s="102">
        <v>127005.777015</v>
      </c>
    </row>
    <row r="26" spans="2:14" ht="36.75" customHeight="1" x14ac:dyDescent="0.2">
      <c r="B26" s="163" t="s">
        <v>181</v>
      </c>
      <c r="C26" s="102">
        <v>102456.220095</v>
      </c>
      <c r="D26" s="102">
        <v>164336.34159</v>
      </c>
      <c r="E26" s="102">
        <v>348747.65639999998</v>
      </c>
      <c r="F26" s="102">
        <v>316019.88132000004</v>
      </c>
      <c r="G26" s="102">
        <v>181075.11300000001</v>
      </c>
      <c r="H26" s="102"/>
      <c r="I26" s="102"/>
      <c r="J26" s="102"/>
      <c r="K26" s="102"/>
      <c r="L26" s="102"/>
      <c r="M26" s="102"/>
      <c r="N26" s="102"/>
    </row>
    <row r="31" spans="2:14" ht="16.5" customHeight="1" x14ac:dyDescent="0.2"/>
    <row r="32" spans="2:14" ht="15.75" customHeight="1" x14ac:dyDescent="0.2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baseColWidth="10" defaultColWidth="11.42578125" defaultRowHeight="12.75" x14ac:dyDescent="0.2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4</vt:i4>
      </vt:variant>
    </vt:vector>
  </HeadingPairs>
  <TitlesOfParts>
    <vt:vector size="18" baseType="lpstr">
      <vt:lpstr>TOTAL</vt:lpstr>
      <vt:lpstr>submetering</vt:lpstr>
      <vt:lpstr>Consommation mensuel énergie</vt:lpstr>
      <vt:lpstr>Suivi EAU-ELEC</vt:lpstr>
      <vt:lpstr>Suvi Gaz</vt:lpstr>
      <vt:lpstr>Facture journalier D'élect</vt:lpstr>
      <vt:lpstr>facture électricité</vt:lpstr>
      <vt:lpstr>facture d'eau</vt:lpstr>
      <vt:lpstr>Facture journalier d'eau</vt:lpstr>
      <vt:lpstr>facture incendie</vt:lpstr>
      <vt:lpstr>cons annuel électr</vt:lpstr>
      <vt:lpstr>cons annuel EAU  </vt:lpstr>
      <vt:lpstr>livraison annuel GAZ</vt:lpstr>
      <vt:lpstr>Feuil1</vt:lpstr>
      <vt:lpstr>'Consommation mensuel énergie'!Zone_d_impression</vt:lpstr>
      <vt:lpstr>'facture électricité'!Zone_d_impression</vt:lpstr>
      <vt:lpstr>'Suivi EAU-ELEC'!Zone_d_impression</vt:lpstr>
      <vt:lpstr>'Suvi Gaz'!Zone_d_impression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Salaheddine Lasmar</cp:lastModifiedBy>
  <cp:revision/>
  <dcterms:created xsi:type="dcterms:W3CDTF">1996-10-21T11:03:58Z</dcterms:created>
  <dcterms:modified xsi:type="dcterms:W3CDTF">2023-02-23T13:35:47Z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