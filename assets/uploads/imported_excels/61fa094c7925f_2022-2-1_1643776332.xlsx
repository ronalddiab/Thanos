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bookViews>
    <workbookView xWindow="0" yWindow="0" windowWidth="28800" windowHeight="12435" activeTab="2"/>
  </bookViews>
  <sheets>
    <sheet name="Total Daily " sheetId="3" r:id="rId1"/>
    <sheet name="Submetering Daily " sheetId="2" r:id="rId2"/>
    <sheet name="02 - 2022" sheetId="5" r:id="rId3"/>
  </sheets>
  <definedNames>
    <definedName name="_xlnm.Print_Area" localSheetId="2">'02 - 2022'!$A$1:$J$35</definedName>
  </definedNames>
  <calcPr calcId="162913"/>
</workbook>
</file>

<file path=xl/calcChain.xml><?xml version="1.0" encoding="utf-8"?>
<calcChain xmlns="http://schemas.openxmlformats.org/spreadsheetml/2006/main">
  <c r="L3" i="3" l="1"/>
  <c r="K3" i="3"/>
  <c r="I3" i="3"/>
  <c r="G3" i="3"/>
  <c r="E3" i="3"/>
  <c r="J3" i="2"/>
  <c r="I3" i="2"/>
  <c r="H3" i="2"/>
  <c r="F3" i="2"/>
  <c r="E3" i="2"/>
  <c r="K36" i="5" l="1"/>
  <c r="J36" i="5"/>
  <c r="I36" i="5"/>
  <c r="I37" i="5" s="1"/>
  <c r="H36" i="5"/>
  <c r="H37" i="5" s="1"/>
  <c r="G36" i="5"/>
  <c r="F36" i="5"/>
  <c r="E36" i="5"/>
  <c r="D36" i="5"/>
  <c r="C36" i="5"/>
  <c r="B36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J23" i="2" l="1"/>
  <c r="I23" i="2"/>
  <c r="H23" i="2"/>
  <c r="F23" i="2"/>
  <c r="E23" i="2"/>
  <c r="L23" i="3"/>
  <c r="K23" i="3"/>
  <c r="I23" i="3"/>
  <c r="G23" i="3"/>
  <c r="E23" i="3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L16" i="3" l="1"/>
  <c r="K16" i="3"/>
  <c r="I16" i="3"/>
  <c r="G16" i="3"/>
  <c r="E16" i="3"/>
  <c r="J16" i="2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L10" i="3"/>
  <c r="K10" i="3"/>
  <c r="I10" i="3"/>
  <c r="G10" i="3"/>
  <c r="E10" i="3"/>
  <c r="L9" i="3"/>
  <c r="K9" i="3"/>
  <c r="I9" i="3"/>
  <c r="G9" i="3"/>
  <c r="E9" i="3"/>
  <c r="I11" i="2"/>
  <c r="I10" i="2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L25" i="3" l="1"/>
  <c r="K25" i="3"/>
  <c r="I25" i="3"/>
  <c r="G25" i="3"/>
  <c r="E25" i="3"/>
  <c r="L24" i="3"/>
  <c r="K24" i="3"/>
  <c r="I24" i="3"/>
  <c r="G24" i="3"/>
  <c r="E24" i="3"/>
  <c r="J25" i="2"/>
  <c r="I25" i="2"/>
  <c r="H25" i="2"/>
  <c r="F25" i="2"/>
  <c r="E25" i="2"/>
  <c r="J24" i="2"/>
  <c r="I24" i="2"/>
  <c r="H24" i="2"/>
  <c r="F24" i="2"/>
  <c r="E24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J11" i="2" l="1"/>
  <c r="H11" i="2"/>
  <c r="F11" i="2"/>
  <c r="E11" i="2"/>
  <c r="J10" i="2" l="1"/>
  <c r="H10" i="2"/>
  <c r="F10" i="2"/>
  <c r="E10" i="2"/>
  <c r="L2" i="3" l="1"/>
  <c r="K2" i="3"/>
  <c r="I2" i="3"/>
  <c r="G2" i="3"/>
  <c r="E2" i="3"/>
  <c r="J2" i="2"/>
  <c r="I2" i="2"/>
  <c r="H2" i="2"/>
  <c r="F2" i="2"/>
  <c r="E2" i="2"/>
  <c r="L5" i="3" l="1"/>
  <c r="K5" i="3"/>
  <c r="I5" i="3"/>
  <c r="G5" i="3"/>
  <c r="E5" i="3"/>
  <c r="J5" i="2"/>
  <c r="I5" i="2"/>
  <c r="H5" i="2"/>
  <c r="F5" i="2"/>
  <c r="E5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</calcChain>
</file>

<file path=xl/sharedStrings.xml><?xml version="1.0" encoding="utf-8"?>
<sst xmlns="http://schemas.openxmlformats.org/spreadsheetml/2006/main" count="101" uniqueCount="38">
  <si>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</si>
  <si>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</si>
  <si>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</si>
  <si>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</si>
  <si>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</si>
  <si>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</si>
  <si>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</si>
  <si>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</si>
  <si>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</si>
  <si>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</si>
  <si>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</si>
  <si>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</si>
  <si>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</si>
  <si>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</si>
  <si>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</si>
  <si>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</si>
  <si>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</si>
  <si>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</si>
  <si>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</si>
  <si>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</si>
  <si>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</si>
  <si>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</si>
  <si>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</si>
  <si>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</si>
  <si>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</si>
  <si>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</si>
  <si>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</si>
  <si>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</si>
  <si>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</si>
  <si>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</si>
  <si>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</si>
  <si>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</si>
  <si>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</si>
  <si>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</si>
  <si>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</si>
  <si>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</si>
  <si>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</si>
  <si>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FEBRUARY'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</si>
</sst>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4">
    <xf numFmtId="0" fontId="0" fillId="0" borderId="0" xfId="0"/>
    <xf numFmtId="2" fontId="0" fillId="0" borderId="0" xfId="0" applyNumberForma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1" fontId="0" fillId="0" borderId="0" xfId="0" applyNumberFormat="1" applyAlignment="1">
      <alignment horizontal="center"/>
    </xf>
    <xf numFmtId="1" fontId="7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65" fontId="0" fillId="0" borderId="0" xfId="1" applyNumberFormat="1" applyFont="1"/>
    <xf numFmtId="10" fontId="0" fillId="0" borderId="0" xfId="1" applyNumberFormat="1" applyFont="1"/>
    <xf numFmtId="43" fontId="5" fillId="0" borderId="1" xfId="2" applyFont="1" applyFill="1" applyBorder="1" applyAlignment="1">
      <alignment horizontal="center" vertical="center"/>
    </xf>
    <xf numFmtId="1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9" fontId="5" fillId="0" borderId="1" xfId="0" applyNumberFormat="1" applyFont="1" applyBorder="1" applyAlignment="1">
      <alignment horizontal="center" vertical="center"/>
    </xf>
    <xf numFmtId="0" fontId="7" fillId="0" borderId="0" xfId="0" applyFont="1" applyBorder="1" applyAlignment="1">
      <alignment horizontal="center"/>
    </xf>
    <xf numFmtId="1" fontId="5" fillId="0" borderId="0" xfId="0" applyNumberFormat="1" applyFont="1" applyBorder="1" applyAlignment="1">
      <alignment horizontal="center" vertical="center"/>
    </xf>
    <xf numFmtId="1" fontId="7" fillId="0" borderId="0" xfId="0" applyNumberFormat="1" applyFont="1" applyBorder="1" applyAlignment="1">
      <alignment horizontal="center"/>
    </xf>
    <xf numFmtId="1" fontId="7" fillId="0" borderId="0" xfId="0" applyNumberFormat="1" applyFont="1" applyFill="1" applyBorder="1" applyAlignment="1">
      <alignment horizontal="center"/>
    </xf>
    <xf numFmtId="0" fontId="7" fillId="0" borderId="0" xfId="0" applyFont="1"/>
    <xf numFmtId="43" fontId="4" fillId="0" borderId="1" xfId="2" applyFont="1" applyBorder="1" applyAlignment="1">
      <alignment horizontal="center"/>
    </xf>
    <xf numFmtId="43" fontId="4" fillId="0" borderId="1" xfId="2" applyFont="1" applyFill="1" applyBorder="1" applyAlignment="1">
      <alignment horizontal="center" vertical="center"/>
    </xf>
    <xf numFmtId="43" fontId="4" fillId="0" borderId="1" xfId="2" applyFont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0" fontId="0" fillId="2" borderId="0" xfId="0" applyFill="1"/>
    <xf numFmtId="0" fontId="9" fillId="3" borderId="2" xfId="0" applyFont="1" applyFill="1" applyBorder="1" applyAlignment="1">
      <alignment horizontal="center"/>
    </xf>
    <xf numFmtId="0" fontId="0" fillId="2" borderId="0" xfId="0" applyFill="1" applyAlignment="1"/>
    <xf numFmtId="0" fontId="2" fillId="3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/>
    </xf>
    <xf numFmtId="164" fontId="5" fillId="0" borderId="8" xfId="0" applyNumberFormat="1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9" xfId="0" applyFont="1" applyBorder="1" applyAlignment="1">
      <alignment horizontal="center" wrapText="1"/>
    </xf>
    <xf numFmtId="1" fontId="4" fillId="0" borderId="9" xfId="0" applyNumberFormat="1" applyFont="1" applyBorder="1" applyAlignment="1">
      <alignment horizontal="center"/>
    </xf>
    <xf numFmtId="164" fontId="5" fillId="0" borderId="11" xfId="0" applyNumberFormat="1" applyFont="1" applyBorder="1" applyAlignment="1">
      <alignment horizontal="center"/>
    </xf>
    <xf numFmtId="9" fontId="5" fillId="0" borderId="12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3" borderId="2" xfId="0" applyFont="1" applyFill="1" applyBorder="1" applyAlignment="1">
      <alignment horizontal="center"/>
    </xf>
    <xf numFmtId="43" fontId="4" fillId="0" borderId="1" xfId="2" applyFont="1" applyBorder="1" applyAlignment="1">
      <alignment horizontal="center" vertical="top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0" borderId="1" xfId="2" applyFont="1" applyBorder="1" applyAlignment="1" applyProtection="1">
      <alignment horizontal="center"/>
      <protection locked="0"/>
    </xf>
    <xf numFmtId="43" fontId="5" fillId="2" borderId="1" xfId="2" applyFont="1" applyFill="1" applyBorder="1" applyAlignment="1" applyProtection="1">
      <alignment horizontal="center" vertical="center"/>
      <protection locked="0"/>
    </xf>
    <xf numFmtId="43" fontId="4" fillId="0" borderId="12" xfId="2" applyFont="1" applyBorder="1" applyAlignment="1">
      <alignment horizontal="center" vertical="center"/>
    </xf>
    <xf numFmtId="43" fontId="4" fillId="2" borderId="12" xfId="2" applyFont="1" applyFill="1" applyBorder="1" applyAlignment="1">
      <alignment horizontal="center" vertical="center"/>
    </xf>
    <xf numFmtId="43" fontId="5" fillId="0" borderId="1" xfId="2" applyFont="1" applyBorder="1" applyAlignment="1">
      <alignment horizontal="center"/>
    </xf>
    <xf numFmtId="43" fontId="5" fillId="0" borderId="12" xfId="2" applyFont="1" applyFill="1" applyBorder="1" applyAlignment="1">
      <alignment horizontal="center" vertical="center"/>
    </xf>
    <xf numFmtId="43" fontId="4" fillId="0" borderId="12" xfId="2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9"/>
  <sheetViews>
    <sheetView workbookViewId="0">
      <selection activeCell="N14" sqref="N14"/>
    </sheetView>
  </sheetViews>
  <sheetFormatPr defaultColWidth="11.5703125" defaultRowHeight="15" x14ac:dyDescent="0.2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20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3" t="s">
        <v>13</v>
      </c>
      <c r="F1" s="2" t="s">
        <v>14</v>
      </c>
      <c r="G1" s="3" t="s">
        <v>15</v>
      </c>
      <c r="H1" s="2" t="s">
        <v>16</v>
      </c>
      <c r="I1" s="3" t="s">
        <v>17</v>
      </c>
      <c r="J1" s="2" t="s">
        <v>18</v>
      </c>
      <c r="K1" s="22" t="s">
        <v>19</v>
      </c>
      <c r="L1" s="2" t="s">
        <v>19</v>
      </c>
      <c r="M1" s="5" t="s">
        <v>20</v>
      </c>
      <c r="N1" s="21" t="s">
        <v>21</v>
      </c>
      <c r="O1" s="2"/>
    </row>
    <row r="2" spans="1:21" x14ac:dyDescent="0.25">
      <c r="A2" t="s">
        <v>27</v>
      </c>
      <c r="B2">
        <v>1</v>
      </c>
      <c r="C2" s="14">
        <v>2</v>
      </c>
      <c r="D2" s="14">
        <v>2022</v>
      </c>
      <c r="E2" s="16">
        <f>'02 - 2022'!B8-'02 - 2022'!B7+'02 - 2022'!C8-'02 - 2022'!C7</f>
        <v>9154</v>
      </c>
      <c r="F2" s="14">
        <v>0.11799999999999999</v>
      </c>
      <c r="G2" s="16">
        <f>'02 - 2022'!D8-'02 - 2022'!D7+'02 - 2022'!E8-'02 - 2022'!E7</f>
        <v>20.960000000000036</v>
      </c>
      <c r="H2" s="14">
        <v>0.99</v>
      </c>
      <c r="I2" s="16">
        <f>'02 - 2022'!J8-'02 - 2022'!J7</f>
        <v>11899</v>
      </c>
      <c r="J2" s="14">
        <v>8.1000000000000003E-2</v>
      </c>
      <c r="K2" s="23">
        <f>'02 - 2022'!H8-'02 - 2022'!H7</f>
        <v>0</v>
      </c>
      <c r="L2" s="16">
        <f>'02 - 2022'!I8-'02 - 2022'!I7</f>
        <v>96</v>
      </c>
      <c r="M2" s="15">
        <v>4.393629424766913</v>
      </c>
      <c r="N2" s="16">
        <v>67</v>
      </c>
    </row>
    <row r="3" spans="1:21" x14ac:dyDescent="0.25">
      <c r="A3" t="s">
        <v>27</v>
      </c>
      <c r="B3">
        <f>B2+1</f>
        <v>2</v>
      </c>
      <c r="C3" s="14">
        <v>2</v>
      </c>
      <c r="D3" s="14">
        <v>2022</v>
      </c>
      <c r="E3" s="16">
        <f>'02 - 2022'!B9-'02 - 2022'!B8+'02 - 2022'!C9-'02 - 2022'!C8</f>
        <v>9442</v>
      </c>
      <c r="F3" s="14">
        <v>0.11799999999999999</v>
      </c>
      <c r="G3" s="16">
        <f>'02 - 2022'!D9-'02 - 2022'!D8+'02 - 2022'!E9-'02 - 2022'!E8</f>
        <v>17.959999999999582</v>
      </c>
      <c r="H3" s="14">
        <v>0.99</v>
      </c>
      <c r="I3" s="16">
        <f>'02 - 2022'!J9-'02 - 2022'!J8</f>
        <v>12785</v>
      </c>
      <c r="J3" s="14">
        <v>8.1000000000000003E-2</v>
      </c>
      <c r="K3" s="23">
        <f>'02 - 2022'!H9-'02 - 2022'!H8</f>
        <v>0</v>
      </c>
      <c r="L3" s="16">
        <f>'02 - 2022'!I9-'02 - 2022'!I8</f>
        <v>112</v>
      </c>
      <c r="M3" s="15">
        <v>4.393629424766913</v>
      </c>
      <c r="N3" s="18">
        <v>84</v>
      </c>
    </row>
    <row r="4" spans="1:21" x14ac:dyDescent="0.25">
      <c r="A4" t="s">
        <v>27</v>
      </c>
      <c r="B4">
        <f t="shared" ref="B4:B29" si="0">B3+1</f>
        <v>3</v>
      </c>
      <c r="C4" s="14">
        <v>2</v>
      </c>
      <c r="D4" s="14">
        <v>2022</v>
      </c>
      <c r="E4" s="16">
        <v>0</v>
      </c>
      <c r="F4" s="14">
        <v>0.11799999999999999</v>
      </c>
      <c r="G4" s="16">
        <v>0</v>
      </c>
      <c r="H4" s="14">
        <v>0.99</v>
      </c>
      <c r="I4" s="16">
        <v>0</v>
      </c>
      <c r="J4" s="14">
        <v>8.1000000000000003E-2</v>
      </c>
      <c r="K4" s="23">
        <v>0</v>
      </c>
      <c r="L4" s="16">
        <v>0</v>
      </c>
      <c r="M4" s="15">
        <v>4.393629424766913</v>
      </c>
      <c r="N4" s="18"/>
    </row>
    <row r="5" spans="1:21" x14ac:dyDescent="0.25">
      <c r="A5" t="s">
        <v>27</v>
      </c>
      <c r="B5">
        <f t="shared" si="0"/>
        <v>4</v>
      </c>
      <c r="C5" s="14">
        <v>2</v>
      </c>
      <c r="D5" s="14">
        <v>2022</v>
      </c>
      <c r="E5" s="16">
        <f>'02 - 2022'!B11-'02 - 2022'!B10+'02 - 2022'!C11-'02 - 2022'!C10</f>
        <v>0</v>
      </c>
      <c r="F5" s="14">
        <v>0.11799999999999999</v>
      </c>
      <c r="G5" s="16">
        <f>'02 - 2022'!D11-'02 - 2022'!D10+'02 - 2022'!E11-'02 - 2022'!E10</f>
        <v>0</v>
      </c>
      <c r="H5" s="14">
        <v>0.99</v>
      </c>
      <c r="I5" s="16">
        <f>'02 - 2022'!J11-'02 - 2022'!J10</f>
        <v>0</v>
      </c>
      <c r="J5" s="14">
        <v>8.1000000000000003E-2</v>
      </c>
      <c r="K5" s="23">
        <f>'02 - 2022'!H11-'02 - 2022'!H10</f>
        <v>0</v>
      </c>
      <c r="L5" s="16">
        <f>'02 - 2022'!I11-'02 - 2022'!I10</f>
        <v>0</v>
      </c>
      <c r="M5" s="15">
        <v>4.393629424766913</v>
      </c>
      <c r="N5" s="18"/>
      <c r="R5" s="14"/>
    </row>
    <row r="6" spans="1:21" x14ac:dyDescent="0.25">
      <c r="A6" t="s">
        <v>27</v>
      </c>
      <c r="B6">
        <f t="shared" si="0"/>
        <v>5</v>
      </c>
      <c r="C6" s="14">
        <v>2</v>
      </c>
      <c r="D6" s="14">
        <v>2022</v>
      </c>
      <c r="E6" s="16">
        <f>'02 - 2022'!B12-'02 - 2022'!B11+'02 - 2022'!C12-'02 - 2022'!C11</f>
        <v>0</v>
      </c>
      <c r="F6" s="14">
        <v>0.11799999999999999</v>
      </c>
      <c r="G6" s="16">
        <f>'02 - 2022'!D12-'02 - 2022'!D11+'02 - 2022'!E12-'02 - 2022'!E11</f>
        <v>0</v>
      </c>
      <c r="H6" s="14">
        <v>0.99</v>
      </c>
      <c r="I6" s="16">
        <f>'02 - 2022'!J12-'02 - 2022'!J11</f>
        <v>0</v>
      </c>
      <c r="J6" s="14">
        <v>8.1000000000000003E-2</v>
      </c>
      <c r="K6" s="23">
        <f>'02 - 2022'!H12-'02 - 2022'!H11</f>
        <v>0</v>
      </c>
      <c r="L6" s="16">
        <f>'02 - 2022'!I12-'02 - 2022'!I11</f>
        <v>0</v>
      </c>
      <c r="M6" s="15">
        <v>4.393629424766913</v>
      </c>
      <c r="N6" s="18"/>
    </row>
    <row r="7" spans="1:21" x14ac:dyDescent="0.25">
      <c r="A7" t="s">
        <v>27</v>
      </c>
      <c r="B7">
        <f t="shared" si="0"/>
        <v>6</v>
      </c>
      <c r="C7" s="14">
        <v>2</v>
      </c>
      <c r="D7" s="14">
        <v>2022</v>
      </c>
      <c r="E7" s="16">
        <f>'02 - 2022'!B13-'02 - 2022'!B12+'02 - 2022'!C13-'02 - 2022'!C12</f>
        <v>0</v>
      </c>
      <c r="F7" s="14">
        <v>0.11799999999999999</v>
      </c>
      <c r="G7" s="16">
        <f>'02 - 2022'!D13-'02 - 2022'!D12+'02 - 2022'!E13-'02 - 2022'!E12</f>
        <v>0</v>
      </c>
      <c r="H7" s="14">
        <v>0.99</v>
      </c>
      <c r="I7" s="16">
        <f>'02 - 2022'!J13-'02 - 2022'!J12</f>
        <v>0</v>
      </c>
      <c r="J7" s="14">
        <v>8.1000000000000003E-2</v>
      </c>
      <c r="K7" s="23">
        <f>'02 - 2022'!H13-'02 - 2022'!H12</f>
        <v>0</v>
      </c>
      <c r="L7" s="16">
        <f>'02 - 2022'!I13-'02 - 2022'!I12</f>
        <v>0</v>
      </c>
      <c r="M7" s="15">
        <v>4.393629424766913</v>
      </c>
      <c r="N7" s="18"/>
    </row>
    <row r="8" spans="1:21" x14ac:dyDescent="0.25">
      <c r="A8" t="s">
        <v>27</v>
      </c>
      <c r="B8">
        <f t="shared" si="0"/>
        <v>7</v>
      </c>
      <c r="C8" s="14">
        <v>2</v>
      </c>
      <c r="D8" s="14">
        <v>2022</v>
      </c>
      <c r="E8" s="16">
        <f>'02 - 2022'!B14-'02 - 2022'!B13+'02 - 2022'!C14-'02 - 2022'!C13</f>
        <v>0</v>
      </c>
      <c r="F8" s="14">
        <v>0.11799999999999999</v>
      </c>
      <c r="G8" s="16">
        <f>'02 - 2022'!D14-'02 - 2022'!D13+'02 - 2022'!E14-'02 - 2022'!E13</f>
        <v>0</v>
      </c>
      <c r="H8" s="14">
        <v>0.99</v>
      </c>
      <c r="I8" s="16">
        <f>'02 - 2022'!J14-'02 - 2022'!J13</f>
        <v>0</v>
      </c>
      <c r="J8" s="14">
        <v>8.1000000000000003E-2</v>
      </c>
      <c r="K8" s="23">
        <f>'02 - 2022'!H14-'02 - 2022'!H13</f>
        <v>0</v>
      </c>
      <c r="L8" s="16">
        <f>'02 - 2022'!I14-'02 - 2022'!I13</f>
        <v>0</v>
      </c>
      <c r="M8" s="15">
        <v>4.393629424766913</v>
      </c>
      <c r="O8" s="16"/>
    </row>
    <row r="9" spans="1:21" x14ac:dyDescent="0.25">
      <c r="A9" t="s">
        <v>27</v>
      </c>
      <c r="B9">
        <f t="shared" si="0"/>
        <v>8</v>
      </c>
      <c r="C9" s="14">
        <v>2</v>
      </c>
      <c r="D9" s="14">
        <v>2022</v>
      </c>
      <c r="E9" s="16">
        <f>'02 - 2022'!B15-'02 - 2022'!B14+'02 - 2022'!C15-'02 - 2022'!C14</f>
        <v>0</v>
      </c>
      <c r="F9" s="14">
        <v>0.11799999999999999</v>
      </c>
      <c r="G9" s="16">
        <f>'02 - 2022'!D15-'02 - 2022'!D14+'02 - 2022'!E15-'02 - 2022'!E14</f>
        <v>0</v>
      </c>
      <c r="H9" s="14">
        <v>0.99</v>
      </c>
      <c r="I9" s="16">
        <f>'02 - 2022'!J15-'02 - 2022'!J14</f>
        <v>0</v>
      </c>
      <c r="J9" s="14">
        <v>8.1000000000000003E-2</v>
      </c>
      <c r="K9" s="23">
        <f>'02 - 2022'!H15-'02 - 2022'!H14</f>
        <v>0</v>
      </c>
      <c r="L9" s="16">
        <f>'02 - 2022'!I15-'02 - 2022'!I14</f>
        <v>0</v>
      </c>
      <c r="M9" s="15">
        <v>4.393629424766913</v>
      </c>
      <c r="N9" s="18"/>
    </row>
    <row r="10" spans="1:21" x14ac:dyDescent="0.25">
      <c r="A10" t="s">
        <v>27</v>
      </c>
      <c r="B10">
        <f t="shared" si="0"/>
        <v>9</v>
      </c>
      <c r="C10" s="14">
        <v>2</v>
      </c>
      <c r="D10" s="14">
        <v>2022</v>
      </c>
      <c r="E10" s="16">
        <f>'02 - 2022'!B16-'02 - 2022'!B15+'02 - 2022'!C16-'02 - 2022'!C15</f>
        <v>0</v>
      </c>
      <c r="F10" s="14">
        <v>0.11799999999999999</v>
      </c>
      <c r="G10" s="16">
        <f>'02 - 2022'!D16-'02 - 2022'!D15+'02 - 2022'!E16-'02 - 2022'!E15</f>
        <v>0</v>
      </c>
      <c r="H10" s="14">
        <v>0.99</v>
      </c>
      <c r="I10" s="16">
        <f>'02 - 2022'!J16-'02 - 2022'!J15</f>
        <v>0</v>
      </c>
      <c r="J10" s="14">
        <v>8.1000000000000003E-2</v>
      </c>
      <c r="K10" s="23">
        <f>'02 - 2022'!H16-'02 - 2022'!H15</f>
        <v>0</v>
      </c>
      <c r="L10" s="16">
        <f>'02 - 2022'!I16-'02 - 2022'!I15</f>
        <v>0</v>
      </c>
      <c r="M10" s="15">
        <v>4.393629424766913</v>
      </c>
      <c r="N10" s="18"/>
    </row>
    <row r="11" spans="1:21" x14ac:dyDescent="0.25">
      <c r="A11" t="s">
        <v>27</v>
      </c>
      <c r="B11">
        <f t="shared" si="0"/>
        <v>10</v>
      </c>
      <c r="C11" s="14">
        <v>2</v>
      </c>
      <c r="D11" s="14">
        <v>2022</v>
      </c>
      <c r="E11" s="16">
        <f>'02 - 2022'!B17-'02 - 2022'!B16+'02 - 2022'!C17-'02 - 2022'!C16</f>
        <v>0</v>
      </c>
      <c r="F11" s="14">
        <v>0.11799999999999999</v>
      </c>
      <c r="G11" s="16">
        <f>'02 - 2022'!D17-'02 - 2022'!D16+'02 - 2022'!E17-'02 - 2022'!E16</f>
        <v>0</v>
      </c>
      <c r="H11" s="14">
        <v>0.99</v>
      </c>
      <c r="I11" s="16">
        <f>'02 - 2022'!J17-'02 - 2022'!J16</f>
        <v>0</v>
      </c>
      <c r="J11" s="14">
        <v>8.1000000000000003E-2</v>
      </c>
      <c r="K11" s="23">
        <f>'02 - 2022'!H17-'02 - 2022'!H16</f>
        <v>0</v>
      </c>
      <c r="L11" s="16">
        <f>'02 - 2022'!I17-'02 - 2022'!I16</f>
        <v>0</v>
      </c>
      <c r="M11" s="15">
        <v>4.393629424766913</v>
      </c>
      <c r="N11" s="18"/>
    </row>
    <row r="12" spans="1:21" x14ac:dyDescent="0.25">
      <c r="A12" t="s">
        <v>27</v>
      </c>
      <c r="B12">
        <f t="shared" si="0"/>
        <v>11</v>
      </c>
      <c r="C12" s="14">
        <v>2</v>
      </c>
      <c r="D12" s="14">
        <v>2022</v>
      </c>
      <c r="E12" s="16">
        <f>'02 - 2022'!B18-'02 - 2022'!B17+'02 - 2022'!C18-'02 - 2022'!C17</f>
        <v>0</v>
      </c>
      <c r="F12" s="14">
        <v>0.11799999999999999</v>
      </c>
      <c r="G12" s="16">
        <f>'02 - 2022'!D18-'02 - 2022'!D17+'02 - 2022'!E18-'02 - 2022'!E17</f>
        <v>0</v>
      </c>
      <c r="H12" s="14">
        <v>0.99</v>
      </c>
      <c r="I12" s="16">
        <f>'02 - 2022'!J18-'02 - 2022'!J17</f>
        <v>0</v>
      </c>
      <c r="J12" s="14">
        <v>8.1000000000000003E-2</v>
      </c>
      <c r="K12" s="23">
        <f>'02 - 2022'!H18-'02 - 2022'!H17</f>
        <v>0</v>
      </c>
      <c r="L12" s="16">
        <f>'02 - 2022'!I18-'02 - 2022'!I17</f>
        <v>0</v>
      </c>
      <c r="M12" s="15">
        <v>4.393629424766913</v>
      </c>
      <c r="N12" s="16"/>
    </row>
    <row r="13" spans="1:21" x14ac:dyDescent="0.25">
      <c r="A13" t="s">
        <v>27</v>
      </c>
      <c r="B13">
        <f t="shared" si="0"/>
        <v>12</v>
      </c>
      <c r="C13" s="14">
        <v>2</v>
      </c>
      <c r="D13" s="14">
        <v>2022</v>
      </c>
      <c r="E13" s="16">
        <f>'02 - 2022'!B19-'02 - 2022'!B18+'02 - 2022'!C19-'02 - 2022'!C18</f>
        <v>0</v>
      </c>
      <c r="F13" s="14">
        <v>0.11799999999999999</v>
      </c>
      <c r="G13" s="16">
        <f>'02 - 2022'!D19-'02 - 2022'!D18+'02 - 2022'!E19-'02 - 2022'!E18</f>
        <v>0</v>
      </c>
      <c r="H13" s="14">
        <v>0.99</v>
      </c>
      <c r="I13" s="16">
        <f>'02 - 2022'!J19-'02 - 2022'!J18</f>
        <v>0</v>
      </c>
      <c r="J13" s="14">
        <v>8.1000000000000003E-2</v>
      </c>
      <c r="K13" s="23">
        <f>'02 - 2022'!H19-'02 - 2022'!H18</f>
        <v>0</v>
      </c>
      <c r="L13" s="16">
        <f>'02 - 2022'!I19-'02 - 2022'!I18</f>
        <v>0</v>
      </c>
      <c r="M13" s="15">
        <v>4.393629424766913</v>
      </c>
      <c r="N13" s="16"/>
    </row>
    <row r="14" spans="1:21" x14ac:dyDescent="0.25">
      <c r="A14" t="s">
        <v>27</v>
      </c>
      <c r="B14">
        <f t="shared" si="0"/>
        <v>13</v>
      </c>
      <c r="C14" s="14">
        <v>2</v>
      </c>
      <c r="D14" s="14">
        <v>2022</v>
      </c>
      <c r="E14" s="16">
        <f>'02 - 2022'!B20-'02 - 2022'!B19+'02 - 2022'!C20-'02 - 2022'!C19</f>
        <v>0</v>
      </c>
      <c r="F14" s="14">
        <v>0.11799999999999999</v>
      </c>
      <c r="G14" s="16">
        <f>'02 - 2022'!D20-'02 - 2022'!D19+'02 - 2022'!E20-'02 - 2022'!E19</f>
        <v>0</v>
      </c>
      <c r="H14" s="14">
        <v>0.99</v>
      </c>
      <c r="I14" s="16">
        <f>'02 - 2022'!J20-'02 - 2022'!J19</f>
        <v>0</v>
      </c>
      <c r="J14" s="14">
        <v>8.1000000000000003E-2</v>
      </c>
      <c r="K14" s="23">
        <f>'02 - 2022'!H20-'02 - 2022'!H19</f>
        <v>0</v>
      </c>
      <c r="L14" s="16">
        <f>'02 - 2022'!I20-'02 - 2022'!I19</f>
        <v>0</v>
      </c>
      <c r="M14" s="15">
        <v>4.393629424766913</v>
      </c>
      <c r="N14" s="16"/>
      <c r="O14" s="16"/>
    </row>
    <row r="15" spans="1:21" x14ac:dyDescent="0.25">
      <c r="A15" t="s">
        <v>27</v>
      </c>
      <c r="B15">
        <f t="shared" si="0"/>
        <v>14</v>
      </c>
      <c r="C15" s="14">
        <v>2</v>
      </c>
      <c r="D15" s="14">
        <v>2022</v>
      </c>
      <c r="E15" s="16">
        <f>'02 - 2022'!B21-'02 - 2022'!B20+'02 - 2022'!C21-'02 - 2022'!C20</f>
        <v>0</v>
      </c>
      <c r="F15" s="14">
        <v>0.11799999999999999</v>
      </c>
      <c r="G15" s="16">
        <f>'02 - 2022'!D21-'02 - 2022'!D20+'02 - 2022'!E21-'02 - 2022'!E20</f>
        <v>0</v>
      </c>
      <c r="H15" s="14">
        <v>0.99</v>
      </c>
      <c r="I15" s="16">
        <f>'02 - 2022'!J21-'02 - 2022'!J20</f>
        <v>0</v>
      </c>
      <c r="J15" s="14">
        <v>8.1000000000000003E-2</v>
      </c>
      <c r="K15" s="23">
        <f>'02 - 2022'!H21-'02 - 2022'!H20</f>
        <v>0</v>
      </c>
      <c r="L15" s="16">
        <f>'02 - 2022'!I21-'02 - 2022'!I20</f>
        <v>0</v>
      </c>
      <c r="M15" s="15">
        <v>4.393629424766913</v>
      </c>
      <c r="N15" s="16"/>
      <c r="R15" s="14"/>
    </row>
    <row r="16" spans="1:21" x14ac:dyDescent="0.25">
      <c r="A16" t="s">
        <v>27</v>
      </c>
      <c r="B16">
        <f t="shared" si="0"/>
        <v>15</v>
      </c>
      <c r="C16" s="14">
        <v>2</v>
      </c>
      <c r="D16" s="14">
        <v>2022</v>
      </c>
      <c r="E16" s="16">
        <f>'02 - 2022'!B22-'02 - 2022'!B21+'02 - 2022'!C22-'02 - 2022'!C21</f>
        <v>0</v>
      </c>
      <c r="F16" s="14">
        <v>0.11799999999999999</v>
      </c>
      <c r="G16" s="16">
        <f>'02 - 2022'!D22-'02 - 2022'!D21+'02 - 2022'!E22-'02 - 2022'!E21</f>
        <v>0</v>
      </c>
      <c r="H16" s="14">
        <v>0.99</v>
      </c>
      <c r="I16" s="16">
        <f>'02 - 2022'!J22-'02 - 2022'!J21</f>
        <v>0</v>
      </c>
      <c r="J16" s="14">
        <v>8.1000000000000003E-2</v>
      </c>
      <c r="K16" s="23">
        <f>'02 - 2022'!H22-'02 - 2022'!H21</f>
        <v>0</v>
      </c>
      <c r="L16" s="16">
        <f>'02 - 2022'!I22-'02 - 2022'!I21</f>
        <v>0</v>
      </c>
      <c r="M16" s="15">
        <v>4.393629424766913</v>
      </c>
      <c r="N16" s="16"/>
      <c r="U16" s="14"/>
    </row>
    <row r="17" spans="1:17" x14ac:dyDescent="0.25">
      <c r="A17" t="s">
        <v>27</v>
      </c>
      <c r="B17">
        <f t="shared" si="0"/>
        <v>16</v>
      </c>
      <c r="C17" s="14">
        <v>2</v>
      </c>
      <c r="D17" s="14">
        <v>2022</v>
      </c>
      <c r="E17" s="16">
        <f>'02 - 2022'!B23-'02 - 2022'!B22+'02 - 2022'!C23-'02 - 2022'!C22</f>
        <v>0</v>
      </c>
      <c r="F17" s="14">
        <v>0.11799999999999999</v>
      </c>
      <c r="G17" s="16">
        <f>'02 - 2022'!D23-'02 - 2022'!D22+'02 - 2022'!E23-'02 - 2022'!E22</f>
        <v>0</v>
      </c>
      <c r="H17" s="14">
        <v>0.99</v>
      </c>
      <c r="I17" s="16">
        <f>'02 - 2022'!J23-'02 - 2022'!J22</f>
        <v>0</v>
      </c>
      <c r="J17" s="14">
        <v>8.1000000000000003E-2</v>
      </c>
      <c r="K17" s="23">
        <f>'02 - 2022'!H23-'02 - 2022'!H22</f>
        <v>0</v>
      </c>
      <c r="L17" s="16">
        <f>'02 - 2022'!I23-'02 - 2022'!I22</f>
        <v>0</v>
      </c>
      <c r="M17" s="15">
        <v>4.393629424766913</v>
      </c>
      <c r="N17" s="16"/>
      <c r="O17" s="14"/>
    </row>
    <row r="18" spans="1:17" x14ac:dyDescent="0.25">
      <c r="A18" t="s">
        <v>27</v>
      </c>
      <c r="B18">
        <f t="shared" si="0"/>
        <v>17</v>
      </c>
      <c r="C18" s="14">
        <v>2</v>
      </c>
      <c r="D18" s="14">
        <v>2022</v>
      </c>
      <c r="E18" s="16">
        <f>'02 - 2022'!B24-'02 - 2022'!B23+'02 - 2022'!C24-'02 - 2022'!C23</f>
        <v>0</v>
      </c>
      <c r="F18" s="14">
        <v>0.11799999999999999</v>
      </c>
      <c r="G18" s="16">
        <f>'02 - 2022'!D24-'02 - 2022'!D23+'02 - 2022'!E24-'02 - 2022'!E23</f>
        <v>0</v>
      </c>
      <c r="H18" s="14">
        <v>0.99</v>
      </c>
      <c r="I18" s="16">
        <f>'02 - 2022'!J24-'02 - 2022'!J23</f>
        <v>0</v>
      </c>
      <c r="J18" s="14">
        <v>8.1000000000000003E-2</v>
      </c>
      <c r="K18" s="23">
        <f>'02 - 2022'!H24-'02 - 2022'!H23</f>
        <v>0</v>
      </c>
      <c r="L18" s="16">
        <f>'02 - 2022'!I24-'02 - 2022'!I23</f>
        <v>0</v>
      </c>
      <c r="M18" s="15">
        <v>4.393629424766913</v>
      </c>
      <c r="N18" s="16"/>
      <c r="Q18" s="14"/>
    </row>
    <row r="19" spans="1:17" x14ac:dyDescent="0.25">
      <c r="A19" t="s">
        <v>27</v>
      </c>
      <c r="B19">
        <f>B18+1</f>
        <v>18</v>
      </c>
      <c r="C19" s="14">
        <v>2</v>
      </c>
      <c r="D19" s="14">
        <v>2022</v>
      </c>
      <c r="E19" s="16">
        <f>'02 - 2022'!B25-'02 - 2022'!B24+'02 - 2022'!C25-'02 - 2022'!C24</f>
        <v>0</v>
      </c>
      <c r="F19" s="14">
        <v>0.11799999999999999</v>
      </c>
      <c r="G19" s="16">
        <f>'02 - 2022'!D25-'02 - 2022'!D24+'02 - 2022'!E25-'02 - 2022'!E24</f>
        <v>0</v>
      </c>
      <c r="H19" s="14">
        <v>0.99</v>
      </c>
      <c r="I19" s="16">
        <f>'02 - 2022'!J25-'02 - 2022'!J24</f>
        <v>0</v>
      </c>
      <c r="J19" s="14">
        <v>8.1000000000000003E-2</v>
      </c>
      <c r="K19" s="23">
        <f>'02 - 2022'!H25-'02 - 2022'!H24</f>
        <v>0</v>
      </c>
      <c r="L19" s="16">
        <f>'02 - 2022'!I25-'02 - 2022'!I24</f>
        <v>0</v>
      </c>
      <c r="M19" s="15">
        <v>4.393629424766913</v>
      </c>
      <c r="N19" s="16"/>
    </row>
    <row r="20" spans="1:17" x14ac:dyDescent="0.25">
      <c r="A20" t="s">
        <v>27</v>
      </c>
      <c r="B20">
        <f t="shared" si="0"/>
        <v>19</v>
      </c>
      <c r="C20" s="14">
        <v>2</v>
      </c>
      <c r="D20" s="14">
        <v>2022</v>
      </c>
      <c r="E20" s="16">
        <f>'02 - 2022'!B26-'02 - 2022'!B25+'02 - 2022'!C26-'02 - 2022'!C25</f>
        <v>0</v>
      </c>
      <c r="F20" s="14">
        <v>0.11799999999999999</v>
      </c>
      <c r="G20" s="16">
        <f>'02 - 2022'!D26-'02 - 2022'!D25+'02 - 2022'!E26-'02 - 2022'!E25</f>
        <v>0</v>
      </c>
      <c r="H20" s="14">
        <v>0.99</v>
      </c>
      <c r="I20" s="16">
        <f>'02 - 2022'!J26-'02 - 2022'!J25</f>
        <v>0</v>
      </c>
      <c r="J20" s="14">
        <v>8.1000000000000003E-2</v>
      </c>
      <c r="K20" s="23">
        <f>'02 - 2022'!H26-'02 - 2022'!H25</f>
        <v>0</v>
      </c>
      <c r="L20" s="16">
        <f>'02 - 2022'!I26-'02 - 2022'!I25</f>
        <v>0</v>
      </c>
      <c r="M20" s="15">
        <v>4.393629424766913</v>
      </c>
      <c r="N20" s="16"/>
    </row>
    <row r="21" spans="1:17" x14ac:dyDescent="0.25">
      <c r="A21" t="s">
        <v>27</v>
      </c>
      <c r="B21">
        <f t="shared" si="0"/>
        <v>20</v>
      </c>
      <c r="C21" s="14">
        <v>2</v>
      </c>
      <c r="D21" s="14">
        <v>2022</v>
      </c>
      <c r="E21" s="16">
        <f>'02 - 2022'!B27-'02 - 2022'!B26+'02 - 2022'!C27-'02 - 2022'!C26</f>
        <v>0</v>
      </c>
      <c r="F21" s="14">
        <v>0.11799999999999999</v>
      </c>
      <c r="G21" s="16">
        <f>'02 - 2022'!D27-'02 - 2022'!D26+'02 - 2022'!E27-'02 - 2022'!E26</f>
        <v>0</v>
      </c>
      <c r="H21" s="14">
        <v>0.99</v>
      </c>
      <c r="I21" s="16">
        <f>'02 - 2022'!J27-'02 - 2022'!J26</f>
        <v>0</v>
      </c>
      <c r="J21" s="14">
        <v>8.1000000000000003E-2</v>
      </c>
      <c r="K21" s="23">
        <f>'02 - 2022'!H27-'02 - 2022'!H26</f>
        <v>0</v>
      </c>
      <c r="L21" s="16">
        <f>'02 - 2022'!I27-'02 - 2022'!I26</f>
        <v>0</v>
      </c>
      <c r="M21" s="15">
        <v>4.393629424766913</v>
      </c>
      <c r="N21" s="16"/>
    </row>
    <row r="22" spans="1:17" x14ac:dyDescent="0.25">
      <c r="A22" t="s">
        <v>27</v>
      </c>
      <c r="B22">
        <f t="shared" si="0"/>
        <v>21</v>
      </c>
      <c r="C22" s="14">
        <v>2</v>
      </c>
      <c r="D22" s="14">
        <v>2022</v>
      </c>
      <c r="E22" s="16">
        <f>'02 - 2022'!B28-'02 - 2022'!B27+'02 - 2022'!C28-'02 - 2022'!C27</f>
        <v>0</v>
      </c>
      <c r="F22" s="14">
        <v>0.11799999999999999</v>
      </c>
      <c r="G22" s="16">
        <f>'02 - 2022'!D28-'02 - 2022'!D27+'02 - 2022'!E28-'02 - 2022'!E27</f>
        <v>0</v>
      </c>
      <c r="H22" s="14">
        <v>0.99</v>
      </c>
      <c r="I22" s="16">
        <f>'02 - 2022'!J28-'02 - 2022'!J27</f>
        <v>0</v>
      </c>
      <c r="J22" s="14">
        <v>8.1000000000000003E-2</v>
      </c>
      <c r="K22" s="23">
        <f>'02 - 2022'!H28-'02 - 2022'!H27</f>
        <v>0</v>
      </c>
      <c r="L22" s="16">
        <f>'02 - 2022'!I28-'02 - 2022'!I27</f>
        <v>0</v>
      </c>
      <c r="M22" s="15">
        <v>4.393629424766913</v>
      </c>
      <c r="N22" s="16"/>
    </row>
    <row r="23" spans="1:17" x14ac:dyDescent="0.25">
      <c r="A23" t="s">
        <v>27</v>
      </c>
      <c r="B23">
        <f t="shared" si="0"/>
        <v>22</v>
      </c>
      <c r="C23" s="14">
        <v>2</v>
      </c>
      <c r="D23" s="14">
        <v>2022</v>
      </c>
      <c r="E23" s="16">
        <f>'02 - 2022'!B29-'02 - 2022'!B28+'02 - 2022'!C29-'02 - 2022'!C28</f>
        <v>0</v>
      </c>
      <c r="F23" s="14">
        <v>0.11799999999999999</v>
      </c>
      <c r="G23" s="16">
        <f>'02 - 2022'!D29-'02 - 2022'!D28+'02 - 2022'!E29-'02 - 2022'!E28</f>
        <v>0</v>
      </c>
      <c r="H23" s="14">
        <v>0.99</v>
      </c>
      <c r="I23" s="16">
        <f>'02 - 2022'!J29-'02 - 2022'!J28</f>
        <v>0</v>
      </c>
      <c r="J23" s="14">
        <v>8.1000000000000003E-2</v>
      </c>
      <c r="K23" s="23">
        <f>'02 - 2022'!H29-'02 - 2022'!H28</f>
        <v>0</v>
      </c>
      <c r="L23" s="16">
        <f>'02 - 2022'!I29-'02 - 2022'!I28</f>
        <v>0</v>
      </c>
      <c r="M23" s="15">
        <v>4.393629424766913</v>
      </c>
      <c r="N23" s="16"/>
    </row>
    <row r="24" spans="1:17" x14ac:dyDescent="0.25">
      <c r="A24" t="s">
        <v>27</v>
      </c>
      <c r="B24">
        <f t="shared" si="0"/>
        <v>23</v>
      </c>
      <c r="C24" s="14">
        <v>2</v>
      </c>
      <c r="D24" s="14">
        <v>2022</v>
      </c>
      <c r="E24" s="16">
        <f>'02 - 2022'!B30-'02 - 2022'!B29+'02 - 2022'!C30-'02 - 2022'!C29</f>
        <v>0</v>
      </c>
      <c r="F24" s="14">
        <v>0.11799999999999999</v>
      </c>
      <c r="G24" s="16">
        <f>'02 - 2022'!D30-'02 - 2022'!D29+'02 - 2022'!E30-'02 - 2022'!E29</f>
        <v>0</v>
      </c>
      <c r="H24" s="14">
        <v>0.99</v>
      </c>
      <c r="I24" s="16">
        <f>'02 - 2022'!J30-'02 - 2022'!J29</f>
        <v>0</v>
      </c>
      <c r="J24" s="14">
        <v>8.1000000000000003E-2</v>
      </c>
      <c r="K24" s="23">
        <f>'02 - 2022'!H30-'02 - 2022'!H29</f>
        <v>0</v>
      </c>
      <c r="L24" s="16">
        <f>'02 - 2022'!I30-'02 - 2022'!I29</f>
        <v>0</v>
      </c>
      <c r="M24" s="15">
        <v>4.393629424766913</v>
      </c>
      <c r="N24" s="16"/>
    </row>
    <row r="25" spans="1:17" x14ac:dyDescent="0.25">
      <c r="A25" t="s">
        <v>27</v>
      </c>
      <c r="B25">
        <f t="shared" si="0"/>
        <v>24</v>
      </c>
      <c r="C25" s="14">
        <v>2</v>
      </c>
      <c r="D25" s="14">
        <v>2022</v>
      </c>
      <c r="E25" s="16">
        <f>'02 - 2022'!B31-'02 - 2022'!B30+'02 - 2022'!C31-'02 - 2022'!C30</f>
        <v>0</v>
      </c>
      <c r="F25" s="14">
        <v>0.11799999999999999</v>
      </c>
      <c r="G25" s="16">
        <f>'02 - 2022'!D31-'02 - 2022'!D30+'02 - 2022'!E31-'02 - 2022'!E30</f>
        <v>0</v>
      </c>
      <c r="H25" s="14">
        <v>0.99</v>
      </c>
      <c r="I25" s="16">
        <f>'02 - 2022'!J31-'02 - 2022'!J30</f>
        <v>0</v>
      </c>
      <c r="J25" s="14">
        <v>8.1000000000000003E-2</v>
      </c>
      <c r="K25" s="23">
        <f>'02 - 2022'!H31-'02 - 2022'!H30</f>
        <v>0</v>
      </c>
      <c r="L25" s="16">
        <f>'02 - 2022'!I31-'02 - 2022'!I30</f>
        <v>0</v>
      </c>
      <c r="M25" s="15">
        <v>4.393629424766913</v>
      </c>
      <c r="N25" s="16"/>
      <c r="P25" s="12"/>
    </row>
    <row r="26" spans="1:17" x14ac:dyDescent="0.25">
      <c r="A26" t="s">
        <v>27</v>
      </c>
      <c r="B26">
        <f>B25+1</f>
        <v>25</v>
      </c>
      <c r="C26" s="14">
        <v>2</v>
      </c>
      <c r="D26" s="14">
        <v>2022</v>
      </c>
      <c r="E26" s="16">
        <f>'02 - 2022'!B32-'02 - 2022'!B31+'02 - 2022'!C32-'02 - 2022'!C31</f>
        <v>0</v>
      </c>
      <c r="F26" s="14">
        <v>0.11799999999999999</v>
      </c>
      <c r="G26" s="16">
        <f>'02 - 2022'!D32-'02 - 2022'!D31+'02 - 2022'!E32-'02 - 2022'!E31</f>
        <v>0</v>
      </c>
      <c r="H26" s="14">
        <v>0.99</v>
      </c>
      <c r="I26" s="16">
        <f>'02 - 2022'!J32-'02 - 2022'!J31</f>
        <v>0</v>
      </c>
      <c r="J26" s="14">
        <v>8.1000000000000003E-2</v>
      </c>
      <c r="K26" s="23">
        <f>'02 - 2022'!H32-'02 - 2022'!H31</f>
        <v>0</v>
      </c>
      <c r="L26" s="16">
        <f>'02 - 2022'!I32-'02 - 2022'!I31</f>
        <v>0</v>
      </c>
      <c r="M26" s="15">
        <v>4.393629424766913</v>
      </c>
      <c r="N26" s="16"/>
    </row>
    <row r="27" spans="1:17" x14ac:dyDescent="0.25">
      <c r="A27" t="s">
        <v>27</v>
      </c>
      <c r="B27">
        <f t="shared" si="0"/>
        <v>26</v>
      </c>
      <c r="C27" s="14">
        <v>2</v>
      </c>
      <c r="D27" s="14">
        <v>2022</v>
      </c>
      <c r="E27" s="16">
        <f>'02 - 2022'!B33-'02 - 2022'!B32+'02 - 2022'!C33-'02 - 2022'!C32</f>
        <v>0</v>
      </c>
      <c r="F27" s="14">
        <v>0.11799999999999999</v>
      </c>
      <c r="G27" s="16">
        <f>'02 - 2022'!D33-'02 - 2022'!D32+'02 - 2022'!E33-'02 - 2022'!E32</f>
        <v>0</v>
      </c>
      <c r="H27" s="14">
        <v>0.99</v>
      </c>
      <c r="I27" s="16">
        <f>'02 - 2022'!J33-'02 - 2022'!J32</f>
        <v>0</v>
      </c>
      <c r="J27" s="14">
        <v>8.1000000000000003E-2</v>
      </c>
      <c r="K27" s="23">
        <f>'02 - 2022'!H33-'02 - 2022'!H32</f>
        <v>0</v>
      </c>
      <c r="L27" s="16">
        <f>'02 - 2022'!I33-'02 - 2022'!I32</f>
        <v>0</v>
      </c>
      <c r="M27" s="15">
        <v>4.393629424766913</v>
      </c>
      <c r="N27" s="16"/>
    </row>
    <row r="28" spans="1:17" x14ac:dyDescent="0.25">
      <c r="A28" t="s">
        <v>27</v>
      </c>
      <c r="B28">
        <f t="shared" si="0"/>
        <v>27</v>
      </c>
      <c r="C28" s="14">
        <v>2</v>
      </c>
      <c r="D28" s="14">
        <v>2022</v>
      </c>
      <c r="E28" s="16">
        <f>'02 - 2022'!B34-'02 - 2022'!B33+'02 - 2022'!C34-'02 - 2022'!C33</f>
        <v>0</v>
      </c>
      <c r="F28" s="14">
        <v>0.11799999999999999</v>
      </c>
      <c r="G28" s="16">
        <f>'02 - 2022'!D34-'02 - 2022'!D33+'02 - 2022'!E34-'02 - 2022'!E33</f>
        <v>0</v>
      </c>
      <c r="H28" s="14">
        <v>0.99</v>
      </c>
      <c r="I28" s="16">
        <f>'02 - 2022'!J34-'02 - 2022'!J33</f>
        <v>0</v>
      </c>
      <c r="J28" s="14">
        <v>8.1000000000000003E-2</v>
      </c>
      <c r="K28" s="23">
        <f>'02 - 2022'!H34-'02 - 2022'!H33</f>
        <v>0</v>
      </c>
      <c r="L28" s="16">
        <f>'02 - 2022'!I34-'02 - 2022'!I33</f>
        <v>0</v>
      </c>
      <c r="M28" s="15">
        <v>4.393629424766913</v>
      </c>
      <c r="N28" s="19"/>
    </row>
    <row r="29" spans="1:17" x14ac:dyDescent="0.25">
      <c r="A29" t="s">
        <v>27</v>
      </c>
      <c r="B29">
        <f t="shared" si="0"/>
        <v>28</v>
      </c>
      <c r="C29" s="14">
        <v>2</v>
      </c>
      <c r="D29" s="14">
        <v>2022</v>
      </c>
      <c r="E29" s="16">
        <f>'02 - 2022'!B35-'02 - 2022'!B34+'02 - 2022'!C35-'02 - 2022'!C34</f>
        <v>0</v>
      </c>
      <c r="F29" s="14">
        <v>0.11799999999999999</v>
      </c>
      <c r="G29" s="16">
        <f>'02 - 2022'!D35-'02 - 2022'!D34+'02 - 2022'!E35-'02 - 2022'!E34</f>
        <v>0</v>
      </c>
      <c r="H29" s="14">
        <v>0.99</v>
      </c>
      <c r="I29" s="16">
        <f>'02 - 2022'!J35-'02 - 2022'!J34</f>
        <v>0</v>
      </c>
      <c r="J29" s="14">
        <v>8.1000000000000003E-2</v>
      </c>
      <c r="K29" s="23">
        <f>'02 - 2022'!H35-'02 - 2022'!H34</f>
        <v>0</v>
      </c>
      <c r="L29" s="16">
        <f>'02 - 2022'!I35-'02 - 2022'!I34</f>
        <v>0</v>
      </c>
      <c r="M29" s="15">
        <v>4.393629424766913</v>
      </c>
      <c r="N29" s="19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9"/>
  <sheetViews>
    <sheetView workbookViewId="0">
      <selection activeCell="O19" sqref="O19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 x14ac:dyDescent="0.25">
      <c r="A1" s="7" t="s">
        <v>9</v>
      </c>
      <c r="B1" s="7" t="s">
        <v>10</v>
      </c>
      <c r="C1" s="7" t="s">
        <v>11</v>
      </c>
      <c r="D1" s="7" t="s">
        <v>12</v>
      </c>
      <c r="E1" s="8" t="s">
        <v>22</v>
      </c>
      <c r="F1" s="8" t="s">
        <v>23</v>
      </c>
      <c r="G1" s="9" t="s">
        <v>14</v>
      </c>
      <c r="H1" s="8" t="s">
        <v>24</v>
      </c>
      <c r="I1" s="8" t="s">
        <v>25</v>
      </c>
      <c r="J1" s="8" t="s">
        <v>26</v>
      </c>
      <c r="K1" s="9" t="s">
        <v>16</v>
      </c>
      <c r="L1" s="9" t="s">
        <v>21</v>
      </c>
      <c r="M1" s="9"/>
    </row>
    <row r="2" spans="1:13" x14ac:dyDescent="0.25">
      <c r="A2" t="s">
        <v>27</v>
      </c>
      <c r="B2">
        <v>1</v>
      </c>
      <c r="C2" s="14">
        <v>2</v>
      </c>
      <c r="D2">
        <v>2022</v>
      </c>
      <c r="E2" s="16">
        <f>'02 - 2022'!B8-'02 - 2022'!B7</f>
        <v>3684</v>
      </c>
      <c r="F2" s="16">
        <f>'02 - 2022'!C8-'02 - 2022'!C7</f>
        <v>5470</v>
      </c>
      <c r="G2" s="14">
        <v>0.11799999999999999</v>
      </c>
      <c r="H2" s="16">
        <f>'02 - 2022'!E8-'02 - 2022'!E7</f>
        <v>21.0300000000002</v>
      </c>
      <c r="I2" s="16">
        <f>'02 - 2022'!F8-'02 - 2022'!F7</f>
        <v>8.5199999999999818</v>
      </c>
      <c r="J2" s="16">
        <f>'02 - 2022'!G8-'02 - 2022'!G7</f>
        <v>36.270000000004075</v>
      </c>
      <c r="K2" s="14">
        <v>0.74</v>
      </c>
      <c r="L2" s="16">
        <v>67</v>
      </c>
      <c r="M2" s="10"/>
    </row>
    <row r="3" spans="1:13" x14ac:dyDescent="0.25">
      <c r="A3" t="s">
        <v>27</v>
      </c>
      <c r="B3">
        <f>B2+1</f>
        <v>2</v>
      </c>
      <c r="C3" s="14">
        <v>2</v>
      </c>
      <c r="D3" s="14">
        <v>2022</v>
      </c>
      <c r="E3" s="16">
        <f>'02 - 2022'!B9-'02 - 2022'!B8</f>
        <v>3764</v>
      </c>
      <c r="F3" s="16">
        <f>'02 - 2022'!C9-'02 - 2022'!C8</f>
        <v>5678</v>
      </c>
      <c r="G3" s="14">
        <v>0.11799999999999999</v>
      </c>
      <c r="H3" s="16">
        <f>'02 - 2022'!E9-'02 - 2022'!E8</f>
        <v>18.049999999999727</v>
      </c>
      <c r="I3" s="16">
        <f>'02 - 2022'!F9-'02 - 2022'!F8</f>
        <v>8.8800000000001091</v>
      </c>
      <c r="J3" s="16">
        <f>'02 - 2022'!G9-'02 - 2022'!G8</f>
        <v>39.5</v>
      </c>
      <c r="K3" s="14">
        <v>0.74</v>
      </c>
      <c r="L3" s="18">
        <v>84</v>
      </c>
      <c r="M3" s="10"/>
    </row>
    <row r="4" spans="1:13" x14ac:dyDescent="0.25">
      <c r="A4" t="s">
        <v>27</v>
      </c>
      <c r="B4">
        <f t="shared" ref="B4:B29" si="0">B3+1</f>
        <v>3</v>
      </c>
      <c r="C4" s="14">
        <v>2</v>
      </c>
      <c r="D4" s="14">
        <v>2022</v>
      </c>
      <c r="E4" s="16">
        <v>0</v>
      </c>
      <c r="F4" s="16">
        <v>0</v>
      </c>
      <c r="G4" s="14">
        <v>0.11799999999999999</v>
      </c>
      <c r="H4" s="16">
        <v>0</v>
      </c>
      <c r="I4" s="16">
        <v>0</v>
      </c>
      <c r="J4" s="16">
        <v>0</v>
      </c>
      <c r="K4" s="14">
        <v>0.74</v>
      </c>
      <c r="L4" s="18"/>
      <c r="M4" s="10"/>
    </row>
    <row r="5" spans="1:13" x14ac:dyDescent="0.25">
      <c r="A5" t="s">
        <v>27</v>
      </c>
      <c r="B5">
        <f t="shared" si="0"/>
        <v>4</v>
      </c>
      <c r="C5" s="14">
        <v>2</v>
      </c>
      <c r="D5" s="14">
        <v>2022</v>
      </c>
      <c r="E5" s="16">
        <f>'02 - 2022'!B11-'02 - 2022'!B10</f>
        <v>0</v>
      </c>
      <c r="F5" s="16">
        <f>'02 - 2022'!C11-'02 - 2022'!C10</f>
        <v>0</v>
      </c>
      <c r="G5" s="14">
        <v>0.11799999999999999</v>
      </c>
      <c r="H5" s="16">
        <f>'02 - 2022'!E11-'02 - 2022'!E10</f>
        <v>0</v>
      </c>
      <c r="I5" s="16">
        <f>'02 - 2022'!F11-'02 - 2022'!F10</f>
        <v>0</v>
      </c>
      <c r="J5" s="16">
        <f>'02 - 2022'!G11-'02 - 2022'!G10</f>
        <v>0</v>
      </c>
      <c r="K5" s="14">
        <v>0.74</v>
      </c>
      <c r="L5" s="18"/>
      <c r="M5" s="10"/>
    </row>
    <row r="6" spans="1:13" x14ac:dyDescent="0.25">
      <c r="A6" t="s">
        <v>27</v>
      </c>
      <c r="B6">
        <f t="shared" si="0"/>
        <v>5</v>
      </c>
      <c r="C6" s="14">
        <v>2</v>
      </c>
      <c r="D6" s="14">
        <v>2022</v>
      </c>
      <c r="E6" s="16">
        <f>'02 - 2022'!B12-'02 - 2022'!B11</f>
        <v>0</v>
      </c>
      <c r="F6" s="16">
        <f>'02 - 2022'!C12-'02 - 2022'!C11</f>
        <v>0</v>
      </c>
      <c r="G6" s="14">
        <v>0.11799999999999999</v>
      </c>
      <c r="H6" s="16">
        <f>'02 - 2022'!E12-'02 - 2022'!E11</f>
        <v>0</v>
      </c>
      <c r="I6" s="16">
        <f>'02 - 2022'!F12-'02 - 2022'!F11</f>
        <v>0</v>
      </c>
      <c r="J6" s="16">
        <f>'02 - 2022'!G12-'02 - 2022'!G11</f>
        <v>0</v>
      </c>
      <c r="K6" s="14">
        <v>0.74</v>
      </c>
      <c r="L6" s="18"/>
      <c r="M6" s="11"/>
    </row>
    <row r="7" spans="1:13" x14ac:dyDescent="0.25">
      <c r="A7" t="s">
        <v>27</v>
      </c>
      <c r="B7">
        <f t="shared" si="0"/>
        <v>6</v>
      </c>
      <c r="C7" s="14">
        <v>2</v>
      </c>
      <c r="D7" s="14">
        <v>2022</v>
      </c>
      <c r="E7" s="16">
        <f>'02 - 2022'!B13-'02 - 2022'!B12</f>
        <v>0</v>
      </c>
      <c r="F7" s="16">
        <f>'02 - 2022'!C13-'02 - 2022'!C12</f>
        <v>0</v>
      </c>
      <c r="G7" s="14">
        <v>0.11799999999999999</v>
      </c>
      <c r="H7" s="16">
        <f>'02 - 2022'!E13-'02 - 2022'!E12</f>
        <v>0</v>
      </c>
      <c r="I7" s="16">
        <f>'02 - 2022'!F13-'02 - 2022'!F12</f>
        <v>0</v>
      </c>
      <c r="J7" s="16">
        <f>'02 - 2022'!G13-'02 - 2022'!G12</f>
        <v>0</v>
      </c>
      <c r="K7" s="14">
        <v>0.74</v>
      </c>
      <c r="L7" s="18"/>
      <c r="M7" s="11"/>
    </row>
    <row r="8" spans="1:13" x14ac:dyDescent="0.25">
      <c r="A8" t="s">
        <v>27</v>
      </c>
      <c r="B8">
        <f t="shared" si="0"/>
        <v>7</v>
      </c>
      <c r="C8" s="14">
        <v>2</v>
      </c>
      <c r="D8" s="14">
        <v>2022</v>
      </c>
      <c r="E8" s="16">
        <f>'02 - 2022'!B14-'02 - 2022'!B13</f>
        <v>0</v>
      </c>
      <c r="F8" s="16">
        <f>'02 - 2022'!C14-'02 - 2022'!C13</f>
        <v>0</v>
      </c>
      <c r="G8" s="14">
        <v>0.11799999999999999</v>
      </c>
      <c r="H8" s="16">
        <f>'02 - 2022'!E14-'02 - 2022'!E13</f>
        <v>0</v>
      </c>
      <c r="I8" s="16">
        <f>'02 - 2022'!F14-'02 - 2022'!F13</f>
        <v>0</v>
      </c>
      <c r="J8" s="16">
        <f>'02 - 2022'!G14-'02 - 2022'!G13</f>
        <v>0</v>
      </c>
      <c r="K8" s="14">
        <v>0.74</v>
      </c>
      <c r="L8" s="18"/>
      <c r="M8" s="11"/>
    </row>
    <row r="9" spans="1:13" x14ac:dyDescent="0.25">
      <c r="A9" t="s">
        <v>27</v>
      </c>
      <c r="B9">
        <f t="shared" si="0"/>
        <v>8</v>
      </c>
      <c r="C9" s="14">
        <v>2</v>
      </c>
      <c r="D9" s="14">
        <v>2022</v>
      </c>
      <c r="E9" s="16">
        <f>'02 - 2022'!B15-'02 - 2022'!B14</f>
        <v>0</v>
      </c>
      <c r="F9" s="16">
        <f>'02 - 2022'!C15-'02 - 2022'!C14</f>
        <v>0</v>
      </c>
      <c r="G9" s="14">
        <v>0.11799999999999999</v>
      </c>
      <c r="H9" s="16">
        <f>'02 - 2022'!E15-'02 - 2022'!E14</f>
        <v>0</v>
      </c>
      <c r="I9" s="16">
        <f>'02 - 2022'!F15-'02 - 2022'!F14</f>
        <v>0</v>
      </c>
      <c r="J9" s="16">
        <f>'02 - 2022'!G15-'02 - 2022'!G14</f>
        <v>0</v>
      </c>
      <c r="K9" s="14">
        <v>0.74</v>
      </c>
      <c r="L9" s="18"/>
      <c r="M9" s="11"/>
    </row>
    <row r="10" spans="1:13" x14ac:dyDescent="0.25">
      <c r="A10" t="s">
        <v>27</v>
      </c>
      <c r="B10">
        <f t="shared" si="0"/>
        <v>9</v>
      </c>
      <c r="C10" s="14">
        <v>2</v>
      </c>
      <c r="D10" s="14">
        <v>2022</v>
      </c>
      <c r="E10" s="16">
        <f>'02 - 2022'!B16-'02 - 2022'!B15</f>
        <v>0</v>
      </c>
      <c r="F10" s="16">
        <f>'02 - 2022'!C16-'02 - 2022'!C15</f>
        <v>0</v>
      </c>
      <c r="G10" s="14">
        <v>0.11799999999999999</v>
      </c>
      <c r="H10" s="16">
        <f>'02 - 2022'!E16-'02 - 2022'!E15</f>
        <v>0</v>
      </c>
      <c r="I10" s="16">
        <f>'02 - 2022'!F16-'02 - 2022'!F15</f>
        <v>0</v>
      </c>
      <c r="J10" s="16">
        <f>'02 - 2022'!G16-'02 - 2022'!G15</f>
        <v>0</v>
      </c>
      <c r="K10" s="14">
        <v>0.74</v>
      </c>
      <c r="L10" s="18"/>
      <c r="M10" s="11"/>
    </row>
    <row r="11" spans="1:13" x14ac:dyDescent="0.25">
      <c r="A11" t="s">
        <v>27</v>
      </c>
      <c r="B11">
        <f t="shared" si="0"/>
        <v>10</v>
      </c>
      <c r="C11" s="14">
        <v>2</v>
      </c>
      <c r="D11" s="14">
        <v>2022</v>
      </c>
      <c r="E11" s="16">
        <f>'02 - 2022'!B17-'02 - 2022'!B16</f>
        <v>0</v>
      </c>
      <c r="F11" s="16">
        <f>'02 - 2022'!C17-'02 - 2022'!C16</f>
        <v>0</v>
      </c>
      <c r="G11" s="14">
        <v>0.11799999999999999</v>
      </c>
      <c r="H11" s="16">
        <f>'02 - 2022'!E17-'02 - 2022'!E16</f>
        <v>0</v>
      </c>
      <c r="I11" s="16">
        <f>'02 - 2022'!F17-'02 - 2022'!F16</f>
        <v>0</v>
      </c>
      <c r="J11" s="16">
        <f>'02 - 2022'!G17-'02 - 2022'!G16</f>
        <v>0</v>
      </c>
      <c r="K11" s="14">
        <v>0.74</v>
      </c>
      <c r="L11" s="18"/>
      <c r="M11" s="11"/>
    </row>
    <row r="12" spans="1:13" x14ac:dyDescent="0.25">
      <c r="A12" t="s">
        <v>27</v>
      </c>
      <c r="B12">
        <f t="shared" si="0"/>
        <v>11</v>
      </c>
      <c r="C12" s="14">
        <v>2</v>
      </c>
      <c r="D12" s="14">
        <v>2022</v>
      </c>
      <c r="E12" s="16">
        <f>'02 - 2022'!B18-'02 - 2022'!B17</f>
        <v>0</v>
      </c>
      <c r="F12" s="16">
        <f>'02 - 2022'!C18-'02 - 2022'!C17</f>
        <v>0</v>
      </c>
      <c r="G12" s="14">
        <v>0.11799999999999999</v>
      </c>
      <c r="H12" s="16">
        <f>'02 - 2022'!E18-'02 - 2022'!E17</f>
        <v>0</v>
      </c>
      <c r="I12" s="16">
        <f>'02 - 2022'!F18-'02 - 2022'!F17</f>
        <v>0</v>
      </c>
      <c r="J12" s="16">
        <f>'02 - 2022'!G18-'02 - 2022'!G17</f>
        <v>0</v>
      </c>
      <c r="K12" s="14">
        <v>0.74</v>
      </c>
      <c r="L12" s="16"/>
      <c r="M12" s="11"/>
    </row>
    <row r="13" spans="1:13" x14ac:dyDescent="0.25">
      <c r="A13" t="s">
        <v>27</v>
      </c>
      <c r="B13">
        <f t="shared" si="0"/>
        <v>12</v>
      </c>
      <c r="C13" s="14">
        <v>2</v>
      </c>
      <c r="D13" s="14">
        <v>2022</v>
      </c>
      <c r="E13" s="16">
        <f>'02 - 2022'!B19-'02 - 2022'!B18</f>
        <v>0</v>
      </c>
      <c r="F13" s="16">
        <f>'02 - 2022'!C19-'02 - 2022'!C18</f>
        <v>0</v>
      </c>
      <c r="G13" s="14">
        <v>0.11799999999999999</v>
      </c>
      <c r="H13" s="16">
        <f>'02 - 2022'!E19-'02 - 2022'!E18</f>
        <v>0</v>
      </c>
      <c r="I13" s="16">
        <f>'02 - 2022'!F19-'02 - 2022'!F18</f>
        <v>0</v>
      </c>
      <c r="J13" s="16">
        <f>'02 - 2022'!G19-'02 - 2022'!G18</f>
        <v>0</v>
      </c>
      <c r="K13" s="14">
        <v>0.74</v>
      </c>
      <c r="L13" s="16"/>
      <c r="M13" s="11"/>
    </row>
    <row r="14" spans="1:13" x14ac:dyDescent="0.25">
      <c r="A14" t="s">
        <v>27</v>
      </c>
      <c r="B14">
        <f t="shared" si="0"/>
        <v>13</v>
      </c>
      <c r="C14" s="14">
        <v>2</v>
      </c>
      <c r="D14" s="14">
        <v>2022</v>
      </c>
      <c r="E14" s="16">
        <f>'02 - 2022'!B20-'02 - 2022'!B19</f>
        <v>0</v>
      </c>
      <c r="F14" s="16">
        <f>'02 - 2022'!C20-'02 - 2022'!C19</f>
        <v>0</v>
      </c>
      <c r="G14" s="14">
        <v>0.11799999999999999</v>
      </c>
      <c r="H14" s="16">
        <f>'02 - 2022'!E20-'02 - 2022'!E19</f>
        <v>0</v>
      </c>
      <c r="I14" s="16">
        <f>'02 - 2022'!F20-'02 - 2022'!F19</f>
        <v>0</v>
      </c>
      <c r="J14" s="16">
        <f>'02 - 2022'!G20-'02 - 2022'!G19</f>
        <v>0</v>
      </c>
      <c r="K14" s="14">
        <v>0.74</v>
      </c>
      <c r="L14" s="16"/>
      <c r="M14" s="11"/>
    </row>
    <row r="15" spans="1:13" x14ac:dyDescent="0.25">
      <c r="A15" t="s">
        <v>27</v>
      </c>
      <c r="B15">
        <f t="shared" si="0"/>
        <v>14</v>
      </c>
      <c r="C15" s="14">
        <v>2</v>
      </c>
      <c r="D15" s="14">
        <v>2022</v>
      </c>
      <c r="E15" s="16">
        <f>'02 - 2022'!B21-'02 - 2022'!B20</f>
        <v>0</v>
      </c>
      <c r="F15" s="16">
        <f>'02 - 2022'!C21-'02 - 2022'!C20</f>
        <v>0</v>
      </c>
      <c r="G15" s="14">
        <v>0.11799999999999999</v>
      </c>
      <c r="H15" s="16">
        <f>'02 - 2022'!E21-'02 - 2022'!E20</f>
        <v>0</v>
      </c>
      <c r="I15" s="16">
        <f>'02 - 2022'!F21-'02 - 2022'!F20</f>
        <v>0</v>
      </c>
      <c r="J15" s="16">
        <f>'02 - 2022'!G21-'02 - 2022'!G20</f>
        <v>0</v>
      </c>
      <c r="K15" s="14">
        <v>0.74</v>
      </c>
      <c r="L15" s="16"/>
      <c r="M15" s="11"/>
    </row>
    <row r="16" spans="1:13" x14ac:dyDescent="0.25">
      <c r="A16" t="s">
        <v>27</v>
      </c>
      <c r="B16">
        <f t="shared" si="0"/>
        <v>15</v>
      </c>
      <c r="C16" s="14">
        <v>2</v>
      </c>
      <c r="D16" s="14">
        <v>2022</v>
      </c>
      <c r="E16" s="16">
        <f>'02 - 2022'!B22-'02 - 2022'!B21</f>
        <v>0</v>
      </c>
      <c r="F16" s="16">
        <f>'02 - 2022'!C22-'02 - 2022'!C21</f>
        <v>0</v>
      </c>
      <c r="G16" s="14">
        <v>0.11799999999999999</v>
      </c>
      <c r="H16" s="16">
        <f>'02 - 2022'!E22-'02 - 2022'!E21</f>
        <v>0</v>
      </c>
      <c r="I16" s="16">
        <f>'02 - 2022'!F22-'02 - 2022'!F21</f>
        <v>0</v>
      </c>
      <c r="J16" s="16">
        <f>'02 - 2022'!G22-'02 - 2022'!G21</f>
        <v>0</v>
      </c>
      <c r="K16" s="14">
        <v>0.74</v>
      </c>
      <c r="L16" s="16"/>
      <c r="M16" s="11"/>
    </row>
    <row r="17" spans="1:13" x14ac:dyDescent="0.25">
      <c r="A17" t="s">
        <v>27</v>
      </c>
      <c r="B17">
        <f t="shared" si="0"/>
        <v>16</v>
      </c>
      <c r="C17" s="14">
        <v>2</v>
      </c>
      <c r="D17" s="14">
        <v>2022</v>
      </c>
      <c r="E17" s="16">
        <f>'02 - 2022'!B23-'02 - 2022'!B22</f>
        <v>0</v>
      </c>
      <c r="F17" s="16">
        <f>'02 - 2022'!C23-'02 - 2022'!C22</f>
        <v>0</v>
      </c>
      <c r="G17" s="14">
        <v>0.11799999999999999</v>
      </c>
      <c r="H17" s="16">
        <f>'02 - 2022'!E23-'02 - 2022'!E22</f>
        <v>0</v>
      </c>
      <c r="I17" s="16">
        <f>'02 - 2022'!F23-'02 - 2022'!F22</f>
        <v>0</v>
      </c>
      <c r="J17" s="16">
        <f>'02 - 2022'!G23-'02 - 2022'!G22</f>
        <v>0</v>
      </c>
      <c r="K17" s="14">
        <v>0.74</v>
      </c>
      <c r="L17" s="16"/>
      <c r="M17" s="11"/>
    </row>
    <row r="18" spans="1:13" x14ac:dyDescent="0.25">
      <c r="A18" t="s">
        <v>27</v>
      </c>
      <c r="B18">
        <f t="shared" si="0"/>
        <v>17</v>
      </c>
      <c r="C18" s="14">
        <v>2</v>
      </c>
      <c r="D18" s="14">
        <v>2022</v>
      </c>
      <c r="E18" s="16">
        <f>'02 - 2022'!B24-'02 - 2022'!B23</f>
        <v>0</v>
      </c>
      <c r="F18" s="16">
        <f>'02 - 2022'!C24-'02 - 2022'!C23</f>
        <v>0</v>
      </c>
      <c r="G18" s="14">
        <v>0.11799999999999999</v>
      </c>
      <c r="H18" s="16">
        <f>'02 - 2022'!E24-'02 - 2022'!E23</f>
        <v>0</v>
      </c>
      <c r="I18" s="16">
        <f>'02 - 2022'!F24-'02 - 2022'!F23</f>
        <v>0</v>
      </c>
      <c r="J18" s="16">
        <f>'02 - 2022'!G24-'02 - 2022'!G23</f>
        <v>0</v>
      </c>
      <c r="K18" s="14">
        <v>0.74</v>
      </c>
      <c r="L18" s="16"/>
      <c r="M18" s="11"/>
    </row>
    <row r="19" spans="1:13" x14ac:dyDescent="0.25">
      <c r="A19" t="s">
        <v>27</v>
      </c>
      <c r="B19">
        <f>B18+1</f>
        <v>18</v>
      </c>
      <c r="C19" s="14">
        <v>2</v>
      </c>
      <c r="D19" s="14">
        <v>2022</v>
      </c>
      <c r="E19" s="16">
        <f>'02 - 2022'!B25-'02 - 2022'!B24</f>
        <v>0</v>
      </c>
      <c r="F19" s="16">
        <f>'02 - 2022'!C25-'02 - 2022'!C24</f>
        <v>0</v>
      </c>
      <c r="G19" s="14">
        <v>0.11799999999999999</v>
      </c>
      <c r="H19" s="16">
        <f>'02 - 2022'!E25-'02 - 2022'!E24</f>
        <v>0</v>
      </c>
      <c r="I19" s="16">
        <f>'02 - 2022'!F25-'02 - 2022'!F24</f>
        <v>0</v>
      </c>
      <c r="J19" s="16">
        <f>'02 - 2022'!G25-'02 - 2022'!G24</f>
        <v>0</v>
      </c>
      <c r="K19" s="14">
        <v>0.74</v>
      </c>
      <c r="L19" s="16"/>
      <c r="M19" s="11"/>
    </row>
    <row r="20" spans="1:13" x14ac:dyDescent="0.25">
      <c r="A20" t="s">
        <v>27</v>
      </c>
      <c r="B20">
        <f t="shared" si="0"/>
        <v>19</v>
      </c>
      <c r="C20" s="14">
        <v>2</v>
      </c>
      <c r="D20" s="14">
        <v>2022</v>
      </c>
      <c r="E20" s="16">
        <f>'02 - 2022'!B26-'02 - 2022'!B25</f>
        <v>0</v>
      </c>
      <c r="F20" s="16">
        <f>'02 - 2022'!C26-'02 - 2022'!C25</f>
        <v>0</v>
      </c>
      <c r="G20" s="14">
        <v>0.11799999999999999</v>
      </c>
      <c r="H20" s="16">
        <f>'02 - 2022'!E26-'02 - 2022'!E25</f>
        <v>0</v>
      </c>
      <c r="I20" s="16">
        <f>'02 - 2022'!F26-'02 - 2022'!F25</f>
        <v>0</v>
      </c>
      <c r="J20" s="16">
        <f>'02 - 2022'!G26-'02 - 2022'!G25</f>
        <v>0</v>
      </c>
      <c r="K20" s="14">
        <v>0.74</v>
      </c>
      <c r="L20" s="4"/>
      <c r="M20" s="11"/>
    </row>
    <row r="21" spans="1:13" x14ac:dyDescent="0.25">
      <c r="A21" t="s">
        <v>27</v>
      </c>
      <c r="B21">
        <f t="shared" si="0"/>
        <v>20</v>
      </c>
      <c r="C21" s="14">
        <v>2</v>
      </c>
      <c r="D21" s="14">
        <v>2022</v>
      </c>
      <c r="E21" s="16">
        <f>'02 - 2022'!B27-'02 - 2022'!B26</f>
        <v>0</v>
      </c>
      <c r="F21" s="16">
        <f>'02 - 2022'!C27-'02 - 2022'!C26</f>
        <v>0</v>
      </c>
      <c r="G21" s="14">
        <v>0.11799999999999999</v>
      </c>
      <c r="H21" s="16">
        <f>'02 - 2022'!E27-'02 - 2022'!E26</f>
        <v>0</v>
      </c>
      <c r="I21" s="16">
        <f>'02 - 2022'!F27-'02 - 2022'!F26</f>
        <v>0</v>
      </c>
      <c r="J21" s="16">
        <f>'02 - 2022'!G27-'02 - 2022'!G26</f>
        <v>0</v>
      </c>
      <c r="K21" s="14">
        <v>0.74</v>
      </c>
      <c r="L21" s="4"/>
      <c r="M21" s="11"/>
    </row>
    <row r="22" spans="1:13" x14ac:dyDescent="0.25">
      <c r="A22" t="s">
        <v>27</v>
      </c>
      <c r="B22">
        <f t="shared" si="0"/>
        <v>21</v>
      </c>
      <c r="C22" s="14">
        <v>2</v>
      </c>
      <c r="D22" s="14">
        <v>2022</v>
      </c>
      <c r="E22" s="16">
        <f>'02 - 2022'!B28-'02 - 2022'!B27</f>
        <v>0</v>
      </c>
      <c r="F22" s="16">
        <f>'02 - 2022'!C28-'02 - 2022'!C27</f>
        <v>0</v>
      </c>
      <c r="G22" s="14">
        <v>0.11799999999999999</v>
      </c>
      <c r="H22" s="16">
        <f>'02 - 2022'!E28-'02 - 2022'!E27</f>
        <v>0</v>
      </c>
      <c r="I22" s="16">
        <f>'02 - 2022'!F28-'02 - 2022'!F27</f>
        <v>0</v>
      </c>
      <c r="J22" s="16">
        <f>'02 - 2022'!G28-'02 - 2022'!G27</f>
        <v>0</v>
      </c>
      <c r="K22" s="14">
        <v>0.74</v>
      </c>
      <c r="L22" s="16"/>
      <c r="M22" s="11"/>
    </row>
    <row r="23" spans="1:13" x14ac:dyDescent="0.25">
      <c r="A23" t="s">
        <v>27</v>
      </c>
      <c r="B23">
        <f t="shared" si="0"/>
        <v>22</v>
      </c>
      <c r="C23" s="14">
        <v>2</v>
      </c>
      <c r="D23" s="14">
        <v>2022</v>
      </c>
      <c r="E23" s="16">
        <f>'02 - 2022'!B29-'02 - 2022'!B28</f>
        <v>0</v>
      </c>
      <c r="F23" s="16">
        <f>'02 - 2022'!C29-'02 - 2022'!C28</f>
        <v>0</v>
      </c>
      <c r="G23" s="14">
        <v>0.11799999999999999</v>
      </c>
      <c r="H23" s="16">
        <f>'02 - 2022'!E29-'02 - 2022'!E28</f>
        <v>0</v>
      </c>
      <c r="I23" s="16">
        <f>'02 - 2022'!F29-'02 - 2022'!F28</f>
        <v>0</v>
      </c>
      <c r="J23" s="16">
        <f>'02 - 2022'!G29-'02 - 2022'!G28</f>
        <v>0</v>
      </c>
      <c r="K23" s="14">
        <v>0.74</v>
      </c>
      <c r="L23" s="16"/>
      <c r="M23" s="11"/>
    </row>
    <row r="24" spans="1:13" x14ac:dyDescent="0.25">
      <c r="A24" t="s">
        <v>27</v>
      </c>
      <c r="B24">
        <f t="shared" si="0"/>
        <v>23</v>
      </c>
      <c r="C24" s="14">
        <v>2</v>
      </c>
      <c r="D24" s="14">
        <v>2022</v>
      </c>
      <c r="E24" s="16">
        <f>'02 - 2022'!B30-'02 - 2022'!B29</f>
        <v>0</v>
      </c>
      <c r="F24" s="16">
        <f>'02 - 2022'!C30-'02 - 2022'!C29</f>
        <v>0</v>
      </c>
      <c r="G24" s="14">
        <v>0.11799999999999999</v>
      </c>
      <c r="H24" s="16">
        <f>'02 - 2022'!E30-'02 - 2022'!E29</f>
        <v>0</v>
      </c>
      <c r="I24" s="16">
        <f>'02 - 2022'!F30-'02 - 2022'!F29</f>
        <v>0</v>
      </c>
      <c r="J24" s="16">
        <f>'02 - 2022'!G30-'02 - 2022'!G29</f>
        <v>0</v>
      </c>
      <c r="K24" s="14">
        <v>0.74</v>
      </c>
      <c r="L24" s="16"/>
      <c r="M24" s="11"/>
    </row>
    <row r="25" spans="1:13" x14ac:dyDescent="0.25">
      <c r="A25" t="s">
        <v>27</v>
      </c>
      <c r="B25">
        <f t="shared" si="0"/>
        <v>24</v>
      </c>
      <c r="C25" s="14">
        <v>2</v>
      </c>
      <c r="D25" s="14">
        <v>2022</v>
      </c>
      <c r="E25" s="16">
        <f>'02 - 2022'!B31-'02 - 2022'!B30</f>
        <v>0</v>
      </c>
      <c r="F25" s="16">
        <f>'02 - 2022'!C31-'02 - 2022'!C30</f>
        <v>0</v>
      </c>
      <c r="G25" s="14">
        <v>0.11799999999999999</v>
      </c>
      <c r="H25" s="16">
        <f>'02 - 2022'!E31-'02 - 2022'!E30</f>
        <v>0</v>
      </c>
      <c r="I25" s="16">
        <f>'02 - 2022'!F31-'02 - 2022'!F30</f>
        <v>0</v>
      </c>
      <c r="J25" s="16">
        <f>'02 - 2022'!G31-'02 - 2022'!G30</f>
        <v>0</v>
      </c>
      <c r="K25" s="14">
        <v>0.74</v>
      </c>
      <c r="L25" s="4"/>
      <c r="M25" s="11"/>
    </row>
    <row r="26" spans="1:13" x14ac:dyDescent="0.25">
      <c r="A26" t="s">
        <v>27</v>
      </c>
      <c r="B26">
        <f>B25+1</f>
        <v>25</v>
      </c>
      <c r="C26" s="14">
        <v>2</v>
      </c>
      <c r="D26" s="14">
        <v>2022</v>
      </c>
      <c r="E26" s="16">
        <f>'02 - 2022'!B32-'02 - 2022'!B31</f>
        <v>0</v>
      </c>
      <c r="F26" s="16">
        <f>'02 - 2022'!C32-'02 - 2022'!C31</f>
        <v>0</v>
      </c>
      <c r="G26" s="14">
        <v>0.11799999999999999</v>
      </c>
      <c r="H26" s="16">
        <f>'02 - 2022'!E32-'02 - 2022'!E31</f>
        <v>0</v>
      </c>
      <c r="I26" s="16">
        <f>'02 - 2022'!F32-'02 - 2022'!F31</f>
        <v>0</v>
      </c>
      <c r="J26" s="16">
        <f>'02 - 2022'!G32-'02 - 2022'!G31</f>
        <v>0</v>
      </c>
      <c r="K26" s="14">
        <v>0.74</v>
      </c>
      <c r="L26" s="4"/>
      <c r="M26" s="11"/>
    </row>
    <row r="27" spans="1:13" x14ac:dyDescent="0.25">
      <c r="A27" t="s">
        <v>27</v>
      </c>
      <c r="B27">
        <f t="shared" si="0"/>
        <v>26</v>
      </c>
      <c r="C27" s="14">
        <v>2</v>
      </c>
      <c r="D27" s="14">
        <v>2022</v>
      </c>
      <c r="E27" s="16">
        <f>'02 - 2022'!B33-'02 - 2022'!B32</f>
        <v>0</v>
      </c>
      <c r="F27" s="16">
        <f>'02 - 2022'!C33-'02 - 2022'!C32</f>
        <v>0</v>
      </c>
      <c r="G27" s="14">
        <v>0.11799999999999999</v>
      </c>
      <c r="H27" s="16">
        <f>'02 - 2022'!E33-'02 - 2022'!E32</f>
        <v>0</v>
      </c>
      <c r="I27" s="16">
        <f>'02 - 2022'!F33-'02 - 2022'!F32</f>
        <v>0</v>
      </c>
      <c r="J27" s="16">
        <f>'02 - 2022'!G33-'02 - 2022'!G32</f>
        <v>0</v>
      </c>
      <c r="K27" s="14">
        <v>0.74</v>
      </c>
      <c r="L27" s="16"/>
      <c r="M27" s="11"/>
    </row>
    <row r="28" spans="1:13" x14ac:dyDescent="0.25">
      <c r="A28" t="s">
        <v>27</v>
      </c>
      <c r="B28">
        <f t="shared" si="0"/>
        <v>27</v>
      </c>
      <c r="C28" s="14">
        <v>2</v>
      </c>
      <c r="D28" s="14">
        <v>2022</v>
      </c>
      <c r="E28" s="16">
        <f>'02 - 2022'!B34-'02 - 2022'!B33</f>
        <v>0</v>
      </c>
      <c r="F28" s="16">
        <f>'02 - 2022'!C34-'02 - 2022'!C33</f>
        <v>0</v>
      </c>
      <c r="G28" s="14">
        <v>0.11799999999999999</v>
      </c>
      <c r="H28" s="16">
        <f>'02 - 2022'!E34-'02 - 2022'!E33</f>
        <v>0</v>
      </c>
      <c r="I28" s="16">
        <f>'02 - 2022'!F34-'02 - 2022'!F33</f>
        <v>0</v>
      </c>
      <c r="J28" s="16">
        <f>'02 - 2022'!G34-'02 - 2022'!G33</f>
        <v>0</v>
      </c>
      <c r="K28" s="14">
        <v>0.74</v>
      </c>
      <c r="L28" s="4"/>
      <c r="M28" s="11"/>
    </row>
    <row r="29" spans="1:13" x14ac:dyDescent="0.25">
      <c r="A29" t="s">
        <v>27</v>
      </c>
      <c r="B29">
        <f t="shared" si="0"/>
        <v>28</v>
      </c>
      <c r="C29" s="14">
        <v>2</v>
      </c>
      <c r="D29" s="14">
        <v>2022</v>
      </c>
      <c r="E29" s="16">
        <f>'02 - 2022'!B35-'02 - 2022'!B34</f>
        <v>0</v>
      </c>
      <c r="F29" s="16">
        <f>'02 - 2022'!C35-'02 - 2022'!C34</f>
        <v>0</v>
      </c>
      <c r="G29" s="14">
        <v>0.11799999999999999</v>
      </c>
      <c r="H29" s="16">
        <f>'02 - 2022'!E35-'02 - 2022'!E34</f>
        <v>0</v>
      </c>
      <c r="I29" s="16">
        <f>'02 - 2022'!F35-'02 - 2022'!F34</f>
        <v>0</v>
      </c>
      <c r="J29" s="16">
        <f>'02 - 2022'!G35-'02 - 2022'!G34</f>
        <v>0</v>
      </c>
      <c r="K29" s="14">
        <v>0.74</v>
      </c>
      <c r="L29" s="4"/>
      <c r="M29" s="11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8"/>
  <sheetViews>
    <sheetView tabSelected="1" zoomScaleNormal="100" workbookViewId="0">
      <selection activeCell="L17" sqref="L17"/>
    </sheetView>
  </sheetViews>
  <sheetFormatPr defaultRowHeight="15" x14ac:dyDescent="0.25"/>
  <cols>
    <col min="1" max="1" width="13.5703125" style="14" customWidth="1"/>
    <col min="2" max="2" width="12.5703125" style="14" customWidth="1"/>
    <col min="3" max="3" width="13.140625" style="14" customWidth="1"/>
    <col min="4" max="4" width="9.85546875" style="14" customWidth="1"/>
    <col min="5" max="5" width="11.42578125" style="14" customWidth="1"/>
    <col min="6" max="6" width="11.7109375" style="14" customWidth="1"/>
    <col min="7" max="7" width="11.28515625" style="14" customWidth="1"/>
    <col min="8" max="9" width="13.5703125" style="14" customWidth="1"/>
    <col min="10" max="10" width="14.28515625" style="14" customWidth="1"/>
    <col min="11" max="11" width="16.42578125" style="14" customWidth="1"/>
    <col min="12" max="12" width="39" style="14" customWidth="1"/>
    <col min="13" max="13" width="14.140625" style="14" customWidth="1"/>
    <col min="14" max="16384" width="9.140625" style="14"/>
  </cols>
  <sheetData>
    <row r="1" spans="1:17" x14ac:dyDescent="0.25">
      <c r="H1" s="15"/>
      <c r="I1" s="15"/>
    </row>
    <row r="3" spans="1:17" ht="18.75" x14ac:dyDescent="0.3">
      <c r="A3" s="61" t="s">
        <v>30</v>
      </c>
      <c r="B3" s="61"/>
      <c r="C3" s="61"/>
      <c r="D3" s="61"/>
      <c r="E3" s="61"/>
      <c r="F3" s="61"/>
      <c r="G3" s="61"/>
      <c r="H3" s="61"/>
      <c r="I3" s="61"/>
      <c r="J3" s="61"/>
    </row>
    <row r="4" spans="1:17" ht="16.5" thickBot="1" x14ac:dyDescent="0.3">
      <c r="A4" s="62" t="s">
        <v>37</v>
      </c>
      <c r="B4" s="62"/>
      <c r="C4" s="62"/>
      <c r="D4" s="62"/>
      <c r="E4" s="62"/>
      <c r="F4" s="62"/>
      <c r="G4" s="62"/>
      <c r="H4" s="62"/>
      <c r="I4" s="62"/>
      <c r="J4" s="62"/>
    </row>
    <row r="5" spans="1:17" ht="16.5" thickBot="1" x14ac:dyDescent="0.3">
      <c r="A5" s="40"/>
      <c r="B5" s="63" t="s">
        <v>36</v>
      </c>
      <c r="C5" s="63"/>
      <c r="D5" s="63" t="s">
        <v>0</v>
      </c>
      <c r="E5" s="63"/>
      <c r="F5" s="63"/>
      <c r="G5" s="63"/>
      <c r="H5" s="63" t="s">
        <v>1</v>
      </c>
      <c r="I5" s="63"/>
      <c r="J5" s="41" t="s">
        <v>2</v>
      </c>
      <c r="K5" s="42"/>
    </row>
    <row r="6" spans="1:17" ht="12" customHeight="1" x14ac:dyDescent="0.25">
      <c r="A6" s="43" t="s">
        <v>3</v>
      </c>
      <c r="B6" s="44" t="s">
        <v>33</v>
      </c>
      <c r="C6" s="45" t="s">
        <v>34</v>
      </c>
      <c r="D6" s="45" t="s">
        <v>4</v>
      </c>
      <c r="E6" s="45" t="s">
        <v>5</v>
      </c>
      <c r="F6" s="45" t="s">
        <v>6</v>
      </c>
      <c r="G6" s="46" t="s">
        <v>7</v>
      </c>
      <c r="H6" s="45" t="s">
        <v>28</v>
      </c>
      <c r="I6" s="45" t="s">
        <v>29</v>
      </c>
      <c r="J6" s="45" t="s">
        <v>8</v>
      </c>
      <c r="K6" s="47" t="s">
        <v>31</v>
      </c>
      <c r="L6" s="48" t="s">
        <v>32</v>
      </c>
    </row>
    <row r="7" spans="1:17" s="12" customFormat="1" ht="12.95" customHeight="1" x14ac:dyDescent="0.25">
      <c r="A7" s="49">
        <v>44592</v>
      </c>
      <c r="B7" s="37">
        <v>655263</v>
      </c>
      <c r="C7" s="37">
        <v>239171</v>
      </c>
      <c r="D7" s="29">
        <v>0.63</v>
      </c>
      <c r="E7" s="26">
        <v>2287.41</v>
      </c>
      <c r="F7" s="36">
        <v>1407.02</v>
      </c>
      <c r="G7" s="36">
        <v>37762.14</v>
      </c>
      <c r="H7" s="37">
        <v>14528</v>
      </c>
      <c r="I7" s="37">
        <v>145892</v>
      </c>
      <c r="J7" s="37">
        <v>53511742</v>
      </c>
      <c r="K7" s="50"/>
      <c r="L7" s="51"/>
      <c r="M7" s="17"/>
    </row>
    <row r="8" spans="1:17" s="28" customFormat="1" ht="12.95" customHeight="1" x14ac:dyDescent="0.25">
      <c r="A8" s="49">
        <f>A7+1</f>
        <v>44593</v>
      </c>
      <c r="B8" s="35">
        <v>658947</v>
      </c>
      <c r="C8" s="35">
        <v>244641</v>
      </c>
      <c r="D8" s="29">
        <v>0.56000000000000005</v>
      </c>
      <c r="E8" s="26">
        <v>2308.44</v>
      </c>
      <c r="F8" s="26">
        <v>1415.54</v>
      </c>
      <c r="G8" s="35">
        <v>37798.410000000003</v>
      </c>
      <c r="H8" s="35">
        <v>14528</v>
      </c>
      <c r="I8" s="35">
        <v>145988</v>
      </c>
      <c r="J8" s="35">
        <v>53523641</v>
      </c>
      <c r="K8" s="38"/>
      <c r="L8" s="52"/>
      <c r="M8" s="27"/>
    </row>
    <row r="9" spans="1:17" s="28" customFormat="1" ht="12.95" customHeight="1" x14ac:dyDescent="0.25">
      <c r="A9" s="49">
        <f t="shared" ref="A9:A35" si="0">A8+1</f>
        <v>44594</v>
      </c>
      <c r="B9" s="35">
        <v>662711</v>
      </c>
      <c r="C9" s="36">
        <v>250319</v>
      </c>
      <c r="D9" s="29">
        <v>0.47</v>
      </c>
      <c r="E9" s="26">
        <v>2326.4899999999998</v>
      </c>
      <c r="F9" s="26">
        <v>1424.42</v>
      </c>
      <c r="G9" s="26">
        <v>37837.910000000003</v>
      </c>
      <c r="H9" s="35">
        <v>14528</v>
      </c>
      <c r="I9" s="37">
        <v>146100</v>
      </c>
      <c r="J9" s="37">
        <v>53536426</v>
      </c>
      <c r="K9" s="38"/>
      <c r="L9" s="53"/>
      <c r="M9" s="27"/>
    </row>
    <row r="10" spans="1:17" s="28" customFormat="1" ht="12.95" customHeight="1" x14ac:dyDescent="0.25">
      <c r="A10" s="49">
        <f t="shared" si="0"/>
        <v>44595</v>
      </c>
      <c r="B10" s="37"/>
      <c r="C10" s="37"/>
      <c r="D10" s="29"/>
      <c r="E10" s="26"/>
      <c r="F10" s="26"/>
      <c r="G10" s="26"/>
      <c r="H10" s="35"/>
      <c r="I10" s="37"/>
      <c r="J10" s="26"/>
      <c r="K10" s="38"/>
      <c r="L10" s="53"/>
      <c r="M10" s="27"/>
    </row>
    <row r="11" spans="1:17" s="28" customFormat="1" ht="12.95" customHeight="1" x14ac:dyDescent="0.25">
      <c r="A11" s="49">
        <f t="shared" si="0"/>
        <v>44596</v>
      </c>
      <c r="B11" s="37"/>
      <c r="C11" s="37"/>
      <c r="D11" s="29"/>
      <c r="E11" s="26"/>
      <c r="F11" s="26"/>
      <c r="G11" s="26"/>
      <c r="H11" s="35"/>
      <c r="I11" s="37"/>
      <c r="J11" s="37"/>
      <c r="K11" s="38"/>
      <c r="L11" s="53"/>
      <c r="M11" s="27"/>
    </row>
    <row r="12" spans="1:17" s="28" customFormat="1" ht="12.95" customHeight="1" x14ac:dyDescent="0.25">
      <c r="A12" s="49">
        <f t="shared" si="0"/>
        <v>44597</v>
      </c>
      <c r="B12" s="35"/>
      <c r="C12" s="35"/>
      <c r="D12" s="29"/>
      <c r="E12" s="71"/>
      <c r="F12" s="35"/>
      <c r="G12" s="35"/>
      <c r="H12" s="35"/>
      <c r="I12" s="35"/>
      <c r="J12" s="35"/>
      <c r="K12" s="38"/>
      <c r="L12" s="53"/>
      <c r="M12" s="27"/>
      <c r="N12" s="27"/>
    </row>
    <row r="13" spans="1:17" s="28" customFormat="1" ht="12.95" customHeight="1" x14ac:dyDescent="0.25">
      <c r="A13" s="49">
        <f t="shared" si="0"/>
        <v>44598</v>
      </c>
      <c r="B13" s="64"/>
      <c r="C13" s="36"/>
      <c r="D13" s="29"/>
      <c r="E13" s="26"/>
      <c r="F13" s="26"/>
      <c r="G13" s="26"/>
      <c r="H13" s="37"/>
      <c r="I13" s="36"/>
      <c r="J13" s="36"/>
      <c r="K13" s="38"/>
      <c r="L13" s="53"/>
      <c r="M13" s="27"/>
      <c r="N13" s="30"/>
      <c r="O13" s="30"/>
      <c r="P13" s="30"/>
      <c r="Q13" s="30"/>
    </row>
    <row r="14" spans="1:17" s="28" customFormat="1" ht="12.95" customHeight="1" x14ac:dyDescent="0.25">
      <c r="A14" s="49">
        <f t="shared" si="0"/>
        <v>44599</v>
      </c>
      <c r="B14" s="37"/>
      <c r="C14" s="37"/>
      <c r="D14" s="29"/>
      <c r="E14" s="26"/>
      <c r="F14" s="26"/>
      <c r="G14" s="36"/>
      <c r="H14" s="37"/>
      <c r="I14" s="37"/>
      <c r="J14" s="37"/>
      <c r="K14" s="38"/>
      <c r="L14" s="53"/>
      <c r="M14" s="27"/>
      <c r="N14" s="30"/>
      <c r="O14" s="30"/>
      <c r="P14" s="30"/>
      <c r="Q14" s="30"/>
    </row>
    <row r="15" spans="1:17" s="28" customFormat="1" ht="12.95" customHeight="1" x14ac:dyDescent="0.25">
      <c r="A15" s="49">
        <f t="shared" si="0"/>
        <v>44600</v>
      </c>
      <c r="B15" s="37"/>
      <c r="C15" s="37"/>
      <c r="D15" s="29"/>
      <c r="E15" s="26"/>
      <c r="F15" s="26"/>
      <c r="G15" s="36"/>
      <c r="H15" s="37"/>
      <c r="I15" s="37"/>
      <c r="J15" s="37"/>
      <c r="K15" s="38"/>
      <c r="L15" s="53"/>
      <c r="M15" s="27"/>
      <c r="N15" s="30"/>
      <c r="O15" s="30"/>
      <c r="P15" s="30"/>
      <c r="Q15" s="30"/>
    </row>
    <row r="16" spans="1:17" s="28" customFormat="1" ht="12.95" customHeight="1" x14ac:dyDescent="0.25">
      <c r="A16" s="49">
        <f t="shared" si="0"/>
        <v>44601</v>
      </c>
      <c r="B16" s="35"/>
      <c r="C16" s="37"/>
      <c r="D16" s="29"/>
      <c r="E16" s="26"/>
      <c r="F16" s="26"/>
      <c r="G16" s="36"/>
      <c r="H16" s="37"/>
      <c r="I16" s="37"/>
      <c r="J16" s="37"/>
      <c r="K16" s="38"/>
      <c r="L16" s="53"/>
      <c r="M16" s="27"/>
      <c r="N16" s="30"/>
      <c r="O16" s="30"/>
      <c r="P16" s="30"/>
      <c r="Q16" s="30"/>
    </row>
    <row r="17" spans="1:19" s="28" customFormat="1" ht="12.95" customHeight="1" x14ac:dyDescent="0.25">
      <c r="A17" s="49">
        <f t="shared" si="0"/>
        <v>44602</v>
      </c>
      <c r="B17" s="36"/>
      <c r="C17" s="36"/>
      <c r="D17" s="29"/>
      <c r="E17" s="26"/>
      <c r="F17" s="26"/>
      <c r="G17" s="36"/>
      <c r="H17" s="37"/>
      <c r="I17" s="36"/>
      <c r="J17" s="36"/>
      <c r="K17" s="38"/>
      <c r="L17" s="53"/>
      <c r="M17" s="27"/>
      <c r="N17" s="30"/>
      <c r="O17" s="30"/>
      <c r="P17" s="30"/>
      <c r="Q17" s="30"/>
    </row>
    <row r="18" spans="1:19" s="28" customFormat="1" ht="12.95" customHeight="1" x14ac:dyDescent="0.25">
      <c r="A18" s="49">
        <f t="shared" si="0"/>
        <v>44603</v>
      </c>
      <c r="B18" s="37"/>
      <c r="C18" s="37"/>
      <c r="D18" s="29"/>
      <c r="E18" s="26"/>
      <c r="F18" s="26"/>
      <c r="G18" s="36"/>
      <c r="H18" s="37"/>
      <c r="I18" s="37"/>
      <c r="J18" s="37"/>
      <c r="K18" s="38"/>
      <c r="L18" s="53"/>
      <c r="M18" s="27"/>
      <c r="N18" s="30"/>
      <c r="O18" s="31"/>
      <c r="P18" s="30"/>
      <c r="Q18" s="30"/>
    </row>
    <row r="19" spans="1:19" s="28" customFormat="1" ht="12.95" customHeight="1" x14ac:dyDescent="0.25">
      <c r="A19" s="49">
        <f t="shared" si="0"/>
        <v>44604</v>
      </c>
      <c r="B19" s="65"/>
      <c r="C19" s="65"/>
      <c r="D19" s="29"/>
      <c r="E19" s="66"/>
      <c r="F19" s="26"/>
      <c r="G19" s="66"/>
      <c r="H19" s="37"/>
      <c r="I19" s="65"/>
      <c r="J19" s="65"/>
      <c r="K19" s="38"/>
      <c r="L19" s="53"/>
      <c r="M19" s="27"/>
      <c r="N19" s="30"/>
      <c r="O19" s="31"/>
      <c r="P19" s="30"/>
      <c r="Q19" s="30"/>
    </row>
    <row r="20" spans="1:19" s="28" customFormat="1" ht="12.95" customHeight="1" x14ac:dyDescent="0.25">
      <c r="A20" s="49">
        <f t="shared" si="0"/>
        <v>44605</v>
      </c>
      <c r="B20" s="65"/>
      <c r="C20" s="65"/>
      <c r="D20" s="29"/>
      <c r="E20" s="66"/>
      <c r="F20" s="26"/>
      <c r="G20" s="66"/>
      <c r="H20" s="37"/>
      <c r="I20" s="65"/>
      <c r="J20" s="65"/>
      <c r="K20" s="38"/>
      <c r="L20" s="53"/>
      <c r="M20" s="27"/>
      <c r="N20" s="32"/>
      <c r="O20" s="30"/>
      <c r="P20" s="30"/>
      <c r="Q20" s="30"/>
    </row>
    <row r="21" spans="1:19" s="28" customFormat="1" ht="12.95" customHeight="1" x14ac:dyDescent="0.25">
      <c r="A21" s="49">
        <f t="shared" si="0"/>
        <v>44606</v>
      </c>
      <c r="B21" s="65"/>
      <c r="C21" s="65"/>
      <c r="D21" s="29"/>
      <c r="E21" s="66"/>
      <c r="F21" s="26"/>
      <c r="G21" s="66"/>
      <c r="H21" s="37"/>
      <c r="I21" s="65"/>
      <c r="J21" s="65"/>
      <c r="K21" s="38"/>
      <c r="L21" s="53"/>
      <c r="M21" s="27"/>
      <c r="N21" s="32"/>
      <c r="O21" s="32"/>
      <c r="P21" s="33"/>
      <c r="Q21" s="33"/>
      <c r="S21" s="27"/>
    </row>
    <row r="22" spans="1:19" s="28" customFormat="1" ht="12.95" customHeight="1" x14ac:dyDescent="0.25">
      <c r="A22" s="49">
        <f t="shared" si="0"/>
        <v>44607</v>
      </c>
      <c r="B22" s="65"/>
      <c r="C22" s="65"/>
      <c r="D22" s="29"/>
      <c r="E22" s="66"/>
      <c r="F22" s="26"/>
      <c r="G22" s="66"/>
      <c r="H22" s="37"/>
      <c r="I22" s="66"/>
      <c r="J22" s="65"/>
      <c r="K22" s="38"/>
      <c r="L22" s="53"/>
      <c r="M22" s="27"/>
      <c r="N22" s="32"/>
      <c r="O22" s="32"/>
      <c r="P22" s="30"/>
      <c r="Q22" s="30"/>
    </row>
    <row r="23" spans="1:19" s="28" customFormat="1" ht="12.95" customHeight="1" x14ac:dyDescent="0.25">
      <c r="A23" s="49">
        <f t="shared" si="0"/>
        <v>44608</v>
      </c>
      <c r="B23" s="65"/>
      <c r="C23" s="65"/>
      <c r="D23" s="29"/>
      <c r="E23" s="66"/>
      <c r="F23" s="26"/>
      <c r="G23" s="66"/>
      <c r="H23" s="37"/>
      <c r="I23" s="65"/>
      <c r="J23" s="65"/>
      <c r="K23" s="38"/>
      <c r="L23" s="53"/>
      <c r="M23" s="27"/>
      <c r="N23" s="32"/>
      <c r="O23" s="30"/>
      <c r="P23" s="30"/>
      <c r="Q23" s="30"/>
    </row>
    <row r="24" spans="1:19" s="28" customFormat="1" ht="12.95" customHeight="1" x14ac:dyDescent="0.25">
      <c r="A24" s="49">
        <f t="shared" si="0"/>
        <v>44609</v>
      </c>
      <c r="B24" s="65"/>
      <c r="C24" s="65"/>
      <c r="D24" s="29"/>
      <c r="E24" s="66"/>
      <c r="F24" s="26"/>
      <c r="G24" s="66"/>
      <c r="H24" s="37"/>
      <c r="I24" s="65"/>
      <c r="J24" s="65"/>
      <c r="K24" s="38"/>
      <c r="L24" s="54"/>
      <c r="M24" s="27"/>
      <c r="N24" s="32"/>
      <c r="O24" s="32"/>
      <c r="P24" s="30"/>
      <c r="Q24" s="30"/>
    </row>
    <row r="25" spans="1:19" s="28" customFormat="1" ht="12.95" customHeight="1" x14ac:dyDescent="0.25">
      <c r="A25" s="49">
        <f t="shared" si="0"/>
        <v>44610</v>
      </c>
      <c r="B25" s="66"/>
      <c r="C25" s="66"/>
      <c r="D25" s="29"/>
      <c r="E25" s="66"/>
      <c r="F25" s="26"/>
      <c r="G25" s="66"/>
      <c r="H25" s="37"/>
      <c r="I25" s="65"/>
      <c r="J25" s="65"/>
      <c r="K25" s="39"/>
      <c r="L25" s="54"/>
      <c r="M25" s="27"/>
      <c r="N25" s="32"/>
      <c r="O25" s="32"/>
      <c r="P25" s="30"/>
      <c r="Q25" s="30"/>
    </row>
    <row r="26" spans="1:19" s="28" customFormat="1" ht="12.95" customHeight="1" x14ac:dyDescent="0.25">
      <c r="A26" s="49">
        <f t="shared" si="0"/>
        <v>44611</v>
      </c>
      <c r="B26" s="66"/>
      <c r="C26" s="66"/>
      <c r="D26" s="29"/>
      <c r="E26" s="66"/>
      <c r="F26" s="26"/>
      <c r="G26" s="66"/>
      <c r="H26" s="37"/>
      <c r="I26" s="65"/>
      <c r="J26" s="65"/>
      <c r="K26" s="38"/>
      <c r="L26" s="54"/>
      <c r="M26" s="27"/>
      <c r="N26" s="32"/>
      <c r="O26" s="32"/>
      <c r="P26" s="30"/>
      <c r="Q26" s="30"/>
    </row>
    <row r="27" spans="1:19" s="28" customFormat="1" ht="12.95" customHeight="1" x14ac:dyDescent="0.25">
      <c r="A27" s="49">
        <f t="shared" si="0"/>
        <v>44612</v>
      </c>
      <c r="B27" s="65"/>
      <c r="C27" s="65"/>
      <c r="D27" s="29"/>
      <c r="E27" s="66"/>
      <c r="F27" s="26"/>
      <c r="G27" s="66"/>
      <c r="H27" s="37"/>
      <c r="I27" s="65"/>
      <c r="J27" s="65"/>
      <c r="K27" s="38"/>
      <c r="L27" s="53"/>
      <c r="M27" s="27"/>
    </row>
    <row r="28" spans="1:19" s="28" customFormat="1" ht="12.95" customHeight="1" x14ac:dyDescent="0.25">
      <c r="A28" s="49">
        <f t="shared" si="0"/>
        <v>44613</v>
      </c>
      <c r="B28" s="67"/>
      <c r="C28" s="65"/>
      <c r="D28" s="29"/>
      <c r="E28" s="66"/>
      <c r="F28" s="26"/>
      <c r="G28" s="66"/>
      <c r="H28" s="37"/>
      <c r="I28" s="65"/>
      <c r="J28" s="65"/>
      <c r="K28" s="38"/>
      <c r="L28" s="53"/>
      <c r="M28" s="27"/>
    </row>
    <row r="29" spans="1:19" s="28" customFormat="1" ht="12.95" customHeight="1" x14ac:dyDescent="0.25">
      <c r="A29" s="49">
        <f t="shared" si="0"/>
        <v>44614</v>
      </c>
      <c r="B29" s="65"/>
      <c r="C29" s="65"/>
      <c r="D29" s="29"/>
      <c r="E29" s="66"/>
      <c r="F29" s="26"/>
      <c r="G29" s="66"/>
      <c r="H29" s="37"/>
      <c r="I29" s="65"/>
      <c r="J29" s="65"/>
      <c r="K29" s="38"/>
      <c r="L29" s="53"/>
      <c r="M29" s="27"/>
      <c r="N29" s="27"/>
    </row>
    <row r="30" spans="1:19" s="28" customFormat="1" ht="12.95" customHeight="1" x14ac:dyDescent="0.25">
      <c r="A30" s="49">
        <f t="shared" si="0"/>
        <v>44615</v>
      </c>
      <c r="B30" s="65"/>
      <c r="C30" s="65"/>
      <c r="D30" s="29"/>
      <c r="E30" s="66"/>
      <c r="F30" s="26"/>
      <c r="G30" s="66"/>
      <c r="H30" s="37"/>
      <c r="I30" s="65"/>
      <c r="J30" s="65"/>
      <c r="K30" s="38"/>
      <c r="L30" s="53"/>
      <c r="M30" s="27"/>
    </row>
    <row r="31" spans="1:19" s="28" customFormat="1" ht="12.95" customHeight="1" x14ac:dyDescent="0.25">
      <c r="A31" s="49">
        <f t="shared" si="0"/>
        <v>44616</v>
      </c>
      <c r="B31" s="65"/>
      <c r="C31" s="65"/>
      <c r="D31" s="29"/>
      <c r="E31" s="66"/>
      <c r="F31" s="26"/>
      <c r="G31" s="66"/>
      <c r="H31" s="37"/>
      <c r="I31" s="65"/>
      <c r="J31" s="65"/>
      <c r="K31" s="38"/>
      <c r="L31" s="55"/>
      <c r="M31" s="27"/>
      <c r="N31" s="27"/>
      <c r="O31" s="27"/>
    </row>
    <row r="32" spans="1:19" s="28" customFormat="1" ht="12.95" customHeight="1" x14ac:dyDescent="0.25">
      <c r="A32" s="49">
        <f t="shared" si="0"/>
        <v>44617</v>
      </c>
      <c r="B32" s="65"/>
      <c r="C32" s="65"/>
      <c r="D32" s="29"/>
      <c r="E32" s="66"/>
      <c r="F32" s="26"/>
      <c r="G32" s="66"/>
      <c r="H32" s="37"/>
      <c r="I32" s="65"/>
      <c r="J32" s="65"/>
      <c r="K32" s="38"/>
      <c r="L32" s="55"/>
      <c r="M32" s="27"/>
      <c r="N32" s="27"/>
      <c r="O32" s="27"/>
    </row>
    <row r="33" spans="1:16" s="28" customFormat="1" ht="12.95" customHeight="1" x14ac:dyDescent="0.25">
      <c r="A33" s="49">
        <f t="shared" si="0"/>
        <v>44618</v>
      </c>
      <c r="B33" s="65"/>
      <c r="C33" s="65"/>
      <c r="D33" s="29"/>
      <c r="E33" s="66"/>
      <c r="F33" s="26"/>
      <c r="G33" s="66"/>
      <c r="H33" s="37"/>
      <c r="I33" s="65"/>
      <c r="J33" s="65"/>
      <c r="K33" s="38"/>
      <c r="L33" s="53"/>
      <c r="N33" s="27"/>
      <c r="O33" s="27"/>
    </row>
    <row r="34" spans="1:16" s="28" customFormat="1" ht="12.95" customHeight="1" x14ac:dyDescent="0.25">
      <c r="A34" s="49">
        <f t="shared" si="0"/>
        <v>44619</v>
      </c>
      <c r="B34" s="66"/>
      <c r="C34" s="68"/>
      <c r="D34" s="29"/>
      <c r="E34" s="66"/>
      <c r="F34" s="26"/>
      <c r="G34" s="66"/>
      <c r="H34" s="37"/>
      <c r="I34" s="66"/>
      <c r="J34" s="66"/>
      <c r="K34" s="38"/>
      <c r="L34" s="53"/>
      <c r="N34" s="27"/>
      <c r="P34" s="27"/>
    </row>
    <row r="35" spans="1:16" s="28" customFormat="1" ht="12.95" customHeight="1" thickBot="1" x14ac:dyDescent="0.3">
      <c r="A35" s="56">
        <f t="shared" si="0"/>
        <v>44620</v>
      </c>
      <c r="B35" s="69"/>
      <c r="C35" s="70"/>
      <c r="D35" s="57"/>
      <c r="E35" s="72"/>
      <c r="F35" s="73"/>
      <c r="G35" s="73"/>
      <c r="H35" s="69"/>
      <c r="I35" s="69"/>
      <c r="J35" s="69"/>
      <c r="K35" s="58"/>
      <c r="L35" s="53"/>
      <c r="M35" s="27"/>
      <c r="N35" s="27"/>
      <c r="O35" s="27"/>
    </row>
    <row r="36" spans="1:16" s="34" customFormat="1" x14ac:dyDescent="0.25">
      <c r="A36" s="59" t="s">
        <v>35</v>
      </c>
      <c r="B36" s="60">
        <f>B35-B7</f>
        <v>-655263</v>
      </c>
      <c r="C36" s="60">
        <f>C35-C7</f>
        <v>-239171</v>
      </c>
      <c r="D36" s="60">
        <f t="shared" ref="D36:I36" si="1">D35-D7</f>
        <v>-0.63</v>
      </c>
      <c r="E36" s="60">
        <f>E35-E7</f>
        <v>-2287.41</v>
      </c>
      <c r="F36" s="60">
        <f t="shared" si="1"/>
        <v>-1407.02</v>
      </c>
      <c r="G36" s="60">
        <f>G35-G7</f>
        <v>-37762.14</v>
      </c>
      <c r="H36" s="60">
        <f t="shared" si="1"/>
        <v>-14528</v>
      </c>
      <c r="I36" s="60">
        <f t="shared" si="1"/>
        <v>-145892</v>
      </c>
      <c r="J36" s="60">
        <f>J35-J7</f>
        <v>-53511742</v>
      </c>
      <c r="K36" s="60">
        <f>SUM(K7:K35)</f>
        <v>0</v>
      </c>
      <c r="L36" s="14"/>
    </row>
    <row r="37" spans="1:16" s="34" customFormat="1" x14ac:dyDescent="0.25">
      <c r="A37" s="14"/>
      <c r="B37" s="14"/>
      <c r="C37" s="60"/>
      <c r="D37" s="14"/>
      <c r="E37" s="16"/>
      <c r="F37" s="16"/>
      <c r="G37" s="16"/>
      <c r="H37" s="13">
        <f>H36*219.969</f>
        <v>-3195709.6319999998</v>
      </c>
      <c r="I37" s="60">
        <f>I36*219.969</f>
        <v>-32091717.347999997</v>
      </c>
      <c r="J37" s="16"/>
      <c r="K37" s="14"/>
      <c r="L37" s="14"/>
    </row>
    <row r="38" spans="1:16" x14ac:dyDescent="0.25">
      <c r="C38" s="25"/>
      <c r="I38" s="24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02 - 2022</vt:lpstr>
      <vt:lpstr>'02 - 2022'!Print_Area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2022-02-02T04:29:27Z</dcterms:modified>
</cp:coreProperties>
</file>