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2" l="1"/>
  <c r="G16" i="3" l="1"/>
  <c r="G17" i="3"/>
  <c r="G18" i="3"/>
  <c r="P13" i="2" l="1"/>
  <c r="C11" i="5" l="1"/>
  <c r="T28" i="2" l="1"/>
  <c r="T29" i="2" s="1"/>
  <c r="T30" i="2" s="1"/>
  <c r="T31" i="2" s="1"/>
  <c r="T32" i="2" s="1"/>
  <c r="T33" i="2" s="1"/>
  <c r="P7" i="2"/>
  <c r="P9" i="2" s="1"/>
  <c r="P10" i="2" s="1"/>
  <c r="P11" i="2" s="1"/>
  <c r="P12" i="2" s="1"/>
  <c r="P16" i="2" s="1"/>
  <c r="P17" i="2" s="1"/>
  <c r="P18" i="2" s="1"/>
  <c r="P19" i="2" s="1"/>
  <c r="P20" i="2" s="1"/>
  <c r="P21" i="2" s="1"/>
  <c r="P28" i="2" s="1"/>
  <c r="P29" i="2" s="1"/>
  <c r="P30" i="2" s="1"/>
  <c r="P31" i="2" s="1"/>
  <c r="P32" i="2" s="1"/>
  <c r="P33" i="2" s="1"/>
  <c r="N28" i="2"/>
  <c r="N29" i="2" s="1"/>
  <c r="N30" i="2" s="1"/>
  <c r="N31" i="2" s="1"/>
  <c r="N32" i="2" s="1"/>
  <c r="N33" i="2" s="1"/>
  <c r="L28" i="2"/>
  <c r="L29" i="2" s="1"/>
  <c r="L30" i="2" s="1"/>
  <c r="L31" i="2" s="1"/>
  <c r="L32" i="2" s="1"/>
  <c r="L33" i="2" s="1"/>
  <c r="H28" i="2"/>
  <c r="H29" i="2" s="1"/>
  <c r="H30" i="2" s="1"/>
  <c r="H31" i="2" s="1"/>
  <c r="H32" i="2" s="1"/>
  <c r="H33" i="2" s="1"/>
  <c r="F28" i="2"/>
  <c r="F29" i="2" s="1"/>
  <c r="F30" i="2" s="1"/>
  <c r="F31" i="2" s="1"/>
  <c r="F32" i="2" s="1"/>
  <c r="F33" i="2" s="1"/>
  <c r="D28" i="2"/>
  <c r="D29" i="2" s="1"/>
  <c r="D30" i="2" s="1"/>
  <c r="D31" i="2" s="1"/>
  <c r="D32" i="2" s="1"/>
  <c r="D33" i="2" s="1"/>
  <c r="B28" i="2"/>
  <c r="B29" i="2" s="1"/>
  <c r="B30" i="2" s="1"/>
  <c r="B31" i="2" s="1"/>
  <c r="B32" i="2" s="1"/>
  <c r="B33" i="2" s="1"/>
  <c r="Q28" i="1"/>
  <c r="Q29" i="1" s="1"/>
  <c r="Q30" i="1" s="1"/>
  <c r="Q31" i="1" s="1"/>
  <c r="Q32" i="1" s="1"/>
  <c r="Q33" i="1" s="1"/>
  <c r="N28" i="1"/>
  <c r="N29" i="1" s="1"/>
  <c r="N30" i="1" s="1"/>
  <c r="N31" i="1" s="1"/>
  <c r="N32" i="1" s="1"/>
  <c r="N33" i="1" s="1"/>
  <c r="K28" i="1"/>
  <c r="K29" i="1" s="1"/>
  <c r="K30" i="1" s="1"/>
  <c r="K31" i="1" s="1"/>
  <c r="K32" i="1" s="1"/>
  <c r="K33" i="1" s="1"/>
  <c r="H28" i="1"/>
  <c r="H29" i="1" s="1"/>
  <c r="H30" i="1" s="1"/>
  <c r="H31" i="1" s="1"/>
  <c r="H32" i="1" s="1"/>
  <c r="H33" i="1" s="1"/>
  <c r="E28" i="1"/>
  <c r="E29" i="1" s="1"/>
  <c r="E30" i="1" s="1"/>
  <c r="E31" i="1" s="1"/>
  <c r="E32" i="1" s="1"/>
  <c r="E33" i="1" s="1"/>
  <c r="B28" i="1"/>
  <c r="B29" i="1" s="1"/>
  <c r="B30" i="1" s="1"/>
  <c r="B31" i="1" s="1"/>
  <c r="B32" i="1" s="1"/>
  <c r="B33" i="1" s="1"/>
  <c r="B28" i="5"/>
  <c r="B29" i="5" s="1"/>
  <c r="B30" i="5" s="1"/>
  <c r="B31" i="5" s="1"/>
  <c r="B32" i="5" s="1"/>
  <c r="B33" i="5" s="1"/>
  <c r="H20" i="3"/>
  <c r="H28" i="3" s="1"/>
  <c r="H29" i="3" s="1"/>
  <c r="H30" i="3" s="1"/>
  <c r="H31" i="3" s="1"/>
  <c r="H32" i="3" s="1"/>
  <c r="H33" i="3" s="1"/>
  <c r="D6" i="3"/>
  <c r="D16" i="3" s="1"/>
  <c r="D17" i="3" s="1"/>
  <c r="D18" i="3" s="1"/>
  <c r="D20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20" i="3"/>
  <c r="B28" i="3" s="1"/>
  <c r="B29" i="3" s="1"/>
  <c r="B30" i="3" s="1"/>
  <c r="B31" i="3" s="1"/>
  <c r="B32" i="3" s="1"/>
  <c r="B33" i="3" s="1"/>
  <c r="J2" i="3"/>
  <c r="K2" i="3" s="1"/>
  <c r="V12" i="4"/>
  <c r="V28" i="4" s="1"/>
  <c r="V29" i="4" s="1"/>
  <c r="V30" i="4" s="1"/>
  <c r="V31" i="4" s="1"/>
  <c r="V32" i="4" s="1"/>
  <c r="V33" i="4" s="1"/>
  <c r="R12" i="4"/>
  <c r="R28" i="4" s="1"/>
  <c r="R29" i="4" s="1"/>
  <c r="R30" i="4" s="1"/>
  <c r="R31" i="4" s="1"/>
  <c r="R32" i="4" s="1"/>
  <c r="R33" i="4" s="1"/>
  <c r="P12" i="4"/>
  <c r="P28" i="4" s="1"/>
  <c r="P29" i="4" s="1"/>
  <c r="P30" i="4" s="1"/>
  <c r="P31" i="4" s="1"/>
  <c r="P32" i="4" s="1"/>
  <c r="P33" i="4" s="1"/>
  <c r="N12" i="4"/>
  <c r="N28" i="4" s="1"/>
  <c r="N29" i="4" s="1"/>
  <c r="N30" i="4" s="1"/>
  <c r="N31" i="4" s="1"/>
  <c r="N32" i="4" s="1"/>
  <c r="N33" i="4" s="1"/>
  <c r="L12" i="4"/>
  <c r="L28" i="4" s="1"/>
  <c r="L29" i="4" s="1"/>
  <c r="L30" i="4" s="1"/>
  <c r="L31" i="4" s="1"/>
  <c r="L32" i="4" s="1"/>
  <c r="L33" i="4" s="1"/>
  <c r="J12" i="4"/>
  <c r="J28" i="4" s="1"/>
  <c r="J29" i="4" s="1"/>
  <c r="J30" i="4" s="1"/>
  <c r="J31" i="4" s="1"/>
  <c r="J32" i="4" s="1"/>
  <c r="J33" i="4" s="1"/>
  <c r="G12" i="4"/>
  <c r="G28" i="4" s="1"/>
  <c r="G29" i="4" s="1"/>
  <c r="G30" i="4" s="1"/>
  <c r="G31" i="4" s="1"/>
  <c r="G32" i="4" s="1"/>
  <c r="G33" i="4" s="1"/>
  <c r="E12" i="4"/>
  <c r="E28" i="4" s="1"/>
  <c r="E29" i="4" s="1"/>
  <c r="E30" i="4" s="1"/>
  <c r="E31" i="4" s="1"/>
  <c r="E32" i="4" s="1"/>
  <c r="E33" i="4" s="1"/>
  <c r="C12" i="4"/>
  <c r="C14" i="4" s="1"/>
  <c r="C15" i="4" s="1"/>
  <c r="C28" i="4" s="1"/>
  <c r="C29" i="4" s="1"/>
  <c r="C30" i="4" s="1"/>
  <c r="C31" i="4" s="1"/>
  <c r="C32" i="4" s="1"/>
  <c r="C33" i="4" s="1"/>
  <c r="I2" i="4"/>
  <c r="F20" i="3" l="1"/>
  <c r="F28" i="3" s="1"/>
  <c r="F29" i="3" s="1"/>
  <c r="F30" i="3" s="1"/>
  <c r="F31" i="3" s="1"/>
  <c r="F32" i="3" s="1"/>
  <c r="F33" i="3" s="1"/>
  <c r="N26" i="10"/>
  <c r="Q22" i="2" l="1"/>
  <c r="U3" i="2" l="1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Q3" i="4"/>
  <c r="O3" i="4"/>
  <c r="M3" i="4"/>
  <c r="K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M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<sst xmlns="http://schemas.openxmlformats.org/spreadsheetml/2006/main" count="442" uniqueCount="144">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</sst>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31" sqref="I31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7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91024.117632000009</v>
      </c>
      <c r="F2" s="162">
        <v>1.27</v>
      </c>
      <c r="G2" s="47">
        <f>Gas!C3*0.9147</f>
        <v>1943.7375</v>
      </c>
      <c r="H2" s="163">
        <v>3.65</v>
      </c>
      <c r="I2" s="164">
        <f>Submetering!H2+Submetering!AD2+Submetering!AE2</f>
        <v>1306</v>
      </c>
      <c r="J2" s="165">
        <v>10.029999999999999</v>
      </c>
      <c r="K2" s="47">
        <f>ELECT.!B3</f>
        <v>165</v>
      </c>
    </row>
    <row r="3" spans="1:14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56745.401704000004</v>
      </c>
      <c r="F3" s="162">
        <v>1.27</v>
      </c>
      <c r="G3" s="47">
        <f>Gas!C4*0.9147</f>
        <v>1881.5378999999998</v>
      </c>
      <c r="H3" s="163">
        <v>3.65</v>
      </c>
      <c r="I3" s="165">
        <f>Submetering!H3+Submetering!AD3+Submetering!AE3</f>
        <v>1336</v>
      </c>
      <c r="J3" s="165">
        <v>10.029999999999999</v>
      </c>
      <c r="K3" s="47">
        <f>ELECT.!B4</f>
        <v>176</v>
      </c>
    </row>
    <row r="4" spans="1:14" x14ac:dyDescent="0.2">
      <c r="A4" s="58" t="s">
        <v>53</v>
      </c>
      <c r="B4" s="63">
        <f t="shared" ref="B4:B31" si="0">B3+1</f>
        <v>3</v>
      </c>
      <c r="C4" s="63">
        <v>7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62731.646375999997</v>
      </c>
      <c r="F4" s="162">
        <v>1.27</v>
      </c>
      <c r="G4" s="47">
        <f>Gas!C5*0.9147</f>
        <v>1968.4343999999999</v>
      </c>
      <c r="H4" s="163">
        <v>3.65</v>
      </c>
      <c r="I4" s="165">
        <f>Submetering!H4+Submetering!AD4+Submetering!AE4</f>
        <v>1156</v>
      </c>
      <c r="J4" s="165">
        <v>10.029999999999999</v>
      </c>
      <c r="K4" s="47">
        <f>ELECT.!B5</f>
        <v>167</v>
      </c>
    </row>
    <row r="5" spans="1:14" x14ac:dyDescent="0.2">
      <c r="A5" s="58" t="s">
        <v>53</v>
      </c>
      <c r="B5" s="63">
        <f t="shared" si="0"/>
        <v>4</v>
      </c>
      <c r="C5" s="63">
        <v>7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76765.596836000012</v>
      </c>
      <c r="F5" s="162">
        <v>1.27</v>
      </c>
      <c r="G5" s="47">
        <f>Gas!C6*0.9147</f>
        <v>2032.4633999999999</v>
      </c>
      <c r="H5" s="163">
        <v>3.65</v>
      </c>
      <c r="I5" s="165">
        <f>Submetering!H5+Submetering!AD5+Submetering!AE5</f>
        <v>1256</v>
      </c>
      <c r="J5" s="165">
        <v>10.029999999999999</v>
      </c>
      <c r="K5" s="47">
        <f>ELECT.!B6</f>
        <v>187</v>
      </c>
    </row>
    <row r="6" spans="1:14" x14ac:dyDescent="0.2">
      <c r="A6" s="58" t="s">
        <v>53</v>
      </c>
      <c r="B6" s="63">
        <f t="shared" si="0"/>
        <v>5</v>
      </c>
      <c r="C6" s="63">
        <v>7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71744.18116399998</v>
      </c>
      <c r="F6" s="162">
        <v>1.27</v>
      </c>
      <c r="G6" s="47">
        <f>Gas!C7*0.9147</f>
        <v>2114.7864</v>
      </c>
      <c r="H6" s="163">
        <v>3.65</v>
      </c>
      <c r="I6" s="165">
        <f>Submetering!H6+Submetering!AD6+Submetering!AE6</f>
        <v>1256</v>
      </c>
      <c r="J6" s="165">
        <v>10.029999999999999</v>
      </c>
      <c r="K6" s="47">
        <f>ELECT.!B7</f>
        <v>172</v>
      </c>
    </row>
    <row r="7" spans="1:14" x14ac:dyDescent="0.2">
      <c r="A7" s="58" t="s">
        <v>53</v>
      </c>
      <c r="B7" s="63">
        <f t="shared" si="0"/>
        <v>6</v>
      </c>
      <c r="C7" s="63">
        <v>7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68298.754531999992</v>
      </c>
      <c r="F7" s="162">
        <v>1.27</v>
      </c>
      <c r="G7" s="47">
        <f>Gas!C8*0.9147</f>
        <v>1914.4670999999998</v>
      </c>
      <c r="H7" s="163">
        <v>3.65</v>
      </c>
      <c r="I7" s="165">
        <f>Submetering!H7+Submetering!AD7+Submetering!AE7</f>
        <v>1706</v>
      </c>
      <c r="J7" s="165">
        <v>10.029999999999999</v>
      </c>
      <c r="K7" s="47">
        <f>ELECT.!B8</f>
        <v>176</v>
      </c>
    </row>
    <row r="8" spans="1:14" x14ac:dyDescent="0.2">
      <c r="A8" s="58" t="s">
        <v>53</v>
      </c>
      <c r="B8" s="63">
        <f t="shared" si="0"/>
        <v>7</v>
      </c>
      <c r="C8" s="63">
        <v>7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47139.438447999994</v>
      </c>
      <c r="F8" s="162">
        <v>1.27</v>
      </c>
      <c r="G8" s="47">
        <f>Gas!C9*0.9147</f>
        <v>1929.1023</v>
      </c>
      <c r="H8" s="163">
        <v>3.65</v>
      </c>
      <c r="I8" s="165">
        <f>Submetering!H8+Submetering!AD8+Submetering!AE8</f>
        <v>1306</v>
      </c>
      <c r="J8" s="165">
        <v>10.029999999999999</v>
      </c>
      <c r="K8" s="47">
        <f>ELECT.!B9</f>
        <v>182</v>
      </c>
    </row>
    <row r="9" spans="1:14" x14ac:dyDescent="0.2">
      <c r="A9" s="58" t="s">
        <v>53</v>
      </c>
      <c r="B9" s="63">
        <f t="shared" si="0"/>
        <v>8</v>
      </c>
      <c r="C9" s="63">
        <v>7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85046.820288000003</v>
      </c>
      <c r="F9" s="162">
        <v>1.27</v>
      </c>
      <c r="G9" s="47">
        <f>Gas!C10*0.9147</f>
        <v>1918.1259</v>
      </c>
      <c r="H9" s="163">
        <v>3.65</v>
      </c>
      <c r="I9" s="165">
        <f>Submetering!H9+Submetering!AD9+Submetering!AE9</f>
        <v>1506</v>
      </c>
      <c r="J9" s="165">
        <v>10.029999999999999</v>
      </c>
      <c r="K9" s="47">
        <f>ELECT.!B10</f>
        <v>180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7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62842.014303999997</v>
      </c>
      <c r="F10" s="162">
        <v>1.27</v>
      </c>
      <c r="G10" s="47">
        <f>Gas!C11*0.9147</f>
        <v>1404.0645</v>
      </c>
      <c r="H10" s="163">
        <v>3.65</v>
      </c>
      <c r="I10" s="165">
        <f>Submetering!H10+Submetering!AD10+Submetering!AE10</f>
        <v>1836</v>
      </c>
      <c r="J10" s="165">
        <v>10.029999999999999</v>
      </c>
      <c r="K10" s="47">
        <f>ELECT.!B11</f>
        <v>189</v>
      </c>
    </row>
    <row r="11" spans="1:14" x14ac:dyDescent="0.2">
      <c r="A11" s="58" t="s">
        <v>53</v>
      </c>
      <c r="B11" s="63">
        <f t="shared" si="0"/>
        <v>10</v>
      </c>
      <c r="C11" s="63">
        <v>7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-2027</v>
      </c>
      <c r="F11" s="162">
        <v>1.27</v>
      </c>
      <c r="G11" s="47">
        <f>Gas!C12*0.9147</f>
        <v>2530.9748999999997</v>
      </c>
      <c r="H11" s="163">
        <v>3.65</v>
      </c>
      <c r="I11" s="165">
        <f>Submetering!H11+Submetering!AD11+Submetering!AE11</f>
        <v>1166.0000000000002</v>
      </c>
      <c r="J11" s="165">
        <v>10.029999999999999</v>
      </c>
      <c r="K11" s="47">
        <f>ELECT.!B12</f>
        <v>190</v>
      </c>
    </row>
    <row r="12" spans="1:14" x14ac:dyDescent="0.2">
      <c r="A12" s="58" t="s">
        <v>53</v>
      </c>
      <c r="B12" s="63">
        <f t="shared" si="0"/>
        <v>11</v>
      </c>
      <c r="C12" s="63">
        <v>7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145186.45609600004</v>
      </c>
      <c r="F12" s="162">
        <v>1.27</v>
      </c>
      <c r="G12" s="47">
        <f>Gas!C13*0.9147</f>
        <v>1726.0389</v>
      </c>
      <c r="H12" s="163">
        <v>3.65</v>
      </c>
      <c r="I12" s="165">
        <f>Submetering!H12+Submetering!AD12+Submetering!AE12</f>
        <v>1166</v>
      </c>
      <c r="J12" s="165">
        <v>10.029999999999999</v>
      </c>
      <c r="K12" s="47">
        <f>ELECT.!B13</f>
        <v>166</v>
      </c>
    </row>
    <row r="13" spans="1:14" x14ac:dyDescent="0.2">
      <c r="A13" s="58" t="s">
        <v>53</v>
      </c>
      <c r="B13" s="63">
        <f t="shared" si="0"/>
        <v>12</v>
      </c>
      <c r="C13" s="63">
        <v>7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65298.791883999991</v>
      </c>
      <c r="F13" s="162">
        <v>1.27</v>
      </c>
      <c r="G13" s="47">
        <f>Gas!C14*0.9147</f>
        <v>1821.1677</v>
      </c>
      <c r="H13" s="163">
        <v>3.65</v>
      </c>
      <c r="I13" s="165">
        <f>Submetering!H13+Submetering!AD13+Submetering!AE13</f>
        <v>1496</v>
      </c>
      <c r="J13" s="165">
        <v>10.029999999999999</v>
      </c>
      <c r="K13" s="47">
        <f>ELECT.!B14</f>
        <v>159</v>
      </c>
    </row>
    <row r="14" spans="1:14" x14ac:dyDescent="0.2">
      <c r="A14" s="58" t="s">
        <v>53</v>
      </c>
      <c r="B14" s="63">
        <f t="shared" si="0"/>
        <v>13</v>
      </c>
      <c r="C14" s="63">
        <v>7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176968.426488</v>
      </c>
      <c r="F14" s="162">
        <v>1.27</v>
      </c>
      <c r="G14" s="47">
        <f>Gas!C15*0.9147</f>
        <v>1677.5598</v>
      </c>
      <c r="H14" s="163">
        <v>3.65</v>
      </c>
      <c r="I14" s="165">
        <f>Submetering!H14+Submetering!AD14+Submetering!AE14</f>
        <v>1256</v>
      </c>
      <c r="J14" s="165">
        <v>10.029999999999999</v>
      </c>
      <c r="K14" s="47">
        <f>ELECT.!B15</f>
        <v>200</v>
      </c>
    </row>
    <row r="15" spans="1:14" x14ac:dyDescent="0.2">
      <c r="A15" s="58" t="s">
        <v>53</v>
      </c>
      <c r="B15" s="63">
        <f t="shared" si="0"/>
        <v>14</v>
      </c>
      <c r="C15" s="63">
        <v>7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64916.869047999993</v>
      </c>
      <c r="F15" s="162">
        <v>1.27</v>
      </c>
      <c r="G15" s="47">
        <f>Gas!C16*0.9147</f>
        <v>1742.5035</v>
      </c>
      <c r="H15" s="163">
        <v>3.65</v>
      </c>
      <c r="I15" s="165">
        <f>Submetering!H15+Submetering!AD15+Submetering!AE15</f>
        <v>1156</v>
      </c>
      <c r="J15" s="165">
        <v>10.029999999999999</v>
      </c>
      <c r="K15" s="47">
        <f>ELECT.!B16</f>
        <v>192</v>
      </c>
    </row>
    <row r="16" spans="1:14" x14ac:dyDescent="0.2">
      <c r="A16" s="58" t="s">
        <v>53</v>
      </c>
      <c r="B16" s="63">
        <f t="shared" si="0"/>
        <v>15</v>
      </c>
      <c r="C16" s="63">
        <v>7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80124.821307999999</v>
      </c>
      <c r="F16" s="162">
        <v>1.27</v>
      </c>
      <c r="G16" s="47">
        <f>Gas!C17*0.9147</f>
        <v>1737.0153</v>
      </c>
      <c r="H16" s="163">
        <v>3.65</v>
      </c>
      <c r="I16" s="165">
        <f>Submetering!H16+Submetering!AD16+Submetering!AE16</f>
        <v>736</v>
      </c>
      <c r="J16" s="165">
        <v>10.029999999999999</v>
      </c>
      <c r="K16" s="47">
        <f>ELECT.!B17</f>
        <v>234</v>
      </c>
    </row>
    <row r="17" spans="1:13" x14ac:dyDescent="0.2">
      <c r="A17" s="58" t="s">
        <v>53</v>
      </c>
      <c r="B17" s="63">
        <f t="shared" si="0"/>
        <v>16</v>
      </c>
      <c r="C17" s="63">
        <v>7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70623.704339999997</v>
      </c>
      <c r="F17" s="162">
        <v>1.27</v>
      </c>
      <c r="G17" s="47">
        <f>Gas!C18*0.9147</f>
        <v>1877.8790999999999</v>
      </c>
      <c r="H17" s="163">
        <v>3.65</v>
      </c>
      <c r="I17" s="165">
        <f>Submetering!H17+Submetering!AD17+Submetering!AE17</f>
        <v>916</v>
      </c>
      <c r="J17" s="165">
        <v>10.029999999999999</v>
      </c>
      <c r="K17" s="47">
        <f>ELECT.!B18</f>
        <v>210</v>
      </c>
    </row>
    <row r="18" spans="1:13" x14ac:dyDescent="0.2">
      <c r="A18" s="58" t="s">
        <v>53</v>
      </c>
      <c r="B18" s="63">
        <f t="shared" si="0"/>
        <v>17</v>
      </c>
      <c r="C18" s="63">
        <v>7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60724.510251999993</v>
      </c>
      <c r="F18" s="162">
        <v>1.27</v>
      </c>
      <c r="G18" s="47">
        <f>Gas!C19*0.9147</f>
        <v>2540.1219000000001</v>
      </c>
      <c r="H18" s="163">
        <v>3.65</v>
      </c>
      <c r="I18" s="165">
        <f>Submetering!H18+Submetering!AD18+Submetering!AE18</f>
        <v>656</v>
      </c>
      <c r="J18" s="165">
        <v>10.029999999999999</v>
      </c>
      <c r="K18" s="47">
        <f>ELECT.!B19</f>
        <v>237</v>
      </c>
    </row>
    <row r="19" spans="1:13" x14ac:dyDescent="0.2">
      <c r="A19" s="58" t="s">
        <v>53</v>
      </c>
      <c r="B19" s="63">
        <f t="shared" si="0"/>
        <v>18</v>
      </c>
      <c r="C19" s="63">
        <v>7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55180.405728000005</v>
      </c>
      <c r="F19" s="162">
        <v>1.27</v>
      </c>
      <c r="G19" s="47">
        <f>Gas!C20*0.9147</f>
        <v>2473.3487999999998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234</v>
      </c>
    </row>
    <row r="20" spans="1:13" x14ac:dyDescent="0.2">
      <c r="A20" s="58" t="s">
        <v>53</v>
      </c>
      <c r="B20" s="63">
        <f t="shared" si="0"/>
        <v>19</v>
      </c>
      <c r="C20" s="63">
        <v>7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75890.642395999996</v>
      </c>
      <c r="F20" s="162">
        <v>1.27</v>
      </c>
      <c r="G20" s="47">
        <f>Gas!C21*0.9147</f>
        <v>1625.4218999999998</v>
      </c>
      <c r="H20" s="163">
        <v>3.65</v>
      </c>
      <c r="I20" s="165">
        <f>Submetering!H20+Submetering!AD20+Submetering!AE20</f>
        <v>1896.0000000000002</v>
      </c>
      <c r="J20" s="165">
        <v>10.029999999999999</v>
      </c>
      <c r="K20" s="47">
        <f>ELECT.!B21</f>
        <v>244</v>
      </c>
    </row>
    <row r="21" spans="1:13" x14ac:dyDescent="0.2">
      <c r="A21" s="58" t="s">
        <v>53</v>
      </c>
      <c r="B21" s="63">
        <f t="shared" si="0"/>
        <v>20</v>
      </c>
      <c r="C21" s="63">
        <v>7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-39021.079436000007</v>
      </c>
      <c r="F21" s="162">
        <v>1.27</v>
      </c>
      <c r="G21" s="47">
        <f>Gas!C22*0.9147</f>
        <v>1822.9970999999998</v>
      </c>
      <c r="H21" s="163">
        <v>3.65</v>
      </c>
      <c r="I21" s="165">
        <f>Submetering!H21+Submetering!AD21+Submetering!AE21</f>
        <v>836</v>
      </c>
      <c r="J21" s="165">
        <v>10.029999999999999</v>
      </c>
      <c r="K21" s="47">
        <f>ELECT.!B22</f>
        <v>232</v>
      </c>
    </row>
    <row r="22" spans="1:13" x14ac:dyDescent="0.2">
      <c r="A22" s="58" t="s">
        <v>53</v>
      </c>
      <c r="B22" s="63">
        <f t="shared" si="0"/>
        <v>21</v>
      </c>
      <c r="C22" s="63">
        <v>7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69291.755524000007</v>
      </c>
      <c r="F22" s="162">
        <v>1.27</v>
      </c>
      <c r="G22" s="47">
        <f>Gas!C23*0.9147</f>
        <v>1972.0931999999998</v>
      </c>
      <c r="H22" s="163">
        <v>3.65</v>
      </c>
      <c r="I22" s="165">
        <f>Submetering!H22+Submetering!AD22+Submetering!AE22</f>
        <v>986</v>
      </c>
      <c r="J22" s="165">
        <v>10.029999999999999</v>
      </c>
      <c r="K22" s="47">
        <f>ELECT.!B23</f>
        <v>324</v>
      </c>
    </row>
    <row r="23" spans="1:13" x14ac:dyDescent="0.2">
      <c r="A23" s="58" t="s">
        <v>53</v>
      </c>
      <c r="B23" s="63">
        <f t="shared" si="0"/>
        <v>22</v>
      </c>
      <c r="C23" s="63">
        <v>7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49980.392628000001</v>
      </c>
      <c r="F23" s="162">
        <v>1.27</v>
      </c>
      <c r="G23" s="47">
        <f>Gas!C24*0.9147</f>
        <v>2041.6103999999998</v>
      </c>
      <c r="H23" s="163">
        <v>3.65</v>
      </c>
      <c r="I23" s="165">
        <f>Submetering!H23+Submetering!AD23+Submetering!AE23</f>
        <v>796</v>
      </c>
      <c r="J23" s="165">
        <v>10.029999999999999</v>
      </c>
      <c r="K23" s="47">
        <f>ELECT.!B24</f>
        <v>351</v>
      </c>
    </row>
    <row r="24" spans="1:13" x14ac:dyDescent="0.2">
      <c r="A24" s="58" t="s">
        <v>53</v>
      </c>
      <c r="B24" s="63">
        <f t="shared" si="0"/>
        <v>23</v>
      </c>
      <c r="C24" s="63">
        <v>7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83076.991343999995</v>
      </c>
      <c r="F24" s="162">
        <v>1.27</v>
      </c>
      <c r="G24" s="47">
        <f>Gas!C25*0.9147</f>
        <v>1998.6195</v>
      </c>
      <c r="H24" s="163">
        <v>3.65</v>
      </c>
      <c r="I24" s="165">
        <f>Submetering!H24+Submetering!AD24+Submetering!AE24</f>
        <v>836</v>
      </c>
      <c r="J24" s="165">
        <v>10.029999999999999</v>
      </c>
      <c r="K24" s="47">
        <f>ELECT.!B25</f>
        <v>346</v>
      </c>
    </row>
    <row r="25" spans="1:13" x14ac:dyDescent="0.2">
      <c r="A25" s="58" t="s">
        <v>53</v>
      </c>
      <c r="B25" s="63">
        <f t="shared" si="0"/>
        <v>24</v>
      </c>
      <c r="C25" s="63">
        <v>7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65322.701560000001</v>
      </c>
      <c r="F25" s="162">
        <v>1.27</v>
      </c>
      <c r="G25" s="47">
        <f>Gas!C26*0.9147</f>
        <v>2198.9387999999999</v>
      </c>
      <c r="H25" s="163">
        <v>3.65</v>
      </c>
      <c r="I25" s="165">
        <f>Submetering!H25+Submetering!AD25+Submetering!AE25</f>
        <v>1035.9999999999998</v>
      </c>
      <c r="J25" s="165">
        <v>10.029999999999999</v>
      </c>
      <c r="K25" s="47">
        <f>ELECT.!B26</f>
        <v>345</v>
      </c>
    </row>
    <row r="26" spans="1:13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169714.13464</v>
      </c>
      <c r="F26" s="162">
        <v>1.27</v>
      </c>
      <c r="G26" s="47">
        <f>Gas!C27*0.9147</f>
        <v>2122.1039999999998</v>
      </c>
      <c r="H26" s="163">
        <v>3.65</v>
      </c>
      <c r="I26" s="165">
        <f>Submetering!H26+Submetering!AD26+Submetering!AE26</f>
        <v>866</v>
      </c>
      <c r="J26" s="165">
        <v>10.029999999999999</v>
      </c>
      <c r="K26" s="47">
        <f>ELECT.!B27</f>
        <v>260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7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7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7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7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7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L19" sqref="L1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7</v>
      </c>
      <c r="D2" s="63">
        <v>2021</v>
      </c>
      <c r="E2" s="47">
        <f>Water!C3</f>
        <v>1500</v>
      </c>
      <c r="F2" s="47">
        <f>Water!E3</f>
        <v>0</v>
      </c>
      <c r="G2" s="47">
        <f>Water!G3</f>
        <v>477.9</v>
      </c>
      <c r="H2" s="47">
        <f>Water!I3</f>
        <v>2.9430000000000001</v>
      </c>
      <c r="I2" s="47">
        <f>ELECT.!F3</f>
        <v>21757</v>
      </c>
      <c r="J2" s="47">
        <f>ELECT.!H3</f>
        <v>73169</v>
      </c>
      <c r="K2" s="47">
        <f>ELECT.!K3</f>
        <v>6690</v>
      </c>
      <c r="L2" s="47">
        <f>ELECT.!M3</f>
        <v>6074</v>
      </c>
      <c r="M2" s="47">
        <f>ELECT.!O3</f>
        <v>10464</v>
      </c>
      <c r="N2" s="47">
        <f>ELECT.!Q3</f>
        <v>21275</v>
      </c>
      <c r="O2" s="47">
        <f>ELECT.!S3</f>
        <v>13588</v>
      </c>
      <c r="P2" s="47">
        <f>ELECT.!W3*2</f>
        <v>29060</v>
      </c>
      <c r="Q2" s="47">
        <f>ELECT.!D3</f>
        <v>640</v>
      </c>
      <c r="R2" s="48">
        <f>BTU!C3</f>
        <v>12.583999999998923</v>
      </c>
      <c r="S2" s="48">
        <f>BTU!F3</f>
        <v>2.0329999999999018</v>
      </c>
      <c r="T2" s="48">
        <f>BTU!I3</f>
        <v>8</v>
      </c>
      <c r="U2" s="48">
        <f>BTU!O3</f>
        <v>1.293999999999869</v>
      </c>
      <c r="V2" s="48">
        <f>BTU!L3</f>
        <v>2.0300000000006548</v>
      </c>
      <c r="W2" s="48">
        <f>BTU!R3</f>
        <v>3.1100000000005821</v>
      </c>
      <c r="X2" s="45">
        <f>ELECT.!B3</f>
        <v>165</v>
      </c>
      <c r="Y2" s="45">
        <f>I2+J2-(K2+L2+M2+N2+O2+P2)</f>
        <v>7775</v>
      </c>
      <c r="Z2">
        <f>'Mall, Citadel, Rotana'!C3+'Mall, Citadel, Rotana'!E3+'Mall, Citadel, Rotana'!G3+'Mall, Citadel, Rotana'!I3</f>
        <v>1568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94</v>
      </c>
      <c r="AD2" s="45">
        <f>(E2-H2-194)*0.1318</f>
        <v>171.74291260000001</v>
      </c>
      <c r="AE2" s="45">
        <f>E2-H2-AD2-194</f>
        <v>1131.3140874000001</v>
      </c>
    </row>
    <row r="3" spans="1:31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Water!C4</f>
        <v>1530</v>
      </c>
      <c r="F3" s="47">
        <f>Water!E4</f>
        <v>0</v>
      </c>
      <c r="G3" s="47">
        <f>Water!G4</f>
        <v>513</v>
      </c>
      <c r="H3" s="47">
        <f>Water!I4</f>
        <v>2.052</v>
      </c>
      <c r="I3" s="47">
        <f>ELECT.!F4</f>
        <v>7196</v>
      </c>
      <c r="J3" s="47">
        <f>ELECT.!H4</f>
        <v>52622</v>
      </c>
      <c r="K3" s="47">
        <f>ELECT.!K4</f>
        <v>4397</v>
      </c>
      <c r="L3" s="47">
        <f>ELECT.!M4</f>
        <v>3867</v>
      </c>
      <c r="M3" s="47">
        <f>ELECT.!O4</f>
        <v>3194</v>
      </c>
      <c r="N3" s="47">
        <f>ELECT.!Q4</f>
        <v>18620</v>
      </c>
      <c r="O3" s="47">
        <f>ELECT.!S4</f>
        <v>8952</v>
      </c>
      <c r="P3" s="47">
        <f>ELECT.!W4*2</f>
        <v>19254</v>
      </c>
      <c r="Q3" s="47">
        <f>ELECT.!D4</f>
        <v>800</v>
      </c>
      <c r="R3" s="48">
        <f>BTU!C4</f>
        <v>16.409000000003289</v>
      </c>
      <c r="S3" s="48">
        <f>BTU!F4</f>
        <v>2.0340000000001055</v>
      </c>
      <c r="T3" s="48">
        <f>BTU!I4</f>
        <v>10</v>
      </c>
      <c r="U3" s="48">
        <f>BTU!O4</f>
        <v>2.19399999999996</v>
      </c>
      <c r="V3" s="48">
        <f>BTU!L4</f>
        <v>3.2899999999990541</v>
      </c>
      <c r="W3" s="48">
        <f>BTU!R4</f>
        <v>3.0199999999995271</v>
      </c>
      <c r="X3" s="45">
        <f>ELECT.!B4</f>
        <v>176</v>
      </c>
      <c r="Y3" s="45">
        <f t="shared" ref="Y3:Y31" si="0">I3+J3-(K3+L3+M3+N3+O3+P3)</f>
        <v>1534</v>
      </c>
      <c r="Z3">
        <f>'Mall, Citadel, Rotana'!C4+'Mall, Citadel, Rotana'!E4+'Mall, Citadel, Rotana'!G4+'Mall, Citadel, Rotana'!I4</f>
        <v>1571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110</v>
      </c>
      <c r="AD3" s="45">
        <f t="shared" ref="AD3:AD31" si="1">(E3-H3-194)*0.1318</f>
        <v>175.81434640000001</v>
      </c>
      <c r="AE3" s="45">
        <f t="shared" ref="AE3:AE31" si="2">E3-H3-AD3-194</f>
        <v>1158.1336536000001</v>
      </c>
    </row>
    <row r="4" spans="1:31" x14ac:dyDescent="0.2">
      <c r="A4" s="58" t="s">
        <v>53</v>
      </c>
      <c r="B4" s="63">
        <f t="shared" ref="B4:B31" si="3">B3+1</f>
        <v>3</v>
      </c>
      <c r="C4" s="63">
        <v>7</v>
      </c>
      <c r="D4" s="63">
        <v>2021</v>
      </c>
      <c r="E4" s="47">
        <f>Water!C5</f>
        <v>1350</v>
      </c>
      <c r="F4" s="47">
        <f>Water!E5</f>
        <v>0</v>
      </c>
      <c r="G4" s="47">
        <f>Water!G5</f>
        <v>510.3</v>
      </c>
      <c r="H4" s="47">
        <f>Water!I5</f>
        <v>2.3489999999999998</v>
      </c>
      <c r="I4" s="47">
        <f>ELECT.!F5</f>
        <v>7829</v>
      </c>
      <c r="J4" s="47">
        <f>ELECT.!H5</f>
        <v>58243</v>
      </c>
      <c r="K4" s="47">
        <f>ELECT.!K5</f>
        <v>5163</v>
      </c>
      <c r="L4" s="47">
        <f>ELECT.!M5</f>
        <v>4196</v>
      </c>
      <c r="M4" s="47">
        <f>ELECT.!O5</f>
        <v>3522</v>
      </c>
      <c r="N4" s="47">
        <f>ELECT.!Q5</f>
        <v>20799</v>
      </c>
      <c r="O4" s="47">
        <f>ELECT.!S5</f>
        <v>10010</v>
      </c>
      <c r="P4" s="47">
        <f>ELECT.!W5*2</f>
        <v>21504</v>
      </c>
      <c r="Q4" s="47">
        <f>ELECT.!D5</f>
        <v>640</v>
      </c>
      <c r="R4" s="48">
        <f>BTU!C5</f>
        <v>13.071999999996478</v>
      </c>
      <c r="S4" s="48">
        <f>BTU!F5</f>
        <v>2.2010000000000218</v>
      </c>
      <c r="T4" s="48">
        <f>BTU!I5</f>
        <v>8</v>
      </c>
      <c r="U4" s="48">
        <f>BTU!O5</f>
        <v>1.6210000000000946</v>
      </c>
      <c r="V4" s="48">
        <f>BTU!L5</f>
        <v>2.1599999999998545</v>
      </c>
      <c r="W4" s="48">
        <f>BTU!R5</f>
        <v>3.1199999999998909</v>
      </c>
      <c r="X4" s="45">
        <f>ELECT.!B5</f>
        <v>167</v>
      </c>
      <c r="Y4" s="45">
        <f t="shared" si="0"/>
        <v>878</v>
      </c>
      <c r="Z4">
        <f>'Mall, Citadel, Rotana'!C5+'Mall, Citadel, Rotana'!E5+'Mall, Citadel, Rotana'!G5+'Mall, Citadel, Rotana'!I5</f>
        <v>1715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120</v>
      </c>
      <c r="AD4" s="45">
        <f t="shared" si="1"/>
        <v>152.0512018</v>
      </c>
      <c r="AE4" s="45">
        <f t="shared" si="2"/>
        <v>1001.5997982000001</v>
      </c>
    </row>
    <row r="5" spans="1:31" x14ac:dyDescent="0.2">
      <c r="A5" s="58" t="s">
        <v>53</v>
      </c>
      <c r="B5" s="63">
        <f t="shared" si="3"/>
        <v>4</v>
      </c>
      <c r="C5" s="63">
        <v>7</v>
      </c>
      <c r="D5" s="63">
        <v>2021</v>
      </c>
      <c r="E5" s="47">
        <f>Water!C6</f>
        <v>1450</v>
      </c>
      <c r="F5" s="47">
        <f>Water!E6</f>
        <v>0</v>
      </c>
      <c r="G5" s="47">
        <f>Water!G6</f>
        <v>475.2</v>
      </c>
      <c r="H5" s="47">
        <f>Water!I6</f>
        <v>2.484</v>
      </c>
      <c r="I5" s="47">
        <f>ELECT.!F6</f>
        <v>9265</v>
      </c>
      <c r="J5" s="47">
        <f>ELECT.!H6</f>
        <v>70872</v>
      </c>
      <c r="K5" s="47">
        <f>ELECT.!K6</f>
        <v>6688</v>
      </c>
      <c r="L5" s="47">
        <f>ELECT.!M6</f>
        <v>5332</v>
      </c>
      <c r="M5" s="47">
        <f>ELECT.!O6</f>
        <v>3776</v>
      </c>
      <c r="N5" s="47">
        <f>ELECT.!Q6</f>
        <v>24681</v>
      </c>
      <c r="O5" s="47">
        <f>ELECT.!S6</f>
        <v>11749</v>
      </c>
      <c r="P5" s="47">
        <f>ELECT.!W6*2</f>
        <v>26030</v>
      </c>
      <c r="Q5" s="47">
        <f>ELECT.!D6</f>
        <v>1120</v>
      </c>
      <c r="R5" s="48">
        <f>BTU!C6</f>
        <v>14.048000000002503</v>
      </c>
      <c r="S5" s="48">
        <f>BTU!F6</f>
        <v>3.5500000000001819</v>
      </c>
      <c r="T5" s="48">
        <f>BTU!I6</f>
        <v>8</v>
      </c>
      <c r="U5" s="48">
        <f>BTU!O6</f>
        <v>1.7809999999999491</v>
      </c>
      <c r="V5" s="48">
        <f>BTU!L6</f>
        <v>1.5100000000002183</v>
      </c>
      <c r="W5" s="48">
        <f>BTU!R6</f>
        <v>3.3200000000006185</v>
      </c>
      <c r="X5" s="45">
        <f>ELECT.!B6</f>
        <v>187</v>
      </c>
      <c r="Y5" s="45">
        <f t="shared" si="0"/>
        <v>1881</v>
      </c>
      <c r="Z5">
        <f>'Mall, Citadel, Rotana'!C6+'Mall, Citadel, Rotana'!E6+'Mall, Citadel, Rotana'!G6+'Mall, Citadel, Rotana'!I6</f>
        <v>1420</v>
      </c>
      <c r="AA5">
        <f>'Mall, Citadel, Rotana'!K6+'Mall, Citadel, Rotana'!M6</f>
        <v>640</v>
      </c>
      <c r="AB5">
        <f>'Mall, Citadel, Rotana'!O6</f>
        <v>3</v>
      </c>
      <c r="AC5">
        <f>'Mall, Citadel, Rotana'!Q6+'Mall, Citadel, Rotana'!S6</f>
        <v>131</v>
      </c>
      <c r="AD5" s="45">
        <f t="shared" si="1"/>
        <v>165.21340880000002</v>
      </c>
      <c r="AE5" s="45">
        <f t="shared" si="2"/>
        <v>1088.3025912000001</v>
      </c>
    </row>
    <row r="6" spans="1:31" x14ac:dyDescent="0.2">
      <c r="A6" s="58" t="s">
        <v>53</v>
      </c>
      <c r="B6" s="63">
        <f t="shared" si="3"/>
        <v>5</v>
      </c>
      <c r="C6" s="63">
        <v>7</v>
      </c>
      <c r="D6" s="63">
        <v>2021</v>
      </c>
      <c r="E6" s="47">
        <f>Water!C7</f>
        <v>1450</v>
      </c>
      <c r="F6" s="47">
        <f>Water!E7</f>
        <v>0</v>
      </c>
      <c r="G6" s="47">
        <f>Water!G7</f>
        <v>445.5</v>
      </c>
      <c r="H6" s="47">
        <f>Water!I7</f>
        <v>2.1059999999999999</v>
      </c>
      <c r="I6" s="47">
        <f>ELECT.!F7</f>
        <v>9282</v>
      </c>
      <c r="J6" s="47">
        <f>ELECT.!H7</f>
        <v>65191</v>
      </c>
      <c r="K6" s="47">
        <f>ELECT.!K7</f>
        <v>5994</v>
      </c>
      <c r="L6" s="47">
        <f>ELECT.!M7</f>
        <v>5406</v>
      </c>
      <c r="M6" s="47">
        <f>ELECT.!O7</f>
        <v>3736</v>
      </c>
      <c r="N6" s="47">
        <f>ELECT.!Q7</f>
        <v>23148</v>
      </c>
      <c r="O6" s="47">
        <f>ELECT.!S7</f>
        <v>10283</v>
      </c>
      <c r="P6" s="47">
        <f>ELECT.!W7*2</f>
        <v>24438</v>
      </c>
      <c r="Q6" s="47">
        <f>ELECT.!D7</f>
        <v>800</v>
      </c>
      <c r="R6" s="48">
        <f>BTU!C7</f>
        <v>12.473999999998341</v>
      </c>
      <c r="S6" s="48">
        <f>BTU!F7</f>
        <v>3.7649999999998727</v>
      </c>
      <c r="T6" s="48">
        <f>BTU!I7</f>
        <v>8</v>
      </c>
      <c r="U6" s="48">
        <f>BTU!O7</f>
        <v>1.7570000000000618</v>
      </c>
      <c r="V6" s="48">
        <f>BTU!L7</f>
        <v>2.3700000000008004</v>
      </c>
      <c r="W6" s="48">
        <f>BTU!R7</f>
        <v>3.0799999999999272</v>
      </c>
      <c r="X6" s="45">
        <f>ELECT.!B7</f>
        <v>172</v>
      </c>
      <c r="Y6" s="45">
        <f t="shared" si="0"/>
        <v>1468</v>
      </c>
      <c r="Z6">
        <f>'Mall, Citadel, Rotana'!C7+'Mall, Citadel, Rotana'!E7+'Mall, Citadel, Rotana'!G7+'Mall, Citadel, Rotana'!I7</f>
        <v>954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5">
        <f t="shared" si="1"/>
        <v>165.26322920000001</v>
      </c>
      <c r="AE6" s="45">
        <f t="shared" si="2"/>
        <v>1088.6307707999999</v>
      </c>
    </row>
    <row r="7" spans="1:31" x14ac:dyDescent="0.2">
      <c r="A7" s="58" t="s">
        <v>53</v>
      </c>
      <c r="B7" s="63">
        <f t="shared" si="3"/>
        <v>6</v>
      </c>
      <c r="C7" s="63">
        <v>7</v>
      </c>
      <c r="D7" s="63">
        <v>2021</v>
      </c>
      <c r="E7" s="47">
        <f>Water!C8</f>
        <v>1900</v>
      </c>
      <c r="F7" s="47">
        <f>Water!E8</f>
        <v>0</v>
      </c>
      <c r="G7" s="47">
        <f>Water!G8</f>
        <v>621</v>
      </c>
      <c r="H7" s="47">
        <f>Water!I8</f>
        <v>2.9699999999999998</v>
      </c>
      <c r="I7" s="47">
        <f>ELECT.!F8</f>
        <v>9401</v>
      </c>
      <c r="J7" s="47">
        <f>ELECT.!H8</f>
        <v>62779</v>
      </c>
      <c r="K7" s="47">
        <f>ELECT.!K8</f>
        <v>5930</v>
      </c>
      <c r="L7" s="47">
        <f>ELECT.!M8</f>
        <v>4977</v>
      </c>
      <c r="M7" s="47">
        <f>ELECT.!O8</f>
        <v>4278</v>
      </c>
      <c r="N7" s="47">
        <f>ELECT.!Q8</f>
        <v>21574</v>
      </c>
      <c r="O7" s="47">
        <f>ELECT.!S8</f>
        <v>10455</v>
      </c>
      <c r="P7" s="47">
        <f>ELECT.!W8*2</f>
        <v>23468</v>
      </c>
      <c r="Q7" s="47">
        <f>ELECT.!D8</f>
        <v>640</v>
      </c>
      <c r="R7" s="48">
        <f>BTU!C8</f>
        <v>13.07300000000032</v>
      </c>
      <c r="S7" s="48">
        <f>BTU!F8</f>
        <v>3.9169999999999163</v>
      </c>
      <c r="T7" s="48">
        <f>BTU!I8</f>
        <v>8</v>
      </c>
      <c r="U7" s="48">
        <f>BTU!O8</f>
        <v>1.8610000000003311</v>
      </c>
      <c r="V7" s="48">
        <f>BTU!L8</f>
        <v>2.5099999999983993</v>
      </c>
      <c r="W7" s="48">
        <f>BTU!R8</f>
        <v>2.339999999999236</v>
      </c>
      <c r="X7" s="45">
        <f>ELECT.!B8</f>
        <v>176</v>
      </c>
      <c r="Y7" s="45">
        <f t="shared" si="0"/>
        <v>1498</v>
      </c>
      <c r="Z7">
        <f>'Mall, Citadel, Rotana'!C8+'Mall, Citadel, Rotana'!E8+'Mall, Citadel, Rotana'!G8+'Mall, Citadel, Rotana'!I8</f>
        <v>1728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395</v>
      </c>
      <c r="AD7" s="45">
        <f t="shared" si="1"/>
        <v>224.45935399999999</v>
      </c>
      <c r="AE7" s="45">
        <f t="shared" si="2"/>
        <v>1478.5706459999999</v>
      </c>
    </row>
    <row r="8" spans="1:31" x14ac:dyDescent="0.2">
      <c r="A8" s="58" t="s">
        <v>53</v>
      </c>
      <c r="B8" s="63">
        <f t="shared" si="3"/>
        <v>7</v>
      </c>
      <c r="C8" s="63">
        <v>7</v>
      </c>
      <c r="D8" s="63">
        <v>2021</v>
      </c>
      <c r="E8" s="47">
        <f>Water!C9</f>
        <v>1500</v>
      </c>
      <c r="F8" s="47">
        <f>Water!E9</f>
        <v>0</v>
      </c>
      <c r="G8" s="47">
        <f>Water!G9</f>
        <v>434.7</v>
      </c>
      <c r="H8" s="47">
        <f>Water!I9</f>
        <v>2.5110000000000001</v>
      </c>
      <c r="I8" s="47">
        <f>ELECT.!F9</f>
        <v>10910</v>
      </c>
      <c r="J8" s="47">
        <f>ELECT.!H9</f>
        <v>39335</v>
      </c>
      <c r="K8" s="47">
        <f>ELECT.!K9</f>
        <v>4404</v>
      </c>
      <c r="L8" s="47">
        <f>ELECT.!M9</f>
        <v>3739</v>
      </c>
      <c r="M8" s="47">
        <f>ELECT.!O9</f>
        <v>7328</v>
      </c>
      <c r="N8" s="47">
        <f>ELECT.!Q9</f>
        <v>9834</v>
      </c>
      <c r="O8" s="47">
        <f>ELECT.!S9</f>
        <v>7416</v>
      </c>
      <c r="P8" s="47">
        <f>ELECT.!W9*2</f>
        <v>16756</v>
      </c>
      <c r="Q8" s="47">
        <f>ELECT.!D9</f>
        <v>640</v>
      </c>
      <c r="R8" s="48">
        <f>BTU!C9</f>
        <v>12.557000000000698</v>
      </c>
      <c r="S8" s="48">
        <f>BTU!F9</f>
        <v>3.8949999999999818</v>
      </c>
      <c r="T8" s="48">
        <f>BTU!I9</f>
        <v>7</v>
      </c>
      <c r="U8" s="48">
        <f>BTU!O9</f>
        <v>1.6119999999996253</v>
      </c>
      <c r="V8" s="48">
        <f>BTU!L9</f>
        <v>2.3700000000008004</v>
      </c>
      <c r="W8" s="48">
        <f>BTU!R9</f>
        <v>2.75</v>
      </c>
      <c r="X8" s="45">
        <f>ELECT.!B9</f>
        <v>182</v>
      </c>
      <c r="Y8" s="45">
        <f t="shared" si="0"/>
        <v>768</v>
      </c>
      <c r="Z8">
        <f>'Mall, Citadel, Rotana'!C9+'Mall, Citadel, Rotana'!E9+'Mall, Citadel, Rotana'!G9+'Mall, Citadel, Rotana'!I9</f>
        <v>1586</v>
      </c>
      <c r="AA8">
        <f>'Mall, Citadel, Rotana'!K9+'Mall, Citadel, Rotana'!M9</f>
        <v>800</v>
      </c>
      <c r="AB8">
        <f>'Mall, Citadel, Rotana'!O9</f>
        <v>4</v>
      </c>
      <c r="AC8">
        <f>'Mall, Citadel, Rotana'!Q9+'Mall, Citadel, Rotana'!S9</f>
        <v>0</v>
      </c>
      <c r="AD8" s="45">
        <f t="shared" si="1"/>
        <v>171.79985020000001</v>
      </c>
      <c r="AE8" s="45">
        <f t="shared" si="2"/>
        <v>1131.6891498</v>
      </c>
    </row>
    <row r="9" spans="1:31" x14ac:dyDescent="0.2">
      <c r="A9" s="58" t="s">
        <v>53</v>
      </c>
      <c r="B9" s="63">
        <f t="shared" si="3"/>
        <v>8</v>
      </c>
      <c r="C9" s="63">
        <v>7</v>
      </c>
      <c r="D9" s="63">
        <v>2021</v>
      </c>
      <c r="E9" s="47">
        <f>Water!C10</f>
        <v>1700</v>
      </c>
      <c r="F9" s="47">
        <f>Water!E10</f>
        <v>0</v>
      </c>
      <c r="G9" s="47">
        <f>Water!G10</f>
        <v>467.1</v>
      </c>
      <c r="H9" s="47">
        <f>Water!I10</f>
        <v>2.5379999999999998</v>
      </c>
      <c r="I9" s="47">
        <f>ELECT.!F10</f>
        <v>19016</v>
      </c>
      <c r="J9" s="47">
        <f>ELECT.!H10</f>
        <v>69085</v>
      </c>
      <c r="K9" s="47">
        <f>ELECT.!K10</f>
        <v>7767</v>
      </c>
      <c r="L9" s="47">
        <f>ELECT.!M10</f>
        <v>5659</v>
      </c>
      <c r="M9" s="47">
        <f>ELECT.!O10</f>
        <v>12824</v>
      </c>
      <c r="N9" s="47">
        <f>ELECT.!Q10</f>
        <v>17242</v>
      </c>
      <c r="O9" s="47">
        <f>ELECT.!S10</f>
        <v>13262</v>
      </c>
      <c r="P9" s="47">
        <f>ELECT.!W10*2</f>
        <v>29070</v>
      </c>
      <c r="Q9" s="47">
        <f>ELECT.!D10</f>
        <v>800</v>
      </c>
      <c r="R9" s="48">
        <f>BTU!C10</f>
        <v>12.894000000000233</v>
      </c>
      <c r="S9" s="48">
        <f>BTU!F10</f>
        <v>3.8240000000000691</v>
      </c>
      <c r="T9" s="48">
        <f>BTU!I10</f>
        <v>9</v>
      </c>
      <c r="U9" s="48">
        <f>BTU!O10</f>
        <v>1.6350000000002183</v>
      </c>
      <c r="V9" s="48">
        <f>BTU!L10</f>
        <v>2.25</v>
      </c>
      <c r="W9" s="48">
        <f>BTU!R10</f>
        <v>2.3200000000006185</v>
      </c>
      <c r="X9" s="45">
        <f>ELECT.!B10</f>
        <v>180</v>
      </c>
      <c r="Y9" s="45">
        <f t="shared" si="0"/>
        <v>2277</v>
      </c>
      <c r="Z9">
        <f>'Mall, Citadel, Rotana'!C10+'Mall, Citadel, Rotana'!E10+'Mall, Citadel, Rotana'!G10+'Mall, Citadel, Rotana'!I10</f>
        <v>1239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0</v>
      </c>
      <c r="AD9" s="45">
        <f t="shared" si="1"/>
        <v>198.1562916</v>
      </c>
      <c r="AE9" s="45">
        <f t="shared" si="2"/>
        <v>1305.3057084</v>
      </c>
    </row>
    <row r="10" spans="1:31" x14ac:dyDescent="0.2">
      <c r="A10" s="58" t="s">
        <v>53</v>
      </c>
      <c r="B10" s="63">
        <f t="shared" si="3"/>
        <v>9</v>
      </c>
      <c r="C10" s="63">
        <v>7</v>
      </c>
      <c r="D10" s="63">
        <v>2021</v>
      </c>
      <c r="E10" s="47">
        <f>Water!C11</f>
        <v>2030</v>
      </c>
      <c r="F10" s="47">
        <f>Water!E11</f>
        <v>0</v>
      </c>
      <c r="G10" s="47">
        <f>Water!G11</f>
        <v>631.79999999999995</v>
      </c>
      <c r="H10" s="47">
        <f>Water!I11</f>
        <v>2.4569999999999999</v>
      </c>
      <c r="I10" s="47">
        <f>ELECT.!F11</f>
        <v>14983</v>
      </c>
      <c r="J10" s="47">
        <f>ELECT.!H11</f>
        <v>51124</v>
      </c>
      <c r="K10" s="47">
        <f>ELECT.!K11</f>
        <v>5400</v>
      </c>
      <c r="L10" s="47">
        <f>ELECT.!M11</f>
        <v>4473</v>
      </c>
      <c r="M10" s="47">
        <f>ELECT.!O11</f>
        <v>10336</v>
      </c>
      <c r="N10" s="47">
        <f>ELECT.!Q11</f>
        <v>12636</v>
      </c>
      <c r="O10" s="47" t="str">
        <f>ELECT.!S11</f>
        <v>0</v>
      </c>
      <c r="P10" s="47">
        <f>ELECT.!W11*2</f>
        <v>21856</v>
      </c>
      <c r="Q10" s="47">
        <f>ELECT.!D11</f>
        <v>640</v>
      </c>
      <c r="R10" s="48">
        <f>BTU!C11</f>
        <v>12.992999999998574</v>
      </c>
      <c r="S10" s="48">
        <f>BTU!F11</f>
        <v>1.9470000000001164</v>
      </c>
      <c r="T10" s="48">
        <f>BTU!I11</f>
        <v>8</v>
      </c>
      <c r="U10" s="48">
        <f>BTU!O11</f>
        <v>1.7539999999999054</v>
      </c>
      <c r="V10" s="48">
        <f>BTU!L11</f>
        <v>2.4599999999991269</v>
      </c>
      <c r="W10" s="48">
        <f>BTU!R11</f>
        <v>2.9099999999998545</v>
      </c>
      <c r="X10" s="45">
        <f>ELECT.!B11</f>
        <v>189</v>
      </c>
      <c r="Y10" s="45">
        <f t="shared" si="0"/>
        <v>11406</v>
      </c>
      <c r="Z10">
        <f>'Mall, Citadel, Rotana'!C11+'Mall, Citadel, Rotana'!E11+'Mall, Citadel, Rotana'!G11+'Mall, Citadel, Rotana'!I11</f>
        <v>1381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5">
        <f t="shared" si="1"/>
        <v>241.66096739999998</v>
      </c>
      <c r="AE10" s="45">
        <f t="shared" si="2"/>
        <v>1591.8820326</v>
      </c>
    </row>
    <row r="11" spans="1:31" x14ac:dyDescent="0.2">
      <c r="A11" s="58" t="s">
        <v>53</v>
      </c>
      <c r="B11" s="63">
        <f t="shared" si="3"/>
        <v>10</v>
      </c>
      <c r="C11" s="63">
        <v>7</v>
      </c>
      <c r="D11" s="63">
        <v>2021</v>
      </c>
      <c r="E11" s="47">
        <f>Water!C12</f>
        <v>1360</v>
      </c>
      <c r="F11" s="47">
        <f>Water!E12</f>
        <v>0</v>
      </c>
      <c r="G11" s="47">
        <f>Water!G12</f>
        <v>450.9</v>
      </c>
      <c r="H11" s="47">
        <f>Water!I12</f>
        <v>2.6189999999999998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13.407000000002881</v>
      </c>
      <c r="S11" s="48">
        <f>BTU!F12</f>
        <v>2.6969999999996617</v>
      </c>
      <c r="T11" s="48">
        <f>BTU!I12</f>
        <v>9</v>
      </c>
      <c r="U11" s="48">
        <f>BTU!O12</f>
        <v>1.6419999999998254</v>
      </c>
      <c r="V11" s="48">
        <f>BTU!L12</f>
        <v>3.9900000000016007</v>
      </c>
      <c r="W11" s="48">
        <f>BTU!R12</f>
        <v>2.4799999999995634</v>
      </c>
      <c r="X11" s="45">
        <f>ELECT.!B12</f>
        <v>190</v>
      </c>
      <c r="Y11" s="45">
        <f t="shared" si="0"/>
        <v>0</v>
      </c>
      <c r="Z11">
        <f>'Mall, Citadel, Rotana'!C12+'Mall, Citadel, Rotana'!E12+'Mall, Citadel, Rotana'!G12+'Mall, Citadel, Rotana'!I12</f>
        <v>1544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5">
        <f t="shared" si="1"/>
        <v>153.33361580000002</v>
      </c>
      <c r="AE11" s="45">
        <f t="shared" si="2"/>
        <v>1010.0473842000001</v>
      </c>
    </row>
    <row r="12" spans="1:31" x14ac:dyDescent="0.2">
      <c r="A12" s="58" t="s">
        <v>53</v>
      </c>
      <c r="B12" s="63">
        <f t="shared" si="3"/>
        <v>11</v>
      </c>
      <c r="C12" s="63">
        <v>7</v>
      </c>
      <c r="D12" s="63">
        <v>2021</v>
      </c>
      <c r="E12" s="47">
        <f>Water!C13</f>
        <v>1360</v>
      </c>
      <c r="F12" s="47">
        <f>Water!E13</f>
        <v>0</v>
      </c>
      <c r="G12" s="47">
        <f>Water!G13</f>
        <v>604.79999999999995</v>
      </c>
      <c r="H12" s="47">
        <f>Water!I13</f>
        <v>3.4830000000000001</v>
      </c>
      <c r="I12" s="47">
        <f>ELECT.!F13</f>
        <v>32920</v>
      </c>
      <c r="J12" s="47">
        <f>ELECT.!H13</f>
        <v>106876</v>
      </c>
      <c r="K12" s="47">
        <f>ELECT.!K13</f>
        <v>11400</v>
      </c>
      <c r="L12" s="47">
        <f>ELECT.!M13</f>
        <v>10215</v>
      </c>
      <c r="M12" s="47">
        <f>ELECT.!O13</f>
        <v>22340</v>
      </c>
      <c r="N12" s="47">
        <f>ELECT.!Q13</f>
        <v>27898</v>
      </c>
      <c r="O12" s="47">
        <f>ELECT.!S13</f>
        <v>420426</v>
      </c>
      <c r="P12" s="47">
        <f>ELECT.!W13*2</f>
        <v>44818</v>
      </c>
      <c r="Q12" s="47">
        <f>ELECT.!D13</f>
        <v>1600</v>
      </c>
      <c r="R12" s="48">
        <f>BTU!C13</f>
        <v>15.123999999999796</v>
      </c>
      <c r="S12" s="48">
        <f>BTU!F13</f>
        <v>3.7930000000001201</v>
      </c>
      <c r="T12" s="48">
        <f>BTU!I13</f>
        <v>9</v>
      </c>
      <c r="U12" s="48">
        <f>BTU!O13</f>
        <v>1.4720000000002074</v>
      </c>
      <c r="V12" s="48">
        <f>BTU!L13</f>
        <v>2.5799999999999272</v>
      </c>
      <c r="W12" s="48">
        <f>BTU!R13</f>
        <v>3.5399999999999636</v>
      </c>
      <c r="X12" s="45">
        <f>ELECT.!B13</f>
        <v>166</v>
      </c>
      <c r="Y12" s="45">
        <f t="shared" si="0"/>
        <v>-397301</v>
      </c>
      <c r="Z12">
        <f>'Mall, Citadel, Rotana'!C13+'Mall, Citadel, Rotana'!E13+'Mall, Citadel, Rotana'!G13+'Mall, Citadel, Rotana'!I13</f>
        <v>1579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153.21974059999999</v>
      </c>
      <c r="AE12" s="45">
        <f t="shared" si="2"/>
        <v>1009.2972594</v>
      </c>
    </row>
    <row r="13" spans="1:31" x14ac:dyDescent="0.2">
      <c r="A13" s="58" t="s">
        <v>53</v>
      </c>
      <c r="B13" s="63">
        <f t="shared" si="3"/>
        <v>12</v>
      </c>
      <c r="C13" s="63">
        <v>7</v>
      </c>
      <c r="D13" s="63">
        <v>2021</v>
      </c>
      <c r="E13" s="47">
        <f>Water!C14</f>
        <v>1690</v>
      </c>
      <c r="F13" s="47">
        <f>Water!E14</f>
        <v>0</v>
      </c>
      <c r="G13" s="47">
        <f>Water!G14</f>
        <v>486</v>
      </c>
      <c r="H13" s="47">
        <f>Water!I14</f>
        <v>2.8889999999999998</v>
      </c>
      <c r="I13" s="47">
        <f>ELECT.!F14</f>
        <v>15906</v>
      </c>
      <c r="J13" s="47">
        <f>ELECT.!H14</f>
        <v>50141</v>
      </c>
      <c r="K13" s="47">
        <f>ELECT.!K14</f>
        <v>5422</v>
      </c>
      <c r="L13" s="47">
        <f>ELECT.!M14</f>
        <v>5137</v>
      </c>
      <c r="M13" s="47">
        <f>ELECT.!O14</f>
        <v>10658</v>
      </c>
      <c r="N13" s="47">
        <f>ELECT.!Q14</f>
        <v>13307</v>
      </c>
      <c r="O13" s="47">
        <f>ELECT.!S14</f>
        <v>9393</v>
      </c>
      <c r="P13" s="47">
        <f>ELECT.!W14*2</f>
        <v>20708</v>
      </c>
      <c r="Q13" s="47">
        <f>ELECT.!D14</f>
        <v>18441</v>
      </c>
      <c r="R13" s="48">
        <f>BTU!C14</f>
        <v>15.342999999997119</v>
      </c>
      <c r="S13" s="48">
        <f>BTU!F14</f>
        <v>3.7100000000000364</v>
      </c>
      <c r="T13" s="48">
        <f>BTU!I14</f>
        <v>10</v>
      </c>
      <c r="U13" s="48">
        <f>BTU!O14</f>
        <v>2.237999999999829</v>
      </c>
      <c r="V13" s="48">
        <f>BTU!L14</f>
        <v>3.8400000000001455</v>
      </c>
      <c r="W13" s="48">
        <f>BTU!R14</f>
        <v>2.4600000000000364</v>
      </c>
      <c r="X13" s="45">
        <f>ELECT.!B14</f>
        <v>159</v>
      </c>
      <c r="Y13" s="45">
        <f t="shared" si="0"/>
        <v>1422</v>
      </c>
      <c r="Z13">
        <f>'Mall, Citadel, Rotana'!C14+'Mall, Citadel, Rotana'!E14+'Mall, Citadel, Rotana'!G14+'Mall, Citadel, Rotana'!I14</f>
        <v>1738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5">
        <f t="shared" si="1"/>
        <v>196.79202980000002</v>
      </c>
      <c r="AE13" s="45">
        <f t="shared" si="2"/>
        <v>1296.3189702</v>
      </c>
    </row>
    <row r="14" spans="1:31" x14ac:dyDescent="0.2">
      <c r="A14" s="58" t="s">
        <v>53</v>
      </c>
      <c r="B14" s="63">
        <f t="shared" si="3"/>
        <v>13</v>
      </c>
      <c r="C14" s="63">
        <v>7</v>
      </c>
      <c r="D14" s="63">
        <v>2021</v>
      </c>
      <c r="E14" s="47">
        <f>Water!C15</f>
        <v>1450</v>
      </c>
      <c r="F14" s="47">
        <f>Water!E15</f>
        <v>0</v>
      </c>
      <c r="G14" s="47">
        <f>Water!G15</f>
        <v>480.6</v>
      </c>
      <c r="H14" s="47">
        <f>Water!I15</f>
        <v>2.6189999999999998</v>
      </c>
      <c r="I14" s="47">
        <f>ELECT.!F15</f>
        <v>18738</v>
      </c>
      <c r="J14" s="47">
        <f>ELECT.!H15</f>
        <v>47162</v>
      </c>
      <c r="K14" s="47">
        <f>ELECT.!K15</f>
        <v>5194</v>
      </c>
      <c r="L14" s="47">
        <f>ELECT.!M15</f>
        <v>6128</v>
      </c>
      <c r="M14" s="47">
        <f>ELECT.!O15</f>
        <v>12426</v>
      </c>
      <c r="N14" s="47">
        <f>ELECT.!Q15</f>
        <v>12029</v>
      </c>
      <c r="O14" s="47">
        <f>ELECT.!S15</f>
        <v>8852</v>
      </c>
      <c r="P14" s="47">
        <f>ELECT.!W15*2</f>
        <v>19430</v>
      </c>
      <c r="Q14" s="47">
        <f>ELECT.!D15</f>
        <v>18445</v>
      </c>
      <c r="R14" s="48">
        <f>BTU!C15</f>
        <v>14.656000000002678</v>
      </c>
      <c r="S14" s="48">
        <f>BTU!F15</f>
        <v>3.4580000000000837</v>
      </c>
      <c r="T14" s="48">
        <f>BTU!I15</f>
        <v>10</v>
      </c>
      <c r="U14" s="48">
        <f>BTU!O15</f>
        <v>2.1260000000002037</v>
      </c>
      <c r="V14" s="48">
        <f>BTU!L15</f>
        <v>3.9200000000000728</v>
      </c>
      <c r="W14" s="48">
        <f>BTU!R15</f>
        <v>5.5500000000001819</v>
      </c>
      <c r="X14" s="45">
        <f>ELECT.!B15</f>
        <v>200</v>
      </c>
      <c r="Y14" s="45">
        <f t="shared" si="0"/>
        <v>1841</v>
      </c>
      <c r="Z14">
        <f>'Mall, Citadel, Rotana'!C15+'Mall, Citadel, Rotana'!E15+'Mall, Citadel, Rotana'!G15+'Mall, Citadel, Rotana'!I15</f>
        <v>1093</v>
      </c>
      <c r="AA14">
        <f>'Mall, Citadel, Rotana'!K15+'Mall, Citadel, Rotana'!M15</f>
        <v>800</v>
      </c>
      <c r="AB14">
        <f>'Mall, Citadel, Rotana'!O15</f>
        <v>3</v>
      </c>
      <c r="AC14">
        <f>'Mall, Citadel, Rotana'!Q15+'Mall, Citadel, Rotana'!S15</f>
        <v>-111345</v>
      </c>
      <c r="AD14" s="45">
        <f t="shared" si="1"/>
        <v>165.19561580000001</v>
      </c>
      <c r="AE14" s="45">
        <f t="shared" si="2"/>
        <v>1088.1853842</v>
      </c>
    </row>
    <row r="15" spans="1:31" x14ac:dyDescent="0.2">
      <c r="A15" s="58" t="s">
        <v>53</v>
      </c>
      <c r="B15" s="63">
        <f t="shared" si="3"/>
        <v>14</v>
      </c>
      <c r="C15" s="63">
        <v>7</v>
      </c>
      <c r="D15" s="63">
        <v>2021</v>
      </c>
      <c r="E15" s="47">
        <f>Water!C16</f>
        <v>1350</v>
      </c>
      <c r="F15" s="47">
        <f>Water!E16</f>
        <v>0</v>
      </c>
      <c r="G15" s="47">
        <f>Water!G16</f>
        <v>529.20000000000005</v>
      </c>
      <c r="H15" s="47">
        <f>Water!I16</f>
        <v>3.6720000000000002</v>
      </c>
      <c r="I15" s="47">
        <f>ELECT.!F16</f>
        <v>17433</v>
      </c>
      <c r="J15" s="47">
        <f>ELECT.!H16</f>
        <v>50492</v>
      </c>
      <c r="K15" s="47">
        <f>ELECT.!K16</f>
        <v>5534</v>
      </c>
      <c r="L15" s="47">
        <f>ELECT.!M16</f>
        <v>5500</v>
      </c>
      <c r="M15" s="47">
        <f>ELECT.!O16</f>
        <v>11772</v>
      </c>
      <c r="N15" s="47">
        <f>ELECT.!Q16</f>
        <v>12321</v>
      </c>
      <c r="O15" s="47">
        <f>ELECT.!S16</f>
        <v>9956</v>
      </c>
      <c r="P15" s="47">
        <f>ELECT.!W16*2</f>
        <v>21066</v>
      </c>
      <c r="Q15" s="47">
        <f>ELECT.!D16</f>
        <v>2240</v>
      </c>
      <c r="R15" s="48">
        <f>BTU!C16</f>
        <v>13.47899999999936</v>
      </c>
      <c r="S15" s="48">
        <f>BTU!F16</f>
        <v>3.4569999999998799</v>
      </c>
      <c r="T15" s="48">
        <f>BTU!I16</f>
        <v>9</v>
      </c>
      <c r="U15" s="48">
        <f>BTU!O16</f>
        <v>1.9819999999999709</v>
      </c>
      <c r="V15" s="48">
        <f>BTU!L16</f>
        <v>2.8899999999994179</v>
      </c>
      <c r="W15" s="48">
        <f>BTU!R16</f>
        <v>3.1400000000003274</v>
      </c>
      <c r="X15" s="45">
        <f>ELECT.!B16</f>
        <v>192</v>
      </c>
      <c r="Y15" s="45">
        <f t="shared" si="0"/>
        <v>1776</v>
      </c>
      <c r="Z15">
        <f>'Mall, Citadel, Rotana'!C16+'Mall, Citadel, Rotana'!E16+'Mall, Citadel, Rotana'!G16+'Mall, Citadel, Rotana'!I16</f>
        <v>1563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0</v>
      </c>
      <c r="AD15" s="45">
        <f t="shared" si="1"/>
        <v>151.87683039999999</v>
      </c>
      <c r="AE15" s="45">
        <f t="shared" si="2"/>
        <v>1000.4511696</v>
      </c>
    </row>
    <row r="16" spans="1:31" x14ac:dyDescent="0.2">
      <c r="A16" s="58" t="s">
        <v>53</v>
      </c>
      <c r="B16" s="63">
        <f t="shared" si="3"/>
        <v>15</v>
      </c>
      <c r="C16" s="63">
        <v>7</v>
      </c>
      <c r="D16" s="63">
        <v>2021</v>
      </c>
      <c r="E16" s="47">
        <f>Water!C17</f>
        <v>930</v>
      </c>
      <c r="F16" s="47">
        <f>Water!E17</f>
        <v>0</v>
      </c>
      <c r="G16" s="47">
        <f>Water!G17</f>
        <v>494.1</v>
      </c>
      <c r="H16" s="47">
        <f>Water!I17</f>
        <v>3.4289999999999998</v>
      </c>
      <c r="I16" s="47">
        <f>ELECT.!F17</f>
        <v>19516</v>
      </c>
      <c r="J16" s="47">
        <f>ELECT.!H17</f>
        <v>64066</v>
      </c>
      <c r="K16" s="47">
        <f>ELECT.!K17</f>
        <v>6664</v>
      </c>
      <c r="L16" s="47">
        <f>ELECT.!M17</f>
        <v>6066</v>
      </c>
      <c r="M16" s="47">
        <f>ELECT.!O17</f>
        <v>13252</v>
      </c>
      <c r="N16" s="47">
        <f>ELECT.!Q17</f>
        <v>16361</v>
      </c>
      <c r="O16" s="47">
        <f>ELECT.!S17</f>
        <v>12119</v>
      </c>
      <c r="P16" s="47">
        <f>ELECT.!W17*2</f>
        <v>27218</v>
      </c>
      <c r="Q16" s="47">
        <f>ELECT.!D17</f>
        <v>960</v>
      </c>
      <c r="R16" s="48">
        <f>BTU!C17</f>
        <v>13.91899999999805</v>
      </c>
      <c r="S16" s="48">
        <f>BTU!F17</f>
        <v>3.26299999999992</v>
      </c>
      <c r="T16" s="48">
        <f>BTU!I17</f>
        <v>9</v>
      </c>
      <c r="U16" s="48">
        <f>BTU!O17</f>
        <v>2.012000000000171</v>
      </c>
      <c r="V16" s="48">
        <f>BTU!L17</f>
        <v>2.5900000000001455</v>
      </c>
      <c r="W16" s="48">
        <f>BTU!R17</f>
        <v>2.8699999999998909</v>
      </c>
      <c r="X16" s="45">
        <f>ELECT.!B17</f>
        <v>234</v>
      </c>
      <c r="Y16" s="45">
        <f t="shared" si="0"/>
        <v>1902</v>
      </c>
      <c r="Z16">
        <f>'Mall, Citadel, Rotana'!C17+'Mall, Citadel, Rotana'!E17+'Mall, Citadel, Rotana'!G17+'Mall, Citadel, Rotana'!I17</f>
        <v>1560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5">
        <f t="shared" si="1"/>
        <v>96.552857799999998</v>
      </c>
      <c r="AE16" s="45">
        <f t="shared" si="2"/>
        <v>636.01814220000006</v>
      </c>
    </row>
    <row r="17" spans="1:31" x14ac:dyDescent="0.2">
      <c r="A17" s="58" t="s">
        <v>53</v>
      </c>
      <c r="B17" s="63">
        <f t="shared" si="3"/>
        <v>16</v>
      </c>
      <c r="C17" s="63">
        <v>7</v>
      </c>
      <c r="D17" s="63">
        <v>2021</v>
      </c>
      <c r="E17" s="47">
        <f>Water!C18</f>
        <v>1110</v>
      </c>
      <c r="F17" s="47">
        <f>Water!E18</f>
        <v>0</v>
      </c>
      <c r="G17" s="47">
        <f>Water!G18</f>
        <v>580.5</v>
      </c>
      <c r="H17" s="47">
        <f>Water!I18</f>
        <v>3.2399999999999998</v>
      </c>
      <c r="I17" s="47">
        <f>ELECT.!F18</f>
        <v>17722</v>
      </c>
      <c r="J17" s="47">
        <f>ELECT.!H18</f>
        <v>55783</v>
      </c>
      <c r="K17" s="47">
        <f>ELECT.!K18</f>
        <v>5382</v>
      </c>
      <c r="L17" s="47">
        <f>ELECT.!M18</f>
        <v>4935</v>
      </c>
      <c r="M17" s="47">
        <f>ELECT.!O18</f>
        <v>12556</v>
      </c>
      <c r="N17" s="47">
        <f>ELECT.!Q18</f>
        <v>15002</v>
      </c>
      <c r="O17" s="47">
        <f>ELECT.!S18</f>
        <v>10481</v>
      </c>
      <c r="P17" s="47">
        <f>ELECT.!W18*2</f>
        <v>23554</v>
      </c>
      <c r="Q17" s="47">
        <f>ELECT.!D18</f>
        <v>800</v>
      </c>
      <c r="R17" s="48">
        <f>BTU!C18</f>
        <v>14.584000000002561</v>
      </c>
      <c r="S17" s="48">
        <f>BTU!F18</f>
        <v>1.9710000000000036</v>
      </c>
      <c r="T17" s="48">
        <f>BTU!I18</f>
        <v>8</v>
      </c>
      <c r="U17" s="48">
        <f>BTU!O18</f>
        <v>1.7680000000000291</v>
      </c>
      <c r="V17" s="48">
        <f>BTU!L18</f>
        <v>2.5900000000001455</v>
      </c>
      <c r="W17" s="48">
        <f>BTU!R18</f>
        <v>2.7600000000002183</v>
      </c>
      <c r="X17" s="45">
        <f>ELECT.!B18</f>
        <v>210</v>
      </c>
      <c r="Y17" s="45">
        <f t="shared" si="0"/>
        <v>1595</v>
      </c>
      <c r="Z17">
        <f>'Mall, Citadel, Rotana'!C18+'Mall, Citadel, Rotana'!E18+'Mall, Citadel, Rotana'!G18+'Mall, Citadel, Rotana'!I18</f>
        <v>1406</v>
      </c>
      <c r="AA17">
        <f>'Mall, Citadel, Rotana'!K18+'Mall, Citadel, Rotana'!M18</f>
        <v>320</v>
      </c>
      <c r="AB17">
        <f>'Mall, Citadel, Rotana'!O18</f>
        <v>3</v>
      </c>
      <c r="AC17">
        <f>'Mall, Citadel, Rotana'!Q18+'Mall, Citadel, Rotana'!S18</f>
        <v>0</v>
      </c>
      <c r="AD17" s="45">
        <f t="shared" si="1"/>
        <v>120.301768</v>
      </c>
      <c r="AE17" s="45">
        <f t="shared" si="2"/>
        <v>792.45823199999995</v>
      </c>
    </row>
    <row r="18" spans="1:31" x14ac:dyDescent="0.2">
      <c r="A18" s="58" t="s">
        <v>53</v>
      </c>
      <c r="B18" s="63">
        <f t="shared" si="3"/>
        <v>17</v>
      </c>
      <c r="C18" s="63">
        <v>7</v>
      </c>
      <c r="D18" s="63">
        <v>2021</v>
      </c>
      <c r="E18" s="47">
        <f>Water!C19</f>
        <v>850</v>
      </c>
      <c r="F18" s="47">
        <f>Water!E19</f>
        <v>0</v>
      </c>
      <c r="G18" s="47">
        <f>Water!G19</f>
        <v>467.1</v>
      </c>
      <c r="H18" s="47">
        <f>Water!I19</f>
        <v>2.133</v>
      </c>
      <c r="I18" s="47">
        <f>ELECT.!F19</f>
        <v>15244</v>
      </c>
      <c r="J18" s="47">
        <f>ELECT.!H19</f>
        <v>48310</v>
      </c>
      <c r="K18" s="47">
        <f>ELECT.!K19</f>
        <v>4864</v>
      </c>
      <c r="L18" s="47">
        <f>ELECT.!M19</f>
        <v>4572</v>
      </c>
      <c r="M18" s="47">
        <f>ELECT.!O19</f>
        <v>10532</v>
      </c>
      <c r="N18" s="47">
        <f>ELECT.!Q19</f>
        <v>13052</v>
      </c>
      <c r="O18" s="47">
        <f>ELECT.!S19</f>
        <v>9107</v>
      </c>
      <c r="P18" s="47">
        <f>ELECT.!W19*2</f>
        <v>20146</v>
      </c>
      <c r="Q18" s="47">
        <f>ELECT.!D19</f>
        <v>960</v>
      </c>
      <c r="R18" s="48">
        <f>BTU!C19</f>
        <v>14.344999999997526</v>
      </c>
      <c r="S18" s="48">
        <f>BTU!F19</f>
        <v>2.25</v>
      </c>
      <c r="T18" s="48">
        <f>BTU!I19</f>
        <v>7</v>
      </c>
      <c r="U18" s="48">
        <f>BTU!O19</f>
        <v>1.5499999999997272</v>
      </c>
      <c r="V18" s="48">
        <f>BTU!L19</f>
        <v>3.8299999999999272</v>
      </c>
      <c r="W18" s="48">
        <f>BTU!R19</f>
        <v>2.8800000000001091</v>
      </c>
      <c r="X18" s="45">
        <f>ELECT.!B19</f>
        <v>237</v>
      </c>
      <c r="Y18" s="45">
        <f t="shared" si="0"/>
        <v>1281</v>
      </c>
      <c r="Z18">
        <f>'Mall, Citadel, Rotana'!C19+'Mall, Citadel, Rotana'!E19+'Mall, Citadel, Rotana'!G19+'Mall, Citadel, Rotana'!I19</f>
        <v>1242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5">
        <f t="shared" si="1"/>
        <v>86.179670599999994</v>
      </c>
      <c r="AE18" s="45">
        <f t="shared" si="2"/>
        <v>567.68732939999995</v>
      </c>
    </row>
    <row r="19" spans="1:31" x14ac:dyDescent="0.2">
      <c r="A19" s="58" t="s">
        <v>53</v>
      </c>
      <c r="B19" s="63">
        <f t="shared" si="3"/>
        <v>18</v>
      </c>
      <c r="C19" s="63">
        <v>7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13774</v>
      </c>
      <c r="J19" s="47">
        <f>ELECT.!H20</f>
        <v>44303</v>
      </c>
      <c r="K19" s="47">
        <f>ELECT.!K20</f>
        <v>4476</v>
      </c>
      <c r="L19" s="47">
        <f>ELECT.!M20</f>
        <v>4226</v>
      </c>
      <c r="M19" s="47">
        <f>ELECT.!O20</f>
        <v>9388</v>
      </c>
      <c r="N19" s="47">
        <f>ELECT.!Q20</f>
        <v>11382</v>
      </c>
      <c r="O19" s="47">
        <f>ELECT.!S20</f>
        <v>8274</v>
      </c>
      <c r="P19" s="47">
        <f>ELECT.!W20*2</f>
        <v>19218</v>
      </c>
      <c r="Q19" s="47">
        <f>ELECT.!D20</f>
        <v>800</v>
      </c>
      <c r="R19" s="48">
        <f>BTU!C20</f>
        <v>10.733000000000175</v>
      </c>
      <c r="S19" s="48">
        <f>BTU!F20</f>
        <v>1.593000000000302</v>
      </c>
      <c r="T19" s="48">
        <f>BTU!I20</f>
        <v>6</v>
      </c>
      <c r="U19" s="48">
        <f>BTU!O20</f>
        <v>1.1080000000001746</v>
      </c>
      <c r="V19" s="48">
        <f>BTU!L20</f>
        <v>2.9399999999986903</v>
      </c>
      <c r="W19" s="48">
        <f>BTU!R20</f>
        <v>4.0999999999994543</v>
      </c>
      <c r="X19" s="45">
        <f>ELECT.!B20</f>
        <v>234</v>
      </c>
      <c r="Y19" s="45">
        <f t="shared" si="0"/>
        <v>1113</v>
      </c>
      <c r="Z19">
        <f>'Mall, Citadel, Rotana'!C20+'Mall, Citadel, Rotana'!E20+'Mall, Citadel, Rotana'!G20+'Mall, Citadel, Rotana'!I20</f>
        <v>1561</v>
      </c>
      <c r="AA19">
        <f>'Mall, Citadel, Rotana'!K20+'Mall, Citadel, Rotana'!M20</f>
        <v>480</v>
      </c>
      <c r="AB19">
        <f>'Mall, Citadel, Rotana'!O20</f>
        <v>3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7</v>
      </c>
      <c r="D20" s="63">
        <v>2021</v>
      </c>
      <c r="E20" s="47">
        <f>Water!C21</f>
        <v>2090</v>
      </c>
      <c r="F20" s="47">
        <f>Water!E21</f>
        <v>0</v>
      </c>
      <c r="G20" s="47">
        <f>Water!G21</f>
        <v>1063.8</v>
      </c>
      <c r="H20" s="47">
        <f>Water!I21</f>
        <v>5.8319999999999999</v>
      </c>
      <c r="I20" s="47">
        <f>ELECT.!F21</f>
        <v>19220</v>
      </c>
      <c r="J20" s="47">
        <f>ELECT.!H21</f>
        <v>59606</v>
      </c>
      <c r="K20" s="47">
        <f>ELECT.!K21</f>
        <v>5814</v>
      </c>
      <c r="L20" s="47">
        <f>ELECT.!M21</f>
        <v>6269</v>
      </c>
      <c r="M20" s="47">
        <f>ELECT.!O21</f>
        <v>12760</v>
      </c>
      <c r="N20" s="47">
        <f>ELECT.!Q21</f>
        <v>15702</v>
      </c>
      <c r="O20" s="47">
        <f>ELECT.!S21</f>
        <v>11229</v>
      </c>
      <c r="P20" s="47">
        <f>ELECT.!W21*2</f>
        <v>25440</v>
      </c>
      <c r="Q20" s="47">
        <f>ELECT.!D21</f>
        <v>800</v>
      </c>
      <c r="R20" s="48">
        <f>BTU!C21</f>
        <v>19.829000000001543</v>
      </c>
      <c r="S20" s="48">
        <f>BTU!F21</f>
        <v>2.5049999999996544</v>
      </c>
      <c r="T20" s="48">
        <f>BTU!I21</f>
        <v>10</v>
      </c>
      <c r="U20" s="48">
        <f>BTU!O21</f>
        <v>2.2439999999996871</v>
      </c>
      <c r="V20" s="48">
        <f>BTU!L21</f>
        <v>5.2800000000006548</v>
      </c>
      <c r="W20" s="48">
        <f>BTU!R21</f>
        <v>5.3600000000005821</v>
      </c>
      <c r="X20" s="45">
        <f>ELECT.!B21</f>
        <v>244</v>
      </c>
      <c r="Y20" s="45">
        <f t="shared" si="0"/>
        <v>1612</v>
      </c>
      <c r="Z20">
        <f>'Mall, Citadel, Rotana'!C21+'Mall, Citadel, Rotana'!E21+'Mall, Citadel, Rotana'!G21+'Mall, Citadel, Rotana'!I21</f>
        <v>1406</v>
      </c>
      <c r="AA20">
        <f>'Mall, Citadel, Rotana'!K21+'Mall, Citadel, Rotana'!M21</f>
        <v>320</v>
      </c>
      <c r="AB20">
        <f>'Mall, Citadel, Rotana'!O21</f>
        <v>3</v>
      </c>
      <c r="AC20">
        <f>'Mall, Citadel, Rotana'!Q21+'Mall, Citadel, Rotana'!S21</f>
        <v>0</v>
      </c>
      <c r="AD20" s="45">
        <f t="shared" si="1"/>
        <v>249.12414240000001</v>
      </c>
      <c r="AE20" s="45">
        <f t="shared" si="2"/>
        <v>1641.0438576000001</v>
      </c>
    </row>
    <row r="21" spans="1:31" x14ac:dyDescent="0.2">
      <c r="A21" s="58" t="s">
        <v>53</v>
      </c>
      <c r="B21" s="63">
        <f t="shared" si="3"/>
        <v>20</v>
      </c>
      <c r="C21" s="63">
        <v>7</v>
      </c>
      <c r="D21" s="63">
        <v>2021</v>
      </c>
      <c r="E21" s="47">
        <f>Water!C22</f>
        <v>1030</v>
      </c>
      <c r="F21" s="47">
        <f>Water!E22</f>
        <v>0</v>
      </c>
      <c r="G21" s="47">
        <f>Water!G22</f>
        <v>540</v>
      </c>
      <c r="H21" s="47">
        <f>Water!I22</f>
        <v>2.8079999999999998</v>
      </c>
      <c r="I21" s="47">
        <f>ELECT.!F22</f>
        <v>23287</v>
      </c>
      <c r="J21" s="47">
        <f>ELECT.!H22</f>
        <v>53864</v>
      </c>
      <c r="K21" s="47">
        <f>ELECT.!K22</f>
        <v>5245</v>
      </c>
      <c r="L21" s="47">
        <f>ELECT.!M22</f>
        <v>7588</v>
      </c>
      <c r="M21" s="47">
        <f>ELECT.!O22</f>
        <v>15420</v>
      </c>
      <c r="N21" s="47">
        <f>ELECT.!Q22</f>
        <v>13625</v>
      </c>
      <c r="O21" s="47">
        <f>ELECT.!S22</f>
        <v>10251</v>
      </c>
      <c r="P21" s="47">
        <f>ELECT.!W22*2</f>
        <v>23320</v>
      </c>
      <c r="Q21" s="47">
        <f>ELECT.!D22</f>
        <v>800</v>
      </c>
      <c r="R21" s="48">
        <f>BTU!C22</f>
        <v>13.525999999998021</v>
      </c>
      <c r="S21" s="48">
        <f>BTU!F22</f>
        <v>1.8070000000002437</v>
      </c>
      <c r="T21" s="48">
        <f>BTU!I22</f>
        <v>7</v>
      </c>
      <c r="U21" s="48">
        <f>BTU!O22</f>
        <v>1.399000000000342</v>
      </c>
      <c r="V21" s="48">
        <f>BTU!L22</f>
        <v>13</v>
      </c>
      <c r="W21" s="48">
        <f>BTU!R22</f>
        <v>3.6399999999994179</v>
      </c>
      <c r="X21" s="45">
        <f>ELECT.!B22</f>
        <v>232</v>
      </c>
      <c r="Y21" s="45">
        <f t="shared" si="0"/>
        <v>1702</v>
      </c>
      <c r="Z21">
        <f>'Mall, Citadel, Rotana'!C22+'Mall, Citadel, Rotana'!E22+'Mall, Citadel, Rotana'!G22+'Mall, Citadel, Rotana'!I22</f>
        <v>1250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113398</v>
      </c>
      <c r="AD21" s="45">
        <f t="shared" si="1"/>
        <v>109.8147056</v>
      </c>
      <c r="AE21" s="45">
        <f t="shared" si="2"/>
        <v>723.37729439999998</v>
      </c>
    </row>
    <row r="22" spans="1:31" x14ac:dyDescent="0.2">
      <c r="A22" s="58" t="s">
        <v>53</v>
      </c>
      <c r="B22" s="63">
        <f t="shared" si="3"/>
        <v>21</v>
      </c>
      <c r="C22" s="63">
        <v>7</v>
      </c>
      <c r="D22" s="63">
        <v>2021</v>
      </c>
      <c r="E22" s="47">
        <f>Water!C23</f>
        <v>1180</v>
      </c>
      <c r="F22" s="47">
        <f>Water!E23</f>
        <v>0</v>
      </c>
      <c r="G22" s="47">
        <f>Water!G23</f>
        <v>669.6</v>
      </c>
      <c r="H22" s="47">
        <f>Water!I23</f>
        <v>2.5379999999999998</v>
      </c>
      <c r="I22" s="47">
        <f>ELECT.!F23</f>
        <v>21002</v>
      </c>
      <c r="J22" s="47">
        <f>ELECT.!H23</f>
        <v>51364</v>
      </c>
      <c r="K22" s="47">
        <f>ELECT.!K23</f>
        <v>5031</v>
      </c>
      <c r="L22" s="47">
        <f>ELECT.!M23</f>
        <v>7039</v>
      </c>
      <c r="M22" s="47">
        <f>ELECT.!O23</f>
        <v>14190</v>
      </c>
      <c r="N22" s="47">
        <f>ELECT.!Q23</f>
        <v>13329</v>
      </c>
      <c r="O22" s="47">
        <f>ELECT.!S23</f>
        <v>9523</v>
      </c>
      <c r="P22" s="47">
        <f>ELECT.!W23*2</f>
        <v>22388</v>
      </c>
      <c r="Q22" s="47">
        <f>ELECT.!D23</f>
        <v>1120</v>
      </c>
      <c r="R22" s="48">
        <f>BTU!C23</f>
        <v>14.462000000003172</v>
      </c>
      <c r="S22" s="48">
        <f>BTU!F23</f>
        <v>1.4619999999999891</v>
      </c>
      <c r="T22" s="48">
        <f>BTU!I23</f>
        <v>7</v>
      </c>
      <c r="U22" s="48">
        <f>BTU!O23</f>
        <v>1.4980000000000473</v>
      </c>
      <c r="V22" s="48">
        <f>BTU!L23</f>
        <v>3.9200000000000728</v>
      </c>
      <c r="W22" s="48">
        <f>BTU!R23</f>
        <v>3.8000000000001819</v>
      </c>
      <c r="X22" s="45">
        <f>ELECT.!B23</f>
        <v>324</v>
      </c>
      <c r="Y22" s="45">
        <f t="shared" si="0"/>
        <v>866</v>
      </c>
      <c r="Z22">
        <f>'Mall, Citadel, Rotana'!C23+'Mall, Citadel, Rotana'!E23+'Mall, Citadel, Rotana'!G23+'Mall, Citadel, Rotana'!I23</f>
        <v>1428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103</v>
      </c>
      <c r="AD22" s="45">
        <f t="shared" si="1"/>
        <v>129.6202916</v>
      </c>
      <c r="AE22" s="45">
        <f t="shared" si="2"/>
        <v>853.84170840000002</v>
      </c>
    </row>
    <row r="23" spans="1:31" x14ac:dyDescent="0.2">
      <c r="A23" s="58" t="s">
        <v>53</v>
      </c>
      <c r="B23" s="63">
        <f t="shared" si="3"/>
        <v>22</v>
      </c>
      <c r="C23" s="63">
        <v>7</v>
      </c>
      <c r="D23" s="63">
        <v>2021</v>
      </c>
      <c r="E23" s="47">
        <f>Water!C24</f>
        <v>990</v>
      </c>
      <c r="F23" s="47">
        <f>Water!E24</f>
        <v>0</v>
      </c>
      <c r="G23" s="47">
        <f>Water!G24</f>
        <v>556.20000000000005</v>
      </c>
      <c r="H23" s="47">
        <f>Water!I24</f>
        <v>1.593</v>
      </c>
      <c r="I23" s="47">
        <f>ELECT.!F24</f>
        <v>14551</v>
      </c>
      <c r="J23" s="47">
        <f>ELECT.!H24</f>
        <v>38526</v>
      </c>
      <c r="K23" s="47">
        <f>ELECT.!K24</f>
        <v>3757</v>
      </c>
      <c r="L23" s="47">
        <f>ELECT.!M24</f>
        <v>4706</v>
      </c>
      <c r="M23" s="47">
        <f>ELECT.!O24</f>
        <v>9346</v>
      </c>
      <c r="N23" s="47">
        <f>ELECT.!Q24</f>
        <v>10230</v>
      </c>
      <c r="O23" s="47">
        <f>ELECT.!S24</f>
        <v>7257</v>
      </c>
      <c r="P23" s="47">
        <f>ELECT.!W24*2</f>
        <v>16410</v>
      </c>
      <c r="Q23" s="47">
        <f>ELECT.!D24</f>
        <v>960</v>
      </c>
      <c r="R23" s="48">
        <f>BTU!C24</f>
        <v>15.310999999997875</v>
      </c>
      <c r="S23" s="48">
        <f>BTU!F24</f>
        <v>1.0880000000001928</v>
      </c>
      <c r="T23" s="48">
        <f>BTU!I24</f>
        <v>6</v>
      </c>
      <c r="U23" s="48">
        <f>BTU!O24</f>
        <v>1.5760000000000218</v>
      </c>
      <c r="V23" s="48">
        <f>BTU!L24</f>
        <v>4</v>
      </c>
      <c r="W23" s="48">
        <f>BTU!R24</f>
        <v>4.1599999999998545</v>
      </c>
      <c r="X23" s="45">
        <f>ELECT.!B24</f>
        <v>351</v>
      </c>
      <c r="Y23" s="45">
        <f t="shared" si="0"/>
        <v>1371</v>
      </c>
      <c r="Z23">
        <f>'Mall, Citadel, Rotana'!C24+'Mall, Citadel, Rotana'!E24+'Mall, Citadel, Rotana'!G24+'Mall, Citadel, Rotana'!I24</f>
        <v>1731</v>
      </c>
      <c r="AA23">
        <f>'Mall, Citadel, Rotana'!K24+'Mall, Citadel, Rotana'!M24</f>
        <v>480</v>
      </c>
      <c r="AB23">
        <f>'Mall, Citadel, Rotana'!O24</f>
        <v>3</v>
      </c>
      <c r="AC23">
        <f>'Mall, Citadel, Rotana'!Q24+'Mall, Citadel, Rotana'!S24</f>
        <v>119</v>
      </c>
      <c r="AD23" s="45">
        <f t="shared" si="1"/>
        <v>104.70284260000001</v>
      </c>
      <c r="AE23" s="45">
        <f t="shared" si="2"/>
        <v>689.70415739999999</v>
      </c>
    </row>
    <row r="24" spans="1:31" x14ac:dyDescent="0.2">
      <c r="A24" s="58" t="s">
        <v>53</v>
      </c>
      <c r="B24" s="63">
        <f t="shared" si="3"/>
        <v>23</v>
      </c>
      <c r="C24" s="63">
        <v>7</v>
      </c>
      <c r="D24" s="63">
        <v>2021</v>
      </c>
      <c r="E24" s="47">
        <f>Water!C25</f>
        <v>1030</v>
      </c>
      <c r="F24" s="47">
        <f>Water!E25</f>
        <v>0</v>
      </c>
      <c r="G24" s="47">
        <f>Water!G25</f>
        <v>21700</v>
      </c>
      <c r="H24" s="47">
        <f>Water!I25</f>
        <v>2.4569999999999999</v>
      </c>
      <c r="I24" s="47">
        <f>ELECT.!F25</f>
        <v>22190</v>
      </c>
      <c r="J24" s="47">
        <f>ELECT.!H25</f>
        <v>63867</v>
      </c>
      <c r="K24" s="47">
        <f>ELECT.!K25</f>
        <v>6113</v>
      </c>
      <c r="L24" s="47">
        <f>ELECT.!M25</f>
        <v>7367</v>
      </c>
      <c r="M24" s="47">
        <f>ELECT.!O25</f>
        <v>14620</v>
      </c>
      <c r="N24" s="47">
        <f>ELECT.!Q25</f>
        <v>16434</v>
      </c>
      <c r="O24" s="47">
        <f>ELECT.!S25</f>
        <v>11954</v>
      </c>
      <c r="P24" s="47">
        <f>ELECT.!W25*2</f>
        <v>27862</v>
      </c>
      <c r="Q24" s="47">
        <f>ELECT.!D25</f>
        <v>1120</v>
      </c>
      <c r="R24" s="48">
        <f>BTU!C25</f>
        <v>9.7220000000015716</v>
      </c>
      <c r="S24" s="48">
        <f>BTU!F25</f>
        <v>0.77999999999974534</v>
      </c>
      <c r="T24" s="48">
        <f>BTU!I25</f>
        <v>4</v>
      </c>
      <c r="U24" s="48">
        <f>BTU!O25</f>
        <v>0.88400000000001455</v>
      </c>
      <c r="V24" s="48">
        <f>BTU!L25</f>
        <v>2.5799999999999272</v>
      </c>
      <c r="W24" s="48">
        <f>BTU!R25</f>
        <v>2.6599999999998545</v>
      </c>
      <c r="X24" s="45">
        <f>ELECT.!B25</f>
        <v>346</v>
      </c>
      <c r="Y24" s="45">
        <f t="shared" si="0"/>
        <v>1707</v>
      </c>
      <c r="Z24">
        <f>'Mall, Citadel, Rotana'!C25+'Mall, Citadel, Rotana'!E25+'Mall, Citadel, Rotana'!G25+'Mall, Citadel, Rotana'!I25</f>
        <v>1109</v>
      </c>
      <c r="AA24">
        <f>'Mall, Citadel, Rotana'!K25+'Mall, Citadel, Rotana'!M25</f>
        <v>480</v>
      </c>
      <c r="AB24">
        <f>'Mall, Citadel, Rotana'!O25</f>
        <v>5</v>
      </c>
      <c r="AC24">
        <f>'Mall, Citadel, Rotana'!Q25+'Mall, Citadel, Rotana'!S25</f>
        <v>110</v>
      </c>
      <c r="AD24" s="45">
        <f t="shared" si="1"/>
        <v>109.86096739999999</v>
      </c>
      <c r="AE24" s="45">
        <f t="shared" si="2"/>
        <v>723.68203259999996</v>
      </c>
    </row>
    <row r="25" spans="1:31" x14ac:dyDescent="0.2">
      <c r="A25" s="58" t="s">
        <v>53</v>
      </c>
      <c r="B25" s="63">
        <f t="shared" si="3"/>
        <v>24</v>
      </c>
      <c r="C25" s="63">
        <v>7</v>
      </c>
      <c r="D25" s="63">
        <v>2021</v>
      </c>
      <c r="E25" s="47">
        <f>Water!C26</f>
        <v>1230</v>
      </c>
      <c r="F25" s="47">
        <f>Water!E26</f>
        <v>0</v>
      </c>
      <c r="G25" s="47">
        <f>Water!G26</f>
        <v>610.20000000000005</v>
      </c>
      <c r="H25" s="47">
        <f>Water!I26</f>
        <v>2.403</v>
      </c>
      <c r="I25" s="47">
        <f>ELECT.!F26</f>
        <v>16192</v>
      </c>
      <c r="J25" s="47">
        <f>ELECT.!H26</f>
        <v>51933</v>
      </c>
      <c r="K25" s="47">
        <f>ELECT.!K26</f>
        <v>5362</v>
      </c>
      <c r="L25" s="47">
        <f>ELECT.!M26</f>
        <v>5302</v>
      </c>
      <c r="M25" s="47">
        <f>ELECT.!O26</f>
        <v>10698</v>
      </c>
      <c r="N25" s="47">
        <f>ELECT.!Q26</f>
        <v>12950</v>
      </c>
      <c r="O25" s="47">
        <f>ELECT.!S26</f>
        <v>10154</v>
      </c>
      <c r="P25" s="47">
        <f>ELECT.!W26*2</f>
        <v>22236</v>
      </c>
      <c r="Q25" s="47">
        <f>ELECT.!D26</f>
        <v>960</v>
      </c>
      <c r="R25" s="48">
        <f>BTU!C26</f>
        <v>17.19800000000032</v>
      </c>
      <c r="S25" s="48">
        <f>BTU!F26</f>
        <v>2.5630000000001019</v>
      </c>
      <c r="T25" s="48">
        <f>BTU!I26</f>
        <v>6</v>
      </c>
      <c r="U25" s="48">
        <f>BTU!O26</f>
        <v>1.7079999999996289</v>
      </c>
      <c r="V25" s="48">
        <f>BTU!L26</f>
        <v>4.4000000000014552</v>
      </c>
      <c r="W25" s="48">
        <f>BTU!R26</f>
        <v>2.9000000000005457</v>
      </c>
      <c r="X25" s="45">
        <f>ELECT.!B26</f>
        <v>345</v>
      </c>
      <c r="Y25" s="45">
        <f t="shared" si="0"/>
        <v>1423</v>
      </c>
      <c r="Z25">
        <f>'Mall, Citadel, Rotana'!C26+'Mall, Citadel, Rotana'!E26+'Mall, Citadel, Rotana'!G26+'Mall, Citadel, Rotana'!I26</f>
        <v>1222</v>
      </c>
      <c r="AA25">
        <f>'Mall, Citadel, Rotana'!K26+'Mall, Citadel, Rotana'!M26</f>
        <v>480</v>
      </c>
      <c r="AB25">
        <f>'Mall, Citadel, Rotana'!O26</f>
        <v>1</v>
      </c>
      <c r="AC25">
        <f>'Mall, Citadel, Rotana'!Q26+'Mall, Citadel, Rotana'!S26</f>
        <v>121</v>
      </c>
      <c r="AD25" s="45">
        <f t="shared" si="1"/>
        <v>136.22808459999999</v>
      </c>
      <c r="AE25" s="45">
        <f t="shared" si="2"/>
        <v>897.36891539999988</v>
      </c>
    </row>
    <row r="26" spans="1:31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Water!C27</f>
        <v>1060</v>
      </c>
      <c r="F26" s="47">
        <f>Water!E27</f>
        <v>0</v>
      </c>
      <c r="G26" s="47">
        <f>Water!G27</f>
        <v>550.79999999999995</v>
      </c>
      <c r="H26" s="47">
        <f>Water!I27</f>
        <v>3.1589999999999998</v>
      </c>
      <c r="I26" s="47">
        <f>ELECT.!F27</f>
        <v>14103</v>
      </c>
      <c r="J26" s="47">
        <f>ELECT.!H27</f>
        <v>44804</v>
      </c>
      <c r="K26" s="47">
        <f>ELECT.!K27</f>
        <v>4814</v>
      </c>
      <c r="L26" s="47">
        <f>ELECT.!M27</f>
        <v>4696</v>
      </c>
      <c r="M26" s="47">
        <f>ELECT.!O27</f>
        <v>9262</v>
      </c>
      <c r="N26" s="47">
        <f>ELECT.!Q27</f>
        <v>11431</v>
      </c>
      <c r="O26" s="47">
        <f>ELECT.!S27</f>
        <v>8560</v>
      </c>
      <c r="P26" s="47">
        <f>ELECT.!W27*2</f>
        <v>19000</v>
      </c>
      <c r="Q26" s="47">
        <f>ELECT.!D27</f>
        <v>960</v>
      </c>
      <c r="R26" s="48">
        <f>BTU!C27</f>
        <v>14.415999999997439</v>
      </c>
      <c r="S26" s="48">
        <f>BTU!F27</f>
        <v>3.5189999999997781</v>
      </c>
      <c r="T26" s="48">
        <f>BTU!I27</f>
        <v>10</v>
      </c>
      <c r="U26" s="48">
        <f>BTU!O27</f>
        <v>1.5599999999999454</v>
      </c>
      <c r="V26" s="48">
        <f>BTU!L27</f>
        <v>2.6899999999986903</v>
      </c>
      <c r="W26" s="48">
        <f>BTU!R27</f>
        <v>3.2799999999997453</v>
      </c>
      <c r="X26" s="45">
        <f>ELECT.!B27</f>
        <v>260</v>
      </c>
      <c r="Y26" s="45">
        <f t="shared" si="0"/>
        <v>1144</v>
      </c>
      <c r="Z26">
        <f>'Mall, Citadel, Rotana'!C27+'Mall, Citadel, Rotana'!E27+'Mall, Citadel, Rotana'!G27+'Mall, Citadel, Rotana'!I27</f>
        <v>1572</v>
      </c>
      <c r="AA26">
        <f>'Mall, Citadel, Rotana'!K27+'Mall, Citadel, Rotana'!M27</f>
        <v>640</v>
      </c>
      <c r="AB26">
        <f>'Mall, Citadel, Rotana'!O27</f>
        <v>4</v>
      </c>
      <c r="AC26">
        <f>'Mall, Citadel, Rotana'!Q27+'Mall, Citadel, Rotana'!S27</f>
        <v>-113851</v>
      </c>
      <c r="AD26" s="45">
        <f t="shared" si="1"/>
        <v>113.72244379999999</v>
      </c>
      <c r="AE26" s="45">
        <f t="shared" si="2"/>
        <v>749.11855619999994</v>
      </c>
    </row>
    <row r="27" spans="1:31" x14ac:dyDescent="0.2">
      <c r="A27" s="58" t="s">
        <v>53</v>
      </c>
      <c r="B27" s="63">
        <f t="shared" si="3"/>
        <v>26</v>
      </c>
      <c r="C27" s="63">
        <v>7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7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7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7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7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11" activePane="bottomLeft" state="frozen"/>
      <selection pane="bottomLeft" activeCell="A27" sqref="A27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44377</v>
      </c>
      <c r="B2" s="42">
        <v>45485</v>
      </c>
      <c r="C2" s="16"/>
      <c r="D2" s="42">
        <v>39638</v>
      </c>
      <c r="E2" s="16"/>
      <c r="F2" s="42">
        <v>20517</v>
      </c>
      <c r="G2" s="16"/>
      <c r="H2" s="42">
        <v>244572</v>
      </c>
      <c r="I2" s="16"/>
      <c r="J2" s="42">
        <v>303517</v>
      </c>
      <c r="K2" s="16"/>
      <c r="L2" s="42">
        <v>25097</v>
      </c>
      <c r="M2" s="16"/>
      <c r="N2" s="42">
        <v>215639</v>
      </c>
      <c r="O2" s="16"/>
      <c r="P2" s="42">
        <v>110495</v>
      </c>
      <c r="Q2" s="16"/>
      <c r="R2" s="1">
        <v>55047</v>
      </c>
      <c r="S2" s="16"/>
      <c r="T2" s="42">
        <v>3684</v>
      </c>
      <c r="U2" s="16"/>
      <c r="V2" t="s">
        <v>12</v>
      </c>
    </row>
    <row r="3" spans="1:24" ht="13.5" thickBot="1" x14ac:dyDescent="0.25">
      <c r="A3" s="10">
        <v>44378</v>
      </c>
      <c r="B3" s="42">
        <v>45491</v>
      </c>
      <c r="C3" s="16">
        <f>(B3-B2)*800/5</f>
        <v>960</v>
      </c>
      <c r="D3" s="42">
        <v>39641</v>
      </c>
      <c r="E3" s="16">
        <f>(D3-D2)*800/5</f>
        <v>480</v>
      </c>
      <c r="F3" s="42">
        <v>20521</v>
      </c>
      <c r="G3" s="16">
        <f>(F3-F2)*100/5</f>
        <v>80</v>
      </c>
      <c r="H3" s="42">
        <v>244620</v>
      </c>
      <c r="I3" s="16">
        <f>(H3-H2)</f>
        <v>48</v>
      </c>
      <c r="J3" s="42">
        <f>J2</f>
        <v>303517</v>
      </c>
      <c r="K3" s="16">
        <f>(J3-J2)*800/5</f>
        <v>0</v>
      </c>
      <c r="L3" s="42">
        <v>25101</v>
      </c>
      <c r="M3" s="16">
        <f>(L3-L2)*800/5</f>
        <v>640</v>
      </c>
      <c r="N3" s="42">
        <v>215642</v>
      </c>
      <c r="O3" s="16">
        <f>N3-N2</f>
        <v>3</v>
      </c>
      <c r="P3" s="42">
        <v>110589</v>
      </c>
      <c r="Q3" s="16">
        <f>P3-P2</f>
        <v>94</v>
      </c>
      <c r="R3" s="1">
        <f>R2</f>
        <v>55047</v>
      </c>
      <c r="S3" s="16">
        <f>R3-R2</f>
        <v>0</v>
      </c>
      <c r="T3" s="42">
        <v>3685</v>
      </c>
      <c r="U3" s="16">
        <f>(T3-T2)*800/5</f>
        <v>160</v>
      </c>
    </row>
    <row r="4" spans="1:24" ht="13.5" thickBot="1" x14ac:dyDescent="0.25">
      <c r="A4" s="10">
        <v>44379</v>
      </c>
      <c r="B4" s="42">
        <v>45497</v>
      </c>
      <c r="C4" s="16">
        <f t="shared" ref="C4:C33" si="0">(B4-B3)*800/5</f>
        <v>960</v>
      </c>
      <c r="D4" s="42">
        <v>39644</v>
      </c>
      <c r="E4" s="16">
        <f t="shared" ref="E4:E33" si="1">(D4-D3)*800/5</f>
        <v>480</v>
      </c>
      <c r="F4" s="42">
        <v>20525</v>
      </c>
      <c r="G4" s="16">
        <f t="shared" ref="G4:G33" si="2">(F4-F3)*100/5</f>
        <v>80</v>
      </c>
      <c r="H4" s="42">
        <v>244671</v>
      </c>
      <c r="I4" s="16">
        <f t="shared" ref="I4:I33" si="3">(H4-H3)</f>
        <v>51</v>
      </c>
      <c r="J4" s="42">
        <v>303517</v>
      </c>
      <c r="K4" s="16">
        <f t="shared" ref="K4:K33" si="4">(J4-J3)*800/5</f>
        <v>0</v>
      </c>
      <c r="L4" s="42">
        <v>25104</v>
      </c>
      <c r="M4" s="16">
        <f t="shared" ref="M4:M33" si="5">(L4-L3)*800/5</f>
        <v>480</v>
      </c>
      <c r="N4" s="42">
        <v>215646</v>
      </c>
      <c r="O4" s="16">
        <f t="shared" ref="O4:O33" si="6">N4-N3</f>
        <v>4</v>
      </c>
      <c r="P4" s="42">
        <v>110699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42">
        <v>3686</v>
      </c>
      <c r="U4" s="16">
        <f t="shared" ref="U4:U33" si="9">(T4-T3)*800/5</f>
        <v>160</v>
      </c>
    </row>
    <row r="5" spans="1:24" ht="13.5" thickBot="1" x14ac:dyDescent="0.25">
      <c r="A5" s="10">
        <v>44380</v>
      </c>
      <c r="B5" s="42">
        <v>45502</v>
      </c>
      <c r="C5" s="16">
        <f t="shared" si="0"/>
        <v>800</v>
      </c>
      <c r="D5" s="42">
        <v>39649</v>
      </c>
      <c r="E5" s="16">
        <f t="shared" si="1"/>
        <v>800</v>
      </c>
      <c r="F5" s="42">
        <v>20528</v>
      </c>
      <c r="G5" s="16">
        <f t="shared" si="2"/>
        <v>60</v>
      </c>
      <c r="H5" s="42">
        <v>244726</v>
      </c>
      <c r="I5" s="16">
        <f t="shared" si="3"/>
        <v>55</v>
      </c>
      <c r="J5" s="42">
        <v>303517</v>
      </c>
      <c r="K5" s="16">
        <f t="shared" si="4"/>
        <v>0</v>
      </c>
      <c r="L5" s="42">
        <v>25107</v>
      </c>
      <c r="M5" s="16">
        <f t="shared" si="5"/>
        <v>480</v>
      </c>
      <c r="N5" s="42">
        <v>215649</v>
      </c>
      <c r="O5" s="16">
        <f t="shared" si="6"/>
        <v>3</v>
      </c>
      <c r="P5" s="42">
        <v>110819</v>
      </c>
      <c r="Q5" s="16">
        <f t="shared" si="7"/>
        <v>120</v>
      </c>
      <c r="R5" s="1">
        <v>55047</v>
      </c>
      <c r="S5" s="16">
        <f t="shared" si="8"/>
        <v>0</v>
      </c>
      <c r="T5" s="42">
        <v>3687</v>
      </c>
      <c r="U5" s="16">
        <f t="shared" si="9"/>
        <v>160</v>
      </c>
    </row>
    <row r="6" spans="1:24" ht="13.5" thickBot="1" x14ac:dyDescent="0.25">
      <c r="A6" s="10">
        <v>44381</v>
      </c>
      <c r="B6" s="42">
        <v>45507</v>
      </c>
      <c r="C6" s="16">
        <f t="shared" si="0"/>
        <v>800</v>
      </c>
      <c r="D6" s="42">
        <v>39652</v>
      </c>
      <c r="E6" s="16">
        <f t="shared" si="1"/>
        <v>480</v>
      </c>
      <c r="F6" s="42">
        <v>20531</v>
      </c>
      <c r="G6" s="16">
        <f t="shared" si="2"/>
        <v>60</v>
      </c>
      <c r="H6" s="42">
        <v>244806</v>
      </c>
      <c r="I6" s="16">
        <f t="shared" si="3"/>
        <v>80</v>
      </c>
      <c r="J6" s="42">
        <v>303517</v>
      </c>
      <c r="K6" s="16">
        <f t="shared" si="4"/>
        <v>0</v>
      </c>
      <c r="L6" s="42">
        <v>25111</v>
      </c>
      <c r="M6" s="16">
        <f t="shared" si="5"/>
        <v>640</v>
      </c>
      <c r="N6" s="42">
        <v>215652</v>
      </c>
      <c r="O6" s="16">
        <f t="shared" si="6"/>
        <v>3</v>
      </c>
      <c r="P6" s="42">
        <v>110950</v>
      </c>
      <c r="Q6" s="16">
        <f t="shared" si="7"/>
        <v>131</v>
      </c>
      <c r="R6" s="1">
        <v>55047</v>
      </c>
      <c r="S6" s="16">
        <f>R30-R5</f>
        <v>0</v>
      </c>
      <c r="T6" s="42">
        <v>3688</v>
      </c>
      <c r="U6" s="16">
        <f t="shared" si="9"/>
        <v>160</v>
      </c>
    </row>
    <row r="7" spans="1:24" ht="13.5" thickBot="1" x14ac:dyDescent="0.25">
      <c r="A7" s="10">
        <v>44382</v>
      </c>
      <c r="B7" s="42">
        <v>45513</v>
      </c>
      <c r="C7" s="16">
        <f t="shared" si="0"/>
        <v>960</v>
      </c>
      <c r="D7" s="42">
        <v>39651</v>
      </c>
      <c r="E7" s="16">
        <f t="shared" si="1"/>
        <v>-160</v>
      </c>
      <c r="F7" s="42">
        <v>20535</v>
      </c>
      <c r="G7" s="16">
        <f t="shared" si="2"/>
        <v>80</v>
      </c>
      <c r="H7" s="42">
        <v>244880</v>
      </c>
      <c r="I7" s="16">
        <f t="shared" si="3"/>
        <v>74</v>
      </c>
      <c r="J7" s="42">
        <v>303517</v>
      </c>
      <c r="K7" s="16">
        <f t="shared" si="4"/>
        <v>0</v>
      </c>
      <c r="L7" s="42">
        <v>25115</v>
      </c>
      <c r="M7" s="16">
        <f t="shared" si="5"/>
        <v>640</v>
      </c>
      <c r="N7" s="42">
        <v>215655</v>
      </c>
      <c r="O7" s="16">
        <f t="shared" si="6"/>
        <v>3</v>
      </c>
      <c r="P7" s="42">
        <f t="shared" ref="P7:P33" si="10">P6</f>
        <v>110950</v>
      </c>
      <c r="Q7" s="16">
        <f t="shared" si="7"/>
        <v>0</v>
      </c>
      <c r="R7" s="1">
        <v>55047</v>
      </c>
      <c r="S7" s="16">
        <f>R7-R30</f>
        <v>0</v>
      </c>
      <c r="T7" s="42">
        <v>3690</v>
      </c>
      <c r="U7" s="16">
        <f t="shared" si="9"/>
        <v>320</v>
      </c>
    </row>
    <row r="8" spans="1:24" ht="13.5" thickBot="1" x14ac:dyDescent="0.25">
      <c r="A8" s="10">
        <v>44383</v>
      </c>
      <c r="B8" s="42">
        <v>45519</v>
      </c>
      <c r="C8" s="16">
        <f t="shared" si="0"/>
        <v>960</v>
      </c>
      <c r="D8" s="42">
        <v>39655</v>
      </c>
      <c r="E8" s="16">
        <f t="shared" si="1"/>
        <v>640</v>
      </c>
      <c r="F8" s="42">
        <v>20538</v>
      </c>
      <c r="G8" s="16">
        <f t="shared" si="2"/>
        <v>60</v>
      </c>
      <c r="H8" s="42">
        <v>244948</v>
      </c>
      <c r="I8" s="16">
        <f t="shared" si="3"/>
        <v>68</v>
      </c>
      <c r="J8" s="42">
        <v>303517</v>
      </c>
      <c r="K8" s="16">
        <f t="shared" si="4"/>
        <v>0</v>
      </c>
      <c r="L8" s="42">
        <v>25119</v>
      </c>
      <c r="M8" s="16">
        <f t="shared" si="5"/>
        <v>640</v>
      </c>
      <c r="N8" s="42">
        <v>215658</v>
      </c>
      <c r="O8" s="16">
        <f t="shared" si="6"/>
        <v>3</v>
      </c>
      <c r="P8" s="42">
        <v>111345</v>
      </c>
      <c r="Q8" s="16">
        <f t="shared" si="7"/>
        <v>395</v>
      </c>
      <c r="R8" s="1">
        <v>55047</v>
      </c>
      <c r="S8" s="16">
        <f>R8-R7</f>
        <v>0</v>
      </c>
      <c r="T8" s="42">
        <v>3691</v>
      </c>
      <c r="U8" s="16">
        <f t="shared" si="9"/>
        <v>160</v>
      </c>
    </row>
    <row r="9" spans="1:24" ht="13.5" thickBot="1" x14ac:dyDescent="0.25">
      <c r="A9" s="10">
        <v>44384</v>
      </c>
      <c r="B9" s="42">
        <v>45525</v>
      </c>
      <c r="C9" s="16">
        <f t="shared" si="0"/>
        <v>960</v>
      </c>
      <c r="D9" s="42">
        <v>39658</v>
      </c>
      <c r="E9" s="16">
        <f t="shared" si="1"/>
        <v>480</v>
      </c>
      <c r="F9" s="42">
        <v>20542</v>
      </c>
      <c r="G9" s="16">
        <f t="shared" si="2"/>
        <v>80</v>
      </c>
      <c r="H9" s="42">
        <v>245014</v>
      </c>
      <c r="I9" s="16">
        <f t="shared" si="3"/>
        <v>66</v>
      </c>
      <c r="J9" s="42">
        <v>303517</v>
      </c>
      <c r="K9" s="16">
        <f t="shared" si="4"/>
        <v>0</v>
      </c>
      <c r="L9" s="42">
        <v>25124</v>
      </c>
      <c r="M9" s="16">
        <f t="shared" si="5"/>
        <v>800</v>
      </c>
      <c r="N9" s="42">
        <v>215662</v>
      </c>
      <c r="O9" s="16">
        <f t="shared" si="6"/>
        <v>4</v>
      </c>
      <c r="P9" s="42">
        <f t="shared" si="10"/>
        <v>111345</v>
      </c>
      <c r="Q9" s="16">
        <f>P9-P8</f>
        <v>0</v>
      </c>
      <c r="R9" s="1">
        <v>55047</v>
      </c>
      <c r="S9" s="16">
        <f>R9-R8</f>
        <v>0</v>
      </c>
      <c r="T9" s="42">
        <v>3692</v>
      </c>
      <c r="U9" s="16">
        <f t="shared" si="9"/>
        <v>160</v>
      </c>
    </row>
    <row r="10" spans="1:24" ht="13.5" thickBot="1" x14ac:dyDescent="0.25">
      <c r="A10" s="10">
        <v>44385</v>
      </c>
      <c r="B10" s="42">
        <v>45530</v>
      </c>
      <c r="C10" s="16">
        <f t="shared" si="0"/>
        <v>800</v>
      </c>
      <c r="D10" s="42">
        <v>39660</v>
      </c>
      <c r="E10" s="16">
        <f t="shared" si="1"/>
        <v>320</v>
      </c>
      <c r="F10" s="42">
        <v>20545</v>
      </c>
      <c r="G10" s="16">
        <f t="shared" si="2"/>
        <v>60</v>
      </c>
      <c r="H10" s="42">
        <v>245073</v>
      </c>
      <c r="I10" s="16">
        <f t="shared" si="3"/>
        <v>59</v>
      </c>
      <c r="J10" s="42">
        <v>303517</v>
      </c>
      <c r="K10" s="16">
        <f t="shared" si="4"/>
        <v>0</v>
      </c>
      <c r="L10" s="42">
        <v>25127</v>
      </c>
      <c r="M10" s="16">
        <f t="shared" si="5"/>
        <v>480</v>
      </c>
      <c r="N10" s="42">
        <v>215665</v>
      </c>
      <c r="O10" s="16">
        <f t="shared" si="6"/>
        <v>3</v>
      </c>
      <c r="P10" s="42">
        <f t="shared" si="10"/>
        <v>111345</v>
      </c>
      <c r="Q10" s="16">
        <f>P10-P9</f>
        <v>0</v>
      </c>
      <c r="R10" s="1">
        <v>55047</v>
      </c>
      <c r="S10" s="16">
        <f>R10-R9</f>
        <v>0</v>
      </c>
      <c r="T10" s="42">
        <v>3693</v>
      </c>
      <c r="U10" s="16">
        <f t="shared" si="9"/>
        <v>160</v>
      </c>
    </row>
    <row r="11" spans="1:24" ht="13.5" thickBot="1" x14ac:dyDescent="0.25">
      <c r="A11" s="10">
        <v>44386</v>
      </c>
      <c r="B11" s="42">
        <v>45535</v>
      </c>
      <c r="C11" s="16">
        <f t="shared" si="0"/>
        <v>800</v>
      </c>
      <c r="D11" s="42">
        <v>39663</v>
      </c>
      <c r="E11" s="16">
        <f t="shared" si="1"/>
        <v>480</v>
      </c>
      <c r="F11" s="42">
        <v>20548</v>
      </c>
      <c r="G11" s="16">
        <f t="shared" si="2"/>
        <v>60</v>
      </c>
      <c r="H11" s="42">
        <v>245114</v>
      </c>
      <c r="I11" s="16">
        <f t="shared" si="3"/>
        <v>41</v>
      </c>
      <c r="J11" s="42">
        <v>303517</v>
      </c>
      <c r="K11" s="16">
        <f t="shared" si="4"/>
        <v>0</v>
      </c>
      <c r="L11" s="42">
        <v>25131</v>
      </c>
      <c r="M11" s="16">
        <f t="shared" si="5"/>
        <v>640</v>
      </c>
      <c r="N11" s="42">
        <v>215668</v>
      </c>
      <c r="O11" s="16">
        <f t="shared" si="6"/>
        <v>3</v>
      </c>
      <c r="P11" s="42">
        <f t="shared" si="10"/>
        <v>111345</v>
      </c>
      <c r="Q11" s="16">
        <f t="shared" si="7"/>
        <v>0</v>
      </c>
      <c r="R11" s="1">
        <v>55047</v>
      </c>
      <c r="S11" s="16">
        <f t="shared" si="8"/>
        <v>0</v>
      </c>
      <c r="T11" s="42">
        <v>3694</v>
      </c>
      <c r="U11" s="16">
        <f t="shared" si="9"/>
        <v>160</v>
      </c>
    </row>
    <row r="12" spans="1:24" ht="13.5" thickBot="1" x14ac:dyDescent="0.25">
      <c r="A12" s="10">
        <v>44387</v>
      </c>
      <c r="B12" s="42">
        <v>45541</v>
      </c>
      <c r="C12" s="16">
        <f t="shared" si="0"/>
        <v>960</v>
      </c>
      <c r="D12" s="42">
        <v>39666</v>
      </c>
      <c r="E12" s="16">
        <f t="shared" si="1"/>
        <v>480</v>
      </c>
      <c r="F12" s="42">
        <v>20551</v>
      </c>
      <c r="G12" s="16">
        <f t="shared" si="2"/>
        <v>60</v>
      </c>
      <c r="H12" s="42">
        <v>245158</v>
      </c>
      <c r="I12" s="16">
        <f t="shared" si="3"/>
        <v>44</v>
      </c>
      <c r="J12" s="42">
        <v>303517</v>
      </c>
      <c r="K12" s="16">
        <f t="shared" si="4"/>
        <v>0</v>
      </c>
      <c r="L12" s="42">
        <v>25134</v>
      </c>
      <c r="M12" s="16">
        <f t="shared" si="5"/>
        <v>480</v>
      </c>
      <c r="N12" s="42">
        <v>215671</v>
      </c>
      <c r="O12" s="16">
        <f t="shared" si="6"/>
        <v>3</v>
      </c>
      <c r="P12" s="42">
        <f t="shared" si="10"/>
        <v>111345</v>
      </c>
      <c r="Q12" s="16">
        <f t="shared" si="7"/>
        <v>0</v>
      </c>
      <c r="R12" s="1">
        <v>55047</v>
      </c>
      <c r="S12" s="16">
        <f t="shared" si="8"/>
        <v>0</v>
      </c>
      <c r="T12" s="42">
        <v>3695</v>
      </c>
      <c r="U12" s="16">
        <f t="shared" si="9"/>
        <v>160</v>
      </c>
    </row>
    <row r="13" spans="1:24" ht="13.5" thickBot="1" x14ac:dyDescent="0.25">
      <c r="A13" s="10">
        <v>44388</v>
      </c>
      <c r="B13" s="42">
        <v>45547</v>
      </c>
      <c r="C13" s="16">
        <f t="shared" si="0"/>
        <v>960</v>
      </c>
      <c r="D13" s="42">
        <v>39669</v>
      </c>
      <c r="E13" s="16">
        <f t="shared" si="1"/>
        <v>480</v>
      </c>
      <c r="F13" s="42">
        <v>20555</v>
      </c>
      <c r="G13" s="16">
        <f t="shared" si="2"/>
        <v>80</v>
      </c>
      <c r="H13" s="42">
        <v>245217</v>
      </c>
      <c r="I13" s="16">
        <f t="shared" si="3"/>
        <v>59</v>
      </c>
      <c r="J13" s="42">
        <v>303517</v>
      </c>
      <c r="K13" s="16">
        <f t="shared" si="4"/>
        <v>0</v>
      </c>
      <c r="L13" s="42">
        <v>25138</v>
      </c>
      <c r="M13" s="16">
        <f t="shared" si="5"/>
        <v>640</v>
      </c>
      <c r="N13" s="42">
        <v>215674</v>
      </c>
      <c r="O13" s="16">
        <f t="shared" si="6"/>
        <v>3</v>
      </c>
      <c r="P13" s="42">
        <f t="shared" si="10"/>
        <v>111345</v>
      </c>
      <c r="Q13" s="16">
        <f t="shared" si="7"/>
        <v>0</v>
      </c>
      <c r="R13" s="1">
        <v>55047</v>
      </c>
      <c r="S13" s="16">
        <f t="shared" si="8"/>
        <v>0</v>
      </c>
      <c r="T13" s="42">
        <v>3697</v>
      </c>
      <c r="U13" s="16">
        <f t="shared" si="9"/>
        <v>320</v>
      </c>
    </row>
    <row r="14" spans="1:24" ht="13.5" thickBot="1" x14ac:dyDescent="0.25">
      <c r="A14" s="10">
        <v>44389</v>
      </c>
      <c r="B14" s="42">
        <v>45553</v>
      </c>
      <c r="C14" s="16">
        <f t="shared" si="0"/>
        <v>960</v>
      </c>
      <c r="D14" s="42">
        <v>39673</v>
      </c>
      <c r="E14" s="16">
        <f t="shared" si="1"/>
        <v>640</v>
      </c>
      <c r="F14" s="42">
        <v>20559</v>
      </c>
      <c r="G14" s="16">
        <f t="shared" si="2"/>
        <v>80</v>
      </c>
      <c r="H14" s="42">
        <v>245275</v>
      </c>
      <c r="I14" s="16">
        <f t="shared" si="3"/>
        <v>58</v>
      </c>
      <c r="J14" s="42">
        <v>303517</v>
      </c>
      <c r="K14" s="16">
        <f t="shared" si="4"/>
        <v>0</v>
      </c>
      <c r="L14" s="42">
        <v>25142</v>
      </c>
      <c r="M14" s="16">
        <f t="shared" si="5"/>
        <v>640</v>
      </c>
      <c r="N14" s="42">
        <v>215677</v>
      </c>
      <c r="O14" s="16">
        <f t="shared" si="6"/>
        <v>3</v>
      </c>
      <c r="P14" s="42">
        <v>111345</v>
      </c>
      <c r="Q14" s="16">
        <f t="shared" si="7"/>
        <v>0</v>
      </c>
      <c r="R14" s="1">
        <v>55047</v>
      </c>
      <c r="S14" s="16">
        <f t="shared" si="8"/>
        <v>0</v>
      </c>
      <c r="T14" s="42">
        <v>3698</v>
      </c>
      <c r="U14" s="16">
        <f>(T14-T13)*800/5</f>
        <v>160</v>
      </c>
    </row>
    <row r="15" spans="1:24" ht="13.5" thickBot="1" x14ac:dyDescent="0.25">
      <c r="A15" s="10">
        <v>44390</v>
      </c>
      <c r="B15" s="42">
        <v>45558</v>
      </c>
      <c r="C15" s="16">
        <f t="shared" si="0"/>
        <v>800</v>
      </c>
      <c r="D15" s="42">
        <v>39674</v>
      </c>
      <c r="E15" s="16">
        <f t="shared" si="1"/>
        <v>160</v>
      </c>
      <c r="F15" s="42">
        <v>20563</v>
      </c>
      <c r="G15" s="16">
        <f t="shared" si="2"/>
        <v>80</v>
      </c>
      <c r="H15" s="42">
        <v>245328</v>
      </c>
      <c r="I15" s="16">
        <f t="shared" si="3"/>
        <v>53</v>
      </c>
      <c r="J15" s="42">
        <v>303517</v>
      </c>
      <c r="K15" s="16">
        <f t="shared" si="4"/>
        <v>0</v>
      </c>
      <c r="L15" s="42">
        <v>25147</v>
      </c>
      <c r="M15" s="16">
        <f t="shared" si="5"/>
        <v>800</v>
      </c>
      <c r="N15" s="42">
        <v>215680</v>
      </c>
      <c r="O15" s="16">
        <f t="shared" si="6"/>
        <v>3</v>
      </c>
      <c r="P15" s="42"/>
      <c r="Q15" s="16">
        <f t="shared" si="7"/>
        <v>-111345</v>
      </c>
      <c r="R15" s="1">
        <v>55047</v>
      </c>
      <c r="S15" s="16">
        <f t="shared" si="8"/>
        <v>0</v>
      </c>
      <c r="T15" s="42">
        <v>3699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44391</v>
      </c>
      <c r="B16" s="42">
        <v>45564</v>
      </c>
      <c r="C16" s="16">
        <f t="shared" si="0"/>
        <v>960</v>
      </c>
      <c r="D16" s="42">
        <v>39677</v>
      </c>
      <c r="E16" s="16">
        <f t="shared" si="1"/>
        <v>480</v>
      </c>
      <c r="F16" s="42">
        <v>20566</v>
      </c>
      <c r="G16" s="16">
        <f t="shared" si="2"/>
        <v>60</v>
      </c>
      <c r="H16" s="42">
        <v>245391</v>
      </c>
      <c r="I16" s="16">
        <f t="shared" si="3"/>
        <v>63</v>
      </c>
      <c r="J16" s="42">
        <v>303517</v>
      </c>
      <c r="K16" s="16">
        <f t="shared" si="4"/>
        <v>0</v>
      </c>
      <c r="L16" s="42">
        <v>25151</v>
      </c>
      <c r="M16" s="16">
        <f t="shared" si="5"/>
        <v>640</v>
      </c>
      <c r="N16" s="42">
        <v>215683</v>
      </c>
      <c r="O16" s="16">
        <f t="shared" si="6"/>
        <v>3</v>
      </c>
      <c r="P16" s="42">
        <f t="shared" si="10"/>
        <v>0</v>
      </c>
      <c r="Q16" s="16">
        <f t="shared" si="7"/>
        <v>0</v>
      </c>
      <c r="R16" s="1">
        <v>55047</v>
      </c>
      <c r="S16" s="16">
        <f t="shared" si="8"/>
        <v>0</v>
      </c>
      <c r="T16" s="42">
        <v>3700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44392</v>
      </c>
      <c r="B17" s="42">
        <v>45570</v>
      </c>
      <c r="C17" s="16">
        <f t="shared" si="0"/>
        <v>960</v>
      </c>
      <c r="D17" s="42">
        <v>39680</v>
      </c>
      <c r="E17" s="16">
        <f t="shared" si="1"/>
        <v>480</v>
      </c>
      <c r="F17" s="42">
        <v>20570</v>
      </c>
      <c r="G17" s="16">
        <f t="shared" si="2"/>
        <v>80</v>
      </c>
      <c r="H17" s="42">
        <v>245431</v>
      </c>
      <c r="I17" s="16">
        <f t="shared" si="3"/>
        <v>40</v>
      </c>
      <c r="J17" s="42">
        <v>303517</v>
      </c>
      <c r="K17" s="16">
        <f t="shared" si="4"/>
        <v>0</v>
      </c>
      <c r="L17" s="42">
        <v>25155</v>
      </c>
      <c r="M17" s="16">
        <f t="shared" si="5"/>
        <v>640</v>
      </c>
      <c r="N17" s="42">
        <v>215686</v>
      </c>
      <c r="O17" s="16">
        <f t="shared" si="6"/>
        <v>3</v>
      </c>
      <c r="P17" s="42">
        <f t="shared" si="10"/>
        <v>0</v>
      </c>
      <c r="Q17" s="16">
        <f t="shared" si="7"/>
        <v>0</v>
      </c>
      <c r="R17" s="1">
        <v>55047</v>
      </c>
      <c r="S17" s="16">
        <f>S16</f>
        <v>0</v>
      </c>
      <c r="T17" s="42">
        <v>3701</v>
      </c>
      <c r="U17" s="16">
        <f t="shared" si="9"/>
        <v>160</v>
      </c>
    </row>
    <row r="18" spans="1:23" ht="13.5" thickBot="1" x14ac:dyDescent="0.25">
      <c r="A18" s="10">
        <v>44393</v>
      </c>
      <c r="B18" s="42">
        <v>45575</v>
      </c>
      <c r="C18" s="16">
        <f t="shared" si="0"/>
        <v>800</v>
      </c>
      <c r="D18" s="42">
        <v>39683</v>
      </c>
      <c r="E18" s="16">
        <f t="shared" si="1"/>
        <v>480</v>
      </c>
      <c r="F18" s="42">
        <v>20573</v>
      </c>
      <c r="G18" s="16">
        <f t="shared" si="2"/>
        <v>60</v>
      </c>
      <c r="H18" s="42">
        <v>245497</v>
      </c>
      <c r="I18" s="16">
        <f t="shared" si="3"/>
        <v>66</v>
      </c>
      <c r="J18" s="42">
        <v>303517</v>
      </c>
      <c r="K18" s="16">
        <f t="shared" si="4"/>
        <v>0</v>
      </c>
      <c r="L18" s="42">
        <v>25157</v>
      </c>
      <c r="M18" s="16">
        <f t="shared" si="5"/>
        <v>320</v>
      </c>
      <c r="N18" s="42">
        <v>215689</v>
      </c>
      <c r="O18" s="16">
        <f t="shared" si="6"/>
        <v>3</v>
      </c>
      <c r="P18" s="42">
        <f t="shared" si="10"/>
        <v>0</v>
      </c>
      <c r="Q18" s="16">
        <f t="shared" si="7"/>
        <v>0</v>
      </c>
      <c r="R18" s="1">
        <v>55047</v>
      </c>
      <c r="S18" s="16">
        <f t="shared" si="8"/>
        <v>0</v>
      </c>
      <c r="T18" s="42">
        <v>3702</v>
      </c>
      <c r="U18" s="16">
        <f t="shared" si="9"/>
        <v>160</v>
      </c>
    </row>
    <row r="19" spans="1:23" ht="13.5" thickBot="1" x14ac:dyDescent="0.25">
      <c r="A19" s="10">
        <v>44394</v>
      </c>
      <c r="B19" s="42">
        <v>45580</v>
      </c>
      <c r="C19" s="16">
        <f t="shared" si="0"/>
        <v>800</v>
      </c>
      <c r="D19" s="42">
        <v>39685</v>
      </c>
      <c r="E19" s="16">
        <f t="shared" si="1"/>
        <v>320</v>
      </c>
      <c r="F19" s="42">
        <v>20577</v>
      </c>
      <c r="G19" s="16">
        <f t="shared" si="2"/>
        <v>80</v>
      </c>
      <c r="H19" s="42">
        <v>245539</v>
      </c>
      <c r="I19" s="16">
        <f t="shared" si="3"/>
        <v>42</v>
      </c>
      <c r="J19" s="42">
        <v>303517</v>
      </c>
      <c r="K19" s="16">
        <f t="shared" si="4"/>
        <v>0</v>
      </c>
      <c r="L19" s="42">
        <v>25161</v>
      </c>
      <c r="M19" s="16">
        <f t="shared" si="5"/>
        <v>640</v>
      </c>
      <c r="N19" s="42">
        <v>215693</v>
      </c>
      <c r="O19" s="16">
        <f t="shared" si="6"/>
        <v>4</v>
      </c>
      <c r="P19" s="42">
        <f t="shared" si="10"/>
        <v>0</v>
      </c>
      <c r="Q19" s="16">
        <f t="shared" si="7"/>
        <v>0</v>
      </c>
      <c r="R19" s="1">
        <v>55047</v>
      </c>
      <c r="S19" s="16">
        <f t="shared" si="8"/>
        <v>0</v>
      </c>
      <c r="T19" s="42">
        <v>3703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44395</v>
      </c>
      <c r="B20" s="42">
        <v>45586</v>
      </c>
      <c r="C20" s="16">
        <f t="shared" si="0"/>
        <v>960</v>
      </c>
      <c r="D20" s="42">
        <v>39688</v>
      </c>
      <c r="E20" s="16">
        <f t="shared" si="1"/>
        <v>480</v>
      </c>
      <c r="F20" s="42">
        <v>20580</v>
      </c>
      <c r="G20" s="16">
        <f t="shared" si="2"/>
        <v>60</v>
      </c>
      <c r="H20" s="42">
        <v>245600</v>
      </c>
      <c r="I20" s="16">
        <f t="shared" si="3"/>
        <v>61</v>
      </c>
      <c r="J20" s="42">
        <v>303517</v>
      </c>
      <c r="K20" s="16">
        <v>0</v>
      </c>
      <c r="L20" s="42">
        <v>25164</v>
      </c>
      <c r="M20" s="16">
        <f t="shared" si="5"/>
        <v>480</v>
      </c>
      <c r="N20" s="42">
        <v>215696</v>
      </c>
      <c r="O20" s="16">
        <f t="shared" si="6"/>
        <v>3</v>
      </c>
      <c r="P20" s="42">
        <f t="shared" si="10"/>
        <v>0</v>
      </c>
      <c r="Q20" s="16">
        <f t="shared" si="7"/>
        <v>0</v>
      </c>
      <c r="R20" s="1">
        <v>55047</v>
      </c>
      <c r="S20" s="16">
        <f t="shared" si="8"/>
        <v>0</v>
      </c>
      <c r="T20" s="42">
        <v>3704</v>
      </c>
      <c r="U20" s="16">
        <f t="shared" si="9"/>
        <v>160</v>
      </c>
    </row>
    <row r="21" spans="1:23" ht="13.5" thickBot="1" x14ac:dyDescent="0.25">
      <c r="A21" s="10">
        <v>44396</v>
      </c>
      <c r="B21" s="42">
        <v>45591</v>
      </c>
      <c r="C21" s="16">
        <f t="shared" si="0"/>
        <v>800</v>
      </c>
      <c r="D21" s="42">
        <v>39691</v>
      </c>
      <c r="E21" s="16">
        <f t="shared" si="1"/>
        <v>480</v>
      </c>
      <c r="F21" s="42">
        <v>20584</v>
      </c>
      <c r="G21" s="16">
        <f t="shared" si="2"/>
        <v>80</v>
      </c>
      <c r="H21" s="42">
        <v>245646</v>
      </c>
      <c r="I21" s="16">
        <f t="shared" si="3"/>
        <v>46</v>
      </c>
      <c r="J21" s="42">
        <v>303517</v>
      </c>
      <c r="K21" s="16">
        <f t="shared" si="4"/>
        <v>0</v>
      </c>
      <c r="L21" s="42">
        <v>25166</v>
      </c>
      <c r="M21" s="16">
        <f t="shared" si="5"/>
        <v>320</v>
      </c>
      <c r="N21" s="42">
        <v>215699</v>
      </c>
      <c r="O21" s="16">
        <f t="shared" si="6"/>
        <v>3</v>
      </c>
      <c r="P21" s="42">
        <f t="shared" si="10"/>
        <v>0</v>
      </c>
      <c r="Q21" s="16">
        <f t="shared" si="7"/>
        <v>0</v>
      </c>
      <c r="R21" s="1">
        <v>55047</v>
      </c>
      <c r="S21" s="16">
        <f t="shared" si="8"/>
        <v>0</v>
      </c>
      <c r="T21" s="42">
        <v>3705</v>
      </c>
      <c r="U21" s="16">
        <f t="shared" si="9"/>
        <v>160</v>
      </c>
    </row>
    <row r="22" spans="1:23" ht="13.5" thickBot="1" x14ac:dyDescent="0.25">
      <c r="A22" s="10">
        <v>44397</v>
      </c>
      <c r="B22" s="42">
        <v>45596</v>
      </c>
      <c r="C22" s="16">
        <f t="shared" si="0"/>
        <v>800</v>
      </c>
      <c r="D22" s="42">
        <v>39693</v>
      </c>
      <c r="E22" s="16">
        <f t="shared" si="1"/>
        <v>320</v>
      </c>
      <c r="F22" s="42">
        <v>20587</v>
      </c>
      <c r="G22" s="16">
        <f t="shared" si="2"/>
        <v>60</v>
      </c>
      <c r="H22" s="42">
        <v>245716</v>
      </c>
      <c r="I22" s="16">
        <f t="shared" si="3"/>
        <v>70</v>
      </c>
      <c r="J22" s="42">
        <v>303517</v>
      </c>
      <c r="K22" s="16">
        <f t="shared" si="4"/>
        <v>0</v>
      </c>
      <c r="L22" s="42">
        <v>25168</v>
      </c>
      <c r="M22" s="16">
        <f t="shared" si="5"/>
        <v>320</v>
      </c>
      <c r="N22" s="42">
        <v>215702</v>
      </c>
      <c r="O22" s="16">
        <f t="shared" si="6"/>
        <v>3</v>
      </c>
      <c r="P22" s="42">
        <v>113398</v>
      </c>
      <c r="Q22" s="16">
        <f>P22-P21</f>
        <v>113398</v>
      </c>
      <c r="R22" s="1">
        <v>55047</v>
      </c>
      <c r="S22" s="16">
        <f t="shared" si="8"/>
        <v>0</v>
      </c>
      <c r="T22" s="42">
        <v>3706</v>
      </c>
      <c r="U22" s="16">
        <f t="shared" si="9"/>
        <v>160</v>
      </c>
    </row>
    <row r="23" spans="1:23" ht="13.5" thickBot="1" x14ac:dyDescent="0.25">
      <c r="A23" s="10">
        <v>44398</v>
      </c>
      <c r="B23" s="42">
        <v>45601</v>
      </c>
      <c r="C23" s="16">
        <f t="shared" si="0"/>
        <v>800</v>
      </c>
      <c r="D23" s="42">
        <v>39696</v>
      </c>
      <c r="E23" s="16">
        <f t="shared" si="1"/>
        <v>480</v>
      </c>
      <c r="F23" s="42">
        <v>20591</v>
      </c>
      <c r="G23" s="16">
        <f t="shared" si="2"/>
        <v>80</v>
      </c>
      <c r="H23" s="42">
        <v>245784</v>
      </c>
      <c r="I23" s="16">
        <f t="shared" si="3"/>
        <v>68</v>
      </c>
      <c r="J23" s="42">
        <v>303517</v>
      </c>
      <c r="K23" s="16">
        <f t="shared" si="4"/>
        <v>0</v>
      </c>
      <c r="L23" s="42">
        <v>25171</v>
      </c>
      <c r="M23" s="16">
        <f t="shared" si="5"/>
        <v>480</v>
      </c>
      <c r="N23" s="42">
        <v>215705</v>
      </c>
      <c r="O23" s="16">
        <f t="shared" si="6"/>
        <v>3</v>
      </c>
      <c r="P23" s="42">
        <v>113501</v>
      </c>
      <c r="Q23" s="16">
        <f t="shared" si="7"/>
        <v>103</v>
      </c>
      <c r="R23" s="1">
        <v>55047</v>
      </c>
      <c r="S23" s="16">
        <f t="shared" si="8"/>
        <v>0</v>
      </c>
      <c r="T23" s="42">
        <f>T22</f>
        <v>3706</v>
      </c>
      <c r="U23" s="16">
        <f t="shared" si="9"/>
        <v>0</v>
      </c>
    </row>
    <row r="24" spans="1:23" s="153" customFormat="1" ht="13.5" thickBot="1" x14ac:dyDescent="0.25">
      <c r="A24" s="10">
        <v>44399</v>
      </c>
      <c r="B24" s="42">
        <v>45609</v>
      </c>
      <c r="C24" s="16">
        <f t="shared" si="0"/>
        <v>1280</v>
      </c>
      <c r="D24" s="42">
        <v>39698</v>
      </c>
      <c r="E24" s="16">
        <f t="shared" si="1"/>
        <v>320</v>
      </c>
      <c r="F24" s="42">
        <v>20594</v>
      </c>
      <c r="G24" s="16">
        <f t="shared" si="2"/>
        <v>60</v>
      </c>
      <c r="H24" s="42">
        <v>245855</v>
      </c>
      <c r="I24" s="16">
        <f t="shared" si="3"/>
        <v>71</v>
      </c>
      <c r="J24" s="42">
        <v>303517</v>
      </c>
      <c r="K24" s="16">
        <f t="shared" si="4"/>
        <v>0</v>
      </c>
      <c r="L24" s="42">
        <v>25174</v>
      </c>
      <c r="M24" s="16">
        <f t="shared" si="5"/>
        <v>480</v>
      </c>
      <c r="N24" s="42">
        <v>215708</v>
      </c>
      <c r="O24" s="16">
        <f t="shared" si="6"/>
        <v>3</v>
      </c>
      <c r="P24" s="42">
        <v>113620</v>
      </c>
      <c r="Q24" s="16">
        <f t="shared" si="7"/>
        <v>119</v>
      </c>
      <c r="R24" s="1">
        <v>55047</v>
      </c>
      <c r="S24" s="16">
        <f t="shared" si="8"/>
        <v>0</v>
      </c>
      <c r="T24" s="42">
        <v>3707</v>
      </c>
      <c r="U24" s="16">
        <f t="shared" si="9"/>
        <v>160</v>
      </c>
    </row>
    <row r="25" spans="1:23" ht="13.5" thickBot="1" x14ac:dyDescent="0.25">
      <c r="A25" s="10">
        <v>44400</v>
      </c>
      <c r="B25" s="42">
        <v>45612</v>
      </c>
      <c r="C25" s="16">
        <f t="shared" si="0"/>
        <v>480</v>
      </c>
      <c r="D25" s="42">
        <v>39701</v>
      </c>
      <c r="E25" s="16">
        <f t="shared" si="1"/>
        <v>480</v>
      </c>
      <c r="F25" s="42">
        <v>20599</v>
      </c>
      <c r="G25" s="16">
        <f t="shared" si="2"/>
        <v>100</v>
      </c>
      <c r="H25" s="42">
        <v>245904</v>
      </c>
      <c r="I25" s="16">
        <f t="shared" si="3"/>
        <v>49</v>
      </c>
      <c r="J25" s="42">
        <v>303517</v>
      </c>
      <c r="K25" s="16">
        <f t="shared" si="4"/>
        <v>0</v>
      </c>
      <c r="L25" s="42">
        <v>25177</v>
      </c>
      <c r="M25" s="16">
        <f t="shared" si="5"/>
        <v>480</v>
      </c>
      <c r="N25" s="42">
        <v>215713</v>
      </c>
      <c r="O25" s="16">
        <f t="shared" si="6"/>
        <v>5</v>
      </c>
      <c r="P25" s="42">
        <v>113730</v>
      </c>
      <c r="Q25" s="16">
        <f t="shared" si="7"/>
        <v>110</v>
      </c>
      <c r="R25" s="1">
        <v>55047</v>
      </c>
      <c r="S25" s="16">
        <f t="shared" si="8"/>
        <v>0</v>
      </c>
      <c r="T25" s="42">
        <v>3708</v>
      </c>
      <c r="U25" s="16">
        <f t="shared" si="9"/>
        <v>160</v>
      </c>
      <c r="V25" t="s">
        <v>12</v>
      </c>
    </row>
    <row r="26" spans="1:23" ht="12.75" customHeight="1" thickBot="1" x14ac:dyDescent="0.25">
      <c r="A26" s="10">
        <v>44401</v>
      </c>
      <c r="B26" s="42">
        <v>45617</v>
      </c>
      <c r="C26" s="16">
        <f t="shared" si="0"/>
        <v>800</v>
      </c>
      <c r="D26" s="42">
        <v>39703</v>
      </c>
      <c r="E26" s="16">
        <f t="shared" si="1"/>
        <v>320</v>
      </c>
      <c r="F26" s="42">
        <v>20602</v>
      </c>
      <c r="G26" s="16">
        <f t="shared" si="2"/>
        <v>60</v>
      </c>
      <c r="H26" s="42">
        <v>245946</v>
      </c>
      <c r="I26" s="16">
        <f t="shared" si="3"/>
        <v>42</v>
      </c>
      <c r="J26" s="42">
        <v>303517</v>
      </c>
      <c r="K26" s="16">
        <f t="shared" si="4"/>
        <v>0</v>
      </c>
      <c r="L26" s="42">
        <v>25180</v>
      </c>
      <c r="M26" s="16">
        <f t="shared" si="5"/>
        <v>480</v>
      </c>
      <c r="N26" s="42">
        <v>215714</v>
      </c>
      <c r="O26" s="16">
        <f t="shared" si="6"/>
        <v>1</v>
      </c>
      <c r="P26" s="42">
        <v>113851</v>
      </c>
      <c r="Q26" s="16">
        <f t="shared" si="7"/>
        <v>121</v>
      </c>
      <c r="R26" s="1">
        <v>55047</v>
      </c>
      <c r="S26" s="16">
        <f t="shared" si="8"/>
        <v>0</v>
      </c>
      <c r="T26" s="42">
        <v>3709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44402</v>
      </c>
      <c r="B27" s="42">
        <v>45623</v>
      </c>
      <c r="C27" s="16">
        <f t="shared" si="0"/>
        <v>960</v>
      </c>
      <c r="D27" s="42">
        <v>39706</v>
      </c>
      <c r="E27" s="16">
        <f t="shared" si="1"/>
        <v>480</v>
      </c>
      <c r="F27" s="42">
        <v>20605</v>
      </c>
      <c r="G27" s="16">
        <f t="shared" si="2"/>
        <v>60</v>
      </c>
      <c r="H27" s="42">
        <v>246018</v>
      </c>
      <c r="I27" s="16">
        <f t="shared" si="3"/>
        <v>72</v>
      </c>
      <c r="J27" s="42">
        <v>303517</v>
      </c>
      <c r="K27" s="16">
        <f t="shared" si="4"/>
        <v>0</v>
      </c>
      <c r="L27" s="42">
        <v>25184</v>
      </c>
      <c r="M27" s="16">
        <f t="shared" si="5"/>
        <v>640</v>
      </c>
      <c r="N27" s="42">
        <v>215718</v>
      </c>
      <c r="O27" s="16">
        <f t="shared" si="6"/>
        <v>4</v>
      </c>
      <c r="P27" s="42"/>
      <c r="Q27" s="16">
        <f t="shared" si="7"/>
        <v>-113851</v>
      </c>
      <c r="R27" s="1">
        <v>55047</v>
      </c>
      <c r="S27" s="16">
        <f t="shared" si="8"/>
        <v>0</v>
      </c>
      <c r="T27" s="42">
        <v>3711</v>
      </c>
      <c r="U27" s="16">
        <f t="shared" si="9"/>
        <v>320</v>
      </c>
    </row>
    <row r="28" spans="1:23" ht="13.5" thickBot="1" x14ac:dyDescent="0.25">
      <c r="A28" s="10">
        <v>44403</v>
      </c>
      <c r="B28" s="42">
        <f t="shared" ref="B27:B33" si="11">B27</f>
        <v>45623</v>
      </c>
      <c r="C28" s="16">
        <f t="shared" si="0"/>
        <v>0</v>
      </c>
      <c r="D28" s="42">
        <f t="shared" ref="D27:D33" si="12">D27</f>
        <v>39706</v>
      </c>
      <c r="E28" s="16">
        <f t="shared" si="1"/>
        <v>0</v>
      </c>
      <c r="F28" s="42">
        <f t="shared" ref="F27:F33" si="13">F27</f>
        <v>20605</v>
      </c>
      <c r="G28" s="16">
        <f t="shared" si="2"/>
        <v>0</v>
      </c>
      <c r="H28" s="42">
        <f t="shared" ref="H27:H33" si="14">H27</f>
        <v>246018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ref="L27:L33" si="15">L27</f>
        <v>25184</v>
      </c>
      <c r="M28" s="16">
        <f t="shared" si="5"/>
        <v>0</v>
      </c>
      <c r="N28" s="42">
        <f t="shared" ref="N27:N33" si="16">N27</f>
        <v>215718</v>
      </c>
      <c r="O28" s="16">
        <f t="shared" si="6"/>
        <v>0</v>
      </c>
      <c r="P28" s="42">
        <f t="shared" si="10"/>
        <v>0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ref="T27:T33" si="17">T27</f>
        <v>3711</v>
      </c>
      <c r="U28" s="16">
        <f t="shared" si="9"/>
        <v>0</v>
      </c>
    </row>
    <row r="29" spans="1:23" ht="13.5" thickBot="1" x14ac:dyDescent="0.25">
      <c r="A29" s="10">
        <v>44404</v>
      </c>
      <c r="B29" s="42">
        <f t="shared" si="11"/>
        <v>45623</v>
      </c>
      <c r="C29" s="16">
        <f t="shared" si="0"/>
        <v>0</v>
      </c>
      <c r="D29" s="42">
        <f t="shared" si="12"/>
        <v>39706</v>
      </c>
      <c r="E29" s="16">
        <f t="shared" si="1"/>
        <v>0</v>
      </c>
      <c r="F29" s="42">
        <f t="shared" si="13"/>
        <v>20605</v>
      </c>
      <c r="G29" s="16">
        <f t="shared" si="2"/>
        <v>0</v>
      </c>
      <c r="H29" s="42">
        <f t="shared" si="14"/>
        <v>246018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25184</v>
      </c>
      <c r="M29" s="16">
        <f t="shared" si="5"/>
        <v>0</v>
      </c>
      <c r="N29" s="42">
        <f t="shared" si="16"/>
        <v>215718</v>
      </c>
      <c r="O29" s="16">
        <f t="shared" si="6"/>
        <v>0</v>
      </c>
      <c r="P29" s="42">
        <f t="shared" si="10"/>
        <v>0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3711</v>
      </c>
      <c r="U29" s="16">
        <f t="shared" si="9"/>
        <v>0</v>
      </c>
    </row>
    <row r="30" spans="1:23" ht="13.5" thickBot="1" x14ac:dyDescent="0.25">
      <c r="A30" s="10">
        <v>44405</v>
      </c>
      <c r="B30" s="42">
        <f t="shared" si="11"/>
        <v>45623</v>
      </c>
      <c r="C30" s="16">
        <f t="shared" si="0"/>
        <v>0</v>
      </c>
      <c r="D30" s="42">
        <f t="shared" si="12"/>
        <v>39706</v>
      </c>
      <c r="E30" s="16">
        <f t="shared" si="1"/>
        <v>0</v>
      </c>
      <c r="F30" s="42">
        <f t="shared" si="13"/>
        <v>20605</v>
      </c>
      <c r="G30" s="16">
        <f t="shared" si="2"/>
        <v>0</v>
      </c>
      <c r="H30" s="42">
        <f t="shared" si="14"/>
        <v>246018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25184</v>
      </c>
      <c r="M30" s="16">
        <f t="shared" si="5"/>
        <v>0</v>
      </c>
      <c r="N30" s="42">
        <f t="shared" si="16"/>
        <v>215718</v>
      </c>
      <c r="O30" s="16">
        <f t="shared" si="6"/>
        <v>0</v>
      </c>
      <c r="P30" s="42">
        <f t="shared" si="10"/>
        <v>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3711</v>
      </c>
      <c r="U30" s="16">
        <f t="shared" si="9"/>
        <v>0</v>
      </c>
    </row>
    <row r="31" spans="1:23" ht="13.5" thickBot="1" x14ac:dyDescent="0.25">
      <c r="A31" s="10">
        <v>44406</v>
      </c>
      <c r="B31" s="42">
        <f t="shared" si="11"/>
        <v>45623</v>
      </c>
      <c r="C31" s="16">
        <f t="shared" si="0"/>
        <v>0</v>
      </c>
      <c r="D31" s="42">
        <f t="shared" si="12"/>
        <v>39706</v>
      </c>
      <c r="E31" s="16">
        <f t="shared" si="1"/>
        <v>0</v>
      </c>
      <c r="F31" s="42">
        <f t="shared" si="13"/>
        <v>20605</v>
      </c>
      <c r="G31" s="16">
        <f t="shared" si="2"/>
        <v>0</v>
      </c>
      <c r="H31" s="42">
        <f t="shared" si="14"/>
        <v>246018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25184</v>
      </c>
      <c r="M31" s="16">
        <f t="shared" si="5"/>
        <v>0</v>
      </c>
      <c r="N31" s="42">
        <f t="shared" si="16"/>
        <v>215718</v>
      </c>
      <c r="O31" s="16">
        <f t="shared" si="6"/>
        <v>0</v>
      </c>
      <c r="P31" s="42">
        <f t="shared" si="10"/>
        <v>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3711</v>
      </c>
      <c r="U31" s="16">
        <f t="shared" si="9"/>
        <v>0</v>
      </c>
    </row>
    <row r="32" spans="1:23" ht="15" customHeight="1" thickBot="1" x14ac:dyDescent="0.25">
      <c r="A32" s="10">
        <v>44407</v>
      </c>
      <c r="B32" s="42">
        <f t="shared" si="11"/>
        <v>45623</v>
      </c>
      <c r="C32" s="16">
        <f t="shared" si="0"/>
        <v>0</v>
      </c>
      <c r="D32" s="42">
        <f t="shared" si="12"/>
        <v>39706</v>
      </c>
      <c r="E32" s="16">
        <f t="shared" si="1"/>
        <v>0</v>
      </c>
      <c r="F32" s="42">
        <f t="shared" si="13"/>
        <v>20605</v>
      </c>
      <c r="G32" s="16">
        <f t="shared" si="2"/>
        <v>0</v>
      </c>
      <c r="H32" s="42">
        <f t="shared" si="14"/>
        <v>246018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25184</v>
      </c>
      <c r="M32" s="16">
        <f t="shared" si="5"/>
        <v>0</v>
      </c>
      <c r="N32" s="42">
        <f t="shared" si="16"/>
        <v>215718</v>
      </c>
      <c r="O32" s="16">
        <f t="shared" si="6"/>
        <v>0</v>
      </c>
      <c r="P32" s="42">
        <f t="shared" si="10"/>
        <v>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3711</v>
      </c>
      <c r="U32" s="16">
        <f t="shared" si="9"/>
        <v>0</v>
      </c>
      <c r="V32" t="s">
        <v>12</v>
      </c>
    </row>
    <row r="33" spans="1:21" ht="13.5" thickBot="1" x14ac:dyDescent="0.25">
      <c r="A33" s="10">
        <v>44408</v>
      </c>
      <c r="B33" s="42">
        <f t="shared" si="11"/>
        <v>45623</v>
      </c>
      <c r="C33" s="16">
        <f t="shared" si="0"/>
        <v>0</v>
      </c>
      <c r="D33" s="42">
        <f t="shared" si="12"/>
        <v>39706</v>
      </c>
      <c r="E33" s="16">
        <f t="shared" si="1"/>
        <v>0</v>
      </c>
      <c r="F33" s="42">
        <f t="shared" si="13"/>
        <v>20605</v>
      </c>
      <c r="G33" s="16">
        <f t="shared" si="2"/>
        <v>0</v>
      </c>
      <c r="H33" s="42">
        <f t="shared" si="14"/>
        <v>246018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25184</v>
      </c>
      <c r="M33" s="16">
        <f t="shared" si="5"/>
        <v>0</v>
      </c>
      <c r="N33" s="42">
        <f t="shared" si="16"/>
        <v>215718</v>
      </c>
      <c r="O33" s="16">
        <f t="shared" si="6"/>
        <v>0</v>
      </c>
      <c r="P33" s="42">
        <f t="shared" si="10"/>
        <v>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3711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22080</v>
      </c>
      <c r="D34" s="13"/>
      <c r="E34" s="11">
        <f>SUM(E3:E33)</f>
        <v>10880</v>
      </c>
      <c r="F34" s="13"/>
      <c r="G34" s="11">
        <f>SUM(G3:G33)</f>
        <v>1760</v>
      </c>
      <c r="H34" s="13"/>
      <c r="I34" s="11">
        <f>SUM(I3:I33)</f>
        <v>1446</v>
      </c>
      <c r="J34" s="13"/>
      <c r="K34" s="11">
        <f>SUM(K3:K33)</f>
        <v>0</v>
      </c>
      <c r="L34" s="13"/>
      <c r="M34" s="11">
        <f>SUM(M3:M33)</f>
        <v>13920</v>
      </c>
      <c r="N34" s="43"/>
      <c r="O34" s="11">
        <f>SUM(O3:O33)</f>
        <v>79</v>
      </c>
      <c r="P34" s="13"/>
      <c r="Q34" s="11">
        <f>SUM(Q3:Q33)</f>
        <v>-110495</v>
      </c>
      <c r="R34" s="1"/>
      <c r="S34" s="11">
        <f>SUM(S3:S33)</f>
        <v>0</v>
      </c>
      <c r="T34" s="1"/>
      <c r="U34" s="11">
        <f>SUM(U3:U33)</f>
        <v>4320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pane ySplit="1" topLeftCell="A14" activePane="bottomLeft" state="frozen"/>
      <selection pane="bottomLeft" activeCell="B26" sqref="B26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44377</v>
      </c>
      <c r="B2" s="49"/>
      <c r="C2" s="161">
        <v>18384</v>
      </c>
      <c r="D2" s="49"/>
      <c r="E2" s="137">
        <v>26610613</v>
      </c>
      <c r="F2" s="49"/>
      <c r="G2" s="141">
        <v>84264575</v>
      </c>
      <c r="H2" s="49"/>
      <c r="I2" s="28">
        <f>F2+H2</f>
        <v>0</v>
      </c>
      <c r="J2" s="137">
        <v>8265059</v>
      </c>
      <c r="K2" s="49"/>
      <c r="L2" s="139">
        <v>8234029</v>
      </c>
      <c r="M2" s="49"/>
      <c r="N2" s="137">
        <v>5362491</v>
      </c>
      <c r="O2" s="49"/>
      <c r="P2" s="139">
        <v>3873285</v>
      </c>
      <c r="Q2" s="49"/>
      <c r="R2" s="137">
        <v>17852083</v>
      </c>
      <c r="S2" s="49"/>
      <c r="T2" s="137"/>
      <c r="U2" s="29"/>
      <c r="V2" s="137">
        <v>5557238</v>
      </c>
      <c r="W2" s="49"/>
      <c r="X2" s="28"/>
      <c r="Y2" s="35"/>
      <c r="Z2" s="27"/>
      <c r="AA2" s="27"/>
    </row>
    <row r="3" spans="1:27" ht="16.5" thickBot="1" x14ac:dyDescent="0.25">
      <c r="A3" s="10">
        <v>44378</v>
      </c>
      <c r="B3" s="49">
        <v>165</v>
      </c>
      <c r="C3" s="161">
        <v>18388</v>
      </c>
      <c r="D3" s="49">
        <f t="shared" ref="D3" si="0">IF((C3-C2)&lt;0,"0",(C3-C2))*160</f>
        <v>640</v>
      </c>
      <c r="E3" s="137">
        <v>26632370</v>
      </c>
      <c r="F3" s="49">
        <f t="shared" ref="F3" si="1">IF((E3-E2)&lt;0,"0",(E3-E2))</f>
        <v>21757</v>
      </c>
      <c r="G3" s="141">
        <v>84337744</v>
      </c>
      <c r="H3" s="49">
        <f t="shared" ref="H3" si="2">IF((G3-G2)&lt;0,"0",(G3-G2))</f>
        <v>73169</v>
      </c>
      <c r="I3" s="28">
        <f>F3+H3</f>
        <v>94926</v>
      </c>
      <c r="J3" s="137">
        <v>8271749</v>
      </c>
      <c r="K3" s="49">
        <f t="shared" ref="K3" si="3">IF((J3-J2)&lt;0,"0",(J3-J2))</f>
        <v>6690</v>
      </c>
      <c r="L3" s="139">
        <v>8240103</v>
      </c>
      <c r="M3" s="49">
        <f t="shared" ref="M3" si="4">IF((L3-L2)&lt;0,"0",(L3-L2))</f>
        <v>6074</v>
      </c>
      <c r="N3" s="137">
        <v>5367723</v>
      </c>
      <c r="O3" s="49">
        <f>(IF((N3-N2)&lt;P94,"0",(N3-N2)))*2</f>
        <v>10464</v>
      </c>
      <c r="P3" s="139">
        <v>3894560</v>
      </c>
      <c r="Q3" s="49">
        <f t="shared" ref="Q3" si="5">IF((P3-P2)&lt;0,"0",(P3-P2))</f>
        <v>21275</v>
      </c>
      <c r="R3" s="137">
        <v>17865671</v>
      </c>
      <c r="S3" s="49">
        <f t="shared" ref="S3" si="6">IF((R3-R2)&lt;0,"0",(R3-R2))</f>
        <v>13588</v>
      </c>
      <c r="T3" s="137">
        <v>0</v>
      </c>
      <c r="U3" s="140"/>
      <c r="V3" s="137">
        <v>5571768</v>
      </c>
      <c r="W3" s="49">
        <f t="shared" ref="W3" si="7">IF((V3-V2)&lt;0,"0",(V3-V2))</f>
        <v>14530</v>
      </c>
      <c r="X3" s="28">
        <f t="shared" ref="X3" si="8">K3+M3+O3+Q3+S3+U3+W3</f>
        <v>72621</v>
      </c>
      <c r="Y3" s="35">
        <f t="shared" ref="Y3" si="9">I3-X3</f>
        <v>22305</v>
      </c>
      <c r="Z3" s="27">
        <f t="shared" ref="Z3" si="10">(0.93352*(W3+S3)+0.5568*(Q3+O3))*0.26</f>
        <v>11419.457545600002</v>
      </c>
      <c r="AA3" s="27">
        <f>SUM(Z1:Z3)</f>
        <v>11419.457545600002</v>
      </c>
    </row>
    <row r="4" spans="1:27" ht="16.5" thickBot="1" x14ac:dyDescent="0.25">
      <c r="A4" s="10">
        <v>44379</v>
      </c>
      <c r="B4" s="49">
        <v>176</v>
      </c>
      <c r="C4" s="161">
        <v>18393</v>
      </c>
      <c r="D4" s="49">
        <f t="shared" ref="D4:D33" si="11">IF((C4-C3)&lt;0,"0",(C4-C3))*160</f>
        <v>800</v>
      </c>
      <c r="E4" s="137">
        <v>26639566</v>
      </c>
      <c r="F4" s="49">
        <f t="shared" ref="F4:F33" si="12">IF((E4-E3)&lt;0,"0",(E4-E3))</f>
        <v>7196</v>
      </c>
      <c r="G4" s="141">
        <v>84390366</v>
      </c>
      <c r="H4" s="49">
        <f t="shared" ref="H4:H33" si="13">IF((G4-G3)&lt;0,"0",(G4-G3))</f>
        <v>52622</v>
      </c>
      <c r="I4" s="138">
        <f t="shared" ref="I4:I30" si="14">F4+H4</f>
        <v>59818</v>
      </c>
      <c r="J4" s="137">
        <v>8276146</v>
      </c>
      <c r="K4" s="49">
        <f t="shared" ref="K4:K33" si="15">IF((J4-J3)&lt;0,"0",(J4-J3))</f>
        <v>4397</v>
      </c>
      <c r="L4" s="139">
        <v>8243970</v>
      </c>
      <c r="M4" s="49">
        <f t="shared" ref="M4:M33" si="16">IF((L4-L3)&lt;0,"0",(L4-L3))</f>
        <v>3867</v>
      </c>
      <c r="N4" s="137">
        <v>5369320</v>
      </c>
      <c r="O4" s="49">
        <f>(IF((N4-N3)&lt;P96,"0",(N4-N3)))*2</f>
        <v>3194</v>
      </c>
      <c r="P4" s="139">
        <v>3913180</v>
      </c>
      <c r="Q4" s="49">
        <f t="shared" ref="Q4:Q33" si="17">IF((P4-P3)&lt;0,"0",(P4-P3))</f>
        <v>18620</v>
      </c>
      <c r="R4" s="137">
        <v>17874623</v>
      </c>
      <c r="S4" s="49">
        <f t="shared" ref="S4:S33" si="18">IF((R4-R3)&lt;0,"0",(R4-R3))</f>
        <v>8952</v>
      </c>
      <c r="T4" s="137">
        <v>0</v>
      </c>
      <c r="U4" s="140"/>
      <c r="V4" s="137">
        <v>5581395</v>
      </c>
      <c r="W4" s="49">
        <f t="shared" ref="W4:W33" si="19">IF((V4-V3)&lt;0,"0",(V4-V3))</f>
        <v>9627</v>
      </c>
      <c r="X4" s="28">
        <f t="shared" ref="X4:X33" si="20">K4+M4+O4+Q4+S4+U4+W4</f>
        <v>48657</v>
      </c>
      <c r="Y4" s="35">
        <f t="shared" ref="Y4:Y33" si="21">I4-X4</f>
        <v>11161</v>
      </c>
      <c r="Z4" s="27">
        <f t="shared" ref="Z4:Z33" si="22">(0.93352*(W4+S4)+0.5568*(Q4+O4))*0.26</f>
        <v>7667.3748527999996</v>
      </c>
      <c r="AA4" s="27">
        <f>SUM(Z2:Z4)</f>
        <v>19086.832398400002</v>
      </c>
    </row>
    <row r="5" spans="1:27" ht="16.5" thickBot="1" x14ac:dyDescent="0.25">
      <c r="A5" s="10">
        <v>44380</v>
      </c>
      <c r="B5" s="49">
        <v>167</v>
      </c>
      <c r="C5" s="161">
        <v>18397</v>
      </c>
      <c r="D5" s="49">
        <f t="shared" si="11"/>
        <v>640</v>
      </c>
      <c r="E5" s="137">
        <v>26647395</v>
      </c>
      <c r="F5" s="49">
        <f t="shared" si="12"/>
        <v>7829</v>
      </c>
      <c r="G5" s="141">
        <v>84448609</v>
      </c>
      <c r="H5" s="49">
        <f t="shared" si="13"/>
        <v>58243</v>
      </c>
      <c r="I5" s="138">
        <f t="shared" si="14"/>
        <v>66072</v>
      </c>
      <c r="J5" s="137">
        <v>8281309</v>
      </c>
      <c r="K5" s="49">
        <f t="shared" si="15"/>
        <v>5163</v>
      </c>
      <c r="L5" s="139">
        <v>8248166</v>
      </c>
      <c r="M5" s="49">
        <f t="shared" si="16"/>
        <v>4196</v>
      </c>
      <c r="N5" s="137">
        <v>5371081</v>
      </c>
      <c r="O5" s="49">
        <f t="shared" ref="O5:O33" si="23">(IF((N5-N4)&lt;0,"0",(N5-N4)))*2</f>
        <v>3522</v>
      </c>
      <c r="P5" s="139">
        <v>3933979</v>
      </c>
      <c r="Q5" s="49">
        <f t="shared" si="17"/>
        <v>20799</v>
      </c>
      <c r="R5" s="137">
        <v>17884633</v>
      </c>
      <c r="S5" s="49">
        <f t="shared" si="18"/>
        <v>10010</v>
      </c>
      <c r="T5" s="137">
        <v>0</v>
      </c>
      <c r="U5" s="140"/>
      <c r="V5" s="137">
        <v>5592147</v>
      </c>
      <c r="W5" s="49">
        <f t="shared" si="19"/>
        <v>10752</v>
      </c>
      <c r="X5" s="28">
        <f t="shared" si="20"/>
        <v>54442</v>
      </c>
      <c r="Y5" s="35">
        <f t="shared" si="21"/>
        <v>11630</v>
      </c>
      <c r="Z5" s="27">
        <f t="shared" si="22"/>
        <v>8560.1555103999999</v>
      </c>
      <c r="AA5" s="27">
        <f>SUM(Z3:Z5)</f>
        <v>27646.987908800002</v>
      </c>
    </row>
    <row r="6" spans="1:27" ht="16.5" thickBot="1" x14ac:dyDescent="0.25">
      <c r="A6" s="10">
        <v>44381</v>
      </c>
      <c r="B6" s="49">
        <v>187</v>
      </c>
      <c r="C6" s="161">
        <v>18404</v>
      </c>
      <c r="D6" s="49">
        <f t="shared" si="11"/>
        <v>1120</v>
      </c>
      <c r="E6" s="137">
        <v>26656660</v>
      </c>
      <c r="F6" s="49">
        <f t="shared" si="12"/>
        <v>9265</v>
      </c>
      <c r="G6" s="141">
        <v>84519481</v>
      </c>
      <c r="H6" s="49">
        <f t="shared" si="13"/>
        <v>70872</v>
      </c>
      <c r="I6" s="138">
        <f t="shared" si="14"/>
        <v>80137</v>
      </c>
      <c r="J6" s="137">
        <v>8287997</v>
      </c>
      <c r="K6" s="49">
        <f t="shared" si="15"/>
        <v>6688</v>
      </c>
      <c r="L6" s="139">
        <v>8253498</v>
      </c>
      <c r="M6" s="49">
        <f t="shared" si="16"/>
        <v>5332</v>
      </c>
      <c r="N6" s="137">
        <v>5372969</v>
      </c>
      <c r="O6" s="49">
        <f t="shared" si="23"/>
        <v>3776</v>
      </c>
      <c r="P6" s="139">
        <v>3958660</v>
      </c>
      <c r="Q6" s="49">
        <f t="shared" si="17"/>
        <v>24681</v>
      </c>
      <c r="R6" s="137">
        <v>17896382</v>
      </c>
      <c r="S6" s="49">
        <f t="shared" si="18"/>
        <v>11749</v>
      </c>
      <c r="T6" s="137">
        <v>0</v>
      </c>
      <c r="U6" s="140"/>
      <c r="V6" s="137">
        <v>5605162</v>
      </c>
      <c r="W6" s="49">
        <f t="shared" si="19"/>
        <v>13015</v>
      </c>
      <c r="X6" s="28">
        <f t="shared" si="20"/>
        <v>65241</v>
      </c>
      <c r="Y6" s="35">
        <f t="shared" si="21"/>
        <v>14896</v>
      </c>
      <c r="Z6" s="27">
        <f t="shared" si="22"/>
        <v>10130.262188799999</v>
      </c>
      <c r="AA6" s="27">
        <f>SUM(Z4:Z6)</f>
        <v>26357.792551999999</v>
      </c>
    </row>
    <row r="7" spans="1:27" ht="16.5" thickBot="1" x14ac:dyDescent="0.25">
      <c r="A7" s="10">
        <v>44382</v>
      </c>
      <c r="B7" s="49">
        <v>172</v>
      </c>
      <c r="C7" s="161">
        <v>18409</v>
      </c>
      <c r="D7" s="49">
        <f t="shared" si="11"/>
        <v>800</v>
      </c>
      <c r="E7" s="137">
        <v>26665942</v>
      </c>
      <c r="F7" s="49">
        <f t="shared" si="12"/>
        <v>9282</v>
      </c>
      <c r="G7" s="141">
        <v>84584672</v>
      </c>
      <c r="H7" s="49">
        <f t="shared" si="13"/>
        <v>65191</v>
      </c>
      <c r="I7" s="138">
        <f t="shared" si="14"/>
        <v>74473</v>
      </c>
      <c r="J7" s="137">
        <v>8293991</v>
      </c>
      <c r="K7" s="49">
        <f t="shared" si="15"/>
        <v>5994</v>
      </c>
      <c r="L7" s="139">
        <v>8258904</v>
      </c>
      <c r="M7" s="49">
        <f t="shared" si="16"/>
        <v>5406</v>
      </c>
      <c r="N7" s="137">
        <v>5374837</v>
      </c>
      <c r="O7" s="49">
        <f t="shared" si="23"/>
        <v>3736</v>
      </c>
      <c r="P7" s="139">
        <v>3981808</v>
      </c>
      <c r="Q7" s="49">
        <f t="shared" si="17"/>
        <v>23148</v>
      </c>
      <c r="R7" s="137">
        <v>17906665</v>
      </c>
      <c r="S7" s="49">
        <f t="shared" si="18"/>
        <v>10283</v>
      </c>
      <c r="T7" s="137">
        <v>0</v>
      </c>
      <c r="U7" s="140"/>
      <c r="V7" s="137">
        <v>5617381</v>
      </c>
      <c r="W7" s="49">
        <f t="shared" si="19"/>
        <v>12219</v>
      </c>
      <c r="X7" s="28">
        <f t="shared" si="20"/>
        <v>60786</v>
      </c>
      <c r="Y7" s="35">
        <f t="shared" si="21"/>
        <v>13687</v>
      </c>
      <c r="Z7" s="27">
        <f t="shared" si="22"/>
        <v>9353.520342400001</v>
      </c>
      <c r="AA7" s="27">
        <f t="shared" ref="AA7:AA33" si="24">SUM(Z4:Z7)</f>
        <v>35711.312894399998</v>
      </c>
    </row>
    <row r="8" spans="1:27" ht="16.5" thickBot="1" x14ac:dyDescent="0.25">
      <c r="A8" s="10">
        <v>44383</v>
      </c>
      <c r="B8" s="49">
        <v>176</v>
      </c>
      <c r="C8" s="161">
        <v>18413</v>
      </c>
      <c r="D8" s="49">
        <f t="shared" si="11"/>
        <v>640</v>
      </c>
      <c r="E8" s="137">
        <v>26675343</v>
      </c>
      <c r="F8" s="49">
        <f t="shared" si="12"/>
        <v>9401</v>
      </c>
      <c r="G8" s="141">
        <v>84647451</v>
      </c>
      <c r="H8" s="49">
        <f t="shared" si="13"/>
        <v>62779</v>
      </c>
      <c r="I8" s="138">
        <f t="shared" si="14"/>
        <v>72180</v>
      </c>
      <c r="J8" s="137">
        <v>8299921</v>
      </c>
      <c r="K8" s="49">
        <f t="shared" si="15"/>
        <v>5930</v>
      </c>
      <c r="L8" s="139">
        <v>8263881</v>
      </c>
      <c r="M8" s="49">
        <f t="shared" si="16"/>
        <v>4977</v>
      </c>
      <c r="N8" s="137">
        <v>5376976</v>
      </c>
      <c r="O8" s="49">
        <f t="shared" si="23"/>
        <v>4278</v>
      </c>
      <c r="P8" s="139">
        <v>4003382</v>
      </c>
      <c r="Q8" s="49">
        <f t="shared" si="17"/>
        <v>21574</v>
      </c>
      <c r="R8" s="137">
        <v>17917120</v>
      </c>
      <c r="S8" s="49">
        <f t="shared" si="18"/>
        <v>10455</v>
      </c>
      <c r="T8" s="137">
        <v>0</v>
      </c>
      <c r="U8" s="140"/>
      <c r="V8" s="137">
        <v>5629115</v>
      </c>
      <c r="W8" s="49">
        <f t="shared" si="19"/>
        <v>11734</v>
      </c>
      <c r="X8" s="28">
        <f t="shared" si="20"/>
        <v>58948</v>
      </c>
      <c r="Y8" s="35">
        <f t="shared" si="21"/>
        <v>13232</v>
      </c>
      <c r="Z8" s="27">
        <f t="shared" si="22"/>
        <v>9128.1499088000019</v>
      </c>
      <c r="AA8" s="27">
        <f t="shared" si="24"/>
        <v>37172.087950400004</v>
      </c>
    </row>
    <row r="9" spans="1:27" ht="16.5" thickBot="1" x14ac:dyDescent="0.25">
      <c r="A9" s="10">
        <v>44384</v>
      </c>
      <c r="B9" s="49">
        <v>182</v>
      </c>
      <c r="C9" s="161">
        <v>18417</v>
      </c>
      <c r="D9" s="49">
        <f t="shared" si="11"/>
        <v>640</v>
      </c>
      <c r="E9" s="137">
        <v>26686253</v>
      </c>
      <c r="F9" s="49">
        <f t="shared" si="12"/>
        <v>10910</v>
      </c>
      <c r="G9" s="141">
        <v>84686786</v>
      </c>
      <c r="H9" s="49">
        <f t="shared" si="13"/>
        <v>39335</v>
      </c>
      <c r="I9" s="138">
        <f t="shared" si="14"/>
        <v>50245</v>
      </c>
      <c r="J9" s="137">
        <v>8304325</v>
      </c>
      <c r="K9" s="49">
        <f t="shared" si="15"/>
        <v>4404</v>
      </c>
      <c r="L9" s="139">
        <v>8267620</v>
      </c>
      <c r="M9" s="49">
        <f t="shared" si="16"/>
        <v>3739</v>
      </c>
      <c r="N9" s="137">
        <v>5380640</v>
      </c>
      <c r="O9" s="49">
        <f t="shared" si="23"/>
        <v>7328</v>
      </c>
      <c r="P9" s="139">
        <v>4013216</v>
      </c>
      <c r="Q9" s="49">
        <f t="shared" si="17"/>
        <v>9834</v>
      </c>
      <c r="R9" s="137">
        <v>17924536</v>
      </c>
      <c r="S9" s="49">
        <f t="shared" si="18"/>
        <v>7416</v>
      </c>
      <c r="T9" s="137">
        <v>0</v>
      </c>
      <c r="U9" s="140"/>
      <c r="V9" s="137">
        <v>5637493</v>
      </c>
      <c r="W9" s="49">
        <f t="shared" si="19"/>
        <v>8378</v>
      </c>
      <c r="X9" s="28">
        <f t="shared" si="20"/>
        <v>41099</v>
      </c>
      <c r="Y9" s="35">
        <f t="shared" si="21"/>
        <v>9146</v>
      </c>
      <c r="Z9" s="27">
        <f t="shared" si="22"/>
        <v>6317.9522848000006</v>
      </c>
      <c r="AA9" s="27">
        <f t="shared" si="24"/>
        <v>34929.884724800002</v>
      </c>
    </row>
    <row r="10" spans="1:27" ht="16.5" thickBot="1" x14ac:dyDescent="0.25">
      <c r="A10" s="10">
        <v>44385</v>
      </c>
      <c r="B10" s="49">
        <v>180</v>
      </c>
      <c r="C10" s="161">
        <v>18422</v>
      </c>
      <c r="D10" s="49">
        <f t="shared" si="11"/>
        <v>800</v>
      </c>
      <c r="E10" s="137">
        <v>26705269</v>
      </c>
      <c r="F10" s="49">
        <f t="shared" si="12"/>
        <v>19016</v>
      </c>
      <c r="G10" s="141">
        <v>84755871</v>
      </c>
      <c r="H10" s="49">
        <f t="shared" si="13"/>
        <v>69085</v>
      </c>
      <c r="I10" s="138">
        <f t="shared" si="14"/>
        <v>88101</v>
      </c>
      <c r="J10" s="137">
        <v>8312092</v>
      </c>
      <c r="K10" s="49">
        <f t="shared" si="15"/>
        <v>7767</v>
      </c>
      <c r="L10" s="139">
        <v>8273279</v>
      </c>
      <c r="M10" s="49">
        <f t="shared" si="16"/>
        <v>5659</v>
      </c>
      <c r="N10" s="137">
        <v>5387052</v>
      </c>
      <c r="O10" s="49">
        <f t="shared" si="23"/>
        <v>12824</v>
      </c>
      <c r="P10" s="139">
        <v>4030458</v>
      </c>
      <c r="Q10" s="49">
        <f t="shared" si="17"/>
        <v>17242</v>
      </c>
      <c r="R10" s="137">
        <v>17937798</v>
      </c>
      <c r="S10" s="49">
        <f t="shared" si="18"/>
        <v>13262</v>
      </c>
      <c r="T10" s="137">
        <v>0</v>
      </c>
      <c r="U10" s="140"/>
      <c r="V10" s="137">
        <v>5652028</v>
      </c>
      <c r="W10" s="49">
        <f t="shared" si="19"/>
        <v>14535</v>
      </c>
      <c r="X10" s="28">
        <f t="shared" si="20"/>
        <v>71289</v>
      </c>
      <c r="Y10" s="35">
        <f t="shared" si="21"/>
        <v>16812</v>
      </c>
      <c r="Z10" s="27">
        <f t="shared" si="22"/>
        <v>11099.3491024</v>
      </c>
      <c r="AA10" s="27">
        <f t="shared" si="24"/>
        <v>35898.971638400006</v>
      </c>
    </row>
    <row r="11" spans="1:27" ht="15.75" customHeight="1" thickBot="1" x14ac:dyDescent="0.25">
      <c r="A11" s="10">
        <v>44386</v>
      </c>
      <c r="B11" s="49">
        <v>189</v>
      </c>
      <c r="C11" s="161">
        <v>18426</v>
      </c>
      <c r="D11" s="49">
        <f t="shared" si="11"/>
        <v>640</v>
      </c>
      <c r="E11" s="137">
        <v>26720252</v>
      </c>
      <c r="F11" s="49">
        <f t="shared" si="12"/>
        <v>14983</v>
      </c>
      <c r="G11" s="141">
        <v>84806995</v>
      </c>
      <c r="H11" s="49">
        <f t="shared" si="13"/>
        <v>51124</v>
      </c>
      <c r="I11" s="138">
        <f t="shared" si="14"/>
        <v>66107</v>
      </c>
      <c r="J11" s="137">
        <v>8317492</v>
      </c>
      <c r="K11" s="49">
        <f t="shared" si="15"/>
        <v>5400</v>
      </c>
      <c r="L11" s="139">
        <v>8277752</v>
      </c>
      <c r="M11" s="49">
        <f t="shared" si="16"/>
        <v>4473</v>
      </c>
      <c r="N11" s="137">
        <v>5392220</v>
      </c>
      <c r="O11" s="49">
        <f t="shared" si="23"/>
        <v>10336</v>
      </c>
      <c r="P11" s="139">
        <v>4043094</v>
      </c>
      <c r="Q11" s="49">
        <f t="shared" si="17"/>
        <v>12636</v>
      </c>
      <c r="R11" s="137">
        <v>17547941</v>
      </c>
      <c r="S11" s="49" t="str">
        <f t="shared" si="18"/>
        <v>0</v>
      </c>
      <c r="T11" s="137">
        <v>0</v>
      </c>
      <c r="U11" s="140"/>
      <c r="V11" s="137">
        <v>5662956</v>
      </c>
      <c r="W11" s="49">
        <f t="shared" si="19"/>
        <v>10928</v>
      </c>
      <c r="X11" s="28">
        <f t="shared" si="20"/>
        <v>43773</v>
      </c>
      <c r="Y11" s="35">
        <f t="shared" si="21"/>
        <v>22334</v>
      </c>
      <c r="Z11" s="27">
        <f t="shared" si="22"/>
        <v>5978.0022016000003</v>
      </c>
      <c r="AA11" s="27">
        <f t="shared" si="24"/>
        <v>32523.453497600003</v>
      </c>
    </row>
    <row r="12" spans="1:27" ht="16.5" thickBot="1" x14ac:dyDescent="0.25">
      <c r="A12" s="10">
        <v>44387</v>
      </c>
      <c r="B12" s="49">
        <v>190</v>
      </c>
      <c r="C12" s="161">
        <f t="shared" ref="C12:C33" si="25">C11</f>
        <v>18426</v>
      </c>
      <c r="D12" s="49">
        <f t="shared" si="11"/>
        <v>0</v>
      </c>
      <c r="E12" s="137">
        <f t="shared" ref="E12:E33" si="26">E11</f>
        <v>26720252</v>
      </c>
      <c r="F12" s="49">
        <f t="shared" si="12"/>
        <v>0</v>
      </c>
      <c r="G12" s="141">
        <f t="shared" ref="G12:G33" si="27">G11</f>
        <v>84806995</v>
      </c>
      <c r="H12" s="49">
        <f t="shared" si="13"/>
        <v>0</v>
      </c>
      <c r="I12" s="138">
        <f t="shared" si="14"/>
        <v>0</v>
      </c>
      <c r="J12" s="137">
        <f t="shared" ref="J12:J33" si="28">J11</f>
        <v>8317492</v>
      </c>
      <c r="K12" s="49">
        <f t="shared" si="15"/>
        <v>0</v>
      </c>
      <c r="L12" s="139">
        <f t="shared" ref="L12:L33" si="29">L11</f>
        <v>8277752</v>
      </c>
      <c r="M12" s="49">
        <f t="shared" si="16"/>
        <v>0</v>
      </c>
      <c r="N12" s="137">
        <f t="shared" ref="N12:N33" si="30">N11</f>
        <v>5392220</v>
      </c>
      <c r="O12" s="49">
        <f t="shared" si="23"/>
        <v>0</v>
      </c>
      <c r="P12" s="139">
        <f t="shared" ref="P12:P33" si="31">P11</f>
        <v>4043094</v>
      </c>
      <c r="Q12" s="49">
        <f t="shared" si="17"/>
        <v>0</v>
      </c>
      <c r="R12" s="137">
        <f t="shared" ref="R12:R33" si="32">R11</f>
        <v>17547941</v>
      </c>
      <c r="S12" s="49">
        <f t="shared" si="18"/>
        <v>0</v>
      </c>
      <c r="T12" s="137">
        <v>0</v>
      </c>
      <c r="U12" s="140"/>
      <c r="V12" s="137">
        <f t="shared" ref="V12:V33" si="33">V11</f>
        <v>5662956</v>
      </c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23395.303588800001</v>
      </c>
    </row>
    <row r="13" spans="1:27" ht="16.5" thickBot="1" x14ac:dyDescent="0.25">
      <c r="A13" s="10">
        <v>44388</v>
      </c>
      <c r="B13" s="49">
        <v>166</v>
      </c>
      <c r="C13" s="161">
        <v>18436</v>
      </c>
      <c r="D13" s="49">
        <f t="shared" si="11"/>
        <v>1600</v>
      </c>
      <c r="E13" s="137">
        <v>26753172</v>
      </c>
      <c r="F13" s="49">
        <f t="shared" si="12"/>
        <v>32920</v>
      </c>
      <c r="G13" s="141">
        <v>84913871</v>
      </c>
      <c r="H13" s="49">
        <f t="shared" si="13"/>
        <v>106876</v>
      </c>
      <c r="I13" s="138">
        <f t="shared" si="14"/>
        <v>139796</v>
      </c>
      <c r="J13" s="137">
        <v>8328892</v>
      </c>
      <c r="K13" s="49">
        <f t="shared" si="15"/>
        <v>11400</v>
      </c>
      <c r="L13" s="139">
        <v>8287967</v>
      </c>
      <c r="M13" s="49">
        <f t="shared" si="16"/>
        <v>10215</v>
      </c>
      <c r="N13" s="137">
        <v>5403390</v>
      </c>
      <c r="O13" s="49">
        <f t="shared" si="23"/>
        <v>22340</v>
      </c>
      <c r="P13" s="139">
        <v>4070992</v>
      </c>
      <c r="Q13" s="49">
        <f t="shared" si="17"/>
        <v>27898</v>
      </c>
      <c r="R13" s="137">
        <v>17968367</v>
      </c>
      <c r="S13" s="49">
        <f>IF((R13-R12)&lt;0,"0",(R13-R12))</f>
        <v>420426</v>
      </c>
      <c r="T13" s="137">
        <v>0</v>
      </c>
      <c r="U13" s="140"/>
      <c r="V13" s="137">
        <v>5685365</v>
      </c>
      <c r="W13" s="49">
        <f t="shared" si="19"/>
        <v>22409</v>
      </c>
      <c r="X13" s="28">
        <f t="shared" si="20"/>
        <v>514688</v>
      </c>
      <c r="Y13" s="35">
        <f t="shared" si="21"/>
        <v>-374892</v>
      </c>
      <c r="Z13" s="27">
        <f t="shared" si="22"/>
        <v>114755.640376</v>
      </c>
      <c r="AA13" s="27">
        <f t="shared" si="24"/>
        <v>131832.99168000001</v>
      </c>
    </row>
    <row r="14" spans="1:27" ht="16.5" thickBot="1" x14ac:dyDescent="0.25">
      <c r="A14" s="10">
        <v>44389</v>
      </c>
      <c r="B14" s="49">
        <v>159</v>
      </c>
      <c r="C14" s="161">
        <f t="shared" si="25"/>
        <v>18436</v>
      </c>
      <c r="D14" s="49">
        <v>18441</v>
      </c>
      <c r="E14" s="137">
        <v>26769078</v>
      </c>
      <c r="F14" s="49">
        <f>IF((E14-E13)&lt;0,"0",(E14-E13))</f>
        <v>15906</v>
      </c>
      <c r="G14" s="141">
        <v>84964012</v>
      </c>
      <c r="H14" s="49">
        <f t="shared" si="13"/>
        <v>50141</v>
      </c>
      <c r="I14" s="138">
        <f t="shared" si="14"/>
        <v>66047</v>
      </c>
      <c r="J14" s="137">
        <v>8334314</v>
      </c>
      <c r="K14" s="49">
        <f t="shared" si="15"/>
        <v>5422</v>
      </c>
      <c r="L14" s="139">
        <v>8293104</v>
      </c>
      <c r="M14" s="49">
        <f t="shared" si="16"/>
        <v>5137</v>
      </c>
      <c r="N14" s="137">
        <v>5408719</v>
      </c>
      <c r="O14" s="49">
        <f t="shared" si="23"/>
        <v>10658</v>
      </c>
      <c r="P14" s="139">
        <v>4084299</v>
      </c>
      <c r="Q14" s="49">
        <f t="shared" si="17"/>
        <v>13307</v>
      </c>
      <c r="R14" s="137">
        <v>17977760</v>
      </c>
      <c r="S14" s="49">
        <f>IF((R14-R13)&lt;0,"0",(R14-R13))</f>
        <v>9393</v>
      </c>
      <c r="T14" s="137">
        <v>0</v>
      </c>
      <c r="U14" s="140"/>
      <c r="V14" s="137">
        <v>5695719</v>
      </c>
      <c r="W14" s="49">
        <f t="shared" si="19"/>
        <v>10354</v>
      </c>
      <c r="X14" s="28">
        <f t="shared" si="20"/>
        <v>54271</v>
      </c>
      <c r="Y14" s="35">
        <f t="shared" si="21"/>
        <v>11776</v>
      </c>
      <c r="Z14" s="27">
        <f t="shared" si="22"/>
        <v>8262.2621744000007</v>
      </c>
      <c r="AA14" s="27">
        <f t="shared" si="24"/>
        <v>128995.904752</v>
      </c>
    </row>
    <row r="15" spans="1:27" ht="16.5" thickBot="1" x14ac:dyDescent="0.25">
      <c r="A15" s="10">
        <v>44390</v>
      </c>
      <c r="B15" s="49">
        <v>200</v>
      </c>
      <c r="C15" s="161">
        <f t="shared" si="25"/>
        <v>18436</v>
      </c>
      <c r="D15" s="49">
        <v>18445</v>
      </c>
      <c r="E15" s="137">
        <v>26787816</v>
      </c>
      <c r="F15" s="49">
        <f>IF((E15-E14)&lt;0,"0",(E15-E14))</f>
        <v>18738</v>
      </c>
      <c r="G15" s="141">
        <v>85011174</v>
      </c>
      <c r="H15" s="49">
        <f t="shared" si="13"/>
        <v>47162</v>
      </c>
      <c r="I15" s="138">
        <f t="shared" si="14"/>
        <v>65900</v>
      </c>
      <c r="J15" s="137">
        <v>8339508</v>
      </c>
      <c r="K15" s="49">
        <f t="shared" si="15"/>
        <v>5194</v>
      </c>
      <c r="L15" s="139">
        <v>8299232</v>
      </c>
      <c r="M15" s="49">
        <f t="shared" si="16"/>
        <v>6128</v>
      </c>
      <c r="N15" s="137">
        <v>5414932</v>
      </c>
      <c r="O15" s="49">
        <f t="shared" si="23"/>
        <v>12426</v>
      </c>
      <c r="P15" s="139">
        <v>4096328</v>
      </c>
      <c r="Q15" s="49">
        <f t="shared" si="17"/>
        <v>12029</v>
      </c>
      <c r="R15" s="137">
        <v>17986612</v>
      </c>
      <c r="S15" s="49">
        <f>IF((R15-R14)&lt;0,"0",(R15-R14))</f>
        <v>8852</v>
      </c>
      <c r="T15" s="137">
        <v>0</v>
      </c>
      <c r="U15" s="140"/>
      <c r="V15" s="137">
        <v>5705434</v>
      </c>
      <c r="W15" s="49">
        <f t="shared" si="19"/>
        <v>9715</v>
      </c>
      <c r="X15" s="28">
        <f t="shared" si="20"/>
        <v>54344</v>
      </c>
      <c r="Y15" s="35">
        <f t="shared" si="21"/>
        <v>11556</v>
      </c>
      <c r="Z15" s="27">
        <f t="shared" si="22"/>
        <v>8046.7945584000008</v>
      </c>
      <c r="AA15" s="27">
        <f t="shared" si="24"/>
        <v>131064.6971088</v>
      </c>
    </row>
    <row r="16" spans="1:27" ht="16.5" thickBot="1" x14ac:dyDescent="0.25">
      <c r="A16" s="10">
        <v>44391</v>
      </c>
      <c r="B16" s="49">
        <v>192</v>
      </c>
      <c r="C16" s="161">
        <v>18450</v>
      </c>
      <c r="D16" s="49">
        <f t="shared" si="11"/>
        <v>2240</v>
      </c>
      <c r="E16" s="137">
        <v>26805249</v>
      </c>
      <c r="F16" s="49">
        <f>IF((E16-E15)&lt;0,"0",(E16-E15))</f>
        <v>17433</v>
      </c>
      <c r="G16" s="141">
        <v>85061666</v>
      </c>
      <c r="H16" s="49">
        <f t="shared" si="13"/>
        <v>50492</v>
      </c>
      <c r="I16" s="138">
        <f t="shared" si="14"/>
        <v>67925</v>
      </c>
      <c r="J16" s="137">
        <v>8345042</v>
      </c>
      <c r="K16" s="49">
        <f t="shared" si="15"/>
        <v>5534</v>
      </c>
      <c r="L16" s="139">
        <v>8304732</v>
      </c>
      <c r="M16" s="49">
        <f t="shared" si="16"/>
        <v>5500</v>
      </c>
      <c r="N16" s="137">
        <v>5420818</v>
      </c>
      <c r="O16" s="49">
        <f t="shared" si="23"/>
        <v>11772</v>
      </c>
      <c r="P16" s="139">
        <v>4108649</v>
      </c>
      <c r="Q16" s="49">
        <f t="shared" si="17"/>
        <v>12321</v>
      </c>
      <c r="R16" s="137">
        <v>17996568</v>
      </c>
      <c r="S16" s="49">
        <f t="shared" si="18"/>
        <v>9956</v>
      </c>
      <c r="T16" s="137">
        <v>0</v>
      </c>
      <c r="U16" s="140"/>
      <c r="V16" s="137">
        <v>5715967</v>
      </c>
      <c r="W16" s="49">
        <f t="shared" si="19"/>
        <v>10533</v>
      </c>
      <c r="X16" s="28">
        <f t="shared" si="20"/>
        <v>55616</v>
      </c>
      <c r="Y16" s="35">
        <f t="shared" si="21"/>
        <v>12309</v>
      </c>
      <c r="Z16" s="27">
        <f t="shared" si="22"/>
        <v>8460.8871567999995</v>
      </c>
      <c r="AA16" s="27">
        <f t="shared" si="24"/>
        <v>139525.58426559999</v>
      </c>
    </row>
    <row r="17" spans="1:27" s="151" customFormat="1" ht="16.5" thickBot="1" x14ac:dyDescent="0.25">
      <c r="A17" s="10">
        <v>44392</v>
      </c>
      <c r="B17" s="146">
        <v>234</v>
      </c>
      <c r="C17" s="161">
        <v>18456</v>
      </c>
      <c r="D17" s="49">
        <f t="shared" si="11"/>
        <v>960</v>
      </c>
      <c r="E17" s="137">
        <v>26824765</v>
      </c>
      <c r="F17" s="146">
        <f t="shared" si="12"/>
        <v>19516</v>
      </c>
      <c r="G17" s="141">
        <v>85125732</v>
      </c>
      <c r="H17" s="49">
        <f t="shared" si="13"/>
        <v>64066</v>
      </c>
      <c r="I17" s="148">
        <f t="shared" si="14"/>
        <v>83582</v>
      </c>
      <c r="J17" s="137">
        <v>8351706</v>
      </c>
      <c r="K17" s="146">
        <f t="shared" si="15"/>
        <v>6664</v>
      </c>
      <c r="L17" s="139">
        <v>8310798</v>
      </c>
      <c r="M17" s="146">
        <f t="shared" si="16"/>
        <v>6066</v>
      </c>
      <c r="N17" s="137">
        <v>5427444</v>
      </c>
      <c r="O17" s="146">
        <f t="shared" si="23"/>
        <v>13252</v>
      </c>
      <c r="P17" s="139">
        <v>4125010</v>
      </c>
      <c r="Q17" s="146">
        <f t="shared" si="17"/>
        <v>16361</v>
      </c>
      <c r="R17" s="137">
        <v>18008687</v>
      </c>
      <c r="S17" s="146">
        <f t="shared" si="18"/>
        <v>12119</v>
      </c>
      <c r="T17" s="147">
        <v>0</v>
      </c>
      <c r="U17" s="140"/>
      <c r="V17" s="137">
        <v>5729576</v>
      </c>
      <c r="W17" s="146">
        <f t="shared" si="19"/>
        <v>13609</v>
      </c>
      <c r="X17" s="28">
        <f t="shared" si="20"/>
        <v>68071</v>
      </c>
      <c r="Y17" s="149">
        <f t="shared" si="21"/>
        <v>15511</v>
      </c>
      <c r="Z17" s="150">
        <f t="shared" si="22"/>
        <v>10531.5914496</v>
      </c>
      <c r="AA17" s="150">
        <f t="shared" si="24"/>
        <v>35301.535339199996</v>
      </c>
    </row>
    <row r="18" spans="1:27" s="151" customFormat="1" ht="16.5" thickBot="1" x14ac:dyDescent="0.25">
      <c r="A18" s="10">
        <v>44393</v>
      </c>
      <c r="B18" s="146">
        <v>210</v>
      </c>
      <c r="C18" s="161">
        <v>18461</v>
      </c>
      <c r="D18" s="49">
        <f t="shared" si="11"/>
        <v>800</v>
      </c>
      <c r="E18" s="137">
        <v>26842487</v>
      </c>
      <c r="F18" s="146">
        <f t="shared" si="12"/>
        <v>17722</v>
      </c>
      <c r="G18" s="141">
        <v>85181515</v>
      </c>
      <c r="H18" s="49">
        <f t="shared" si="13"/>
        <v>55783</v>
      </c>
      <c r="I18" s="148">
        <f t="shared" si="14"/>
        <v>73505</v>
      </c>
      <c r="J18" s="137">
        <v>8357088</v>
      </c>
      <c r="K18" s="146">
        <f t="shared" si="15"/>
        <v>5382</v>
      </c>
      <c r="L18" s="139">
        <v>8315733</v>
      </c>
      <c r="M18" s="146">
        <f t="shared" si="16"/>
        <v>4935</v>
      </c>
      <c r="N18" s="137">
        <v>5433722</v>
      </c>
      <c r="O18" s="146">
        <f t="shared" si="23"/>
        <v>12556</v>
      </c>
      <c r="P18" s="139">
        <v>4140012</v>
      </c>
      <c r="Q18" s="146">
        <f t="shared" si="17"/>
        <v>15002</v>
      </c>
      <c r="R18" s="137">
        <v>18019168</v>
      </c>
      <c r="S18" s="146">
        <f t="shared" si="18"/>
        <v>10481</v>
      </c>
      <c r="T18" s="147">
        <v>0</v>
      </c>
      <c r="U18" s="140"/>
      <c r="V18" s="137">
        <v>5741353</v>
      </c>
      <c r="W18" s="146">
        <f t="shared" si="19"/>
        <v>11777</v>
      </c>
      <c r="X18" s="28">
        <f t="shared" si="20"/>
        <v>60133</v>
      </c>
      <c r="Y18" s="149">
        <f t="shared" si="21"/>
        <v>13372</v>
      </c>
      <c r="Z18" s="150">
        <f t="shared" si="22"/>
        <v>9391.8714655999993</v>
      </c>
      <c r="AA18" s="150">
        <f t="shared" si="24"/>
        <v>36431.144630399998</v>
      </c>
    </row>
    <row r="19" spans="1:27" s="151" customFormat="1" ht="16.5" thickBot="1" x14ac:dyDescent="0.25">
      <c r="A19" s="10">
        <v>44394</v>
      </c>
      <c r="B19" s="146">
        <v>237</v>
      </c>
      <c r="C19" s="161">
        <v>18467</v>
      </c>
      <c r="D19" s="49">
        <f>IF((C19-C18)&lt;0,"0",(C19-C18))*160</f>
        <v>960</v>
      </c>
      <c r="E19" s="137">
        <v>26857731</v>
      </c>
      <c r="F19" s="146">
        <f t="shared" si="12"/>
        <v>15244</v>
      </c>
      <c r="G19" s="141">
        <v>85229825</v>
      </c>
      <c r="H19" s="49">
        <f t="shared" si="13"/>
        <v>48310</v>
      </c>
      <c r="I19" s="148">
        <f t="shared" si="14"/>
        <v>63554</v>
      </c>
      <c r="J19" s="137">
        <v>8361952</v>
      </c>
      <c r="K19" s="146">
        <f t="shared" si="15"/>
        <v>4864</v>
      </c>
      <c r="L19" s="139">
        <v>8320305</v>
      </c>
      <c r="M19" s="146">
        <f t="shared" si="16"/>
        <v>4572</v>
      </c>
      <c r="N19" s="137">
        <v>5438988</v>
      </c>
      <c r="O19" s="146">
        <f t="shared" si="23"/>
        <v>10532</v>
      </c>
      <c r="P19" s="139">
        <v>4153064</v>
      </c>
      <c r="Q19" s="146">
        <f t="shared" si="17"/>
        <v>13052</v>
      </c>
      <c r="R19" s="137">
        <v>18028275</v>
      </c>
      <c r="S19" s="146">
        <f t="shared" si="18"/>
        <v>9107</v>
      </c>
      <c r="T19" s="147">
        <v>0</v>
      </c>
      <c r="U19" s="140"/>
      <c r="V19" s="137">
        <v>5751426</v>
      </c>
      <c r="W19" s="146">
        <f t="shared" si="19"/>
        <v>10073</v>
      </c>
      <c r="X19" s="28">
        <f t="shared" si="20"/>
        <v>52200</v>
      </c>
      <c r="Y19" s="149">
        <f t="shared" si="21"/>
        <v>11354</v>
      </c>
      <c r="Z19" s="150">
        <f t="shared" si="22"/>
        <v>8069.4860479999998</v>
      </c>
      <c r="AA19" s="150">
        <f t="shared" si="24"/>
        <v>36453.83612</v>
      </c>
    </row>
    <row r="20" spans="1:27" s="151" customFormat="1" ht="16.5" thickBot="1" x14ac:dyDescent="0.25">
      <c r="A20" s="10">
        <v>44395</v>
      </c>
      <c r="B20" s="146">
        <v>234</v>
      </c>
      <c r="C20" s="161">
        <v>18472</v>
      </c>
      <c r="D20" s="49">
        <f>IF((C20-C19)&lt;0,"0",(C20-C19))*160</f>
        <v>800</v>
      </c>
      <c r="E20" s="137">
        <v>26871505</v>
      </c>
      <c r="F20" s="146">
        <f t="shared" si="12"/>
        <v>13774</v>
      </c>
      <c r="G20" s="141">
        <v>85274128</v>
      </c>
      <c r="H20" s="49">
        <f t="shared" si="13"/>
        <v>44303</v>
      </c>
      <c r="I20" s="148">
        <f t="shared" si="14"/>
        <v>58077</v>
      </c>
      <c r="J20" s="137">
        <v>8366428</v>
      </c>
      <c r="K20" s="146">
        <f t="shared" si="15"/>
        <v>4476</v>
      </c>
      <c r="L20" s="139">
        <v>8324531</v>
      </c>
      <c r="M20" s="146">
        <f t="shared" si="16"/>
        <v>4226</v>
      </c>
      <c r="N20" s="137">
        <v>5443682</v>
      </c>
      <c r="O20" s="146">
        <f t="shared" si="23"/>
        <v>9388</v>
      </c>
      <c r="P20" s="139">
        <v>4164446</v>
      </c>
      <c r="Q20" s="146">
        <f t="shared" si="17"/>
        <v>11382</v>
      </c>
      <c r="R20" s="137">
        <v>18036549</v>
      </c>
      <c r="S20" s="146">
        <f t="shared" si="18"/>
        <v>8274</v>
      </c>
      <c r="T20" s="147">
        <v>0</v>
      </c>
      <c r="U20" s="140"/>
      <c r="V20" s="137">
        <v>5761035</v>
      </c>
      <c r="W20" s="146">
        <f t="shared" si="19"/>
        <v>9609</v>
      </c>
      <c r="X20" s="28">
        <f t="shared" si="20"/>
        <v>47355</v>
      </c>
      <c r="Y20" s="149">
        <f t="shared" si="21"/>
        <v>10722</v>
      </c>
      <c r="Z20" s="150">
        <f t="shared" si="22"/>
        <v>7347.3072816000004</v>
      </c>
      <c r="AA20" s="150">
        <f t="shared" si="24"/>
        <v>35340.256244799995</v>
      </c>
    </row>
    <row r="21" spans="1:27" s="151" customFormat="1" ht="16.5" thickBot="1" x14ac:dyDescent="0.25">
      <c r="A21" s="10">
        <v>44396</v>
      </c>
      <c r="B21" s="146">
        <v>244</v>
      </c>
      <c r="C21" s="161">
        <v>18477</v>
      </c>
      <c r="D21" s="49">
        <f>IF((C21-C20)&lt;0,"0",(C21-C20))*160</f>
        <v>800</v>
      </c>
      <c r="E21" s="137">
        <v>26890725</v>
      </c>
      <c r="F21" s="146">
        <f t="shared" si="12"/>
        <v>19220</v>
      </c>
      <c r="G21" s="141">
        <v>85333734</v>
      </c>
      <c r="H21" s="49">
        <f t="shared" si="13"/>
        <v>59606</v>
      </c>
      <c r="I21" s="148">
        <f t="shared" si="14"/>
        <v>78826</v>
      </c>
      <c r="J21" s="137">
        <v>8372242</v>
      </c>
      <c r="K21" s="146">
        <f t="shared" si="15"/>
        <v>5814</v>
      </c>
      <c r="L21" s="139">
        <v>8330800</v>
      </c>
      <c r="M21" s="146">
        <f t="shared" si="16"/>
        <v>6269</v>
      </c>
      <c r="N21" s="137">
        <v>5450062</v>
      </c>
      <c r="O21" s="146">
        <f t="shared" si="23"/>
        <v>12760</v>
      </c>
      <c r="P21" s="139">
        <v>4180148</v>
      </c>
      <c r="Q21" s="146">
        <f t="shared" si="17"/>
        <v>15702</v>
      </c>
      <c r="R21" s="137">
        <v>18047778</v>
      </c>
      <c r="S21" s="146">
        <f t="shared" si="18"/>
        <v>11229</v>
      </c>
      <c r="T21" s="147">
        <v>0</v>
      </c>
      <c r="U21" s="140"/>
      <c r="V21" s="137">
        <v>5773755</v>
      </c>
      <c r="W21" s="146">
        <f t="shared" si="19"/>
        <v>12720</v>
      </c>
      <c r="X21" s="28">
        <f t="shared" si="20"/>
        <v>64494</v>
      </c>
      <c r="Y21" s="149">
        <f t="shared" si="21"/>
        <v>14332</v>
      </c>
      <c r="Z21" s="150">
        <f t="shared" si="22"/>
        <v>9933.1731407999996</v>
      </c>
      <c r="AA21" s="150">
        <f t="shared" si="24"/>
        <v>34741.837935999996</v>
      </c>
    </row>
    <row r="22" spans="1:27" ht="16.5" thickBot="1" x14ac:dyDescent="0.25">
      <c r="A22" s="10">
        <v>44397</v>
      </c>
      <c r="B22" s="49">
        <v>232</v>
      </c>
      <c r="C22" s="161">
        <v>18482</v>
      </c>
      <c r="D22" s="49">
        <f t="shared" si="11"/>
        <v>800</v>
      </c>
      <c r="E22" s="137">
        <v>26914012</v>
      </c>
      <c r="F22" s="49">
        <f t="shared" si="12"/>
        <v>23287</v>
      </c>
      <c r="G22" s="141">
        <v>85387598</v>
      </c>
      <c r="H22" s="49">
        <f t="shared" si="13"/>
        <v>53864</v>
      </c>
      <c r="I22" s="138">
        <f t="shared" si="14"/>
        <v>77151</v>
      </c>
      <c r="J22" s="137">
        <v>8377487</v>
      </c>
      <c r="K22" s="49">
        <f t="shared" si="15"/>
        <v>5245</v>
      </c>
      <c r="L22" s="139">
        <v>8338388</v>
      </c>
      <c r="M22" s="49">
        <f t="shared" si="16"/>
        <v>7588</v>
      </c>
      <c r="N22" s="137">
        <v>5457772</v>
      </c>
      <c r="O22" s="49">
        <f t="shared" si="23"/>
        <v>15420</v>
      </c>
      <c r="P22" s="139">
        <v>4193773</v>
      </c>
      <c r="Q22" s="49">
        <f t="shared" si="17"/>
        <v>13625</v>
      </c>
      <c r="R22" s="137">
        <v>18058029</v>
      </c>
      <c r="S22" s="49">
        <f t="shared" si="18"/>
        <v>10251</v>
      </c>
      <c r="T22" s="137">
        <v>0</v>
      </c>
      <c r="U22" s="140"/>
      <c r="V22" s="137">
        <v>5785415</v>
      </c>
      <c r="W22" s="49">
        <f t="shared" si="19"/>
        <v>11660</v>
      </c>
      <c r="X22" s="28">
        <f t="shared" si="20"/>
        <v>63789</v>
      </c>
      <c r="Y22" s="35">
        <f t="shared" si="21"/>
        <v>13362</v>
      </c>
      <c r="Z22" s="27">
        <f t="shared" si="22"/>
        <v>9522.9193071999998</v>
      </c>
      <c r="AA22" s="27">
        <f t="shared" si="24"/>
        <v>34872.8857776</v>
      </c>
    </row>
    <row r="23" spans="1:27" ht="16.5" thickBot="1" x14ac:dyDescent="0.25">
      <c r="A23" s="10">
        <v>44398</v>
      </c>
      <c r="B23" s="49">
        <v>324</v>
      </c>
      <c r="C23" s="161">
        <v>18489</v>
      </c>
      <c r="D23" s="49">
        <f t="shared" si="11"/>
        <v>1120</v>
      </c>
      <c r="E23" s="137">
        <v>26935014</v>
      </c>
      <c r="F23" s="49">
        <f t="shared" si="12"/>
        <v>21002</v>
      </c>
      <c r="G23" s="141">
        <v>85438962</v>
      </c>
      <c r="H23" s="49">
        <f t="shared" si="13"/>
        <v>51364</v>
      </c>
      <c r="I23" s="138">
        <f t="shared" si="14"/>
        <v>72366</v>
      </c>
      <c r="J23" s="137">
        <v>8382518</v>
      </c>
      <c r="K23" s="49">
        <f t="shared" si="15"/>
        <v>5031</v>
      </c>
      <c r="L23" s="139">
        <v>8345427</v>
      </c>
      <c r="M23" s="49">
        <f t="shared" si="16"/>
        <v>7039</v>
      </c>
      <c r="N23" s="137">
        <v>5464867</v>
      </c>
      <c r="O23" s="49">
        <f t="shared" si="23"/>
        <v>14190</v>
      </c>
      <c r="P23" s="139">
        <v>4207102</v>
      </c>
      <c r="Q23" s="49">
        <f t="shared" si="17"/>
        <v>13329</v>
      </c>
      <c r="R23" s="137">
        <v>18067552</v>
      </c>
      <c r="S23" s="49">
        <f t="shared" si="18"/>
        <v>9523</v>
      </c>
      <c r="T23" s="137">
        <v>0</v>
      </c>
      <c r="U23" s="140"/>
      <c r="V23" s="137">
        <v>5796609</v>
      </c>
      <c r="W23" s="49">
        <f t="shared" si="19"/>
        <v>11194</v>
      </c>
      <c r="X23" s="28">
        <f t="shared" si="20"/>
        <v>60306</v>
      </c>
      <c r="Y23" s="35">
        <f t="shared" si="21"/>
        <v>12060</v>
      </c>
      <c r="Z23" s="27">
        <f t="shared" si="22"/>
        <v>9012.2013904000014</v>
      </c>
      <c r="AA23" s="27">
        <f t="shared" si="24"/>
        <v>35815.601120000007</v>
      </c>
    </row>
    <row r="24" spans="1:27" ht="16.5" thickBot="1" x14ac:dyDescent="0.25">
      <c r="A24" s="10">
        <v>44399</v>
      </c>
      <c r="B24" s="49">
        <v>351</v>
      </c>
      <c r="C24" s="161">
        <v>18495</v>
      </c>
      <c r="D24" s="49">
        <f t="shared" si="11"/>
        <v>960</v>
      </c>
      <c r="E24" s="137">
        <v>26949565</v>
      </c>
      <c r="F24" s="49">
        <f t="shared" si="12"/>
        <v>14551</v>
      </c>
      <c r="G24" s="141">
        <v>85477488</v>
      </c>
      <c r="H24" s="49">
        <f t="shared" si="13"/>
        <v>38526</v>
      </c>
      <c r="I24" s="138">
        <f t="shared" si="14"/>
        <v>53077</v>
      </c>
      <c r="J24" s="137">
        <v>8386275</v>
      </c>
      <c r="K24" s="49">
        <f t="shared" si="15"/>
        <v>3757</v>
      </c>
      <c r="L24" s="139">
        <v>8350133</v>
      </c>
      <c r="M24" s="49">
        <f t="shared" si="16"/>
        <v>4706</v>
      </c>
      <c r="N24" s="137">
        <v>5469540</v>
      </c>
      <c r="O24" s="49">
        <f t="shared" si="23"/>
        <v>9346</v>
      </c>
      <c r="P24" s="139">
        <v>4217332</v>
      </c>
      <c r="Q24" s="49">
        <f t="shared" si="17"/>
        <v>10230</v>
      </c>
      <c r="R24" s="137">
        <v>18074809</v>
      </c>
      <c r="S24" s="49">
        <f t="shared" si="18"/>
        <v>7257</v>
      </c>
      <c r="T24" s="137">
        <v>0</v>
      </c>
      <c r="U24" s="140"/>
      <c r="V24" s="137">
        <v>5804814</v>
      </c>
      <c r="W24" s="49">
        <f t="shared" si="19"/>
        <v>8205</v>
      </c>
      <c r="X24" s="28">
        <f t="shared" si="20"/>
        <v>43501</v>
      </c>
      <c r="Y24" s="35">
        <f t="shared" si="21"/>
        <v>9576</v>
      </c>
      <c r="Z24" s="27">
        <f t="shared" si="22"/>
        <v>6586.8407904000005</v>
      </c>
      <c r="AA24" s="27">
        <f t="shared" si="24"/>
        <v>35055.134628799999</v>
      </c>
    </row>
    <row r="25" spans="1:27" ht="16.5" thickBot="1" x14ac:dyDescent="0.25">
      <c r="A25" s="10">
        <v>44400</v>
      </c>
      <c r="B25" s="49">
        <v>346</v>
      </c>
      <c r="C25" s="161">
        <v>18502</v>
      </c>
      <c r="D25" s="49">
        <f t="shared" si="11"/>
        <v>1120</v>
      </c>
      <c r="E25" s="137">
        <v>26971755</v>
      </c>
      <c r="F25" s="49">
        <f t="shared" si="12"/>
        <v>22190</v>
      </c>
      <c r="G25" s="141">
        <v>85541355</v>
      </c>
      <c r="H25" s="49">
        <f t="shared" si="13"/>
        <v>63867</v>
      </c>
      <c r="I25" s="138">
        <f t="shared" si="14"/>
        <v>86057</v>
      </c>
      <c r="J25" s="137">
        <v>8392388</v>
      </c>
      <c r="K25" s="49">
        <f t="shared" si="15"/>
        <v>6113</v>
      </c>
      <c r="L25" s="139">
        <v>8357500</v>
      </c>
      <c r="M25" s="49">
        <f t="shared" si="16"/>
        <v>7367</v>
      </c>
      <c r="N25" s="137">
        <v>5476850</v>
      </c>
      <c r="O25" s="49">
        <f t="shared" si="23"/>
        <v>14620</v>
      </c>
      <c r="P25" s="139">
        <v>4233766</v>
      </c>
      <c r="Q25" s="49">
        <f t="shared" si="17"/>
        <v>16434</v>
      </c>
      <c r="R25" s="137">
        <v>18086763</v>
      </c>
      <c r="S25" s="49">
        <f t="shared" si="18"/>
        <v>11954</v>
      </c>
      <c r="T25" s="137">
        <v>0</v>
      </c>
      <c r="U25" s="140"/>
      <c r="V25" s="137">
        <v>5818745</v>
      </c>
      <c r="W25" s="49">
        <f t="shared" si="19"/>
        <v>13931</v>
      </c>
      <c r="X25" s="28">
        <f t="shared" si="20"/>
        <v>70419</v>
      </c>
      <c r="Y25" s="35">
        <f t="shared" si="21"/>
        <v>15638</v>
      </c>
      <c r="Z25" s="27">
        <f t="shared" si="22"/>
        <v>10778.308423999999</v>
      </c>
      <c r="AA25" s="27">
        <f t="shared" si="24"/>
        <v>35900.269912000003</v>
      </c>
    </row>
    <row r="26" spans="1:27" ht="16.5" thickBot="1" x14ac:dyDescent="0.25">
      <c r="A26" s="10">
        <v>44401</v>
      </c>
      <c r="B26" s="49">
        <v>345</v>
      </c>
      <c r="C26" s="161">
        <v>18508</v>
      </c>
      <c r="D26" s="49">
        <f t="shared" si="11"/>
        <v>960</v>
      </c>
      <c r="E26" s="137">
        <v>26987947</v>
      </c>
      <c r="F26" s="49">
        <f t="shared" si="12"/>
        <v>16192</v>
      </c>
      <c r="G26" s="141">
        <v>85593288</v>
      </c>
      <c r="H26" s="49">
        <f t="shared" si="13"/>
        <v>51933</v>
      </c>
      <c r="I26" s="138">
        <f t="shared" si="14"/>
        <v>68125</v>
      </c>
      <c r="J26" s="137">
        <v>8397750</v>
      </c>
      <c r="K26" s="49">
        <f t="shared" si="15"/>
        <v>5362</v>
      </c>
      <c r="L26" s="139">
        <v>8362802</v>
      </c>
      <c r="M26" s="49">
        <f t="shared" si="16"/>
        <v>5302</v>
      </c>
      <c r="N26" s="137">
        <v>5482199</v>
      </c>
      <c r="O26" s="49">
        <f t="shared" si="23"/>
        <v>10698</v>
      </c>
      <c r="P26" s="139">
        <v>4246716</v>
      </c>
      <c r="Q26" s="49">
        <f t="shared" si="17"/>
        <v>12950</v>
      </c>
      <c r="R26" s="137">
        <v>18096917</v>
      </c>
      <c r="S26" s="49">
        <f t="shared" si="18"/>
        <v>10154</v>
      </c>
      <c r="T26" s="137">
        <v>0</v>
      </c>
      <c r="U26" s="140"/>
      <c r="V26" s="137">
        <v>5829863</v>
      </c>
      <c r="W26" s="49">
        <f t="shared" si="19"/>
        <v>11118</v>
      </c>
      <c r="X26" s="28">
        <f t="shared" si="20"/>
        <v>55584</v>
      </c>
      <c r="Y26" s="35">
        <f t="shared" si="21"/>
        <v>12541</v>
      </c>
      <c r="Z26" s="27">
        <f t="shared" si="22"/>
        <v>8586.5113984</v>
      </c>
      <c r="AA26" s="27">
        <f t="shared" si="24"/>
        <v>34963.862003200004</v>
      </c>
    </row>
    <row r="27" spans="1:27" ht="16.5" thickBot="1" x14ac:dyDescent="0.25">
      <c r="A27" s="10">
        <v>44402</v>
      </c>
      <c r="B27" s="49">
        <v>260</v>
      </c>
      <c r="C27" s="161">
        <v>18514</v>
      </c>
      <c r="D27" s="49">
        <f t="shared" si="11"/>
        <v>960</v>
      </c>
      <c r="E27" s="137">
        <v>27002050</v>
      </c>
      <c r="F27" s="49">
        <f t="shared" si="12"/>
        <v>14103</v>
      </c>
      <c r="G27" s="141">
        <v>85638092</v>
      </c>
      <c r="H27" s="49">
        <f t="shared" si="13"/>
        <v>44804</v>
      </c>
      <c r="I27" s="138">
        <f t="shared" si="14"/>
        <v>58907</v>
      </c>
      <c r="J27" s="137">
        <v>8402564</v>
      </c>
      <c r="K27" s="49">
        <f t="shared" si="15"/>
        <v>4814</v>
      </c>
      <c r="L27" s="139">
        <v>8367498</v>
      </c>
      <c r="M27" s="49">
        <f t="shared" si="16"/>
        <v>4696</v>
      </c>
      <c r="N27" s="137">
        <v>5486830</v>
      </c>
      <c r="O27" s="49">
        <f t="shared" si="23"/>
        <v>9262</v>
      </c>
      <c r="P27" s="139">
        <v>4258147</v>
      </c>
      <c r="Q27" s="49">
        <f t="shared" si="17"/>
        <v>11431</v>
      </c>
      <c r="R27" s="137">
        <v>18105477</v>
      </c>
      <c r="S27" s="49">
        <f t="shared" si="18"/>
        <v>8560</v>
      </c>
      <c r="T27" s="137">
        <v>0</v>
      </c>
      <c r="U27" s="140"/>
      <c r="V27" s="137">
        <v>5839363</v>
      </c>
      <c r="W27" s="49">
        <f t="shared" si="19"/>
        <v>9500</v>
      </c>
      <c r="X27" s="28">
        <f t="shared" si="20"/>
        <v>48263</v>
      </c>
      <c r="Y27" s="35">
        <f t="shared" si="21"/>
        <v>10644</v>
      </c>
      <c r="Z27" s="27">
        <f t="shared" si="22"/>
        <v>7379.1207359999999</v>
      </c>
      <c r="AA27" s="27">
        <f t="shared" si="24"/>
        <v>33330.781348799996</v>
      </c>
    </row>
    <row r="28" spans="1:27" ht="16.5" thickBot="1" x14ac:dyDescent="0.25">
      <c r="A28" s="10">
        <v>44403</v>
      </c>
      <c r="B28" s="49"/>
      <c r="C28" s="161">
        <f t="shared" si="25"/>
        <v>18514</v>
      </c>
      <c r="D28" s="49">
        <f t="shared" si="11"/>
        <v>0</v>
      </c>
      <c r="E28" s="137">
        <f t="shared" si="26"/>
        <v>27002050</v>
      </c>
      <c r="F28" s="49">
        <f t="shared" si="12"/>
        <v>0</v>
      </c>
      <c r="G28" s="141">
        <f t="shared" si="27"/>
        <v>85638092</v>
      </c>
      <c r="H28" s="49">
        <f t="shared" si="13"/>
        <v>0</v>
      </c>
      <c r="I28" s="138">
        <f t="shared" si="14"/>
        <v>0</v>
      </c>
      <c r="J28" s="137">
        <f t="shared" si="28"/>
        <v>8402564</v>
      </c>
      <c r="K28" s="49">
        <f t="shared" si="15"/>
        <v>0</v>
      </c>
      <c r="L28" s="139">
        <f t="shared" si="29"/>
        <v>8367498</v>
      </c>
      <c r="M28" s="49">
        <f t="shared" si="16"/>
        <v>0</v>
      </c>
      <c r="N28" s="137">
        <f t="shared" si="30"/>
        <v>5486830</v>
      </c>
      <c r="O28" s="49">
        <f t="shared" si="23"/>
        <v>0</v>
      </c>
      <c r="P28" s="139">
        <f t="shared" si="31"/>
        <v>4258147</v>
      </c>
      <c r="Q28" s="49">
        <f t="shared" si="17"/>
        <v>0</v>
      </c>
      <c r="R28" s="137">
        <f t="shared" si="32"/>
        <v>18105477</v>
      </c>
      <c r="S28" s="49">
        <f t="shared" si="18"/>
        <v>0</v>
      </c>
      <c r="T28" s="137">
        <v>0</v>
      </c>
      <c r="U28" s="140"/>
      <c r="V28" s="137">
        <f t="shared" si="33"/>
        <v>5839363</v>
      </c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26743.940558400001</v>
      </c>
    </row>
    <row r="29" spans="1:27" ht="16.5" thickBot="1" x14ac:dyDescent="0.25">
      <c r="A29" s="10">
        <v>44404</v>
      </c>
      <c r="B29" s="49"/>
      <c r="C29" s="161">
        <f t="shared" si="25"/>
        <v>18514</v>
      </c>
      <c r="D29" s="49">
        <f t="shared" si="11"/>
        <v>0</v>
      </c>
      <c r="E29" s="137">
        <f t="shared" si="26"/>
        <v>27002050</v>
      </c>
      <c r="F29" s="49">
        <f t="shared" si="12"/>
        <v>0</v>
      </c>
      <c r="G29" s="141">
        <f t="shared" si="27"/>
        <v>85638092</v>
      </c>
      <c r="H29" s="49">
        <f t="shared" si="13"/>
        <v>0</v>
      </c>
      <c r="I29" s="138">
        <f t="shared" si="14"/>
        <v>0</v>
      </c>
      <c r="J29" s="137">
        <f t="shared" si="28"/>
        <v>8402564</v>
      </c>
      <c r="K29" s="49">
        <f t="shared" si="15"/>
        <v>0</v>
      </c>
      <c r="L29" s="139">
        <f t="shared" si="29"/>
        <v>8367498</v>
      </c>
      <c r="M29" s="49">
        <f t="shared" si="16"/>
        <v>0</v>
      </c>
      <c r="N29" s="137">
        <f t="shared" si="30"/>
        <v>5486830</v>
      </c>
      <c r="O29" s="49">
        <f t="shared" si="23"/>
        <v>0</v>
      </c>
      <c r="P29" s="139">
        <f t="shared" si="31"/>
        <v>4258147</v>
      </c>
      <c r="Q29" s="49">
        <f t="shared" si="17"/>
        <v>0</v>
      </c>
      <c r="R29" s="137">
        <f t="shared" si="32"/>
        <v>18105477</v>
      </c>
      <c r="S29" s="49">
        <f t="shared" si="18"/>
        <v>0</v>
      </c>
      <c r="T29" s="137">
        <v>0</v>
      </c>
      <c r="U29" s="140"/>
      <c r="V29" s="137">
        <f t="shared" si="33"/>
        <v>5839363</v>
      </c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15965.632134399999</v>
      </c>
    </row>
    <row r="30" spans="1:27" ht="16.5" thickBot="1" x14ac:dyDescent="0.25">
      <c r="A30" s="10">
        <v>44405</v>
      </c>
      <c r="B30" s="49"/>
      <c r="C30" s="161">
        <f t="shared" si="25"/>
        <v>18514</v>
      </c>
      <c r="D30" s="49">
        <f t="shared" si="11"/>
        <v>0</v>
      </c>
      <c r="E30" s="137">
        <f t="shared" si="26"/>
        <v>27002050</v>
      </c>
      <c r="F30" s="49">
        <f t="shared" si="12"/>
        <v>0</v>
      </c>
      <c r="G30" s="141">
        <f t="shared" si="27"/>
        <v>85638092</v>
      </c>
      <c r="H30" s="49">
        <f t="shared" si="13"/>
        <v>0</v>
      </c>
      <c r="I30" s="138">
        <f t="shared" si="14"/>
        <v>0</v>
      </c>
      <c r="J30" s="137">
        <f t="shared" si="28"/>
        <v>8402564</v>
      </c>
      <c r="K30" s="49">
        <f t="shared" si="15"/>
        <v>0</v>
      </c>
      <c r="L30" s="139">
        <f t="shared" si="29"/>
        <v>8367498</v>
      </c>
      <c r="M30" s="49">
        <f t="shared" si="16"/>
        <v>0</v>
      </c>
      <c r="N30" s="137">
        <f t="shared" si="30"/>
        <v>5486830</v>
      </c>
      <c r="O30" s="49">
        <f t="shared" si="23"/>
        <v>0</v>
      </c>
      <c r="P30" s="139">
        <f t="shared" si="31"/>
        <v>4258147</v>
      </c>
      <c r="Q30" s="49">
        <f t="shared" si="17"/>
        <v>0</v>
      </c>
      <c r="R30" s="137">
        <f t="shared" si="32"/>
        <v>18105477</v>
      </c>
      <c r="S30" s="49">
        <f t="shared" si="18"/>
        <v>0</v>
      </c>
      <c r="T30" s="137">
        <v>0</v>
      </c>
      <c r="U30" s="140"/>
      <c r="V30" s="137">
        <f t="shared" si="33"/>
        <v>5839363</v>
      </c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7379.1207359999999</v>
      </c>
    </row>
    <row r="31" spans="1:27" ht="16.5" thickBot="1" x14ac:dyDescent="0.25">
      <c r="A31" s="10">
        <v>44406</v>
      </c>
      <c r="B31" s="49"/>
      <c r="C31" s="161">
        <f t="shared" si="25"/>
        <v>18514</v>
      </c>
      <c r="D31" s="49">
        <f t="shared" si="11"/>
        <v>0</v>
      </c>
      <c r="E31" s="137">
        <f t="shared" si="26"/>
        <v>27002050</v>
      </c>
      <c r="F31" s="49">
        <f t="shared" si="12"/>
        <v>0</v>
      </c>
      <c r="G31" s="141">
        <f t="shared" si="27"/>
        <v>85638092</v>
      </c>
      <c r="H31" s="49">
        <f t="shared" si="13"/>
        <v>0</v>
      </c>
      <c r="I31" s="28">
        <f>F31+H31</f>
        <v>0</v>
      </c>
      <c r="J31" s="137">
        <f t="shared" si="28"/>
        <v>8402564</v>
      </c>
      <c r="K31" s="49">
        <f t="shared" si="15"/>
        <v>0</v>
      </c>
      <c r="L31" s="139">
        <f t="shared" si="29"/>
        <v>8367498</v>
      </c>
      <c r="M31" s="49">
        <f t="shared" si="16"/>
        <v>0</v>
      </c>
      <c r="N31" s="137">
        <f t="shared" si="30"/>
        <v>5486830</v>
      </c>
      <c r="O31" s="49">
        <f t="shared" si="23"/>
        <v>0</v>
      </c>
      <c r="P31" s="139">
        <f t="shared" si="31"/>
        <v>4258147</v>
      </c>
      <c r="Q31" s="49">
        <f t="shared" si="17"/>
        <v>0</v>
      </c>
      <c r="R31" s="137">
        <f t="shared" si="32"/>
        <v>18105477</v>
      </c>
      <c r="S31" s="49">
        <f t="shared" si="18"/>
        <v>0</v>
      </c>
      <c r="T31" s="137">
        <v>0</v>
      </c>
      <c r="U31" s="29"/>
      <c r="V31" s="137">
        <f t="shared" si="33"/>
        <v>5839363</v>
      </c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44407</v>
      </c>
      <c r="B32" s="49"/>
      <c r="C32" s="161">
        <f t="shared" si="25"/>
        <v>18514</v>
      </c>
      <c r="D32" s="49">
        <f t="shared" si="11"/>
        <v>0</v>
      </c>
      <c r="E32" s="137">
        <f t="shared" si="26"/>
        <v>27002050</v>
      </c>
      <c r="F32" s="49">
        <f t="shared" si="12"/>
        <v>0</v>
      </c>
      <c r="G32" s="141">
        <f t="shared" si="27"/>
        <v>85638092</v>
      </c>
      <c r="H32" s="49">
        <f t="shared" si="13"/>
        <v>0</v>
      </c>
      <c r="I32" s="28">
        <f>F32+H32</f>
        <v>0</v>
      </c>
      <c r="J32" s="137">
        <f t="shared" si="28"/>
        <v>8402564</v>
      </c>
      <c r="K32" s="49">
        <f t="shared" si="15"/>
        <v>0</v>
      </c>
      <c r="L32" s="139">
        <f t="shared" si="29"/>
        <v>8367498</v>
      </c>
      <c r="M32" s="49">
        <f t="shared" si="16"/>
        <v>0</v>
      </c>
      <c r="N32" s="137">
        <f t="shared" si="30"/>
        <v>5486830</v>
      </c>
      <c r="O32" s="49">
        <f t="shared" si="23"/>
        <v>0</v>
      </c>
      <c r="P32" s="139">
        <f t="shared" si="31"/>
        <v>4258147</v>
      </c>
      <c r="Q32" s="49">
        <f t="shared" si="17"/>
        <v>0</v>
      </c>
      <c r="R32" s="137">
        <f t="shared" si="32"/>
        <v>18105477</v>
      </c>
      <c r="S32" s="49">
        <f t="shared" si="18"/>
        <v>0</v>
      </c>
      <c r="T32" s="137">
        <v>0</v>
      </c>
      <c r="U32" s="29"/>
      <c r="V32" s="137">
        <f t="shared" si="33"/>
        <v>5839363</v>
      </c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44408</v>
      </c>
      <c r="B33" s="49"/>
      <c r="C33" s="161">
        <f t="shared" si="25"/>
        <v>18514</v>
      </c>
      <c r="D33" s="49">
        <f t="shared" si="11"/>
        <v>0</v>
      </c>
      <c r="E33" s="137">
        <f t="shared" si="26"/>
        <v>27002050</v>
      </c>
      <c r="F33" s="49">
        <f t="shared" si="12"/>
        <v>0</v>
      </c>
      <c r="G33" s="141">
        <f t="shared" si="27"/>
        <v>85638092</v>
      </c>
      <c r="H33" s="49">
        <f t="shared" si="13"/>
        <v>0</v>
      </c>
      <c r="I33" s="28">
        <f>F33+H33</f>
        <v>0</v>
      </c>
      <c r="J33" s="137">
        <f t="shared" si="28"/>
        <v>8402564</v>
      </c>
      <c r="K33" s="49">
        <f t="shared" si="15"/>
        <v>0</v>
      </c>
      <c r="L33" s="139">
        <f t="shared" si="29"/>
        <v>8367498</v>
      </c>
      <c r="M33" s="49">
        <f t="shared" si="16"/>
        <v>0</v>
      </c>
      <c r="N33" s="137">
        <f t="shared" si="30"/>
        <v>5486830</v>
      </c>
      <c r="O33" s="49">
        <f t="shared" si="23"/>
        <v>0</v>
      </c>
      <c r="P33" s="139">
        <f t="shared" si="31"/>
        <v>4258147</v>
      </c>
      <c r="Q33" s="49">
        <f t="shared" si="17"/>
        <v>0</v>
      </c>
      <c r="R33" s="137">
        <f t="shared" si="32"/>
        <v>18105477</v>
      </c>
      <c r="S33" s="49">
        <f t="shared" si="18"/>
        <v>0</v>
      </c>
      <c r="T33" s="137">
        <v>0</v>
      </c>
      <c r="U33" s="29"/>
      <c r="V33" s="137">
        <f t="shared" si="33"/>
        <v>5839363</v>
      </c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5518</v>
      </c>
      <c r="C34" s="159"/>
      <c r="D34" s="159">
        <f>SUM(D2:D33)</f>
        <v>57686</v>
      </c>
      <c r="E34" s="159">
        <v>0</v>
      </c>
      <c r="F34" s="159">
        <f>SUM(F2:F33)</f>
        <v>391437</v>
      </c>
      <c r="G34" s="159">
        <v>0</v>
      </c>
      <c r="H34" s="159">
        <f>SUM(H2:H33)</f>
        <v>1373517</v>
      </c>
      <c r="I34" s="159">
        <f>SUM(I5:I33)</f>
        <v>1610210</v>
      </c>
      <c r="J34" s="159">
        <v>0</v>
      </c>
      <c r="K34" s="159">
        <f>SUM(K2:K33)</f>
        <v>137505</v>
      </c>
      <c r="L34" s="159">
        <v>0</v>
      </c>
      <c r="M34" s="159">
        <f>SUM(M2:M33)</f>
        <v>133469</v>
      </c>
      <c r="N34" s="159">
        <v>0</v>
      </c>
      <c r="O34" s="159">
        <f>SUM(O2:O33)</f>
        <v>248678</v>
      </c>
      <c r="P34" s="159">
        <v>0</v>
      </c>
      <c r="Q34" s="159">
        <f>SUM(Q2:Q33)</f>
        <v>384862</v>
      </c>
      <c r="R34" s="159">
        <v>0</v>
      </c>
      <c r="S34" s="159">
        <f>SUM(S2:S33)</f>
        <v>643251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282125</v>
      </c>
      <c r="X34" s="159">
        <f>SUM(X5:X33)</f>
        <v>1708612</v>
      </c>
      <c r="Y34" s="159">
        <f>SUM(Y2:Y33)</f>
        <v>-64936</v>
      </c>
      <c r="Z34" s="159">
        <f>SUM(Z2:Z33)</f>
        <v>316319.13963519997</v>
      </c>
      <c r="AA34" s="159">
        <f>SUM(AA2:AA33)</f>
        <v>1253857.1009951998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17" activePane="bottomLeft" state="frozen"/>
      <selection pane="bottomLeft" activeCell="D30" sqref="D3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44377</v>
      </c>
      <c r="B2" s="3">
        <v>415688</v>
      </c>
      <c r="C2" s="49"/>
      <c r="D2" s="3">
        <v>4377000</v>
      </c>
      <c r="E2" s="49"/>
      <c r="F2" s="3">
        <v>3826500</v>
      </c>
      <c r="G2" s="49"/>
      <c r="H2" s="3">
        <v>738448</v>
      </c>
      <c r="I2" s="54"/>
      <c r="J2" s="23">
        <f t="shared" ref="J2" si="0">C2+E2+G2+I2</f>
        <v>0</v>
      </c>
      <c r="K2" s="24">
        <f t="shared" ref="K2" si="1">J2*5.86</f>
        <v>0</v>
      </c>
    </row>
    <row r="3" spans="1:14" ht="16.5" thickBot="1" x14ac:dyDescent="0.3">
      <c r="A3" s="10">
        <v>44378</v>
      </c>
      <c r="B3" s="3">
        <v>415838</v>
      </c>
      <c r="C3" s="49">
        <f t="shared" ref="C3" si="2">(IF((B3-B2)&lt;0,"0",(B3-B2)))*10</f>
        <v>1500</v>
      </c>
      <c r="D3" s="3">
        <v>4377000</v>
      </c>
      <c r="E3" s="49">
        <f>(IF((D3-D2)&lt;0,"0",(D3-D2)))*0.027</f>
        <v>0</v>
      </c>
      <c r="F3" s="3">
        <v>3844200</v>
      </c>
      <c r="G3" s="49">
        <f>(IF((F3-F2)&lt;0,"0",(F3-F2)))*0.027</f>
        <v>477.9</v>
      </c>
      <c r="H3" s="3">
        <v>738557</v>
      </c>
      <c r="I3" s="54">
        <f>(IF((H3-H2)&lt;0,"0",(H3-H2)))*0.027</f>
        <v>2.9430000000000001</v>
      </c>
      <c r="J3" s="23">
        <f t="shared" ref="J3" si="3">C3+E3+G3+I3</f>
        <v>1980.8430000000001</v>
      </c>
      <c r="K3" s="24">
        <f t="shared" ref="K3" si="4">J3*5.86</f>
        <v>11607.73998</v>
      </c>
    </row>
    <row r="4" spans="1:14" ht="16.5" thickBot="1" x14ac:dyDescent="0.3">
      <c r="A4" s="10">
        <v>44379</v>
      </c>
      <c r="B4" s="3">
        <v>415991</v>
      </c>
      <c r="C4" s="49">
        <f t="shared" ref="C4:C8" si="5">(IF((B4-B3)&lt;0,"0",(B4-B3)))*10</f>
        <v>1530</v>
      </c>
      <c r="D4" s="3">
        <v>4377000</v>
      </c>
      <c r="E4" s="49">
        <f t="shared" ref="E4:E33" si="6">(IF((D4-D3)&lt;0,"0",(D4-D3)))*0.027</f>
        <v>0</v>
      </c>
      <c r="F4" s="3">
        <v>3863200</v>
      </c>
      <c r="G4" s="49">
        <f>(IF((F4-F3)&lt;0,"0",(F4-F3)))*0.027</f>
        <v>513</v>
      </c>
      <c r="H4" s="3">
        <v>738633</v>
      </c>
      <c r="I4" s="54">
        <f>(IF((H4-H3)&lt;0,"0",(H4-H3)))*0.027</f>
        <v>2.052</v>
      </c>
      <c r="J4" s="23">
        <f t="shared" ref="J4:J33" si="7">C4+E4+G4+I4</f>
        <v>2045.0519999999999</v>
      </c>
      <c r="K4" s="24">
        <f t="shared" ref="K4:K33" si="8">J4*5.86</f>
        <v>11984.004720000001</v>
      </c>
    </row>
    <row r="5" spans="1:14" ht="16.5" thickBot="1" x14ac:dyDescent="0.3">
      <c r="A5" s="10">
        <v>44380</v>
      </c>
      <c r="B5" s="3">
        <v>416126</v>
      </c>
      <c r="C5" s="49">
        <f t="shared" si="5"/>
        <v>1350</v>
      </c>
      <c r="D5" s="3">
        <v>4377000</v>
      </c>
      <c r="E5" s="49">
        <f t="shared" si="6"/>
        <v>0</v>
      </c>
      <c r="F5" s="3">
        <v>3882100</v>
      </c>
      <c r="G5" s="49">
        <f t="shared" ref="G5:G33" si="9">(IF((F5-F4)&lt;0,"0",(F5-F4)))*0.027</f>
        <v>510.3</v>
      </c>
      <c r="H5" s="3">
        <v>738720</v>
      </c>
      <c r="I5" s="54">
        <f t="shared" ref="I5:I33" si="10">(IF((H5-H4)&lt;0,"0",(H5-H4)))*0.027</f>
        <v>2.3489999999999998</v>
      </c>
      <c r="J5" s="23">
        <f t="shared" si="7"/>
        <v>1862.6489999999999</v>
      </c>
      <c r="K5" s="24">
        <f t="shared" si="8"/>
        <v>10915.12314</v>
      </c>
    </row>
    <row r="6" spans="1:14" ht="16.5" thickBot="1" x14ac:dyDescent="0.3">
      <c r="A6" s="10">
        <v>44381</v>
      </c>
      <c r="B6" s="3">
        <v>416271</v>
      </c>
      <c r="C6" s="49">
        <f t="shared" si="5"/>
        <v>1450</v>
      </c>
      <c r="D6" s="3">
        <f t="shared" ref="D6:D33" si="11">D5</f>
        <v>4377000</v>
      </c>
      <c r="E6" s="49">
        <f t="shared" si="6"/>
        <v>0</v>
      </c>
      <c r="F6" s="3">
        <v>3899700</v>
      </c>
      <c r="G6" s="49">
        <f t="shared" si="9"/>
        <v>475.2</v>
      </c>
      <c r="H6" s="3">
        <v>738812</v>
      </c>
      <c r="I6" s="54">
        <f t="shared" si="10"/>
        <v>2.484</v>
      </c>
      <c r="J6" s="23">
        <f t="shared" si="7"/>
        <v>1927.684</v>
      </c>
      <c r="K6" s="24">
        <f t="shared" si="8"/>
        <v>11296.22824</v>
      </c>
    </row>
    <row r="7" spans="1:14" ht="16.5" thickBot="1" x14ac:dyDescent="0.3">
      <c r="A7" s="10">
        <v>44382</v>
      </c>
      <c r="B7" s="3">
        <v>416416</v>
      </c>
      <c r="C7" s="49">
        <f t="shared" si="5"/>
        <v>1450</v>
      </c>
      <c r="D7" s="3">
        <v>4377000</v>
      </c>
      <c r="E7" s="49">
        <f t="shared" si="6"/>
        <v>0</v>
      </c>
      <c r="F7" s="3">
        <v>3916200</v>
      </c>
      <c r="G7" s="49">
        <f t="shared" si="9"/>
        <v>445.5</v>
      </c>
      <c r="H7" s="3">
        <v>738890</v>
      </c>
      <c r="I7" s="54">
        <f t="shared" si="10"/>
        <v>2.1059999999999999</v>
      </c>
      <c r="J7" s="23">
        <f t="shared" si="7"/>
        <v>1897.606</v>
      </c>
      <c r="K7" s="24">
        <f t="shared" si="8"/>
        <v>11119.971160000001</v>
      </c>
      <c r="L7" t="s">
        <v>12</v>
      </c>
      <c r="N7" t="s">
        <v>12</v>
      </c>
    </row>
    <row r="8" spans="1:14" ht="16.5" thickBot="1" x14ac:dyDescent="0.3">
      <c r="A8" s="10">
        <v>44383</v>
      </c>
      <c r="B8" s="3">
        <v>416606</v>
      </c>
      <c r="C8" s="49">
        <f t="shared" si="5"/>
        <v>1900</v>
      </c>
      <c r="D8" s="3">
        <v>4377000</v>
      </c>
      <c r="E8" s="49">
        <f t="shared" si="6"/>
        <v>0</v>
      </c>
      <c r="F8" s="3">
        <v>3939200</v>
      </c>
      <c r="G8" s="49">
        <f t="shared" si="9"/>
        <v>621</v>
      </c>
      <c r="H8" s="3">
        <v>739000</v>
      </c>
      <c r="I8" s="54">
        <f t="shared" si="10"/>
        <v>2.9699999999999998</v>
      </c>
      <c r="J8" s="23">
        <f t="shared" si="7"/>
        <v>2523.9699999999998</v>
      </c>
      <c r="K8" s="24">
        <f t="shared" si="8"/>
        <v>14790.4642</v>
      </c>
    </row>
    <row r="9" spans="1:14" ht="16.5" thickBot="1" x14ac:dyDescent="0.3">
      <c r="A9" s="10">
        <v>44384</v>
      </c>
      <c r="B9" s="3">
        <v>416756</v>
      </c>
      <c r="C9" s="49">
        <f t="shared" ref="C9:C33" si="12">(IF((B9-B8)&lt;0,"0",(B9-B8)))*10</f>
        <v>1500</v>
      </c>
      <c r="D9" s="3">
        <v>4377000</v>
      </c>
      <c r="E9" s="49">
        <f t="shared" si="6"/>
        <v>0</v>
      </c>
      <c r="F9" s="3">
        <v>3955300</v>
      </c>
      <c r="G9" s="49">
        <f t="shared" si="9"/>
        <v>434.7</v>
      </c>
      <c r="H9" s="3">
        <v>739093</v>
      </c>
      <c r="I9" s="54">
        <f t="shared" si="10"/>
        <v>2.5110000000000001</v>
      </c>
      <c r="J9" s="23">
        <f t="shared" si="7"/>
        <v>1937.211</v>
      </c>
      <c r="K9" s="24">
        <f t="shared" si="8"/>
        <v>11352.05646</v>
      </c>
    </row>
    <row r="10" spans="1:14" ht="16.5" thickBot="1" x14ac:dyDescent="0.3">
      <c r="A10" s="10">
        <v>44385</v>
      </c>
      <c r="B10" s="3">
        <v>416926</v>
      </c>
      <c r="C10" s="49">
        <f>(IF((B10-B9)&lt;0,"0",(B10-B9)))*10</f>
        <v>1700</v>
      </c>
      <c r="D10" s="3">
        <v>4377000</v>
      </c>
      <c r="E10" s="49">
        <f t="shared" si="6"/>
        <v>0</v>
      </c>
      <c r="F10" s="3">
        <v>3972600</v>
      </c>
      <c r="G10" s="49">
        <f t="shared" si="9"/>
        <v>467.1</v>
      </c>
      <c r="H10" s="3">
        <v>739187</v>
      </c>
      <c r="I10" s="54">
        <f t="shared" si="10"/>
        <v>2.5379999999999998</v>
      </c>
      <c r="J10" s="23">
        <f t="shared" si="7"/>
        <v>2169.6379999999999</v>
      </c>
      <c r="K10" s="24">
        <f t="shared" si="8"/>
        <v>12714.078680000001</v>
      </c>
    </row>
    <row r="11" spans="1:14" ht="16.5" thickBot="1" x14ac:dyDescent="0.3">
      <c r="A11" s="10">
        <v>44386</v>
      </c>
      <c r="B11" s="3">
        <v>417129</v>
      </c>
      <c r="C11" s="49">
        <f t="shared" si="12"/>
        <v>2030</v>
      </c>
      <c r="D11" s="3">
        <v>4377000</v>
      </c>
      <c r="E11" s="49">
        <f t="shared" si="6"/>
        <v>0</v>
      </c>
      <c r="F11" s="3">
        <v>3996000</v>
      </c>
      <c r="G11" s="49">
        <f t="shared" si="9"/>
        <v>631.79999999999995</v>
      </c>
      <c r="H11" s="3">
        <v>739278</v>
      </c>
      <c r="I11" s="54">
        <f t="shared" si="10"/>
        <v>2.4569999999999999</v>
      </c>
      <c r="J11" s="23">
        <f t="shared" si="7"/>
        <v>2664.2570000000001</v>
      </c>
      <c r="K11" s="24">
        <f t="shared" si="8"/>
        <v>15612.546020000002</v>
      </c>
      <c r="N11" t="s">
        <v>12</v>
      </c>
    </row>
    <row r="12" spans="1:14" ht="16.5" thickBot="1" x14ac:dyDescent="0.3">
      <c r="A12" s="10">
        <v>44387</v>
      </c>
      <c r="B12" s="3">
        <v>417265</v>
      </c>
      <c r="C12" s="49">
        <f t="shared" si="12"/>
        <v>1360</v>
      </c>
      <c r="D12" s="3">
        <v>4377000</v>
      </c>
      <c r="E12" s="49">
        <f t="shared" si="6"/>
        <v>0</v>
      </c>
      <c r="F12" s="3">
        <v>4012700</v>
      </c>
      <c r="G12" s="49">
        <f t="shared" si="9"/>
        <v>450.9</v>
      </c>
      <c r="H12" s="3">
        <v>739375</v>
      </c>
      <c r="I12" s="54">
        <f t="shared" si="10"/>
        <v>2.6189999999999998</v>
      </c>
      <c r="J12" s="23">
        <f t="shared" si="7"/>
        <v>1813.519</v>
      </c>
      <c r="K12" s="24">
        <f t="shared" si="8"/>
        <v>10627.22134</v>
      </c>
    </row>
    <row r="13" spans="1:14" ht="16.5" thickBot="1" x14ac:dyDescent="0.3">
      <c r="A13" s="10">
        <v>44388</v>
      </c>
      <c r="B13" s="3">
        <v>417401</v>
      </c>
      <c r="C13" s="49">
        <f t="shared" si="12"/>
        <v>1360</v>
      </c>
      <c r="D13" s="3">
        <v>4377000</v>
      </c>
      <c r="E13" s="49">
        <f t="shared" si="6"/>
        <v>0</v>
      </c>
      <c r="F13" s="3">
        <v>4035100</v>
      </c>
      <c r="G13" s="49">
        <f t="shared" si="9"/>
        <v>604.79999999999995</v>
      </c>
      <c r="H13" s="3">
        <v>739504</v>
      </c>
      <c r="I13" s="54">
        <f t="shared" si="10"/>
        <v>3.4830000000000001</v>
      </c>
      <c r="J13" s="23">
        <f t="shared" si="7"/>
        <v>1968.2829999999999</v>
      </c>
      <c r="K13" s="24">
        <f t="shared" si="8"/>
        <v>11534.13838</v>
      </c>
    </row>
    <row r="14" spans="1:14" ht="16.5" thickBot="1" x14ac:dyDescent="0.3">
      <c r="A14" s="10">
        <v>44389</v>
      </c>
      <c r="B14" s="3">
        <v>417570</v>
      </c>
      <c r="C14" s="49">
        <f t="shared" si="12"/>
        <v>1690</v>
      </c>
      <c r="D14" s="3">
        <v>4377000</v>
      </c>
      <c r="E14" s="49">
        <f t="shared" si="6"/>
        <v>0</v>
      </c>
      <c r="F14" s="3">
        <v>4053100</v>
      </c>
      <c r="G14" s="49">
        <f t="shared" si="9"/>
        <v>486</v>
      </c>
      <c r="H14" s="3">
        <v>739611</v>
      </c>
      <c r="I14" s="54">
        <f t="shared" si="10"/>
        <v>2.8889999999999998</v>
      </c>
      <c r="J14" s="23">
        <f t="shared" si="7"/>
        <v>2178.8890000000001</v>
      </c>
      <c r="K14" s="24">
        <f t="shared" si="8"/>
        <v>12768.289540000002</v>
      </c>
    </row>
    <row r="15" spans="1:14" ht="16.5" thickBot="1" x14ac:dyDescent="0.3">
      <c r="A15" s="10">
        <v>44390</v>
      </c>
      <c r="B15" s="3">
        <v>417715</v>
      </c>
      <c r="C15" s="49">
        <f t="shared" si="12"/>
        <v>1450</v>
      </c>
      <c r="D15" s="3">
        <v>4377000</v>
      </c>
      <c r="E15" s="49">
        <f t="shared" si="6"/>
        <v>0</v>
      </c>
      <c r="F15" s="3">
        <v>4070900</v>
      </c>
      <c r="G15" s="49">
        <f t="shared" si="9"/>
        <v>480.6</v>
      </c>
      <c r="H15" s="3">
        <v>739708</v>
      </c>
      <c r="I15" s="54">
        <f t="shared" si="10"/>
        <v>2.6189999999999998</v>
      </c>
      <c r="J15" s="23">
        <f t="shared" si="7"/>
        <v>1933.2189999999998</v>
      </c>
      <c r="K15" s="24">
        <f t="shared" si="8"/>
        <v>11328.663339999999</v>
      </c>
    </row>
    <row r="16" spans="1:14" ht="16.5" thickBot="1" x14ac:dyDescent="0.3">
      <c r="A16" s="10">
        <v>44391</v>
      </c>
      <c r="B16" s="3">
        <v>417850</v>
      </c>
      <c r="C16" s="49">
        <f t="shared" si="12"/>
        <v>1350</v>
      </c>
      <c r="D16" s="3">
        <f t="shared" si="11"/>
        <v>4377000</v>
      </c>
      <c r="E16" s="49">
        <f t="shared" si="6"/>
        <v>0</v>
      </c>
      <c r="F16" s="3">
        <v>4090500</v>
      </c>
      <c r="G16" s="49">
        <f t="shared" si="9"/>
        <v>529.20000000000005</v>
      </c>
      <c r="H16" s="3">
        <v>739844</v>
      </c>
      <c r="I16" s="54">
        <f t="shared" si="10"/>
        <v>3.6720000000000002</v>
      </c>
      <c r="J16" s="23">
        <f t="shared" si="7"/>
        <v>1882.8720000000001</v>
      </c>
      <c r="K16" s="24">
        <f t="shared" si="8"/>
        <v>11033.629920000001</v>
      </c>
    </row>
    <row r="17" spans="1:25" ht="16.5" thickBot="1" x14ac:dyDescent="0.3">
      <c r="A17" s="10">
        <v>44392</v>
      </c>
      <c r="B17" s="3">
        <v>417943</v>
      </c>
      <c r="C17" s="49">
        <f t="shared" si="12"/>
        <v>930</v>
      </c>
      <c r="D17" s="3">
        <f t="shared" si="11"/>
        <v>4377000</v>
      </c>
      <c r="E17" s="49">
        <f t="shared" si="6"/>
        <v>0</v>
      </c>
      <c r="F17" s="3">
        <v>4108800</v>
      </c>
      <c r="G17" s="49">
        <f t="shared" si="9"/>
        <v>494.1</v>
      </c>
      <c r="H17" s="3">
        <v>739971</v>
      </c>
      <c r="I17" s="54">
        <f t="shared" si="10"/>
        <v>3.4289999999999998</v>
      </c>
      <c r="J17" s="23">
        <f t="shared" si="7"/>
        <v>1427.529</v>
      </c>
      <c r="K17" s="24">
        <f t="shared" si="8"/>
        <v>8365.3199400000012</v>
      </c>
      <c r="P17" t="s">
        <v>12</v>
      </c>
      <c r="R17" t="s">
        <v>12</v>
      </c>
    </row>
    <row r="18" spans="1:25" ht="16.5" thickBot="1" x14ac:dyDescent="0.3">
      <c r="A18" s="10">
        <v>44393</v>
      </c>
      <c r="B18" s="3">
        <v>418054</v>
      </c>
      <c r="C18" s="49">
        <f t="shared" si="12"/>
        <v>1110</v>
      </c>
      <c r="D18" s="3">
        <f t="shared" si="11"/>
        <v>4377000</v>
      </c>
      <c r="E18" s="49">
        <f t="shared" si="6"/>
        <v>0</v>
      </c>
      <c r="F18" s="3">
        <v>4130300</v>
      </c>
      <c r="G18" s="49">
        <f t="shared" si="9"/>
        <v>580.5</v>
      </c>
      <c r="H18" s="3">
        <v>740091</v>
      </c>
      <c r="I18" s="54">
        <f t="shared" si="10"/>
        <v>3.2399999999999998</v>
      </c>
      <c r="J18" s="23">
        <f t="shared" si="7"/>
        <v>1693.74</v>
      </c>
      <c r="K18" s="24">
        <f t="shared" si="8"/>
        <v>9925.3163999999997</v>
      </c>
      <c r="Q18" t="s">
        <v>43</v>
      </c>
    </row>
    <row r="19" spans="1:25" ht="16.5" thickBot="1" x14ac:dyDescent="0.3">
      <c r="A19" s="10">
        <v>44394</v>
      </c>
      <c r="B19" s="3">
        <v>418139</v>
      </c>
      <c r="C19" s="49">
        <f t="shared" si="12"/>
        <v>850</v>
      </c>
      <c r="D19" s="3">
        <v>4377000</v>
      </c>
      <c r="E19" s="49">
        <f t="shared" si="6"/>
        <v>0</v>
      </c>
      <c r="F19" s="3">
        <v>4147600</v>
      </c>
      <c r="G19" s="49">
        <f t="shared" si="9"/>
        <v>467.1</v>
      </c>
      <c r="H19" s="3">
        <v>740170</v>
      </c>
      <c r="I19" s="54">
        <f t="shared" si="10"/>
        <v>2.133</v>
      </c>
      <c r="J19" s="23">
        <f t="shared" si="7"/>
        <v>1319.2329999999999</v>
      </c>
      <c r="K19" s="24">
        <f t="shared" si="8"/>
        <v>7730.7053800000003</v>
      </c>
      <c r="Q19" t="s">
        <v>12</v>
      </c>
    </row>
    <row r="20" spans="1:25" ht="16.5" thickBot="1" x14ac:dyDescent="0.3">
      <c r="A20" s="10">
        <v>44395</v>
      </c>
      <c r="B20" s="3">
        <f t="shared" ref="B20:B33" si="13">B19</f>
        <v>418139</v>
      </c>
      <c r="C20" s="49">
        <f t="shared" si="12"/>
        <v>0</v>
      </c>
      <c r="D20" s="3">
        <f t="shared" si="11"/>
        <v>4377000</v>
      </c>
      <c r="E20" s="49">
        <f t="shared" si="6"/>
        <v>0</v>
      </c>
      <c r="F20" s="3">
        <f t="shared" ref="F20:F33" si="14">F19</f>
        <v>4147600</v>
      </c>
      <c r="G20" s="49">
        <f t="shared" si="9"/>
        <v>0</v>
      </c>
      <c r="H20" s="3">
        <f t="shared" ref="H20:H33" si="15">H19</f>
        <v>740170</v>
      </c>
      <c r="I20" s="54">
        <f t="shared" si="10"/>
        <v>0</v>
      </c>
      <c r="J20" s="23">
        <f t="shared" si="7"/>
        <v>0</v>
      </c>
      <c r="K20" s="24">
        <f t="shared" si="8"/>
        <v>0</v>
      </c>
    </row>
    <row r="21" spans="1:25" ht="16.5" thickBot="1" x14ac:dyDescent="0.3">
      <c r="A21" s="10">
        <v>44396</v>
      </c>
      <c r="B21" s="3">
        <v>418348</v>
      </c>
      <c r="C21" s="49">
        <f t="shared" si="12"/>
        <v>2090</v>
      </c>
      <c r="D21" s="3">
        <v>4377000</v>
      </c>
      <c r="E21" s="49">
        <f t="shared" si="6"/>
        <v>0</v>
      </c>
      <c r="F21" s="3">
        <v>4187000</v>
      </c>
      <c r="G21" s="49">
        <f t="shared" si="9"/>
        <v>1063.8</v>
      </c>
      <c r="H21" s="3">
        <v>740386</v>
      </c>
      <c r="I21" s="54">
        <f t="shared" si="10"/>
        <v>5.8319999999999999</v>
      </c>
      <c r="J21" s="23">
        <f t="shared" si="7"/>
        <v>3159.6320000000001</v>
      </c>
      <c r="K21" s="24">
        <f t="shared" si="8"/>
        <v>18515.443520000001</v>
      </c>
    </row>
    <row r="22" spans="1:25" ht="16.5" thickBot="1" x14ac:dyDescent="0.3">
      <c r="A22" s="10">
        <v>44397</v>
      </c>
      <c r="B22" s="3">
        <v>418451</v>
      </c>
      <c r="C22" s="49">
        <f t="shared" si="12"/>
        <v>1030</v>
      </c>
      <c r="D22" s="3">
        <f t="shared" si="11"/>
        <v>4377000</v>
      </c>
      <c r="E22" s="49">
        <f t="shared" si="6"/>
        <v>0</v>
      </c>
      <c r="F22" s="3">
        <v>4207000</v>
      </c>
      <c r="G22" s="49">
        <f t="shared" si="9"/>
        <v>540</v>
      </c>
      <c r="H22" s="3">
        <v>740490</v>
      </c>
      <c r="I22" s="54">
        <f t="shared" si="10"/>
        <v>2.8079999999999998</v>
      </c>
      <c r="J22" s="23">
        <f t="shared" si="7"/>
        <v>1572.808</v>
      </c>
      <c r="K22" s="24">
        <f t="shared" si="8"/>
        <v>9216.65488</v>
      </c>
      <c r="P22" t="s">
        <v>12</v>
      </c>
      <c r="S22" s="36" t="s">
        <v>12</v>
      </c>
    </row>
    <row r="23" spans="1:25" ht="16.5" thickBot="1" x14ac:dyDescent="0.3">
      <c r="A23" s="10">
        <v>44398</v>
      </c>
      <c r="B23" s="3">
        <v>418569</v>
      </c>
      <c r="C23" s="49">
        <f t="shared" si="12"/>
        <v>1180</v>
      </c>
      <c r="D23" s="3">
        <f t="shared" si="11"/>
        <v>4377000</v>
      </c>
      <c r="E23" s="49">
        <f t="shared" si="6"/>
        <v>0</v>
      </c>
      <c r="F23" s="3">
        <v>4231800</v>
      </c>
      <c r="G23" s="49">
        <f t="shared" si="9"/>
        <v>669.6</v>
      </c>
      <c r="H23" s="3">
        <v>740584</v>
      </c>
      <c r="I23" s="54">
        <f t="shared" si="10"/>
        <v>2.5379999999999998</v>
      </c>
      <c r="J23" s="23">
        <f t="shared" si="7"/>
        <v>1852.1379999999999</v>
      </c>
      <c r="K23" s="24">
        <f t="shared" si="8"/>
        <v>10853.528679999999</v>
      </c>
      <c r="Q23" t="s">
        <v>12</v>
      </c>
    </row>
    <row r="24" spans="1:25" ht="16.5" thickBot="1" x14ac:dyDescent="0.3">
      <c r="A24" s="10">
        <v>44399</v>
      </c>
      <c r="B24" s="3">
        <v>418668</v>
      </c>
      <c r="C24" s="49">
        <f t="shared" si="12"/>
        <v>990</v>
      </c>
      <c r="D24" s="3">
        <f t="shared" si="11"/>
        <v>4377000</v>
      </c>
      <c r="E24" s="49">
        <f t="shared" si="6"/>
        <v>0</v>
      </c>
      <c r="F24" s="3">
        <v>4252400</v>
      </c>
      <c r="G24" s="49">
        <f t="shared" si="9"/>
        <v>556.20000000000005</v>
      </c>
      <c r="H24" s="3">
        <v>740643</v>
      </c>
      <c r="I24" s="54">
        <f t="shared" si="10"/>
        <v>1.593</v>
      </c>
      <c r="J24" s="23">
        <f t="shared" si="7"/>
        <v>1547.7930000000001</v>
      </c>
      <c r="K24" s="24">
        <f t="shared" si="8"/>
        <v>9070.0669800000014</v>
      </c>
    </row>
    <row r="25" spans="1:25" ht="17.25" customHeight="1" thickBot="1" x14ac:dyDescent="0.4">
      <c r="A25" s="10">
        <v>44400</v>
      </c>
      <c r="B25" s="3">
        <v>418771</v>
      </c>
      <c r="C25" s="49">
        <f t="shared" si="12"/>
        <v>1030</v>
      </c>
      <c r="D25" s="3">
        <f t="shared" si="11"/>
        <v>4377000</v>
      </c>
      <c r="E25" s="49">
        <f t="shared" si="6"/>
        <v>0</v>
      </c>
      <c r="F25" s="3">
        <v>4274100</v>
      </c>
      <c r="G25" s="49">
        <f>F25-F24</f>
        <v>21700</v>
      </c>
      <c r="H25" s="3">
        <v>740734</v>
      </c>
      <c r="I25" s="54">
        <f t="shared" si="10"/>
        <v>2.4569999999999999</v>
      </c>
      <c r="J25" s="23">
        <f t="shared" si="7"/>
        <v>22732.456999999999</v>
      </c>
      <c r="K25" s="24">
        <f t="shared" si="8"/>
        <v>133212.19802000001</v>
      </c>
      <c r="Y25" s="65"/>
    </row>
    <row r="26" spans="1:25" ht="16.5" thickBot="1" x14ac:dyDescent="0.3">
      <c r="A26" s="10">
        <v>44401</v>
      </c>
      <c r="B26" s="3">
        <v>418894</v>
      </c>
      <c r="C26" s="49">
        <f t="shared" si="12"/>
        <v>1230</v>
      </c>
      <c r="D26" s="3">
        <f t="shared" si="11"/>
        <v>4377000</v>
      </c>
      <c r="E26" s="49">
        <f t="shared" si="6"/>
        <v>0</v>
      </c>
      <c r="F26" s="3">
        <v>4296700</v>
      </c>
      <c r="G26" s="49">
        <f t="shared" si="9"/>
        <v>610.20000000000005</v>
      </c>
      <c r="H26" s="3">
        <v>740823</v>
      </c>
      <c r="I26" s="54">
        <f t="shared" si="10"/>
        <v>2.403</v>
      </c>
      <c r="J26" s="23">
        <f t="shared" si="7"/>
        <v>1842.6030000000001</v>
      </c>
      <c r="K26" s="24">
        <f t="shared" si="8"/>
        <v>10797.65358</v>
      </c>
      <c r="L26" t="s">
        <v>12</v>
      </c>
    </row>
    <row r="27" spans="1:25" ht="16.5" thickBot="1" x14ac:dyDescent="0.3">
      <c r="A27" s="10">
        <v>44402</v>
      </c>
      <c r="B27" s="3">
        <v>419000</v>
      </c>
      <c r="C27" s="49">
        <f t="shared" si="12"/>
        <v>1060</v>
      </c>
      <c r="D27" s="3">
        <f t="shared" si="11"/>
        <v>4377000</v>
      </c>
      <c r="E27" s="49">
        <f t="shared" si="6"/>
        <v>0</v>
      </c>
      <c r="F27" s="3">
        <v>4317100</v>
      </c>
      <c r="G27" s="49">
        <f t="shared" si="9"/>
        <v>550.79999999999995</v>
      </c>
      <c r="H27" s="3">
        <v>740940</v>
      </c>
      <c r="I27" s="54">
        <f t="shared" si="10"/>
        <v>3.1589999999999998</v>
      </c>
      <c r="J27" s="23">
        <f t="shared" si="7"/>
        <v>1613.9590000000001</v>
      </c>
      <c r="K27" s="24">
        <f t="shared" si="8"/>
        <v>9457.7997400000004</v>
      </c>
      <c r="O27" t="s">
        <v>12</v>
      </c>
    </row>
    <row r="28" spans="1:25" ht="16.5" thickBot="1" x14ac:dyDescent="0.3">
      <c r="A28" s="10">
        <v>44403</v>
      </c>
      <c r="B28" s="3">
        <f t="shared" si="13"/>
        <v>419000</v>
      </c>
      <c r="C28" s="49">
        <f t="shared" si="12"/>
        <v>0</v>
      </c>
      <c r="D28" s="3">
        <f t="shared" si="11"/>
        <v>4377000</v>
      </c>
      <c r="E28" s="49">
        <f t="shared" si="6"/>
        <v>0</v>
      </c>
      <c r="F28" s="3">
        <f t="shared" si="14"/>
        <v>4317100</v>
      </c>
      <c r="G28" s="49">
        <f t="shared" si="9"/>
        <v>0</v>
      </c>
      <c r="H28" s="3">
        <f t="shared" si="15"/>
        <v>740940</v>
      </c>
      <c r="I28" s="54">
        <f t="shared" si="10"/>
        <v>0</v>
      </c>
      <c r="J28" s="23">
        <f t="shared" si="7"/>
        <v>0</v>
      </c>
      <c r="K28" s="24">
        <f t="shared" si="8"/>
        <v>0</v>
      </c>
    </row>
    <row r="29" spans="1:25" ht="16.5" thickBot="1" x14ac:dyDescent="0.3">
      <c r="A29" s="10">
        <v>44404</v>
      </c>
      <c r="B29" s="3">
        <f t="shared" si="13"/>
        <v>419000</v>
      </c>
      <c r="C29" s="49">
        <f t="shared" si="12"/>
        <v>0</v>
      </c>
      <c r="D29" s="3">
        <f t="shared" si="11"/>
        <v>4377000</v>
      </c>
      <c r="E29" s="49">
        <f t="shared" si="6"/>
        <v>0</v>
      </c>
      <c r="F29" s="3">
        <f t="shared" si="14"/>
        <v>4317100</v>
      </c>
      <c r="G29" s="49">
        <f t="shared" si="9"/>
        <v>0</v>
      </c>
      <c r="H29" s="3">
        <f t="shared" si="15"/>
        <v>740940</v>
      </c>
      <c r="I29" s="54">
        <f t="shared" si="10"/>
        <v>0</v>
      </c>
      <c r="J29" s="23">
        <f t="shared" si="7"/>
        <v>0</v>
      </c>
      <c r="K29" s="24">
        <f t="shared" si="8"/>
        <v>0</v>
      </c>
    </row>
    <row r="30" spans="1:25" ht="16.5" thickBot="1" x14ac:dyDescent="0.3">
      <c r="A30" s="10">
        <v>44405</v>
      </c>
      <c r="B30" s="3">
        <f t="shared" si="13"/>
        <v>419000</v>
      </c>
      <c r="C30" s="49">
        <f t="shared" si="12"/>
        <v>0</v>
      </c>
      <c r="D30" s="3">
        <f t="shared" si="11"/>
        <v>4377000</v>
      </c>
      <c r="E30" s="49">
        <f t="shared" si="6"/>
        <v>0</v>
      </c>
      <c r="F30" s="3">
        <f t="shared" si="14"/>
        <v>4317100</v>
      </c>
      <c r="G30" s="49">
        <f t="shared" si="9"/>
        <v>0</v>
      </c>
      <c r="H30" s="3">
        <f t="shared" si="15"/>
        <v>740940</v>
      </c>
      <c r="I30" s="54">
        <f t="shared" si="10"/>
        <v>0</v>
      </c>
      <c r="J30" s="23">
        <f t="shared" si="7"/>
        <v>0</v>
      </c>
      <c r="K30" s="24">
        <f t="shared" si="8"/>
        <v>0</v>
      </c>
    </row>
    <row r="31" spans="1:25" ht="16.5" thickBot="1" x14ac:dyDescent="0.3">
      <c r="A31" s="10">
        <v>44406</v>
      </c>
      <c r="B31" s="3">
        <f t="shared" si="13"/>
        <v>419000</v>
      </c>
      <c r="C31" s="49">
        <f t="shared" si="12"/>
        <v>0</v>
      </c>
      <c r="D31" s="3">
        <f t="shared" si="11"/>
        <v>4377000</v>
      </c>
      <c r="E31" s="49">
        <f t="shared" si="6"/>
        <v>0</v>
      </c>
      <c r="F31" s="3">
        <f t="shared" si="14"/>
        <v>4317100</v>
      </c>
      <c r="G31" s="49">
        <f t="shared" si="9"/>
        <v>0</v>
      </c>
      <c r="H31" s="3">
        <f t="shared" si="15"/>
        <v>740940</v>
      </c>
      <c r="I31" s="54">
        <f t="shared" si="10"/>
        <v>0</v>
      </c>
      <c r="J31" s="23">
        <f t="shared" si="7"/>
        <v>0</v>
      </c>
      <c r="K31" s="24">
        <f t="shared" si="8"/>
        <v>0</v>
      </c>
    </row>
    <row r="32" spans="1:25" ht="16.5" thickBot="1" x14ac:dyDescent="0.3">
      <c r="A32" s="10">
        <v>44407</v>
      </c>
      <c r="B32" s="3">
        <f t="shared" si="13"/>
        <v>419000</v>
      </c>
      <c r="C32" s="49">
        <f t="shared" si="12"/>
        <v>0</v>
      </c>
      <c r="D32" s="3">
        <f t="shared" si="11"/>
        <v>4377000</v>
      </c>
      <c r="E32" s="49">
        <f t="shared" si="6"/>
        <v>0</v>
      </c>
      <c r="F32" s="3">
        <f t="shared" si="14"/>
        <v>4317100</v>
      </c>
      <c r="G32" s="49">
        <f t="shared" si="9"/>
        <v>0</v>
      </c>
      <c r="H32" s="3">
        <f t="shared" si="15"/>
        <v>740940</v>
      </c>
      <c r="I32" s="54">
        <f t="shared" si="10"/>
        <v>0</v>
      </c>
      <c r="J32" s="23">
        <f t="shared" si="7"/>
        <v>0</v>
      </c>
      <c r="K32" s="24">
        <f t="shared" si="8"/>
        <v>0</v>
      </c>
    </row>
    <row r="33" spans="1:11" ht="16.5" thickBot="1" x14ac:dyDescent="0.3">
      <c r="A33" s="10">
        <v>44408</v>
      </c>
      <c r="B33" s="3">
        <f t="shared" si="13"/>
        <v>419000</v>
      </c>
      <c r="C33" s="49">
        <f t="shared" si="12"/>
        <v>0</v>
      </c>
      <c r="D33" s="3">
        <f t="shared" si="11"/>
        <v>4377000</v>
      </c>
      <c r="E33" s="49">
        <f t="shared" si="6"/>
        <v>0</v>
      </c>
      <c r="F33" s="3">
        <f t="shared" si="14"/>
        <v>4317100</v>
      </c>
      <c r="G33" s="49">
        <f t="shared" si="9"/>
        <v>0</v>
      </c>
      <c r="H33" s="3">
        <f t="shared" si="15"/>
        <v>740940</v>
      </c>
      <c r="I33" s="54">
        <f t="shared" si="10"/>
        <v>0</v>
      </c>
      <c r="J33" s="23">
        <f t="shared" si="7"/>
        <v>0</v>
      </c>
      <c r="K33" s="24">
        <f t="shared" si="8"/>
        <v>0</v>
      </c>
    </row>
    <row r="34" spans="1:11" ht="21" thickBot="1" x14ac:dyDescent="0.3">
      <c r="A34" s="9" t="s">
        <v>23</v>
      </c>
      <c r="B34" s="3"/>
      <c r="C34" s="66">
        <f>SUM(C3:C33)</f>
        <v>33120</v>
      </c>
      <c r="D34" s="3"/>
      <c r="E34" s="66">
        <f>SUM(E3:E33)</f>
        <v>0</v>
      </c>
      <c r="F34" s="3"/>
      <c r="G34" s="66">
        <f>SUM(G3:G33)</f>
        <v>34360.300000000003</v>
      </c>
      <c r="H34" s="3"/>
      <c r="I34" s="66">
        <f>SUM(I3:I33)</f>
        <v>67.284000000000006</v>
      </c>
      <c r="J34" s="66">
        <f>SUM(J3:J33)</f>
        <v>67547.583999999988</v>
      </c>
      <c r="K34" s="66">
        <f>SUM(K3:K33)</f>
        <v>395828.84224000003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3" zoomScale="80" zoomScaleNormal="55" zoomScaleSheetLayoutView="80" workbookViewId="0">
      <pane xSplit="1" topLeftCell="B1" activePane="topRight" state="frozen"/>
      <selection pane="topRight" activeCell="B31" sqref="B3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44377</v>
      </c>
      <c r="B2" s="154">
        <v>17435439</v>
      </c>
      <c r="C2" s="55"/>
    </row>
    <row r="3" spans="1:9" ht="24" thickBot="1" x14ac:dyDescent="0.4">
      <c r="A3" s="10">
        <v>44378</v>
      </c>
      <c r="B3" s="154">
        <v>17437564</v>
      </c>
      <c r="C3" s="55">
        <f>IF((B3-B2)&lt;0,"0",(B3-B2))</f>
        <v>2125</v>
      </c>
    </row>
    <row r="4" spans="1:9" ht="24" thickBot="1" x14ac:dyDescent="0.4">
      <c r="A4" s="10">
        <v>44379</v>
      </c>
      <c r="B4" s="154">
        <v>17439621</v>
      </c>
      <c r="C4" s="55">
        <f t="shared" ref="C4:C30" si="0">IF((B4-B3)&lt;0,"0",(B4-B3))</f>
        <v>2057</v>
      </c>
    </row>
    <row r="5" spans="1:9" ht="24" thickBot="1" x14ac:dyDescent="0.4">
      <c r="A5" s="10">
        <v>44380</v>
      </c>
      <c r="B5" s="154">
        <v>17441773</v>
      </c>
      <c r="C5" s="55">
        <f t="shared" si="0"/>
        <v>2152</v>
      </c>
    </row>
    <row r="6" spans="1:9" ht="24" thickBot="1" x14ac:dyDescent="0.4">
      <c r="A6" s="10">
        <v>44381</v>
      </c>
      <c r="B6" s="154">
        <v>17443995</v>
      </c>
      <c r="C6" s="55">
        <f>IF((B6-B5)&lt;0,"0",(B6-B5))</f>
        <v>2222</v>
      </c>
    </row>
    <row r="7" spans="1:9" ht="24" thickBot="1" x14ac:dyDescent="0.4">
      <c r="A7" s="10">
        <v>44382</v>
      </c>
      <c r="B7" s="154">
        <v>17446307</v>
      </c>
      <c r="C7" s="55">
        <f>IF((B7-B6)&lt;0,"0",(B7-B6))</f>
        <v>2312</v>
      </c>
    </row>
    <row r="8" spans="1:9" ht="24" thickBot="1" x14ac:dyDescent="0.4">
      <c r="A8" s="10">
        <v>44383</v>
      </c>
      <c r="B8" s="154">
        <v>17448400</v>
      </c>
      <c r="C8" s="55">
        <f>IF((B8-B7)&lt;0,"0",(B8-B7))</f>
        <v>2093</v>
      </c>
    </row>
    <row r="9" spans="1:9" ht="24" thickBot="1" x14ac:dyDescent="0.4">
      <c r="A9" s="10">
        <v>44384</v>
      </c>
      <c r="B9" s="154">
        <v>17450509</v>
      </c>
      <c r="C9" s="55">
        <f t="shared" si="0"/>
        <v>2109</v>
      </c>
    </row>
    <row r="10" spans="1:9" ht="24" thickBot="1" x14ac:dyDescent="0.4">
      <c r="A10" s="10">
        <v>44385</v>
      </c>
      <c r="B10" s="154">
        <v>17452606</v>
      </c>
      <c r="C10" s="55">
        <f t="shared" si="0"/>
        <v>2097</v>
      </c>
    </row>
    <row r="11" spans="1:9" ht="24" thickBot="1" x14ac:dyDescent="0.4">
      <c r="A11" s="10">
        <v>44386</v>
      </c>
      <c r="B11" s="154">
        <v>17454141</v>
      </c>
      <c r="C11" s="55">
        <f>IF((B11-B10)&lt;0,"0",(B11-B10))</f>
        <v>1535</v>
      </c>
    </row>
    <row r="12" spans="1:9" ht="24" thickBot="1" x14ac:dyDescent="0.4">
      <c r="A12" s="10">
        <v>44387</v>
      </c>
      <c r="B12" s="154">
        <v>17456908</v>
      </c>
      <c r="C12" s="55">
        <f t="shared" si="0"/>
        <v>2767</v>
      </c>
    </row>
    <row r="13" spans="1:9" ht="24" thickBot="1" x14ac:dyDescent="0.4">
      <c r="A13" s="10">
        <v>44388</v>
      </c>
      <c r="B13" s="154">
        <v>17458795</v>
      </c>
      <c r="C13" s="55">
        <f t="shared" si="0"/>
        <v>1887</v>
      </c>
    </row>
    <row r="14" spans="1:9" ht="24" thickBot="1" x14ac:dyDescent="0.4">
      <c r="A14" s="10">
        <v>44389</v>
      </c>
      <c r="B14" s="154">
        <v>17460786</v>
      </c>
      <c r="C14" s="55">
        <f t="shared" si="0"/>
        <v>1991</v>
      </c>
    </row>
    <row r="15" spans="1:9" ht="24" thickBot="1" x14ac:dyDescent="0.4">
      <c r="A15" s="10">
        <v>44390</v>
      </c>
      <c r="B15" s="154">
        <v>17462620</v>
      </c>
      <c r="C15" s="55">
        <f t="shared" si="0"/>
        <v>1834</v>
      </c>
      <c r="I15" t="s">
        <v>12</v>
      </c>
    </row>
    <row r="16" spans="1:9" ht="26.25" customHeight="1" thickBot="1" x14ac:dyDescent="0.4">
      <c r="A16" s="10">
        <v>44391</v>
      </c>
      <c r="B16" s="154">
        <v>17464525</v>
      </c>
      <c r="C16" s="55">
        <f t="shared" si="0"/>
        <v>1905</v>
      </c>
    </row>
    <row r="17" spans="1:9" ht="25.5" customHeight="1" thickBot="1" x14ac:dyDescent="0.4">
      <c r="A17" s="10">
        <v>44392</v>
      </c>
      <c r="B17" s="154">
        <v>17466424</v>
      </c>
      <c r="C17" s="55">
        <f t="shared" si="0"/>
        <v>1899</v>
      </c>
      <c r="F17" s="152"/>
    </row>
    <row r="18" spans="1:9" ht="24" thickBot="1" x14ac:dyDescent="0.4">
      <c r="A18" s="10">
        <v>44393</v>
      </c>
      <c r="B18" s="154">
        <v>17468477</v>
      </c>
      <c r="C18" s="55">
        <f t="shared" si="0"/>
        <v>2053</v>
      </c>
    </row>
    <row r="19" spans="1:9" ht="24" thickBot="1" x14ac:dyDescent="0.4">
      <c r="A19" s="10">
        <v>44394</v>
      </c>
      <c r="B19" s="154">
        <v>17471254</v>
      </c>
      <c r="C19" s="55">
        <f t="shared" si="0"/>
        <v>2777</v>
      </c>
    </row>
    <row r="20" spans="1:9" ht="24" thickBot="1" x14ac:dyDescent="0.4">
      <c r="A20" s="10">
        <v>44395</v>
      </c>
      <c r="B20" s="154">
        <v>17473958</v>
      </c>
      <c r="C20" s="55">
        <f t="shared" si="0"/>
        <v>2704</v>
      </c>
    </row>
    <row r="21" spans="1:9" ht="24" thickBot="1" x14ac:dyDescent="0.4">
      <c r="A21" s="10">
        <v>44396</v>
      </c>
      <c r="B21" s="154">
        <v>17475735</v>
      </c>
      <c r="C21" s="55">
        <f t="shared" si="0"/>
        <v>1777</v>
      </c>
    </row>
    <row r="22" spans="1:9" ht="24" thickBot="1" x14ac:dyDescent="0.4">
      <c r="A22" s="10">
        <v>44397</v>
      </c>
      <c r="B22" s="154">
        <v>17477728</v>
      </c>
      <c r="C22" s="55">
        <f t="shared" si="0"/>
        <v>1993</v>
      </c>
    </row>
    <row r="23" spans="1:9" ht="24" thickBot="1" x14ac:dyDescent="0.4">
      <c r="A23" s="10">
        <v>44398</v>
      </c>
      <c r="B23" s="154">
        <v>17479884</v>
      </c>
      <c r="C23" s="55">
        <f t="shared" si="0"/>
        <v>2156</v>
      </c>
      <c r="F23" t="s">
        <v>12</v>
      </c>
    </row>
    <row r="24" spans="1:9" ht="24" thickBot="1" x14ac:dyDescent="0.4">
      <c r="A24" s="10">
        <v>44399</v>
      </c>
      <c r="B24" s="154">
        <v>17482116</v>
      </c>
      <c r="C24" s="55">
        <f t="shared" si="0"/>
        <v>2232</v>
      </c>
      <c r="E24" t="s">
        <v>12</v>
      </c>
    </row>
    <row r="25" spans="1:9" ht="24" thickBot="1" x14ac:dyDescent="0.4">
      <c r="A25" s="10">
        <v>44400</v>
      </c>
      <c r="B25" s="154">
        <v>17484301</v>
      </c>
      <c r="C25" s="55">
        <f t="shared" si="0"/>
        <v>2185</v>
      </c>
    </row>
    <row r="26" spans="1:9" ht="24" thickBot="1" x14ac:dyDescent="0.4">
      <c r="A26" s="10">
        <v>44401</v>
      </c>
      <c r="B26" s="154">
        <v>17486705</v>
      </c>
      <c r="C26" s="55">
        <f t="shared" si="0"/>
        <v>2404</v>
      </c>
    </row>
    <row r="27" spans="1:9" ht="24" thickBot="1" x14ac:dyDescent="0.4">
      <c r="A27" s="10">
        <v>44402</v>
      </c>
      <c r="B27" s="154">
        <v>17489025</v>
      </c>
      <c r="C27" s="55">
        <f t="shared" si="0"/>
        <v>2320</v>
      </c>
    </row>
    <row r="28" spans="1:9" ht="24" thickBot="1" x14ac:dyDescent="0.4">
      <c r="A28" s="10">
        <v>44403</v>
      </c>
      <c r="B28" s="154">
        <f t="shared" ref="B27:B33" si="1">B27</f>
        <v>17489025</v>
      </c>
      <c r="C28" s="55">
        <f t="shared" si="0"/>
        <v>0</v>
      </c>
      <c r="I28" t="s">
        <v>12</v>
      </c>
    </row>
    <row r="29" spans="1:9" ht="24" thickBot="1" x14ac:dyDescent="0.4">
      <c r="A29" s="10">
        <v>44404</v>
      </c>
      <c r="B29" s="154">
        <f t="shared" si="1"/>
        <v>17489025</v>
      </c>
      <c r="C29" s="55">
        <f t="shared" si="0"/>
        <v>0</v>
      </c>
    </row>
    <row r="30" spans="1:9" ht="24" thickBot="1" x14ac:dyDescent="0.4">
      <c r="A30" s="10">
        <v>44405</v>
      </c>
      <c r="B30" s="154">
        <f t="shared" si="1"/>
        <v>17489025</v>
      </c>
      <c r="C30" s="55">
        <f t="shared" si="0"/>
        <v>0</v>
      </c>
    </row>
    <row r="31" spans="1:9" ht="24" thickBot="1" x14ac:dyDescent="0.4">
      <c r="A31" s="10">
        <v>44406</v>
      </c>
      <c r="B31" s="154">
        <f t="shared" si="1"/>
        <v>17489025</v>
      </c>
      <c r="C31" s="55">
        <f>IF((B31-B30)&lt;0,"0",(B31-B30))</f>
        <v>0</v>
      </c>
    </row>
    <row r="32" spans="1:9" ht="24" thickBot="1" x14ac:dyDescent="0.4">
      <c r="A32" s="10">
        <v>44407</v>
      </c>
      <c r="B32" s="154">
        <f t="shared" si="1"/>
        <v>17489025</v>
      </c>
      <c r="C32" s="55">
        <f>IF((B32-B31)&lt;0,"0",(B32-B31))</f>
        <v>0</v>
      </c>
    </row>
    <row r="33" spans="1:3" ht="24" thickBot="1" x14ac:dyDescent="0.4">
      <c r="A33" s="10">
        <v>44408</v>
      </c>
      <c r="B33" s="154">
        <f t="shared" si="1"/>
        <v>17489025</v>
      </c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53586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G1" zoomScale="87" zoomScaleNormal="87" workbookViewId="0">
      <pane ySplit="1" topLeftCell="A5" activePane="bottomLeft" state="frozen"/>
      <selection pane="bottomLeft" activeCell="X27" sqref="X27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44377</v>
      </c>
      <c r="B2" s="1">
        <v>21066.855</v>
      </c>
      <c r="C2" s="54"/>
      <c r="D2" s="38"/>
      <c r="E2" s="1">
        <v>3691.165</v>
      </c>
      <c r="F2" s="54"/>
      <c r="G2" s="38"/>
      <c r="H2" s="1">
        <v>3399</v>
      </c>
      <c r="I2" s="54"/>
      <c r="J2" s="38"/>
      <c r="K2" s="7">
        <v>13480.26</v>
      </c>
      <c r="L2" s="54"/>
      <c r="M2" s="38"/>
      <c r="N2" s="7">
        <v>3095.377</v>
      </c>
      <c r="O2" s="54"/>
      <c r="P2" s="38"/>
      <c r="Q2" s="7">
        <v>4887.95</v>
      </c>
      <c r="R2" s="54"/>
      <c r="S2" s="38"/>
      <c r="T2" s="8"/>
      <c r="U2" s="40"/>
    </row>
    <row r="3" spans="1:25" ht="16.5" thickBot="1" x14ac:dyDescent="0.25">
      <c r="A3" s="10">
        <v>44378</v>
      </c>
      <c r="B3" s="1">
        <v>21079.438999999998</v>
      </c>
      <c r="C3" s="54">
        <f>IF((B3-B2)&lt;0,"0",(B3-B2))</f>
        <v>12.583999999998923</v>
      </c>
      <c r="D3" s="38">
        <f t="shared" ref="D3" si="0">C3*1.9*1000</f>
        <v>23909.59999999795</v>
      </c>
      <c r="E3" s="1">
        <v>3693.1979999999999</v>
      </c>
      <c r="F3" s="54">
        <f t="shared" ref="F3" si="1">IF((E3-E2)&lt;0,"0",(E3-E2))</f>
        <v>2.0329999999999018</v>
      </c>
      <c r="G3" s="38">
        <f t="shared" ref="G3" si="2">F3*1.9*1000</f>
        <v>3862.6999999998134</v>
      </c>
      <c r="H3" s="1">
        <v>3407</v>
      </c>
      <c r="I3" s="54">
        <f t="shared" ref="I3" si="3">IF((H3-H2)&lt;0,"0",(H3-H2))</f>
        <v>8</v>
      </c>
      <c r="J3" s="38">
        <f t="shared" ref="J3" si="4">I3*1.9*1000</f>
        <v>15200</v>
      </c>
      <c r="K3" s="7">
        <v>13482.29</v>
      </c>
      <c r="L3" s="54">
        <f t="shared" ref="L3" si="5">IF((K3-K2)&lt;0,"0",(K3-K2))</f>
        <v>2.0300000000006548</v>
      </c>
      <c r="M3" s="38">
        <f t="shared" ref="M3" si="6">L3*1.9*1000</f>
        <v>3857.0000000012442</v>
      </c>
      <c r="N3" s="7">
        <v>3096.6709999999998</v>
      </c>
      <c r="O3" s="54">
        <f t="shared" ref="O3" si="7">IF((N3-N2)&lt;0,"0",(N3-N2))</f>
        <v>1.293999999999869</v>
      </c>
      <c r="P3" s="38">
        <f t="shared" ref="P3" si="8">O3*1.9*1000</f>
        <v>2458.5999999997512</v>
      </c>
      <c r="Q3" s="7">
        <v>4891.0600000000004</v>
      </c>
      <c r="R3" s="54">
        <f t="shared" ref="R3" si="9">IF((Q3-Q2)&lt;0,"0",(Q3-Q2))</f>
        <v>3.1100000000005821</v>
      </c>
      <c r="S3" s="38">
        <f t="shared" ref="S3" si="10">R3*1.9*1000</f>
        <v>5909.0000000011059</v>
      </c>
      <c r="T3" s="8">
        <f>C3+F3+I3+L3+O3+R3</f>
        <v>29.050999999999931</v>
      </c>
      <c r="U3" s="40">
        <f>T3*1.9*1000</f>
        <v>55196.899999999863</v>
      </c>
    </row>
    <row r="4" spans="1:25" ht="16.5" thickBot="1" x14ac:dyDescent="0.25">
      <c r="A4" s="10">
        <v>44379</v>
      </c>
      <c r="B4" s="1">
        <v>21095.848000000002</v>
      </c>
      <c r="C4" s="54">
        <f t="shared" ref="C4:C33" si="11">IF((B4-B3)&lt;0,"0",(B4-B3))</f>
        <v>16.409000000003289</v>
      </c>
      <c r="D4" s="38">
        <f t="shared" ref="D4:D33" si="12">C4*1.9*1000</f>
        <v>31177.100000006249</v>
      </c>
      <c r="E4" s="1">
        <v>3695.232</v>
      </c>
      <c r="F4" s="54">
        <f t="shared" ref="F4:F33" si="13">IF((E4-E3)&lt;0,"0",(E4-E3))</f>
        <v>2.0340000000001055</v>
      </c>
      <c r="G4" s="38">
        <f t="shared" ref="G4:G33" si="14">F4*1.9*1000</f>
        <v>3864.6000000002</v>
      </c>
      <c r="H4" s="1">
        <v>3417</v>
      </c>
      <c r="I4" s="54">
        <f t="shared" ref="I4:I33" si="15">IF((H4-H3)&lt;0,"0",(H4-H3))</f>
        <v>10</v>
      </c>
      <c r="J4" s="38">
        <f t="shared" ref="J4:J33" si="16">I4*1.9*1000</f>
        <v>19000</v>
      </c>
      <c r="K4" s="7">
        <v>13485.58</v>
      </c>
      <c r="L4" s="54">
        <f t="shared" ref="L4:L33" si="17">IF((K4-K3)&lt;0,"0",(K4-K3))</f>
        <v>3.2899999999990541</v>
      </c>
      <c r="M4" s="38">
        <f t="shared" ref="M4:M33" si="18">L4*1.9*1000</f>
        <v>6250.9999999982028</v>
      </c>
      <c r="N4" s="7">
        <v>3098.8649999999998</v>
      </c>
      <c r="O4" s="54">
        <f t="shared" ref="O4:O33" si="19">IF((N4-N3)&lt;0,"0",(N4-N3))</f>
        <v>2.19399999999996</v>
      </c>
      <c r="P4" s="38">
        <f t="shared" ref="P4:P33" si="20">O4*1.9*1000</f>
        <v>4168.599999999924</v>
      </c>
      <c r="Q4" s="7">
        <v>4894.08</v>
      </c>
      <c r="R4" s="54">
        <f t="shared" ref="R4:R33" si="21">IF((Q4-Q3)&lt;0,"0",(Q4-Q3))</f>
        <v>3.0199999999995271</v>
      </c>
      <c r="S4" s="38">
        <f t="shared" ref="S4:S33" si="22">R4*1.9*1000</f>
        <v>5737.9999999991005</v>
      </c>
      <c r="T4" s="8">
        <f>C4+F4+I4+L4+O4+R4</f>
        <v>36.947000000001935</v>
      </c>
      <c r="U4" s="40">
        <f t="shared" ref="U4:U33" si="23">T4*1.9*1000</f>
        <v>70199.30000000367</v>
      </c>
    </row>
    <row r="5" spans="1:25" ht="16.5" thickBot="1" x14ac:dyDescent="0.25">
      <c r="A5" s="10">
        <v>44380</v>
      </c>
      <c r="B5" s="1">
        <v>21108.92</v>
      </c>
      <c r="C5" s="54">
        <f t="shared" si="11"/>
        <v>13.071999999996478</v>
      </c>
      <c r="D5" s="38">
        <f t="shared" si="12"/>
        <v>24836.799999993305</v>
      </c>
      <c r="E5" s="1">
        <v>3697.433</v>
      </c>
      <c r="F5" s="54">
        <f t="shared" si="13"/>
        <v>2.2010000000000218</v>
      </c>
      <c r="G5" s="38">
        <f t="shared" si="14"/>
        <v>4181.9000000000415</v>
      </c>
      <c r="H5" s="1">
        <v>3425</v>
      </c>
      <c r="I5" s="54">
        <f t="shared" si="15"/>
        <v>8</v>
      </c>
      <c r="J5" s="38">
        <f t="shared" si="16"/>
        <v>15200</v>
      </c>
      <c r="K5" s="7">
        <v>13487.74</v>
      </c>
      <c r="L5" s="54">
        <f t="shared" si="17"/>
        <v>2.1599999999998545</v>
      </c>
      <c r="M5" s="38">
        <f t="shared" si="18"/>
        <v>4103.9999999997226</v>
      </c>
      <c r="N5" s="7">
        <v>3100.4859999999999</v>
      </c>
      <c r="O5" s="54">
        <f t="shared" si="19"/>
        <v>1.6210000000000946</v>
      </c>
      <c r="P5" s="38">
        <f t="shared" si="20"/>
        <v>3079.9000000001797</v>
      </c>
      <c r="Q5" s="7">
        <v>4897.2</v>
      </c>
      <c r="R5" s="54">
        <f t="shared" si="21"/>
        <v>3.1199999999998909</v>
      </c>
      <c r="S5" s="38">
        <f t="shared" si="22"/>
        <v>5927.9999999997917</v>
      </c>
      <c r="T5" s="8">
        <f>C5+F5+I5+L5+O5+R5</f>
        <v>30.17399999999634</v>
      </c>
      <c r="U5" s="40">
        <f t="shared" si="23"/>
        <v>57330.599999993043</v>
      </c>
    </row>
    <row r="6" spans="1:25" ht="16.5" thickBot="1" x14ac:dyDescent="0.25">
      <c r="A6" s="10">
        <v>44381</v>
      </c>
      <c r="B6" s="1">
        <v>21122.968000000001</v>
      </c>
      <c r="C6" s="54">
        <f t="shared" si="11"/>
        <v>14.048000000002503</v>
      </c>
      <c r="D6" s="38">
        <f t="shared" si="12"/>
        <v>26691.200000004756</v>
      </c>
      <c r="E6" s="1">
        <v>3700.9830000000002</v>
      </c>
      <c r="F6" s="54">
        <f t="shared" si="13"/>
        <v>3.5500000000001819</v>
      </c>
      <c r="G6" s="38">
        <f t="shared" si="14"/>
        <v>6745.0000000003456</v>
      </c>
      <c r="H6" s="1">
        <v>3433</v>
      </c>
      <c r="I6" s="54">
        <f t="shared" si="15"/>
        <v>8</v>
      </c>
      <c r="J6" s="38">
        <f t="shared" si="16"/>
        <v>15200</v>
      </c>
      <c r="K6" s="7">
        <v>13489.25</v>
      </c>
      <c r="L6" s="54">
        <f t="shared" si="17"/>
        <v>1.5100000000002183</v>
      </c>
      <c r="M6" s="38">
        <f t="shared" si="18"/>
        <v>2869.0000000004147</v>
      </c>
      <c r="N6" s="7">
        <v>3102.2669999999998</v>
      </c>
      <c r="O6" s="54">
        <f t="shared" si="19"/>
        <v>1.7809999999999491</v>
      </c>
      <c r="P6" s="38">
        <f t="shared" si="20"/>
        <v>3383.8999999999028</v>
      </c>
      <c r="Q6" s="7">
        <v>4900.5200000000004</v>
      </c>
      <c r="R6" s="54">
        <f t="shared" si="21"/>
        <v>3.3200000000006185</v>
      </c>
      <c r="S6" s="38">
        <f t="shared" si="22"/>
        <v>6308.0000000011751</v>
      </c>
      <c r="T6" s="8">
        <f t="shared" ref="T6:T33" si="24">C6+F6+I6+L6+O6+R6</f>
        <v>32.209000000003471</v>
      </c>
      <c r="U6" s="40">
        <f t="shared" si="23"/>
        <v>61197.100000006591</v>
      </c>
    </row>
    <row r="7" spans="1:25" ht="16.5" thickBot="1" x14ac:dyDescent="0.25">
      <c r="A7" s="10">
        <v>44382</v>
      </c>
      <c r="B7" s="1">
        <v>21135.441999999999</v>
      </c>
      <c r="C7" s="54">
        <f t="shared" si="11"/>
        <v>12.473999999998341</v>
      </c>
      <c r="D7" s="38">
        <f t="shared" si="12"/>
        <v>23700.599999996848</v>
      </c>
      <c r="E7" s="1">
        <v>3704.748</v>
      </c>
      <c r="F7" s="54">
        <f t="shared" si="13"/>
        <v>3.7649999999998727</v>
      </c>
      <c r="G7" s="38">
        <f t="shared" si="14"/>
        <v>7153.4999999997581</v>
      </c>
      <c r="H7" s="1">
        <v>3441</v>
      </c>
      <c r="I7" s="54">
        <f t="shared" si="15"/>
        <v>8</v>
      </c>
      <c r="J7" s="38">
        <f t="shared" si="16"/>
        <v>15200</v>
      </c>
      <c r="K7" s="7">
        <v>13491.62</v>
      </c>
      <c r="L7" s="54">
        <f t="shared" si="17"/>
        <v>2.3700000000008004</v>
      </c>
      <c r="M7" s="38">
        <f t="shared" si="18"/>
        <v>4503.0000000015207</v>
      </c>
      <c r="N7" s="7">
        <v>3104.0239999999999</v>
      </c>
      <c r="O7" s="54">
        <f t="shared" si="19"/>
        <v>1.7570000000000618</v>
      </c>
      <c r="P7" s="38">
        <f t="shared" si="20"/>
        <v>3338.3000000001175</v>
      </c>
      <c r="Q7" s="7">
        <v>4903.6000000000004</v>
      </c>
      <c r="R7" s="54">
        <f t="shared" si="21"/>
        <v>3.0799999999999272</v>
      </c>
      <c r="S7" s="38">
        <f t="shared" si="22"/>
        <v>5851.9999999998618</v>
      </c>
      <c r="T7" s="8">
        <f t="shared" si="24"/>
        <v>31.445999999999003</v>
      </c>
      <c r="U7" s="40">
        <f t="shared" si="23"/>
        <v>59747.399999998102</v>
      </c>
    </row>
    <row r="8" spans="1:25" ht="16.5" thickBot="1" x14ac:dyDescent="0.25">
      <c r="A8" s="10">
        <v>44383</v>
      </c>
      <c r="B8" s="1">
        <v>21148.514999999999</v>
      </c>
      <c r="C8" s="54">
        <f t="shared" si="11"/>
        <v>13.07300000000032</v>
      </c>
      <c r="D8" s="38">
        <f t="shared" si="12"/>
        <v>24838.700000000608</v>
      </c>
      <c r="E8" s="1">
        <v>3708.665</v>
      </c>
      <c r="F8" s="54">
        <f t="shared" si="13"/>
        <v>3.9169999999999163</v>
      </c>
      <c r="G8" s="38">
        <f t="shared" si="14"/>
        <v>7442.2999999998401</v>
      </c>
      <c r="H8" s="1">
        <v>3449</v>
      </c>
      <c r="I8" s="54">
        <f t="shared" si="15"/>
        <v>8</v>
      </c>
      <c r="J8" s="38">
        <f t="shared" si="16"/>
        <v>15200</v>
      </c>
      <c r="K8" s="7">
        <v>13494.13</v>
      </c>
      <c r="L8" s="54">
        <f t="shared" si="17"/>
        <v>2.5099999999983993</v>
      </c>
      <c r="M8" s="38">
        <f t="shared" si="18"/>
        <v>4768.9999999969577</v>
      </c>
      <c r="N8" s="7">
        <v>3105.8850000000002</v>
      </c>
      <c r="O8" s="54">
        <f t="shared" si="19"/>
        <v>1.8610000000003311</v>
      </c>
      <c r="P8" s="38">
        <f t="shared" si="20"/>
        <v>3535.9000000006286</v>
      </c>
      <c r="Q8" s="7">
        <v>4905.9399999999996</v>
      </c>
      <c r="R8" s="54">
        <f t="shared" si="21"/>
        <v>2.339999999999236</v>
      </c>
      <c r="S8" s="38">
        <f t="shared" si="22"/>
        <v>4445.9999999985484</v>
      </c>
      <c r="T8" s="8">
        <f t="shared" si="24"/>
        <v>31.700999999998203</v>
      </c>
      <c r="U8" s="40">
        <f t="shared" si="23"/>
        <v>60231.899999996589</v>
      </c>
    </row>
    <row r="9" spans="1:25" ht="16.5" thickBot="1" x14ac:dyDescent="0.25">
      <c r="A9" s="10">
        <v>44384</v>
      </c>
      <c r="B9" s="1">
        <v>21161.072</v>
      </c>
      <c r="C9" s="54">
        <f t="shared" si="11"/>
        <v>12.557000000000698</v>
      </c>
      <c r="D9" s="38">
        <f t="shared" si="12"/>
        <v>23858.300000001323</v>
      </c>
      <c r="E9" s="1">
        <v>3712.56</v>
      </c>
      <c r="F9" s="54">
        <f t="shared" si="13"/>
        <v>3.8949999999999818</v>
      </c>
      <c r="G9" s="38">
        <f t="shared" si="14"/>
        <v>7400.4999999999654</v>
      </c>
      <c r="H9" s="1">
        <v>3456</v>
      </c>
      <c r="I9" s="54">
        <f t="shared" si="15"/>
        <v>7</v>
      </c>
      <c r="J9" s="38">
        <f t="shared" si="16"/>
        <v>13299.999999999998</v>
      </c>
      <c r="K9" s="7">
        <v>13496.5</v>
      </c>
      <c r="L9" s="54">
        <f t="shared" si="17"/>
        <v>2.3700000000008004</v>
      </c>
      <c r="M9" s="38">
        <f t="shared" si="18"/>
        <v>4503.0000000015207</v>
      </c>
      <c r="N9" s="7">
        <v>3107.4969999999998</v>
      </c>
      <c r="O9" s="54">
        <f t="shared" si="19"/>
        <v>1.6119999999996253</v>
      </c>
      <c r="P9" s="38">
        <f t="shared" si="20"/>
        <v>3062.799999999288</v>
      </c>
      <c r="Q9" s="7">
        <v>4908.6899999999996</v>
      </c>
      <c r="R9" s="54">
        <f t="shared" si="21"/>
        <v>2.75</v>
      </c>
      <c r="S9" s="38">
        <f t="shared" si="22"/>
        <v>5225</v>
      </c>
      <c r="T9" s="8">
        <f t="shared" si="24"/>
        <v>30.184000000001106</v>
      </c>
      <c r="U9" s="40">
        <f t="shared" si="23"/>
        <v>57349.600000002101</v>
      </c>
    </row>
    <row r="10" spans="1:25" ht="16.5" thickBot="1" x14ac:dyDescent="0.25">
      <c r="A10" s="10">
        <v>44385</v>
      </c>
      <c r="B10" s="1">
        <v>21173.966</v>
      </c>
      <c r="C10" s="54">
        <f t="shared" si="11"/>
        <v>12.894000000000233</v>
      </c>
      <c r="D10" s="38">
        <f t="shared" si="12"/>
        <v>24498.600000000439</v>
      </c>
      <c r="E10" s="1">
        <v>3716.384</v>
      </c>
      <c r="F10" s="54">
        <f t="shared" si="13"/>
        <v>3.8240000000000691</v>
      </c>
      <c r="G10" s="38">
        <f t="shared" si="14"/>
        <v>7265.6000000001304</v>
      </c>
      <c r="H10" s="1">
        <v>3465</v>
      </c>
      <c r="I10" s="54">
        <f t="shared" si="15"/>
        <v>9</v>
      </c>
      <c r="J10" s="38">
        <f t="shared" si="16"/>
        <v>17099.999999999996</v>
      </c>
      <c r="K10" s="7">
        <v>13498.75</v>
      </c>
      <c r="L10" s="54">
        <f t="shared" si="17"/>
        <v>2.25</v>
      </c>
      <c r="M10" s="38">
        <f t="shared" si="18"/>
        <v>4274.9999999999991</v>
      </c>
      <c r="N10" s="7">
        <v>3109.1320000000001</v>
      </c>
      <c r="O10" s="54">
        <f t="shared" si="19"/>
        <v>1.6350000000002183</v>
      </c>
      <c r="P10" s="38">
        <f t="shared" si="20"/>
        <v>3106.5000000004143</v>
      </c>
      <c r="Q10" s="7">
        <v>4911.01</v>
      </c>
      <c r="R10" s="54">
        <f t="shared" si="21"/>
        <v>2.3200000000006185</v>
      </c>
      <c r="S10" s="38">
        <f t="shared" si="22"/>
        <v>4408.0000000011742</v>
      </c>
      <c r="T10" s="8">
        <f t="shared" si="24"/>
        <v>31.923000000001139</v>
      </c>
      <c r="U10" s="40">
        <f t="shared" si="23"/>
        <v>60653.700000002158</v>
      </c>
    </row>
    <row r="11" spans="1:25" ht="16.5" thickBot="1" x14ac:dyDescent="0.25">
      <c r="A11" s="10">
        <v>44386</v>
      </c>
      <c r="B11" s="1">
        <v>21186.958999999999</v>
      </c>
      <c r="C11" s="54">
        <f t="shared" si="11"/>
        <v>12.992999999998574</v>
      </c>
      <c r="D11" s="38">
        <f t="shared" si="12"/>
        <v>24686.699999997287</v>
      </c>
      <c r="E11" s="1">
        <v>3718.3310000000001</v>
      </c>
      <c r="F11" s="54">
        <f t="shared" si="13"/>
        <v>1.9470000000001164</v>
      </c>
      <c r="G11" s="38">
        <f t="shared" si="14"/>
        <v>3699.3000000002212</v>
      </c>
      <c r="H11" s="1">
        <v>3473</v>
      </c>
      <c r="I11" s="54">
        <f t="shared" si="15"/>
        <v>8</v>
      </c>
      <c r="J11" s="38">
        <f t="shared" si="16"/>
        <v>15200</v>
      </c>
      <c r="K11" s="7">
        <v>13501.21</v>
      </c>
      <c r="L11" s="54">
        <f t="shared" si="17"/>
        <v>2.4599999999991269</v>
      </c>
      <c r="M11" s="38">
        <f t="shared" si="18"/>
        <v>4673.9999999983411</v>
      </c>
      <c r="N11" s="7">
        <v>3110.886</v>
      </c>
      <c r="O11" s="54">
        <f t="shared" si="19"/>
        <v>1.7539999999999054</v>
      </c>
      <c r="P11" s="38">
        <f t="shared" si="20"/>
        <v>3332.5999999998198</v>
      </c>
      <c r="Q11" s="7">
        <v>4913.92</v>
      </c>
      <c r="R11" s="54">
        <f t="shared" si="21"/>
        <v>2.9099999999998545</v>
      </c>
      <c r="S11" s="38">
        <f t="shared" si="22"/>
        <v>5528.9999999997235</v>
      </c>
      <c r="T11" s="8">
        <f t="shared" si="24"/>
        <v>30.063999999997577</v>
      </c>
      <c r="U11" s="40">
        <f t="shared" si="23"/>
        <v>57121.599999995393</v>
      </c>
    </row>
    <row r="12" spans="1:25" ht="16.5" thickBot="1" x14ac:dyDescent="0.25">
      <c r="A12" s="10">
        <v>44387</v>
      </c>
      <c r="B12" s="1">
        <v>21200.366000000002</v>
      </c>
      <c r="C12" s="54">
        <f t="shared" si="11"/>
        <v>13.407000000002881</v>
      </c>
      <c r="D12" s="38">
        <f t="shared" si="12"/>
        <v>25473.300000005474</v>
      </c>
      <c r="E12" s="1">
        <v>3721.0279999999998</v>
      </c>
      <c r="F12" s="54">
        <f t="shared" si="13"/>
        <v>2.6969999999996617</v>
      </c>
      <c r="G12" s="38">
        <f t="shared" si="14"/>
        <v>5124.2999999993572</v>
      </c>
      <c r="H12" s="1">
        <v>3482</v>
      </c>
      <c r="I12" s="54">
        <f t="shared" si="15"/>
        <v>9</v>
      </c>
      <c r="J12" s="38">
        <f t="shared" si="16"/>
        <v>17099.999999999996</v>
      </c>
      <c r="K12" s="7">
        <v>13505.2</v>
      </c>
      <c r="L12" s="54">
        <f t="shared" si="17"/>
        <v>3.9900000000016007</v>
      </c>
      <c r="M12" s="38">
        <f t="shared" si="18"/>
        <v>7581.0000000030404</v>
      </c>
      <c r="N12" s="7">
        <v>3112.5279999999998</v>
      </c>
      <c r="O12" s="54">
        <f t="shared" si="19"/>
        <v>1.6419999999998254</v>
      </c>
      <c r="P12" s="38">
        <f t="shared" si="20"/>
        <v>3119.7999999996678</v>
      </c>
      <c r="Q12" s="7">
        <v>4916.3999999999996</v>
      </c>
      <c r="R12" s="54">
        <f t="shared" si="21"/>
        <v>2.4799999999995634</v>
      </c>
      <c r="S12" s="38">
        <f t="shared" si="22"/>
        <v>4711.9999999991705</v>
      </c>
      <c r="T12" s="8">
        <f t="shared" si="24"/>
        <v>33.216000000003532</v>
      </c>
      <c r="U12" s="40">
        <f t="shared" si="23"/>
        <v>63110.400000006703</v>
      </c>
    </row>
    <row r="13" spans="1:25" ht="16.5" thickBot="1" x14ac:dyDescent="0.25">
      <c r="A13" s="10">
        <v>44388</v>
      </c>
      <c r="B13" s="1">
        <v>21215.49</v>
      </c>
      <c r="C13" s="54">
        <f t="shared" si="11"/>
        <v>15.123999999999796</v>
      </c>
      <c r="D13" s="38">
        <f t="shared" si="12"/>
        <v>28735.599999999609</v>
      </c>
      <c r="E13" s="1">
        <v>3724.8209999999999</v>
      </c>
      <c r="F13" s="54">
        <f t="shared" si="13"/>
        <v>3.7930000000001201</v>
      </c>
      <c r="G13" s="38">
        <f t="shared" si="14"/>
        <v>7206.7000000002281</v>
      </c>
      <c r="H13" s="1">
        <v>3491</v>
      </c>
      <c r="I13" s="54">
        <f t="shared" si="15"/>
        <v>9</v>
      </c>
      <c r="J13" s="38">
        <f t="shared" si="16"/>
        <v>17099.999999999996</v>
      </c>
      <c r="K13" s="7">
        <v>13507.78</v>
      </c>
      <c r="L13" s="54">
        <f t="shared" si="17"/>
        <v>2.5799999999999272</v>
      </c>
      <c r="M13" s="38">
        <f t="shared" si="18"/>
        <v>4901.9999999998618</v>
      </c>
      <c r="N13" s="7">
        <v>3114</v>
      </c>
      <c r="O13" s="54">
        <f t="shared" si="19"/>
        <v>1.4720000000002074</v>
      </c>
      <c r="P13" s="38">
        <f t="shared" si="20"/>
        <v>2796.800000000394</v>
      </c>
      <c r="Q13" s="7">
        <v>4919.9399999999996</v>
      </c>
      <c r="R13" s="54">
        <f t="shared" si="21"/>
        <v>3.5399999999999636</v>
      </c>
      <c r="S13" s="38">
        <f t="shared" si="22"/>
        <v>6725.9999999999309</v>
      </c>
      <c r="T13" s="8">
        <f t="shared" si="24"/>
        <v>35.509000000000015</v>
      </c>
      <c r="U13" s="40">
        <f t="shared" si="23"/>
        <v>67467.100000000035</v>
      </c>
    </row>
    <row r="14" spans="1:25" ht="16.5" thickBot="1" x14ac:dyDescent="0.25">
      <c r="A14" s="10">
        <v>44389</v>
      </c>
      <c r="B14" s="1">
        <v>21230.832999999999</v>
      </c>
      <c r="C14" s="54">
        <f t="shared" si="11"/>
        <v>15.342999999997119</v>
      </c>
      <c r="D14" s="38">
        <f t="shared" si="12"/>
        <v>29151.699999994522</v>
      </c>
      <c r="E14" s="1">
        <v>3728.5309999999999</v>
      </c>
      <c r="F14" s="54">
        <f t="shared" si="13"/>
        <v>3.7100000000000364</v>
      </c>
      <c r="G14" s="38">
        <f t="shared" si="14"/>
        <v>7049.0000000000691</v>
      </c>
      <c r="H14" s="1">
        <v>3501</v>
      </c>
      <c r="I14" s="54">
        <f t="shared" si="15"/>
        <v>10</v>
      </c>
      <c r="J14" s="38">
        <f t="shared" si="16"/>
        <v>19000</v>
      </c>
      <c r="K14" s="7">
        <v>13511.62</v>
      </c>
      <c r="L14" s="54">
        <f t="shared" si="17"/>
        <v>3.8400000000001455</v>
      </c>
      <c r="M14" s="38">
        <f t="shared" si="18"/>
        <v>7296.0000000002765</v>
      </c>
      <c r="N14" s="7">
        <v>3116.2379999999998</v>
      </c>
      <c r="O14" s="54">
        <f t="shared" si="19"/>
        <v>2.237999999999829</v>
      </c>
      <c r="P14" s="38">
        <f t="shared" si="20"/>
        <v>4252.1999999996751</v>
      </c>
      <c r="Q14" s="7">
        <v>4922.3999999999996</v>
      </c>
      <c r="R14" s="54">
        <f t="shared" si="21"/>
        <v>2.4600000000000364</v>
      </c>
      <c r="S14" s="38">
        <f t="shared" si="22"/>
        <v>4674.0000000000691</v>
      </c>
      <c r="T14" s="8">
        <f t="shared" si="24"/>
        <v>37.590999999997166</v>
      </c>
      <c r="U14" s="40">
        <f t="shared" si="23"/>
        <v>71422.89999999461</v>
      </c>
    </row>
    <row r="15" spans="1:25" ht="16.5" thickBot="1" x14ac:dyDescent="0.25">
      <c r="A15" s="10">
        <v>44390</v>
      </c>
      <c r="B15" s="1">
        <v>21245.489000000001</v>
      </c>
      <c r="C15" s="54">
        <f t="shared" si="11"/>
        <v>14.656000000002678</v>
      </c>
      <c r="D15" s="38">
        <f t="shared" si="12"/>
        <v>27846.400000005087</v>
      </c>
      <c r="E15" s="1">
        <v>3731.989</v>
      </c>
      <c r="F15" s="54">
        <f t="shared" si="13"/>
        <v>3.4580000000000837</v>
      </c>
      <c r="G15" s="38">
        <f t="shared" si="14"/>
        <v>6570.200000000159</v>
      </c>
      <c r="H15" s="1">
        <v>3511</v>
      </c>
      <c r="I15" s="54">
        <f t="shared" si="15"/>
        <v>10</v>
      </c>
      <c r="J15" s="38">
        <f t="shared" si="16"/>
        <v>19000</v>
      </c>
      <c r="K15" s="7">
        <v>13515.54</v>
      </c>
      <c r="L15" s="54">
        <f t="shared" si="17"/>
        <v>3.9200000000000728</v>
      </c>
      <c r="M15" s="38">
        <f t="shared" si="18"/>
        <v>7448.0000000001382</v>
      </c>
      <c r="N15" s="7">
        <v>3118.364</v>
      </c>
      <c r="O15" s="54">
        <f t="shared" si="19"/>
        <v>2.1260000000002037</v>
      </c>
      <c r="P15" s="38">
        <f t="shared" si="20"/>
        <v>4039.4000000003871</v>
      </c>
      <c r="Q15" s="7">
        <v>4927.95</v>
      </c>
      <c r="R15" s="54">
        <f t="shared" si="21"/>
        <v>5.5500000000001819</v>
      </c>
      <c r="S15" s="38">
        <f t="shared" si="22"/>
        <v>10545.000000000344</v>
      </c>
      <c r="T15" s="8">
        <f t="shared" si="24"/>
        <v>39.71000000000322</v>
      </c>
      <c r="U15" s="40">
        <f t="shared" si="23"/>
        <v>75449.000000006112</v>
      </c>
      <c r="W15" t="s">
        <v>12</v>
      </c>
    </row>
    <row r="16" spans="1:25" ht="16.5" thickBot="1" x14ac:dyDescent="0.25">
      <c r="A16" s="10">
        <v>44391</v>
      </c>
      <c r="B16" s="1">
        <v>21258.968000000001</v>
      </c>
      <c r="C16" s="54">
        <f t="shared" si="11"/>
        <v>13.47899999999936</v>
      </c>
      <c r="D16" s="38">
        <f t="shared" si="12"/>
        <v>25610.09999999878</v>
      </c>
      <c r="E16" s="1">
        <v>3735.4459999999999</v>
      </c>
      <c r="F16" s="54">
        <f t="shared" si="13"/>
        <v>3.4569999999998799</v>
      </c>
      <c r="G16" s="38">
        <f t="shared" si="14"/>
        <v>6568.2999999997719</v>
      </c>
      <c r="H16" s="1">
        <v>3520</v>
      </c>
      <c r="I16" s="54">
        <f t="shared" si="15"/>
        <v>9</v>
      </c>
      <c r="J16" s="38">
        <f t="shared" si="16"/>
        <v>17099.999999999996</v>
      </c>
      <c r="K16" s="7">
        <v>13518.43</v>
      </c>
      <c r="L16" s="54">
        <f t="shared" si="17"/>
        <v>2.8899999999994179</v>
      </c>
      <c r="M16" s="38">
        <f t="shared" si="18"/>
        <v>5490.9999999988941</v>
      </c>
      <c r="N16" s="7">
        <v>3120.346</v>
      </c>
      <c r="O16" s="54">
        <f t="shared" si="19"/>
        <v>1.9819999999999709</v>
      </c>
      <c r="P16" s="38">
        <f t="shared" si="20"/>
        <v>3765.7999999999447</v>
      </c>
      <c r="Q16" s="7">
        <v>4931.09</v>
      </c>
      <c r="R16" s="54">
        <f t="shared" si="21"/>
        <v>3.1400000000003274</v>
      </c>
      <c r="S16" s="38">
        <f t="shared" si="22"/>
        <v>5966.0000000006221</v>
      </c>
      <c r="T16" s="8">
        <f t="shared" si="24"/>
        <v>33.947999999998956</v>
      </c>
      <c r="U16" s="40">
        <f t="shared" si="23"/>
        <v>64501.199999998011</v>
      </c>
      <c r="Y16" t="s">
        <v>12</v>
      </c>
    </row>
    <row r="17" spans="1:24" ht="16.5" thickBot="1" x14ac:dyDescent="0.25">
      <c r="A17" s="10">
        <v>44392</v>
      </c>
      <c r="B17" s="1">
        <v>21272.886999999999</v>
      </c>
      <c r="C17" s="54">
        <f t="shared" si="11"/>
        <v>13.91899999999805</v>
      </c>
      <c r="D17" s="38">
        <f t="shared" si="12"/>
        <v>26446.099999996291</v>
      </c>
      <c r="E17" s="1">
        <v>3738.7089999999998</v>
      </c>
      <c r="F17" s="54">
        <f t="shared" si="13"/>
        <v>3.26299999999992</v>
      </c>
      <c r="G17" s="38">
        <f t="shared" si="14"/>
        <v>6199.699999999847</v>
      </c>
      <c r="H17" s="1">
        <v>3529</v>
      </c>
      <c r="I17" s="54">
        <f t="shared" si="15"/>
        <v>9</v>
      </c>
      <c r="J17" s="38">
        <f t="shared" si="16"/>
        <v>17099.999999999996</v>
      </c>
      <c r="K17" s="7">
        <v>13521.02</v>
      </c>
      <c r="L17" s="54">
        <f t="shared" si="17"/>
        <v>2.5900000000001455</v>
      </c>
      <c r="M17" s="38">
        <f t="shared" si="18"/>
        <v>4921.0000000002765</v>
      </c>
      <c r="N17" s="7">
        <v>3122.3580000000002</v>
      </c>
      <c r="O17" s="54">
        <f t="shared" si="19"/>
        <v>2.012000000000171</v>
      </c>
      <c r="P17" s="38">
        <f t="shared" si="20"/>
        <v>3822.8000000003244</v>
      </c>
      <c r="Q17" s="7">
        <v>4933.96</v>
      </c>
      <c r="R17" s="54">
        <f t="shared" si="21"/>
        <v>2.8699999999998909</v>
      </c>
      <c r="S17" s="38">
        <f t="shared" si="22"/>
        <v>5452.9999999997926</v>
      </c>
      <c r="T17" s="8">
        <f t="shared" si="24"/>
        <v>33.653999999998177</v>
      </c>
      <c r="U17" s="40">
        <f t="shared" si="23"/>
        <v>63942.599999996528</v>
      </c>
    </row>
    <row r="18" spans="1:24" ht="16.5" thickBot="1" x14ac:dyDescent="0.25">
      <c r="A18" s="10">
        <v>44393</v>
      </c>
      <c r="B18" s="1">
        <v>21287.471000000001</v>
      </c>
      <c r="C18" s="54">
        <f t="shared" si="11"/>
        <v>14.584000000002561</v>
      </c>
      <c r="D18" s="38">
        <f t="shared" si="12"/>
        <v>27709.600000004866</v>
      </c>
      <c r="E18" s="1">
        <v>3740.68</v>
      </c>
      <c r="F18" s="54">
        <f t="shared" si="13"/>
        <v>1.9710000000000036</v>
      </c>
      <c r="G18" s="38">
        <f t="shared" si="14"/>
        <v>3744.9000000000065</v>
      </c>
      <c r="H18" s="1">
        <v>3537</v>
      </c>
      <c r="I18" s="54">
        <f t="shared" si="15"/>
        <v>8</v>
      </c>
      <c r="J18" s="38">
        <f t="shared" si="16"/>
        <v>15200</v>
      </c>
      <c r="K18" s="7">
        <v>13523.61</v>
      </c>
      <c r="L18" s="54">
        <f t="shared" si="17"/>
        <v>2.5900000000001455</v>
      </c>
      <c r="M18" s="38">
        <f t="shared" si="18"/>
        <v>4921.0000000002765</v>
      </c>
      <c r="N18" s="7">
        <v>3124.1260000000002</v>
      </c>
      <c r="O18" s="54">
        <f t="shared" si="19"/>
        <v>1.7680000000000291</v>
      </c>
      <c r="P18" s="38">
        <f t="shared" si="20"/>
        <v>3359.2000000000548</v>
      </c>
      <c r="Q18" s="7">
        <v>4936.72</v>
      </c>
      <c r="R18" s="54">
        <f t="shared" si="21"/>
        <v>2.7600000000002183</v>
      </c>
      <c r="S18" s="38">
        <f t="shared" si="22"/>
        <v>5244.0000000004147</v>
      </c>
      <c r="T18" s="8">
        <f t="shared" si="24"/>
        <v>31.673000000002958</v>
      </c>
      <c r="U18" s="40">
        <f t="shared" si="23"/>
        <v>60178.700000005621</v>
      </c>
    </row>
    <row r="19" spans="1:24" ht="16.5" thickBot="1" x14ac:dyDescent="0.25">
      <c r="A19" s="10">
        <v>44394</v>
      </c>
      <c r="B19" s="1">
        <v>21301.815999999999</v>
      </c>
      <c r="C19" s="54">
        <f t="shared" si="11"/>
        <v>14.344999999997526</v>
      </c>
      <c r="D19" s="38">
        <f t="shared" si="12"/>
        <v>27255.499999995296</v>
      </c>
      <c r="E19" s="1">
        <v>3742.93</v>
      </c>
      <c r="F19" s="54">
        <f t="shared" si="13"/>
        <v>2.25</v>
      </c>
      <c r="G19" s="38">
        <f t="shared" si="14"/>
        <v>4274.9999999999991</v>
      </c>
      <c r="H19" s="1">
        <v>3544</v>
      </c>
      <c r="I19" s="54">
        <f t="shared" si="15"/>
        <v>7</v>
      </c>
      <c r="J19" s="38">
        <f t="shared" si="16"/>
        <v>13299.999999999998</v>
      </c>
      <c r="K19" s="7">
        <v>13527.44</v>
      </c>
      <c r="L19" s="54">
        <f t="shared" si="17"/>
        <v>3.8299999999999272</v>
      </c>
      <c r="M19" s="38">
        <f t="shared" si="18"/>
        <v>7276.9999999998618</v>
      </c>
      <c r="N19" s="7">
        <v>3125.6759999999999</v>
      </c>
      <c r="O19" s="54">
        <f t="shared" si="19"/>
        <v>1.5499999999997272</v>
      </c>
      <c r="P19" s="38">
        <f t="shared" si="20"/>
        <v>2944.9999999994816</v>
      </c>
      <c r="Q19" s="7">
        <v>4939.6000000000004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31.85499999999729</v>
      </c>
      <c r="U19" s="40">
        <f t="shared" si="23"/>
        <v>60524.499999994841</v>
      </c>
    </row>
    <row r="20" spans="1:24" ht="16.5" thickBot="1" x14ac:dyDescent="0.25">
      <c r="A20" s="10">
        <v>44395</v>
      </c>
      <c r="B20" s="1">
        <v>21312.548999999999</v>
      </c>
      <c r="C20" s="54">
        <f t="shared" si="11"/>
        <v>10.733000000000175</v>
      </c>
      <c r="D20" s="38">
        <f t="shared" si="12"/>
        <v>20392.700000000332</v>
      </c>
      <c r="E20" s="1">
        <v>3744.5230000000001</v>
      </c>
      <c r="F20" s="54">
        <f t="shared" si="13"/>
        <v>1.593000000000302</v>
      </c>
      <c r="G20" s="38">
        <f t="shared" si="14"/>
        <v>3026.7000000005737</v>
      </c>
      <c r="H20" s="1">
        <v>3550</v>
      </c>
      <c r="I20" s="54">
        <f t="shared" si="15"/>
        <v>6</v>
      </c>
      <c r="J20" s="38">
        <f t="shared" si="16"/>
        <v>11399.999999999998</v>
      </c>
      <c r="K20" s="7">
        <v>13530.38</v>
      </c>
      <c r="L20" s="54">
        <f t="shared" si="17"/>
        <v>2.9399999999986903</v>
      </c>
      <c r="M20" s="38">
        <f t="shared" si="18"/>
        <v>5585.9999999975116</v>
      </c>
      <c r="N20" s="7">
        <v>3126.7840000000001</v>
      </c>
      <c r="O20" s="54">
        <f t="shared" si="19"/>
        <v>1.1080000000001746</v>
      </c>
      <c r="P20" s="38">
        <f t="shared" si="20"/>
        <v>2105.2000000003318</v>
      </c>
      <c r="Q20" s="7">
        <v>4943.7</v>
      </c>
      <c r="R20" s="54">
        <f t="shared" si="21"/>
        <v>4.0999999999994543</v>
      </c>
      <c r="S20" s="38">
        <f t="shared" si="22"/>
        <v>7789.9999999989623</v>
      </c>
      <c r="T20" s="8">
        <f t="shared" si="24"/>
        <v>26.473999999998796</v>
      </c>
      <c r="U20" s="40">
        <f t="shared" si="23"/>
        <v>50300.599999997707</v>
      </c>
      <c r="X20" t="s">
        <v>12</v>
      </c>
    </row>
    <row r="21" spans="1:24" ht="16.5" thickBot="1" x14ac:dyDescent="0.25">
      <c r="A21" s="10">
        <v>44396</v>
      </c>
      <c r="B21" s="1">
        <v>21332.378000000001</v>
      </c>
      <c r="C21" s="54">
        <f t="shared" si="11"/>
        <v>19.829000000001543</v>
      </c>
      <c r="D21" s="38">
        <f t="shared" si="12"/>
        <v>37675.100000002931</v>
      </c>
      <c r="E21" s="1">
        <v>3747.0279999999998</v>
      </c>
      <c r="F21" s="54">
        <f t="shared" si="13"/>
        <v>2.5049999999996544</v>
      </c>
      <c r="G21" s="38">
        <f t="shared" si="14"/>
        <v>4759.4999999993424</v>
      </c>
      <c r="H21" s="1">
        <v>3560</v>
      </c>
      <c r="I21" s="54">
        <f t="shared" si="15"/>
        <v>10</v>
      </c>
      <c r="J21" s="38">
        <f t="shared" si="16"/>
        <v>19000</v>
      </c>
      <c r="K21" s="7">
        <v>13535.66</v>
      </c>
      <c r="L21" s="54">
        <f t="shared" si="17"/>
        <v>5.2800000000006548</v>
      </c>
      <c r="M21" s="38">
        <f t="shared" si="18"/>
        <v>10032.000000001244</v>
      </c>
      <c r="N21" s="7">
        <v>3129.0279999999998</v>
      </c>
      <c r="O21" s="54">
        <f t="shared" si="19"/>
        <v>2.2439999999996871</v>
      </c>
      <c r="P21" s="38">
        <f t="shared" si="20"/>
        <v>4263.5999999994056</v>
      </c>
      <c r="Q21" s="7">
        <v>4949.0600000000004</v>
      </c>
      <c r="R21" s="54">
        <f t="shared" si="21"/>
        <v>5.3600000000005821</v>
      </c>
      <c r="S21" s="38">
        <f t="shared" si="22"/>
        <v>10184.000000001106</v>
      </c>
      <c r="T21" s="8">
        <f t="shared" si="24"/>
        <v>45.218000000002121</v>
      </c>
      <c r="U21" s="40">
        <f t="shared" si="23"/>
        <v>85914.200000004028</v>
      </c>
    </row>
    <row r="22" spans="1:24" ht="16.5" thickBot="1" x14ac:dyDescent="0.25">
      <c r="A22" s="10">
        <v>44397</v>
      </c>
      <c r="B22" s="1">
        <v>21345.903999999999</v>
      </c>
      <c r="C22" s="54">
        <f t="shared" si="11"/>
        <v>13.525999999998021</v>
      </c>
      <c r="D22" s="38">
        <f t="shared" si="12"/>
        <v>25699.39999999624</v>
      </c>
      <c r="E22" s="1">
        <v>3748.835</v>
      </c>
      <c r="F22" s="54">
        <f t="shared" si="13"/>
        <v>1.8070000000002437</v>
      </c>
      <c r="G22" s="38">
        <f t="shared" si="14"/>
        <v>3433.3000000004627</v>
      </c>
      <c r="H22" s="1">
        <v>3567</v>
      </c>
      <c r="I22" s="54">
        <f t="shared" si="15"/>
        <v>7</v>
      </c>
      <c r="J22" s="38">
        <f t="shared" si="16"/>
        <v>13299.999999999998</v>
      </c>
      <c r="K22" s="7">
        <v>13539.3</v>
      </c>
      <c r="L22" s="54">
        <v>13</v>
      </c>
      <c r="M22" s="38">
        <f t="shared" si="18"/>
        <v>24700</v>
      </c>
      <c r="N22" s="7">
        <v>3130.4270000000001</v>
      </c>
      <c r="O22" s="54">
        <f t="shared" si="19"/>
        <v>1.399000000000342</v>
      </c>
      <c r="P22" s="38">
        <f t="shared" si="20"/>
        <v>2658.1000000006497</v>
      </c>
      <c r="Q22" s="7">
        <v>4952.7</v>
      </c>
      <c r="R22" s="54">
        <f t="shared" si="21"/>
        <v>3.6399999999994179</v>
      </c>
      <c r="S22" s="38">
        <f t="shared" si="22"/>
        <v>6915.9999999988941</v>
      </c>
      <c r="T22" s="8">
        <f t="shared" si="24"/>
        <v>40.371999999998025</v>
      </c>
      <c r="U22" s="40">
        <f t="shared" si="23"/>
        <v>76706.799999996249</v>
      </c>
    </row>
    <row r="23" spans="1:24" ht="16.5" thickBot="1" x14ac:dyDescent="0.25">
      <c r="A23" s="10">
        <v>44398</v>
      </c>
      <c r="B23" s="1">
        <v>21360.366000000002</v>
      </c>
      <c r="C23" s="54">
        <f t="shared" si="11"/>
        <v>14.462000000003172</v>
      </c>
      <c r="D23" s="38">
        <f t="shared" si="12"/>
        <v>27477.800000006027</v>
      </c>
      <c r="E23" s="1">
        <v>3750.297</v>
      </c>
      <c r="F23" s="54">
        <f t="shared" si="13"/>
        <v>1.4619999999999891</v>
      </c>
      <c r="G23" s="38">
        <f t="shared" si="14"/>
        <v>2777.7999999999793</v>
      </c>
      <c r="H23" s="1">
        <v>3574</v>
      </c>
      <c r="I23" s="54">
        <f t="shared" si="15"/>
        <v>7</v>
      </c>
      <c r="J23" s="38">
        <f t="shared" si="16"/>
        <v>13299.999999999998</v>
      </c>
      <c r="K23" s="7">
        <v>13543.22</v>
      </c>
      <c r="L23" s="54">
        <f t="shared" si="17"/>
        <v>3.9200000000000728</v>
      </c>
      <c r="M23" s="38">
        <f t="shared" si="18"/>
        <v>7448.0000000001382</v>
      </c>
      <c r="N23" s="7">
        <v>3131.9250000000002</v>
      </c>
      <c r="O23" s="54">
        <f t="shared" si="19"/>
        <v>1.4980000000000473</v>
      </c>
      <c r="P23" s="38">
        <f t="shared" si="20"/>
        <v>2846.2000000000899</v>
      </c>
      <c r="Q23" s="7">
        <v>4956.5</v>
      </c>
      <c r="R23" s="54">
        <f t="shared" si="21"/>
        <v>3.8000000000001819</v>
      </c>
      <c r="S23" s="38">
        <f t="shared" si="22"/>
        <v>7220.0000000003456</v>
      </c>
      <c r="T23" s="8">
        <f t="shared" si="24"/>
        <v>32.142000000003463</v>
      </c>
      <c r="U23" s="40">
        <f t="shared" si="23"/>
        <v>61069.80000000658</v>
      </c>
    </row>
    <row r="24" spans="1:24" ht="16.5" thickBot="1" x14ac:dyDescent="0.25">
      <c r="A24" s="10">
        <v>44399</v>
      </c>
      <c r="B24" s="1">
        <v>21375.677</v>
      </c>
      <c r="C24" s="54">
        <f t="shared" si="11"/>
        <v>15.310999999997875</v>
      </c>
      <c r="D24" s="38">
        <f t="shared" si="12"/>
        <v>29090.899999995963</v>
      </c>
      <c r="E24" s="1">
        <v>3751.3850000000002</v>
      </c>
      <c r="F24" s="54">
        <f t="shared" si="13"/>
        <v>1.0880000000001928</v>
      </c>
      <c r="G24" s="38">
        <f t="shared" si="14"/>
        <v>2067.2000000003659</v>
      </c>
      <c r="H24" s="1">
        <v>3580</v>
      </c>
      <c r="I24" s="54">
        <f t="shared" si="15"/>
        <v>6</v>
      </c>
      <c r="J24" s="38">
        <f t="shared" si="16"/>
        <v>11399.999999999998</v>
      </c>
      <c r="K24" s="7">
        <v>13547.22</v>
      </c>
      <c r="L24" s="54">
        <f t="shared" si="17"/>
        <v>4</v>
      </c>
      <c r="M24" s="38">
        <f t="shared" si="18"/>
        <v>7600</v>
      </c>
      <c r="N24" s="7">
        <v>3133.5010000000002</v>
      </c>
      <c r="O24" s="54">
        <f t="shared" si="19"/>
        <v>1.5760000000000218</v>
      </c>
      <c r="P24" s="38">
        <f t="shared" si="20"/>
        <v>2994.4000000000415</v>
      </c>
      <c r="Q24" s="7">
        <v>4960.66</v>
      </c>
      <c r="R24" s="54">
        <f t="shared" si="21"/>
        <v>4.1599999999998545</v>
      </c>
      <c r="S24" s="38">
        <f t="shared" si="22"/>
        <v>7903.9999999997226</v>
      </c>
      <c r="T24" s="8">
        <f t="shared" si="24"/>
        <v>32.134999999997945</v>
      </c>
      <c r="U24" s="40">
        <f t="shared" si="23"/>
        <v>61056.499999996093</v>
      </c>
    </row>
    <row r="25" spans="1:24" ht="16.5" thickBot="1" x14ac:dyDescent="0.25">
      <c r="A25" s="10">
        <v>44400</v>
      </c>
      <c r="B25" s="1">
        <v>21385.399000000001</v>
      </c>
      <c r="C25" s="54">
        <f t="shared" si="11"/>
        <v>9.7220000000015716</v>
      </c>
      <c r="D25" s="38">
        <f t="shared" si="12"/>
        <v>18471.800000002986</v>
      </c>
      <c r="E25" s="1">
        <v>3752.165</v>
      </c>
      <c r="F25" s="54">
        <f t="shared" si="13"/>
        <v>0.77999999999974534</v>
      </c>
      <c r="G25" s="38">
        <f t="shared" si="14"/>
        <v>1481.9999999995161</v>
      </c>
      <c r="H25" s="1">
        <v>3584</v>
      </c>
      <c r="I25" s="54">
        <f t="shared" si="15"/>
        <v>4</v>
      </c>
      <c r="J25" s="38">
        <f t="shared" si="16"/>
        <v>7600</v>
      </c>
      <c r="K25" s="7">
        <v>13549.8</v>
      </c>
      <c r="L25" s="54">
        <f t="shared" si="17"/>
        <v>2.5799999999999272</v>
      </c>
      <c r="M25" s="38">
        <f t="shared" si="18"/>
        <v>4901.9999999998618</v>
      </c>
      <c r="N25" s="7">
        <v>3134.3850000000002</v>
      </c>
      <c r="O25" s="54">
        <f t="shared" si="19"/>
        <v>0.88400000000001455</v>
      </c>
      <c r="P25" s="38">
        <f t="shared" si="20"/>
        <v>1679.6000000000274</v>
      </c>
      <c r="Q25" s="7">
        <v>4963.32</v>
      </c>
      <c r="R25" s="54">
        <f t="shared" si="21"/>
        <v>2.6599999999998545</v>
      </c>
      <c r="S25" s="38">
        <f t="shared" si="22"/>
        <v>5053.9999999997235</v>
      </c>
      <c r="T25" s="8">
        <f t="shared" si="24"/>
        <v>20.626000000001113</v>
      </c>
      <c r="U25" s="40">
        <f t="shared" si="23"/>
        <v>39189.400000002119</v>
      </c>
    </row>
    <row r="26" spans="1:24" ht="16.5" thickBot="1" x14ac:dyDescent="0.25">
      <c r="A26" s="10">
        <v>44401</v>
      </c>
      <c r="B26" s="1">
        <v>21402.597000000002</v>
      </c>
      <c r="C26" s="54">
        <f t="shared" si="11"/>
        <v>17.19800000000032</v>
      </c>
      <c r="D26" s="38">
        <f t="shared" si="12"/>
        <v>32676.200000000605</v>
      </c>
      <c r="E26" s="1">
        <v>3754.7280000000001</v>
      </c>
      <c r="F26" s="54">
        <f t="shared" si="13"/>
        <v>2.5630000000001019</v>
      </c>
      <c r="G26" s="38">
        <f t="shared" si="14"/>
        <v>4869.7000000001935</v>
      </c>
      <c r="H26" s="1">
        <v>3590</v>
      </c>
      <c r="I26" s="54">
        <f t="shared" si="15"/>
        <v>6</v>
      </c>
      <c r="J26" s="38">
        <f t="shared" si="16"/>
        <v>11399.999999999998</v>
      </c>
      <c r="K26" s="7">
        <v>13554.2</v>
      </c>
      <c r="L26" s="54">
        <f t="shared" si="17"/>
        <v>4.4000000000014552</v>
      </c>
      <c r="M26" s="38">
        <f t="shared" si="18"/>
        <v>8360.0000000027649</v>
      </c>
      <c r="N26" s="7">
        <v>3136.0929999999998</v>
      </c>
      <c r="O26" s="54">
        <f t="shared" si="19"/>
        <v>1.7079999999996289</v>
      </c>
      <c r="P26" s="38">
        <f t="shared" si="20"/>
        <v>3245.199999999295</v>
      </c>
      <c r="Q26" s="7">
        <v>4966.22</v>
      </c>
      <c r="R26" s="54">
        <f t="shared" si="21"/>
        <v>2.9000000000005457</v>
      </c>
      <c r="S26" s="38">
        <f t="shared" si="22"/>
        <v>5510.0000000010359</v>
      </c>
      <c r="T26" s="8">
        <f t="shared" si="24"/>
        <v>34.769000000002052</v>
      </c>
      <c r="U26" s="40">
        <f t="shared" si="23"/>
        <v>66061.100000003891</v>
      </c>
      <c r="V26" t="s">
        <v>12</v>
      </c>
    </row>
    <row r="27" spans="1:24" ht="16.5" thickBot="1" x14ac:dyDescent="0.25">
      <c r="A27" s="10">
        <v>44402</v>
      </c>
      <c r="B27" s="1">
        <v>21417.012999999999</v>
      </c>
      <c r="C27" s="54">
        <f t="shared" si="11"/>
        <v>14.415999999997439</v>
      </c>
      <c r="D27" s="38">
        <f t="shared" si="12"/>
        <v>27390.399999995134</v>
      </c>
      <c r="E27" s="1">
        <v>3758.2469999999998</v>
      </c>
      <c r="F27" s="54">
        <f t="shared" si="13"/>
        <v>3.5189999999997781</v>
      </c>
      <c r="G27" s="38">
        <f t="shared" si="14"/>
        <v>6686.0999999995774</v>
      </c>
      <c r="H27" s="1">
        <v>3600</v>
      </c>
      <c r="I27" s="54">
        <f t="shared" si="15"/>
        <v>10</v>
      </c>
      <c r="J27" s="38">
        <f t="shared" si="16"/>
        <v>19000</v>
      </c>
      <c r="K27" s="7">
        <v>13556.89</v>
      </c>
      <c r="L27" s="54">
        <f t="shared" si="17"/>
        <v>2.6899999999986903</v>
      </c>
      <c r="M27" s="38">
        <f t="shared" si="18"/>
        <v>5110.9999999975107</v>
      </c>
      <c r="N27" s="7">
        <v>3137.6529999999998</v>
      </c>
      <c r="O27" s="54">
        <f t="shared" si="19"/>
        <v>1.5599999999999454</v>
      </c>
      <c r="P27" s="38">
        <f t="shared" si="20"/>
        <v>2963.9999999998959</v>
      </c>
      <c r="Q27" s="7">
        <v>4969.5</v>
      </c>
      <c r="R27" s="54">
        <f t="shared" si="21"/>
        <v>3.2799999999997453</v>
      </c>
      <c r="S27" s="38">
        <f t="shared" si="22"/>
        <v>6231.9999999995161</v>
      </c>
      <c r="T27" s="8">
        <f t="shared" si="24"/>
        <v>35.464999999995598</v>
      </c>
      <c r="U27" s="40">
        <f t="shared" si="23"/>
        <v>67383.499999991633</v>
      </c>
      <c r="V27" t="s">
        <v>12</v>
      </c>
    </row>
    <row r="28" spans="1:24" ht="16.5" thickBot="1" x14ac:dyDescent="0.25">
      <c r="A28" s="10">
        <v>44403</v>
      </c>
      <c r="B28" s="1">
        <f t="shared" ref="B27:B33" si="25">B27</f>
        <v>21417.012999999999</v>
      </c>
      <c r="C28" s="54">
        <f t="shared" si="11"/>
        <v>0</v>
      </c>
      <c r="D28" s="38">
        <f t="shared" si="12"/>
        <v>0</v>
      </c>
      <c r="E28" s="1">
        <f t="shared" ref="E27:E33" si="26">E27</f>
        <v>3758.2469999999998</v>
      </c>
      <c r="F28" s="54">
        <f t="shared" si="13"/>
        <v>0</v>
      </c>
      <c r="G28" s="38">
        <f t="shared" si="14"/>
        <v>0</v>
      </c>
      <c r="H28" s="1">
        <f t="shared" ref="H27:H33" si="27">H27</f>
        <v>3600</v>
      </c>
      <c r="I28" s="54">
        <f t="shared" si="15"/>
        <v>0</v>
      </c>
      <c r="J28" s="38">
        <f t="shared" si="16"/>
        <v>0</v>
      </c>
      <c r="K28" s="7">
        <f t="shared" ref="K27:K33" si="28">K27</f>
        <v>13556.89</v>
      </c>
      <c r="L28" s="54">
        <f t="shared" si="17"/>
        <v>0</v>
      </c>
      <c r="M28" s="38">
        <f t="shared" si="18"/>
        <v>0</v>
      </c>
      <c r="N28" s="7">
        <f t="shared" ref="N27:N33" si="29">N27</f>
        <v>3137.6529999999998</v>
      </c>
      <c r="O28" s="54">
        <f t="shared" si="19"/>
        <v>0</v>
      </c>
      <c r="P28" s="38">
        <f t="shared" si="20"/>
        <v>0</v>
      </c>
      <c r="Q28" s="7">
        <f t="shared" ref="Q27:Q33" si="30">Q27</f>
        <v>4969.5</v>
      </c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44404</v>
      </c>
      <c r="B29" s="1">
        <f t="shared" si="25"/>
        <v>21417.012999999999</v>
      </c>
      <c r="C29" s="54">
        <f t="shared" si="11"/>
        <v>0</v>
      </c>
      <c r="D29" s="38">
        <f t="shared" si="12"/>
        <v>0</v>
      </c>
      <c r="E29" s="1">
        <f t="shared" si="26"/>
        <v>3758.2469999999998</v>
      </c>
      <c r="F29" s="54">
        <f t="shared" si="13"/>
        <v>0</v>
      </c>
      <c r="G29" s="38">
        <f t="shared" si="14"/>
        <v>0</v>
      </c>
      <c r="H29" s="1">
        <f t="shared" si="27"/>
        <v>3600</v>
      </c>
      <c r="I29" s="54">
        <f t="shared" si="15"/>
        <v>0</v>
      </c>
      <c r="J29" s="38">
        <f t="shared" si="16"/>
        <v>0</v>
      </c>
      <c r="K29" s="7">
        <f t="shared" si="28"/>
        <v>13556.89</v>
      </c>
      <c r="L29" s="54">
        <f t="shared" si="17"/>
        <v>0</v>
      </c>
      <c r="M29" s="38">
        <f t="shared" si="18"/>
        <v>0</v>
      </c>
      <c r="N29" s="7">
        <f t="shared" si="29"/>
        <v>3137.6529999999998</v>
      </c>
      <c r="O29" s="54">
        <f t="shared" si="19"/>
        <v>0</v>
      </c>
      <c r="P29" s="38">
        <f t="shared" si="20"/>
        <v>0</v>
      </c>
      <c r="Q29" s="7">
        <f t="shared" si="30"/>
        <v>4969.5</v>
      </c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44405</v>
      </c>
      <c r="B30" s="1">
        <f t="shared" si="25"/>
        <v>21417.012999999999</v>
      </c>
      <c r="C30" s="54">
        <f t="shared" si="11"/>
        <v>0</v>
      </c>
      <c r="D30" s="38">
        <f t="shared" si="12"/>
        <v>0</v>
      </c>
      <c r="E30" s="1">
        <f t="shared" si="26"/>
        <v>3758.2469999999998</v>
      </c>
      <c r="F30" s="54">
        <f t="shared" si="13"/>
        <v>0</v>
      </c>
      <c r="G30" s="38">
        <f t="shared" si="14"/>
        <v>0</v>
      </c>
      <c r="H30" s="1">
        <f t="shared" si="27"/>
        <v>3600</v>
      </c>
      <c r="I30" s="54">
        <f t="shared" si="15"/>
        <v>0</v>
      </c>
      <c r="J30" s="38">
        <f t="shared" si="16"/>
        <v>0</v>
      </c>
      <c r="K30" s="7">
        <f t="shared" si="28"/>
        <v>13556.89</v>
      </c>
      <c r="L30" s="54">
        <f t="shared" si="17"/>
        <v>0</v>
      </c>
      <c r="M30" s="38">
        <f t="shared" si="18"/>
        <v>0</v>
      </c>
      <c r="N30" s="7">
        <f t="shared" si="29"/>
        <v>3137.6529999999998</v>
      </c>
      <c r="O30" s="54">
        <f t="shared" si="19"/>
        <v>0</v>
      </c>
      <c r="P30" s="38">
        <f t="shared" si="20"/>
        <v>0</v>
      </c>
      <c r="Q30" s="7">
        <f t="shared" si="30"/>
        <v>4969.5</v>
      </c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44406</v>
      </c>
      <c r="B31" s="1">
        <f t="shared" si="25"/>
        <v>21417.012999999999</v>
      </c>
      <c r="C31" s="54">
        <f t="shared" si="11"/>
        <v>0</v>
      </c>
      <c r="D31" s="38">
        <f t="shared" si="12"/>
        <v>0</v>
      </c>
      <c r="E31" s="1">
        <f t="shared" si="26"/>
        <v>3758.2469999999998</v>
      </c>
      <c r="F31" s="54">
        <f t="shared" si="13"/>
        <v>0</v>
      </c>
      <c r="G31" s="38">
        <f t="shared" si="14"/>
        <v>0</v>
      </c>
      <c r="H31" s="1">
        <f t="shared" si="27"/>
        <v>3600</v>
      </c>
      <c r="I31" s="54">
        <f t="shared" si="15"/>
        <v>0</v>
      </c>
      <c r="J31" s="38">
        <f t="shared" si="16"/>
        <v>0</v>
      </c>
      <c r="K31" s="7">
        <f t="shared" si="28"/>
        <v>13556.89</v>
      </c>
      <c r="L31" s="54">
        <f t="shared" si="17"/>
        <v>0</v>
      </c>
      <c r="M31" s="38">
        <f t="shared" si="18"/>
        <v>0</v>
      </c>
      <c r="N31" s="7">
        <f t="shared" si="29"/>
        <v>3137.6529999999998</v>
      </c>
      <c r="O31" s="54">
        <f t="shared" si="19"/>
        <v>0</v>
      </c>
      <c r="P31" s="38">
        <f t="shared" si="20"/>
        <v>0</v>
      </c>
      <c r="Q31" s="7">
        <f t="shared" si="30"/>
        <v>4969.5</v>
      </c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44407</v>
      </c>
      <c r="B32" s="1">
        <f t="shared" si="25"/>
        <v>21417.012999999999</v>
      </c>
      <c r="C32" s="54">
        <f t="shared" si="11"/>
        <v>0</v>
      </c>
      <c r="D32" s="38">
        <f t="shared" si="12"/>
        <v>0</v>
      </c>
      <c r="E32" s="1">
        <f t="shared" si="26"/>
        <v>3758.2469999999998</v>
      </c>
      <c r="F32" s="54">
        <f t="shared" si="13"/>
        <v>0</v>
      </c>
      <c r="G32" s="38">
        <f t="shared" si="14"/>
        <v>0</v>
      </c>
      <c r="H32" s="1">
        <f t="shared" si="27"/>
        <v>3600</v>
      </c>
      <c r="I32" s="54">
        <f t="shared" si="15"/>
        <v>0</v>
      </c>
      <c r="J32" s="38">
        <f t="shared" si="16"/>
        <v>0</v>
      </c>
      <c r="K32" s="7">
        <f t="shared" si="28"/>
        <v>13556.89</v>
      </c>
      <c r="L32" s="54">
        <f t="shared" si="17"/>
        <v>0</v>
      </c>
      <c r="M32" s="38">
        <f t="shared" si="18"/>
        <v>0</v>
      </c>
      <c r="N32" s="7">
        <f t="shared" si="29"/>
        <v>3137.6529999999998</v>
      </c>
      <c r="O32" s="54">
        <f t="shared" si="19"/>
        <v>0</v>
      </c>
      <c r="P32" s="38">
        <f t="shared" si="20"/>
        <v>0</v>
      </c>
      <c r="Q32" s="7">
        <f t="shared" si="30"/>
        <v>4969.5</v>
      </c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44408</v>
      </c>
      <c r="B33" s="1">
        <f t="shared" si="25"/>
        <v>21417.012999999999</v>
      </c>
      <c r="C33" s="54">
        <f t="shared" si="11"/>
        <v>0</v>
      </c>
      <c r="D33" s="38">
        <f t="shared" si="12"/>
        <v>0</v>
      </c>
      <c r="E33" s="1">
        <f t="shared" si="26"/>
        <v>3758.2469999999998</v>
      </c>
      <c r="F33" s="54">
        <f t="shared" si="13"/>
        <v>0</v>
      </c>
      <c r="G33" s="38">
        <f t="shared" si="14"/>
        <v>0</v>
      </c>
      <c r="H33" s="1">
        <f t="shared" si="27"/>
        <v>3600</v>
      </c>
      <c r="I33" s="54">
        <f t="shared" si="15"/>
        <v>0</v>
      </c>
      <c r="J33" s="38">
        <f t="shared" si="16"/>
        <v>0</v>
      </c>
      <c r="K33" s="7">
        <f t="shared" si="28"/>
        <v>13556.89</v>
      </c>
      <c r="L33" s="54">
        <f t="shared" si="17"/>
        <v>0</v>
      </c>
      <c r="M33" s="38">
        <f t="shared" si="18"/>
        <v>0</v>
      </c>
      <c r="N33" s="7">
        <f t="shared" si="29"/>
        <v>3137.6529999999998</v>
      </c>
      <c r="O33" s="54">
        <f t="shared" si="19"/>
        <v>0</v>
      </c>
      <c r="P33" s="38">
        <f t="shared" si="20"/>
        <v>0</v>
      </c>
      <c r="Q33" s="7">
        <f t="shared" si="30"/>
        <v>4969.5</v>
      </c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350.15799999999945</v>
      </c>
      <c r="D34" s="159">
        <f>SUM(D2:D33)</f>
        <v>665300.19999999891</v>
      </c>
      <c r="E34" s="159">
        <v>0</v>
      </c>
      <c r="F34" s="159">
        <f>SUM(F2:F33)</f>
        <v>67.08199999999988</v>
      </c>
      <c r="G34" s="159">
        <f>SUM(G2:G33)</f>
        <v>127455.79999999977</v>
      </c>
      <c r="H34" s="159"/>
      <c r="I34" s="159">
        <f>SUM(I2:I33)</f>
        <v>201</v>
      </c>
      <c r="J34" s="159">
        <f>SUM(J2:J33)</f>
        <v>381900</v>
      </c>
      <c r="K34" s="159"/>
      <c r="L34" s="159">
        <f>SUM(L2:L33)</f>
        <v>85.989999999999782</v>
      </c>
      <c r="M34" s="159">
        <f>SUM(M2:M33)</f>
        <v>163380.99999999956</v>
      </c>
      <c r="N34" s="159"/>
      <c r="O34" s="159">
        <f>SUM(O2:O33)</f>
        <v>42.27599999999984</v>
      </c>
      <c r="P34" s="159">
        <f>SUM(P2:P33)</f>
        <v>80324.399999999674</v>
      </c>
      <c r="Q34" s="159"/>
      <c r="R34" s="159">
        <f>SUM(R2:R33)</f>
        <v>81.550000000000182</v>
      </c>
      <c r="S34" s="159">
        <f>SUM(S2:S33)</f>
        <v>154945.00000000038</v>
      </c>
      <c r="T34" s="159">
        <f>SUM(T2:T33)</f>
        <v>828.05599999999913</v>
      </c>
      <c r="U34" s="159">
        <f>SUM(U2:U33)</f>
        <v>1573306.399999998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1" sqref="F1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676336</v>
      </c>
      <c r="D2" s="107">
        <f>C2*1.27</f>
        <v>858946.72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26610613</v>
      </c>
      <c r="J3" s="155">
        <f>ELECT.!E33</f>
        <v>27002050</v>
      </c>
      <c r="K3" s="102">
        <f>J3-I3</f>
        <v>391437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84264575</v>
      </c>
      <c r="J4" s="155">
        <f>ELECT.!G33</f>
        <v>85638092</v>
      </c>
      <c r="K4" s="102">
        <f>J4-I4</f>
        <v>1373517</v>
      </c>
    </row>
    <row r="5" spans="1:11" ht="13.5" thickBot="1" x14ac:dyDescent="0.25">
      <c r="A5" s="105"/>
      <c r="B5" s="111" t="s">
        <v>27</v>
      </c>
      <c r="C5" s="115">
        <f>(K10+K12)*0.842284+K26</f>
        <v>709488.45889600005</v>
      </c>
      <c r="D5" s="115">
        <f t="shared" ref="D5:D11" si="0">C5*1.27</f>
        <v>901050.34279792011</v>
      </c>
      <c r="E5" s="116"/>
      <c r="F5" s="105"/>
      <c r="G5" s="105"/>
      <c r="H5" s="111" t="s">
        <v>23</v>
      </c>
      <c r="I5" s="117"/>
      <c r="J5" s="117"/>
      <c r="K5" s="142">
        <f>K3+K4</f>
        <v>1764954</v>
      </c>
    </row>
    <row r="6" spans="1:11" ht="13.5" thickBot="1" x14ac:dyDescent="0.25">
      <c r="A6" s="105"/>
      <c r="B6" s="111" t="s">
        <v>99</v>
      </c>
      <c r="C6" s="115">
        <f>(K10+K12+K26)*0.1488</f>
        <v>124760.46719999998</v>
      </c>
      <c r="D6" s="115">
        <f t="shared" si="0"/>
        <v>158445.79334399998</v>
      </c>
      <c r="E6" s="116"/>
      <c r="F6" s="105"/>
      <c r="G6" s="105"/>
      <c r="H6" s="111" t="s">
        <v>100</v>
      </c>
      <c r="I6" s="160">
        <f>ELECT.!J2</f>
        <v>8265059</v>
      </c>
      <c r="J6" s="156">
        <f>ELECT.!J33</f>
        <v>8402564</v>
      </c>
      <c r="K6" s="102">
        <f>J6-I6</f>
        <v>137505</v>
      </c>
    </row>
    <row r="7" spans="1:11" ht="13.5" thickBot="1" x14ac:dyDescent="0.25">
      <c r="A7" s="105"/>
      <c r="B7" s="111" t="s">
        <v>101</v>
      </c>
      <c r="C7" s="115">
        <f>(K6+K7)-(C8+C9+C10+C11+K26)</f>
        <v>311704</v>
      </c>
      <c r="D7" s="115">
        <f t="shared" si="0"/>
        <v>395864.08</v>
      </c>
      <c r="E7" s="116"/>
      <c r="F7" s="105"/>
      <c r="G7" s="105"/>
      <c r="H7" s="111" t="s">
        <v>102</v>
      </c>
      <c r="I7" s="160">
        <f>ELECT.!L2</f>
        <v>8234029</v>
      </c>
      <c r="J7" s="156">
        <f>ELECT.!L33</f>
        <v>8367498</v>
      </c>
      <c r="K7" s="102">
        <f>J7-I7</f>
        <v>133469</v>
      </c>
    </row>
    <row r="8" spans="1:11" ht="13.5" thickBot="1" x14ac:dyDescent="0.25">
      <c r="A8" s="105"/>
      <c r="B8" s="111" t="s">
        <v>103</v>
      </c>
      <c r="C8" s="115">
        <f>K21+K22+K23+K24</f>
        <v>30646</v>
      </c>
      <c r="D8" s="115">
        <f t="shared" si="0"/>
        <v>38920.42</v>
      </c>
      <c r="E8" s="116"/>
      <c r="F8" s="105"/>
      <c r="G8" s="105"/>
      <c r="H8" s="111" t="s">
        <v>104</v>
      </c>
      <c r="I8" s="160">
        <f>ELECT.!N2</f>
        <v>5362491</v>
      </c>
      <c r="J8" s="156">
        <f>ELECT.!N33</f>
        <v>5486830</v>
      </c>
      <c r="K8" s="102">
        <f>(J8-I8)*2</f>
        <v>248678</v>
      </c>
    </row>
    <row r="9" spans="1:11" ht="13.5" thickBot="1" x14ac:dyDescent="0.25">
      <c r="A9" s="105"/>
      <c r="B9" s="111" t="s">
        <v>137</v>
      </c>
      <c r="C9" s="115">
        <f>K25+K16+K17</f>
        <v>4399</v>
      </c>
      <c r="D9" s="115">
        <f t="shared" si="0"/>
        <v>5586.7300000000005</v>
      </c>
      <c r="E9" s="116"/>
      <c r="F9" s="105"/>
      <c r="G9" s="105"/>
      <c r="H9" s="111" t="s">
        <v>105</v>
      </c>
      <c r="I9" s="160">
        <f>ELECT.!P2</f>
        <v>3873285</v>
      </c>
      <c r="J9" s="156">
        <f>ELECT.!P33</f>
        <v>4258147</v>
      </c>
      <c r="K9" s="102">
        <f>J9-I9</f>
        <v>384862</v>
      </c>
    </row>
    <row r="10" spans="1:11" ht="13.5" thickBot="1" x14ac:dyDescent="0.25">
      <c r="A10" s="105"/>
      <c r="B10" s="111" t="s">
        <v>106</v>
      </c>
      <c r="C10" s="115">
        <f>K18</f>
        <v>13920</v>
      </c>
      <c r="D10" s="115">
        <f t="shared" si="0"/>
        <v>17678.400000000001</v>
      </c>
      <c r="E10" s="116"/>
      <c r="F10" s="105"/>
      <c r="G10" s="105"/>
      <c r="H10" s="111" t="s">
        <v>107</v>
      </c>
      <c r="I10" s="160">
        <f>ELECT.!R2</f>
        <v>17852083</v>
      </c>
      <c r="J10" s="156">
        <f>ELECT.!R33</f>
        <v>18105477</v>
      </c>
      <c r="K10" s="102">
        <f>J10-I10</f>
        <v>253394</v>
      </c>
    </row>
    <row r="11" spans="1:11" ht="13.5" thickBot="1" x14ac:dyDescent="0.25">
      <c r="A11" s="105"/>
      <c r="B11" s="111" t="s">
        <v>108</v>
      </c>
      <c r="C11" s="115">
        <f>K19+K20</f>
        <v>-110495</v>
      </c>
      <c r="D11" s="115">
        <f t="shared" si="0"/>
        <v>-140328.65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5557238</v>
      </c>
      <c r="J12" s="156">
        <f>ELECT.!V33</f>
        <v>5839363</v>
      </c>
      <c r="K12" s="102">
        <f>(J12-I12)*2</f>
        <v>564250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1722158</v>
      </c>
    </row>
    <row r="14" spans="1:11" ht="13.5" thickBot="1" x14ac:dyDescent="0.25">
      <c r="A14" s="105"/>
      <c r="B14" s="111" t="s">
        <v>42</v>
      </c>
      <c r="C14" s="115">
        <f>K29</f>
        <v>33120</v>
      </c>
      <c r="D14" s="123">
        <f t="shared" ref="D14:D22" si="1">C14*10.03</f>
        <v>332193.59999999998</v>
      </c>
      <c r="E14" s="124"/>
      <c r="F14" s="105"/>
      <c r="G14" s="105"/>
      <c r="H14" s="111" t="s">
        <v>114</v>
      </c>
      <c r="I14" s="120"/>
      <c r="J14" s="121"/>
      <c r="K14" s="103">
        <f>K5-K13</f>
        <v>42796</v>
      </c>
    </row>
    <row r="15" spans="1:11" ht="13.5" thickBot="1" x14ac:dyDescent="0.25">
      <c r="A15" s="105"/>
      <c r="B15" s="111" t="s">
        <v>115</v>
      </c>
      <c r="C15" s="125">
        <f>K30</f>
        <v>67.284000000000006</v>
      </c>
      <c r="D15" s="123">
        <f t="shared" si="1"/>
        <v>674.85852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3589.2719688000002</v>
      </c>
      <c r="D16" s="123">
        <f t="shared" si="1"/>
        <v>36000.397847064</v>
      </c>
      <c r="E16" s="124"/>
      <c r="F16" s="105"/>
      <c r="G16" s="105"/>
      <c r="H16" s="126" t="s">
        <v>136</v>
      </c>
      <c r="I16" s="127">
        <f>'Mall, Citadel, Rotana'!T2</f>
        <v>3684</v>
      </c>
      <c r="J16" s="127">
        <f>'Mall, Citadel, Rotana'!T33</f>
        <v>3711</v>
      </c>
      <c r="K16" s="104">
        <f>(J16-I16)*160</f>
        <v>4320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25097</v>
      </c>
      <c r="J18" s="127">
        <f>'Mall, Citadel, Rotana'!L33</f>
        <v>25184</v>
      </c>
      <c r="K18" s="104">
        <f>(J18-I18)*160</f>
        <v>13920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110495</v>
      </c>
      <c r="J19" s="127">
        <f>'Mall, Citadel, Rotana'!P33</f>
        <v>0</v>
      </c>
      <c r="K19" s="104">
        <f>J19-I19</f>
        <v>-110495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45485</v>
      </c>
      <c r="J21" s="127">
        <f>'Mall, Citadel, Rotana'!B33</f>
        <v>45623</v>
      </c>
      <c r="K21" s="104">
        <f>(J21-I21)*120</f>
        <v>16560</v>
      </c>
    </row>
    <row r="22" spans="1:11" ht="13.5" thickBot="1" x14ac:dyDescent="0.25">
      <c r="A22" s="105"/>
      <c r="B22" s="111" t="s">
        <v>119</v>
      </c>
      <c r="C22" s="123">
        <f>C14-(C15+C16+C17+C18+C19+C20+C21)</f>
        <v>23643.444031200001</v>
      </c>
      <c r="D22" s="123">
        <f t="shared" si="1"/>
        <v>237143.74363293598</v>
      </c>
      <c r="E22" s="124"/>
      <c r="F22" s="105"/>
      <c r="G22" s="105"/>
      <c r="H22" s="126" t="s">
        <v>15</v>
      </c>
      <c r="I22" s="127">
        <f>'Mall, Citadel, Rotana'!D2</f>
        <v>39638</v>
      </c>
      <c r="J22" s="127">
        <f>'Mall, Citadel, Rotana'!D33</f>
        <v>39706</v>
      </c>
      <c r="K22" s="104">
        <f>(J22-I22)*160</f>
        <v>10880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20517</v>
      </c>
      <c r="J23" s="127">
        <f>'Mall, Citadel, Rotana'!F33</f>
        <v>20605</v>
      </c>
      <c r="K23" s="104">
        <f>(J23-I23)*20</f>
        <v>1760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244572</v>
      </c>
      <c r="J24" s="127">
        <f>'Mall, Citadel, Rotana'!H33</f>
        <v>246018</v>
      </c>
      <c r="K24" s="104">
        <f>J24-I24</f>
        <v>1446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215639</v>
      </c>
      <c r="J25" s="127">
        <f>'Mall, Citadel, Rotana'!N33</f>
        <v>215718</v>
      </c>
      <c r="K25" s="104">
        <f>J25-I25</f>
        <v>79</v>
      </c>
    </row>
    <row r="26" spans="1:11" ht="13.5" thickBot="1" x14ac:dyDescent="0.25">
      <c r="A26" s="105"/>
      <c r="B26" s="111" t="s">
        <v>42</v>
      </c>
      <c r="C26" s="129">
        <f>K35</f>
        <v>53586</v>
      </c>
      <c r="D26" s="115">
        <f>C26*3.65</f>
        <v>195588.9</v>
      </c>
      <c r="E26" s="116"/>
      <c r="F26" s="105"/>
      <c r="G26" s="105"/>
      <c r="H26" s="126" t="s">
        <v>123</v>
      </c>
      <c r="I26" s="136">
        <f>ELECT.!C2</f>
        <v>18384</v>
      </c>
      <c r="J26" s="136">
        <f>ELECT.!C33</f>
        <v>18514</v>
      </c>
      <c r="K26" s="104">
        <f>(J26-I26)*160</f>
        <v>20800</v>
      </c>
    </row>
    <row r="27" spans="1:11" ht="13.5" thickBot="1" x14ac:dyDescent="0.25">
      <c r="A27" s="105"/>
      <c r="B27" s="106" t="s">
        <v>124</v>
      </c>
      <c r="C27" s="129">
        <f>C26</f>
        <v>53586</v>
      </c>
      <c r="D27" s="115">
        <f>C27*3.65</f>
        <v>195588.9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415688</v>
      </c>
      <c r="J29" s="127">
        <f>Water!B33</f>
        <v>419000</v>
      </c>
      <c r="K29" s="104">
        <f>(J29-I29)*10</f>
        <v>33120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738448</v>
      </c>
      <c r="J30" s="127">
        <f>Water!H33</f>
        <v>740940</v>
      </c>
      <c r="K30" s="104">
        <f>(J30-I30)*0.027</f>
        <v>67.284000000000006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4377000</v>
      </c>
      <c r="J31" s="127">
        <f>Water!D33</f>
        <v>4377000</v>
      </c>
      <c r="K31" s="104">
        <f>(J31-I31)*0.027</f>
        <v>0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3826500</v>
      </c>
      <c r="J32" s="127">
        <f>Water!F33</f>
        <v>4317100</v>
      </c>
      <c r="K32" s="104">
        <f>(J32-I32)*0.027</f>
        <v>13246.2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17435439</v>
      </c>
      <c r="J35" s="158">
        <f>Gas!B33</f>
        <v>17489025</v>
      </c>
      <c r="K35" s="135">
        <f>J35-I35</f>
        <v>53586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2021-07-25T22:45:11Z</dcterms:modified>
</cp:coreProperties>
</file>