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bookViews>
    <workbookView xWindow="0" yWindow="0" windowWidth="20400" windowHeight="775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3" l="1"/>
  <c r="R7" i="3"/>
  <c r="R8" i="3"/>
  <c r="R9" i="3"/>
  <c r="R5" i="3"/>
  <c r="T7" i="3" l="1"/>
  <c r="T8" i="3"/>
  <c r="T9" i="3"/>
  <c r="T35" i="3"/>
  <c r="Q35" i="3"/>
  <c r="R35" i="3" s="1"/>
  <c r="N35" i="3"/>
  <c r="O35" i="3" s="1"/>
  <c r="T34" i="3"/>
  <c r="Q34" i="3"/>
  <c r="R34" i="3" s="1"/>
  <c r="N34" i="3"/>
  <c r="O34" i="3" s="1"/>
  <c r="T33" i="3"/>
  <c r="Q33" i="3"/>
  <c r="R33" i="3" s="1"/>
  <c r="N33" i="3"/>
  <c r="O33" i="3" s="1"/>
  <c r="T32" i="3"/>
  <c r="Q32" i="3"/>
  <c r="R32" i="3" s="1"/>
  <c r="N32" i="3"/>
  <c r="O32" i="3" s="1"/>
  <c r="T31" i="3"/>
  <c r="Q31" i="3"/>
  <c r="R31" i="3" s="1"/>
  <c r="N31" i="3"/>
  <c r="O31" i="3" s="1"/>
  <c r="T30" i="3"/>
  <c r="Q30" i="3"/>
  <c r="R30" i="3" s="1"/>
  <c r="N30" i="3"/>
  <c r="O30" i="3" s="1"/>
  <c r="T29" i="3"/>
  <c r="Q29" i="3"/>
  <c r="R29" i="3" s="1"/>
  <c r="N29" i="3"/>
  <c r="O29" i="3" s="1"/>
  <c r="T28" i="3"/>
  <c r="Q28" i="3"/>
  <c r="R28" i="3" s="1"/>
  <c r="N28" i="3"/>
  <c r="O28" i="3" s="1"/>
  <c r="T27" i="3"/>
  <c r="Q27" i="3"/>
  <c r="R27" i="3" s="1"/>
  <c r="N27" i="3"/>
  <c r="O27" i="3" s="1"/>
  <c r="T26" i="3"/>
  <c r="Q26" i="3"/>
  <c r="R26" i="3" s="1"/>
  <c r="N26" i="3"/>
  <c r="O26" i="3" s="1"/>
  <c r="T25" i="3"/>
  <c r="Q25" i="3"/>
  <c r="R25" i="3" s="1"/>
  <c r="N25" i="3"/>
  <c r="O25" i="3" s="1"/>
  <c r="T24" i="3"/>
  <c r="Q24" i="3"/>
  <c r="R24" i="3" s="1"/>
  <c r="O24" i="3"/>
  <c r="N24" i="3"/>
  <c r="T23" i="3"/>
  <c r="Q23" i="3"/>
  <c r="R23" i="3" s="1"/>
  <c r="N23" i="3"/>
  <c r="O23" i="3" s="1"/>
  <c r="T22" i="3"/>
  <c r="Q22" i="3"/>
  <c r="R22" i="3" s="1"/>
  <c r="N22" i="3"/>
  <c r="O22" i="3" s="1"/>
  <c r="T21" i="3"/>
  <c r="Q21" i="3"/>
  <c r="R21" i="3" s="1"/>
  <c r="N21" i="3"/>
  <c r="O21" i="3" s="1"/>
  <c r="T20" i="3"/>
  <c r="Q20" i="3"/>
  <c r="R20" i="3" s="1"/>
  <c r="N20" i="3"/>
  <c r="O20" i="3" s="1"/>
  <c r="T19" i="3"/>
  <c r="Q19" i="3"/>
  <c r="R19" i="3" s="1"/>
  <c r="N19" i="3"/>
  <c r="O19" i="3" s="1"/>
  <c r="T18" i="3"/>
  <c r="Q18" i="3"/>
  <c r="R18" i="3" s="1"/>
  <c r="N18" i="3"/>
  <c r="O18" i="3" s="1"/>
  <c r="T17" i="3"/>
  <c r="Q17" i="3"/>
  <c r="R17" i="3" s="1"/>
  <c r="N17" i="3"/>
  <c r="O17" i="3" s="1"/>
  <c r="T16" i="3"/>
  <c r="Q16" i="3"/>
  <c r="R16" i="3" s="1"/>
  <c r="N16" i="3"/>
  <c r="O16" i="3" s="1"/>
  <c r="T15" i="3"/>
  <c r="Q15" i="3"/>
  <c r="R15" i="3" s="1"/>
  <c r="N15" i="3"/>
  <c r="O15" i="3" s="1"/>
  <c r="T14" i="3"/>
  <c r="Q14" i="3"/>
  <c r="R14" i="3" s="1"/>
  <c r="N14" i="3"/>
  <c r="O14" i="3" s="1"/>
  <c r="T13" i="3"/>
  <c r="Q13" i="3"/>
  <c r="R13" i="3" s="1"/>
  <c r="N13" i="3"/>
  <c r="O13" i="3" s="1"/>
  <c r="T12" i="3"/>
  <c r="Q12" i="3"/>
  <c r="R12" i="3" s="1"/>
  <c r="N12" i="3"/>
  <c r="O12" i="3" s="1"/>
  <c r="T11" i="3"/>
  <c r="Q11" i="3"/>
  <c r="R11" i="3" s="1"/>
  <c r="N11" i="3"/>
  <c r="O11" i="3" s="1"/>
  <c r="T10" i="3"/>
  <c r="Q10" i="3"/>
  <c r="R10" i="3" s="1"/>
  <c r="N10" i="3"/>
  <c r="O10" i="3" s="1"/>
  <c r="Q9" i="3"/>
  <c r="N9" i="3"/>
  <c r="O9" i="3" s="1"/>
  <c r="Q8" i="3"/>
  <c r="N8" i="3"/>
  <c r="O8" i="3" s="1"/>
  <c r="Q7" i="3"/>
  <c r="N7" i="3"/>
  <c r="O7" i="3" s="1"/>
  <c r="T6" i="3"/>
  <c r="Q6" i="3"/>
  <c r="N6" i="3"/>
  <c r="O6" i="3" s="1"/>
  <c r="T5" i="3"/>
  <c r="Q5" i="3"/>
  <c r="N5" i="3"/>
  <c r="O5" i="3" s="1"/>
  <c r="T36" i="3" l="1"/>
  <c r="O36" i="3"/>
  <c r="R36" i="3"/>
  <c r="B36" i="3" l="1"/>
  <c r="B32" i="2" l="1"/>
  <c r="B31" i="2"/>
  <c r="L31" i="2"/>
  <c r="K31" i="2"/>
  <c r="K35" i="3" l="1"/>
  <c r="K34" i="3"/>
  <c r="H35" i="3"/>
  <c r="H34" i="3"/>
  <c r="I34" i="3" s="1"/>
  <c r="E31" i="2" s="1"/>
  <c r="E35" i="3"/>
  <c r="E34" i="3"/>
  <c r="F34" i="3" s="1"/>
  <c r="G31" i="2" s="1"/>
  <c r="I31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2" i="2"/>
  <c r="K3" i="2"/>
  <c r="K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2" i="2"/>
  <c r="L2" i="2"/>
  <c r="K6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5" i="3"/>
  <c r="H6" i="3"/>
  <c r="I6" i="3" s="1"/>
  <c r="E3" i="2" s="1"/>
  <c r="H7" i="3"/>
  <c r="I7" i="3" s="1"/>
  <c r="E4" i="2" s="1"/>
  <c r="H8" i="3"/>
  <c r="I8" i="3" s="1"/>
  <c r="E5" i="2" s="1"/>
  <c r="H9" i="3"/>
  <c r="I9" i="3" s="1"/>
  <c r="E6" i="2" s="1"/>
  <c r="H10" i="3"/>
  <c r="I10" i="3" s="1"/>
  <c r="E7" i="2" s="1"/>
  <c r="H11" i="3"/>
  <c r="I11" i="3" s="1"/>
  <c r="E8" i="2" s="1"/>
  <c r="H12" i="3"/>
  <c r="I12" i="3" s="1"/>
  <c r="E9" i="2" s="1"/>
  <c r="H13" i="3"/>
  <c r="I13" i="3" s="1"/>
  <c r="E10" i="2" s="1"/>
  <c r="H14" i="3"/>
  <c r="I14" i="3" s="1"/>
  <c r="E11" i="2" s="1"/>
  <c r="H15" i="3"/>
  <c r="I15" i="3" s="1"/>
  <c r="E12" i="2" s="1"/>
  <c r="H16" i="3"/>
  <c r="I16" i="3" s="1"/>
  <c r="E13" i="2" s="1"/>
  <c r="H17" i="3"/>
  <c r="I17" i="3" s="1"/>
  <c r="E14" i="2" s="1"/>
  <c r="H18" i="3"/>
  <c r="I18" i="3" s="1"/>
  <c r="E15" i="2" s="1"/>
  <c r="H19" i="3"/>
  <c r="I19" i="3" s="1"/>
  <c r="E16" i="2" s="1"/>
  <c r="H20" i="3"/>
  <c r="I20" i="3" s="1"/>
  <c r="E17" i="2" s="1"/>
  <c r="H21" i="3"/>
  <c r="I21" i="3" s="1"/>
  <c r="E18" i="2" s="1"/>
  <c r="H22" i="3"/>
  <c r="I22" i="3" s="1"/>
  <c r="E19" i="2" s="1"/>
  <c r="H23" i="3"/>
  <c r="I23" i="3" s="1"/>
  <c r="E20" i="2" s="1"/>
  <c r="H24" i="3"/>
  <c r="I24" i="3" s="1"/>
  <c r="E21" i="2" s="1"/>
  <c r="H25" i="3"/>
  <c r="I25" i="3" s="1"/>
  <c r="E22" i="2" s="1"/>
  <c r="H26" i="3"/>
  <c r="I26" i="3" s="1"/>
  <c r="E23" i="2" s="1"/>
  <c r="H27" i="3"/>
  <c r="I27" i="3" s="1"/>
  <c r="E24" i="2" s="1"/>
  <c r="H28" i="3"/>
  <c r="I28" i="3" s="1"/>
  <c r="E25" i="2" s="1"/>
  <c r="H29" i="3"/>
  <c r="I29" i="3" s="1"/>
  <c r="E26" i="2" s="1"/>
  <c r="H30" i="3"/>
  <c r="I30" i="3" s="1"/>
  <c r="E27" i="2" s="1"/>
  <c r="H31" i="3"/>
  <c r="I31" i="3" s="1"/>
  <c r="E28" i="2" s="1"/>
  <c r="H32" i="3"/>
  <c r="I32" i="3" s="1"/>
  <c r="E29" i="2" s="1"/>
  <c r="H33" i="3"/>
  <c r="I33" i="3" s="1"/>
  <c r="E30" i="2" s="1"/>
  <c r="I35" i="3"/>
  <c r="E32" i="2" s="1"/>
  <c r="H5" i="3"/>
  <c r="I5" i="3" s="1"/>
  <c r="E6" i="3"/>
  <c r="F6" i="3" s="1"/>
  <c r="G3" i="2" s="1"/>
  <c r="E7" i="3"/>
  <c r="F7" i="3" s="1"/>
  <c r="G4" i="2" s="1"/>
  <c r="E8" i="3"/>
  <c r="F8" i="3" s="1"/>
  <c r="G5" i="2" s="1"/>
  <c r="E9" i="3"/>
  <c r="F9" i="3" s="1"/>
  <c r="G6" i="2" s="1"/>
  <c r="E10" i="3"/>
  <c r="F10" i="3" s="1"/>
  <c r="G7" i="2" s="1"/>
  <c r="E11" i="3"/>
  <c r="F11" i="3" s="1"/>
  <c r="G8" i="2" s="1"/>
  <c r="E12" i="3"/>
  <c r="F12" i="3" s="1"/>
  <c r="G9" i="2" s="1"/>
  <c r="E13" i="3"/>
  <c r="F13" i="3" s="1"/>
  <c r="G10" i="2" s="1"/>
  <c r="E14" i="3"/>
  <c r="F14" i="3" s="1"/>
  <c r="G11" i="2" s="1"/>
  <c r="E15" i="3"/>
  <c r="F15" i="3" s="1"/>
  <c r="G12" i="2" s="1"/>
  <c r="E16" i="3"/>
  <c r="F16" i="3" s="1"/>
  <c r="G13" i="2" s="1"/>
  <c r="E17" i="3"/>
  <c r="F17" i="3" s="1"/>
  <c r="G14" i="2" s="1"/>
  <c r="E18" i="3"/>
  <c r="F18" i="3" s="1"/>
  <c r="G15" i="2" s="1"/>
  <c r="E19" i="3"/>
  <c r="F19" i="3" s="1"/>
  <c r="G16" i="2" s="1"/>
  <c r="E20" i="3"/>
  <c r="F20" i="3" s="1"/>
  <c r="G17" i="2" s="1"/>
  <c r="E21" i="3"/>
  <c r="F21" i="3" s="1"/>
  <c r="G18" i="2" s="1"/>
  <c r="E22" i="3"/>
  <c r="F22" i="3" s="1"/>
  <c r="G19" i="2" s="1"/>
  <c r="E23" i="3"/>
  <c r="F23" i="3" s="1"/>
  <c r="G20" i="2" s="1"/>
  <c r="E24" i="3"/>
  <c r="F24" i="3" s="1"/>
  <c r="G21" i="2" s="1"/>
  <c r="E25" i="3"/>
  <c r="F25" i="3" s="1"/>
  <c r="G22" i="2" s="1"/>
  <c r="E26" i="3"/>
  <c r="F26" i="3" s="1"/>
  <c r="G23" i="2" s="1"/>
  <c r="E27" i="3"/>
  <c r="F27" i="3" s="1"/>
  <c r="G24" i="2" s="1"/>
  <c r="E28" i="3"/>
  <c r="F28" i="3" s="1"/>
  <c r="G25" i="2" s="1"/>
  <c r="E29" i="3"/>
  <c r="F29" i="3" s="1"/>
  <c r="G26" i="2" s="1"/>
  <c r="E30" i="3"/>
  <c r="F30" i="3" s="1"/>
  <c r="G27" i="2" s="1"/>
  <c r="E31" i="3"/>
  <c r="F31" i="3" s="1"/>
  <c r="G28" i="2" s="1"/>
  <c r="E32" i="3"/>
  <c r="F32" i="3" s="1"/>
  <c r="G29" i="2" s="1"/>
  <c r="E33" i="3"/>
  <c r="F33" i="3" s="1"/>
  <c r="G30" i="2" s="1"/>
  <c r="F35" i="3"/>
  <c r="G32" i="2" s="1"/>
  <c r="E5" i="3"/>
  <c r="F5" i="3" s="1"/>
  <c r="K36" i="3" l="1"/>
  <c r="E2" i="2"/>
  <c r="I36" i="3"/>
  <c r="G2" i="2"/>
  <c r="F36" i="3"/>
  <c r="I22" i="2"/>
  <c r="I16" i="2"/>
  <c r="I21" i="2"/>
  <c r="I15" i="2"/>
  <c r="I9" i="2"/>
  <c r="L6" i="3"/>
  <c r="I3" i="2" s="1"/>
  <c r="I23" i="2"/>
  <c r="I5" i="2"/>
  <c r="L5" i="3"/>
  <c r="I2" i="2" s="1"/>
  <c r="I20" i="2"/>
  <c r="I14" i="2"/>
  <c r="I8" i="2"/>
  <c r="I10" i="2"/>
  <c r="I25" i="2"/>
  <c r="I19" i="2"/>
  <c r="I13" i="2"/>
  <c r="I7" i="2"/>
  <c r="I11" i="2"/>
  <c r="I17" i="2"/>
  <c r="I4" i="2"/>
  <c r="I24" i="2"/>
  <c r="I18" i="2"/>
  <c r="I12" i="2"/>
  <c r="I6" i="2"/>
  <c r="I32" i="2"/>
  <c r="I30" i="2"/>
  <c r="I29" i="2"/>
  <c r="I28" i="2"/>
  <c r="I26" i="2"/>
  <c r="I27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L36" i="3"/>
</calcChain>
</file>

<file path=xl/sharedStrings.xml><?xml version="1.0" encoding="utf-8"?>
<sst xmlns="http://schemas.openxmlformats.org/spreadsheetml/2006/main" count="79" uniqueCount="29">
  <si>
    <t>Day</t>
  </si>
  <si>
    <t>Month</t>
  </si>
  <si>
    <t>Year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</si>
  <si>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</si>
  <si>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</si>
  <si>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</si>
  <si>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</si>
  <si>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</si>
  <si>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</si>
  <si>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</si>
  <si>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</si>
  <si>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</si>
  <si>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</si>
  <si>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</si>
  <si>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Room Night </t>
  </si>
  <si>
    <t xml:space="preserve"> </t>
  </si>
  <si>
    <t>Natural Gas</t>
  </si>
  <si>
    <t>Electricity (Hydro)</t>
  </si>
  <si>
    <t xml:space="preserve">Water </t>
  </si>
  <si>
    <t>Conv x 4.7</t>
  </si>
  <si>
    <t>Daily Usage (GJ)</t>
  </si>
  <si>
    <t>Daily Usage (M³)</t>
  </si>
  <si>
    <t>Hotel</t>
  </si>
  <si>
    <t>Residence</t>
  </si>
  <si>
    <t xml:space="preserve"> Reading</t>
  </si>
  <si>
    <t>Reading</t>
  </si>
  <si>
    <t>Kw/h with multiplier (900)</t>
  </si>
  <si>
    <t>Kw/h with multiplier (1200)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</si>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</sst>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0;[Red]0"/>
    <numFmt numFmtId="167" formatCode="[$-1009]mmm\ d\,\ yyyy;@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79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0" fontId="2" fillId="3" borderId="6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" fontId="8" fillId="6" borderId="13" xfId="0" applyNumberFormat="1" applyFont="1" applyFill="1" applyBorder="1" applyAlignment="1">
      <alignment horizontal="center" vertical="center" wrapText="1"/>
    </xf>
    <xf numFmtId="164" fontId="9" fillId="0" borderId="16" xfId="0" applyNumberFormat="1" applyFont="1" applyBorder="1" applyAlignment="1">
      <alignment horizontal="center"/>
    </xf>
    <xf numFmtId="165" fontId="10" fillId="6" borderId="12" xfId="0" applyNumberFormat="1" applyFont="1" applyFill="1" applyBorder="1" applyAlignment="1">
      <alignment horizontal="center" vertical="center"/>
    </xf>
    <xf numFmtId="164" fontId="9" fillId="6" borderId="11" xfId="0" applyNumberFormat="1" applyFont="1" applyFill="1" applyBorder="1" applyAlignment="1">
      <alignment horizontal="center" vertical="center"/>
    </xf>
    <xf numFmtId="2" fontId="9" fillId="6" borderId="10" xfId="0" applyNumberFormat="1" applyFont="1" applyFill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/>
    </xf>
    <xf numFmtId="166" fontId="10" fillId="6" borderId="12" xfId="0" applyNumberFormat="1" applyFont="1" applyFill="1" applyBorder="1" applyAlignment="1">
      <alignment horizontal="center" vertical="center"/>
    </xf>
    <xf numFmtId="0" fontId="9" fillId="6" borderId="12" xfId="0" applyFont="1" applyFill="1" applyBorder="1"/>
    <xf numFmtId="0" fontId="9" fillId="0" borderId="0" xfId="0" applyFont="1"/>
    <xf numFmtId="1" fontId="9" fillId="0" borderId="16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17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5" fontId="8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165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 wrapText="1"/>
    </xf>
    <xf numFmtId="0" fontId="9" fillId="0" borderId="20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165" fontId="2" fillId="7" borderId="8" xfId="0" applyNumberFormat="1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/>
    </xf>
    <xf numFmtId="165" fontId="10" fillId="5" borderId="17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7" fontId="8" fillId="2" borderId="15" xfId="0" applyNumberFormat="1" applyFont="1" applyFill="1" applyBorder="1" applyAlignment="1">
      <alignment horizontal="left" vertical="center"/>
    </xf>
    <xf numFmtId="1" fontId="9" fillId="0" borderId="13" xfId="0" applyNumberFormat="1" applyFont="1" applyBorder="1" applyAlignment="1">
      <alignment horizontal="center" vertical="center" wrapText="1"/>
    </xf>
    <xf numFmtId="164" fontId="8" fillId="5" borderId="17" xfId="0" applyNumberFormat="1" applyFont="1" applyFill="1" applyBorder="1" applyAlignment="1">
      <alignment horizontal="center" vertical="center"/>
    </xf>
    <xf numFmtId="164" fontId="8" fillId="4" borderId="17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21" xfId="0" applyNumberFormat="1" applyFont="1" applyFill="1" applyBorder="1" applyAlignment="1">
      <alignment horizontal="center" vertical="center" wrapText="1"/>
    </xf>
    <xf numFmtId="1" fontId="2" fillId="3" borderId="14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I4" sqref="I4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3</v>
      </c>
      <c r="B1" s="1" t="s">
        <v>0</v>
      </c>
      <c r="C1" s="2" t="s">
        <v>1</v>
      </c>
      <c r="D1" s="1" t="s">
        <v>2</v>
      </c>
      <c r="E1" s="10" t="s">
        <v>4</v>
      </c>
      <c r="F1" s="11" t="s">
        <v>5</v>
      </c>
      <c r="G1" s="10" t="s">
        <v>12</v>
      </c>
      <c r="H1" s="11" t="s">
        <v>6</v>
      </c>
      <c r="I1" s="10" t="s">
        <v>7</v>
      </c>
      <c r="J1" s="12" t="s">
        <v>8</v>
      </c>
      <c r="K1" s="3" t="s">
        <v>9</v>
      </c>
      <c r="L1" s="3" t="s">
        <v>10</v>
      </c>
    </row>
    <row r="2" spans="1:12" ht="15" x14ac:dyDescent="0.25">
      <c r="A2" s="5" t="s">
        <v>11</v>
      </c>
      <c r="B2" s="6">
        <v>1</v>
      </c>
      <c r="C2" s="7">
        <v>10</v>
      </c>
      <c r="D2" s="6">
        <v>2022</v>
      </c>
      <c r="E2" s="8">
        <f>'FSRW Meter Readings'!I5</f>
        <v>19200</v>
      </c>
      <c r="F2" s="9">
        <v>0.06</v>
      </c>
      <c r="G2" s="8">
        <f>'FSRW Meter Readings'!F5</f>
        <v>1475.6499999999999</v>
      </c>
      <c r="H2" s="9">
        <v>0.4</v>
      </c>
      <c r="I2" s="8">
        <f>'FSRW Meter Readings'!L5</f>
        <v>112.80000000000001</v>
      </c>
      <c r="J2" s="9"/>
      <c r="K2" s="8">
        <f>'FSRW Meter Readings'!B5</f>
        <v>218</v>
      </c>
      <c r="L2" s="8">
        <f>'FSRW Meter Readings'!C5</f>
        <v>0</v>
      </c>
    </row>
    <row r="3" spans="1:12" ht="15" x14ac:dyDescent="0.25">
      <c r="A3" s="5" t="s">
        <v>11</v>
      </c>
      <c r="B3" s="6">
        <f>B2+1</f>
        <v>2</v>
      </c>
      <c r="C3" s="7">
        <v>10</v>
      </c>
      <c r="D3" s="6">
        <v>2022</v>
      </c>
      <c r="E3" s="8">
        <f>'FSRW Meter Readings'!I6</f>
        <v>24000</v>
      </c>
      <c r="F3" s="9">
        <v>0.06</v>
      </c>
      <c r="G3" s="8">
        <f>'FSRW Meter Readings'!F6</f>
        <v>1475.6499999999999</v>
      </c>
      <c r="H3" s="9">
        <v>0.4</v>
      </c>
      <c r="I3" s="8">
        <f>'FSRW Meter Readings'!L6</f>
        <v>94</v>
      </c>
      <c r="J3" s="9"/>
      <c r="K3" s="8">
        <f>'FSRW Meter Readings'!B6</f>
        <v>77</v>
      </c>
      <c r="L3" s="8">
        <f>'FSRW Meter Readings'!C6</f>
        <v>0</v>
      </c>
    </row>
    <row r="4" spans="1:12" ht="15" x14ac:dyDescent="0.25">
      <c r="A4" s="5" t="s">
        <v>11</v>
      </c>
      <c r="B4" s="6">
        <f t="shared" ref="B4:B30" si="0">B3+1</f>
        <v>3</v>
      </c>
      <c r="C4" s="7">
        <v>10</v>
      </c>
      <c r="D4" s="6">
        <v>2022</v>
      </c>
      <c r="E4" s="8">
        <f>'FSRW Meter Readings'!I7</f>
        <v>18000</v>
      </c>
      <c r="F4" s="9">
        <v>0.06</v>
      </c>
      <c r="G4" s="8">
        <f>'FSRW Meter Readings'!F7</f>
        <v>1234.1799999999998</v>
      </c>
      <c r="H4" s="9">
        <v>0.4</v>
      </c>
      <c r="I4" s="8">
        <f>'FSRW Meter Readings'!K7</f>
        <v>100</v>
      </c>
      <c r="J4" s="9"/>
      <c r="K4" s="8">
        <f>'FSRW Meter Readings'!B7</f>
        <v>106</v>
      </c>
      <c r="L4" s="8">
        <f>'FSRW Meter Readings'!C7</f>
        <v>0</v>
      </c>
    </row>
    <row r="5" spans="1:12" ht="15" x14ac:dyDescent="0.25">
      <c r="A5" s="5" t="s">
        <v>11</v>
      </c>
      <c r="B5" s="6">
        <f t="shared" si="0"/>
        <v>4</v>
      </c>
      <c r="C5" s="7">
        <v>10</v>
      </c>
      <c r="D5" s="6">
        <v>2022</v>
      </c>
      <c r="E5" s="8">
        <f>'FSRW Meter Readings'!I8</f>
        <v>20400</v>
      </c>
      <c r="F5" s="9">
        <v>0.06</v>
      </c>
      <c r="G5" s="8">
        <f>'FSRW Meter Readings'!F8</f>
        <v>1287.8399999999999</v>
      </c>
      <c r="H5" s="9">
        <v>0.4</v>
      </c>
      <c r="I5" s="8">
        <f>'FSRW Meter Readings'!K8</f>
        <v>148.44499999999999</v>
      </c>
      <c r="J5" s="9"/>
      <c r="K5" s="8">
        <f>'FSRW Meter Readings'!B8</f>
        <v>126</v>
      </c>
      <c r="L5" s="8">
        <f>'FSRW Meter Readings'!C8</f>
        <v>0</v>
      </c>
    </row>
    <row r="6" spans="1:12" ht="15" x14ac:dyDescent="0.25">
      <c r="A6" s="5" t="s">
        <v>11</v>
      </c>
      <c r="B6" s="6">
        <f t="shared" si="0"/>
        <v>5</v>
      </c>
      <c r="C6" s="7">
        <v>10</v>
      </c>
      <c r="D6" s="6">
        <v>2022</v>
      </c>
      <c r="E6" s="8">
        <f>'FSRW Meter Readings'!I9</f>
        <v>20400</v>
      </c>
      <c r="F6" s="9">
        <v>0.06</v>
      </c>
      <c r="G6" s="8">
        <f>'FSRW Meter Readings'!F9</f>
        <v>1287.8399999999999</v>
      </c>
      <c r="H6" s="9">
        <v>0.4</v>
      </c>
      <c r="I6" s="8">
        <f>'FSRW Meter Readings'!K9</f>
        <v>192.79499999999999</v>
      </c>
      <c r="J6" s="9"/>
      <c r="K6" s="8">
        <f>'FSRW Meter Readings'!B9</f>
        <v>129</v>
      </c>
      <c r="L6" s="8">
        <f>'FSRW Meter Readings'!C9</f>
        <v>0</v>
      </c>
    </row>
    <row r="7" spans="1:12" ht="15" x14ac:dyDescent="0.25">
      <c r="A7" s="5" t="s">
        <v>11</v>
      </c>
      <c r="B7" s="6">
        <f t="shared" si="0"/>
        <v>6</v>
      </c>
      <c r="C7" s="7">
        <v>10</v>
      </c>
      <c r="D7" s="6">
        <v>2022</v>
      </c>
      <c r="E7" s="8">
        <f>'FSRW Meter Readings'!I10</f>
        <v>21600</v>
      </c>
      <c r="F7" s="9">
        <v>0.06</v>
      </c>
      <c r="G7" s="8">
        <f>'FSRW Meter Readings'!F10</f>
        <v>1368.33</v>
      </c>
      <c r="H7" s="9">
        <v>0.4</v>
      </c>
      <c r="I7" s="8">
        <f>'FSRW Meter Readings'!K10</f>
        <v>157.90000000000003</v>
      </c>
      <c r="J7" s="9"/>
      <c r="K7" s="8">
        <f>'FSRW Meter Readings'!B10</f>
        <v>72</v>
      </c>
      <c r="L7" s="8">
        <f>'FSRW Meter Readings'!C10</f>
        <v>0</v>
      </c>
    </row>
    <row r="8" spans="1:12" ht="15" x14ac:dyDescent="0.25">
      <c r="A8" s="5" t="s">
        <v>11</v>
      </c>
      <c r="B8" s="6">
        <f t="shared" si="0"/>
        <v>7</v>
      </c>
      <c r="C8" s="7">
        <v>10</v>
      </c>
      <c r="D8" s="6">
        <v>2022</v>
      </c>
      <c r="E8" s="8">
        <f>'FSRW Meter Readings'!I11</f>
        <v>19200</v>
      </c>
      <c r="F8" s="9">
        <v>0.06</v>
      </c>
      <c r="G8" s="8">
        <f>'FSRW Meter Readings'!F11</f>
        <v>885.39</v>
      </c>
      <c r="H8" s="9">
        <v>0.4</v>
      </c>
      <c r="I8" s="8">
        <f>'FSRW Meter Readings'!K11</f>
        <v>134.69999999999999</v>
      </c>
      <c r="J8" s="9"/>
      <c r="K8" s="8">
        <f>'FSRW Meter Readings'!B11</f>
        <v>174</v>
      </c>
      <c r="L8" s="8">
        <f>'FSRW Meter Readings'!C11</f>
        <v>0</v>
      </c>
    </row>
    <row r="9" spans="1:12" ht="15" x14ac:dyDescent="0.25">
      <c r="A9" s="5" t="s">
        <v>11</v>
      </c>
      <c r="B9" s="6">
        <f t="shared" si="0"/>
        <v>8</v>
      </c>
      <c r="C9" s="7">
        <v>10</v>
      </c>
      <c r="D9" s="6">
        <v>2022</v>
      </c>
      <c r="E9" s="8">
        <f>'FSRW Meter Readings'!I12</f>
        <v>21600</v>
      </c>
      <c r="F9" s="9">
        <v>0.06</v>
      </c>
      <c r="G9" s="8">
        <f>'FSRW Meter Readings'!F12</f>
        <v>1475.6499999999999</v>
      </c>
      <c r="H9" s="9">
        <v>0.4</v>
      </c>
      <c r="I9" s="8">
        <f>'FSRW Meter Readings'!K12</f>
        <v>191.79999999999995</v>
      </c>
      <c r="J9" s="9"/>
      <c r="K9" s="8">
        <f>'FSRW Meter Readings'!B12</f>
        <v>234</v>
      </c>
      <c r="L9" s="8">
        <f>'FSRW Meter Readings'!C12</f>
        <v>0</v>
      </c>
    </row>
    <row r="10" spans="1:12" ht="15" x14ac:dyDescent="0.25">
      <c r="A10" s="5" t="s">
        <v>11</v>
      </c>
      <c r="B10" s="6">
        <f t="shared" si="0"/>
        <v>9</v>
      </c>
      <c r="C10" s="7">
        <v>10</v>
      </c>
      <c r="D10" s="6">
        <v>2022</v>
      </c>
      <c r="E10" s="8">
        <f>'FSRW Meter Readings'!I13</f>
        <v>21600</v>
      </c>
      <c r="F10" s="9">
        <v>0.06</v>
      </c>
      <c r="G10" s="8">
        <f>'FSRW Meter Readings'!F13</f>
        <v>1582.9699999999998</v>
      </c>
      <c r="H10" s="9">
        <v>0.4</v>
      </c>
      <c r="I10" s="8">
        <f>'FSRW Meter Readings'!K13</f>
        <v>171.90000000000009</v>
      </c>
      <c r="J10" s="9"/>
      <c r="K10" s="8">
        <f>'FSRW Meter Readings'!B13</f>
        <v>190</v>
      </c>
      <c r="L10" s="8">
        <f>'FSRW Meter Readings'!C13</f>
        <v>0</v>
      </c>
    </row>
    <row r="11" spans="1:12" ht="15" x14ac:dyDescent="0.25">
      <c r="A11" s="5" t="s">
        <v>11</v>
      </c>
      <c r="B11" s="6">
        <f t="shared" si="0"/>
        <v>10</v>
      </c>
      <c r="C11" s="7">
        <v>10</v>
      </c>
      <c r="D11" s="6">
        <v>2022</v>
      </c>
      <c r="E11" s="8">
        <f>'FSRW Meter Readings'!I14</f>
        <v>20400</v>
      </c>
      <c r="F11" s="9">
        <v>0.06</v>
      </c>
      <c r="G11" s="8">
        <f>'FSRW Meter Readings'!F14</f>
        <v>1609.8</v>
      </c>
      <c r="H11" s="9">
        <v>0.4</v>
      </c>
      <c r="I11" s="8">
        <f>'FSRW Meter Readings'!K14</f>
        <v>188</v>
      </c>
      <c r="J11" s="9"/>
      <c r="K11" s="8">
        <f>'FSRW Meter Readings'!B14</f>
        <v>63</v>
      </c>
      <c r="L11" s="8">
        <f>'FSRW Meter Readings'!C14</f>
        <v>0</v>
      </c>
    </row>
    <row r="12" spans="1:12" ht="15" x14ac:dyDescent="0.25">
      <c r="A12" s="5" t="s">
        <v>11</v>
      </c>
      <c r="B12" s="6">
        <f t="shared" si="0"/>
        <v>11</v>
      </c>
      <c r="C12" s="7">
        <v>10</v>
      </c>
      <c r="D12" s="6">
        <v>2022</v>
      </c>
      <c r="E12" s="8">
        <f>'FSRW Meter Readings'!I15</f>
        <v>20400</v>
      </c>
      <c r="F12" s="9">
        <v>0.06</v>
      </c>
      <c r="G12" s="8">
        <f>'FSRW Meter Readings'!F15</f>
        <v>1421.99</v>
      </c>
      <c r="H12" s="9">
        <v>0.4</v>
      </c>
      <c r="I12" s="8">
        <f>'FSRW Meter Readings'!K15</f>
        <v>122.29999999999995</v>
      </c>
      <c r="J12" s="9"/>
      <c r="K12" s="8">
        <f>'FSRW Meter Readings'!B15</f>
        <v>63</v>
      </c>
      <c r="L12" s="8">
        <f>'FSRW Meter Readings'!C15</f>
        <v>0</v>
      </c>
    </row>
    <row r="13" spans="1:12" ht="15" x14ac:dyDescent="0.25">
      <c r="A13" s="5" t="s">
        <v>11</v>
      </c>
      <c r="B13" s="6">
        <f t="shared" si="0"/>
        <v>12</v>
      </c>
      <c r="C13" s="7">
        <v>10</v>
      </c>
      <c r="D13" s="6">
        <v>2022</v>
      </c>
      <c r="E13" s="8">
        <f>'FSRW Meter Readings'!I16</f>
        <v>16800</v>
      </c>
      <c r="F13" s="9">
        <v>0.06</v>
      </c>
      <c r="G13" s="8">
        <f>'FSRW Meter Readings'!F16</f>
        <v>1153.6899999999998</v>
      </c>
      <c r="H13" s="9">
        <v>0.4</v>
      </c>
      <c r="I13" s="8">
        <f>'FSRW Meter Readings'!K16</f>
        <v>41.200000000000045</v>
      </c>
      <c r="J13" s="9"/>
      <c r="K13" s="8">
        <f>'FSRW Meter Readings'!B16</f>
        <v>63</v>
      </c>
      <c r="L13" s="8">
        <f>'FSRW Meter Readings'!C16</f>
        <v>0</v>
      </c>
    </row>
    <row r="14" spans="1:12" ht="15" x14ac:dyDescent="0.25">
      <c r="A14" s="5" t="s">
        <v>11</v>
      </c>
      <c r="B14" s="6">
        <f t="shared" si="0"/>
        <v>13</v>
      </c>
      <c r="C14" s="7">
        <v>10</v>
      </c>
      <c r="D14" s="6">
        <v>2022</v>
      </c>
      <c r="E14" s="8">
        <f>'FSRW Meter Readings'!I17</f>
        <v>22800</v>
      </c>
      <c r="F14" s="9">
        <v>0.06</v>
      </c>
      <c r="G14" s="8">
        <f>'FSRW Meter Readings'!F17</f>
        <v>1234.1799999999998</v>
      </c>
      <c r="H14" s="9">
        <v>0.4</v>
      </c>
      <c r="I14" s="8">
        <f>'FSRW Meter Readings'!K17</f>
        <v>92.899999999999864</v>
      </c>
      <c r="J14" s="9"/>
      <c r="K14" s="8">
        <f>'FSRW Meter Readings'!B17</f>
        <v>79</v>
      </c>
      <c r="L14" s="8">
        <f>'FSRW Meter Readings'!C17</f>
        <v>0</v>
      </c>
    </row>
    <row r="15" spans="1:12" ht="15" x14ac:dyDescent="0.25">
      <c r="A15" s="5" t="s">
        <v>11</v>
      </c>
      <c r="B15" s="6">
        <f t="shared" si="0"/>
        <v>14</v>
      </c>
      <c r="C15" s="7">
        <v>10</v>
      </c>
      <c r="D15" s="6">
        <v>2022</v>
      </c>
      <c r="E15" s="8">
        <f>'FSRW Meter Readings'!I18</f>
        <v>20400</v>
      </c>
      <c r="F15" s="9">
        <v>0.06</v>
      </c>
      <c r="G15" s="8">
        <f>'FSRW Meter Readings'!F18</f>
        <v>1368.33</v>
      </c>
      <c r="H15" s="9">
        <v>0.4</v>
      </c>
      <c r="I15" s="8">
        <f>'FSRW Meter Readings'!K18</f>
        <v>97.800000000000182</v>
      </c>
      <c r="J15" s="9"/>
      <c r="K15" s="8">
        <f>'FSRW Meter Readings'!B18</f>
        <v>160</v>
      </c>
      <c r="L15" s="8">
        <f>'FSRW Meter Readings'!C18</f>
        <v>0</v>
      </c>
    </row>
    <row r="16" spans="1:12" ht="15" x14ac:dyDescent="0.25">
      <c r="A16" s="5" t="s">
        <v>11</v>
      </c>
      <c r="B16" s="6">
        <f t="shared" si="0"/>
        <v>15</v>
      </c>
      <c r="C16" s="7">
        <v>10</v>
      </c>
      <c r="D16" s="6">
        <v>2022</v>
      </c>
      <c r="E16" s="8">
        <f>'FSRW Meter Readings'!I19</f>
        <v>22800</v>
      </c>
      <c r="F16" s="9">
        <v>0.06</v>
      </c>
      <c r="G16" s="8">
        <f>'FSRW Meter Readings'!F19</f>
        <v>1609.8</v>
      </c>
      <c r="H16" s="9">
        <v>0.4</v>
      </c>
      <c r="I16" s="8">
        <f>'FSRW Meter Readings'!K19</f>
        <v>160.29999999999995</v>
      </c>
      <c r="J16" s="9"/>
      <c r="K16" s="8">
        <f>'FSRW Meter Readings'!B19</f>
        <v>194</v>
      </c>
      <c r="L16" s="8">
        <f>'FSRW Meter Readings'!C19</f>
        <v>0</v>
      </c>
    </row>
    <row r="17" spans="1:12" ht="15" x14ac:dyDescent="0.25">
      <c r="A17" s="5" t="s">
        <v>11</v>
      </c>
      <c r="B17" s="6">
        <f t="shared" si="0"/>
        <v>16</v>
      </c>
      <c r="C17" s="7">
        <v>10</v>
      </c>
      <c r="D17" s="6">
        <v>2022</v>
      </c>
      <c r="E17" s="8">
        <f>'FSRW Meter Readings'!I20</f>
        <v>20400</v>
      </c>
      <c r="F17" s="9">
        <v>0.06</v>
      </c>
      <c r="G17" s="8">
        <f>'FSRW Meter Readings'!F20</f>
        <v>1609.8</v>
      </c>
      <c r="H17" s="9">
        <v>0.4</v>
      </c>
      <c r="I17" s="8">
        <f>'FSRW Meter Readings'!K20</f>
        <v>139.59999999999991</v>
      </c>
      <c r="J17" s="9"/>
      <c r="K17" s="8">
        <f>'FSRW Meter Readings'!B20</f>
        <v>62</v>
      </c>
      <c r="L17" s="8">
        <f>'FSRW Meter Readings'!C20</f>
        <v>0</v>
      </c>
    </row>
    <row r="18" spans="1:12" ht="15" x14ac:dyDescent="0.25">
      <c r="A18" s="5" t="s">
        <v>11</v>
      </c>
      <c r="B18" s="6">
        <f t="shared" si="0"/>
        <v>17</v>
      </c>
      <c r="C18" s="7">
        <v>10</v>
      </c>
      <c r="D18" s="6">
        <v>2022</v>
      </c>
      <c r="E18" s="8">
        <f>'FSRW Meter Readings'!I21</f>
        <v>20400</v>
      </c>
      <c r="F18" s="9">
        <v>0.06</v>
      </c>
      <c r="G18" s="8">
        <f>'FSRW Meter Readings'!F21</f>
        <v>1475.6499999999999</v>
      </c>
      <c r="H18" s="9">
        <v>0.4</v>
      </c>
      <c r="I18" s="8">
        <f>'FSRW Meter Readings'!K21</f>
        <v>102</v>
      </c>
      <c r="J18" s="9"/>
      <c r="K18" s="8">
        <f>'FSRW Meter Readings'!B21</f>
        <v>56</v>
      </c>
      <c r="L18" s="8">
        <f>'FSRW Meter Readings'!C21</f>
        <v>0</v>
      </c>
    </row>
    <row r="19" spans="1:12" ht="15" x14ac:dyDescent="0.25">
      <c r="A19" s="5" t="s">
        <v>11</v>
      </c>
      <c r="B19" s="6">
        <f t="shared" si="0"/>
        <v>18</v>
      </c>
      <c r="C19" s="7">
        <v>10</v>
      </c>
      <c r="D19" s="6">
        <v>2022</v>
      </c>
      <c r="E19" s="8">
        <f>'FSRW Meter Readings'!I22</f>
        <v>20400</v>
      </c>
      <c r="F19" s="9">
        <v>0.06</v>
      </c>
      <c r="G19" s="8">
        <f>'FSRW Meter Readings'!F22</f>
        <v>1904.9299999999998</v>
      </c>
      <c r="H19" s="9">
        <v>0.4</v>
      </c>
      <c r="I19" s="8">
        <f>'FSRW Meter Readings'!K22</f>
        <v>91.200000000000045</v>
      </c>
      <c r="J19" s="9"/>
      <c r="K19" s="8">
        <f>'FSRW Meter Readings'!B22</f>
        <v>55</v>
      </c>
      <c r="L19" s="8">
        <f>'FSRW Meter Readings'!C22</f>
        <v>0</v>
      </c>
    </row>
    <row r="20" spans="1:12" ht="15" x14ac:dyDescent="0.25">
      <c r="A20" s="5" t="s">
        <v>11</v>
      </c>
      <c r="B20" s="6">
        <f t="shared" si="0"/>
        <v>19</v>
      </c>
      <c r="C20" s="7">
        <v>10</v>
      </c>
      <c r="D20" s="6">
        <v>2022</v>
      </c>
      <c r="E20" s="8">
        <f>'FSRW Meter Readings'!I23</f>
        <v>21600</v>
      </c>
      <c r="F20" s="9">
        <v>0.06</v>
      </c>
      <c r="G20" s="8">
        <f>'FSRW Meter Readings'!F23</f>
        <v>992.70999999999992</v>
      </c>
      <c r="H20" s="9">
        <v>0.4</v>
      </c>
      <c r="I20" s="8">
        <f>'FSRW Meter Readings'!K23</f>
        <v>65.900000000000091</v>
      </c>
      <c r="J20" s="9"/>
      <c r="K20" s="8">
        <f>'FSRW Meter Readings'!B23</f>
        <v>55</v>
      </c>
      <c r="L20" s="8">
        <f>'FSRW Meter Readings'!C23</f>
        <v>0</v>
      </c>
    </row>
    <row r="21" spans="1:12" ht="15" x14ac:dyDescent="0.25">
      <c r="A21" s="5" t="s">
        <v>11</v>
      </c>
      <c r="B21" s="6">
        <f t="shared" si="0"/>
        <v>20</v>
      </c>
      <c r="C21" s="7">
        <v>10</v>
      </c>
      <c r="D21" s="6">
        <v>2022</v>
      </c>
      <c r="E21" s="8">
        <f>'FSRW Meter Readings'!I24</f>
        <v>20400</v>
      </c>
      <c r="F21" s="9">
        <v>0.06</v>
      </c>
      <c r="G21" s="8">
        <f>'FSRW Meter Readings'!F24</f>
        <v>1234.1799999999998</v>
      </c>
      <c r="H21" s="9">
        <v>0.4</v>
      </c>
      <c r="I21" s="8">
        <f>'FSRW Meter Readings'!K24</f>
        <v>93.900000000000091</v>
      </c>
      <c r="J21" s="9"/>
      <c r="K21" s="8">
        <f>'FSRW Meter Readings'!B24</f>
        <v>199</v>
      </c>
      <c r="L21" s="8">
        <f>'FSRW Meter Readings'!C24</f>
        <v>0</v>
      </c>
    </row>
    <row r="22" spans="1:12" ht="15" x14ac:dyDescent="0.25">
      <c r="A22" s="5" t="s">
        <v>11</v>
      </c>
      <c r="B22" s="6">
        <f t="shared" si="0"/>
        <v>21</v>
      </c>
      <c r="C22" s="7">
        <v>10</v>
      </c>
      <c r="D22" s="6">
        <v>2022</v>
      </c>
      <c r="E22" s="8">
        <f>'FSRW Meter Readings'!I25</f>
        <v>18000</v>
      </c>
      <c r="F22" s="9">
        <v>0.06</v>
      </c>
      <c r="G22" s="8">
        <f>'FSRW Meter Readings'!F25</f>
        <v>1556.1399999999999</v>
      </c>
      <c r="H22" s="9">
        <v>0.4</v>
      </c>
      <c r="I22" s="8">
        <f>'FSRW Meter Readings'!K25</f>
        <v>135.79999999999973</v>
      </c>
      <c r="J22" s="9"/>
      <c r="K22" s="8">
        <f>'FSRW Meter Readings'!B25</f>
        <v>209</v>
      </c>
      <c r="L22" s="8">
        <f>'FSRW Meter Readings'!C25</f>
        <v>0</v>
      </c>
    </row>
    <row r="23" spans="1:12" ht="15" x14ac:dyDescent="0.25">
      <c r="A23" s="5" t="s">
        <v>11</v>
      </c>
      <c r="B23" s="6">
        <f t="shared" si="0"/>
        <v>22</v>
      </c>
      <c r="C23" s="7">
        <v>10</v>
      </c>
      <c r="D23" s="6">
        <v>2022</v>
      </c>
      <c r="E23" s="8">
        <f>'FSRW Meter Readings'!I26</f>
        <v>20400</v>
      </c>
      <c r="F23" s="9">
        <v>0.06</v>
      </c>
      <c r="G23" s="8">
        <f>'FSRW Meter Readings'!F26</f>
        <v>1985.4199999999998</v>
      </c>
      <c r="H23" s="9">
        <v>0.4</v>
      </c>
      <c r="I23" s="8">
        <f>'FSRW Meter Readings'!K26</f>
        <v>130.80000000000018</v>
      </c>
      <c r="J23" s="9"/>
      <c r="K23" s="8">
        <f>'FSRW Meter Readings'!B26</f>
        <v>148</v>
      </c>
      <c r="L23" s="8">
        <f>'FSRW Meter Readings'!C26</f>
        <v>0</v>
      </c>
    </row>
    <row r="24" spans="1:12" ht="15" x14ac:dyDescent="0.25">
      <c r="A24" s="5" t="s">
        <v>11</v>
      </c>
      <c r="B24" s="6">
        <f t="shared" si="0"/>
        <v>23</v>
      </c>
      <c r="C24" s="7">
        <v>10</v>
      </c>
      <c r="D24" s="6">
        <v>2022</v>
      </c>
      <c r="E24" s="8">
        <f>'FSRW Meter Readings'!I27</f>
        <v>22800</v>
      </c>
      <c r="F24" s="9">
        <v>0.06</v>
      </c>
      <c r="G24" s="8">
        <f>'FSRW Meter Readings'!F27</f>
        <v>2387.87</v>
      </c>
      <c r="H24" s="9">
        <v>0.4</v>
      </c>
      <c r="I24" s="8">
        <f>'FSRW Meter Readings'!K27</f>
        <v>138.5</v>
      </c>
      <c r="J24" s="9"/>
      <c r="K24" s="8">
        <f>'FSRW Meter Readings'!B27</f>
        <v>55</v>
      </c>
      <c r="L24" s="8">
        <f>'FSRW Meter Readings'!C27</f>
        <v>0</v>
      </c>
    </row>
    <row r="25" spans="1:12" ht="15" x14ac:dyDescent="0.25">
      <c r="A25" s="5" t="s">
        <v>11</v>
      </c>
      <c r="B25" s="6">
        <f t="shared" si="0"/>
        <v>24</v>
      </c>
      <c r="C25" s="7">
        <v>10</v>
      </c>
      <c r="D25" s="6">
        <v>2022</v>
      </c>
      <c r="E25" s="8">
        <f>'FSRW Meter Readings'!I28</f>
        <v>20400</v>
      </c>
      <c r="F25" s="9">
        <v>0.06</v>
      </c>
      <c r="G25" s="8">
        <f>'FSRW Meter Readings'!F28</f>
        <v>2012.2499999999998</v>
      </c>
      <c r="H25" s="9">
        <v>0.4</v>
      </c>
      <c r="I25" s="8">
        <f>'FSRW Meter Readings'!K28</f>
        <v>86.299999999999727</v>
      </c>
      <c r="J25" s="9"/>
      <c r="K25" s="8">
        <f>'FSRW Meter Readings'!B28</f>
        <v>66</v>
      </c>
      <c r="L25" s="8">
        <f>'FSRW Meter Readings'!C28</f>
        <v>0</v>
      </c>
    </row>
    <row r="26" spans="1:12" ht="15" x14ac:dyDescent="0.25">
      <c r="A26" s="5" t="s">
        <v>11</v>
      </c>
      <c r="B26" s="6">
        <f>B25+1</f>
        <v>25</v>
      </c>
      <c r="C26" s="7">
        <v>10</v>
      </c>
      <c r="D26" s="6">
        <v>2022</v>
      </c>
      <c r="E26" s="8">
        <f>'FSRW Meter Readings'!I29</f>
        <v>20400</v>
      </c>
      <c r="F26" s="9">
        <v>0.06</v>
      </c>
      <c r="G26" s="8">
        <f>'FSRW Meter Readings'!F29</f>
        <v>1797.61</v>
      </c>
      <c r="H26" s="9">
        <v>0.4</v>
      </c>
      <c r="I26" s="8">
        <f>'FSRW Meter Readings'!K29</f>
        <v>78.400000000000091</v>
      </c>
      <c r="J26" s="9"/>
      <c r="K26" s="8">
        <f>'FSRW Meter Readings'!B29</f>
        <v>53</v>
      </c>
      <c r="L26" s="8">
        <f>'FSRW Meter Readings'!C29</f>
        <v>0</v>
      </c>
    </row>
    <row r="27" spans="1:12" ht="15" x14ac:dyDescent="0.25">
      <c r="A27" s="5" t="s">
        <v>11</v>
      </c>
      <c r="B27" s="6">
        <f t="shared" si="0"/>
        <v>26</v>
      </c>
      <c r="C27" s="7">
        <v>10</v>
      </c>
      <c r="D27" s="6">
        <v>2022</v>
      </c>
      <c r="E27" s="8">
        <f>'FSRW Meter Readings'!I30</f>
        <v>19200</v>
      </c>
      <c r="F27" s="9">
        <v>0.06</v>
      </c>
      <c r="G27" s="8">
        <f>'FSRW Meter Readings'!F30</f>
        <v>1663.4599999999998</v>
      </c>
      <c r="H27" s="9">
        <v>0.4</v>
      </c>
      <c r="I27" s="8">
        <f>'FSRW Meter Readings'!K30</f>
        <v>70.200000000000273</v>
      </c>
      <c r="J27" s="9"/>
      <c r="K27" s="8">
        <f>'FSRW Meter Readings'!B30</f>
        <v>74</v>
      </c>
      <c r="L27" s="8">
        <f>'FSRW Meter Readings'!C30</f>
        <v>0</v>
      </c>
    </row>
    <row r="28" spans="1:12" ht="15" x14ac:dyDescent="0.25">
      <c r="A28" s="5" t="s">
        <v>11</v>
      </c>
      <c r="B28" s="6">
        <f t="shared" si="0"/>
        <v>27</v>
      </c>
      <c r="C28" s="7">
        <v>10</v>
      </c>
      <c r="D28" s="6">
        <v>2022</v>
      </c>
      <c r="E28" s="8">
        <f>'FSRW Meter Readings'!I31</f>
        <v>20400</v>
      </c>
      <c r="F28" s="9">
        <v>0.06</v>
      </c>
      <c r="G28" s="8">
        <f>'FSRW Meter Readings'!F31</f>
        <v>1931.7599999999998</v>
      </c>
      <c r="H28" s="9">
        <v>0.4</v>
      </c>
      <c r="I28" s="8">
        <f>'FSRW Meter Readings'!K31</f>
        <v>66.699999999999818</v>
      </c>
      <c r="J28" s="9"/>
      <c r="K28" s="8">
        <f>'FSRW Meter Readings'!B31</f>
        <v>107</v>
      </c>
      <c r="L28" s="8">
        <f>'FSRW Meter Readings'!C31</f>
        <v>0</v>
      </c>
    </row>
    <row r="29" spans="1:12" ht="15" x14ac:dyDescent="0.25">
      <c r="A29" s="5" t="s">
        <v>11</v>
      </c>
      <c r="B29" s="6">
        <f t="shared" si="0"/>
        <v>28</v>
      </c>
      <c r="C29" s="7">
        <v>10</v>
      </c>
      <c r="D29" s="6">
        <v>2022</v>
      </c>
      <c r="E29" s="8">
        <f>'FSRW Meter Readings'!I32</f>
        <v>20400</v>
      </c>
      <c r="F29" s="9">
        <v>0.06</v>
      </c>
      <c r="G29" s="8">
        <f>'FSRW Meter Readings'!F32</f>
        <v>1743.9499999999998</v>
      </c>
      <c r="H29" s="9">
        <v>0.4</v>
      </c>
      <c r="I29" s="8">
        <f>'FSRW Meter Readings'!K32</f>
        <v>105.09999999999991</v>
      </c>
      <c r="J29" s="9"/>
      <c r="K29" s="8">
        <f>'FSRW Meter Readings'!B32</f>
        <v>100</v>
      </c>
      <c r="L29" s="8">
        <f>'FSRW Meter Readings'!C32</f>
        <v>0</v>
      </c>
    </row>
    <row r="30" spans="1:12" ht="15" x14ac:dyDescent="0.25">
      <c r="A30" s="5" t="s">
        <v>11</v>
      </c>
      <c r="B30" s="6">
        <f t="shared" si="0"/>
        <v>29</v>
      </c>
      <c r="C30" s="7">
        <v>10</v>
      </c>
      <c r="D30" s="6">
        <v>2022</v>
      </c>
      <c r="E30" s="8">
        <f>'FSRW Meter Readings'!I33</f>
        <v>22800</v>
      </c>
      <c r="F30" s="9">
        <v>0.06</v>
      </c>
      <c r="G30" s="8">
        <f>'FSRW Meter Readings'!F33</f>
        <v>2146.3999999999996</v>
      </c>
      <c r="H30" s="9">
        <v>0.4</v>
      </c>
      <c r="I30" s="8">
        <f>'FSRW Meter Readings'!K33</f>
        <v>155.70000000000027</v>
      </c>
      <c r="J30" s="9"/>
      <c r="K30" s="8">
        <f>'FSRW Meter Readings'!B33</f>
        <v>107</v>
      </c>
      <c r="L30" s="8">
        <f>'FSRW Meter Readings'!C33</f>
        <v>0</v>
      </c>
    </row>
    <row r="31" spans="1:12" ht="15" x14ac:dyDescent="0.25">
      <c r="A31" s="5" t="s">
        <v>11</v>
      </c>
      <c r="B31" s="6">
        <f>B30+1</f>
        <v>30</v>
      </c>
      <c r="C31" s="7">
        <v>10</v>
      </c>
      <c r="D31" s="6">
        <v>2022</v>
      </c>
      <c r="E31" s="8">
        <f>'FSRW Meter Readings'!I34</f>
        <v>20400</v>
      </c>
      <c r="F31" s="9">
        <v>0.06</v>
      </c>
      <c r="G31" s="8">
        <f>'FSRW Meter Readings'!F34</f>
        <v>1904.9299999999998</v>
      </c>
      <c r="H31" s="9">
        <v>0.4</v>
      </c>
      <c r="I31" s="8">
        <f>'FSRW Meter Readings'!K34</f>
        <v>84.799999999999727</v>
      </c>
      <c r="J31" s="9"/>
      <c r="K31" s="8">
        <f>'FSRW Meter Readings'!B34</f>
        <v>35</v>
      </c>
      <c r="L31" s="8">
        <f>'FSRW Meter Readings'!C34</f>
        <v>0</v>
      </c>
    </row>
    <row r="32" spans="1:12" ht="15" x14ac:dyDescent="0.25">
      <c r="A32" s="5" t="s">
        <v>11</v>
      </c>
      <c r="B32" s="6">
        <f>B31+1</f>
        <v>31</v>
      </c>
      <c r="C32" s="7">
        <v>10</v>
      </c>
      <c r="D32" s="6">
        <v>2022</v>
      </c>
      <c r="E32" s="8">
        <f>'FSRW Meter Readings'!I35</f>
        <v>20400</v>
      </c>
      <c r="F32" s="9">
        <v>0.06</v>
      </c>
      <c r="G32" s="8">
        <f>'FSRW Meter Readings'!F35</f>
        <v>1663.4599999999998</v>
      </c>
      <c r="H32" s="9">
        <v>0.4</v>
      </c>
      <c r="I32" s="8">
        <f>'FSRW Meter Readings'!K35</f>
        <v>112.59999999999991</v>
      </c>
      <c r="J32" s="9"/>
      <c r="K32" s="8">
        <f>'FSRW Meter Readings'!B35</f>
        <v>29</v>
      </c>
      <c r="L32" s="8">
        <f>'FSRW Meter Readings'!C35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1"/>
  <sheetViews>
    <sheetView tabSelected="1" topLeftCell="A10" workbookViewId="0">
      <selection activeCell="T35" sqref="T35"/>
    </sheetView>
  </sheetViews>
  <sheetFormatPr defaultColWidth="8.85546875" defaultRowHeight="15" x14ac:dyDescent="0.25"/>
  <cols>
    <col min="1" max="1" width="12.85546875" style="24" customWidth="1"/>
    <col min="2" max="3" width="7.28515625" style="27" customWidth="1"/>
    <col min="4" max="4" width="9.28515625" style="17" customWidth="1"/>
    <col min="5" max="5" width="9.28515625" style="15" customWidth="1"/>
    <col min="6" max="6" width="9.28515625" style="17" customWidth="1"/>
    <col min="7" max="7" width="9.85546875" style="16" customWidth="1"/>
    <col min="8" max="8" width="9" style="14" customWidth="1"/>
    <col min="9" max="9" width="9.28515625" style="17" customWidth="1"/>
    <col min="10" max="10" width="10.140625" style="16" customWidth="1"/>
    <col min="11" max="11" width="9.28515625" style="14" customWidth="1"/>
    <col min="12" max="12" width="8.85546875" style="16"/>
    <col min="13" max="13" width="9.28515625" style="17" customWidth="1"/>
    <col min="14" max="14" width="9.28515625" style="15" customWidth="1"/>
    <col min="15" max="15" width="9.28515625" style="17" customWidth="1"/>
    <col min="16" max="16" width="9.85546875" style="16" customWidth="1"/>
    <col min="17" max="17" width="9" style="14" customWidth="1"/>
    <col min="18" max="18" width="9.28515625" style="17" customWidth="1"/>
    <col min="19" max="19" width="10.140625" style="16" customWidth="1"/>
    <col min="20" max="20" width="9.28515625" style="14" customWidth="1"/>
    <col min="21" max="16384" width="8.85546875" style="16"/>
  </cols>
  <sheetData>
    <row r="1" spans="1:20" ht="15.75" thickBot="1" x14ac:dyDescent="0.3">
      <c r="A1" s="70" t="s">
        <v>13</v>
      </c>
      <c r="B1" s="73" t="s">
        <v>14</v>
      </c>
      <c r="C1" s="73" t="s">
        <v>10</v>
      </c>
      <c r="D1" s="76" t="s">
        <v>22</v>
      </c>
      <c r="E1" s="77"/>
      <c r="F1" s="77"/>
      <c r="G1" s="77"/>
      <c r="H1" s="77"/>
      <c r="I1" s="77"/>
      <c r="J1" s="77"/>
      <c r="K1" s="77"/>
      <c r="L1" s="78"/>
      <c r="M1" s="67" t="s">
        <v>23</v>
      </c>
      <c r="N1" s="68"/>
      <c r="O1" s="68"/>
      <c r="P1" s="68"/>
      <c r="Q1" s="68"/>
      <c r="R1" s="68"/>
      <c r="S1" s="68"/>
      <c r="T1" s="69"/>
    </row>
    <row r="2" spans="1:20" ht="15.75" customHeight="1" thickBot="1" x14ac:dyDescent="0.3">
      <c r="A2" s="71"/>
      <c r="B2" s="74"/>
      <c r="C2" s="74"/>
      <c r="D2" s="76" t="s">
        <v>16</v>
      </c>
      <c r="E2" s="77"/>
      <c r="F2" s="78"/>
      <c r="G2" s="76" t="s">
        <v>17</v>
      </c>
      <c r="H2" s="77"/>
      <c r="I2" s="77"/>
      <c r="J2" s="76" t="s">
        <v>18</v>
      </c>
      <c r="K2" s="77"/>
      <c r="L2" s="78"/>
      <c r="M2" s="67" t="s">
        <v>16</v>
      </c>
      <c r="N2" s="68"/>
      <c r="O2" s="69"/>
      <c r="P2" s="67" t="s">
        <v>17</v>
      </c>
      <c r="Q2" s="68"/>
      <c r="R2" s="68"/>
      <c r="S2" s="67" t="s">
        <v>18</v>
      </c>
      <c r="T2" s="69"/>
    </row>
    <row r="3" spans="1:20" s="13" customFormat="1" ht="45.75" thickBot="1" x14ac:dyDescent="0.3">
      <c r="A3" s="72"/>
      <c r="B3" s="75"/>
      <c r="C3" s="75"/>
      <c r="D3" s="28" t="s">
        <v>25</v>
      </c>
      <c r="E3" s="53" t="s">
        <v>20</v>
      </c>
      <c r="F3" s="53" t="s">
        <v>21</v>
      </c>
      <c r="G3" s="28" t="s">
        <v>24</v>
      </c>
      <c r="H3" s="54" t="s">
        <v>28</v>
      </c>
      <c r="I3" s="55" t="s">
        <v>27</v>
      </c>
      <c r="J3" s="28" t="s">
        <v>24</v>
      </c>
      <c r="K3" s="54" t="s">
        <v>21</v>
      </c>
      <c r="L3" s="29" t="s">
        <v>19</v>
      </c>
      <c r="M3" s="56" t="s">
        <v>25</v>
      </c>
      <c r="N3" s="57" t="s">
        <v>20</v>
      </c>
      <c r="O3" s="57" t="s">
        <v>21</v>
      </c>
      <c r="P3" s="56" t="s">
        <v>25</v>
      </c>
      <c r="Q3" s="58" t="s">
        <v>28</v>
      </c>
      <c r="R3" s="59" t="s">
        <v>26</v>
      </c>
      <c r="S3" s="56" t="s">
        <v>25</v>
      </c>
      <c r="T3" s="58" t="s">
        <v>21</v>
      </c>
    </row>
    <row r="4" spans="1:20" s="39" customFormat="1" ht="12" customHeight="1" x14ac:dyDescent="0.2">
      <c r="A4" s="63">
        <v>44834</v>
      </c>
      <c r="B4" s="31" t="s">
        <v>15</v>
      </c>
      <c r="C4" s="31" t="s">
        <v>15</v>
      </c>
      <c r="D4" s="40">
        <v>193035</v>
      </c>
      <c r="E4" s="33"/>
      <c r="F4" s="34" t="s">
        <v>15</v>
      </c>
      <c r="G4" s="40">
        <v>53656</v>
      </c>
      <c r="H4" s="33"/>
      <c r="I4" s="35" t="s">
        <v>15</v>
      </c>
      <c r="J4" s="36">
        <v>109198</v>
      </c>
      <c r="K4" s="37" t="s">
        <v>15</v>
      </c>
      <c r="L4" s="38"/>
      <c r="M4" s="40">
        <v>57823</v>
      </c>
      <c r="N4" s="33"/>
      <c r="O4" s="34" t="s">
        <v>15</v>
      </c>
      <c r="P4" s="40">
        <v>23964</v>
      </c>
      <c r="Q4" s="33"/>
      <c r="R4" s="35" t="s">
        <v>15</v>
      </c>
      <c r="S4" s="36">
        <v>984.3</v>
      </c>
      <c r="T4" s="37" t="s">
        <v>15</v>
      </c>
    </row>
    <row r="5" spans="1:20" s="39" customFormat="1" ht="12" customHeight="1" x14ac:dyDescent="0.2">
      <c r="A5" s="63">
        <v>44835</v>
      </c>
      <c r="B5" s="64">
        <v>218</v>
      </c>
      <c r="C5" s="64">
        <v>0</v>
      </c>
      <c r="D5" s="40">
        <v>193090</v>
      </c>
      <c r="E5" s="60">
        <f>IF(D5-D4&lt;0,"0",D5-D4)</f>
        <v>55</v>
      </c>
      <c r="F5" s="65">
        <f>E5*26.83</f>
        <v>1475.6499999999999</v>
      </c>
      <c r="G5" s="40">
        <v>53672</v>
      </c>
      <c r="H5" s="60">
        <f>IF(G5-G4&lt;0,"0",G5-G4)</f>
        <v>16</v>
      </c>
      <c r="I5" s="61">
        <f>H5*1200</f>
        <v>19200</v>
      </c>
      <c r="J5" s="32">
        <v>109222</v>
      </c>
      <c r="K5" s="60">
        <f>IF(J5-J4&lt;0,"0",J5-J4)</f>
        <v>24</v>
      </c>
      <c r="L5" s="62">
        <f>SUM(K5*4.7)</f>
        <v>112.80000000000001</v>
      </c>
      <c r="M5" s="40">
        <v>57835</v>
      </c>
      <c r="N5" s="41">
        <f>IF(M5-M4&lt;0,"0",M5-M4)</f>
        <v>12</v>
      </c>
      <c r="O5" s="66">
        <f>N5*26.83</f>
        <v>321.95999999999998</v>
      </c>
      <c r="P5" s="40">
        <v>23970</v>
      </c>
      <c r="Q5" s="41">
        <f>IF(P5-P4&lt;0,"0",P5-P4)</f>
        <v>6</v>
      </c>
      <c r="R5" s="42">
        <f>Q5*900</f>
        <v>5400</v>
      </c>
      <c r="S5" s="32">
        <v>1039.9000000000001</v>
      </c>
      <c r="T5" s="41">
        <f>IF(S5-S4&lt;0,"0",S5-S4)</f>
        <v>55.600000000000136</v>
      </c>
    </row>
    <row r="6" spans="1:20" s="39" customFormat="1" ht="12" customHeight="1" x14ac:dyDescent="0.2">
      <c r="A6" s="63">
        <v>44836</v>
      </c>
      <c r="B6" s="64">
        <v>77</v>
      </c>
      <c r="C6" s="64">
        <v>0</v>
      </c>
      <c r="D6" s="40">
        <v>193145</v>
      </c>
      <c r="E6" s="60">
        <f t="shared" ref="E6:E33" si="0">IF(D6-D5&lt;0,"0",D6-D5)</f>
        <v>55</v>
      </c>
      <c r="F6" s="65">
        <f t="shared" ref="F6:F35" si="1">E6*26.83</f>
        <v>1475.6499999999999</v>
      </c>
      <c r="G6" s="40">
        <v>53692</v>
      </c>
      <c r="H6" s="60">
        <f t="shared" ref="H6:H33" si="2">IF(G6-G5&lt;0,"0",G6-G5)</f>
        <v>20</v>
      </c>
      <c r="I6" s="61">
        <f t="shared" ref="I6:I35" si="3">H6*1200</f>
        <v>24000</v>
      </c>
      <c r="J6" s="32">
        <v>109242</v>
      </c>
      <c r="K6" s="60">
        <f t="shared" ref="K6:K33" si="4">IF(J6-J5&lt;0,"0",J6-J5)</f>
        <v>20</v>
      </c>
      <c r="L6" s="62">
        <f>SUM(K6*4.7)</f>
        <v>94</v>
      </c>
      <c r="M6" s="40">
        <v>57847</v>
      </c>
      <c r="N6" s="41">
        <f t="shared" ref="N6:N33" si="5">IF(M6-M5&lt;0,"0",M6-M5)</f>
        <v>12</v>
      </c>
      <c r="O6" s="66">
        <f t="shared" ref="O6:O35" si="6">N6*26.83</f>
        <v>321.95999999999998</v>
      </c>
      <c r="P6" s="40">
        <v>23975</v>
      </c>
      <c r="Q6" s="41">
        <f t="shared" ref="Q6:Q12" si="7">IF(P6-P5&lt;0,"0",P6-P5)</f>
        <v>5</v>
      </c>
      <c r="R6" s="42">
        <f t="shared" ref="R6:R35" si="8">Q6*900</f>
        <v>4500</v>
      </c>
      <c r="S6" s="32">
        <v>1095.7</v>
      </c>
      <c r="T6" s="41">
        <f t="shared" ref="T6:T9" si="9">IF(S6-S5&lt;0,"0",S6-S5)</f>
        <v>55.799999999999955</v>
      </c>
    </row>
    <row r="7" spans="1:20" s="39" customFormat="1" ht="12" customHeight="1" x14ac:dyDescent="0.2">
      <c r="A7" s="63">
        <v>44837</v>
      </c>
      <c r="B7" s="64">
        <v>106</v>
      </c>
      <c r="C7" s="64">
        <v>0</v>
      </c>
      <c r="D7" s="40">
        <v>193191</v>
      </c>
      <c r="E7" s="60">
        <f t="shared" si="0"/>
        <v>46</v>
      </c>
      <c r="F7" s="65">
        <f t="shared" si="1"/>
        <v>1234.1799999999998</v>
      </c>
      <c r="G7" s="40">
        <v>53707</v>
      </c>
      <c r="H7" s="60">
        <f t="shared" si="2"/>
        <v>15</v>
      </c>
      <c r="I7" s="61">
        <f t="shared" si="3"/>
        <v>18000</v>
      </c>
      <c r="J7" s="32">
        <v>5.16</v>
      </c>
      <c r="K7" s="60">
        <v>100</v>
      </c>
      <c r="L7" s="43"/>
      <c r="M7" s="40">
        <v>57859</v>
      </c>
      <c r="N7" s="41">
        <f t="shared" si="5"/>
        <v>12</v>
      </c>
      <c r="O7" s="66">
        <f t="shared" si="6"/>
        <v>321.95999999999998</v>
      </c>
      <c r="P7" s="40">
        <v>23981</v>
      </c>
      <c r="Q7" s="41">
        <f t="shared" si="7"/>
        <v>6</v>
      </c>
      <c r="R7" s="42">
        <f t="shared" si="8"/>
        <v>5400</v>
      </c>
      <c r="S7" s="32">
        <v>1157.7</v>
      </c>
      <c r="T7" s="41">
        <f t="shared" si="9"/>
        <v>62</v>
      </c>
    </row>
    <row r="8" spans="1:20" s="39" customFormat="1" ht="12" customHeight="1" x14ac:dyDescent="0.2">
      <c r="A8" s="63">
        <v>44838</v>
      </c>
      <c r="B8" s="64">
        <v>126</v>
      </c>
      <c r="C8" s="64">
        <v>0</v>
      </c>
      <c r="D8" s="40">
        <v>193239</v>
      </c>
      <c r="E8" s="60">
        <f t="shared" si="0"/>
        <v>48</v>
      </c>
      <c r="F8" s="65">
        <f t="shared" si="1"/>
        <v>1287.8399999999999</v>
      </c>
      <c r="G8" s="40">
        <v>53724</v>
      </c>
      <c r="H8" s="60">
        <f t="shared" si="2"/>
        <v>17</v>
      </c>
      <c r="I8" s="61">
        <f t="shared" si="3"/>
        <v>20400</v>
      </c>
      <c r="J8" s="32">
        <v>153.60499999999999</v>
      </c>
      <c r="K8" s="60">
        <f t="shared" si="4"/>
        <v>148.44499999999999</v>
      </c>
      <c r="L8" s="43"/>
      <c r="M8" s="40">
        <v>57873</v>
      </c>
      <c r="N8" s="41">
        <f t="shared" si="5"/>
        <v>14</v>
      </c>
      <c r="O8" s="66">
        <f t="shared" si="6"/>
        <v>375.62</v>
      </c>
      <c r="P8" s="40">
        <v>23987</v>
      </c>
      <c r="Q8" s="41">
        <f t="shared" si="7"/>
        <v>6</v>
      </c>
      <c r="R8" s="42">
        <f t="shared" si="8"/>
        <v>5400</v>
      </c>
      <c r="S8" s="32">
        <v>1220.2</v>
      </c>
      <c r="T8" s="41">
        <f t="shared" si="9"/>
        <v>62.5</v>
      </c>
    </row>
    <row r="9" spans="1:20" s="39" customFormat="1" ht="12" customHeight="1" x14ac:dyDescent="0.2">
      <c r="A9" s="63">
        <v>44839</v>
      </c>
      <c r="B9" s="64">
        <v>129</v>
      </c>
      <c r="C9" s="64">
        <v>0</v>
      </c>
      <c r="D9" s="40">
        <v>193287</v>
      </c>
      <c r="E9" s="60">
        <f t="shared" si="0"/>
        <v>48</v>
      </c>
      <c r="F9" s="65">
        <f t="shared" si="1"/>
        <v>1287.8399999999999</v>
      </c>
      <c r="G9" s="40">
        <v>53741</v>
      </c>
      <c r="H9" s="60">
        <f t="shared" si="2"/>
        <v>17</v>
      </c>
      <c r="I9" s="61">
        <f t="shared" si="3"/>
        <v>20400</v>
      </c>
      <c r="J9" s="32">
        <v>346.4</v>
      </c>
      <c r="K9" s="60">
        <f t="shared" si="4"/>
        <v>192.79499999999999</v>
      </c>
      <c r="L9" s="43"/>
      <c r="M9" s="40">
        <v>57885</v>
      </c>
      <c r="N9" s="41">
        <f t="shared" si="5"/>
        <v>12</v>
      </c>
      <c r="O9" s="66">
        <f t="shared" si="6"/>
        <v>321.95999999999998</v>
      </c>
      <c r="P9" s="40">
        <v>23992</v>
      </c>
      <c r="Q9" s="41">
        <f t="shared" si="7"/>
        <v>5</v>
      </c>
      <c r="R9" s="42">
        <f t="shared" si="8"/>
        <v>4500</v>
      </c>
      <c r="S9" s="32">
        <v>1286.8</v>
      </c>
      <c r="T9" s="41">
        <f t="shared" si="9"/>
        <v>66.599999999999909</v>
      </c>
    </row>
    <row r="10" spans="1:20" s="39" customFormat="1" ht="12" customHeight="1" x14ac:dyDescent="0.2">
      <c r="A10" s="63">
        <v>44840</v>
      </c>
      <c r="B10" s="64">
        <v>72</v>
      </c>
      <c r="C10" s="64">
        <v>0</v>
      </c>
      <c r="D10" s="40">
        <v>193338</v>
      </c>
      <c r="E10" s="60">
        <f t="shared" si="0"/>
        <v>51</v>
      </c>
      <c r="F10" s="65">
        <f t="shared" si="1"/>
        <v>1368.33</v>
      </c>
      <c r="G10" s="40">
        <v>53759</v>
      </c>
      <c r="H10" s="60">
        <f t="shared" si="2"/>
        <v>18</v>
      </c>
      <c r="I10" s="61">
        <f t="shared" si="3"/>
        <v>21600</v>
      </c>
      <c r="J10" s="32">
        <v>504.3</v>
      </c>
      <c r="K10" s="60">
        <f t="shared" si="4"/>
        <v>157.90000000000003</v>
      </c>
      <c r="L10" s="43"/>
      <c r="M10" s="40">
        <v>57898</v>
      </c>
      <c r="N10" s="41">
        <f t="shared" si="5"/>
        <v>13</v>
      </c>
      <c r="O10" s="66">
        <f t="shared" si="6"/>
        <v>348.78999999999996</v>
      </c>
      <c r="P10" s="40">
        <v>23998</v>
      </c>
      <c r="Q10" s="41">
        <f t="shared" si="7"/>
        <v>6</v>
      </c>
      <c r="R10" s="42">
        <f t="shared" si="8"/>
        <v>5400</v>
      </c>
      <c r="S10" s="32">
        <v>1348.5</v>
      </c>
      <c r="T10" s="41">
        <f t="shared" ref="T10:T33" si="10">IF(S10-S9&lt;0,"0",S10-S9)</f>
        <v>61.700000000000045</v>
      </c>
    </row>
    <row r="11" spans="1:20" s="39" customFormat="1" ht="12" customHeight="1" x14ac:dyDescent="0.2">
      <c r="A11" s="63">
        <v>44841</v>
      </c>
      <c r="B11" s="64">
        <v>174</v>
      </c>
      <c r="C11" s="64">
        <v>0</v>
      </c>
      <c r="D11" s="40">
        <v>193371</v>
      </c>
      <c r="E11" s="60">
        <f t="shared" si="0"/>
        <v>33</v>
      </c>
      <c r="F11" s="65">
        <f t="shared" si="1"/>
        <v>885.39</v>
      </c>
      <c r="G11" s="40">
        <v>53775</v>
      </c>
      <c r="H11" s="60">
        <f t="shared" si="2"/>
        <v>16</v>
      </c>
      <c r="I11" s="61">
        <f t="shared" si="3"/>
        <v>19200</v>
      </c>
      <c r="J11" s="32">
        <v>639</v>
      </c>
      <c r="K11" s="60">
        <f t="shared" si="4"/>
        <v>134.69999999999999</v>
      </c>
      <c r="L11" s="43"/>
      <c r="M11" s="40">
        <v>57907</v>
      </c>
      <c r="N11" s="41">
        <f t="shared" si="5"/>
        <v>9</v>
      </c>
      <c r="O11" s="66">
        <f t="shared" si="6"/>
        <v>241.46999999999997</v>
      </c>
      <c r="P11" s="40">
        <v>24003</v>
      </c>
      <c r="Q11" s="41">
        <f t="shared" si="7"/>
        <v>5</v>
      </c>
      <c r="R11" s="42">
        <f t="shared" si="8"/>
        <v>4500</v>
      </c>
      <c r="S11" s="32">
        <v>1404.5</v>
      </c>
      <c r="T11" s="41">
        <f t="shared" si="10"/>
        <v>56</v>
      </c>
    </row>
    <row r="12" spans="1:20" s="39" customFormat="1" ht="12" customHeight="1" x14ac:dyDescent="0.2">
      <c r="A12" s="63">
        <v>44842</v>
      </c>
      <c r="B12" s="64">
        <v>234</v>
      </c>
      <c r="C12" s="64">
        <v>0</v>
      </c>
      <c r="D12" s="40">
        <v>193426</v>
      </c>
      <c r="E12" s="60">
        <f t="shared" si="0"/>
        <v>55</v>
      </c>
      <c r="F12" s="65">
        <f t="shared" si="1"/>
        <v>1475.6499999999999</v>
      </c>
      <c r="G12" s="40">
        <v>53793</v>
      </c>
      <c r="H12" s="60">
        <f t="shared" si="2"/>
        <v>18</v>
      </c>
      <c r="I12" s="61">
        <f t="shared" si="3"/>
        <v>21600</v>
      </c>
      <c r="J12" s="32">
        <v>830.8</v>
      </c>
      <c r="K12" s="60">
        <f t="shared" si="4"/>
        <v>191.79999999999995</v>
      </c>
      <c r="L12" s="43"/>
      <c r="M12" s="40">
        <v>57921</v>
      </c>
      <c r="N12" s="41">
        <f t="shared" si="5"/>
        <v>14</v>
      </c>
      <c r="O12" s="66">
        <f t="shared" si="6"/>
        <v>375.62</v>
      </c>
      <c r="P12" s="40">
        <v>24009</v>
      </c>
      <c r="Q12" s="41">
        <f t="shared" si="7"/>
        <v>6</v>
      </c>
      <c r="R12" s="42">
        <f t="shared" si="8"/>
        <v>5400</v>
      </c>
      <c r="S12" s="32">
        <v>1466</v>
      </c>
      <c r="T12" s="41">
        <f t="shared" si="10"/>
        <v>61.5</v>
      </c>
    </row>
    <row r="13" spans="1:20" s="39" customFormat="1" ht="12" customHeight="1" x14ac:dyDescent="0.2">
      <c r="A13" s="63">
        <v>44843</v>
      </c>
      <c r="B13" s="64">
        <v>190</v>
      </c>
      <c r="C13" s="64">
        <v>0</v>
      </c>
      <c r="D13" s="40">
        <v>193485</v>
      </c>
      <c r="E13" s="60">
        <f t="shared" si="0"/>
        <v>59</v>
      </c>
      <c r="F13" s="65">
        <f t="shared" si="1"/>
        <v>1582.9699999999998</v>
      </c>
      <c r="G13" s="40">
        <v>53811</v>
      </c>
      <c r="H13" s="60">
        <f>IF(G13-G12&lt;0,"0",G13-G12)</f>
        <v>18</v>
      </c>
      <c r="I13" s="61">
        <f t="shared" si="3"/>
        <v>21600</v>
      </c>
      <c r="J13" s="32">
        <v>1002.7</v>
      </c>
      <c r="K13" s="60">
        <f t="shared" si="4"/>
        <v>171.90000000000009</v>
      </c>
      <c r="L13" s="43"/>
      <c r="M13" s="40">
        <v>57935</v>
      </c>
      <c r="N13" s="41">
        <f t="shared" si="5"/>
        <v>14</v>
      </c>
      <c r="O13" s="66">
        <f t="shared" si="6"/>
        <v>375.62</v>
      </c>
      <c r="P13" s="40">
        <v>24014</v>
      </c>
      <c r="Q13" s="41">
        <f>IF(P13-P12&lt;0,"0",P13-P12)</f>
        <v>5</v>
      </c>
      <c r="R13" s="42">
        <f t="shared" si="8"/>
        <v>4500</v>
      </c>
      <c r="S13" s="32">
        <v>1552.4</v>
      </c>
      <c r="T13" s="41">
        <f t="shared" si="10"/>
        <v>86.400000000000091</v>
      </c>
    </row>
    <row r="14" spans="1:20" s="39" customFormat="1" ht="12" customHeight="1" x14ac:dyDescent="0.2">
      <c r="A14" s="63">
        <v>44844</v>
      </c>
      <c r="B14" s="64">
        <v>63</v>
      </c>
      <c r="C14" s="64">
        <v>0</v>
      </c>
      <c r="D14" s="40">
        <v>193545</v>
      </c>
      <c r="E14" s="60">
        <f t="shared" si="0"/>
        <v>60</v>
      </c>
      <c r="F14" s="65">
        <f t="shared" si="1"/>
        <v>1609.8</v>
      </c>
      <c r="G14" s="40">
        <v>53828</v>
      </c>
      <c r="H14" s="60">
        <f>IF(G14-G13&lt;0,"0",G14-G13)</f>
        <v>17</v>
      </c>
      <c r="I14" s="61">
        <f t="shared" si="3"/>
        <v>20400</v>
      </c>
      <c r="J14" s="32">
        <v>1190.7</v>
      </c>
      <c r="K14" s="60">
        <f t="shared" si="4"/>
        <v>188</v>
      </c>
      <c r="L14" s="43"/>
      <c r="M14" s="40">
        <v>57946</v>
      </c>
      <c r="N14" s="41">
        <f t="shared" si="5"/>
        <v>11</v>
      </c>
      <c r="O14" s="66">
        <f t="shared" si="6"/>
        <v>295.13</v>
      </c>
      <c r="P14" s="40">
        <v>24020</v>
      </c>
      <c r="Q14" s="41">
        <f>IF(P14-P13&lt;0,"0",P14-P13)</f>
        <v>6</v>
      </c>
      <c r="R14" s="42">
        <f t="shared" si="8"/>
        <v>5400</v>
      </c>
      <c r="S14" s="32">
        <v>1634.3</v>
      </c>
      <c r="T14" s="41">
        <f t="shared" si="10"/>
        <v>81.899999999999864</v>
      </c>
    </row>
    <row r="15" spans="1:20" s="39" customFormat="1" ht="12" customHeight="1" x14ac:dyDescent="0.2">
      <c r="A15" s="63">
        <v>44845</v>
      </c>
      <c r="B15" s="64">
        <v>63</v>
      </c>
      <c r="C15" s="64">
        <v>0</v>
      </c>
      <c r="D15" s="40">
        <v>193598</v>
      </c>
      <c r="E15" s="60">
        <f t="shared" si="0"/>
        <v>53</v>
      </c>
      <c r="F15" s="65">
        <f t="shared" si="1"/>
        <v>1421.99</v>
      </c>
      <c r="G15" s="40">
        <v>53845</v>
      </c>
      <c r="H15" s="60">
        <f>IF(G15-G14&lt;0,"0",G15-G14)</f>
        <v>17</v>
      </c>
      <c r="I15" s="61">
        <f t="shared" si="3"/>
        <v>20400</v>
      </c>
      <c r="J15" s="32">
        <v>1313</v>
      </c>
      <c r="K15" s="60">
        <f t="shared" si="4"/>
        <v>122.29999999999995</v>
      </c>
      <c r="L15" s="43"/>
      <c r="M15" s="40">
        <v>57964</v>
      </c>
      <c r="N15" s="41">
        <f t="shared" si="5"/>
        <v>18</v>
      </c>
      <c r="O15" s="66">
        <f t="shared" si="6"/>
        <v>482.93999999999994</v>
      </c>
      <c r="P15" s="40">
        <v>24025</v>
      </c>
      <c r="Q15" s="41">
        <f>IF(P15-P14&lt;0,"0",P15-P14)</f>
        <v>5</v>
      </c>
      <c r="R15" s="42">
        <f t="shared" si="8"/>
        <v>4500</v>
      </c>
      <c r="S15" s="32">
        <v>1701</v>
      </c>
      <c r="T15" s="41">
        <f t="shared" si="10"/>
        <v>66.700000000000045</v>
      </c>
    </row>
    <row r="16" spans="1:20" s="39" customFormat="1" ht="12" customHeight="1" x14ac:dyDescent="0.2">
      <c r="A16" s="63">
        <v>44846</v>
      </c>
      <c r="B16" s="64">
        <v>63</v>
      </c>
      <c r="C16" s="64">
        <v>0</v>
      </c>
      <c r="D16" s="40">
        <v>193641</v>
      </c>
      <c r="E16" s="60">
        <f t="shared" si="0"/>
        <v>43</v>
      </c>
      <c r="F16" s="65">
        <f t="shared" si="1"/>
        <v>1153.6899999999998</v>
      </c>
      <c r="G16" s="40">
        <v>53859</v>
      </c>
      <c r="H16" s="60">
        <f>IF(G16-G15&lt;0,"0",G16-G15)</f>
        <v>14</v>
      </c>
      <c r="I16" s="61">
        <f t="shared" si="3"/>
        <v>16800</v>
      </c>
      <c r="J16" s="32">
        <v>1354.2</v>
      </c>
      <c r="K16" s="60">
        <f t="shared" si="4"/>
        <v>41.200000000000045</v>
      </c>
      <c r="L16" s="43"/>
      <c r="M16" s="40">
        <v>57979</v>
      </c>
      <c r="N16" s="41">
        <f t="shared" si="5"/>
        <v>15</v>
      </c>
      <c r="O16" s="66">
        <f t="shared" si="6"/>
        <v>402.45</v>
      </c>
      <c r="P16" s="40">
        <v>24029</v>
      </c>
      <c r="Q16" s="41">
        <f>IF(P16-P15&lt;0,"0",P16-P15)</f>
        <v>4</v>
      </c>
      <c r="R16" s="42">
        <f t="shared" si="8"/>
        <v>3600</v>
      </c>
      <c r="S16" s="32">
        <v>1747</v>
      </c>
      <c r="T16" s="41">
        <f t="shared" si="10"/>
        <v>46</v>
      </c>
    </row>
    <row r="17" spans="1:20" s="39" customFormat="1" ht="12" customHeight="1" x14ac:dyDescent="0.2">
      <c r="A17" s="63">
        <v>44847</v>
      </c>
      <c r="B17" s="64">
        <v>79</v>
      </c>
      <c r="C17" s="64">
        <v>0</v>
      </c>
      <c r="D17" s="40">
        <v>193687</v>
      </c>
      <c r="E17" s="60">
        <f t="shared" si="0"/>
        <v>46</v>
      </c>
      <c r="F17" s="65">
        <f t="shared" si="1"/>
        <v>1234.1799999999998</v>
      </c>
      <c r="G17" s="40">
        <v>53878</v>
      </c>
      <c r="H17" s="60">
        <f>IF(G17-G16&lt;0,"0",G17-G16)</f>
        <v>19</v>
      </c>
      <c r="I17" s="61">
        <f t="shared" si="3"/>
        <v>22800</v>
      </c>
      <c r="J17" s="32">
        <v>1447.1</v>
      </c>
      <c r="K17" s="60">
        <f t="shared" si="4"/>
        <v>92.899999999999864</v>
      </c>
      <c r="L17" s="43"/>
      <c r="M17" s="40">
        <v>57994</v>
      </c>
      <c r="N17" s="41">
        <f t="shared" si="5"/>
        <v>15</v>
      </c>
      <c r="O17" s="66">
        <f t="shared" si="6"/>
        <v>402.45</v>
      </c>
      <c r="P17" s="40">
        <v>24034</v>
      </c>
      <c r="Q17" s="41">
        <f>IF(P17-P16&lt;0,"0",P17-P16)</f>
        <v>5</v>
      </c>
      <c r="R17" s="42">
        <f t="shared" si="8"/>
        <v>4500</v>
      </c>
      <c r="S17" s="32">
        <v>1802.5</v>
      </c>
      <c r="T17" s="41">
        <f t="shared" si="10"/>
        <v>55.5</v>
      </c>
    </row>
    <row r="18" spans="1:20" s="39" customFormat="1" ht="12" customHeight="1" x14ac:dyDescent="0.2">
      <c r="A18" s="63">
        <v>44848</v>
      </c>
      <c r="B18" s="64">
        <v>160</v>
      </c>
      <c r="C18" s="64">
        <v>0</v>
      </c>
      <c r="D18" s="40">
        <v>193738</v>
      </c>
      <c r="E18" s="60">
        <f t="shared" si="0"/>
        <v>51</v>
      </c>
      <c r="F18" s="65">
        <f t="shared" si="1"/>
        <v>1368.33</v>
      </c>
      <c r="G18" s="40">
        <v>53895</v>
      </c>
      <c r="H18" s="60">
        <f t="shared" si="2"/>
        <v>17</v>
      </c>
      <c r="I18" s="61">
        <f t="shared" si="3"/>
        <v>20400</v>
      </c>
      <c r="J18" s="32">
        <v>1544.9</v>
      </c>
      <c r="K18" s="60">
        <f t="shared" si="4"/>
        <v>97.800000000000182</v>
      </c>
      <c r="L18" s="43"/>
      <c r="M18" s="40">
        <v>58009</v>
      </c>
      <c r="N18" s="41">
        <f t="shared" si="5"/>
        <v>15</v>
      </c>
      <c r="O18" s="66">
        <f t="shared" si="6"/>
        <v>402.45</v>
      </c>
      <c r="P18" s="40">
        <v>24040</v>
      </c>
      <c r="Q18" s="41">
        <f t="shared" ref="Q18:Q33" si="11">IF(P18-P17&lt;0,"0",P18-P17)</f>
        <v>6</v>
      </c>
      <c r="R18" s="42">
        <f t="shared" si="8"/>
        <v>5400</v>
      </c>
      <c r="S18" s="32">
        <v>1861</v>
      </c>
      <c r="T18" s="41">
        <f t="shared" si="10"/>
        <v>58.5</v>
      </c>
    </row>
    <row r="19" spans="1:20" s="39" customFormat="1" ht="12" customHeight="1" x14ac:dyDescent="0.2">
      <c r="A19" s="63">
        <v>44849</v>
      </c>
      <c r="B19" s="64">
        <v>194</v>
      </c>
      <c r="C19" s="64">
        <v>0</v>
      </c>
      <c r="D19" s="40">
        <v>193798</v>
      </c>
      <c r="E19" s="60">
        <f t="shared" si="0"/>
        <v>60</v>
      </c>
      <c r="F19" s="65">
        <f t="shared" si="1"/>
        <v>1609.8</v>
      </c>
      <c r="G19" s="40">
        <v>53914</v>
      </c>
      <c r="H19" s="60">
        <f t="shared" si="2"/>
        <v>19</v>
      </c>
      <c r="I19" s="61">
        <f t="shared" si="3"/>
        <v>22800</v>
      </c>
      <c r="J19" s="32">
        <v>1705.2</v>
      </c>
      <c r="K19" s="60">
        <f t="shared" si="4"/>
        <v>160.29999999999995</v>
      </c>
      <c r="L19" s="43"/>
      <c r="M19" s="40">
        <v>58024</v>
      </c>
      <c r="N19" s="41">
        <f t="shared" si="5"/>
        <v>15</v>
      </c>
      <c r="O19" s="66">
        <f t="shared" si="6"/>
        <v>402.45</v>
      </c>
      <c r="P19" s="40">
        <v>24045</v>
      </c>
      <c r="Q19" s="41">
        <f t="shared" si="11"/>
        <v>5</v>
      </c>
      <c r="R19" s="42">
        <f t="shared" si="8"/>
        <v>4500</v>
      </c>
      <c r="S19" s="32">
        <v>1888.5</v>
      </c>
      <c r="T19" s="41">
        <f t="shared" si="10"/>
        <v>27.5</v>
      </c>
    </row>
    <row r="20" spans="1:20" s="39" customFormat="1" ht="12" customHeight="1" x14ac:dyDescent="0.2">
      <c r="A20" s="63">
        <v>44850</v>
      </c>
      <c r="B20" s="64">
        <v>62</v>
      </c>
      <c r="C20" s="64">
        <v>0</v>
      </c>
      <c r="D20" s="40">
        <v>193858</v>
      </c>
      <c r="E20" s="60">
        <f t="shared" si="0"/>
        <v>60</v>
      </c>
      <c r="F20" s="65">
        <f t="shared" si="1"/>
        <v>1609.8</v>
      </c>
      <c r="G20" s="40">
        <v>53931</v>
      </c>
      <c r="H20" s="60">
        <f t="shared" si="2"/>
        <v>17</v>
      </c>
      <c r="I20" s="61">
        <f t="shared" si="3"/>
        <v>20400</v>
      </c>
      <c r="J20" s="32">
        <v>1844.8</v>
      </c>
      <c r="K20" s="60">
        <f t="shared" si="4"/>
        <v>139.59999999999991</v>
      </c>
      <c r="L20" s="43"/>
      <c r="M20" s="40">
        <v>58040</v>
      </c>
      <c r="N20" s="41">
        <f t="shared" si="5"/>
        <v>16</v>
      </c>
      <c r="O20" s="66">
        <f t="shared" si="6"/>
        <v>429.28</v>
      </c>
      <c r="P20" s="40">
        <v>24050</v>
      </c>
      <c r="Q20" s="41">
        <f t="shared" si="11"/>
        <v>5</v>
      </c>
      <c r="R20" s="42">
        <f t="shared" si="8"/>
        <v>4500</v>
      </c>
      <c r="S20" s="32">
        <v>1908.4</v>
      </c>
      <c r="T20" s="41">
        <f t="shared" si="10"/>
        <v>19.900000000000091</v>
      </c>
    </row>
    <row r="21" spans="1:20" s="39" customFormat="1" ht="12" customHeight="1" x14ac:dyDescent="0.2">
      <c r="A21" s="63">
        <v>44851</v>
      </c>
      <c r="B21" s="64">
        <v>56</v>
      </c>
      <c r="C21" s="64">
        <v>0</v>
      </c>
      <c r="D21" s="40">
        <v>193913</v>
      </c>
      <c r="E21" s="60">
        <f t="shared" si="0"/>
        <v>55</v>
      </c>
      <c r="F21" s="65">
        <f t="shared" si="1"/>
        <v>1475.6499999999999</v>
      </c>
      <c r="G21" s="40">
        <v>53948</v>
      </c>
      <c r="H21" s="60">
        <f t="shared" si="2"/>
        <v>17</v>
      </c>
      <c r="I21" s="61">
        <f t="shared" si="3"/>
        <v>20400</v>
      </c>
      <c r="J21" s="32">
        <v>1946.8</v>
      </c>
      <c r="K21" s="60">
        <f t="shared" si="4"/>
        <v>102</v>
      </c>
      <c r="L21" s="43"/>
      <c r="M21" s="40">
        <v>58067</v>
      </c>
      <c r="N21" s="41">
        <f t="shared" si="5"/>
        <v>27</v>
      </c>
      <c r="O21" s="66">
        <f t="shared" si="6"/>
        <v>724.41</v>
      </c>
      <c r="P21" s="40">
        <v>24055</v>
      </c>
      <c r="Q21" s="41">
        <f t="shared" si="11"/>
        <v>5</v>
      </c>
      <c r="R21" s="42">
        <f t="shared" si="8"/>
        <v>4500</v>
      </c>
      <c r="S21" s="32">
        <v>1917.3</v>
      </c>
      <c r="T21" s="41">
        <f t="shared" si="10"/>
        <v>8.8999999999998636</v>
      </c>
    </row>
    <row r="22" spans="1:20" s="39" customFormat="1" ht="12" customHeight="1" x14ac:dyDescent="0.2">
      <c r="A22" s="63">
        <v>44852</v>
      </c>
      <c r="B22" s="64">
        <v>55</v>
      </c>
      <c r="C22" s="64">
        <v>0</v>
      </c>
      <c r="D22" s="40">
        <v>193984</v>
      </c>
      <c r="E22" s="60">
        <f t="shared" si="0"/>
        <v>71</v>
      </c>
      <c r="F22" s="65">
        <f t="shared" si="1"/>
        <v>1904.9299999999998</v>
      </c>
      <c r="G22" s="40">
        <v>53965</v>
      </c>
      <c r="H22" s="60">
        <f t="shared" si="2"/>
        <v>17</v>
      </c>
      <c r="I22" s="61">
        <f t="shared" si="3"/>
        <v>20400</v>
      </c>
      <c r="J22" s="32">
        <v>2038</v>
      </c>
      <c r="K22" s="60">
        <f t="shared" si="4"/>
        <v>91.200000000000045</v>
      </c>
      <c r="L22" s="43"/>
      <c r="M22" s="40">
        <v>58078</v>
      </c>
      <c r="N22" s="41">
        <f t="shared" si="5"/>
        <v>11</v>
      </c>
      <c r="O22" s="66">
        <f t="shared" si="6"/>
        <v>295.13</v>
      </c>
      <c r="P22" s="40">
        <v>24061</v>
      </c>
      <c r="Q22" s="41">
        <f t="shared" si="11"/>
        <v>6</v>
      </c>
      <c r="R22" s="42">
        <f t="shared" si="8"/>
        <v>5400</v>
      </c>
      <c r="S22" s="32">
        <v>1928.7</v>
      </c>
      <c r="T22" s="41">
        <f t="shared" si="10"/>
        <v>11.400000000000091</v>
      </c>
    </row>
    <row r="23" spans="1:20" s="39" customFormat="1" ht="12" customHeight="1" x14ac:dyDescent="0.2">
      <c r="A23" s="63">
        <v>44853</v>
      </c>
      <c r="B23" s="64">
        <v>55</v>
      </c>
      <c r="C23" s="64">
        <v>0</v>
      </c>
      <c r="D23" s="40">
        <v>194021</v>
      </c>
      <c r="E23" s="60">
        <f t="shared" si="0"/>
        <v>37</v>
      </c>
      <c r="F23" s="65">
        <f t="shared" si="1"/>
        <v>992.70999999999992</v>
      </c>
      <c r="G23" s="40">
        <v>53983</v>
      </c>
      <c r="H23" s="60">
        <f t="shared" si="2"/>
        <v>18</v>
      </c>
      <c r="I23" s="61">
        <f t="shared" si="3"/>
        <v>21600</v>
      </c>
      <c r="J23" s="32">
        <v>2103.9</v>
      </c>
      <c r="K23" s="60">
        <f t="shared" si="4"/>
        <v>65.900000000000091</v>
      </c>
      <c r="L23" s="43"/>
      <c r="M23" s="40">
        <v>58091</v>
      </c>
      <c r="N23" s="41">
        <f t="shared" si="5"/>
        <v>13</v>
      </c>
      <c r="O23" s="66">
        <f t="shared" si="6"/>
        <v>348.78999999999996</v>
      </c>
      <c r="P23" s="40">
        <v>24065</v>
      </c>
      <c r="Q23" s="41">
        <f t="shared" si="11"/>
        <v>4</v>
      </c>
      <c r="R23" s="42">
        <f t="shared" si="8"/>
        <v>3600</v>
      </c>
      <c r="S23" s="32">
        <v>1932.7</v>
      </c>
      <c r="T23" s="41">
        <f t="shared" si="10"/>
        <v>4</v>
      </c>
    </row>
    <row r="24" spans="1:20" s="39" customFormat="1" ht="12" customHeight="1" x14ac:dyDescent="0.2">
      <c r="A24" s="63">
        <v>44854</v>
      </c>
      <c r="B24" s="64">
        <v>199</v>
      </c>
      <c r="C24" s="64">
        <v>0</v>
      </c>
      <c r="D24" s="40">
        <v>194067</v>
      </c>
      <c r="E24" s="60">
        <f t="shared" si="0"/>
        <v>46</v>
      </c>
      <c r="F24" s="65">
        <f t="shared" si="1"/>
        <v>1234.1799999999998</v>
      </c>
      <c r="G24" s="40">
        <v>54000</v>
      </c>
      <c r="H24" s="60">
        <f t="shared" si="2"/>
        <v>17</v>
      </c>
      <c r="I24" s="61">
        <f t="shared" si="3"/>
        <v>20400</v>
      </c>
      <c r="J24" s="32">
        <v>2197.8000000000002</v>
      </c>
      <c r="K24" s="60">
        <f t="shared" si="4"/>
        <v>93.900000000000091</v>
      </c>
      <c r="L24" s="43"/>
      <c r="M24" s="40">
        <v>58104</v>
      </c>
      <c r="N24" s="41">
        <f t="shared" si="5"/>
        <v>13</v>
      </c>
      <c r="O24" s="66">
        <f t="shared" si="6"/>
        <v>348.78999999999996</v>
      </c>
      <c r="P24" s="40">
        <v>24069</v>
      </c>
      <c r="Q24" s="41">
        <f t="shared" si="11"/>
        <v>4</v>
      </c>
      <c r="R24" s="42">
        <f t="shared" si="8"/>
        <v>3600</v>
      </c>
      <c r="S24" s="32">
        <v>1943.1</v>
      </c>
      <c r="T24" s="41">
        <f t="shared" si="10"/>
        <v>10.399999999999864</v>
      </c>
    </row>
    <row r="25" spans="1:20" s="39" customFormat="1" ht="12" customHeight="1" x14ac:dyDescent="0.2">
      <c r="A25" s="63">
        <v>44855</v>
      </c>
      <c r="B25" s="64">
        <v>209</v>
      </c>
      <c r="C25" s="64">
        <v>0</v>
      </c>
      <c r="D25" s="40">
        <v>194125</v>
      </c>
      <c r="E25" s="60">
        <f t="shared" si="0"/>
        <v>58</v>
      </c>
      <c r="F25" s="65">
        <f t="shared" si="1"/>
        <v>1556.1399999999999</v>
      </c>
      <c r="G25" s="40">
        <v>54015</v>
      </c>
      <c r="H25" s="60">
        <f t="shared" si="2"/>
        <v>15</v>
      </c>
      <c r="I25" s="61">
        <f t="shared" si="3"/>
        <v>18000</v>
      </c>
      <c r="J25" s="32">
        <v>2333.6</v>
      </c>
      <c r="K25" s="60">
        <f t="shared" si="4"/>
        <v>135.79999999999973</v>
      </c>
      <c r="L25" s="43"/>
      <c r="M25" s="40">
        <v>58121</v>
      </c>
      <c r="N25" s="41">
        <f t="shared" si="5"/>
        <v>17</v>
      </c>
      <c r="O25" s="66">
        <f t="shared" si="6"/>
        <v>456.10999999999996</v>
      </c>
      <c r="P25" s="40">
        <v>24074</v>
      </c>
      <c r="Q25" s="41">
        <f t="shared" si="11"/>
        <v>5</v>
      </c>
      <c r="R25" s="42">
        <f t="shared" si="8"/>
        <v>4500</v>
      </c>
      <c r="S25" s="32">
        <v>1948.5</v>
      </c>
      <c r="T25" s="41">
        <f t="shared" si="10"/>
        <v>5.4000000000000909</v>
      </c>
    </row>
    <row r="26" spans="1:20" s="39" customFormat="1" ht="12" customHeight="1" x14ac:dyDescent="0.2">
      <c r="A26" s="63">
        <v>44856</v>
      </c>
      <c r="B26" s="64">
        <v>148</v>
      </c>
      <c r="C26" s="64">
        <v>0</v>
      </c>
      <c r="D26" s="40">
        <v>194199</v>
      </c>
      <c r="E26" s="60">
        <f t="shared" si="0"/>
        <v>74</v>
      </c>
      <c r="F26" s="65">
        <f t="shared" si="1"/>
        <v>1985.4199999999998</v>
      </c>
      <c r="G26" s="40">
        <v>54032</v>
      </c>
      <c r="H26" s="60">
        <f t="shared" si="2"/>
        <v>17</v>
      </c>
      <c r="I26" s="61">
        <f t="shared" si="3"/>
        <v>20400</v>
      </c>
      <c r="J26" s="32">
        <v>2464.4</v>
      </c>
      <c r="K26" s="60">
        <f t="shared" si="4"/>
        <v>130.80000000000018</v>
      </c>
      <c r="L26" s="43"/>
      <c r="M26" s="40">
        <v>58142</v>
      </c>
      <c r="N26" s="41">
        <f t="shared" si="5"/>
        <v>21</v>
      </c>
      <c r="O26" s="66">
        <f t="shared" si="6"/>
        <v>563.42999999999995</v>
      </c>
      <c r="P26" s="40">
        <v>24079</v>
      </c>
      <c r="Q26" s="41">
        <f t="shared" si="11"/>
        <v>5</v>
      </c>
      <c r="R26" s="42">
        <f t="shared" si="8"/>
        <v>4500</v>
      </c>
      <c r="S26" s="32">
        <v>1953</v>
      </c>
      <c r="T26" s="41">
        <f t="shared" si="10"/>
        <v>4.5</v>
      </c>
    </row>
    <row r="27" spans="1:20" s="39" customFormat="1" ht="12" customHeight="1" x14ac:dyDescent="0.2">
      <c r="A27" s="63">
        <v>44857</v>
      </c>
      <c r="B27" s="64">
        <v>55</v>
      </c>
      <c r="C27" s="64">
        <v>0</v>
      </c>
      <c r="D27" s="40">
        <v>194288</v>
      </c>
      <c r="E27" s="60">
        <f t="shared" si="0"/>
        <v>89</v>
      </c>
      <c r="F27" s="65">
        <f t="shared" si="1"/>
        <v>2387.87</v>
      </c>
      <c r="G27" s="40">
        <v>54051</v>
      </c>
      <c r="H27" s="60">
        <f t="shared" si="2"/>
        <v>19</v>
      </c>
      <c r="I27" s="61">
        <f t="shared" si="3"/>
        <v>22800</v>
      </c>
      <c r="J27" s="32">
        <v>2602.9</v>
      </c>
      <c r="K27" s="60">
        <f t="shared" si="4"/>
        <v>138.5</v>
      </c>
      <c r="L27" s="43"/>
      <c r="M27" s="40">
        <v>58171</v>
      </c>
      <c r="N27" s="41">
        <f t="shared" si="5"/>
        <v>29</v>
      </c>
      <c r="O27" s="66">
        <f t="shared" si="6"/>
        <v>778.06999999999994</v>
      </c>
      <c r="P27" s="40">
        <v>24084</v>
      </c>
      <c r="Q27" s="41">
        <f t="shared" si="11"/>
        <v>5</v>
      </c>
      <c r="R27" s="42">
        <f t="shared" si="8"/>
        <v>4500</v>
      </c>
      <c r="S27" s="32">
        <v>1986</v>
      </c>
      <c r="T27" s="41">
        <f t="shared" si="10"/>
        <v>33</v>
      </c>
    </row>
    <row r="28" spans="1:20" s="39" customFormat="1" ht="12" customHeight="1" x14ac:dyDescent="0.2">
      <c r="A28" s="63">
        <v>44858</v>
      </c>
      <c r="B28" s="64">
        <v>66</v>
      </c>
      <c r="C28" s="64">
        <v>0</v>
      </c>
      <c r="D28" s="40">
        <v>194363</v>
      </c>
      <c r="E28" s="60">
        <f t="shared" si="0"/>
        <v>75</v>
      </c>
      <c r="F28" s="65">
        <f t="shared" si="1"/>
        <v>2012.2499999999998</v>
      </c>
      <c r="G28" s="40">
        <v>54068</v>
      </c>
      <c r="H28" s="60">
        <f t="shared" si="2"/>
        <v>17</v>
      </c>
      <c r="I28" s="61">
        <f t="shared" si="3"/>
        <v>20400</v>
      </c>
      <c r="J28" s="32">
        <v>2689.2</v>
      </c>
      <c r="K28" s="60">
        <f t="shared" si="4"/>
        <v>86.299999999999727</v>
      </c>
      <c r="L28" s="43"/>
      <c r="M28" s="40">
        <v>58199</v>
      </c>
      <c r="N28" s="41">
        <f t="shared" si="5"/>
        <v>28</v>
      </c>
      <c r="O28" s="66">
        <f t="shared" si="6"/>
        <v>751.24</v>
      </c>
      <c r="P28" s="40">
        <v>24089</v>
      </c>
      <c r="Q28" s="41">
        <f t="shared" si="11"/>
        <v>5</v>
      </c>
      <c r="R28" s="42">
        <f t="shared" si="8"/>
        <v>4500</v>
      </c>
      <c r="S28" s="32">
        <v>1997</v>
      </c>
      <c r="T28" s="41">
        <f t="shared" si="10"/>
        <v>11</v>
      </c>
    </row>
    <row r="29" spans="1:20" s="39" customFormat="1" ht="12" customHeight="1" x14ac:dyDescent="0.2">
      <c r="A29" s="63">
        <v>44859</v>
      </c>
      <c r="B29" s="64">
        <v>53</v>
      </c>
      <c r="C29" s="64">
        <v>0</v>
      </c>
      <c r="D29" s="40">
        <v>194430</v>
      </c>
      <c r="E29" s="60">
        <f t="shared" si="0"/>
        <v>67</v>
      </c>
      <c r="F29" s="65">
        <f t="shared" si="1"/>
        <v>1797.61</v>
      </c>
      <c r="G29" s="40">
        <v>54085</v>
      </c>
      <c r="H29" s="60">
        <f t="shared" si="2"/>
        <v>17</v>
      </c>
      <c r="I29" s="61">
        <f t="shared" si="3"/>
        <v>20400</v>
      </c>
      <c r="J29" s="32">
        <v>2767.6</v>
      </c>
      <c r="K29" s="60">
        <f t="shared" si="4"/>
        <v>78.400000000000091</v>
      </c>
      <c r="L29" s="43"/>
      <c r="M29" s="40">
        <v>58220</v>
      </c>
      <c r="N29" s="41">
        <f t="shared" si="5"/>
        <v>21</v>
      </c>
      <c r="O29" s="66">
        <f t="shared" si="6"/>
        <v>563.42999999999995</v>
      </c>
      <c r="P29" s="40">
        <v>24094</v>
      </c>
      <c r="Q29" s="41">
        <f t="shared" si="11"/>
        <v>5</v>
      </c>
      <c r="R29" s="42">
        <f t="shared" si="8"/>
        <v>4500</v>
      </c>
      <c r="S29" s="32">
        <v>2002.9</v>
      </c>
      <c r="T29" s="41">
        <f t="shared" si="10"/>
        <v>5.9000000000000909</v>
      </c>
    </row>
    <row r="30" spans="1:20" s="39" customFormat="1" ht="12" customHeight="1" x14ac:dyDescent="0.2">
      <c r="A30" s="63">
        <v>44860</v>
      </c>
      <c r="B30" s="64">
        <v>74</v>
      </c>
      <c r="C30" s="64">
        <v>0</v>
      </c>
      <c r="D30" s="40">
        <v>194492</v>
      </c>
      <c r="E30" s="60">
        <f t="shared" si="0"/>
        <v>62</v>
      </c>
      <c r="F30" s="65">
        <f t="shared" si="1"/>
        <v>1663.4599999999998</v>
      </c>
      <c r="G30" s="40">
        <v>54101</v>
      </c>
      <c r="H30" s="60">
        <f t="shared" si="2"/>
        <v>16</v>
      </c>
      <c r="I30" s="61">
        <f t="shared" si="3"/>
        <v>19200</v>
      </c>
      <c r="J30" s="32">
        <v>2837.8</v>
      </c>
      <c r="K30" s="60">
        <f t="shared" si="4"/>
        <v>70.200000000000273</v>
      </c>
      <c r="L30" s="43"/>
      <c r="M30" s="40">
        <v>58245</v>
      </c>
      <c r="N30" s="41">
        <f t="shared" si="5"/>
        <v>25</v>
      </c>
      <c r="O30" s="66">
        <f t="shared" si="6"/>
        <v>670.75</v>
      </c>
      <c r="P30" s="40">
        <v>24098</v>
      </c>
      <c r="Q30" s="41">
        <f t="shared" si="11"/>
        <v>4</v>
      </c>
      <c r="R30" s="42">
        <f t="shared" si="8"/>
        <v>3600</v>
      </c>
      <c r="S30" s="32">
        <v>2016.1</v>
      </c>
      <c r="T30" s="41">
        <f t="shared" si="10"/>
        <v>13.199999999999818</v>
      </c>
    </row>
    <row r="31" spans="1:20" s="39" customFormat="1" ht="12" customHeight="1" x14ac:dyDescent="0.2">
      <c r="A31" s="63">
        <v>44861</v>
      </c>
      <c r="B31" s="64">
        <v>107</v>
      </c>
      <c r="C31" s="64">
        <v>0</v>
      </c>
      <c r="D31" s="40">
        <v>194564</v>
      </c>
      <c r="E31" s="60">
        <f t="shared" si="0"/>
        <v>72</v>
      </c>
      <c r="F31" s="65">
        <f t="shared" si="1"/>
        <v>1931.7599999999998</v>
      </c>
      <c r="G31" s="40">
        <v>54118</v>
      </c>
      <c r="H31" s="60">
        <f t="shared" si="2"/>
        <v>17</v>
      </c>
      <c r="I31" s="61">
        <f t="shared" si="3"/>
        <v>20400</v>
      </c>
      <c r="J31" s="32">
        <v>2904.5</v>
      </c>
      <c r="K31" s="60">
        <f t="shared" si="4"/>
        <v>66.699999999999818</v>
      </c>
      <c r="L31" s="43"/>
      <c r="M31" s="40">
        <v>58271</v>
      </c>
      <c r="N31" s="41">
        <f t="shared" si="5"/>
        <v>26</v>
      </c>
      <c r="O31" s="66">
        <f t="shared" si="6"/>
        <v>697.57999999999993</v>
      </c>
      <c r="P31" s="40">
        <v>24103</v>
      </c>
      <c r="Q31" s="41">
        <f t="shared" si="11"/>
        <v>5</v>
      </c>
      <c r="R31" s="42">
        <f t="shared" si="8"/>
        <v>4500</v>
      </c>
      <c r="S31" s="32">
        <v>2020.5</v>
      </c>
      <c r="T31" s="41">
        <f t="shared" si="10"/>
        <v>4.4000000000000909</v>
      </c>
    </row>
    <row r="32" spans="1:20" s="39" customFormat="1" ht="12" customHeight="1" x14ac:dyDescent="0.2">
      <c r="A32" s="63">
        <v>44862</v>
      </c>
      <c r="B32" s="64">
        <v>100</v>
      </c>
      <c r="C32" s="64">
        <v>0</v>
      </c>
      <c r="D32" s="40">
        <v>194629</v>
      </c>
      <c r="E32" s="60">
        <f t="shared" si="0"/>
        <v>65</v>
      </c>
      <c r="F32" s="65">
        <f t="shared" si="1"/>
        <v>1743.9499999999998</v>
      </c>
      <c r="G32" s="40">
        <v>54135</v>
      </c>
      <c r="H32" s="60">
        <f t="shared" si="2"/>
        <v>17</v>
      </c>
      <c r="I32" s="61">
        <f t="shared" si="3"/>
        <v>20400</v>
      </c>
      <c r="J32" s="32">
        <v>3009.6</v>
      </c>
      <c r="K32" s="60">
        <f t="shared" si="4"/>
        <v>105.09999999999991</v>
      </c>
      <c r="L32" s="43"/>
      <c r="M32" s="40">
        <v>58294</v>
      </c>
      <c r="N32" s="41">
        <f t="shared" si="5"/>
        <v>23</v>
      </c>
      <c r="O32" s="66">
        <f t="shared" si="6"/>
        <v>617.08999999999992</v>
      </c>
      <c r="P32" s="40">
        <v>24108</v>
      </c>
      <c r="Q32" s="41">
        <f t="shared" si="11"/>
        <v>5</v>
      </c>
      <c r="R32" s="42">
        <f t="shared" si="8"/>
        <v>4500</v>
      </c>
      <c r="S32" s="32">
        <v>2022.7</v>
      </c>
      <c r="T32" s="41">
        <f t="shared" si="10"/>
        <v>2.2000000000000455</v>
      </c>
    </row>
    <row r="33" spans="1:20" s="39" customFormat="1" ht="12" customHeight="1" x14ac:dyDescent="0.2">
      <c r="A33" s="63">
        <v>44863</v>
      </c>
      <c r="B33" s="64">
        <v>107</v>
      </c>
      <c r="C33" s="64">
        <v>0</v>
      </c>
      <c r="D33" s="40">
        <v>194709</v>
      </c>
      <c r="E33" s="60">
        <f t="shared" si="0"/>
        <v>80</v>
      </c>
      <c r="F33" s="65">
        <f t="shared" si="1"/>
        <v>2146.3999999999996</v>
      </c>
      <c r="G33" s="40">
        <v>54154</v>
      </c>
      <c r="H33" s="60">
        <f t="shared" si="2"/>
        <v>19</v>
      </c>
      <c r="I33" s="61">
        <f t="shared" si="3"/>
        <v>22800</v>
      </c>
      <c r="J33" s="32">
        <v>3165.3</v>
      </c>
      <c r="K33" s="60">
        <f t="shared" si="4"/>
        <v>155.70000000000027</v>
      </c>
      <c r="L33" s="43"/>
      <c r="M33" s="40">
        <v>58320</v>
      </c>
      <c r="N33" s="41">
        <f t="shared" si="5"/>
        <v>26</v>
      </c>
      <c r="O33" s="66">
        <f t="shared" si="6"/>
        <v>697.57999999999993</v>
      </c>
      <c r="P33" s="40">
        <v>24114</v>
      </c>
      <c r="Q33" s="41">
        <f t="shared" si="11"/>
        <v>6</v>
      </c>
      <c r="R33" s="42">
        <f t="shared" si="8"/>
        <v>5400</v>
      </c>
      <c r="S33" s="32">
        <v>2027.5</v>
      </c>
      <c r="T33" s="41">
        <f t="shared" si="10"/>
        <v>4.7999999999999545</v>
      </c>
    </row>
    <row r="34" spans="1:20" s="39" customFormat="1" ht="12" customHeight="1" x14ac:dyDescent="0.2">
      <c r="A34" s="63">
        <v>44864</v>
      </c>
      <c r="B34" s="64">
        <v>35</v>
      </c>
      <c r="C34" s="64">
        <v>0</v>
      </c>
      <c r="D34" s="40">
        <v>194780</v>
      </c>
      <c r="E34" s="60">
        <f>IF(D34-D33&lt;0,"0",D34-D33)</f>
        <v>71</v>
      </c>
      <c r="F34" s="65">
        <f t="shared" ref="F34" si="12">E34*26.83</f>
        <v>1904.9299999999998</v>
      </c>
      <c r="G34" s="40">
        <v>54171</v>
      </c>
      <c r="H34" s="60">
        <f>IF(G34-G33&lt;0,"0",G34-G33)</f>
        <v>17</v>
      </c>
      <c r="I34" s="61">
        <f t="shared" ref="I34" si="13">H34*1200</f>
        <v>20400</v>
      </c>
      <c r="J34" s="32">
        <v>3250.1</v>
      </c>
      <c r="K34" s="60">
        <f>IF(J34-J33&lt;0,"0",J34-J33)</f>
        <v>84.799999999999727</v>
      </c>
      <c r="L34" s="43"/>
      <c r="M34" s="40">
        <v>58346</v>
      </c>
      <c r="N34" s="41">
        <f>IF(M34-M33&lt;0,"0",M34-M33)</f>
        <v>26</v>
      </c>
      <c r="O34" s="66">
        <f t="shared" si="6"/>
        <v>697.57999999999993</v>
      </c>
      <c r="P34" s="40">
        <v>24119</v>
      </c>
      <c r="Q34" s="41">
        <f>IF(P34-P33&lt;0,"0",P34-P33)</f>
        <v>5</v>
      </c>
      <c r="R34" s="42">
        <f t="shared" si="8"/>
        <v>4500</v>
      </c>
      <c r="S34" s="32">
        <v>2029.3</v>
      </c>
      <c r="T34" s="41">
        <f>IF(S34-S33&lt;0,"0",S34-S33)</f>
        <v>1.7999999999999545</v>
      </c>
    </row>
    <row r="35" spans="1:20" s="39" customFormat="1" ht="12" customHeight="1" x14ac:dyDescent="0.2">
      <c r="A35" s="63">
        <v>44865</v>
      </c>
      <c r="B35" s="64">
        <v>29</v>
      </c>
      <c r="C35" s="64">
        <v>0</v>
      </c>
      <c r="D35" s="40">
        <v>194842</v>
      </c>
      <c r="E35" s="60">
        <f>IF(D35-D34&lt;0,"0",D35-D34)</f>
        <v>62</v>
      </c>
      <c r="F35" s="65">
        <f t="shared" si="1"/>
        <v>1663.4599999999998</v>
      </c>
      <c r="G35" s="40">
        <v>54188</v>
      </c>
      <c r="H35" s="60">
        <f>IF(G35-G34&lt;0,"0",G35-G34)</f>
        <v>17</v>
      </c>
      <c r="I35" s="61">
        <f t="shared" si="3"/>
        <v>20400</v>
      </c>
      <c r="J35" s="32">
        <v>3362.7</v>
      </c>
      <c r="K35" s="60">
        <f>IF(J35-J34&lt;0,"0",J35-J34)</f>
        <v>112.59999999999991</v>
      </c>
      <c r="L35" s="43"/>
      <c r="M35" s="40">
        <v>58369</v>
      </c>
      <c r="N35" s="41">
        <f>IF(M35-M34&lt;0,"0",M35-M34)</f>
        <v>23</v>
      </c>
      <c r="O35" s="66">
        <f t="shared" si="6"/>
        <v>617.08999999999992</v>
      </c>
      <c r="P35" s="40">
        <v>24123</v>
      </c>
      <c r="Q35" s="41">
        <f>IF(P35-P34&lt;0,"0",P35-P34)</f>
        <v>4</v>
      </c>
      <c r="R35" s="42">
        <f t="shared" si="8"/>
        <v>3600</v>
      </c>
      <c r="S35" s="32">
        <v>2032.3</v>
      </c>
      <c r="T35" s="41">
        <f>IF(S35-S34&lt;0,"0",S35-S34)</f>
        <v>3</v>
      </c>
    </row>
    <row r="36" spans="1:20" s="39" customFormat="1" ht="12" customHeight="1" x14ac:dyDescent="0.2">
      <c r="A36" s="44"/>
      <c r="B36" s="45">
        <f>SUM(B5:B35)</f>
        <v>3358</v>
      </c>
      <c r="C36" s="45"/>
      <c r="D36" s="46"/>
      <c r="E36" s="47"/>
      <c r="F36" s="48">
        <f>SUM(F5:F35)</f>
        <v>48481.81</v>
      </c>
      <c r="G36" s="46"/>
      <c r="H36" s="49"/>
      <c r="I36" s="50">
        <f>SUM(I5:I35)</f>
        <v>638400</v>
      </c>
      <c r="J36" s="51"/>
      <c r="K36" s="47">
        <f>SUM(K5:K35)</f>
        <v>3501.54</v>
      </c>
      <c r="L36" s="52">
        <f>SUM(L5:L35)</f>
        <v>206.8</v>
      </c>
      <c r="M36" s="46"/>
      <c r="N36" s="47"/>
      <c r="O36" s="48">
        <f>SUM(O5:O35)</f>
        <v>14649.179999999998</v>
      </c>
      <c r="P36" s="46"/>
      <c r="Q36" s="49"/>
      <c r="R36" s="50">
        <f>SUM(R5:R35)</f>
        <v>143100</v>
      </c>
      <c r="S36" s="51"/>
      <c r="T36" s="47">
        <f>SUM(T5:T35)</f>
        <v>1048</v>
      </c>
    </row>
    <row r="37" spans="1:20" x14ac:dyDescent="0.25">
      <c r="A37" s="21"/>
      <c r="B37" s="26"/>
      <c r="C37" s="26"/>
      <c r="D37" s="19"/>
      <c r="E37" s="22"/>
      <c r="F37" s="30"/>
      <c r="G37" s="19"/>
      <c r="H37" s="20"/>
      <c r="I37" s="20"/>
      <c r="J37" s="19"/>
      <c r="K37" s="20"/>
      <c r="M37" s="19"/>
      <c r="N37" s="22"/>
      <c r="O37" s="30"/>
      <c r="P37" s="19"/>
      <c r="Q37" s="20"/>
      <c r="R37" s="20"/>
      <c r="S37" s="19"/>
      <c r="T37" s="20"/>
    </row>
    <row r="38" spans="1:20" x14ac:dyDescent="0.25">
      <c r="A38" s="18"/>
      <c r="B38" s="25"/>
      <c r="C38" s="25"/>
      <c r="G38" s="17"/>
      <c r="J38" s="17"/>
      <c r="P38" s="17"/>
      <c r="S38" s="17"/>
    </row>
    <row r="39" spans="1:20" x14ac:dyDescent="0.25">
      <c r="A39" s="21"/>
      <c r="B39" s="25"/>
      <c r="C39" s="25"/>
      <c r="G39" s="17"/>
      <c r="J39" s="17"/>
      <c r="P39" s="17"/>
      <c r="S39" s="17"/>
    </row>
    <row r="40" spans="1:20" x14ac:dyDescent="0.25">
      <c r="A40" s="21"/>
      <c r="B40" s="25"/>
      <c r="C40" s="25"/>
      <c r="G40" s="17"/>
      <c r="J40" s="17"/>
      <c r="P40" s="17"/>
      <c r="S40" s="17"/>
    </row>
    <row r="41" spans="1:20" x14ac:dyDescent="0.25">
      <c r="A41" s="23"/>
      <c r="B41" s="25"/>
      <c r="C41" s="25"/>
      <c r="J41" s="17"/>
      <c r="K41" s="13"/>
      <c r="S41" s="17"/>
      <c r="T41" s="13"/>
    </row>
  </sheetData>
  <mergeCells count="11">
    <mergeCell ref="M1:T1"/>
    <mergeCell ref="M2:O2"/>
    <mergeCell ref="P2:R2"/>
    <mergeCell ref="S2:T2"/>
    <mergeCell ref="A1:A3"/>
    <mergeCell ref="C1:C3"/>
    <mergeCell ref="B1:B3"/>
    <mergeCell ref="D2:F2"/>
    <mergeCell ref="G2:I2"/>
    <mergeCell ref="J2:L2"/>
    <mergeCell ref="D1:L1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2021-04-27T16:37:22Z</cp:lastPrinted>
  <dcterms:created xsi:type="dcterms:W3CDTF">2021-03-09T05:20:06Z</dcterms:created>
  <dcterms:modified xsi:type="dcterms:W3CDTF">2022-11-02T16:24:21Z</dcterms:modified>
</cp:coreProperties>
</file>