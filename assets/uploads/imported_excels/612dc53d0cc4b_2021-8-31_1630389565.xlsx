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240" windowWidth="13890" windowHeight="11070" tabRatio="581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32" i="2"/>
  <c r="E27" i="3"/>
  <c r="B29"/>
  <c r="B30" s="1"/>
  <c r="B31" s="1"/>
  <c r="B33" s="1"/>
  <c r="C27"/>
  <c r="C26"/>
  <c r="S26"/>
  <c r="H25"/>
  <c r="H26" s="1"/>
  <c r="H27" s="1"/>
  <c r="H28" s="1"/>
  <c r="H29" s="1"/>
  <c r="H30" s="1"/>
  <c r="H31" s="1"/>
  <c r="H32" s="1"/>
  <c r="H33" s="1"/>
  <c r="U14"/>
  <c r="E28" l="1"/>
  <c r="I5" i="2"/>
  <c r="H8" i="77"/>
  <c r="I8" l="1"/>
  <c r="I7"/>
  <c r="C15" l="1"/>
  <c r="C16"/>
  <c r="C17"/>
  <c r="C18"/>
  <c r="C19"/>
  <c r="C14"/>
  <c r="AS37" i="7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5" i="79"/>
  <c r="D5"/>
  <c r="E5"/>
  <c r="F5"/>
  <c r="G5"/>
  <c r="H5"/>
  <c r="A5"/>
  <c r="B5"/>
  <c r="X14" i="76"/>
  <c r="Y14"/>
  <c r="W14"/>
  <c r="AB19"/>
  <c r="AC16"/>
  <c r="AB16"/>
  <c r="AB13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Z9"/>
  <c r="AA9"/>
  <c r="AB9"/>
  <c r="AC9"/>
  <c r="AD9"/>
  <c r="Y9"/>
  <c r="V10"/>
  <c r="W10"/>
  <c r="V11"/>
  <c r="W11"/>
  <c r="W9"/>
  <c r="V9"/>
  <c r="C3"/>
  <c r="D3"/>
  <c r="E3"/>
  <c r="F3"/>
  <c r="F5" s="1"/>
  <c r="F6" s="1"/>
  <c r="F7" s="1"/>
  <c r="F10" s="1"/>
  <c r="F11" s="1"/>
  <c r="F12" s="1"/>
  <c r="F13" s="1"/>
  <c r="F14" s="1"/>
  <c r="F16" s="1"/>
  <c r="F17" s="1"/>
  <c r="F18" s="1"/>
  <c r="F19" s="1"/>
  <c r="F21" s="1"/>
  <c r="F22" s="1"/>
  <c r="F23" s="1"/>
  <c r="F24" s="1"/>
  <c r="F26" s="1"/>
  <c r="F30" s="1"/>
  <c r="F31" s="1"/>
  <c r="F32" s="1"/>
  <c r="F33" s="1"/>
  <c r="F34" s="1"/>
  <c r="G3"/>
  <c r="H3"/>
  <c r="H10" s="1"/>
  <c r="H11" s="1"/>
  <c r="H12" s="1"/>
  <c r="H13" s="1"/>
  <c r="H16" s="1"/>
  <c r="H17" s="1"/>
  <c r="H18" s="1"/>
  <c r="H19" s="1"/>
  <c r="H21" s="1"/>
  <c r="H22" s="1"/>
  <c r="H23" s="1"/>
  <c r="H24" s="1"/>
  <c r="H26" s="1"/>
  <c r="H30" s="1"/>
  <c r="H31" s="1"/>
  <c r="H32" s="1"/>
  <c r="H33" s="1"/>
  <c r="H34" s="1"/>
  <c r="I3"/>
  <c r="J3"/>
  <c r="J10" s="1"/>
  <c r="J11" s="1"/>
  <c r="J12" s="1"/>
  <c r="J13" s="1"/>
  <c r="J16" s="1"/>
  <c r="J17" s="1"/>
  <c r="J18" s="1"/>
  <c r="J19" s="1"/>
  <c r="J21" s="1"/>
  <c r="J22" s="1"/>
  <c r="J23" s="1"/>
  <c r="J24" s="1"/>
  <c r="J26" s="1"/>
  <c r="J30" s="1"/>
  <c r="J31" s="1"/>
  <c r="J32" s="1"/>
  <c r="J33" s="1"/>
  <c r="J34" s="1"/>
  <c r="K3"/>
  <c r="L3"/>
  <c r="M3"/>
  <c r="N3"/>
  <c r="O3"/>
  <c r="P3"/>
  <c r="Q3"/>
  <c r="R3"/>
  <c r="S3"/>
  <c r="T3"/>
  <c r="B3"/>
  <c r="B10" s="1"/>
  <c r="B11" s="1"/>
  <c r="B12" s="1"/>
  <c r="B13" s="1"/>
  <c r="B16" s="1"/>
  <c r="B17" s="1"/>
  <c r="B18" s="1"/>
  <c r="B19" s="1"/>
  <c r="B21" s="1"/>
  <c r="B22" s="1"/>
  <c r="B23" s="1"/>
  <c r="B24" s="1"/>
  <c r="B26" s="1"/>
  <c r="B30" s="1"/>
  <c r="B31" s="1"/>
  <c r="B32" s="1"/>
  <c r="B33" s="1"/>
  <c r="B34" s="1"/>
  <c r="AT5" i="7"/>
  <c r="AU5"/>
  <c r="AW5"/>
  <c r="AR5"/>
  <c r="AS5"/>
  <c r="AV5"/>
  <c r="AZ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P34" i="3"/>
  <c r="C2"/>
  <c r="D2"/>
  <c r="D9" s="1"/>
  <c r="D10" s="1"/>
  <c r="D11" s="1"/>
  <c r="D12" s="1"/>
  <c r="D15" s="1"/>
  <c r="D16" s="1"/>
  <c r="D17" s="1"/>
  <c r="D20" s="1"/>
  <c r="D21" s="1"/>
  <c r="D22" s="1"/>
  <c r="D23" s="1"/>
  <c r="D29" s="1"/>
  <c r="E2"/>
  <c r="F2"/>
  <c r="G2"/>
  <c r="H2"/>
  <c r="I2"/>
  <c r="J2"/>
  <c r="K2"/>
  <c r="L2"/>
  <c r="M2"/>
  <c r="N2"/>
  <c r="O2"/>
  <c r="P2"/>
  <c r="Q2"/>
  <c r="R2"/>
  <c r="R9" s="1"/>
  <c r="R10" s="1"/>
  <c r="R11" s="1"/>
  <c r="R12" s="1"/>
  <c r="R15" s="1"/>
  <c r="R16" s="1"/>
  <c r="R17" s="1"/>
  <c r="R20" s="1"/>
  <c r="R21" s="1"/>
  <c r="R22" s="1"/>
  <c r="R23" s="1"/>
  <c r="R29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9"/>
  <c r="B10" s="1"/>
  <c r="B11" s="1"/>
  <c r="B12" s="1"/>
  <c r="B15" s="1"/>
  <c r="B16" s="1"/>
  <c r="B17" s="1"/>
  <c r="B20" s="1"/>
  <c r="B21" s="1"/>
  <c r="B22" s="1"/>
  <c r="B23" s="1"/>
  <c r="B2"/>
  <c r="AU36" i="5"/>
  <c r="BE5"/>
  <c r="BF5"/>
  <c r="BG5"/>
  <c r="BB5"/>
  <c r="BC5"/>
  <c r="BD5"/>
  <c r="AT5"/>
  <c r="AT7" s="1"/>
  <c r="AT11" s="1"/>
  <c r="AT12" s="1"/>
  <c r="AT13" s="1"/>
  <c r="AT14" s="1"/>
  <c r="AT15" s="1"/>
  <c r="AT18" s="1"/>
  <c r="AT19" s="1"/>
  <c r="AT20" s="1"/>
  <c r="AT23" s="1"/>
  <c r="AT24" s="1"/>
  <c r="AT25" s="1"/>
  <c r="AT26" s="1"/>
  <c r="AT27" s="1"/>
  <c r="AT31" s="1"/>
  <c r="AT32" s="1"/>
  <c r="AT33" s="1"/>
  <c r="AT36" s="1"/>
  <c r="AU5"/>
  <c r="AU6" s="1"/>
  <c r="AV5"/>
  <c r="AV12" s="1"/>
  <c r="AV13" s="1"/>
  <c r="AV14" s="1"/>
  <c r="AV15" s="1"/>
  <c r="AV18" s="1"/>
  <c r="AV19" s="1"/>
  <c r="AV20" s="1"/>
  <c r="AV21" s="1"/>
  <c r="AV23" s="1"/>
  <c r="AV24" s="1"/>
  <c r="AV25" s="1"/>
  <c r="AV26" s="1"/>
  <c r="AV31" s="1"/>
  <c r="AV32" s="1"/>
  <c r="AV33" s="1"/>
  <c r="AV36" s="1"/>
  <c r="AW5"/>
  <c r="AX5"/>
  <c r="AX12" s="1"/>
  <c r="AX13" s="1"/>
  <c r="AX14" s="1"/>
  <c r="AX15" s="1"/>
  <c r="AX18" s="1"/>
  <c r="AX19" s="1"/>
  <c r="AX20" s="1"/>
  <c r="AX23" s="1"/>
  <c r="AX24" s="1"/>
  <c r="AX25" s="1"/>
  <c r="AX26" s="1"/>
  <c r="AX31" s="1"/>
  <c r="AX32" s="1"/>
  <c r="AX33" s="1"/>
  <c r="AX36" s="1"/>
  <c r="BA36" s="1"/>
  <c r="AY5"/>
  <c r="AY6" s="1"/>
  <c r="AZ5"/>
  <c r="BA5"/>
  <c r="AS5"/>
  <c r="AS6" s="1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R5"/>
  <c r="C5"/>
  <c r="D5"/>
  <c r="E5"/>
  <c r="F5"/>
  <c r="G5"/>
  <c r="G7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11" s="1"/>
  <c r="C12" s="1"/>
  <c r="C13" s="1"/>
  <c r="C14" s="1"/>
  <c r="C18" s="1"/>
  <c r="C22" s="1"/>
  <c r="C23" s="1"/>
  <c r="C24" s="1"/>
  <c r="C25" s="1"/>
  <c r="C35" s="1"/>
  <c r="D4"/>
  <c r="E4"/>
  <c r="F4"/>
  <c r="F5" s="1"/>
  <c r="F6" s="1"/>
  <c r="F7" s="1"/>
  <c r="F8" s="1"/>
  <c r="F10" s="1"/>
  <c r="F11" s="1"/>
  <c r="F12" s="1"/>
  <c r="F13" s="1"/>
  <c r="F14" s="1"/>
  <c r="F17" s="1"/>
  <c r="F18" s="1"/>
  <c r="F19" s="1"/>
  <c r="F22" s="1"/>
  <c r="F23" s="1"/>
  <c r="F24" s="1"/>
  <c r="F25" s="1"/>
  <c r="F30" s="1"/>
  <c r="F31" s="1"/>
  <c r="F32" s="1"/>
  <c r="F35" s="1"/>
  <c r="G4"/>
  <c r="H4"/>
  <c r="H5" s="1"/>
  <c r="H6" s="1"/>
  <c r="H7" s="1"/>
  <c r="H8" s="1"/>
  <c r="H10" s="1"/>
  <c r="H11" s="1"/>
  <c r="H12" s="1"/>
  <c r="H13" s="1"/>
  <c r="H14" s="1"/>
  <c r="H17" s="1"/>
  <c r="H18" s="1"/>
  <c r="H19" s="1"/>
  <c r="H22" s="1"/>
  <c r="H23" s="1"/>
  <c r="H24" s="1"/>
  <c r="H25" s="1"/>
  <c r="H30" s="1"/>
  <c r="H31" s="1"/>
  <c r="H32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6" s="1"/>
  <c r="P7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30" s="1"/>
  <c r="P31" s="1"/>
  <c r="P32" s="1"/>
  <c r="P33" s="1"/>
  <c r="P34" s="1"/>
  <c r="P35" s="1"/>
  <c r="Q4"/>
  <c r="Q6" s="1"/>
  <c r="Q7" s="1"/>
  <c r="Q10" s="1"/>
  <c r="Q11" s="1"/>
  <c r="Q12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11" s="1"/>
  <c r="B12" s="1"/>
  <c r="B13" s="1"/>
  <c r="B14" s="1"/>
  <c r="B18" s="1"/>
  <c r="B22" s="1"/>
  <c r="B23" s="1"/>
  <c r="B24" s="1"/>
  <c r="B25" s="1"/>
  <c r="B35" s="1"/>
  <c r="AL3" i="2"/>
  <c r="AL10" s="1"/>
  <c r="AL11" s="1"/>
  <c r="AL12" s="1"/>
  <c r="AL13" s="1"/>
  <c r="AL16" s="1"/>
  <c r="AL17" s="1"/>
  <c r="AL18" s="1"/>
  <c r="AL21" s="1"/>
  <c r="AL22" s="1"/>
  <c r="AL23" s="1"/>
  <c r="AL24" s="1"/>
  <c r="AL30" s="1"/>
  <c r="AL31" s="1"/>
  <c r="AL34" s="1"/>
  <c r="AK3"/>
  <c r="AK10" s="1"/>
  <c r="AK11" s="1"/>
  <c r="AK12" s="1"/>
  <c r="AK13" s="1"/>
  <c r="AK16" s="1"/>
  <c r="AK17" s="1"/>
  <c r="AK18" s="1"/>
  <c r="AK21" s="1"/>
  <c r="AK22" s="1"/>
  <c r="AK23" s="1"/>
  <c r="AK24" s="1"/>
  <c r="AK30" s="1"/>
  <c r="AK31" s="1"/>
  <c r="AK34" s="1"/>
  <c r="F3"/>
  <c r="F10" s="1"/>
  <c r="F11" s="1"/>
  <c r="F12" s="1"/>
  <c r="F13" s="1"/>
  <c r="F16" s="1"/>
  <c r="F17" s="1"/>
  <c r="F18" s="1"/>
  <c r="F21" s="1"/>
  <c r="F22" s="1"/>
  <c r="F23" s="1"/>
  <c r="F24" s="1"/>
  <c r="F30" s="1"/>
  <c r="F31" s="1"/>
  <c r="F34" s="1"/>
  <c r="G3"/>
  <c r="H3"/>
  <c r="H10" s="1"/>
  <c r="H11" s="1"/>
  <c r="H12" s="1"/>
  <c r="H13" s="1"/>
  <c r="H16" s="1"/>
  <c r="H17" s="1"/>
  <c r="H18" s="1"/>
  <c r="H21" s="1"/>
  <c r="H22" s="1"/>
  <c r="H23" s="1"/>
  <c r="H24" s="1"/>
  <c r="H30" s="1"/>
  <c r="H31" s="1"/>
  <c r="H34" s="1"/>
  <c r="I3"/>
  <c r="J3"/>
  <c r="J10" s="1"/>
  <c r="J11" s="1"/>
  <c r="J12" s="1"/>
  <c r="J13" s="1"/>
  <c r="J16" s="1"/>
  <c r="J17" s="1"/>
  <c r="J18" s="1"/>
  <c r="J21" s="1"/>
  <c r="J22" s="1"/>
  <c r="J23" s="1"/>
  <c r="J24" s="1"/>
  <c r="J30" s="1"/>
  <c r="J31" s="1"/>
  <c r="J34" s="1"/>
  <c r="K3"/>
  <c r="L3"/>
  <c r="M3"/>
  <c r="P3"/>
  <c r="P10" s="1"/>
  <c r="P11" s="1"/>
  <c r="P12" s="1"/>
  <c r="P13" s="1"/>
  <c r="P16" s="1"/>
  <c r="P17" s="1"/>
  <c r="P18" s="1"/>
  <c r="P21" s="1"/>
  <c r="P22" s="1"/>
  <c r="P23" s="1"/>
  <c r="P24" s="1"/>
  <c r="P30" s="1"/>
  <c r="P31" s="1"/>
  <c r="P34" s="1"/>
  <c r="Q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9" s="1"/>
  <c r="W10" s="1"/>
  <c r="W11" s="1"/>
  <c r="W12" s="1"/>
  <c r="W13" s="1"/>
  <c r="W16" s="1"/>
  <c r="W17" s="1"/>
  <c r="W18" s="1"/>
  <c r="W21" s="1"/>
  <c r="W22" s="1"/>
  <c r="W23" s="1"/>
  <c r="W24" s="1"/>
  <c r="W26" s="1"/>
  <c r="W30" s="1"/>
  <c r="W31" s="1"/>
  <c r="W34" s="1"/>
  <c r="X3"/>
  <c r="Y3"/>
  <c r="Y4" s="1"/>
  <c r="Y5" s="1"/>
  <c r="Y9" s="1"/>
  <c r="Y10" s="1"/>
  <c r="Y11" s="1"/>
  <c r="Y12" s="1"/>
  <c r="Y13" s="1"/>
  <c r="Y16" s="1"/>
  <c r="Y17" s="1"/>
  <c r="Y18" s="1"/>
  <c r="Y21" s="1"/>
  <c r="Y22" s="1"/>
  <c r="Y23" s="1"/>
  <c r="Y24" s="1"/>
  <c r="Y26" s="1"/>
  <c r="Y30" s="1"/>
  <c r="Y31" s="1"/>
  <c r="Y33" s="1"/>
  <c r="Y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R30" i="3" l="1"/>
  <c r="R31" s="1"/>
  <c r="R33" s="1"/>
  <c r="D30"/>
  <c r="E29"/>
  <c r="AX5" i="7"/>
  <c r="AY36" i="5"/>
  <c r="AZ36"/>
  <c r="AM34" i="2"/>
  <c r="D31" i="3" l="1"/>
  <c r="E30"/>
  <c r="E3" i="2"/>
  <c r="O3"/>
  <c r="N3"/>
  <c r="E31" i="3" l="1"/>
  <c r="R3" i="2"/>
  <c r="D33" i="3" l="1"/>
  <c r="E33" s="1"/>
  <c r="E32"/>
  <c r="G17" i="76"/>
  <c r="C18"/>
  <c r="F37" i="73" l="1"/>
  <c r="AK38" i="5"/>
  <c r="F37"/>
  <c r="AH38" i="1"/>
  <c r="AH37"/>
  <c r="AV36"/>
  <c r="AV38" s="1"/>
  <c r="AS36"/>
  <c r="AW36" s="1"/>
  <c r="A35"/>
  <c r="W16" i="76"/>
  <c r="W1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BA5" i="7" s="1"/>
  <c r="E5" i="73"/>
  <c r="F5"/>
  <c r="G5"/>
  <c r="H5"/>
  <c r="I5"/>
  <c r="J5"/>
  <c r="K5"/>
  <c r="L5"/>
  <c r="M5"/>
  <c r="N5"/>
  <c r="O5"/>
  <c r="B5"/>
  <c r="AY5" i="7" s="1"/>
  <c r="A36" i="73"/>
  <c r="D36"/>
  <c r="AM36" i="5" s="1"/>
  <c r="G36" i="73"/>
  <c r="K36"/>
  <c r="AF11" i="76"/>
  <c r="AE11"/>
  <c r="AC13"/>
  <c r="AC14"/>
  <c r="AC15"/>
  <c r="AC17"/>
  <c r="AC18"/>
  <c r="AC19"/>
  <c r="AB14"/>
  <c r="AB15"/>
  <c r="AB17"/>
  <c r="AB18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B3"/>
  <c r="A3"/>
  <c r="A34"/>
  <c r="B34" s="1"/>
  <c r="O32" i="81" s="1"/>
  <c r="A13" i="1"/>
  <c r="L10" i="2" l="1"/>
  <c r="L11" s="1"/>
  <c r="L12" s="1"/>
  <c r="L13" s="1"/>
  <c r="L16" s="1"/>
  <c r="L17" s="1"/>
  <c r="L18" s="1"/>
  <c r="L21" s="1"/>
  <c r="L22" s="1"/>
  <c r="L23" s="1"/>
  <c r="L24" s="1"/>
  <c r="L30" s="1"/>
  <c r="L31" s="1"/>
  <c r="L34" s="1"/>
  <c r="M34" s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6"/>
  <c r="H30" i="79"/>
  <c r="H32" s="1"/>
  <c r="H33" s="1"/>
  <c r="H34" s="1"/>
  <c r="H36" s="1"/>
  <c r="K36" i="5" s="1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5" s="1"/>
  <c r="H16" s="1"/>
  <c r="H17" s="1"/>
  <c r="H19" s="1"/>
  <c r="H20" s="1"/>
  <c r="H21" s="1"/>
  <c r="H22" s="1"/>
  <c r="H23" s="1"/>
  <c r="H24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J28" i="3" l="1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M10" i="2"/>
  <c r="AN10" s="1"/>
  <c r="E10" s="1"/>
  <c r="H8" i="82" s="1"/>
  <c r="N33" i="3" l="1"/>
  <c r="AB33" s="1"/>
  <c r="Y33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10" l="1"/>
  <c r="AA11" s="1"/>
  <c r="AA12" s="1"/>
  <c r="AA13" s="1"/>
  <c r="AA15" s="1"/>
  <c r="AA16" s="1"/>
  <c r="AA17" s="1"/>
  <c r="AA18" s="1"/>
  <c r="AA19" s="1"/>
  <c r="AA21" s="1"/>
  <c r="AA22" s="1"/>
  <c r="AA23" s="1"/>
  <c r="AA24" s="1"/>
  <c r="AA30" s="1"/>
  <c r="AA31" s="1"/>
  <c r="AA34" s="1"/>
  <c r="AB34" s="1"/>
  <c r="AC10"/>
  <c r="AC11" s="1"/>
  <c r="AC12" s="1"/>
  <c r="AC13" s="1"/>
  <c r="AC15" s="1"/>
  <c r="AC16" s="1"/>
  <c r="AC17" s="1"/>
  <c r="AC18" s="1"/>
  <c r="AC19" s="1"/>
  <c r="AC21" s="1"/>
  <c r="AC22" s="1"/>
  <c r="AC23" s="1"/>
  <c r="AC24" s="1"/>
  <c r="AC30" s="1"/>
  <c r="AC31" s="1"/>
  <c r="AC34" s="1"/>
  <c r="AD34" s="1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I11" i="82" l="1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N4" i="2"/>
  <c r="R4" s="1"/>
  <c r="AI4" s="1"/>
  <c r="AA11" i="7"/>
  <c r="AA7"/>
  <c r="AL6" i="5"/>
  <c r="U4" i="3"/>
  <c r="T4" s="1"/>
  <c r="T5" s="1"/>
  <c r="T6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R34" s="1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l="1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8" l="1"/>
  <c r="AR8"/>
  <c r="AS9" s="1"/>
  <c r="AS6"/>
  <c r="AR15"/>
  <c r="BC15" s="1"/>
  <c r="AS11"/>
  <c r="AS13"/>
  <c r="AS14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9" s="1"/>
  <c r="T10" s="1"/>
  <c r="T11" s="1"/>
  <c r="T12" s="1"/>
  <c r="T13" s="1"/>
  <c r="T14" s="1"/>
  <c r="T15" s="1"/>
  <c r="T16" s="1"/>
  <c r="T17" l="1"/>
  <c r="T19" s="1"/>
  <c r="T20" s="1"/>
  <c r="T21" s="1"/>
  <c r="T22" s="1"/>
  <c r="T23" s="1"/>
  <c r="T26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ahmad.ghazalah</author>
    <author>suzan.abousleiman</author>
  </authors>
  <commentList>
    <comment ref="C25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Rocords were taken on 23/8 at 11:00 am</t>
        </r>
      </text>
    </comment>
    <comment ref="C32" authorId="1">
      <text>
        <r>
          <rPr>
            <b/>
            <sz val="9"/>
            <color indexed="81"/>
            <rFont val="Tahoma"/>
            <charset val="1"/>
          </rPr>
          <t>suzan.abousleiman:</t>
        </r>
        <r>
          <rPr>
            <sz val="9"/>
            <color indexed="81"/>
            <rFont val="Tahoma"/>
            <charset val="1"/>
          </rPr>
          <t xml:space="preserve">
Records taken at 13:00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A26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 am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B27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11:00am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were taken at 8:30am</t>
        </r>
      </text>
    </comment>
    <comment ref="A25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on 23/8 at 11:00am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<sst xmlns="http://schemas.openxmlformats.org/spreadsheetml/2006/main" count="661" uniqueCount="421">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</sst>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Font="1" applyBorder="1" applyAlignment="1">
      <alignment horizontal="left"/>
    </xf>
    <xf numFmtId="0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6" fillId="24" borderId="1" xfId="1" applyNumberFormat="1" applyFon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16603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88774144"/>
        <c:axId val="88775680"/>
      </c:lineChart>
      <c:catAx>
        <c:axId val="8877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5680"/>
        <c:crosses val="autoZero"/>
        <c:auto val="1"/>
        <c:lblAlgn val="ctr"/>
        <c:lblOffset val="100"/>
      </c:catAx>
      <c:valAx>
        <c:axId val="88775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7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8787968"/>
        <c:axId val="88797952"/>
      </c:lineChart>
      <c:catAx>
        <c:axId val="887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97952"/>
        <c:crosses val="autoZero"/>
        <c:auto val="1"/>
        <c:lblAlgn val="ctr"/>
        <c:lblOffset val="100"/>
      </c:catAx>
      <c:valAx>
        <c:axId val="8879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845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8822528"/>
        <c:axId val="88824064"/>
      </c:lineChart>
      <c:catAx>
        <c:axId val="8882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24064"/>
        <c:crosses val="autoZero"/>
        <c:auto val="1"/>
        <c:lblAlgn val="ctr"/>
        <c:lblOffset val="100"/>
      </c:catAx>
      <c:valAx>
        <c:axId val="888240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2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8865024"/>
        <c:axId val="88870912"/>
      </c:lineChart>
      <c:catAx>
        <c:axId val="888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70912"/>
        <c:crosses val="autoZero"/>
        <c:auto val="1"/>
        <c:lblAlgn val="ctr"/>
        <c:lblOffset val="100"/>
      </c:catAx>
      <c:valAx>
        <c:axId val="88870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83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264.14999999999998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8883200"/>
        <c:axId val="88884736"/>
      </c:lineChart>
      <c:catAx>
        <c:axId val="8888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84736"/>
        <c:crosses val="autoZero"/>
        <c:auto val="1"/>
        <c:lblAlgn val="ctr"/>
        <c:lblOffset val="100"/>
      </c:catAx>
      <c:valAx>
        <c:axId val="88884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8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84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9261952"/>
        <c:axId val="89263488"/>
      </c:lineChart>
      <c:catAx>
        <c:axId val="8926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63488"/>
        <c:crosses val="autoZero"/>
        <c:auto val="1"/>
        <c:lblAlgn val="ctr"/>
        <c:lblOffset val="100"/>
      </c:catAx>
      <c:valAx>
        <c:axId val="89263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6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9283968"/>
        <c:axId val="89314432"/>
      </c:lineChart>
      <c:catAx>
        <c:axId val="8928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14432"/>
        <c:crosses val="autoZero"/>
        <c:auto val="1"/>
        <c:lblAlgn val="ctr"/>
        <c:lblOffset val="100"/>
      </c:catAx>
      <c:valAx>
        <c:axId val="8931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9339008"/>
        <c:axId val="89340544"/>
      </c:lineChart>
      <c:catAx>
        <c:axId val="8933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40544"/>
        <c:crosses val="autoZero"/>
        <c:auto val="1"/>
        <c:lblAlgn val="ctr"/>
        <c:lblOffset val="100"/>
      </c:catAx>
      <c:valAx>
        <c:axId val="8934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3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9373312"/>
        <c:axId val="89379200"/>
      </c:lineChart>
      <c:catAx>
        <c:axId val="8937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79200"/>
        <c:crosses val="autoZero"/>
        <c:auto val="1"/>
        <c:lblAlgn val="ctr"/>
        <c:lblOffset val="100"/>
      </c:catAx>
      <c:valAx>
        <c:axId val="89379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7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968"/>
          <c:w val="0.1272403315177522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9457024"/>
        <c:axId val="89458560"/>
      </c:lineChart>
      <c:catAx>
        <c:axId val="8945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58560"/>
        <c:crosses val="autoZero"/>
        <c:auto val="1"/>
        <c:lblAlgn val="ctr"/>
        <c:lblOffset val="100"/>
      </c:catAx>
      <c:valAx>
        <c:axId val="8945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5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9577344"/>
        <c:axId val="89578880"/>
      </c:lineChart>
      <c:catAx>
        <c:axId val="8957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8880"/>
        <c:crosses val="autoZero"/>
        <c:auto val="1"/>
        <c:lblAlgn val="ctr"/>
        <c:lblOffset val="100"/>
      </c:catAx>
      <c:valAx>
        <c:axId val="895788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7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8584192"/>
        <c:axId val="88585728"/>
      </c:lineChart>
      <c:catAx>
        <c:axId val="8858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85728"/>
        <c:crosses val="autoZero"/>
        <c:auto val="1"/>
        <c:lblAlgn val="ctr"/>
        <c:lblOffset val="100"/>
      </c:catAx>
      <c:valAx>
        <c:axId val="8858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8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79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155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56</c:v>
                </c:pt>
                <c:pt idx="5">
                  <c:v>209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241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74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87.399999999994179</c:v>
                </c:pt>
                <c:pt idx="23">
                  <c:v>55</c:v>
                </c:pt>
                <c:pt idx="24">
                  <c:v>74</c:v>
                </c:pt>
                <c:pt idx="25">
                  <c:v>147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8983424"/>
        <c:axId val="88984960"/>
      </c:lineChart>
      <c:catAx>
        <c:axId val="8898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84960"/>
        <c:crosses val="autoZero"/>
        <c:auto val="1"/>
        <c:lblAlgn val="ctr"/>
        <c:lblOffset val="100"/>
      </c:catAx>
      <c:valAx>
        <c:axId val="8898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8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968"/>
          <c:w val="0.1354168853893672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0135936"/>
        <c:axId val="90141824"/>
      </c:lineChart>
      <c:catAx>
        <c:axId val="9013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41824"/>
        <c:crosses val="autoZero"/>
        <c:auto val="1"/>
        <c:lblAlgn val="ctr"/>
        <c:lblOffset val="100"/>
      </c:catAx>
      <c:valAx>
        <c:axId val="90141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3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96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15885</c:v>
                </c:pt>
                <c:pt idx="3">
                  <c:v>13819</c:v>
                </c:pt>
                <c:pt idx="4">
                  <c:v>16668</c:v>
                </c:pt>
                <c:pt idx="5">
                  <c:v>14087</c:v>
                </c:pt>
                <c:pt idx="6">
                  <c:v>16486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17570</c:v>
                </c:pt>
                <c:pt idx="12">
                  <c:v>17457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10967</c:v>
                </c:pt>
                <c:pt idx="17">
                  <c:v>10065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12009</c:v>
                </c:pt>
                <c:pt idx="23">
                  <c:v>10124</c:v>
                </c:pt>
                <c:pt idx="24">
                  <c:v>17496</c:v>
                </c:pt>
                <c:pt idx="25">
                  <c:v>15450</c:v>
                </c:pt>
                <c:pt idx="26">
                  <c:v>16603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0158592"/>
        <c:axId val="90160128"/>
      </c:lineChart>
      <c:catAx>
        <c:axId val="9015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60128"/>
        <c:crosses val="autoZero"/>
        <c:auto val="1"/>
        <c:lblAlgn val="ctr"/>
        <c:lblOffset val="100"/>
      </c:catAx>
      <c:valAx>
        <c:axId val="90160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1832</c:v>
                </c:pt>
                <c:pt idx="3">
                  <c:v>0</c:v>
                </c:pt>
                <c:pt idx="4">
                  <c:v>889</c:v>
                </c:pt>
                <c:pt idx="5">
                  <c:v>567</c:v>
                </c:pt>
                <c:pt idx="6">
                  <c:v>306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257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140</c:v>
                </c:pt>
                <c:pt idx="23">
                  <c:v>0</c:v>
                </c:pt>
                <c:pt idx="24">
                  <c:v>818</c:v>
                </c:pt>
                <c:pt idx="25">
                  <c:v>454</c:v>
                </c:pt>
                <c:pt idx="26">
                  <c:v>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9897984"/>
        <c:axId val="89899776"/>
      </c:lineChart>
      <c:catAx>
        <c:axId val="898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99776"/>
        <c:crosses val="autoZero"/>
        <c:auto val="1"/>
        <c:lblAlgn val="ctr"/>
        <c:lblOffset val="100"/>
      </c:catAx>
      <c:valAx>
        <c:axId val="8989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968"/>
          <c:w val="0.1354168853893672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26</c:v>
                </c:pt>
                <c:pt idx="4">
                  <c:v>15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</c:v>
                </c:pt>
                <c:pt idx="22">
                  <c:v>12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0256128"/>
        <c:axId val="90257664"/>
      </c:lineChart>
      <c:catAx>
        <c:axId val="9025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7664"/>
        <c:crosses val="autoZero"/>
        <c:auto val="1"/>
        <c:lblAlgn val="ctr"/>
        <c:lblOffset val="100"/>
      </c:catAx>
      <c:valAx>
        <c:axId val="90257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5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670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-4906.838709677424</c:v>
                </c:pt>
                <c:pt idx="1">
                  <c:v>-2439.9032258064544</c:v>
                </c:pt>
                <c:pt idx="2">
                  <c:v>-4871.8387096774168</c:v>
                </c:pt>
                <c:pt idx="3">
                  <c:v>-5248.516129032254</c:v>
                </c:pt>
                <c:pt idx="4">
                  <c:v>-4293.483870967746</c:v>
                </c:pt>
                <c:pt idx="5">
                  <c:v>-2174.9032258064508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-7000</c:v>
                </c:pt>
                <c:pt idx="10">
                  <c:v>4080.6451612903293</c:v>
                </c:pt>
                <c:pt idx="11">
                  <c:v>-5756.870967741932</c:v>
                </c:pt>
                <c:pt idx="12">
                  <c:v>-2933.2258064516209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-2760.0967741935456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-3986.8064516129089</c:v>
                </c:pt>
                <c:pt idx="22">
                  <c:v>-3066.7741935483791</c:v>
                </c:pt>
                <c:pt idx="23">
                  <c:v>-4313.1290322580753</c:v>
                </c:pt>
                <c:pt idx="24">
                  <c:v>-4363.3870967741823</c:v>
                </c:pt>
                <c:pt idx="25">
                  <c:v>-5143.5161290322649</c:v>
                </c:pt>
                <c:pt idx="26">
                  <c:v>2242.0967741935601</c:v>
                </c:pt>
                <c:pt idx="27">
                  <c:v>-5195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0278144"/>
        <c:axId val="90288128"/>
      </c:lineChart>
      <c:catAx>
        <c:axId val="902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88128"/>
        <c:crosses val="autoZero"/>
        <c:auto val="1"/>
        <c:lblAlgn val="ctr"/>
        <c:lblOffset val="100"/>
      </c:catAx>
      <c:valAx>
        <c:axId val="90288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3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0177920"/>
        <c:axId val="90179456"/>
      </c:lineChart>
      <c:catAx>
        <c:axId val="9017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9456"/>
        <c:crosses val="autoZero"/>
        <c:auto val="1"/>
        <c:lblAlgn val="ctr"/>
        <c:lblOffset val="100"/>
      </c:catAx>
      <c:valAx>
        <c:axId val="9017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7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76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0216320"/>
        <c:axId val="90217856"/>
      </c:lineChart>
      <c:catAx>
        <c:axId val="9021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7856"/>
        <c:crosses val="autoZero"/>
        <c:auto val="1"/>
        <c:lblAlgn val="ctr"/>
        <c:lblOffset val="100"/>
      </c:catAx>
      <c:valAx>
        <c:axId val="90217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09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0377600"/>
        <c:axId val="90395776"/>
      </c:lineChart>
      <c:catAx>
        <c:axId val="9037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95776"/>
        <c:crosses val="autoZero"/>
        <c:auto val="1"/>
        <c:lblAlgn val="ctr"/>
        <c:lblOffset val="100"/>
      </c:catAx>
      <c:valAx>
        <c:axId val="90395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7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0436736"/>
        <c:axId val="90438272"/>
      </c:lineChart>
      <c:catAx>
        <c:axId val="904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8272"/>
        <c:crosses val="autoZero"/>
        <c:auto val="1"/>
        <c:lblAlgn val="ctr"/>
        <c:lblOffset val="100"/>
      </c:catAx>
      <c:valAx>
        <c:axId val="9043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19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92</c:v>
                </c:pt>
                <c:pt idx="3">
                  <c:v>0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60</c:v>
                </c:pt>
                <c:pt idx="24">
                  <c:v>79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0327680"/>
        <c:axId val="90333568"/>
      </c:lineChart>
      <c:catAx>
        <c:axId val="9032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33568"/>
        <c:crosses val="autoZero"/>
        <c:auto val="1"/>
        <c:lblAlgn val="ctr"/>
        <c:lblOffset val="100"/>
      </c:catAx>
      <c:valAx>
        <c:axId val="9033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2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96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0444160"/>
        <c:axId val="90445696"/>
      </c:lineChart>
      <c:catAx>
        <c:axId val="9044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5696"/>
        <c:crosses val="autoZero"/>
        <c:auto val="1"/>
        <c:lblAlgn val="ctr"/>
        <c:lblOffset val="100"/>
      </c:catAx>
      <c:valAx>
        <c:axId val="9044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836"/>
          <c:w val="0.1234311819809384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0459136"/>
        <c:axId val="90477312"/>
      </c:lineChart>
      <c:catAx>
        <c:axId val="904591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77312"/>
        <c:crosses val="autoZero"/>
        <c:auto val="1"/>
        <c:lblAlgn val="ctr"/>
        <c:lblOffset val="100"/>
      </c:catAx>
      <c:valAx>
        <c:axId val="904773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418"/>
          <c:w val="0.1569039853282333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295.125</c:v>
                </c:pt>
                <c:pt idx="2">
                  <c:v>284.72222222222223</c:v>
                </c:pt>
                <c:pt idx="3">
                  <c:v>253.18181818181819</c:v>
                </c:pt>
                <c:pt idx="4">
                  <c:v>259.88235294117646</c:v>
                </c:pt>
                <c:pt idx="5">
                  <c:v>262.90476190476193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277.52380952380952</c:v>
                </c:pt>
                <c:pt idx="11">
                  <c:v>262.13636363636363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275.23076923076923</c:v>
                </c:pt>
                <c:pt idx="16">
                  <c:v>259.3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244.53333333333333</c:v>
                </c:pt>
                <c:pt idx="22">
                  <c:v>316.81818181818181</c:v>
                </c:pt>
                <c:pt idx="23">
                  <c:v>276.04545454545456</c:v>
                </c:pt>
                <c:pt idx="24">
                  <c:v>292.11111111111109</c:v>
                </c:pt>
                <c:pt idx="25">
                  <c:v>264.14999999999998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0505600"/>
        <c:axId val="90507136"/>
      </c:lineChart>
      <c:catAx>
        <c:axId val="9050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07136"/>
        <c:crosses val="autoZero"/>
        <c:auto val="1"/>
        <c:lblAlgn val="ctr"/>
        <c:lblOffset val="100"/>
      </c:catAx>
      <c:valAx>
        <c:axId val="90507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0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53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28.5</c:v>
                </c:pt>
                <c:pt idx="2">
                  <c:v>28.5</c:v>
                </c:pt>
                <c:pt idx="3">
                  <c:v>30</c:v>
                </c:pt>
                <c:pt idx="4">
                  <c:v>29.5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</c:v>
                </c:pt>
                <c:pt idx="11">
                  <c:v>30.5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29.5</c:v>
                </c:pt>
                <c:pt idx="22">
                  <c:v>29.5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0671360"/>
        <c:axId val="90673152"/>
      </c:lineChart>
      <c:catAx>
        <c:axId val="9067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73152"/>
        <c:crosses val="autoZero"/>
        <c:auto val="1"/>
        <c:lblAlgn val="ctr"/>
        <c:lblOffset val="100"/>
      </c:catAx>
      <c:valAx>
        <c:axId val="9067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7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748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1301376"/>
        <c:axId val="91302912"/>
      </c:lineChart>
      <c:catAx>
        <c:axId val="913013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2912"/>
        <c:crosses val="autoZero"/>
        <c:auto val="1"/>
        <c:lblAlgn val="ctr"/>
        <c:lblOffset val="100"/>
      </c:catAx>
      <c:valAx>
        <c:axId val="913029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41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UG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-1073644.2000000023</v>
          </cell>
        </row>
      </sheetData>
      <sheetData sheetId="3"/>
      <sheetData sheetId="4"/>
      <sheetData sheetId="5"/>
      <sheetData sheetId="6"/>
      <sheetData sheetId="7"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/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  <cell r="AL33">
            <v>441517</v>
          </cell>
        </row>
        <row r="34">
          <cell r="C34">
            <v>44408</v>
          </cell>
          <cell r="D34">
            <v>32911138</v>
          </cell>
          <cell r="E34">
            <v>5334</v>
          </cell>
          <cell r="F34">
            <v>4068851</v>
          </cell>
          <cell r="G34">
            <v>685</v>
          </cell>
          <cell r="H34">
            <v>17937470</v>
          </cell>
          <cell r="I34">
            <v>948</v>
          </cell>
          <cell r="J34">
            <v>29381874</v>
          </cell>
          <cell r="K34">
            <v>6680</v>
          </cell>
          <cell r="L34">
            <v>24362706</v>
          </cell>
          <cell r="M34">
            <v>2484</v>
          </cell>
          <cell r="N34">
            <v>16131</v>
          </cell>
          <cell r="O34">
            <v>0</v>
          </cell>
          <cell r="P34">
            <v>17934.971000000001</v>
          </cell>
          <cell r="Q34">
            <v>15817.000000002736</v>
          </cell>
          <cell r="R34">
            <v>313.99999999726424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33065</v>
          </cell>
          <cell r="X34">
            <v>15</v>
          </cell>
          <cell r="Y34">
            <v>894134</v>
          </cell>
          <cell r="Z34">
            <v>4061</v>
          </cell>
          <cell r="AA34">
            <v>36390</v>
          </cell>
          <cell r="AB34">
            <v>7</v>
          </cell>
          <cell r="AC34">
            <v>1065488</v>
          </cell>
          <cell r="AD34">
            <v>1875</v>
          </cell>
          <cell r="AE34">
            <v>22</v>
          </cell>
          <cell r="AF34">
            <v>5936</v>
          </cell>
          <cell r="AG34">
            <v>269.81818181818181</v>
          </cell>
        </row>
      </sheetData>
      <sheetData sheetId="3">
        <row r="5">
          <cell r="AI5">
            <v>0</v>
          </cell>
        </row>
        <row r="35">
          <cell r="B35">
            <v>141</v>
          </cell>
          <cell r="C35">
            <v>148</v>
          </cell>
          <cell r="D35">
            <v>17</v>
          </cell>
          <cell r="E35">
            <v>142.46</v>
          </cell>
          <cell r="F35">
            <v>1865</v>
          </cell>
          <cell r="G35">
            <v>2</v>
          </cell>
          <cell r="H35">
            <v>15240</v>
          </cell>
          <cell r="I35">
            <v>102</v>
          </cell>
          <cell r="J35">
            <v>51</v>
          </cell>
          <cell r="K35">
            <v>2353</v>
          </cell>
          <cell r="L35">
            <v>0</v>
          </cell>
          <cell r="M35">
            <v>173718</v>
          </cell>
          <cell r="N35">
            <v>53</v>
          </cell>
          <cell r="O35">
            <v>1869</v>
          </cell>
          <cell r="P35">
            <v>2118</v>
          </cell>
          <cell r="Q35">
            <v>177922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155</v>
          </cell>
          <cell r="W35">
            <v>0</v>
          </cell>
          <cell r="X35">
            <v>2470</v>
          </cell>
          <cell r="Y35">
            <v>0</v>
          </cell>
          <cell r="Z35">
            <v>139135.70000000001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155</v>
          </cell>
          <cell r="AJ35">
            <v>0</v>
          </cell>
          <cell r="AK35">
            <v>-155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623470</v>
          </cell>
          <cell r="H36">
            <v>0</v>
          </cell>
          <cell r="I36">
            <v>0</v>
          </cell>
          <cell r="J36">
            <v>0</v>
          </cell>
          <cell r="K36">
            <v>6815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153363</v>
          </cell>
          <cell r="Y36">
            <v>0</v>
          </cell>
          <cell r="Z36">
            <v>99257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237.6</v>
          </cell>
          <cell r="AF36">
            <v>0</v>
          </cell>
          <cell r="AG36">
            <v>2215.54</v>
          </cell>
          <cell r="AH36">
            <v>0</v>
          </cell>
          <cell r="AI36">
            <v>0</v>
          </cell>
          <cell r="AJ36">
            <v>0</v>
          </cell>
          <cell r="AK36">
            <v>-1</v>
          </cell>
          <cell r="AL36">
            <v>0</v>
          </cell>
          <cell r="AM36">
            <v>29.5</v>
          </cell>
          <cell r="AN36">
            <v>0</v>
          </cell>
          <cell r="AO36">
            <v>0</v>
          </cell>
          <cell r="AP36">
            <v>0</v>
          </cell>
          <cell r="AR36">
            <v>44408</v>
          </cell>
          <cell r="AS36">
            <v>0.9</v>
          </cell>
          <cell r="AT36">
            <v>86</v>
          </cell>
          <cell r="AU36">
            <v>1.1000000000000001</v>
          </cell>
          <cell r="AV36">
            <v>198</v>
          </cell>
          <cell r="AW36">
            <v>3.9</v>
          </cell>
          <cell r="AX36">
            <v>143</v>
          </cell>
          <cell r="AY36">
            <v>77.400000000000006</v>
          </cell>
          <cell r="AZ36">
            <v>217.8</v>
          </cell>
          <cell r="BA36">
            <v>557.69999999999993</v>
          </cell>
          <cell r="BB36">
            <v>-2.7000000000000028</v>
          </cell>
          <cell r="BC36">
            <v>4.4000000000000057</v>
          </cell>
          <cell r="BD36">
            <v>131.39999999999992</v>
          </cell>
          <cell r="BE36">
            <v>133.09999999999991</v>
          </cell>
          <cell r="BF36">
            <v>-133.09999999999991</v>
          </cell>
          <cell r="BG36">
            <v>0</v>
          </cell>
        </row>
      </sheetData>
      <sheetData sheetId="5">
        <row r="33">
          <cell r="B33">
            <v>10658</v>
          </cell>
          <cell r="C33">
            <v>12</v>
          </cell>
          <cell r="D33">
            <v>490688</v>
          </cell>
          <cell r="E33">
            <v>1571</v>
          </cell>
          <cell r="F33">
            <v>130.91666666666666</v>
          </cell>
          <cell r="G33">
            <v>0</v>
          </cell>
          <cell r="H33">
            <v>10705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12776</v>
          </cell>
          <cell r="S33">
            <v>9</v>
          </cell>
          <cell r="T33">
            <v>128235</v>
          </cell>
          <cell r="U33">
            <v>2250</v>
          </cell>
          <cell r="V33">
            <v>250</v>
          </cell>
          <cell r="W33">
            <v>0</v>
          </cell>
          <cell r="X33">
            <v>12918</v>
          </cell>
          <cell r="Y33" t="str">
            <v>ok</v>
          </cell>
          <cell r="Z33">
            <v>21</v>
          </cell>
          <cell r="AA33">
            <v>3821</v>
          </cell>
          <cell r="AB33">
            <v>380.91666666666663</v>
          </cell>
          <cell r="AC33">
            <v>181.95238095238096</v>
          </cell>
          <cell r="AD33">
            <v>15817.000000002736</v>
          </cell>
          <cell r="AE33">
            <v>753.19047619060643</v>
          </cell>
          <cell r="AF33">
            <v>0.47074404761912902</v>
          </cell>
          <cell r="AG33">
            <v>150.63809523812128</v>
          </cell>
          <cell r="AH33">
            <v>31.314285714259682</v>
          </cell>
          <cell r="AI33">
            <v>4071.0421940935316</v>
          </cell>
          <cell r="AJ33">
            <v>0.25738396624472576</v>
          </cell>
          <cell r="AK33">
            <v>193.85915209969198</v>
          </cell>
        </row>
      </sheetData>
      <sheetData sheetId="6">
        <row r="36">
          <cell r="B36">
            <v>141</v>
          </cell>
          <cell r="C36">
            <v>3033.7741935483868</v>
          </cell>
          <cell r="D36">
            <v>141</v>
          </cell>
          <cell r="E36">
            <v>3033.7741935483868</v>
          </cell>
          <cell r="F36">
            <v>141</v>
          </cell>
          <cell r="G36">
            <v>3033.7741935483868</v>
          </cell>
          <cell r="H36">
            <v>141</v>
          </cell>
          <cell r="I36">
            <v>3033.7741935483868</v>
          </cell>
          <cell r="J36">
            <v>141</v>
          </cell>
          <cell r="K36">
            <v>3033.7741935483868</v>
          </cell>
          <cell r="L36">
            <v>141</v>
          </cell>
          <cell r="M36">
            <v>3033.7741935483868</v>
          </cell>
          <cell r="N36">
            <v>141</v>
          </cell>
          <cell r="O36">
            <v>3033.7741935483868</v>
          </cell>
          <cell r="P36">
            <v>141</v>
          </cell>
          <cell r="Q36">
            <v>3033.7741935483868</v>
          </cell>
          <cell r="R36">
            <v>141</v>
          </cell>
          <cell r="S36">
            <v>3033.7741935483868</v>
          </cell>
          <cell r="T36">
            <v>141</v>
          </cell>
          <cell r="U36">
            <v>3033.7741935483868</v>
          </cell>
          <cell r="V36">
            <v>141</v>
          </cell>
          <cell r="W36">
            <v>3033.7741935483868</v>
          </cell>
          <cell r="X36">
            <v>0.45483870967741935</v>
          </cell>
          <cell r="Y36">
            <v>33371.516129032258</v>
          </cell>
          <cell r="Z36">
            <v>148</v>
          </cell>
          <cell r="AA36">
            <v>1480</v>
          </cell>
          <cell r="AB36">
            <v>148</v>
          </cell>
          <cell r="AC36">
            <v>1480</v>
          </cell>
          <cell r="AD36">
            <v>148</v>
          </cell>
          <cell r="AE36">
            <v>1480</v>
          </cell>
          <cell r="AF36">
            <v>148</v>
          </cell>
          <cell r="AG36">
            <v>1480</v>
          </cell>
          <cell r="AH36">
            <v>148</v>
          </cell>
          <cell r="AI36">
            <v>1480</v>
          </cell>
          <cell r="AJ36">
            <v>148</v>
          </cell>
          <cell r="AK36">
            <v>1480</v>
          </cell>
          <cell r="AL36">
            <v>148</v>
          </cell>
          <cell r="AM36">
            <v>1480</v>
          </cell>
          <cell r="AN36">
            <v>0.52857142857142858</v>
          </cell>
          <cell r="AO36">
            <v>10360</v>
          </cell>
          <cell r="AQ36">
            <v>0.47038309270767192</v>
          </cell>
          <cell r="AR36">
            <v>43731.516129032258</v>
          </cell>
          <cell r="AS36">
            <v>-5213.5161290322503</v>
          </cell>
          <cell r="AT36">
            <v>0</v>
          </cell>
          <cell r="AU36">
            <v>0</v>
          </cell>
          <cell r="AV36">
            <v>0.78064999999999996</v>
          </cell>
          <cell r="AZ36">
            <v>0</v>
          </cell>
          <cell r="BB36">
            <v>0.72</v>
          </cell>
        </row>
      </sheetData>
      <sheetData sheetId="7">
        <row r="26">
          <cell r="V26">
            <v>392065</v>
          </cell>
          <cell r="W26">
            <v>395453</v>
          </cell>
          <cell r="Y26">
            <v>80</v>
          </cell>
          <cell r="Z26">
            <v>1</v>
          </cell>
          <cell r="AA26">
            <v>3388</v>
          </cell>
          <cell r="AB26">
            <v>271040</v>
          </cell>
          <cell r="AC26">
            <v>1033333</v>
          </cell>
          <cell r="AD26">
            <v>0.40463458110516931</v>
          </cell>
        </row>
        <row r="27">
          <cell r="V27">
            <v>524114</v>
          </cell>
          <cell r="W27">
            <v>528116</v>
          </cell>
          <cell r="Y27">
            <v>112</v>
          </cell>
          <cell r="Z27">
            <v>1</v>
          </cell>
          <cell r="AA27">
            <v>4002</v>
          </cell>
          <cell r="AB27">
            <v>448224</v>
          </cell>
          <cell r="AC27">
            <v>6200000</v>
          </cell>
          <cell r="AD27">
            <v>0.51586452762923352</v>
          </cell>
        </row>
        <row r="28">
          <cell r="V28">
            <v>157717</v>
          </cell>
          <cell r="W28">
            <v>158386</v>
          </cell>
          <cell r="Y28">
            <v>320</v>
          </cell>
          <cell r="Z28">
            <v>1</v>
          </cell>
          <cell r="AA28">
            <v>669</v>
          </cell>
          <cell r="AB28">
            <v>214080</v>
          </cell>
          <cell r="AC28">
            <v>1000</v>
          </cell>
          <cell r="AD28">
            <v>7.9500891265597146E-2</v>
          </cell>
        </row>
        <row r="29">
          <cell r="Y29">
            <v>0</v>
          </cell>
          <cell r="Z29">
            <v>0</v>
          </cell>
          <cell r="AA29">
            <v>8059</v>
          </cell>
          <cell r="AB29">
            <v>0</v>
          </cell>
          <cell r="AC29">
            <v>7234333</v>
          </cell>
        </row>
        <row r="30">
          <cell r="AB30">
            <v>933344</v>
          </cell>
        </row>
        <row r="33">
          <cell r="W33">
            <v>479</v>
          </cell>
          <cell r="X33">
            <v>26.611111111111111</v>
          </cell>
          <cell r="Y33">
            <v>26.611111111111111</v>
          </cell>
          <cell r="AB33">
            <v>8167677</v>
          </cell>
          <cell r="AC33">
            <v>7234333</v>
          </cell>
        </row>
        <row r="34">
          <cell r="B34">
            <v>1082313</v>
          </cell>
          <cell r="C34">
            <v>357</v>
          </cell>
          <cell r="D34">
            <v>356</v>
          </cell>
          <cell r="E34">
            <v>1082312</v>
          </cell>
          <cell r="F34">
            <v>158386</v>
          </cell>
          <cell r="G34">
            <v>0</v>
          </cell>
          <cell r="H34">
            <v>528455</v>
          </cell>
          <cell r="I34">
            <v>339</v>
          </cell>
          <cell r="J34">
            <v>395470</v>
          </cell>
          <cell r="K34">
            <v>17</v>
          </cell>
          <cell r="L34">
            <v>0</v>
          </cell>
          <cell r="M34">
            <v>25.186069651741292</v>
          </cell>
          <cell r="N34">
            <v>0.9021558872305141</v>
          </cell>
          <cell r="O34">
            <v>154.80303857058792</v>
          </cell>
          <cell r="P34">
            <v>180.89126410955973</v>
          </cell>
          <cell r="Q34">
            <v>9525.2824564019702</v>
          </cell>
          <cell r="R34">
            <v>9706.1737205115296</v>
          </cell>
          <cell r="S34">
            <v>16131</v>
          </cell>
          <cell r="T34">
            <v>0.60170936212953507</v>
          </cell>
        </row>
        <row r="36">
          <cell r="AB36">
            <v>5418.0278606965176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  <cell r="B36">
            <v>1.5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6815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C14">
            <v>307.69999999999982</v>
          </cell>
        </row>
        <row r="15">
          <cell r="C15">
            <v>0</v>
          </cell>
        </row>
        <row r="16">
          <cell r="C16">
            <v>27.258064516129032</v>
          </cell>
        </row>
        <row r="17">
          <cell r="C17">
            <v>3.4203333333333336E-2</v>
          </cell>
        </row>
        <row r="18">
          <cell r="C18">
            <v>167</v>
          </cell>
        </row>
        <row r="19">
          <cell r="C19">
            <v>5.387096774193548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8</v>
      </c>
      <c r="D2">
        <v>2021</v>
      </c>
      <c r="E2" s="203">
        <f>ELEC!N4</f>
        <v>20832</v>
      </c>
      <c r="F2" s="326">
        <f>SUM('EDl log'!T4)</f>
        <v>0.70176318925046821</v>
      </c>
      <c r="G2" s="203">
        <f>-tanks!AW6</f>
        <v>43</v>
      </c>
      <c r="H2" s="326">
        <f>SUM(tanks!AV6)</f>
        <v>0.78064999999999996</v>
      </c>
      <c r="I2" s="10">
        <f>('B5'!AU5)*0.51</f>
        <v>0</v>
      </c>
      <c r="J2" s="306">
        <f>'B5'!AX5/0.51</f>
        <v>1.5686274509803921</v>
      </c>
      <c r="K2" s="203">
        <f>WATER!I6</f>
        <v>217</v>
      </c>
      <c r="L2" s="327">
        <f>SUM(WATER!J6)</f>
        <v>1.1149100639215104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8</v>
      </c>
      <c r="D3">
        <v>2021</v>
      </c>
      <c r="E3" s="203">
        <f>ELEC!N5</f>
        <v>15885</v>
      </c>
      <c r="F3" s="326">
        <f>SUM('EDl log'!T5)</f>
        <v>0.47325251285448061</v>
      </c>
      <c r="G3" s="203">
        <f>-tanks!AW7</f>
        <v>0</v>
      </c>
      <c r="H3" s="326">
        <f>SUM(tanks!AV7)</f>
        <v>1.17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8</v>
      </c>
      <c r="D4">
        <v>2021</v>
      </c>
      <c r="E4" s="203">
        <f>ELEC!N6</f>
        <v>13819</v>
      </c>
      <c r="F4" s="326">
        <f>SUM('EDl log'!T6)</f>
        <v>1.0561497195205483</v>
      </c>
      <c r="G4" s="203">
        <f>-tanks!AW8</f>
        <v>0</v>
      </c>
      <c r="H4" s="326">
        <f>SUM(tanks!AV8)</f>
        <v>1.17</v>
      </c>
      <c r="I4" s="10">
        <f>('B5'!AU7)*0.51</f>
        <v>0</v>
      </c>
      <c r="J4" s="306">
        <f>'B5'!AX7/0.51</f>
        <v>1.5686274509803921</v>
      </c>
      <c r="K4" s="203">
        <f>WATER!I8</f>
        <v>92</v>
      </c>
      <c r="L4" s="327">
        <f>SUM(WATER!J8)</f>
        <v>2.6297335203366061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8</v>
      </c>
      <c r="D5">
        <v>2021</v>
      </c>
      <c r="E5" s="203">
        <f>ELEC!N7</f>
        <v>16668</v>
      </c>
      <c r="F5" s="326">
        <f>SUM('EDl log'!T7)</f>
        <v>0.93619741958438163</v>
      </c>
      <c r="G5" s="203">
        <f>-tanks!AW9</f>
        <v>56</v>
      </c>
      <c r="H5" s="326">
        <f>SUM(tanks!AV9)</f>
        <v>1.17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8</v>
      </c>
      <c r="D6">
        <v>2021</v>
      </c>
      <c r="E6" s="203">
        <f>ELEC!N8</f>
        <v>14087</v>
      </c>
      <c r="F6" s="326">
        <f>SUM('EDl log'!T8)</f>
        <v>0.87432725619291818</v>
      </c>
      <c r="G6" s="203">
        <f>-tanks!AW10</f>
        <v>209</v>
      </c>
      <c r="H6" s="326">
        <f>SUM(tanks!AV10)</f>
        <v>1.17</v>
      </c>
      <c r="I6" s="10">
        <f>('B5'!AU9)*0.51</f>
        <v>0</v>
      </c>
      <c r="J6" s="306">
        <f>'B5'!AX9/0.51</f>
        <v>1.5686274509803921</v>
      </c>
      <c r="K6" s="203">
        <f>WATER!I10</f>
        <v>75</v>
      </c>
      <c r="L6" s="327">
        <f>SUM(WATER!J10)</f>
        <v>3.2258064516129035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8</v>
      </c>
      <c r="D7">
        <v>2021</v>
      </c>
      <c r="E7" s="203">
        <f>ELEC!N9</f>
        <v>16486</v>
      </c>
      <c r="F7" s="326">
        <f>SUM('EDl log'!T9)</f>
        <v>0.40171391903317827</v>
      </c>
      <c r="G7" s="203">
        <f>-tanks!AW11</f>
        <v>0</v>
      </c>
      <c r="H7" s="326">
        <f>SUM(tanks!AV11)</f>
        <v>2.89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8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2.89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8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2.89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8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2.89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8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2.89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8</v>
      </c>
      <c r="D12">
        <v>2021</v>
      </c>
      <c r="E12" s="203">
        <f>ELEC!N14</f>
        <v>17570</v>
      </c>
      <c r="F12" s="326">
        <f>SUM('EDl log'!T14)</f>
        <v>-0.71826165995622837</v>
      </c>
      <c r="G12" s="203">
        <f>-tanks!AW16</f>
        <v>241</v>
      </c>
      <c r="H12" s="326">
        <f>SUM(tanks!AV16)</f>
        <v>2.89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8</v>
      </c>
      <c r="D13">
        <v>2021</v>
      </c>
      <c r="E13" s="203">
        <f>ELEC!N15</f>
        <v>17457</v>
      </c>
      <c r="F13" s="326">
        <f>SUM('EDl log'!T15)</f>
        <v>0.97125475313238108</v>
      </c>
      <c r="G13" s="203">
        <f>-tanks!AW17</f>
        <v>95</v>
      </c>
      <c r="H13" s="326">
        <f>SUM(tanks!AV17)</f>
        <v>2.89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8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0.8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8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0.8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8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0.8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8</v>
      </c>
      <c r="D17">
        <v>2021</v>
      </c>
      <c r="E17" s="203">
        <f>ELEC!N19</f>
        <v>10967</v>
      </c>
      <c r="F17" s="326">
        <f>SUM('EDl log'!T19)</f>
        <v>-5.8842857143623735E-3</v>
      </c>
      <c r="G17" s="203">
        <f>-tanks!AW21</f>
        <v>74</v>
      </c>
      <c r="H17" s="326">
        <f>SUM(tanks!AV21)</f>
        <v>0.8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8</v>
      </c>
      <c r="D18">
        <v>2021</v>
      </c>
      <c r="E18" s="203">
        <f>ELEC!N20</f>
        <v>10065</v>
      </c>
      <c r="F18" s="326">
        <f>SUM('EDl log'!T20)</f>
        <v>0.81786408378705844</v>
      </c>
      <c r="G18" s="203">
        <f>-tanks!AW22</f>
        <v>49</v>
      </c>
      <c r="H18" s="326">
        <f>SUM(tanks!AV22)</f>
        <v>0.8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8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0.8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8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0.8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8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0.8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8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0.8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8</v>
      </c>
      <c r="D23">
        <v>2021</v>
      </c>
      <c r="E23" s="203">
        <f>ELEC!N25</f>
        <v>12009</v>
      </c>
      <c r="F23" s="326">
        <f>SUM('EDl log'!T25)</f>
        <v>0.9760088706237342</v>
      </c>
      <c r="G23" s="203">
        <f>-tanks!AW27</f>
        <v>87.399999999994179</v>
      </c>
      <c r="H23" s="326">
        <f>SUM(tanks!AV27)</f>
        <v>0.8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8</v>
      </c>
      <c r="D24">
        <v>2021</v>
      </c>
      <c r="E24" s="203">
        <f>ELEC!N26</f>
        <v>10124</v>
      </c>
      <c r="F24" s="326">
        <f>SUM('EDl log'!T26)</f>
        <v>0.89704679457210446</v>
      </c>
      <c r="G24" s="203">
        <f>-tanks!AW28</f>
        <v>55</v>
      </c>
      <c r="H24" s="326">
        <f>SUM(tanks!AV28)</f>
        <v>0.8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8</v>
      </c>
      <c r="D25">
        <v>2021</v>
      </c>
      <c r="E25" s="203">
        <f>ELEC!N27</f>
        <v>17496</v>
      </c>
      <c r="F25" s="326">
        <f>SUM('EDl log'!T27)</f>
        <v>0.73184394656998752</v>
      </c>
      <c r="G25" s="203">
        <f>-tanks!AW29</f>
        <v>74</v>
      </c>
      <c r="H25" s="326">
        <f>SUM(tanks!AV29)</f>
        <v>3.65</v>
      </c>
      <c r="I25" s="10">
        <f>('B5'!AU28)*0.51</f>
        <v>0</v>
      </c>
      <c r="J25" s="306">
        <f>'B5'!AX28/0.51</f>
        <v>1.5686274509803921</v>
      </c>
      <c r="K25" s="203">
        <f>WATER!I29</f>
        <v>60</v>
      </c>
      <c r="L25" s="327">
        <f>SUM(WATER!J29)</f>
        <v>4.032258064516129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8</v>
      </c>
      <c r="D26">
        <v>2021</v>
      </c>
      <c r="E26" s="203">
        <f>ELEC!N28</f>
        <v>15450</v>
      </c>
      <c r="F26" s="326">
        <f>SUM('EDl log'!T28)</f>
        <v>0.82085507298735971</v>
      </c>
      <c r="G26" s="203">
        <f>-tanks!AW30</f>
        <v>147</v>
      </c>
      <c r="H26" s="326">
        <f>SUM(tanks!AV30)</f>
        <v>3.98</v>
      </c>
      <c r="I26" s="10">
        <f>('B5'!AU29)*0.51</f>
        <v>0</v>
      </c>
      <c r="J26" s="306">
        <f>'B5'!AX29/0.51</f>
        <v>1.5686274509803921</v>
      </c>
      <c r="K26" s="203">
        <f>WATER!I30</f>
        <v>79</v>
      </c>
      <c r="L26" s="327">
        <f>SUM(WATER!J30)</f>
        <v>3.0624744793793384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8</v>
      </c>
      <c r="D27">
        <v>2021</v>
      </c>
      <c r="E27" s="203">
        <f>ELEC!N29</f>
        <v>16603</v>
      </c>
      <c r="F27" s="326">
        <f>SUM('EDl log'!T29)</f>
        <v>0.92909815610541746</v>
      </c>
      <c r="G27" s="203">
        <f>-tanks!AW31</f>
        <v>0</v>
      </c>
      <c r="H27" s="326">
        <f>SUM(tanks!AV31)</f>
        <v>3.98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8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3.85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8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3.67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8</v>
      </c>
      <c r="D30">
        <v>2021</v>
      </c>
      <c r="E30" s="203">
        <f>ELEC!N32</f>
        <v>16833</v>
      </c>
      <c r="F30" s="326">
        <f>SUM('EDl log'!T32)</f>
        <v>-1.3166100007688005E-2</v>
      </c>
      <c r="G30" s="203">
        <f>-tanks!AW34</f>
        <v>127</v>
      </c>
      <c r="H30" s="326">
        <f>SUM(tanks!AV34)</f>
        <v>3.67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8</v>
      </c>
      <c r="D31">
        <v>2021</v>
      </c>
      <c r="E31" s="203">
        <f>ELEC!N33</f>
        <v>7730</v>
      </c>
      <c r="F31" s="326">
        <f>SUM('EDl log'!T33)</f>
        <v>0.74636273503188355</v>
      </c>
      <c r="G31" s="203">
        <f>-tanks!AW35</f>
        <v>29</v>
      </c>
      <c r="H31" s="326">
        <f>SUM(tanks!AV35)</f>
        <v>3.85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8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3.85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8</v>
      </c>
      <c r="D2">
        <v>2021</v>
      </c>
      <c r="E2" s="203">
        <f>ELEC!M4</f>
        <v>2356</v>
      </c>
      <c r="F2" s="203">
        <f>ELEC!K4</f>
        <v>2370</v>
      </c>
      <c r="G2" s="203">
        <f>ELEC!I4</f>
        <v>924</v>
      </c>
      <c r="H2" s="203">
        <f>ELEC!E4</f>
        <v>14516</v>
      </c>
      <c r="I2" s="203">
        <f>ELEC!G4</f>
        <v>666</v>
      </c>
      <c r="J2" s="203">
        <f>WATER!Y6</f>
        <v>52</v>
      </c>
      <c r="K2" s="203">
        <f>WATER!AJ6</f>
        <v>1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8</v>
      </c>
      <c r="D3">
        <v>2021</v>
      </c>
      <c r="E3" s="203">
        <f>ELEC!M5</f>
        <v>2572</v>
      </c>
      <c r="F3" s="203">
        <f>ELEC!K5</f>
        <v>2762</v>
      </c>
      <c r="G3" s="203">
        <f>ELEC!I5</f>
        <v>530</v>
      </c>
      <c r="H3" s="203">
        <f>ELEC!E5</f>
        <v>9259</v>
      </c>
      <c r="I3" s="203">
        <f>ELEC!G5</f>
        <v>762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8</v>
      </c>
      <c r="D4">
        <v>2021</v>
      </c>
      <c r="E4" s="203">
        <f>ELEC!M6</f>
        <v>2208</v>
      </c>
      <c r="F4" s="203">
        <f>ELEC!K6</f>
        <v>3776</v>
      </c>
      <c r="G4" s="203">
        <f>ELEC!I6</f>
        <v>1158</v>
      </c>
      <c r="H4" s="203">
        <f>ELEC!E6</f>
        <v>6037</v>
      </c>
      <c r="I4" s="203">
        <f>ELEC!G6</f>
        <v>640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8</v>
      </c>
      <c r="D5">
        <v>2021</v>
      </c>
      <c r="E5" s="203">
        <f>ELEC!M7</f>
        <v>2414</v>
      </c>
      <c r="F5" s="203">
        <f>ELEC!K7</f>
        <v>5120</v>
      </c>
      <c r="G5" s="203">
        <f>ELEC!I7</f>
        <v>972</v>
      </c>
      <c r="H5" s="203">
        <f>ELEC!E7</f>
        <v>7481</v>
      </c>
      <c r="I5" s="203">
        <f>ELEC!G7</f>
        <v>681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8</v>
      </c>
      <c r="D6">
        <v>2021</v>
      </c>
      <c r="E6" s="203">
        <f>ELEC!M8</f>
        <v>2134</v>
      </c>
      <c r="F6" s="203">
        <f>ELEC!K8</f>
        <v>3292</v>
      </c>
      <c r="G6" s="203">
        <f>ELEC!I8</f>
        <v>878</v>
      </c>
      <c r="H6" s="203">
        <f>ELEC!E8</f>
        <v>7099</v>
      </c>
      <c r="I6" s="203">
        <f>ELEC!G8</f>
        <v>684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8</v>
      </c>
      <c r="D7">
        <v>2021</v>
      </c>
      <c r="E7" s="203">
        <f>ELEC!M9</f>
        <v>2378</v>
      </c>
      <c r="F7" s="203">
        <f>ELEC!K9</f>
        <v>3030</v>
      </c>
      <c r="G7" s="203">
        <f>ELEC!I9</f>
        <v>1018</v>
      </c>
      <c r="H7" s="203">
        <f>ELEC!E9</f>
        <v>9385</v>
      </c>
      <c r="I7" s="203">
        <f>ELEC!G9</f>
        <v>675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8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8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8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8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8</v>
      </c>
      <c r="D12">
        <v>2021</v>
      </c>
      <c r="E12" s="203">
        <f>ELEC!M14</f>
        <v>2550</v>
      </c>
      <c r="F12" s="203">
        <f>ELEC!K14</f>
        <v>6250</v>
      </c>
      <c r="G12" s="203">
        <f>ELEC!I14</f>
        <v>1036</v>
      </c>
      <c r="H12" s="203">
        <f>ELEC!E14</f>
        <v>6921</v>
      </c>
      <c r="I12" s="203">
        <f>ELEC!G14</f>
        <v>813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8</v>
      </c>
      <c r="D13">
        <v>2021</v>
      </c>
      <c r="E13" s="203">
        <f>ELEC!M15</f>
        <v>2456</v>
      </c>
      <c r="F13" s="203">
        <f>ELEC!K15</f>
        <v>9352</v>
      </c>
      <c r="G13" s="203">
        <f>ELEC!I15</f>
        <v>892</v>
      </c>
      <c r="H13" s="203">
        <f>ELEC!E15</f>
        <v>4001</v>
      </c>
      <c r="I13" s="203">
        <f>ELEC!G15</f>
        <v>756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8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8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8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8</v>
      </c>
      <c r="D17">
        <v>2021</v>
      </c>
      <c r="E17" s="203">
        <f>ELEC!M19</f>
        <v>1748</v>
      </c>
      <c r="F17" s="203">
        <f>ELEC!K19</f>
        <v>6382</v>
      </c>
      <c r="G17" s="203">
        <f>ELEC!I19</f>
        <v>784</v>
      </c>
      <c r="H17" s="203">
        <f>ELEC!E19</f>
        <v>1460</v>
      </c>
      <c r="I17" s="203">
        <f>ELEC!G19</f>
        <v>593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8</v>
      </c>
      <c r="D18">
        <v>2021</v>
      </c>
      <c r="E18" s="203">
        <f>ELEC!M20</f>
        <v>1108</v>
      </c>
      <c r="F18" s="203">
        <f>ELEC!K20</f>
        <v>2626</v>
      </c>
      <c r="G18" s="203">
        <f>ELEC!I20</f>
        <v>420</v>
      </c>
      <c r="H18" s="203">
        <f>ELEC!E20</f>
        <v>5488</v>
      </c>
      <c r="I18" s="203">
        <f>ELEC!G20</f>
        <v>423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8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8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8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8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8</v>
      </c>
      <c r="D23">
        <v>2021</v>
      </c>
      <c r="E23" s="203">
        <f>ELEC!M25</f>
        <v>1568</v>
      </c>
      <c r="F23" s="203">
        <f>ELEC!K25</f>
        <v>5592</v>
      </c>
      <c r="G23" s="203">
        <f>ELEC!I25</f>
        <v>616</v>
      </c>
      <c r="H23" s="203">
        <f>ELEC!E25</f>
        <v>3613</v>
      </c>
      <c r="I23" s="203">
        <f>ELEC!G25</f>
        <v>620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8</v>
      </c>
      <c r="D24">
        <v>2021</v>
      </c>
      <c r="E24" s="203">
        <f>ELEC!M26</f>
        <v>1316</v>
      </c>
      <c r="F24" s="203">
        <f>ELEC!K26</f>
        <v>1838</v>
      </c>
      <c r="G24" s="203">
        <f>ELEC!I26</f>
        <v>574</v>
      </c>
      <c r="H24" s="203">
        <f>ELEC!E26</f>
        <v>5937</v>
      </c>
      <c r="I24" s="203">
        <f>ELEC!G26</f>
        <v>459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8</v>
      </c>
      <c r="D25">
        <v>2021</v>
      </c>
      <c r="E25" s="203">
        <f>ELEC!M27</f>
        <v>2376</v>
      </c>
      <c r="F25" s="203">
        <f>ELEC!K27</f>
        <v>7006</v>
      </c>
      <c r="G25" s="203">
        <f>ELEC!I27</f>
        <v>934</v>
      </c>
      <c r="H25" s="203">
        <f>ELEC!E27</f>
        <v>6428</v>
      </c>
      <c r="I25" s="203">
        <f>ELEC!G27</f>
        <v>752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8</v>
      </c>
      <c r="D26">
        <v>2021</v>
      </c>
      <c r="E26" s="203">
        <f>ELEC!M28</f>
        <v>2218</v>
      </c>
      <c r="F26" s="203">
        <f>ELEC!K28</f>
        <v>3124</v>
      </c>
      <c r="G26" s="203">
        <f>ELEC!I28</f>
        <v>800</v>
      </c>
      <c r="H26" s="203">
        <f>ELEC!E28</f>
        <v>8591</v>
      </c>
      <c r="I26" s="203">
        <f>ELEC!G28</f>
        <v>717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8</v>
      </c>
      <c r="D27">
        <v>2021</v>
      </c>
      <c r="E27" s="203">
        <f>ELEC!M29</f>
        <v>2098</v>
      </c>
      <c r="F27" s="203">
        <f>ELEC!K29</f>
        <v>2900</v>
      </c>
      <c r="G27" s="203">
        <f>ELEC!I29</f>
        <v>948</v>
      </c>
      <c r="H27" s="203">
        <f>ELEC!E29</f>
        <v>9953</v>
      </c>
      <c r="I27" s="203">
        <f>ELEC!G29</f>
        <v>704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8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8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8</v>
      </c>
      <c r="D30">
        <v>2021</v>
      </c>
      <c r="E30" s="203">
        <f>ELEC!M32</f>
        <v>2264</v>
      </c>
      <c r="F30" s="203">
        <f>ELEC!K32</f>
        <v>2928</v>
      </c>
      <c r="G30" s="203">
        <f>ELEC!I32</f>
        <v>928</v>
      </c>
      <c r="H30" s="203">
        <f>ELEC!E32</f>
        <v>9984</v>
      </c>
      <c r="I30" s="203">
        <f>ELEC!G32</f>
        <v>729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8</v>
      </c>
      <c r="D31">
        <v>2021</v>
      </c>
      <c r="E31" s="203">
        <f>ELEC!M33</f>
        <v>1036</v>
      </c>
      <c r="F31" s="203">
        <f>ELEC!K33</f>
        <v>1320</v>
      </c>
      <c r="G31" s="203">
        <f>ELEC!I33</f>
        <v>442</v>
      </c>
      <c r="H31" s="203">
        <f>ELEC!E33</f>
        <v>4602</v>
      </c>
      <c r="I31" s="203">
        <f>ELEC!G33</f>
        <v>330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8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18" activePane="bottomLeft" state="frozen"/>
      <selection activeCell="C1" sqref="C1"/>
      <selection pane="bottomLeft" activeCell="AM33" sqref="AM33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.140625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6" t="s">
        <v>418</v>
      </c>
      <c r="AL1" s="656"/>
      <c r="AM1" s="656"/>
      <c r="AN1" s="657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7" t="s">
        <v>417</v>
      </c>
      <c r="AL2" s="588" t="s">
        <v>416</v>
      </c>
      <c r="AM2" s="588" t="s">
        <v>391</v>
      </c>
      <c r="AN2" s="601" t="s">
        <v>419</v>
      </c>
    </row>
    <row r="3" spans="1:40">
      <c r="A3" s="452">
        <f>[1]ELEC!$A$33</f>
        <v>0</v>
      </c>
      <c r="B3" s="446">
        <f>[1]ELEC!$B$33</f>
        <v>0</v>
      </c>
      <c r="C3" s="453">
        <f>[2]ELEC!$C$34</f>
        <v>44408</v>
      </c>
      <c r="D3" s="440">
        <f>[2]ELEC!D34</f>
        <v>32911138</v>
      </c>
      <c r="E3" s="440">
        <f>[2]ELEC!E34</f>
        <v>5334</v>
      </c>
      <c r="F3" s="440">
        <f>[2]ELEC!F34</f>
        <v>4068851</v>
      </c>
      <c r="G3" s="440">
        <f>[2]ELEC!G34</f>
        <v>685</v>
      </c>
      <c r="H3" s="440">
        <f>[2]ELEC!H34</f>
        <v>17937470</v>
      </c>
      <c r="I3" s="440">
        <f>[2]ELEC!I34</f>
        <v>948</v>
      </c>
      <c r="J3" s="440">
        <f>[2]ELEC!J34</f>
        <v>29381874</v>
      </c>
      <c r="K3" s="440">
        <f>[2]ELEC!K34</f>
        <v>6680</v>
      </c>
      <c r="L3" s="440">
        <f>[2]ELEC!L34</f>
        <v>24362706</v>
      </c>
      <c r="M3" s="440">
        <f>[2]ELEC!M34</f>
        <v>2484</v>
      </c>
      <c r="N3" s="440">
        <f>[2]ELEC!N34</f>
        <v>16131</v>
      </c>
      <c r="O3" s="440">
        <f>[2]ELEC!O34</f>
        <v>0</v>
      </c>
      <c r="P3" s="440">
        <f>[2]ELEC!P34</f>
        <v>17934.971000000001</v>
      </c>
      <c r="Q3" s="440">
        <f>[2]ELEC!Q34</f>
        <v>15817.000000002736</v>
      </c>
      <c r="R3" s="440">
        <f>[2]ELEC!R34</f>
        <v>313.99999999726424</v>
      </c>
      <c r="S3" s="440">
        <f>[2]ELEC!S34</f>
        <v>10175</v>
      </c>
      <c r="T3" s="440">
        <f>[2]ELEC!T34</f>
        <v>0</v>
      </c>
      <c r="U3" s="440">
        <f>[2]ELEC!U34</f>
        <v>429166</v>
      </c>
      <c r="V3" s="440">
        <f>[2]ELEC!V34</f>
        <v>0</v>
      </c>
      <c r="W3" s="440">
        <f>[2]ELEC!W34</f>
        <v>33065</v>
      </c>
      <c r="X3" s="440">
        <f>[2]ELEC!X34</f>
        <v>15</v>
      </c>
      <c r="Y3" s="440">
        <f>[2]ELEC!Y34</f>
        <v>894134</v>
      </c>
      <c r="Z3" s="440">
        <f>[2]ELEC!Z34</f>
        <v>4061</v>
      </c>
      <c r="AA3" s="440">
        <f>[2]ELEC!AA34</f>
        <v>36390</v>
      </c>
      <c r="AB3" s="440">
        <f>[2]ELEC!AB34</f>
        <v>7</v>
      </c>
      <c r="AC3" s="440">
        <f>[2]ELEC!AC34</f>
        <v>1065488</v>
      </c>
      <c r="AD3" s="440">
        <f>[2]ELEC!AD34</f>
        <v>1875</v>
      </c>
      <c r="AE3" s="440">
        <f>[2]ELEC!AE34</f>
        <v>22</v>
      </c>
      <c r="AF3" s="440">
        <f>[2]ELEC!AF34</f>
        <v>5936</v>
      </c>
      <c r="AG3" s="440">
        <f>[2]ELEC!AG34</f>
        <v>269.81818181818181</v>
      </c>
      <c r="AI3" s="460">
        <f>[1]ELEC!$AI$33</f>
        <v>-1073644.2000000023</v>
      </c>
      <c r="AJ3" s="603" t="s">
        <v>420</v>
      </c>
      <c r="AK3" s="605">
        <f>[2]ELEC!AK33</f>
        <v>600418</v>
      </c>
      <c r="AL3" s="605">
        <f>[2]ELEC!AL33</f>
        <v>441517</v>
      </c>
      <c r="AM3" s="606">
        <f>AK3+AL3</f>
        <v>1041935</v>
      </c>
      <c r="AN3" s="606">
        <v>0</v>
      </c>
    </row>
    <row r="4" spans="1:40">
      <c r="A4" s="452">
        <f>'General information '!F6</f>
        <v>0</v>
      </c>
      <c r="B4" s="446">
        <f>SUM(230*A4)</f>
        <v>0</v>
      </c>
      <c r="C4" s="453">
        <v>44409</v>
      </c>
      <c r="D4" s="440">
        <f>D3</f>
        <v>32911138</v>
      </c>
      <c r="E4" s="441">
        <f>AN4</f>
        <v>14516</v>
      </c>
      <c r="F4" s="638">
        <v>4069517</v>
      </c>
      <c r="G4" s="442">
        <f>F4-F3</f>
        <v>666</v>
      </c>
      <c r="H4" s="440">
        <v>17938394</v>
      </c>
      <c r="I4" s="442">
        <f>H4-H3</f>
        <v>924</v>
      </c>
      <c r="J4" s="440">
        <v>29384244</v>
      </c>
      <c r="K4" s="442">
        <f>J4-J3</f>
        <v>2370</v>
      </c>
      <c r="L4" s="440">
        <v>24365062</v>
      </c>
      <c r="M4" s="442">
        <f>L4-L3</f>
        <v>2356</v>
      </c>
      <c r="N4" s="443">
        <f>M4+K4+I4+G4+E4</f>
        <v>20832</v>
      </c>
      <c r="O4" s="454">
        <f t="shared" ref="O4:O10" si="0">IF(B4&gt;0,N4/B4,0)</f>
        <v>0</v>
      </c>
      <c r="P4" s="627">
        <v>17949.939999999999</v>
      </c>
      <c r="Q4" s="462">
        <f t="shared" ref="Q4:Q13" si="1">(P4-P3)*1000</f>
        <v>14968.999999997322</v>
      </c>
      <c r="R4" s="607">
        <f>+N4-Q4</f>
        <v>5863.0000000026776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33065</v>
      </c>
      <c r="X4" s="455">
        <f t="shared" ref="X4:X9" si="3">W4-W3</f>
        <v>0</v>
      </c>
      <c r="Y4" s="440">
        <f>Y3</f>
        <v>894134</v>
      </c>
      <c r="Z4" s="455">
        <f>Y4-Y3</f>
        <v>0</v>
      </c>
      <c r="AA4" s="440">
        <v>36409</v>
      </c>
      <c r="AB4" s="455">
        <f>AA4-AA3</f>
        <v>19</v>
      </c>
      <c r="AC4" s="440">
        <v>1070696</v>
      </c>
      <c r="AD4" s="457">
        <f>AC4-AC3</f>
        <v>5208</v>
      </c>
      <c r="AE4" s="458">
        <f>AB4+X4+T4</f>
        <v>19</v>
      </c>
      <c r="AF4" s="467">
        <f t="shared" ref="AF4:AF31" si="4">V4+Z4+AD4</f>
        <v>5208</v>
      </c>
      <c r="AG4" s="459">
        <f t="shared" ref="AG4:AG10" si="5">IF(AE4&gt;0,AF4/AE4,0)</f>
        <v>274.10526315789474</v>
      </c>
      <c r="AI4" s="460">
        <f>R4-'EDl log'!B4</f>
        <v>-1076894.9999999972</v>
      </c>
      <c r="AJ4" s="589">
        <v>44409</v>
      </c>
      <c r="AK4" s="460">
        <v>614583</v>
      </c>
      <c r="AL4" s="606">
        <v>441868</v>
      </c>
      <c r="AM4" s="606">
        <f>AK4+AL4</f>
        <v>1056451</v>
      </c>
      <c r="AN4" s="606">
        <f>AM4-AM3</f>
        <v>14516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44410</v>
      </c>
      <c r="D5" s="440">
        <f t="shared" ref="D5:D34" si="7">D4</f>
        <v>32911138</v>
      </c>
      <c r="E5" s="441">
        <f>AN5</f>
        <v>9259</v>
      </c>
      <c r="F5" s="638">
        <v>4070279</v>
      </c>
      <c r="G5" s="308">
        <f>F5-F4</f>
        <v>762</v>
      </c>
      <c r="H5" s="440">
        <v>17938924</v>
      </c>
      <c r="I5" s="308">
        <f>H5-H4</f>
        <v>530</v>
      </c>
      <c r="J5" s="440">
        <v>29387006</v>
      </c>
      <c r="K5" s="308">
        <f>J5-J4</f>
        <v>2762</v>
      </c>
      <c r="L5" s="440">
        <v>24367634</v>
      </c>
      <c r="M5" s="308">
        <f>L5-L4</f>
        <v>2572</v>
      </c>
      <c r="N5" s="307">
        <f>M5+K5+I5+G5+E5</f>
        <v>15885</v>
      </c>
      <c r="O5" s="461">
        <f t="shared" si="0"/>
        <v>0</v>
      </c>
      <c r="P5" s="627">
        <v>17963.093000000001</v>
      </c>
      <c r="Q5" s="462">
        <f t="shared" si="1"/>
        <v>13153.000000002066</v>
      </c>
      <c r="R5" s="444">
        <f>N5-Q5</f>
        <v>2731.9999999979336</v>
      </c>
      <c r="S5" s="440">
        <f t="shared" ref="S5:S34" si="8">S4</f>
        <v>10175</v>
      </c>
      <c r="T5" s="463">
        <f t="shared" si="2"/>
        <v>0</v>
      </c>
      <c r="U5" s="440">
        <f t="shared" ref="U5:U34" si="9">U4</f>
        <v>429166</v>
      </c>
      <c r="V5" s="444">
        <f>U5-U4</f>
        <v>0</v>
      </c>
      <c r="W5" s="440">
        <f t="shared" ref="W5:W34" si="10">W4</f>
        <v>33065</v>
      </c>
      <c r="X5" s="444">
        <f t="shared" si="3"/>
        <v>0</v>
      </c>
      <c r="Y5" s="440">
        <f t="shared" ref="Y5:Y34" si="11">Y4</f>
        <v>894134</v>
      </c>
      <c r="Z5" s="444">
        <f>Y5-Y4</f>
        <v>0</v>
      </c>
      <c r="AA5" s="440">
        <v>36425</v>
      </c>
      <c r="AB5" s="464">
        <f>AA5-AA4</f>
        <v>16</v>
      </c>
      <c r="AC5" s="440">
        <v>1075418</v>
      </c>
      <c r="AD5" s="465">
        <f>AC5-AC4</f>
        <v>4722</v>
      </c>
      <c r="AE5" s="466">
        <f t="shared" ref="AE5:AE31" si="12">AB5+X5+T5</f>
        <v>16</v>
      </c>
      <c r="AF5" s="467">
        <f t="shared" si="4"/>
        <v>4722</v>
      </c>
      <c r="AG5" s="459">
        <f t="shared" si="5"/>
        <v>295.125</v>
      </c>
      <c r="AI5" s="460">
        <f>R5-'EDl log'!B5</f>
        <v>-1081858.0000000021</v>
      </c>
      <c r="AJ5" s="589">
        <v>44410</v>
      </c>
      <c r="AK5" s="460">
        <v>622333</v>
      </c>
      <c r="AL5" s="606">
        <v>443377</v>
      </c>
      <c r="AM5" s="606">
        <f t="shared" ref="AM5:AM33" si="13">AK5+AL5</f>
        <v>1065710</v>
      </c>
      <c r="AN5" s="606">
        <f>AM5-AM4</f>
        <v>9259</v>
      </c>
    </row>
    <row r="6" spans="1:40">
      <c r="A6" s="452">
        <f>'General information '!F8</f>
        <v>0</v>
      </c>
      <c r="B6" s="446">
        <f>SUM(230*A6)</f>
        <v>0</v>
      </c>
      <c r="C6" s="453">
        <v>44411</v>
      </c>
      <c r="D6" s="440">
        <f t="shared" si="7"/>
        <v>32911138</v>
      </c>
      <c r="E6" s="441">
        <f t="shared" ref="E6:E33" si="14">AN6</f>
        <v>6037</v>
      </c>
      <c r="F6" s="638">
        <v>4070919</v>
      </c>
      <c r="G6" s="308">
        <f t="shared" ref="G6:G33" si="15">F6-F5</f>
        <v>640</v>
      </c>
      <c r="H6" s="440">
        <v>17940082</v>
      </c>
      <c r="I6" s="308">
        <f t="shared" ref="I6:I33" si="16">H6-H5</f>
        <v>1158</v>
      </c>
      <c r="J6" s="440">
        <v>29390782</v>
      </c>
      <c r="K6" s="308">
        <f t="shared" ref="K6:K33" si="17">J6-J5</f>
        <v>3776</v>
      </c>
      <c r="L6" s="440">
        <v>24369842</v>
      </c>
      <c r="M6" s="308">
        <f t="shared" ref="M6:M33" si="18">L6-L5</f>
        <v>2208</v>
      </c>
      <c r="N6" s="307">
        <f t="shared" ref="N6:N33" si="19">M6+K6+I6+G6+E6</f>
        <v>13819</v>
      </c>
      <c r="O6" s="461">
        <f t="shared" si="0"/>
        <v>0</v>
      </c>
      <c r="P6" s="627">
        <v>17975.649000000001</v>
      </c>
      <c r="Q6" s="462">
        <f>(P6-P5)*1000</f>
        <v>12556.000000000495</v>
      </c>
      <c r="R6" s="444">
        <f>N6-Q6</f>
        <v>1262.9999999995052</v>
      </c>
      <c r="S6" s="440">
        <f t="shared" si="8"/>
        <v>10175</v>
      </c>
      <c r="T6" s="463">
        <f t="shared" si="2"/>
        <v>0</v>
      </c>
      <c r="U6" s="440">
        <f t="shared" si="9"/>
        <v>429166</v>
      </c>
      <c r="V6" s="444">
        <f t="shared" ref="V6:V31" si="20">U6-U5</f>
        <v>0</v>
      </c>
      <c r="W6" s="440">
        <v>33070</v>
      </c>
      <c r="X6" s="444">
        <f t="shared" si="3"/>
        <v>5</v>
      </c>
      <c r="Y6" s="440">
        <v>895517</v>
      </c>
      <c r="Z6" s="444">
        <f>Y6-Y5</f>
        <v>1383</v>
      </c>
      <c r="AA6" s="440">
        <v>36438</v>
      </c>
      <c r="AB6" s="444">
        <f t="shared" ref="AB6:AB31" si="21">AA6-AA5</f>
        <v>13</v>
      </c>
      <c r="AC6" s="440">
        <v>1079160</v>
      </c>
      <c r="AD6" s="444">
        <f t="shared" ref="AD6:AD17" si="22">AC6-AC5</f>
        <v>3742</v>
      </c>
      <c r="AE6" s="466">
        <f t="shared" si="12"/>
        <v>18</v>
      </c>
      <c r="AF6" s="467">
        <f t="shared" si="4"/>
        <v>5125</v>
      </c>
      <c r="AG6" s="459">
        <f t="shared" si="5"/>
        <v>284.72222222222223</v>
      </c>
      <c r="AI6" s="460">
        <f>R6-'EDl log'!B6</f>
        <v>-1083327.0000000005</v>
      </c>
      <c r="AJ6" s="589">
        <v>44411</v>
      </c>
      <c r="AK6" s="460">
        <v>628142</v>
      </c>
      <c r="AL6" s="606">
        <v>443605</v>
      </c>
      <c r="AM6" s="606">
        <f t="shared" si="13"/>
        <v>1071747</v>
      </c>
      <c r="AN6" s="606">
        <f t="shared" ref="AN6:AN33" si="23">AM6-AM5</f>
        <v>6037</v>
      </c>
    </row>
    <row r="7" spans="1:40">
      <c r="A7" s="452">
        <f>'General information '!F9</f>
        <v>0</v>
      </c>
      <c r="B7" s="446">
        <f t="shared" si="6"/>
        <v>0</v>
      </c>
      <c r="C7" s="453">
        <v>44412</v>
      </c>
      <c r="D7" s="440">
        <f t="shared" si="7"/>
        <v>32911138</v>
      </c>
      <c r="E7" s="441">
        <f t="shared" si="14"/>
        <v>7481</v>
      </c>
      <c r="F7" s="638">
        <v>4071600</v>
      </c>
      <c r="G7" s="308">
        <f t="shared" si="15"/>
        <v>681</v>
      </c>
      <c r="H7" s="440">
        <v>17941054</v>
      </c>
      <c r="I7" s="308">
        <f t="shared" si="16"/>
        <v>972</v>
      </c>
      <c r="J7" s="440">
        <v>29395902</v>
      </c>
      <c r="K7" s="308">
        <f t="shared" si="17"/>
        <v>5120</v>
      </c>
      <c r="L7" s="440">
        <v>24372256</v>
      </c>
      <c r="M7" s="308">
        <f t="shared" si="18"/>
        <v>2414</v>
      </c>
      <c r="N7" s="307">
        <f t="shared" si="19"/>
        <v>16668</v>
      </c>
      <c r="O7" s="461">
        <f t="shared" si="0"/>
        <v>0</v>
      </c>
      <c r="P7" s="627">
        <v>17992.202000000001</v>
      </c>
      <c r="Q7" s="444">
        <f t="shared" si="1"/>
        <v>16552.999999999884</v>
      </c>
      <c r="R7" s="444">
        <f t="shared" ref="R7:R13" si="24">N7-Q7</f>
        <v>115.00000000011642</v>
      </c>
      <c r="S7" s="440">
        <f t="shared" si="8"/>
        <v>10175</v>
      </c>
      <c r="T7" s="463">
        <f t="shared" si="2"/>
        <v>0</v>
      </c>
      <c r="U7" s="440">
        <f t="shared" si="9"/>
        <v>429166</v>
      </c>
      <c r="V7" s="444">
        <f t="shared" si="20"/>
        <v>0</v>
      </c>
      <c r="W7" s="440">
        <v>33077</v>
      </c>
      <c r="X7" s="444">
        <f t="shared" si="3"/>
        <v>7</v>
      </c>
      <c r="Y7" s="440">
        <v>897325</v>
      </c>
      <c r="Z7" s="444">
        <f t="shared" ref="Z7:Z31" si="25">Y7-Y6</f>
        <v>1808</v>
      </c>
      <c r="AA7" s="440">
        <v>36453</v>
      </c>
      <c r="AB7" s="444">
        <f t="shared" si="21"/>
        <v>15</v>
      </c>
      <c r="AC7" s="440">
        <v>1082922</v>
      </c>
      <c r="AD7" s="444">
        <f t="shared" si="22"/>
        <v>3762</v>
      </c>
      <c r="AE7" s="466">
        <f t="shared" si="12"/>
        <v>22</v>
      </c>
      <c r="AF7" s="467">
        <f t="shared" si="4"/>
        <v>5570</v>
      </c>
      <c r="AG7" s="459">
        <f t="shared" si="5"/>
        <v>253.18181818181819</v>
      </c>
      <c r="AI7" s="460">
        <f>R7-'EDl log'!B7</f>
        <v>-1085364</v>
      </c>
      <c r="AJ7" s="589">
        <v>44412</v>
      </c>
      <c r="AK7" s="460">
        <v>635537</v>
      </c>
      <c r="AL7" s="606">
        <v>443691</v>
      </c>
      <c r="AM7" s="606">
        <f t="shared" si="13"/>
        <v>1079228</v>
      </c>
      <c r="AN7" s="606">
        <f t="shared" si="23"/>
        <v>7481</v>
      </c>
    </row>
    <row r="8" spans="1:40">
      <c r="A8" s="452">
        <f>'General information '!F10</f>
        <v>0</v>
      </c>
      <c r="B8" s="446">
        <f t="shared" si="6"/>
        <v>0</v>
      </c>
      <c r="C8" s="453">
        <v>44413</v>
      </c>
      <c r="D8" s="440">
        <f t="shared" si="7"/>
        <v>32911138</v>
      </c>
      <c r="E8" s="441">
        <f t="shared" si="14"/>
        <v>7099</v>
      </c>
      <c r="F8" s="638">
        <v>4072284</v>
      </c>
      <c r="G8" s="308">
        <f t="shared" si="15"/>
        <v>684</v>
      </c>
      <c r="H8" s="440">
        <v>17941932</v>
      </c>
      <c r="I8" s="308">
        <f t="shared" si="16"/>
        <v>878</v>
      </c>
      <c r="J8" s="440">
        <v>29399194</v>
      </c>
      <c r="K8" s="308">
        <f t="shared" si="17"/>
        <v>3292</v>
      </c>
      <c r="L8" s="440">
        <v>24374390</v>
      </c>
      <c r="M8" s="308">
        <f t="shared" si="18"/>
        <v>2134</v>
      </c>
      <c r="N8" s="307">
        <f t="shared" si="19"/>
        <v>14087</v>
      </c>
      <c r="O8" s="461">
        <f t="shared" si="0"/>
        <v>0</v>
      </c>
      <c r="P8" s="627">
        <v>18005.434000000001</v>
      </c>
      <c r="Q8" s="444">
        <f t="shared" si="1"/>
        <v>13231.999999999971</v>
      </c>
      <c r="R8" s="444">
        <f t="shared" si="24"/>
        <v>855.0000000000291</v>
      </c>
      <c r="S8" s="440">
        <f t="shared" si="8"/>
        <v>10175</v>
      </c>
      <c r="T8" s="463">
        <f t="shared" si="2"/>
        <v>0</v>
      </c>
      <c r="U8" s="440">
        <f t="shared" si="9"/>
        <v>429166</v>
      </c>
      <c r="V8" s="444">
        <f t="shared" si="20"/>
        <v>0</v>
      </c>
      <c r="W8" s="440">
        <v>33080</v>
      </c>
      <c r="X8" s="444">
        <f t="shared" si="3"/>
        <v>3</v>
      </c>
      <c r="Y8" s="440">
        <v>898086</v>
      </c>
      <c r="Z8" s="444">
        <f t="shared" si="25"/>
        <v>761</v>
      </c>
      <c r="AA8" s="440">
        <v>36467</v>
      </c>
      <c r="AB8" s="444">
        <f t="shared" si="21"/>
        <v>14</v>
      </c>
      <c r="AC8" s="440">
        <v>1086579</v>
      </c>
      <c r="AD8" s="444">
        <f t="shared" si="22"/>
        <v>3657</v>
      </c>
      <c r="AE8" s="466">
        <f t="shared" si="12"/>
        <v>17</v>
      </c>
      <c r="AF8" s="467">
        <f t="shared" si="4"/>
        <v>4418</v>
      </c>
      <c r="AG8" s="459">
        <f t="shared" si="5"/>
        <v>259.88235294117646</v>
      </c>
      <c r="AI8" s="460">
        <f>R8-'EDl log'!B8</f>
        <v>-1085191</v>
      </c>
      <c r="AJ8" s="589">
        <v>44413</v>
      </c>
      <c r="AK8" s="460">
        <v>642436</v>
      </c>
      <c r="AL8" s="606">
        <v>443891</v>
      </c>
      <c r="AM8" s="606">
        <f t="shared" si="13"/>
        <v>1086327</v>
      </c>
      <c r="AN8" s="606">
        <f t="shared" si="23"/>
        <v>7099</v>
      </c>
    </row>
    <row r="9" spans="1:40">
      <c r="A9" s="452">
        <f>'General information '!F11</f>
        <v>0</v>
      </c>
      <c r="B9" s="446">
        <f t="shared" si="6"/>
        <v>0</v>
      </c>
      <c r="C9" s="453">
        <v>44414</v>
      </c>
      <c r="D9" s="440">
        <f t="shared" si="7"/>
        <v>32911138</v>
      </c>
      <c r="E9" s="441">
        <f t="shared" si="14"/>
        <v>9385</v>
      </c>
      <c r="F9" s="638">
        <v>4072959</v>
      </c>
      <c r="G9" s="308">
        <f t="shared" si="15"/>
        <v>675</v>
      </c>
      <c r="H9" s="440">
        <v>17942950</v>
      </c>
      <c r="I9" s="308">
        <f t="shared" si="16"/>
        <v>1018</v>
      </c>
      <c r="J9" s="440">
        <v>29402224</v>
      </c>
      <c r="K9" s="308">
        <f t="shared" si="17"/>
        <v>3030</v>
      </c>
      <c r="L9" s="440">
        <v>24376768</v>
      </c>
      <c r="M9" s="308">
        <f t="shared" si="18"/>
        <v>2378</v>
      </c>
      <c r="N9" s="307">
        <f t="shared" si="19"/>
        <v>16486</v>
      </c>
      <c r="O9" s="461">
        <f t="shared" si="0"/>
        <v>0</v>
      </c>
      <c r="P9" s="627">
        <v>18021.666000000001</v>
      </c>
      <c r="Q9" s="444">
        <f t="shared" si="1"/>
        <v>16231.999999999971</v>
      </c>
      <c r="R9" s="444">
        <f t="shared" si="24"/>
        <v>254.0000000000291</v>
      </c>
      <c r="S9" s="440">
        <f t="shared" si="8"/>
        <v>10175</v>
      </c>
      <c r="T9" s="463">
        <f t="shared" si="2"/>
        <v>0</v>
      </c>
      <c r="U9" s="440">
        <f t="shared" si="9"/>
        <v>429166</v>
      </c>
      <c r="V9" s="444">
        <f t="shared" si="20"/>
        <v>0</v>
      </c>
      <c r="W9" s="440">
        <f t="shared" si="10"/>
        <v>33080</v>
      </c>
      <c r="X9" s="444">
        <f t="shared" si="3"/>
        <v>0</v>
      </c>
      <c r="Y9" s="440">
        <f t="shared" si="11"/>
        <v>898086</v>
      </c>
      <c r="Z9" s="444">
        <f t="shared" si="25"/>
        <v>0</v>
      </c>
      <c r="AA9" s="440">
        <v>36488</v>
      </c>
      <c r="AB9" s="444">
        <f t="shared" si="21"/>
        <v>21</v>
      </c>
      <c r="AC9" s="440">
        <v>1092100</v>
      </c>
      <c r="AD9" s="444">
        <f t="shared" si="22"/>
        <v>5521</v>
      </c>
      <c r="AE9" s="466">
        <f t="shared" si="12"/>
        <v>21</v>
      </c>
      <c r="AF9" s="467">
        <f t="shared" si="4"/>
        <v>5521</v>
      </c>
      <c r="AG9" s="459">
        <f t="shared" si="5"/>
        <v>262.90476190476193</v>
      </c>
      <c r="AI9" s="460">
        <f>R9-'EDl log'!B9</f>
        <v>-1086098</v>
      </c>
      <c r="AJ9" s="589">
        <v>44414</v>
      </c>
      <c r="AK9" s="460">
        <v>651680</v>
      </c>
      <c r="AL9" s="606">
        <v>444032</v>
      </c>
      <c r="AM9" s="606">
        <f t="shared" si="13"/>
        <v>1095712</v>
      </c>
      <c r="AN9" s="606">
        <f t="shared" si="23"/>
        <v>9385</v>
      </c>
    </row>
    <row r="10" spans="1:40">
      <c r="A10" s="452">
        <f>'General information '!F12</f>
        <v>0</v>
      </c>
      <c r="B10" s="446">
        <f t="shared" si="6"/>
        <v>0</v>
      </c>
      <c r="C10" s="453">
        <v>44415</v>
      </c>
      <c r="D10" s="440">
        <f t="shared" si="7"/>
        <v>32911138</v>
      </c>
      <c r="E10" s="441">
        <f t="shared" si="14"/>
        <v>0</v>
      </c>
      <c r="F10" s="638">
        <f t="shared" ref="F10:F34" si="26">F9</f>
        <v>4072959</v>
      </c>
      <c r="G10" s="308">
        <f t="shared" si="15"/>
        <v>0</v>
      </c>
      <c r="H10" s="440">
        <f t="shared" ref="H10:H34" si="27">H9</f>
        <v>17942950</v>
      </c>
      <c r="I10" s="308">
        <f t="shared" si="16"/>
        <v>0</v>
      </c>
      <c r="J10" s="440">
        <f t="shared" ref="J10:J34" si="28">J9</f>
        <v>29402224</v>
      </c>
      <c r="K10" s="308">
        <f t="shared" si="17"/>
        <v>0</v>
      </c>
      <c r="L10" s="440">
        <f t="shared" ref="L10:L34" si="29">L9</f>
        <v>24376768</v>
      </c>
      <c r="M10" s="308">
        <f t="shared" si="18"/>
        <v>0</v>
      </c>
      <c r="N10" s="307">
        <f t="shared" si="19"/>
        <v>0</v>
      </c>
      <c r="O10" s="461">
        <f t="shared" si="0"/>
        <v>0</v>
      </c>
      <c r="P10" s="627">
        <f t="shared" ref="P10:P34" si="30">P9</f>
        <v>18021.666000000001</v>
      </c>
      <c r="Q10" s="444">
        <f t="shared" si="1"/>
        <v>0</v>
      </c>
      <c r="R10" s="444">
        <f t="shared" si="24"/>
        <v>0</v>
      </c>
      <c r="S10" s="440">
        <f t="shared" si="8"/>
        <v>10175</v>
      </c>
      <c r="T10" s="463">
        <f t="shared" si="2"/>
        <v>0</v>
      </c>
      <c r="U10" s="440">
        <f t="shared" si="9"/>
        <v>429166</v>
      </c>
      <c r="V10" s="444">
        <f t="shared" si="20"/>
        <v>0</v>
      </c>
      <c r="W10" s="440">
        <f t="shared" si="10"/>
        <v>33080</v>
      </c>
      <c r="X10" s="444">
        <f t="shared" ref="X10:X31" si="31">W10-W9</f>
        <v>0</v>
      </c>
      <c r="Y10" s="440">
        <f t="shared" si="11"/>
        <v>898086</v>
      </c>
      <c r="Z10" s="444">
        <f t="shared" si="25"/>
        <v>0</v>
      </c>
      <c r="AA10" s="440">
        <f t="shared" ref="AA10:AA34" si="32">AA9</f>
        <v>36488</v>
      </c>
      <c r="AB10" s="444">
        <f t="shared" si="21"/>
        <v>0</v>
      </c>
      <c r="AC10" s="440">
        <f t="shared" ref="AC10:AC34" si="33">AC9</f>
        <v>1092100</v>
      </c>
      <c r="AD10" s="444">
        <f t="shared" si="22"/>
        <v>0</v>
      </c>
      <c r="AE10" s="466">
        <f t="shared" si="12"/>
        <v>0</v>
      </c>
      <c r="AF10" s="467">
        <f t="shared" si="4"/>
        <v>0</v>
      </c>
      <c r="AG10" s="459">
        <f t="shared" si="5"/>
        <v>0</v>
      </c>
      <c r="AI10" s="460">
        <f>R10-'EDl log'!B10</f>
        <v>-1086352</v>
      </c>
      <c r="AJ10" s="589">
        <v>44415</v>
      </c>
      <c r="AK10" s="460">
        <f t="shared" ref="AK10:AK34" si="34">AK9</f>
        <v>651680</v>
      </c>
      <c r="AL10" s="606">
        <f t="shared" ref="AL10:AL34" si="35">AL9</f>
        <v>444032</v>
      </c>
      <c r="AM10" s="606">
        <f t="shared" si="13"/>
        <v>1095712</v>
      </c>
      <c r="AN10" s="606">
        <f t="shared" si="23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44416</v>
      </c>
      <c r="D11" s="440">
        <f t="shared" si="7"/>
        <v>32911138</v>
      </c>
      <c r="E11" s="441">
        <f t="shared" si="14"/>
        <v>0</v>
      </c>
      <c r="F11" s="638">
        <f t="shared" si="26"/>
        <v>4072959</v>
      </c>
      <c r="G11" s="308">
        <f t="shared" si="15"/>
        <v>0</v>
      </c>
      <c r="H11" s="440">
        <f t="shared" si="27"/>
        <v>17942950</v>
      </c>
      <c r="I11" s="308">
        <f t="shared" si="16"/>
        <v>0</v>
      </c>
      <c r="J11" s="440">
        <f t="shared" si="28"/>
        <v>29402224</v>
      </c>
      <c r="K11" s="308">
        <f t="shared" si="17"/>
        <v>0</v>
      </c>
      <c r="L11" s="440">
        <f t="shared" si="29"/>
        <v>24376768</v>
      </c>
      <c r="M11" s="308">
        <f t="shared" si="18"/>
        <v>0</v>
      </c>
      <c r="N11" s="307">
        <f t="shared" si="19"/>
        <v>0</v>
      </c>
      <c r="O11" s="461">
        <f t="shared" ref="O11:O31" si="36">IF(B11&gt;0,N11/B11,0)</f>
        <v>0</v>
      </c>
      <c r="P11" s="627">
        <f t="shared" si="30"/>
        <v>18021.666000000001</v>
      </c>
      <c r="Q11" s="444">
        <f t="shared" si="1"/>
        <v>0</v>
      </c>
      <c r="R11" s="444">
        <f t="shared" si="24"/>
        <v>0</v>
      </c>
      <c r="S11" s="440">
        <f t="shared" si="8"/>
        <v>10175</v>
      </c>
      <c r="T11" s="463">
        <f t="shared" si="2"/>
        <v>0</v>
      </c>
      <c r="U11" s="440">
        <f t="shared" si="9"/>
        <v>429166</v>
      </c>
      <c r="V11" s="444">
        <f t="shared" si="20"/>
        <v>0</v>
      </c>
      <c r="W11" s="440">
        <f t="shared" si="10"/>
        <v>33080</v>
      </c>
      <c r="X11" s="444">
        <f t="shared" si="31"/>
        <v>0</v>
      </c>
      <c r="Y11" s="440">
        <f t="shared" si="11"/>
        <v>898086</v>
      </c>
      <c r="Z11" s="444">
        <f t="shared" si="25"/>
        <v>0</v>
      </c>
      <c r="AA11" s="440">
        <f t="shared" si="32"/>
        <v>36488</v>
      </c>
      <c r="AB11" s="444">
        <f t="shared" si="21"/>
        <v>0</v>
      </c>
      <c r="AC11" s="440">
        <f t="shared" si="33"/>
        <v>1092100</v>
      </c>
      <c r="AD11" s="444">
        <f t="shared" si="22"/>
        <v>0</v>
      </c>
      <c r="AE11" s="466">
        <f t="shared" si="12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-1086352</v>
      </c>
      <c r="AJ11" s="589">
        <v>44416</v>
      </c>
      <c r="AK11" s="460">
        <f t="shared" si="34"/>
        <v>651680</v>
      </c>
      <c r="AL11" s="606">
        <f t="shared" si="35"/>
        <v>444032</v>
      </c>
      <c r="AM11" s="606">
        <f t="shared" si="13"/>
        <v>1095712</v>
      </c>
      <c r="AN11" s="606">
        <f t="shared" si="23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44417</v>
      </c>
      <c r="D12" s="440">
        <f t="shared" si="7"/>
        <v>32911138</v>
      </c>
      <c r="E12" s="441">
        <f t="shared" si="14"/>
        <v>0</v>
      </c>
      <c r="F12" s="638">
        <f t="shared" si="26"/>
        <v>4072959</v>
      </c>
      <c r="G12" s="308">
        <f t="shared" si="15"/>
        <v>0</v>
      </c>
      <c r="H12" s="440">
        <f t="shared" si="27"/>
        <v>17942950</v>
      </c>
      <c r="I12" s="308">
        <f t="shared" si="16"/>
        <v>0</v>
      </c>
      <c r="J12" s="440">
        <f t="shared" si="28"/>
        <v>29402224</v>
      </c>
      <c r="K12" s="308">
        <f t="shared" si="17"/>
        <v>0</v>
      </c>
      <c r="L12" s="440">
        <f t="shared" si="29"/>
        <v>24376768</v>
      </c>
      <c r="M12" s="308">
        <f t="shared" si="18"/>
        <v>0</v>
      </c>
      <c r="N12" s="307">
        <f>M12+K12+I12+G12+E12</f>
        <v>0</v>
      </c>
      <c r="O12" s="461">
        <f t="shared" si="36"/>
        <v>0</v>
      </c>
      <c r="P12" s="627">
        <f t="shared" si="30"/>
        <v>18021.666000000001</v>
      </c>
      <c r="Q12" s="444">
        <f t="shared" si="1"/>
        <v>0</v>
      </c>
      <c r="R12" s="444">
        <f t="shared" si="24"/>
        <v>0</v>
      </c>
      <c r="S12" s="440">
        <f t="shared" si="8"/>
        <v>10175</v>
      </c>
      <c r="T12" s="463">
        <f t="shared" si="2"/>
        <v>0</v>
      </c>
      <c r="U12" s="440">
        <f t="shared" si="9"/>
        <v>429166</v>
      </c>
      <c r="V12" s="444">
        <f t="shared" si="20"/>
        <v>0</v>
      </c>
      <c r="W12" s="440">
        <f t="shared" si="10"/>
        <v>33080</v>
      </c>
      <c r="X12" s="444">
        <f t="shared" si="31"/>
        <v>0</v>
      </c>
      <c r="Y12" s="440">
        <f t="shared" si="11"/>
        <v>898086</v>
      </c>
      <c r="Z12" s="444">
        <f t="shared" si="25"/>
        <v>0</v>
      </c>
      <c r="AA12" s="440">
        <f t="shared" si="32"/>
        <v>36488</v>
      </c>
      <c r="AB12" s="444">
        <f t="shared" si="21"/>
        <v>0</v>
      </c>
      <c r="AC12" s="440">
        <f t="shared" si="33"/>
        <v>1092100</v>
      </c>
      <c r="AD12" s="444">
        <f t="shared" si="22"/>
        <v>0</v>
      </c>
      <c r="AE12" s="466">
        <f t="shared" si="12"/>
        <v>0</v>
      </c>
      <c r="AF12" s="467">
        <f t="shared" si="4"/>
        <v>0</v>
      </c>
      <c r="AG12" s="459">
        <f t="shared" si="37"/>
        <v>0</v>
      </c>
      <c r="AI12" s="460">
        <f>R12-'EDl log'!B12</f>
        <v>-1086352</v>
      </c>
      <c r="AJ12" s="589">
        <v>44417</v>
      </c>
      <c r="AK12" s="460">
        <f t="shared" si="34"/>
        <v>651680</v>
      </c>
      <c r="AL12" s="606">
        <f t="shared" si="35"/>
        <v>444032</v>
      </c>
      <c r="AM12" s="606">
        <f t="shared" si="13"/>
        <v>1095712</v>
      </c>
      <c r="AN12" s="606">
        <f t="shared" si="23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44418</v>
      </c>
      <c r="D13" s="440">
        <f t="shared" si="7"/>
        <v>32911138</v>
      </c>
      <c r="E13" s="441">
        <f t="shared" si="14"/>
        <v>0</v>
      </c>
      <c r="F13" s="638">
        <f t="shared" si="26"/>
        <v>4072959</v>
      </c>
      <c r="G13" s="308">
        <f t="shared" si="15"/>
        <v>0</v>
      </c>
      <c r="H13" s="440">
        <f t="shared" si="27"/>
        <v>17942950</v>
      </c>
      <c r="I13" s="308">
        <f t="shared" si="16"/>
        <v>0</v>
      </c>
      <c r="J13" s="440">
        <f t="shared" si="28"/>
        <v>29402224</v>
      </c>
      <c r="K13" s="308">
        <f t="shared" si="17"/>
        <v>0</v>
      </c>
      <c r="L13" s="440">
        <f t="shared" si="29"/>
        <v>24376768</v>
      </c>
      <c r="M13" s="308">
        <f t="shared" si="18"/>
        <v>0</v>
      </c>
      <c r="N13" s="307">
        <f>M13+K13+I13+G13+E13</f>
        <v>0</v>
      </c>
      <c r="O13" s="461">
        <f t="shared" si="36"/>
        <v>0</v>
      </c>
      <c r="P13" s="627">
        <f t="shared" si="30"/>
        <v>18021.666000000001</v>
      </c>
      <c r="Q13" s="444">
        <f t="shared" si="1"/>
        <v>0</v>
      </c>
      <c r="R13" s="444">
        <f t="shared" si="24"/>
        <v>0</v>
      </c>
      <c r="S13" s="440">
        <f t="shared" si="8"/>
        <v>10175</v>
      </c>
      <c r="T13" s="463">
        <f t="shared" si="2"/>
        <v>0</v>
      </c>
      <c r="U13" s="440">
        <f t="shared" si="9"/>
        <v>429166</v>
      </c>
      <c r="V13" s="444">
        <f t="shared" si="20"/>
        <v>0</v>
      </c>
      <c r="W13" s="440">
        <f t="shared" si="10"/>
        <v>33080</v>
      </c>
      <c r="X13" s="444">
        <f t="shared" si="31"/>
        <v>0</v>
      </c>
      <c r="Y13" s="440">
        <f t="shared" si="11"/>
        <v>898086</v>
      </c>
      <c r="Z13" s="444">
        <f t="shared" si="25"/>
        <v>0</v>
      </c>
      <c r="AA13" s="440">
        <f t="shared" si="32"/>
        <v>36488</v>
      </c>
      <c r="AB13" s="444">
        <f t="shared" si="21"/>
        <v>0</v>
      </c>
      <c r="AC13" s="440">
        <f t="shared" si="33"/>
        <v>1092100</v>
      </c>
      <c r="AD13" s="444">
        <f t="shared" si="22"/>
        <v>0</v>
      </c>
      <c r="AE13" s="466">
        <f t="shared" si="12"/>
        <v>0</v>
      </c>
      <c r="AF13" s="467">
        <f t="shared" si="4"/>
        <v>0</v>
      </c>
      <c r="AG13" s="459">
        <f t="shared" si="37"/>
        <v>0</v>
      </c>
      <c r="AI13" s="460">
        <f>R13-'EDl log'!B13</f>
        <v>-1086352</v>
      </c>
      <c r="AJ13" s="589">
        <v>44418</v>
      </c>
      <c r="AK13" s="460">
        <f t="shared" si="34"/>
        <v>651680</v>
      </c>
      <c r="AL13" s="606">
        <f t="shared" si="35"/>
        <v>444032</v>
      </c>
      <c r="AM13" s="606">
        <f t="shared" si="13"/>
        <v>1095712</v>
      </c>
      <c r="AN13" s="606">
        <f t="shared" si="23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44419</v>
      </c>
      <c r="D14" s="440">
        <f t="shared" si="7"/>
        <v>32911138</v>
      </c>
      <c r="E14" s="441">
        <f t="shared" si="14"/>
        <v>6921</v>
      </c>
      <c r="F14" s="638">
        <v>4073772</v>
      </c>
      <c r="G14" s="308">
        <f t="shared" si="15"/>
        <v>813</v>
      </c>
      <c r="H14" s="440">
        <v>17943986</v>
      </c>
      <c r="I14" s="308">
        <f t="shared" si="16"/>
        <v>1036</v>
      </c>
      <c r="J14" s="440">
        <v>29408474</v>
      </c>
      <c r="K14" s="308">
        <f t="shared" si="17"/>
        <v>6250</v>
      </c>
      <c r="L14" s="440">
        <v>24379318</v>
      </c>
      <c r="M14" s="308">
        <f t="shared" si="18"/>
        <v>2550</v>
      </c>
      <c r="N14" s="307">
        <f t="shared" si="19"/>
        <v>17570</v>
      </c>
      <c r="O14" s="461">
        <f t="shared" si="36"/>
        <v>0</v>
      </c>
      <c r="P14" s="627">
        <v>18038.575000000001</v>
      </c>
      <c r="Q14" s="444">
        <f>(P14-P13)*1000</f>
        <v>16908.999999999651</v>
      </c>
      <c r="R14" s="444">
        <f>N14-Q14</f>
        <v>661.00000000034925</v>
      </c>
      <c r="S14" s="440">
        <f t="shared" si="8"/>
        <v>10175</v>
      </c>
      <c r="T14" s="463">
        <f t="shared" si="2"/>
        <v>0</v>
      </c>
      <c r="U14" s="440">
        <f t="shared" si="9"/>
        <v>429166</v>
      </c>
      <c r="V14" s="444">
        <f t="shared" si="20"/>
        <v>0</v>
      </c>
      <c r="W14" s="440">
        <v>33090</v>
      </c>
      <c r="X14" s="444">
        <f t="shared" si="31"/>
        <v>10</v>
      </c>
      <c r="Y14" s="440">
        <v>900920</v>
      </c>
      <c r="Z14" s="444">
        <f t="shared" si="25"/>
        <v>2834</v>
      </c>
      <c r="AA14" s="440">
        <v>36499</v>
      </c>
      <c r="AB14" s="444">
        <f t="shared" si="21"/>
        <v>11</v>
      </c>
      <c r="AC14" s="440">
        <v>1095094</v>
      </c>
      <c r="AD14" s="444">
        <f t="shared" si="22"/>
        <v>2994</v>
      </c>
      <c r="AE14" s="466">
        <f t="shared" si="12"/>
        <v>21</v>
      </c>
      <c r="AF14" s="467">
        <f t="shared" si="4"/>
        <v>5828</v>
      </c>
      <c r="AG14" s="459">
        <f t="shared" si="37"/>
        <v>277.52380952380952</v>
      </c>
      <c r="AI14" s="460">
        <f>R14-'EDl log'!B14</f>
        <v>-1086199.9999999995</v>
      </c>
      <c r="AJ14" s="589">
        <v>44419</v>
      </c>
      <c r="AK14" s="460">
        <v>658421</v>
      </c>
      <c r="AL14" s="606">
        <v>444212</v>
      </c>
      <c r="AM14" s="606">
        <f t="shared" si="13"/>
        <v>1102633</v>
      </c>
      <c r="AN14" s="606">
        <f t="shared" si="23"/>
        <v>6921</v>
      </c>
    </row>
    <row r="15" spans="1:40">
      <c r="A15" s="452">
        <f>'General information '!F17</f>
        <v>0</v>
      </c>
      <c r="B15" s="446">
        <f t="shared" si="6"/>
        <v>0</v>
      </c>
      <c r="C15" s="453">
        <v>44420</v>
      </c>
      <c r="D15" s="440">
        <f t="shared" si="7"/>
        <v>32911138</v>
      </c>
      <c r="E15" s="441">
        <f t="shared" si="14"/>
        <v>4001</v>
      </c>
      <c r="F15" s="638">
        <v>4074528</v>
      </c>
      <c r="G15" s="308">
        <f t="shared" si="15"/>
        <v>756</v>
      </c>
      <c r="H15" s="440">
        <v>17944878</v>
      </c>
      <c r="I15" s="308">
        <f t="shared" si="16"/>
        <v>892</v>
      </c>
      <c r="J15" s="440">
        <v>29417826</v>
      </c>
      <c r="K15" s="308">
        <f t="shared" si="17"/>
        <v>9352</v>
      </c>
      <c r="L15" s="440">
        <v>24381774</v>
      </c>
      <c r="M15" s="308">
        <f t="shared" si="18"/>
        <v>2456</v>
      </c>
      <c r="N15" s="307">
        <f t="shared" si="19"/>
        <v>17457</v>
      </c>
      <c r="O15" s="461">
        <f t="shared" si="36"/>
        <v>0</v>
      </c>
      <c r="P15" s="627">
        <v>18056.009999999998</v>
      </c>
      <c r="Q15" s="444">
        <f t="shared" ref="Q15:Q31" si="38">(P15-P14)*1000</f>
        <v>17434.999999997672</v>
      </c>
      <c r="R15" s="444">
        <f t="shared" ref="R15:R31" si="39">N15-Q15</f>
        <v>22.000000002328306</v>
      </c>
      <c r="S15" s="440">
        <f t="shared" si="8"/>
        <v>10175</v>
      </c>
      <c r="T15" s="463">
        <f t="shared" si="2"/>
        <v>0</v>
      </c>
      <c r="U15" s="440">
        <f t="shared" si="9"/>
        <v>429166</v>
      </c>
      <c r="V15" s="444">
        <f t="shared" si="20"/>
        <v>0</v>
      </c>
      <c r="W15" s="440">
        <v>33112</v>
      </c>
      <c r="X15" s="444">
        <f t="shared" si="31"/>
        <v>22</v>
      </c>
      <c r="Y15" s="440">
        <v>906687</v>
      </c>
      <c r="Z15" s="444">
        <f t="shared" si="25"/>
        <v>5767</v>
      </c>
      <c r="AA15" s="440">
        <f t="shared" si="32"/>
        <v>36499</v>
      </c>
      <c r="AB15" s="444">
        <f t="shared" si="21"/>
        <v>0</v>
      </c>
      <c r="AC15" s="440">
        <f t="shared" si="33"/>
        <v>1095094</v>
      </c>
      <c r="AD15" s="444">
        <f t="shared" si="22"/>
        <v>0</v>
      </c>
      <c r="AE15" s="466">
        <f t="shared" si="12"/>
        <v>22</v>
      </c>
      <c r="AF15" s="467">
        <f t="shared" si="4"/>
        <v>5767</v>
      </c>
      <c r="AG15" s="459">
        <f t="shared" si="37"/>
        <v>262.13636363636363</v>
      </c>
      <c r="AI15" s="460">
        <f>R15-'EDl log'!B15</f>
        <v>-1087095.9999999977</v>
      </c>
      <c r="AJ15" s="589">
        <v>44420</v>
      </c>
      <c r="AK15" s="460">
        <v>662347</v>
      </c>
      <c r="AL15" s="606">
        <v>444287</v>
      </c>
      <c r="AM15" s="606">
        <f t="shared" si="13"/>
        <v>1106634</v>
      </c>
      <c r="AN15" s="606">
        <f t="shared" si="23"/>
        <v>4001</v>
      </c>
    </row>
    <row r="16" spans="1:40">
      <c r="A16" s="452">
        <f>'General information '!F18</f>
        <v>0</v>
      </c>
      <c r="B16" s="446">
        <f t="shared" si="6"/>
        <v>0</v>
      </c>
      <c r="C16" s="453">
        <v>44421</v>
      </c>
      <c r="D16" s="440">
        <f t="shared" si="7"/>
        <v>32911138</v>
      </c>
      <c r="E16" s="441">
        <f t="shared" si="14"/>
        <v>0</v>
      </c>
      <c r="F16" s="638">
        <f t="shared" si="26"/>
        <v>4074528</v>
      </c>
      <c r="G16" s="308">
        <f t="shared" si="15"/>
        <v>0</v>
      </c>
      <c r="H16" s="440">
        <f t="shared" si="27"/>
        <v>17944878</v>
      </c>
      <c r="I16" s="308">
        <f t="shared" si="16"/>
        <v>0</v>
      </c>
      <c r="J16" s="440">
        <f t="shared" si="28"/>
        <v>29417826</v>
      </c>
      <c r="K16" s="308">
        <f t="shared" si="17"/>
        <v>0</v>
      </c>
      <c r="L16" s="440">
        <f t="shared" si="29"/>
        <v>24381774</v>
      </c>
      <c r="M16" s="308">
        <f t="shared" si="18"/>
        <v>0</v>
      </c>
      <c r="N16" s="307">
        <f t="shared" si="19"/>
        <v>0</v>
      </c>
      <c r="O16" s="461">
        <f t="shared" si="36"/>
        <v>0</v>
      </c>
      <c r="P16" s="627">
        <f t="shared" si="30"/>
        <v>18056.009999999998</v>
      </c>
      <c r="Q16" s="444">
        <f>(P16-P15)*1000</f>
        <v>0</v>
      </c>
      <c r="R16" s="444">
        <f t="shared" si="39"/>
        <v>0</v>
      </c>
      <c r="S16" s="440">
        <f t="shared" si="8"/>
        <v>10175</v>
      </c>
      <c r="T16" s="463">
        <f t="shared" si="2"/>
        <v>0</v>
      </c>
      <c r="U16" s="440">
        <f t="shared" si="9"/>
        <v>429166</v>
      </c>
      <c r="V16" s="444">
        <f t="shared" si="20"/>
        <v>0</v>
      </c>
      <c r="W16" s="440">
        <f t="shared" si="10"/>
        <v>33112</v>
      </c>
      <c r="X16" s="444">
        <f t="shared" si="31"/>
        <v>0</v>
      </c>
      <c r="Y16" s="440">
        <f t="shared" si="11"/>
        <v>906687</v>
      </c>
      <c r="Z16" s="444">
        <f t="shared" si="25"/>
        <v>0</v>
      </c>
      <c r="AA16" s="440">
        <f t="shared" si="32"/>
        <v>36499</v>
      </c>
      <c r="AB16" s="444">
        <f t="shared" si="21"/>
        <v>0</v>
      </c>
      <c r="AC16" s="440">
        <f t="shared" si="33"/>
        <v>1095094</v>
      </c>
      <c r="AD16" s="444">
        <f t="shared" si="22"/>
        <v>0</v>
      </c>
      <c r="AE16" s="466">
        <f t="shared" si="12"/>
        <v>0</v>
      </c>
      <c r="AF16" s="467">
        <f t="shared" si="4"/>
        <v>0</v>
      </c>
      <c r="AG16" s="459">
        <f t="shared" si="37"/>
        <v>0</v>
      </c>
      <c r="AI16" s="460">
        <f>R16-'EDl log'!B16</f>
        <v>-1087118</v>
      </c>
      <c r="AJ16" s="589">
        <v>44421</v>
      </c>
      <c r="AK16" s="460">
        <f t="shared" si="34"/>
        <v>662347</v>
      </c>
      <c r="AL16" s="606">
        <f t="shared" si="35"/>
        <v>444287</v>
      </c>
      <c r="AM16" s="606">
        <f t="shared" si="13"/>
        <v>1106634</v>
      </c>
      <c r="AN16" s="606">
        <f t="shared" si="23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44422</v>
      </c>
      <c r="D17" s="440">
        <f t="shared" si="7"/>
        <v>32911138</v>
      </c>
      <c r="E17" s="441">
        <f t="shared" si="14"/>
        <v>0</v>
      </c>
      <c r="F17" s="638">
        <f t="shared" si="26"/>
        <v>4074528</v>
      </c>
      <c r="G17" s="308">
        <f t="shared" si="15"/>
        <v>0</v>
      </c>
      <c r="H17" s="440">
        <f t="shared" si="27"/>
        <v>17944878</v>
      </c>
      <c r="I17" s="308">
        <f t="shared" si="16"/>
        <v>0</v>
      </c>
      <c r="J17" s="440">
        <f t="shared" si="28"/>
        <v>29417826</v>
      </c>
      <c r="K17" s="308">
        <f t="shared" si="17"/>
        <v>0</v>
      </c>
      <c r="L17" s="440">
        <f t="shared" si="29"/>
        <v>24381774</v>
      </c>
      <c r="M17" s="308">
        <f t="shared" si="18"/>
        <v>0</v>
      </c>
      <c r="N17" s="307">
        <f t="shared" si="19"/>
        <v>0</v>
      </c>
      <c r="O17" s="461">
        <f t="shared" si="36"/>
        <v>0</v>
      </c>
      <c r="P17" s="627">
        <f t="shared" si="30"/>
        <v>18056.009999999998</v>
      </c>
      <c r="Q17" s="444">
        <f t="shared" si="38"/>
        <v>0</v>
      </c>
      <c r="R17" s="444">
        <f t="shared" si="39"/>
        <v>0</v>
      </c>
      <c r="S17" s="440">
        <f t="shared" si="8"/>
        <v>10175</v>
      </c>
      <c r="T17" s="463">
        <f t="shared" si="2"/>
        <v>0</v>
      </c>
      <c r="U17" s="440">
        <f t="shared" si="9"/>
        <v>429166</v>
      </c>
      <c r="V17" s="444">
        <f t="shared" si="20"/>
        <v>0</v>
      </c>
      <c r="W17" s="440">
        <f t="shared" si="10"/>
        <v>33112</v>
      </c>
      <c r="X17" s="444">
        <f>W17-W16</f>
        <v>0</v>
      </c>
      <c r="Y17" s="440">
        <f t="shared" si="11"/>
        <v>906687</v>
      </c>
      <c r="Z17" s="444">
        <f>Y17-Y16</f>
        <v>0</v>
      </c>
      <c r="AA17" s="440">
        <f t="shared" si="32"/>
        <v>36499</v>
      </c>
      <c r="AB17" s="444">
        <f>AA17-AA16</f>
        <v>0</v>
      </c>
      <c r="AC17" s="440">
        <f t="shared" si="33"/>
        <v>1095094</v>
      </c>
      <c r="AD17" s="444">
        <f t="shared" si="22"/>
        <v>0</v>
      </c>
      <c r="AE17" s="466">
        <f t="shared" si="12"/>
        <v>0</v>
      </c>
      <c r="AF17" s="467">
        <f t="shared" si="4"/>
        <v>0</v>
      </c>
      <c r="AG17" s="459">
        <f t="shared" si="37"/>
        <v>0</v>
      </c>
      <c r="AI17" s="460">
        <f>R17-'EDl log'!B17</f>
        <v>-1087118</v>
      </c>
      <c r="AJ17" s="589">
        <v>44422</v>
      </c>
      <c r="AK17" s="460">
        <f t="shared" si="34"/>
        <v>662347</v>
      </c>
      <c r="AL17" s="606">
        <f t="shared" si="35"/>
        <v>444287</v>
      </c>
      <c r="AM17" s="606">
        <f t="shared" si="13"/>
        <v>1106634</v>
      </c>
      <c r="AN17" s="606">
        <f t="shared" si="23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44423</v>
      </c>
      <c r="D18" s="440">
        <f t="shared" si="7"/>
        <v>32911138</v>
      </c>
      <c r="E18" s="441">
        <f t="shared" si="14"/>
        <v>0</v>
      </c>
      <c r="F18" s="638">
        <f t="shared" si="26"/>
        <v>4074528</v>
      </c>
      <c r="G18" s="308">
        <f t="shared" si="15"/>
        <v>0</v>
      </c>
      <c r="H18" s="440">
        <f t="shared" si="27"/>
        <v>17944878</v>
      </c>
      <c r="I18" s="308">
        <f t="shared" si="16"/>
        <v>0</v>
      </c>
      <c r="J18" s="440">
        <f t="shared" si="28"/>
        <v>29417826</v>
      </c>
      <c r="K18" s="308">
        <f t="shared" si="17"/>
        <v>0</v>
      </c>
      <c r="L18" s="440">
        <f t="shared" si="29"/>
        <v>24381774</v>
      </c>
      <c r="M18" s="308">
        <f t="shared" si="18"/>
        <v>0</v>
      </c>
      <c r="N18" s="307">
        <f t="shared" si="19"/>
        <v>0</v>
      </c>
      <c r="O18" s="461">
        <f t="shared" si="36"/>
        <v>0</v>
      </c>
      <c r="P18" s="627">
        <f t="shared" si="30"/>
        <v>18056.009999999998</v>
      </c>
      <c r="Q18" s="444">
        <f t="shared" si="38"/>
        <v>0</v>
      </c>
      <c r="R18" s="444">
        <f t="shared" si="39"/>
        <v>0</v>
      </c>
      <c r="S18" s="440">
        <f t="shared" si="8"/>
        <v>10175</v>
      </c>
      <c r="T18" s="463">
        <f t="shared" si="2"/>
        <v>0</v>
      </c>
      <c r="U18" s="440">
        <f t="shared" si="9"/>
        <v>429166</v>
      </c>
      <c r="V18" s="444">
        <f t="shared" si="20"/>
        <v>0</v>
      </c>
      <c r="W18" s="440">
        <f t="shared" si="10"/>
        <v>33112</v>
      </c>
      <c r="X18" s="444">
        <f t="shared" si="31"/>
        <v>0</v>
      </c>
      <c r="Y18" s="440">
        <f t="shared" si="11"/>
        <v>906687</v>
      </c>
      <c r="Z18" s="444">
        <f t="shared" si="25"/>
        <v>0</v>
      </c>
      <c r="AA18" s="440">
        <f t="shared" si="32"/>
        <v>36499</v>
      </c>
      <c r="AB18" s="444">
        <f t="shared" si="21"/>
        <v>0</v>
      </c>
      <c r="AC18" s="440">
        <f t="shared" si="33"/>
        <v>1095094</v>
      </c>
      <c r="AD18" s="444">
        <f t="shared" ref="AD18:AD31" si="40">AC18-AC17</f>
        <v>0</v>
      </c>
      <c r="AE18" s="466">
        <f t="shared" si="12"/>
        <v>0</v>
      </c>
      <c r="AF18" s="467">
        <f t="shared" si="4"/>
        <v>0</v>
      </c>
      <c r="AG18" s="459">
        <f t="shared" si="37"/>
        <v>0</v>
      </c>
      <c r="AI18" s="460">
        <f>R18-'EDl log'!B18</f>
        <v>-1087118</v>
      </c>
      <c r="AJ18" s="589">
        <v>44423</v>
      </c>
      <c r="AK18" s="460">
        <f t="shared" si="34"/>
        <v>662347</v>
      </c>
      <c r="AL18" s="606">
        <f t="shared" si="35"/>
        <v>444287</v>
      </c>
      <c r="AM18" s="606">
        <f t="shared" si="13"/>
        <v>1106634</v>
      </c>
      <c r="AN18" s="606">
        <f t="shared" si="23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44424</v>
      </c>
      <c r="D19" s="440">
        <f t="shared" si="7"/>
        <v>32911138</v>
      </c>
      <c r="E19" s="441">
        <f t="shared" si="14"/>
        <v>1460</v>
      </c>
      <c r="F19" s="638">
        <v>4075121</v>
      </c>
      <c r="G19" s="308">
        <f t="shared" si="15"/>
        <v>593</v>
      </c>
      <c r="H19" s="440">
        <v>17945662</v>
      </c>
      <c r="I19" s="308">
        <f t="shared" si="16"/>
        <v>784</v>
      </c>
      <c r="J19" s="440">
        <v>29424208</v>
      </c>
      <c r="K19" s="308">
        <f t="shared" si="17"/>
        <v>6382</v>
      </c>
      <c r="L19" s="440">
        <v>24383522</v>
      </c>
      <c r="M19" s="308">
        <f t="shared" si="18"/>
        <v>1748</v>
      </c>
      <c r="N19" s="307">
        <f t="shared" si="19"/>
        <v>10967</v>
      </c>
      <c r="O19" s="461">
        <f t="shared" si="36"/>
        <v>0</v>
      </c>
      <c r="P19" s="627">
        <v>18068.53</v>
      </c>
      <c r="Q19" s="444">
        <f t="shared" si="38"/>
        <v>12520.000000000437</v>
      </c>
      <c r="R19" s="444">
        <f t="shared" si="39"/>
        <v>-1553.0000000004366</v>
      </c>
      <c r="S19" s="440">
        <f t="shared" si="8"/>
        <v>10175</v>
      </c>
      <c r="T19" s="463">
        <f t="shared" si="2"/>
        <v>0</v>
      </c>
      <c r="U19" s="440">
        <f t="shared" si="9"/>
        <v>429166</v>
      </c>
      <c r="V19" s="444">
        <f t="shared" si="20"/>
        <v>0</v>
      </c>
      <c r="W19" s="440">
        <v>33125</v>
      </c>
      <c r="X19" s="444">
        <f t="shared" si="31"/>
        <v>13</v>
      </c>
      <c r="Y19" s="440">
        <v>910265</v>
      </c>
      <c r="Z19" s="444">
        <f t="shared" si="25"/>
        <v>3578</v>
      </c>
      <c r="AA19" s="440">
        <f t="shared" si="32"/>
        <v>36499</v>
      </c>
      <c r="AB19" s="444">
        <f t="shared" si="21"/>
        <v>0</v>
      </c>
      <c r="AC19" s="440">
        <f t="shared" si="33"/>
        <v>1095094</v>
      </c>
      <c r="AD19" s="444">
        <f t="shared" si="40"/>
        <v>0</v>
      </c>
      <c r="AE19" s="466">
        <f t="shared" si="12"/>
        <v>13</v>
      </c>
      <c r="AF19" s="467">
        <f t="shared" si="4"/>
        <v>3578</v>
      </c>
      <c r="AG19" s="459">
        <f t="shared" si="37"/>
        <v>275.23076923076923</v>
      </c>
      <c r="AI19" s="460">
        <f>R19-'EDl log'!B19</f>
        <v>-1088671.0000000005</v>
      </c>
      <c r="AJ19" s="589">
        <v>44424</v>
      </c>
      <c r="AK19" s="460">
        <v>663608</v>
      </c>
      <c r="AL19" s="606">
        <v>444486</v>
      </c>
      <c r="AM19" s="606">
        <f t="shared" si="13"/>
        <v>1108094</v>
      </c>
      <c r="AN19" s="606">
        <f t="shared" si="23"/>
        <v>1460</v>
      </c>
    </row>
    <row r="20" spans="1:40">
      <c r="A20" s="452">
        <f>'General information '!F22</f>
        <v>0</v>
      </c>
      <c r="B20" s="446">
        <f t="shared" si="6"/>
        <v>0</v>
      </c>
      <c r="C20" s="453">
        <v>44425</v>
      </c>
      <c r="D20" s="440">
        <f t="shared" si="7"/>
        <v>32911138</v>
      </c>
      <c r="E20" s="441">
        <f t="shared" si="14"/>
        <v>5488</v>
      </c>
      <c r="F20" s="638">
        <v>4075544</v>
      </c>
      <c r="G20" s="308">
        <f t="shared" si="15"/>
        <v>423</v>
      </c>
      <c r="H20" s="440">
        <v>17946082</v>
      </c>
      <c r="I20" s="308">
        <f t="shared" si="16"/>
        <v>420</v>
      </c>
      <c r="J20" s="440">
        <v>29426834</v>
      </c>
      <c r="K20" s="308">
        <f t="shared" si="17"/>
        <v>2626</v>
      </c>
      <c r="L20" s="440">
        <v>24384630</v>
      </c>
      <c r="M20" s="308">
        <f t="shared" si="18"/>
        <v>1108</v>
      </c>
      <c r="N20" s="307">
        <f t="shared" si="19"/>
        <v>10065</v>
      </c>
      <c r="O20" s="461">
        <f t="shared" si="36"/>
        <v>0</v>
      </c>
      <c r="P20" s="627">
        <v>18076.45</v>
      </c>
      <c r="Q20" s="444">
        <f t="shared" si="38"/>
        <v>7920.0000000018917</v>
      </c>
      <c r="R20" s="444">
        <f t="shared" si="39"/>
        <v>2144.9999999981083</v>
      </c>
      <c r="S20" s="440">
        <f t="shared" si="8"/>
        <v>10175</v>
      </c>
      <c r="T20" s="463">
        <f t="shared" si="2"/>
        <v>0</v>
      </c>
      <c r="U20" s="440">
        <f t="shared" si="9"/>
        <v>429166</v>
      </c>
      <c r="V20" s="444">
        <f t="shared" si="20"/>
        <v>0</v>
      </c>
      <c r="W20" s="440">
        <v>33129</v>
      </c>
      <c r="X20" s="444">
        <f t="shared" si="31"/>
        <v>4</v>
      </c>
      <c r="Y20" s="440">
        <v>911183</v>
      </c>
      <c r="Z20" s="444">
        <f t="shared" si="25"/>
        <v>918</v>
      </c>
      <c r="AA20" s="440">
        <v>36505</v>
      </c>
      <c r="AB20" s="444">
        <f t="shared" si="21"/>
        <v>6</v>
      </c>
      <c r="AC20" s="440">
        <v>1096769</v>
      </c>
      <c r="AD20" s="444">
        <f t="shared" si="40"/>
        <v>1675</v>
      </c>
      <c r="AE20" s="466">
        <f t="shared" si="12"/>
        <v>10</v>
      </c>
      <c r="AF20" s="467">
        <f t="shared" si="4"/>
        <v>2593</v>
      </c>
      <c r="AG20" s="459">
        <f t="shared" si="37"/>
        <v>259.3</v>
      </c>
      <c r="AI20" s="460">
        <f>R20-'EDl log'!B20</f>
        <v>-1085448.0000000019</v>
      </c>
      <c r="AJ20" s="589">
        <v>44425</v>
      </c>
      <c r="AK20" s="460">
        <v>669055</v>
      </c>
      <c r="AL20" s="606">
        <v>444527</v>
      </c>
      <c r="AM20" s="606">
        <f t="shared" si="13"/>
        <v>1113582</v>
      </c>
      <c r="AN20" s="606">
        <f t="shared" si="23"/>
        <v>5488</v>
      </c>
    </row>
    <row r="21" spans="1:40">
      <c r="A21" s="452">
        <f>'General information '!F23</f>
        <v>0</v>
      </c>
      <c r="B21" s="446">
        <f t="shared" si="6"/>
        <v>0</v>
      </c>
      <c r="C21" s="453">
        <v>44426</v>
      </c>
      <c r="D21" s="440">
        <f t="shared" si="7"/>
        <v>32911138</v>
      </c>
      <c r="E21" s="441">
        <f t="shared" si="14"/>
        <v>0</v>
      </c>
      <c r="F21" s="638">
        <f t="shared" si="26"/>
        <v>4075544</v>
      </c>
      <c r="G21" s="308">
        <f t="shared" si="15"/>
        <v>0</v>
      </c>
      <c r="H21" s="440">
        <f t="shared" si="27"/>
        <v>17946082</v>
      </c>
      <c r="I21" s="308">
        <f t="shared" si="16"/>
        <v>0</v>
      </c>
      <c r="J21" s="440">
        <f t="shared" si="28"/>
        <v>29426834</v>
      </c>
      <c r="K21" s="308">
        <f t="shared" si="17"/>
        <v>0</v>
      </c>
      <c r="L21" s="440">
        <f t="shared" si="29"/>
        <v>24384630</v>
      </c>
      <c r="M21" s="308">
        <f t="shared" si="18"/>
        <v>0</v>
      </c>
      <c r="N21" s="307">
        <f t="shared" si="19"/>
        <v>0</v>
      </c>
      <c r="O21" s="461">
        <f t="shared" si="36"/>
        <v>0</v>
      </c>
      <c r="P21" s="627">
        <f t="shared" si="30"/>
        <v>18076.45</v>
      </c>
      <c r="Q21" s="444">
        <f>(P21-P20)*1000</f>
        <v>0</v>
      </c>
      <c r="R21" s="444">
        <f t="shared" si="39"/>
        <v>0</v>
      </c>
      <c r="S21" s="440">
        <f t="shared" si="8"/>
        <v>10175</v>
      </c>
      <c r="T21" s="463">
        <f t="shared" si="2"/>
        <v>0</v>
      </c>
      <c r="U21" s="440">
        <f t="shared" si="9"/>
        <v>429166</v>
      </c>
      <c r="V21" s="444">
        <f t="shared" si="20"/>
        <v>0</v>
      </c>
      <c r="W21" s="440">
        <f t="shared" si="10"/>
        <v>33129</v>
      </c>
      <c r="X21" s="444">
        <f t="shared" si="31"/>
        <v>0</v>
      </c>
      <c r="Y21" s="440">
        <f t="shared" si="11"/>
        <v>911183</v>
      </c>
      <c r="Z21" s="444">
        <f t="shared" si="25"/>
        <v>0</v>
      </c>
      <c r="AA21" s="440">
        <f t="shared" si="32"/>
        <v>36505</v>
      </c>
      <c r="AB21" s="444">
        <f t="shared" si="21"/>
        <v>0</v>
      </c>
      <c r="AC21" s="440">
        <f t="shared" si="33"/>
        <v>1096769</v>
      </c>
      <c r="AD21" s="444">
        <f t="shared" si="40"/>
        <v>0</v>
      </c>
      <c r="AE21" s="466">
        <f t="shared" si="12"/>
        <v>0</v>
      </c>
      <c r="AF21" s="467">
        <f t="shared" si="4"/>
        <v>0</v>
      </c>
      <c r="AG21" s="459">
        <f t="shared" si="37"/>
        <v>0</v>
      </c>
      <c r="AI21" s="460">
        <f>R21-'EDl log'!B21</f>
        <v>-1087593</v>
      </c>
      <c r="AJ21" s="589">
        <v>44426</v>
      </c>
      <c r="AK21" s="460">
        <f t="shared" si="34"/>
        <v>669055</v>
      </c>
      <c r="AL21" s="606">
        <f t="shared" si="35"/>
        <v>444527</v>
      </c>
      <c r="AM21" s="606">
        <f t="shared" si="13"/>
        <v>1113582</v>
      </c>
      <c r="AN21" s="606">
        <f t="shared" si="23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44427</v>
      </c>
      <c r="D22" s="440">
        <f t="shared" si="7"/>
        <v>32911138</v>
      </c>
      <c r="E22" s="441">
        <f t="shared" si="14"/>
        <v>0</v>
      </c>
      <c r="F22" s="638">
        <f t="shared" si="26"/>
        <v>4075544</v>
      </c>
      <c r="G22" s="308">
        <f t="shared" si="15"/>
        <v>0</v>
      </c>
      <c r="H22" s="440">
        <f t="shared" si="27"/>
        <v>17946082</v>
      </c>
      <c r="I22" s="308">
        <f t="shared" si="16"/>
        <v>0</v>
      </c>
      <c r="J22" s="440">
        <f t="shared" si="28"/>
        <v>29426834</v>
      </c>
      <c r="K22" s="308">
        <f t="shared" si="17"/>
        <v>0</v>
      </c>
      <c r="L22" s="440">
        <f t="shared" si="29"/>
        <v>24384630</v>
      </c>
      <c r="M22" s="308">
        <f t="shared" si="18"/>
        <v>0</v>
      </c>
      <c r="N22" s="307">
        <f t="shared" si="19"/>
        <v>0</v>
      </c>
      <c r="O22" s="461">
        <f t="shared" si="36"/>
        <v>0</v>
      </c>
      <c r="P22" s="627">
        <f t="shared" si="30"/>
        <v>18076.45</v>
      </c>
      <c r="Q22" s="444">
        <f t="shared" si="38"/>
        <v>0</v>
      </c>
      <c r="R22" s="444">
        <f t="shared" si="39"/>
        <v>0</v>
      </c>
      <c r="S22" s="440">
        <f t="shared" si="8"/>
        <v>10175</v>
      </c>
      <c r="T22" s="463">
        <f t="shared" si="2"/>
        <v>0</v>
      </c>
      <c r="U22" s="440">
        <f t="shared" si="9"/>
        <v>429166</v>
      </c>
      <c r="V22" s="444">
        <f t="shared" si="20"/>
        <v>0</v>
      </c>
      <c r="W22" s="440">
        <f t="shared" si="10"/>
        <v>33129</v>
      </c>
      <c r="X22" s="444">
        <f t="shared" si="31"/>
        <v>0</v>
      </c>
      <c r="Y22" s="440">
        <f t="shared" si="11"/>
        <v>911183</v>
      </c>
      <c r="Z22" s="444">
        <f t="shared" si="25"/>
        <v>0</v>
      </c>
      <c r="AA22" s="440">
        <f t="shared" si="32"/>
        <v>36505</v>
      </c>
      <c r="AB22" s="444">
        <f t="shared" si="21"/>
        <v>0</v>
      </c>
      <c r="AC22" s="440">
        <f t="shared" si="33"/>
        <v>1096769</v>
      </c>
      <c r="AD22" s="444">
        <f t="shared" si="40"/>
        <v>0</v>
      </c>
      <c r="AE22" s="466">
        <f t="shared" si="12"/>
        <v>0</v>
      </c>
      <c r="AF22" s="467">
        <f t="shared" si="4"/>
        <v>0</v>
      </c>
      <c r="AG22" s="459">
        <f t="shared" si="37"/>
        <v>0</v>
      </c>
      <c r="AI22" s="460">
        <f>R22-'EDl log'!B22</f>
        <v>-1087593</v>
      </c>
      <c r="AJ22" s="589">
        <v>44427</v>
      </c>
      <c r="AK22" s="460">
        <f t="shared" si="34"/>
        <v>669055</v>
      </c>
      <c r="AL22" s="606">
        <f t="shared" si="35"/>
        <v>444527</v>
      </c>
      <c r="AM22" s="606">
        <f t="shared" si="13"/>
        <v>1113582</v>
      </c>
      <c r="AN22" s="606">
        <f t="shared" si="23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44428</v>
      </c>
      <c r="D23" s="440">
        <f t="shared" si="7"/>
        <v>32911138</v>
      </c>
      <c r="E23" s="441">
        <f t="shared" si="14"/>
        <v>0</v>
      </c>
      <c r="F23" s="638">
        <f t="shared" si="26"/>
        <v>4075544</v>
      </c>
      <c r="G23" s="308">
        <f t="shared" si="15"/>
        <v>0</v>
      </c>
      <c r="H23" s="440">
        <f t="shared" si="27"/>
        <v>17946082</v>
      </c>
      <c r="I23" s="308">
        <f t="shared" si="16"/>
        <v>0</v>
      </c>
      <c r="J23" s="440">
        <f t="shared" si="28"/>
        <v>29426834</v>
      </c>
      <c r="K23" s="308">
        <f t="shared" si="17"/>
        <v>0</v>
      </c>
      <c r="L23" s="440">
        <f t="shared" si="29"/>
        <v>24384630</v>
      </c>
      <c r="M23" s="308">
        <f t="shared" si="18"/>
        <v>0</v>
      </c>
      <c r="N23" s="307">
        <f t="shared" si="19"/>
        <v>0</v>
      </c>
      <c r="O23" s="461">
        <f t="shared" si="36"/>
        <v>0</v>
      </c>
      <c r="P23" s="627">
        <f t="shared" si="30"/>
        <v>18076.45</v>
      </c>
      <c r="Q23" s="444">
        <f t="shared" si="38"/>
        <v>0</v>
      </c>
      <c r="R23" s="444">
        <f t="shared" si="39"/>
        <v>0</v>
      </c>
      <c r="S23" s="440">
        <f t="shared" si="8"/>
        <v>10175</v>
      </c>
      <c r="T23" s="463">
        <f t="shared" si="2"/>
        <v>0</v>
      </c>
      <c r="U23" s="440">
        <f t="shared" si="9"/>
        <v>429166</v>
      </c>
      <c r="V23" s="444">
        <f t="shared" si="20"/>
        <v>0</v>
      </c>
      <c r="W23" s="440">
        <f t="shared" si="10"/>
        <v>33129</v>
      </c>
      <c r="X23" s="444">
        <f t="shared" si="31"/>
        <v>0</v>
      </c>
      <c r="Y23" s="440">
        <f t="shared" si="11"/>
        <v>911183</v>
      </c>
      <c r="Z23" s="444">
        <f t="shared" si="25"/>
        <v>0</v>
      </c>
      <c r="AA23" s="440">
        <f t="shared" si="32"/>
        <v>36505</v>
      </c>
      <c r="AB23" s="444">
        <f t="shared" si="21"/>
        <v>0</v>
      </c>
      <c r="AC23" s="440">
        <f t="shared" si="33"/>
        <v>1096769</v>
      </c>
      <c r="AD23" s="444">
        <f t="shared" si="40"/>
        <v>0</v>
      </c>
      <c r="AE23" s="466">
        <f t="shared" si="12"/>
        <v>0</v>
      </c>
      <c r="AF23" s="467">
        <f t="shared" si="4"/>
        <v>0</v>
      </c>
      <c r="AG23" s="459">
        <f t="shared" si="37"/>
        <v>0</v>
      </c>
      <c r="AI23" s="460">
        <f>R23-'EDl log'!B23</f>
        <v>-1087593</v>
      </c>
      <c r="AJ23" s="589">
        <v>44428</v>
      </c>
      <c r="AK23" s="460">
        <f t="shared" si="34"/>
        <v>669055</v>
      </c>
      <c r="AL23" s="606">
        <f t="shared" si="35"/>
        <v>444527</v>
      </c>
      <c r="AM23" s="606">
        <f t="shared" si="13"/>
        <v>1113582</v>
      </c>
      <c r="AN23" s="606">
        <f t="shared" si="23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44429</v>
      </c>
      <c r="D24" s="440">
        <f t="shared" si="7"/>
        <v>32911138</v>
      </c>
      <c r="E24" s="441">
        <f t="shared" si="14"/>
        <v>0</v>
      </c>
      <c r="F24" s="638">
        <f t="shared" si="26"/>
        <v>4075544</v>
      </c>
      <c r="G24" s="308">
        <f t="shared" si="15"/>
        <v>0</v>
      </c>
      <c r="H24" s="440">
        <f t="shared" si="27"/>
        <v>17946082</v>
      </c>
      <c r="I24" s="433">
        <f t="shared" si="16"/>
        <v>0</v>
      </c>
      <c r="J24" s="440">
        <f t="shared" si="28"/>
        <v>29426834</v>
      </c>
      <c r="K24" s="308">
        <f t="shared" si="17"/>
        <v>0</v>
      </c>
      <c r="L24" s="440">
        <f t="shared" si="29"/>
        <v>24384630</v>
      </c>
      <c r="M24" s="308">
        <f t="shared" si="18"/>
        <v>0</v>
      </c>
      <c r="N24" s="307">
        <f t="shared" si="19"/>
        <v>0</v>
      </c>
      <c r="O24" s="461">
        <f t="shared" si="36"/>
        <v>0</v>
      </c>
      <c r="P24" s="627">
        <f t="shared" si="30"/>
        <v>18076.45</v>
      </c>
      <c r="Q24" s="444">
        <f t="shared" si="38"/>
        <v>0</v>
      </c>
      <c r="R24" s="444">
        <f t="shared" si="39"/>
        <v>0</v>
      </c>
      <c r="S24" s="440">
        <f t="shared" si="8"/>
        <v>10175</v>
      </c>
      <c r="T24" s="463">
        <f t="shared" si="2"/>
        <v>0</v>
      </c>
      <c r="U24" s="440">
        <f t="shared" si="9"/>
        <v>429166</v>
      </c>
      <c r="V24" s="444">
        <f t="shared" si="20"/>
        <v>0</v>
      </c>
      <c r="W24" s="440">
        <f t="shared" si="10"/>
        <v>33129</v>
      </c>
      <c r="X24" s="444">
        <f t="shared" si="31"/>
        <v>0</v>
      </c>
      <c r="Y24" s="440">
        <f t="shared" si="11"/>
        <v>911183</v>
      </c>
      <c r="Z24" s="444">
        <f t="shared" si="25"/>
        <v>0</v>
      </c>
      <c r="AA24" s="440">
        <f t="shared" si="32"/>
        <v>36505</v>
      </c>
      <c r="AB24" s="444">
        <f t="shared" si="21"/>
        <v>0</v>
      </c>
      <c r="AC24" s="440">
        <f t="shared" si="33"/>
        <v>1096769</v>
      </c>
      <c r="AD24" s="444">
        <f t="shared" si="40"/>
        <v>0</v>
      </c>
      <c r="AE24" s="466">
        <f t="shared" si="12"/>
        <v>0</v>
      </c>
      <c r="AF24" s="467">
        <f t="shared" si="4"/>
        <v>0</v>
      </c>
      <c r="AG24" s="459">
        <f t="shared" si="37"/>
        <v>0</v>
      </c>
      <c r="AI24" s="460">
        <f>R24-'EDl log'!B24</f>
        <v>-1087593</v>
      </c>
      <c r="AJ24" s="589">
        <v>44429</v>
      </c>
      <c r="AK24" s="460">
        <f t="shared" si="34"/>
        <v>669055</v>
      </c>
      <c r="AL24" s="606">
        <f t="shared" si="35"/>
        <v>444527</v>
      </c>
      <c r="AM24" s="606">
        <f t="shared" si="13"/>
        <v>1113582</v>
      </c>
      <c r="AN24" s="606">
        <f t="shared" si="23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44430</v>
      </c>
      <c r="D25" s="440">
        <f t="shared" si="7"/>
        <v>32911138</v>
      </c>
      <c r="E25" s="441">
        <f t="shared" si="14"/>
        <v>3613</v>
      </c>
      <c r="F25" s="638">
        <v>4076164</v>
      </c>
      <c r="G25" s="308">
        <f t="shared" si="15"/>
        <v>620</v>
      </c>
      <c r="H25" s="440">
        <v>17946698</v>
      </c>
      <c r="I25" s="308">
        <f t="shared" si="16"/>
        <v>616</v>
      </c>
      <c r="J25" s="440">
        <v>29432426</v>
      </c>
      <c r="K25" s="308">
        <f t="shared" si="17"/>
        <v>5592</v>
      </c>
      <c r="L25" s="440">
        <v>24386198</v>
      </c>
      <c r="M25" s="308">
        <f t="shared" si="18"/>
        <v>1568</v>
      </c>
      <c r="N25" s="307">
        <f t="shared" si="19"/>
        <v>12009</v>
      </c>
      <c r="O25" s="461">
        <f t="shared" si="36"/>
        <v>0</v>
      </c>
      <c r="P25" s="627">
        <v>18088.102999999999</v>
      </c>
      <c r="Q25" s="444">
        <f t="shared" si="38"/>
        <v>11652.999999998428</v>
      </c>
      <c r="R25" s="444">
        <f t="shared" si="39"/>
        <v>356.00000000157161</v>
      </c>
      <c r="S25" s="440">
        <f t="shared" si="8"/>
        <v>10175</v>
      </c>
      <c r="T25" s="463">
        <f t="shared" si="2"/>
        <v>0</v>
      </c>
      <c r="U25" s="440">
        <f t="shared" si="9"/>
        <v>429166</v>
      </c>
      <c r="V25" s="444">
        <f t="shared" si="20"/>
        <v>0</v>
      </c>
      <c r="W25" s="440">
        <v>33142</v>
      </c>
      <c r="X25" s="444">
        <f t="shared" si="31"/>
        <v>13</v>
      </c>
      <c r="Y25" s="440">
        <v>914354</v>
      </c>
      <c r="Z25" s="444">
        <f t="shared" si="25"/>
        <v>3171</v>
      </c>
      <c r="AA25" s="440">
        <v>36507</v>
      </c>
      <c r="AB25" s="444">
        <f t="shared" si="21"/>
        <v>2</v>
      </c>
      <c r="AC25" s="440">
        <v>1097266</v>
      </c>
      <c r="AD25" s="444">
        <f t="shared" si="40"/>
        <v>497</v>
      </c>
      <c r="AE25" s="466">
        <f t="shared" si="12"/>
        <v>15</v>
      </c>
      <c r="AF25" s="467">
        <f t="shared" si="4"/>
        <v>3668</v>
      </c>
      <c r="AG25" s="459">
        <f t="shared" si="37"/>
        <v>244.53333333333333</v>
      </c>
      <c r="AI25" s="460">
        <f>R25-'EDl log'!B25</f>
        <v>-1087376.9999999984</v>
      </c>
      <c r="AJ25" s="589">
        <v>44430</v>
      </c>
      <c r="AK25" s="460">
        <v>672401</v>
      </c>
      <c r="AL25" s="606">
        <v>444794</v>
      </c>
      <c r="AM25" s="606">
        <f t="shared" si="13"/>
        <v>1117195</v>
      </c>
      <c r="AN25" s="606">
        <f t="shared" si="23"/>
        <v>3613</v>
      </c>
    </row>
    <row r="26" spans="1:40">
      <c r="A26" s="452">
        <f>'General information '!F28</f>
        <v>0</v>
      </c>
      <c r="B26" s="446">
        <f t="shared" si="6"/>
        <v>0</v>
      </c>
      <c r="C26" s="453">
        <v>44431</v>
      </c>
      <c r="D26" s="440">
        <f t="shared" si="7"/>
        <v>32911138</v>
      </c>
      <c r="E26" s="441">
        <f t="shared" si="14"/>
        <v>5937</v>
      </c>
      <c r="F26" s="638">
        <v>4076623</v>
      </c>
      <c r="G26" s="308">
        <f t="shared" si="15"/>
        <v>459</v>
      </c>
      <c r="H26" s="440">
        <v>17947272</v>
      </c>
      <c r="I26" s="308">
        <f t="shared" si="16"/>
        <v>574</v>
      </c>
      <c r="J26" s="440">
        <v>29434264</v>
      </c>
      <c r="K26" s="308">
        <f t="shared" si="17"/>
        <v>1838</v>
      </c>
      <c r="L26" s="440">
        <v>24387514</v>
      </c>
      <c r="M26" s="308">
        <f t="shared" si="18"/>
        <v>1316</v>
      </c>
      <c r="N26" s="307">
        <f t="shared" si="19"/>
        <v>10124</v>
      </c>
      <c r="O26" s="461">
        <f t="shared" si="36"/>
        <v>0</v>
      </c>
      <c r="P26" s="627">
        <v>18098.017</v>
      </c>
      <c r="Q26" s="444">
        <f t="shared" si="38"/>
        <v>9914.0000000006694</v>
      </c>
      <c r="R26" s="444">
        <f t="shared" si="39"/>
        <v>209.99999999933061</v>
      </c>
      <c r="S26" s="440">
        <f t="shared" si="8"/>
        <v>10175</v>
      </c>
      <c r="T26" s="463">
        <f t="shared" si="2"/>
        <v>0</v>
      </c>
      <c r="U26" s="440">
        <f t="shared" si="9"/>
        <v>429166</v>
      </c>
      <c r="V26" s="444">
        <f t="shared" si="20"/>
        <v>0</v>
      </c>
      <c r="W26" s="440">
        <f t="shared" si="10"/>
        <v>33142</v>
      </c>
      <c r="X26" s="444">
        <f t="shared" si="31"/>
        <v>0</v>
      </c>
      <c r="Y26" s="440">
        <f t="shared" si="11"/>
        <v>914354</v>
      </c>
      <c r="Z26" s="444">
        <f t="shared" si="25"/>
        <v>0</v>
      </c>
      <c r="AA26" s="440">
        <v>36518</v>
      </c>
      <c r="AB26" s="444">
        <f t="shared" si="21"/>
        <v>11</v>
      </c>
      <c r="AC26" s="440">
        <v>1100751</v>
      </c>
      <c r="AD26" s="444">
        <f t="shared" si="40"/>
        <v>3485</v>
      </c>
      <c r="AE26" s="466">
        <f t="shared" si="12"/>
        <v>11</v>
      </c>
      <c r="AF26" s="467">
        <f t="shared" si="4"/>
        <v>3485</v>
      </c>
      <c r="AG26" s="459">
        <f t="shared" si="37"/>
        <v>316.81818181818181</v>
      </c>
      <c r="AI26" s="460">
        <f>R26-'EDl log'!B26</f>
        <v>-1087523.0000000007</v>
      </c>
      <c r="AJ26" s="589">
        <v>44431</v>
      </c>
      <c r="AK26" s="460">
        <v>678367</v>
      </c>
      <c r="AL26" s="606">
        <v>444765</v>
      </c>
      <c r="AM26" s="606">
        <f t="shared" si="13"/>
        <v>1123132</v>
      </c>
      <c r="AN26" s="606">
        <f t="shared" si="23"/>
        <v>5937</v>
      </c>
    </row>
    <row r="27" spans="1:40">
      <c r="A27" s="452">
        <f>'General information '!F29</f>
        <v>0</v>
      </c>
      <c r="B27" s="446">
        <f t="shared" si="6"/>
        <v>0</v>
      </c>
      <c r="C27" s="453">
        <v>44432</v>
      </c>
      <c r="D27" s="440">
        <f t="shared" si="7"/>
        <v>32911138</v>
      </c>
      <c r="E27" s="441">
        <f t="shared" si="14"/>
        <v>6428</v>
      </c>
      <c r="F27" s="638">
        <v>4077375</v>
      </c>
      <c r="G27" s="308">
        <f t="shared" si="15"/>
        <v>752</v>
      </c>
      <c r="H27" s="440">
        <v>17948206</v>
      </c>
      <c r="I27" s="308">
        <f t="shared" si="16"/>
        <v>934</v>
      </c>
      <c r="J27" s="440">
        <v>29441270</v>
      </c>
      <c r="K27" s="308">
        <f t="shared" si="17"/>
        <v>7006</v>
      </c>
      <c r="L27" s="440">
        <v>24389890</v>
      </c>
      <c r="M27" s="308">
        <f t="shared" si="18"/>
        <v>2376</v>
      </c>
      <c r="N27" s="307">
        <f t="shared" si="19"/>
        <v>17496</v>
      </c>
      <c r="O27" s="461">
        <f t="shared" si="36"/>
        <v>0</v>
      </c>
      <c r="P27" s="627">
        <v>18115.291000000001</v>
      </c>
      <c r="Q27" s="444">
        <f t="shared" si="38"/>
        <v>17274.000000001251</v>
      </c>
      <c r="R27" s="444">
        <f t="shared" si="39"/>
        <v>221.99999999874854</v>
      </c>
      <c r="S27" s="440">
        <f t="shared" si="8"/>
        <v>10175</v>
      </c>
      <c r="T27" s="463">
        <f t="shared" si="2"/>
        <v>0</v>
      </c>
      <c r="U27" s="440">
        <f t="shared" si="9"/>
        <v>429166</v>
      </c>
      <c r="V27" s="444">
        <f t="shared" si="20"/>
        <v>0</v>
      </c>
      <c r="W27" s="440">
        <v>33155</v>
      </c>
      <c r="X27" s="444">
        <f t="shared" si="31"/>
        <v>13</v>
      </c>
      <c r="Y27" s="440">
        <v>918004</v>
      </c>
      <c r="Z27" s="444">
        <f t="shared" si="25"/>
        <v>3650</v>
      </c>
      <c r="AA27" s="440">
        <v>36527</v>
      </c>
      <c r="AB27" s="444">
        <f t="shared" si="21"/>
        <v>9</v>
      </c>
      <c r="AC27" s="440">
        <v>1103174</v>
      </c>
      <c r="AD27" s="444">
        <f t="shared" si="40"/>
        <v>2423</v>
      </c>
      <c r="AE27" s="466">
        <f t="shared" si="12"/>
        <v>22</v>
      </c>
      <c r="AF27" s="467">
        <f t="shared" si="4"/>
        <v>6073</v>
      </c>
      <c r="AG27" s="459">
        <f t="shared" si="37"/>
        <v>276.04545454545456</v>
      </c>
      <c r="AI27" s="460">
        <f>R27-'EDl log'!B27</f>
        <v>-1088329.0000000012</v>
      </c>
      <c r="AJ27" s="589">
        <v>44432</v>
      </c>
      <c r="AK27" s="460">
        <v>684682</v>
      </c>
      <c r="AL27" s="606">
        <v>444878</v>
      </c>
      <c r="AM27" s="606">
        <f t="shared" si="13"/>
        <v>1129560</v>
      </c>
      <c r="AN27" s="606">
        <f t="shared" si="23"/>
        <v>6428</v>
      </c>
    </row>
    <row r="28" spans="1:40">
      <c r="A28" s="452">
        <f>'General information '!F30</f>
        <v>0</v>
      </c>
      <c r="B28" s="446">
        <f t="shared" si="6"/>
        <v>0</v>
      </c>
      <c r="C28" s="453">
        <v>44433</v>
      </c>
      <c r="D28" s="440">
        <f t="shared" si="7"/>
        <v>32911138</v>
      </c>
      <c r="E28" s="441">
        <f t="shared" si="14"/>
        <v>8591</v>
      </c>
      <c r="F28" s="638">
        <v>4078092</v>
      </c>
      <c r="G28" s="308">
        <f>F28-F27</f>
        <v>717</v>
      </c>
      <c r="H28" s="440">
        <v>17949006</v>
      </c>
      <c r="I28" s="308">
        <f t="shared" si="16"/>
        <v>800</v>
      </c>
      <c r="J28" s="440">
        <v>29444394</v>
      </c>
      <c r="K28" s="308">
        <f t="shared" si="17"/>
        <v>3124</v>
      </c>
      <c r="L28" s="440">
        <v>24392108</v>
      </c>
      <c r="M28" s="308">
        <f t="shared" si="18"/>
        <v>2218</v>
      </c>
      <c r="N28" s="307">
        <f t="shared" si="19"/>
        <v>15450</v>
      </c>
      <c r="O28" s="461">
        <f t="shared" si="36"/>
        <v>0</v>
      </c>
      <c r="P28" s="627">
        <v>18130.258000000002</v>
      </c>
      <c r="Q28" s="444">
        <f t="shared" si="38"/>
        <v>14967.000000000553</v>
      </c>
      <c r="R28" s="444">
        <f t="shared" si="39"/>
        <v>482.99999999944703</v>
      </c>
      <c r="S28" s="440">
        <f t="shared" si="8"/>
        <v>10175</v>
      </c>
      <c r="T28" s="463">
        <f t="shared" si="2"/>
        <v>0</v>
      </c>
      <c r="U28" s="440">
        <f t="shared" si="9"/>
        <v>429166</v>
      </c>
      <c r="V28" s="444">
        <f t="shared" si="20"/>
        <v>0</v>
      </c>
      <c r="W28" s="440">
        <v>33156</v>
      </c>
      <c r="X28" s="444">
        <f t="shared" si="31"/>
        <v>1</v>
      </c>
      <c r="Y28" s="440">
        <v>918487</v>
      </c>
      <c r="Z28" s="444">
        <f t="shared" si="25"/>
        <v>483</v>
      </c>
      <c r="AA28" s="440">
        <v>36544</v>
      </c>
      <c r="AB28" s="444">
        <f t="shared" si="21"/>
        <v>17</v>
      </c>
      <c r="AC28" s="440">
        <v>1107949</v>
      </c>
      <c r="AD28" s="444">
        <f t="shared" si="40"/>
        <v>4775</v>
      </c>
      <c r="AE28" s="466">
        <f t="shared" si="12"/>
        <v>18</v>
      </c>
      <c r="AF28" s="467">
        <f t="shared" si="4"/>
        <v>5258</v>
      </c>
      <c r="AG28" s="459">
        <f t="shared" si="37"/>
        <v>292.11111111111109</v>
      </c>
      <c r="AI28" s="460">
        <f>R28-'EDl log'!B28</f>
        <v>-1088522.0000000005</v>
      </c>
      <c r="AJ28" s="589">
        <v>44433</v>
      </c>
      <c r="AK28" s="460">
        <v>693101</v>
      </c>
      <c r="AL28" s="606">
        <v>445050</v>
      </c>
      <c r="AM28" s="606">
        <f t="shared" si="13"/>
        <v>1138151</v>
      </c>
      <c r="AN28" s="606">
        <f t="shared" si="23"/>
        <v>8591</v>
      </c>
    </row>
    <row r="29" spans="1:40">
      <c r="A29" s="452">
        <f>'General information '!F31</f>
        <v>0</v>
      </c>
      <c r="B29" s="446">
        <f t="shared" si="6"/>
        <v>0</v>
      </c>
      <c r="C29" s="453">
        <v>44434</v>
      </c>
      <c r="D29" s="440">
        <f t="shared" si="7"/>
        <v>32911138</v>
      </c>
      <c r="E29" s="441">
        <f t="shared" si="14"/>
        <v>9953</v>
      </c>
      <c r="F29" s="638">
        <v>4078796</v>
      </c>
      <c r="G29" s="308">
        <f t="shared" si="15"/>
        <v>704</v>
      </c>
      <c r="H29" s="440">
        <v>17949954</v>
      </c>
      <c r="I29" s="308">
        <f t="shared" si="16"/>
        <v>948</v>
      </c>
      <c r="J29" s="440">
        <v>29447294</v>
      </c>
      <c r="K29" s="308">
        <f t="shared" si="17"/>
        <v>2900</v>
      </c>
      <c r="L29" s="440">
        <v>24394206</v>
      </c>
      <c r="M29" s="308">
        <f t="shared" si="18"/>
        <v>2098</v>
      </c>
      <c r="N29" s="307">
        <f t="shared" si="19"/>
        <v>16603</v>
      </c>
      <c r="O29" s="461">
        <f t="shared" si="36"/>
        <v>0</v>
      </c>
      <c r="P29" s="627">
        <v>18146.465</v>
      </c>
      <c r="Q29" s="444">
        <f t="shared" si="38"/>
        <v>16206.999999998516</v>
      </c>
      <c r="R29" s="444">
        <f t="shared" si="39"/>
        <v>396.0000000014843</v>
      </c>
      <c r="S29" s="440">
        <f t="shared" si="8"/>
        <v>10175</v>
      </c>
      <c r="T29" s="463">
        <f t="shared" si="2"/>
        <v>0</v>
      </c>
      <c r="U29" s="440">
        <f t="shared" si="9"/>
        <v>429166</v>
      </c>
      <c r="V29" s="444">
        <f t="shared" si="20"/>
        <v>0</v>
      </c>
      <c r="W29" s="440">
        <v>33156</v>
      </c>
      <c r="X29" s="444">
        <f t="shared" si="31"/>
        <v>0</v>
      </c>
      <c r="Y29" s="440">
        <v>918488</v>
      </c>
      <c r="Z29" s="444">
        <f t="shared" si="25"/>
        <v>1</v>
      </c>
      <c r="AA29" s="440">
        <v>36564</v>
      </c>
      <c r="AB29" s="444">
        <f t="shared" si="21"/>
        <v>20</v>
      </c>
      <c r="AC29" s="440">
        <v>1113231</v>
      </c>
      <c r="AD29" s="444">
        <f t="shared" si="40"/>
        <v>5282</v>
      </c>
      <c r="AE29" s="466">
        <f t="shared" si="12"/>
        <v>20</v>
      </c>
      <c r="AF29" s="467">
        <f t="shared" si="4"/>
        <v>5283</v>
      </c>
      <c r="AG29" s="459">
        <f t="shared" si="37"/>
        <v>264.14999999999998</v>
      </c>
      <c r="AI29" s="460">
        <f>R29-'EDl log'!B29</f>
        <v>-1089010.9999999986</v>
      </c>
      <c r="AJ29" s="589">
        <v>44434</v>
      </c>
      <c r="AK29" s="460">
        <v>702931</v>
      </c>
      <c r="AL29" s="606">
        <v>445173</v>
      </c>
      <c r="AM29" s="606">
        <f t="shared" si="13"/>
        <v>1148104</v>
      </c>
      <c r="AN29" s="606">
        <f t="shared" si="23"/>
        <v>9953</v>
      </c>
    </row>
    <row r="30" spans="1:40">
      <c r="A30" s="452">
        <f>'General information '!F32</f>
        <v>0</v>
      </c>
      <c r="B30" s="446">
        <f>SUM(230*A30)</f>
        <v>0</v>
      </c>
      <c r="C30" s="453">
        <v>44435</v>
      </c>
      <c r="D30" s="440">
        <f t="shared" si="7"/>
        <v>32911138</v>
      </c>
      <c r="E30" s="441">
        <f t="shared" si="14"/>
        <v>0</v>
      </c>
      <c r="F30" s="638">
        <f t="shared" si="26"/>
        <v>4078796</v>
      </c>
      <c r="G30" s="308">
        <f t="shared" si="15"/>
        <v>0</v>
      </c>
      <c r="H30" s="440">
        <f t="shared" si="27"/>
        <v>17949954</v>
      </c>
      <c r="I30" s="308">
        <f t="shared" si="16"/>
        <v>0</v>
      </c>
      <c r="J30" s="440">
        <f t="shared" si="28"/>
        <v>29447294</v>
      </c>
      <c r="K30" s="308">
        <f t="shared" si="17"/>
        <v>0</v>
      </c>
      <c r="L30" s="440">
        <f t="shared" si="29"/>
        <v>24394206</v>
      </c>
      <c r="M30" s="308">
        <f t="shared" si="18"/>
        <v>0</v>
      </c>
      <c r="N30" s="307">
        <f t="shared" si="19"/>
        <v>0</v>
      </c>
      <c r="O30" s="461">
        <f t="shared" si="36"/>
        <v>0</v>
      </c>
      <c r="P30" s="627">
        <f t="shared" si="30"/>
        <v>18146.465</v>
      </c>
      <c r="Q30" s="444">
        <f t="shared" si="38"/>
        <v>0</v>
      </c>
      <c r="R30" s="444">
        <f t="shared" si="39"/>
        <v>0</v>
      </c>
      <c r="S30" s="440">
        <f t="shared" si="8"/>
        <v>10175</v>
      </c>
      <c r="T30" s="463">
        <f t="shared" si="2"/>
        <v>0</v>
      </c>
      <c r="U30" s="440">
        <f t="shared" si="9"/>
        <v>429166</v>
      </c>
      <c r="V30" s="444">
        <f t="shared" si="20"/>
        <v>0</v>
      </c>
      <c r="W30" s="440">
        <f t="shared" si="10"/>
        <v>33156</v>
      </c>
      <c r="X30" s="444">
        <f t="shared" si="31"/>
        <v>0</v>
      </c>
      <c r="Y30" s="440">
        <f t="shared" si="11"/>
        <v>918488</v>
      </c>
      <c r="Z30" s="444">
        <f t="shared" si="25"/>
        <v>0</v>
      </c>
      <c r="AA30" s="440">
        <f t="shared" si="32"/>
        <v>36564</v>
      </c>
      <c r="AB30" s="444">
        <f t="shared" si="21"/>
        <v>0</v>
      </c>
      <c r="AC30" s="440">
        <f t="shared" si="33"/>
        <v>1113231</v>
      </c>
      <c r="AD30" s="444">
        <f t="shared" si="40"/>
        <v>0</v>
      </c>
      <c r="AE30" s="466">
        <f t="shared" si="12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-1089407</v>
      </c>
      <c r="AJ30" s="589">
        <v>44435</v>
      </c>
      <c r="AK30" s="460">
        <f t="shared" si="34"/>
        <v>702931</v>
      </c>
      <c r="AL30" s="606">
        <f t="shared" si="35"/>
        <v>445173</v>
      </c>
      <c r="AM30" s="606">
        <f t="shared" si="13"/>
        <v>1148104</v>
      </c>
      <c r="AN30" s="606">
        <f t="shared" si="23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44436</v>
      </c>
      <c r="D31" s="440">
        <f t="shared" si="7"/>
        <v>32911138</v>
      </c>
      <c r="E31" s="441">
        <f t="shared" si="14"/>
        <v>0</v>
      </c>
      <c r="F31" s="638">
        <f t="shared" si="26"/>
        <v>4078796</v>
      </c>
      <c r="G31" s="308">
        <f t="shared" si="15"/>
        <v>0</v>
      </c>
      <c r="H31" s="440">
        <f t="shared" si="27"/>
        <v>17949954</v>
      </c>
      <c r="I31" s="308">
        <f t="shared" si="16"/>
        <v>0</v>
      </c>
      <c r="J31" s="440">
        <f t="shared" si="28"/>
        <v>29447294</v>
      </c>
      <c r="K31" s="308">
        <f t="shared" si="17"/>
        <v>0</v>
      </c>
      <c r="L31" s="440">
        <f t="shared" si="29"/>
        <v>24394206</v>
      </c>
      <c r="M31" s="308">
        <f t="shared" si="18"/>
        <v>0</v>
      </c>
      <c r="N31" s="307">
        <f t="shared" si="19"/>
        <v>0</v>
      </c>
      <c r="O31" s="461">
        <f t="shared" si="36"/>
        <v>0</v>
      </c>
      <c r="P31" s="627">
        <f t="shared" si="30"/>
        <v>18146.465</v>
      </c>
      <c r="Q31" s="444">
        <f t="shared" si="38"/>
        <v>0</v>
      </c>
      <c r="R31" s="444">
        <f t="shared" si="39"/>
        <v>0</v>
      </c>
      <c r="S31" s="440">
        <f t="shared" si="8"/>
        <v>10175</v>
      </c>
      <c r="T31" s="463">
        <f t="shared" si="2"/>
        <v>0</v>
      </c>
      <c r="U31" s="440">
        <f t="shared" si="9"/>
        <v>429166</v>
      </c>
      <c r="V31" s="444">
        <f t="shared" si="20"/>
        <v>0</v>
      </c>
      <c r="W31" s="440">
        <f t="shared" si="10"/>
        <v>33156</v>
      </c>
      <c r="X31" s="464">
        <f t="shared" si="31"/>
        <v>0</v>
      </c>
      <c r="Y31" s="440">
        <f t="shared" si="11"/>
        <v>918488</v>
      </c>
      <c r="Z31" s="444">
        <f t="shared" si="25"/>
        <v>0</v>
      </c>
      <c r="AA31" s="440">
        <f t="shared" si="32"/>
        <v>36564</v>
      </c>
      <c r="AB31" s="444">
        <f t="shared" si="21"/>
        <v>0</v>
      </c>
      <c r="AC31" s="440">
        <f t="shared" si="33"/>
        <v>1113231</v>
      </c>
      <c r="AD31" s="444">
        <f t="shared" si="40"/>
        <v>0</v>
      </c>
      <c r="AE31" s="466">
        <f t="shared" si="12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-1089407</v>
      </c>
      <c r="AJ31" s="589">
        <v>44436</v>
      </c>
      <c r="AK31" s="460">
        <f t="shared" si="34"/>
        <v>702931</v>
      </c>
      <c r="AL31" s="606">
        <f t="shared" si="35"/>
        <v>445173</v>
      </c>
      <c r="AM31" s="606">
        <f t="shared" si="13"/>
        <v>1148104</v>
      </c>
      <c r="AN31" s="606">
        <f t="shared" si="23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44437</v>
      </c>
      <c r="D32" s="440">
        <f t="shared" si="7"/>
        <v>32911138</v>
      </c>
      <c r="E32" s="441">
        <f t="shared" si="14"/>
        <v>9984</v>
      </c>
      <c r="F32" s="638">
        <v>4079525</v>
      </c>
      <c r="G32" s="308">
        <f t="shared" si="15"/>
        <v>729</v>
      </c>
      <c r="H32" s="440">
        <v>17950882</v>
      </c>
      <c r="I32" s="308">
        <f t="shared" si="16"/>
        <v>928</v>
      </c>
      <c r="J32" s="440">
        <v>29450222</v>
      </c>
      <c r="K32" s="308">
        <f t="shared" si="17"/>
        <v>2928</v>
      </c>
      <c r="L32" s="440">
        <v>24396470</v>
      </c>
      <c r="M32" s="308">
        <f t="shared" si="18"/>
        <v>2264</v>
      </c>
      <c r="N32" s="307">
        <f t="shared" si="19"/>
        <v>16833</v>
      </c>
      <c r="O32" s="461">
        <f>IF(B32&gt;0,N32/B32,0)</f>
        <v>0</v>
      </c>
      <c r="P32" s="627">
        <v>18162.888999999999</v>
      </c>
      <c r="Q32" s="444">
        <f>(P32-P31)*1000</f>
        <v>16423.999999999069</v>
      </c>
      <c r="R32" s="444">
        <f>N32-Q32</f>
        <v>409.00000000093132</v>
      </c>
      <c r="S32" s="440">
        <f t="shared" si="8"/>
        <v>10175</v>
      </c>
      <c r="T32" s="463">
        <f>S32-S31</f>
        <v>0</v>
      </c>
      <c r="U32" s="440">
        <f t="shared" si="9"/>
        <v>429166</v>
      </c>
      <c r="V32" s="444">
        <f>U32-U31</f>
        <v>0</v>
      </c>
      <c r="W32" s="440">
        <v>33156</v>
      </c>
      <c r="X32" s="464">
        <f>W32-W31</f>
        <v>0</v>
      </c>
      <c r="Y32" s="440">
        <v>918488</v>
      </c>
      <c r="Z32" s="444">
        <f>Y32-Y31</f>
        <v>0</v>
      </c>
      <c r="AA32" s="440">
        <v>36584</v>
      </c>
      <c r="AB32" s="444">
        <f>AA32-AA31</f>
        <v>20</v>
      </c>
      <c r="AC32" s="440">
        <v>1118866</v>
      </c>
      <c r="AD32" s="444">
        <f>AC32-AC31</f>
        <v>5635</v>
      </c>
      <c r="AE32" s="466">
        <f>AB32+X32+T32</f>
        <v>20</v>
      </c>
      <c r="AF32" s="467">
        <f>V32+Z32+AD32</f>
        <v>5635</v>
      </c>
      <c r="AG32" s="459">
        <f>IF(AE32&gt;0,AF32/AE32,0)</f>
        <v>281.75</v>
      </c>
      <c r="AI32" s="460">
        <f>R32-'EDl log'!B32</f>
        <v>-1088997.9999999991</v>
      </c>
      <c r="AJ32" s="589">
        <v>44437</v>
      </c>
      <c r="AK32" s="460">
        <v>712736</v>
      </c>
      <c r="AL32" s="606">
        <v>445352</v>
      </c>
      <c r="AM32" s="606">
        <f t="shared" si="13"/>
        <v>1158088</v>
      </c>
      <c r="AN32" s="606">
        <f t="shared" si="23"/>
        <v>9984</v>
      </c>
    </row>
    <row r="33" spans="1:40">
      <c r="A33" s="452">
        <f>'General information '!F35</f>
        <v>0</v>
      </c>
      <c r="B33" s="446">
        <f>SUM(230*A33)</f>
        <v>0</v>
      </c>
      <c r="C33" s="453">
        <v>44438</v>
      </c>
      <c r="D33" s="440">
        <f t="shared" si="7"/>
        <v>32911138</v>
      </c>
      <c r="E33" s="441">
        <f t="shared" si="14"/>
        <v>4602</v>
      </c>
      <c r="F33" s="638">
        <v>4079855</v>
      </c>
      <c r="G33" s="308">
        <f t="shared" si="15"/>
        <v>330</v>
      </c>
      <c r="H33" s="440">
        <v>17951324</v>
      </c>
      <c r="I33" s="308">
        <f t="shared" si="16"/>
        <v>442</v>
      </c>
      <c r="J33" s="440">
        <v>29451542</v>
      </c>
      <c r="K33" s="308">
        <f t="shared" si="17"/>
        <v>1320</v>
      </c>
      <c r="L33" s="440">
        <v>24397506</v>
      </c>
      <c r="M33" s="308">
        <f t="shared" si="18"/>
        <v>1036</v>
      </c>
      <c r="N33" s="307">
        <f t="shared" si="19"/>
        <v>7730</v>
      </c>
      <c r="O33" s="461">
        <f>IF(B33&gt;0,N33/B33,0)</f>
        <v>0</v>
      </c>
      <c r="P33" s="627">
        <v>18170.548999999999</v>
      </c>
      <c r="Q33" s="444">
        <f>(P33-P32)*1000</f>
        <v>7659.9999999998545</v>
      </c>
      <c r="R33" s="444">
        <f>N33-Q33</f>
        <v>70.000000000145519</v>
      </c>
      <c r="S33" s="440">
        <f t="shared" si="8"/>
        <v>10175</v>
      </c>
      <c r="T33" s="463">
        <f>S33-S32</f>
        <v>0</v>
      </c>
      <c r="U33" s="440">
        <f t="shared" si="9"/>
        <v>429166</v>
      </c>
      <c r="V33" s="444">
        <f>U33-U32</f>
        <v>0</v>
      </c>
      <c r="W33" s="440">
        <v>33156</v>
      </c>
      <c r="X33" s="464">
        <f>W33-W32</f>
        <v>0</v>
      </c>
      <c r="Y33" s="440">
        <f t="shared" si="11"/>
        <v>918488</v>
      </c>
      <c r="Z33" s="444">
        <f>Y33-Y32</f>
        <v>0</v>
      </c>
      <c r="AA33" s="440">
        <v>36594</v>
      </c>
      <c r="AB33" s="444">
        <f>AA33-AA32</f>
        <v>10</v>
      </c>
      <c r="AC33" s="440">
        <v>1121644</v>
      </c>
      <c r="AD33" s="444">
        <f>AC33-AC32</f>
        <v>2778</v>
      </c>
      <c r="AE33" s="466">
        <f>AB33+X33+T33</f>
        <v>10</v>
      </c>
      <c r="AF33" s="467">
        <f>V33+Z33+AD33</f>
        <v>2778</v>
      </c>
      <c r="AG33" s="459">
        <f>IF(AE33&gt;0,AF33/AE33,0)</f>
        <v>277.8</v>
      </c>
      <c r="AI33" s="460">
        <f>R33-'EDl log'!B33</f>
        <v>-1089336.9999999998</v>
      </c>
      <c r="AJ33" s="589">
        <v>44438</v>
      </c>
      <c r="AK33" s="460">
        <v>717296</v>
      </c>
      <c r="AL33" s="606">
        <v>445394</v>
      </c>
      <c r="AM33" s="606">
        <f t="shared" si="13"/>
        <v>1162690</v>
      </c>
      <c r="AN33" s="606">
        <f t="shared" si="23"/>
        <v>4602</v>
      </c>
    </row>
    <row r="34" spans="1:40">
      <c r="A34" s="452">
        <f>'General information '!F36</f>
        <v>0</v>
      </c>
      <c r="B34" s="446">
        <f>SUM(230*A34)</f>
        <v>0</v>
      </c>
      <c r="C34" s="453">
        <v>44439</v>
      </c>
      <c r="D34" s="440">
        <f t="shared" si="7"/>
        <v>32911138</v>
      </c>
      <c r="E34" s="441">
        <f t="shared" ref="E34" si="41">AN34</f>
        <v>0</v>
      </c>
      <c r="F34" s="638">
        <f t="shared" si="26"/>
        <v>4079855</v>
      </c>
      <c r="G34" s="308">
        <f t="shared" ref="G34" si="42">F34-F33</f>
        <v>0</v>
      </c>
      <c r="H34" s="440">
        <f t="shared" si="27"/>
        <v>17951324</v>
      </c>
      <c r="I34" s="308">
        <f t="shared" ref="I34" si="43">H34-H33</f>
        <v>0</v>
      </c>
      <c r="J34" s="440">
        <f t="shared" si="28"/>
        <v>29451542</v>
      </c>
      <c r="K34" s="308">
        <f t="shared" ref="K34" si="44">J34-J33</f>
        <v>0</v>
      </c>
      <c r="L34" s="440">
        <f t="shared" si="29"/>
        <v>24397506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27">
        <f t="shared" si="30"/>
        <v>18170.548999999999</v>
      </c>
      <c r="Q34" s="444">
        <f>(P34-P33)*1000</f>
        <v>0</v>
      </c>
      <c r="R34" s="444">
        <f>N34-Q34</f>
        <v>0</v>
      </c>
      <c r="S34" s="440">
        <f t="shared" si="8"/>
        <v>10175</v>
      </c>
      <c r="T34" s="463">
        <f>S34-S33</f>
        <v>0</v>
      </c>
      <c r="U34" s="440">
        <f t="shared" si="9"/>
        <v>429166</v>
      </c>
      <c r="V34" s="444">
        <f>U34-U33</f>
        <v>0</v>
      </c>
      <c r="W34" s="440">
        <f t="shared" si="10"/>
        <v>33156</v>
      </c>
      <c r="X34" s="464">
        <f>W34-W33</f>
        <v>0</v>
      </c>
      <c r="Y34" s="440">
        <f t="shared" si="11"/>
        <v>918488</v>
      </c>
      <c r="Z34" s="444">
        <f>Y34-Y33</f>
        <v>0</v>
      </c>
      <c r="AA34" s="440">
        <f t="shared" si="32"/>
        <v>36594</v>
      </c>
      <c r="AB34" s="444">
        <f>AA34-AA33</f>
        <v>0</v>
      </c>
      <c r="AC34" s="440">
        <f t="shared" si="33"/>
        <v>1121644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-1089407</v>
      </c>
      <c r="AJ34" s="589">
        <v>44439</v>
      </c>
      <c r="AK34" s="460">
        <f t="shared" si="34"/>
        <v>717296</v>
      </c>
      <c r="AL34" s="606">
        <f t="shared" si="35"/>
        <v>445394</v>
      </c>
      <c r="AM34" s="606">
        <f t="shared" ref="AM34" si="47">AK34+AL34</f>
        <v>1162690</v>
      </c>
      <c r="AN34" s="606">
        <f t="shared" ref="AN34" si="48">AM34-AM33</f>
        <v>0</v>
      </c>
    </row>
    <row r="35" spans="1:40" s="626" customFormat="1">
      <c r="A35" s="615"/>
      <c r="B35" s="616"/>
      <c r="C35" s="617"/>
      <c r="D35" s="618"/>
      <c r="E35" s="619"/>
      <c r="F35" s="618"/>
      <c r="G35" s="620"/>
      <c r="H35" s="618"/>
      <c r="I35" s="620"/>
      <c r="J35" s="618"/>
      <c r="K35" s="620"/>
      <c r="L35" s="618"/>
      <c r="M35" s="620"/>
      <c r="N35" s="621"/>
      <c r="O35" s="622"/>
      <c r="P35" s="623"/>
      <c r="Q35" s="614"/>
      <c r="R35" s="614"/>
      <c r="S35" s="618"/>
      <c r="T35" s="624"/>
      <c r="U35" s="618"/>
      <c r="V35" s="614"/>
      <c r="W35" s="618"/>
      <c r="X35" s="614"/>
      <c r="Y35" s="618"/>
      <c r="Z35" s="614"/>
      <c r="AA35" s="618"/>
      <c r="AB35" s="614"/>
      <c r="AC35" s="618"/>
      <c r="AD35" s="614"/>
      <c r="AE35" s="614"/>
      <c r="AF35" s="614"/>
      <c r="AG35" s="625"/>
      <c r="AK35" s="614"/>
      <c r="AL35" s="614"/>
      <c r="AM35" s="614"/>
      <c r="AN35" s="614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7" activePane="bottomLeft" state="frozen"/>
      <selection activeCell="K1" sqref="K1"/>
      <selection pane="bottomLeft" activeCell="S34" sqref="S3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6" t="s">
        <v>2</v>
      </c>
      <c r="G1" s="667"/>
      <c r="H1" s="667"/>
      <c r="I1" s="668"/>
      <c r="J1" s="279">
        <f>J36</f>
        <v>66.349999999999994</v>
      </c>
      <c r="K1" s="669" t="s">
        <v>4</v>
      </c>
      <c r="L1" s="670"/>
      <c r="M1" s="670"/>
      <c r="N1" s="670"/>
      <c r="O1" s="671"/>
      <c r="P1" s="660" t="s">
        <v>6</v>
      </c>
      <c r="Q1" s="661"/>
      <c r="R1" s="661"/>
      <c r="S1" s="661"/>
      <c r="T1" s="662"/>
      <c r="U1" s="393"/>
      <c r="V1" s="27" t="s">
        <v>104</v>
      </c>
      <c r="W1" s="394"/>
      <c r="X1" s="660" t="s">
        <v>8</v>
      </c>
      <c r="Y1" s="661"/>
      <c r="Z1" s="661"/>
      <c r="AA1" s="661"/>
      <c r="AB1" s="661"/>
      <c r="AC1" s="663" t="s">
        <v>10</v>
      </c>
      <c r="AD1" s="664"/>
      <c r="AE1" s="664"/>
      <c r="AF1" s="665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8"/>
      <c r="R2" s="659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44408</v>
      </c>
      <c r="B4" s="391">
        <f>[2]B5!B35</f>
        <v>141</v>
      </c>
      <c r="C4" s="391">
        <f>[2]B5!C35</f>
        <v>148</v>
      </c>
      <c r="D4" s="391">
        <f>[2]B5!D35</f>
        <v>17</v>
      </c>
      <c r="E4" s="391">
        <f>[2]B5!E35</f>
        <v>142.46</v>
      </c>
      <c r="F4" s="391">
        <f>[2]B5!F35</f>
        <v>1865</v>
      </c>
      <c r="G4" s="391">
        <f>[2]B5!G35</f>
        <v>2</v>
      </c>
      <c r="H4" s="391">
        <f>[2]B5!H35</f>
        <v>15240</v>
      </c>
      <c r="I4" s="391">
        <f>[2]B5!I35</f>
        <v>102</v>
      </c>
      <c r="J4" s="391">
        <f>[2]B5!J35</f>
        <v>51</v>
      </c>
      <c r="K4" s="391">
        <f>[2]B5!K35</f>
        <v>2353</v>
      </c>
      <c r="L4" s="391">
        <f>[2]B5!L35</f>
        <v>0</v>
      </c>
      <c r="M4" s="391">
        <f>[2]B5!M35</f>
        <v>173718</v>
      </c>
      <c r="N4" s="391">
        <f>[2]B5!N35</f>
        <v>53</v>
      </c>
      <c r="O4" s="391">
        <f>[2]B5!O35</f>
        <v>1869</v>
      </c>
      <c r="P4" s="391">
        <f>[2]B5!P35</f>
        <v>2118</v>
      </c>
      <c r="Q4" s="391">
        <f>[2]B5!Q35</f>
        <v>177922</v>
      </c>
      <c r="R4" s="391">
        <f>[2]B5!R35</f>
        <v>0</v>
      </c>
      <c r="S4" s="391">
        <f>[2]B5!S35</f>
        <v>0</v>
      </c>
      <c r="T4" s="391">
        <f>[2]B5!T35</f>
        <v>0</v>
      </c>
      <c r="U4" s="391">
        <f>[2]B5!U35</f>
        <v>2</v>
      </c>
      <c r="V4" s="391">
        <f>[2]B5!V35</f>
        <v>155</v>
      </c>
      <c r="W4" s="391">
        <f>[2]B5!W35</f>
        <v>0</v>
      </c>
      <c r="X4" s="391">
        <f>[2]B5!X35</f>
        <v>2470</v>
      </c>
      <c r="Y4" s="391">
        <f>[2]B5!Y35</f>
        <v>0</v>
      </c>
      <c r="Z4" s="391">
        <f>[2]B5!Z35</f>
        <v>139135.70000000001</v>
      </c>
      <c r="AA4" s="391">
        <f>[2]B5!AA35</f>
        <v>0</v>
      </c>
      <c r="AB4" s="391">
        <f>[2]B5!AB35</f>
        <v>0</v>
      </c>
      <c r="AC4" s="391">
        <f>[2]B5!AC35</f>
        <v>1942</v>
      </c>
      <c r="AD4" s="391">
        <f>[2]B5!AD35</f>
        <v>0</v>
      </c>
      <c r="AE4" s="391">
        <f>[2]B5!AE35</f>
        <v>366072</v>
      </c>
      <c r="AF4" s="391">
        <f>[2]B5!AF35</f>
        <v>0</v>
      </c>
      <c r="AG4" s="391">
        <f>[2]B5!AG35</f>
        <v>0</v>
      </c>
      <c r="AH4" s="391">
        <f>[2]B5!AH35</f>
        <v>0</v>
      </c>
      <c r="AI4" s="391">
        <f>[2]B5!AI35</f>
        <v>155</v>
      </c>
      <c r="AJ4" s="391">
        <f>[2]B5!AJ35</f>
        <v>0</v>
      </c>
      <c r="AK4" s="391">
        <f>[2]B5!AK35</f>
        <v>-155</v>
      </c>
      <c r="AL4" s="391">
        <f>[2]B5!AL35</f>
        <v>2</v>
      </c>
      <c r="AM4" s="391">
        <f>[2]B5!AM35</f>
        <v>0</v>
      </c>
      <c r="AN4" s="391">
        <f>[2]B5!AN35</f>
        <v>65</v>
      </c>
      <c r="AO4" s="391">
        <f>[2]B5!AO35</f>
        <v>1950</v>
      </c>
      <c r="AP4" s="391">
        <f>[2]B5!AP35</f>
        <v>55</v>
      </c>
      <c r="AQ4" s="391">
        <f>[2]B5!AQ35</f>
        <v>1650.0000000000002</v>
      </c>
      <c r="AR4" s="391">
        <f>[2]B5!AR35</f>
        <v>61</v>
      </c>
      <c r="AS4" s="391">
        <f>[2]B5!AS35</f>
        <v>1830</v>
      </c>
      <c r="AT4" s="391">
        <f>[2]B5!AT35</f>
        <v>5430</v>
      </c>
      <c r="AU4" s="391">
        <f>[2]B5!AU35</f>
        <v>0</v>
      </c>
      <c r="AV4" s="391">
        <f>[2]B5!AV35</f>
        <v>0</v>
      </c>
      <c r="AW4" s="391">
        <f>[2]B5!AW35</f>
        <v>0</v>
      </c>
      <c r="AX4" s="391">
        <f>[2]B5!AX35</f>
        <v>0.8</v>
      </c>
    </row>
    <row r="5" spans="1:52">
      <c r="A5" s="63">
        <f>ELEC!C4</f>
        <v>44409</v>
      </c>
      <c r="B5" s="572">
        <v>125</v>
      </c>
      <c r="C5" s="572">
        <v>132</v>
      </c>
      <c r="D5" s="45">
        <f>C4-C5</f>
        <v>16</v>
      </c>
      <c r="E5" s="45">
        <f>D5*8.38</f>
        <v>134.08000000000001</v>
      </c>
      <c r="F5" s="572">
        <f>F4</f>
        <v>1865</v>
      </c>
      <c r="G5" s="52">
        <f t="shared" ref="G5:G32" si="0">F5-F4</f>
        <v>0</v>
      </c>
      <c r="H5" s="572">
        <f>H4</f>
        <v>15240</v>
      </c>
      <c r="I5" s="392">
        <f t="shared" ref="I5:I32" si="1">SUM(H5-H4)</f>
        <v>0</v>
      </c>
      <c r="J5" s="66">
        <v>1</v>
      </c>
      <c r="K5" s="572">
        <f>K4</f>
        <v>2353</v>
      </c>
      <c r="L5" s="52">
        <f>K5-K4</f>
        <v>0</v>
      </c>
      <c r="M5" s="572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2">
        <v>2119</v>
      </c>
      <c r="Q5" s="572">
        <v>177965</v>
      </c>
      <c r="R5" s="391">
        <f t="shared" ref="R5:R10" si="4">Q5-Q4</f>
        <v>43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43</v>
      </c>
      <c r="W5" s="396">
        <f>SUM(V5/U5)</f>
        <v>43</v>
      </c>
      <c r="X5" s="572">
        <f>X4</f>
        <v>2470</v>
      </c>
      <c r="Y5" s="52">
        <f>X5-X4</f>
        <v>0</v>
      </c>
      <c r="Z5" s="572">
        <f>Z4</f>
        <v>139135.70000000001</v>
      </c>
      <c r="AA5" s="65">
        <f t="shared" ref="AA5:AA32" si="6">Z5-Z4</f>
        <v>0</v>
      </c>
      <c r="AB5" s="281">
        <f>SUM(Y5*$AB$2)</f>
        <v>0</v>
      </c>
      <c r="AC5" s="572">
        <f>AC4</f>
        <v>1942</v>
      </c>
      <c r="AD5" s="45">
        <f t="shared" ref="AD5:AD32" si="7">AC5-AC4</f>
        <v>0</v>
      </c>
      <c r="AE5" s="572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43</v>
      </c>
      <c r="AJ5" s="314">
        <f>-tanks!AW6</f>
        <v>43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44410</v>
      </c>
      <c r="B6" s="572">
        <v>134</v>
      </c>
      <c r="C6" s="572">
        <v>141</v>
      </c>
      <c r="D6" s="45">
        <f>C5-C6</f>
        <v>-9</v>
      </c>
      <c r="E6" s="45">
        <f t="shared" ref="E6:E32" si="12">D6*8.38</f>
        <v>-75.42</v>
      </c>
      <c r="F6" s="572">
        <f t="shared" ref="F6:F35" si="13">F5</f>
        <v>1865</v>
      </c>
      <c r="G6" s="52">
        <f t="shared" si="0"/>
        <v>0</v>
      </c>
      <c r="H6" s="572">
        <f t="shared" ref="H6:H35" si="14">H5</f>
        <v>15240</v>
      </c>
      <c r="I6" s="392">
        <f t="shared" si="1"/>
        <v>0</v>
      </c>
      <c r="J6" s="66">
        <f t="shared" ref="J6:J32" si="15">IF(G6&gt;0,I6/G6,0)</f>
        <v>0</v>
      </c>
      <c r="K6" s="572">
        <f t="shared" ref="K6:K35" si="16">K5</f>
        <v>2353</v>
      </c>
      <c r="L6" s="52">
        <f t="shared" ref="L6:L32" si="17">K6-K5</f>
        <v>0</v>
      </c>
      <c r="M6" s="572">
        <f t="shared" ref="M6:M35" si="18">M5</f>
        <v>173718</v>
      </c>
      <c r="N6" s="392">
        <f t="shared" si="2"/>
        <v>0</v>
      </c>
      <c r="O6" s="64">
        <f t="shared" si="3"/>
        <v>1869</v>
      </c>
      <c r="P6" s="572">
        <f t="shared" si="3"/>
        <v>2119</v>
      </c>
      <c r="Q6" s="572">
        <f t="shared" si="3"/>
        <v>177965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5" si="22">X5</f>
        <v>2470</v>
      </c>
      <c r="Y6" s="52">
        <f t="shared" ref="Y6:Y32" si="23">X6-X5</f>
        <v>0</v>
      </c>
      <c r="Z6" s="572">
        <f t="shared" ref="Z6:Z35" si="24">Z5</f>
        <v>139135.70000000001</v>
      </c>
      <c r="AA6" s="65">
        <f t="shared" si="6"/>
        <v>0</v>
      </c>
      <c r="AB6" s="281">
        <f>SUM(Y6*$AB$2)</f>
        <v>0</v>
      </c>
      <c r="AC6" s="572">
        <f t="shared" ref="AC6:AC35" si="25">AC5</f>
        <v>1942</v>
      </c>
      <c r="AD6" s="45">
        <f t="shared" si="7"/>
        <v>0</v>
      </c>
      <c r="AE6" s="572">
        <f t="shared" ref="AE6:AE35" si="26">AE5</f>
        <v>366072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44411</v>
      </c>
      <c r="B7" s="572">
        <v>118</v>
      </c>
      <c r="C7" s="572">
        <v>125.5</v>
      </c>
      <c r="D7" s="45">
        <f t="shared" ref="D7:D19" si="34">C6-C7</f>
        <v>15.5</v>
      </c>
      <c r="E7" s="45">
        <f t="shared" si="12"/>
        <v>129.89000000000001</v>
      </c>
      <c r="F7" s="572">
        <f t="shared" si="13"/>
        <v>1865</v>
      </c>
      <c r="G7" s="52">
        <f t="shared" si="0"/>
        <v>0</v>
      </c>
      <c r="H7" s="572">
        <f t="shared" si="14"/>
        <v>15240</v>
      </c>
      <c r="I7" s="392">
        <f t="shared" si="1"/>
        <v>0</v>
      </c>
      <c r="J7" s="66">
        <f t="shared" si="15"/>
        <v>0</v>
      </c>
      <c r="K7" s="572">
        <f t="shared" si="16"/>
        <v>2353</v>
      </c>
      <c r="L7" s="52">
        <f t="shared" si="17"/>
        <v>0</v>
      </c>
      <c r="M7" s="572">
        <f t="shared" si="18"/>
        <v>173718</v>
      </c>
      <c r="N7" s="392">
        <f t="shared" si="2"/>
        <v>0</v>
      </c>
      <c r="O7" s="64">
        <f t="shared" si="3"/>
        <v>1869</v>
      </c>
      <c r="P7" s="572">
        <f t="shared" si="3"/>
        <v>2119</v>
      </c>
      <c r="Q7" s="572">
        <f t="shared" si="3"/>
        <v>177965</v>
      </c>
      <c r="R7" s="391">
        <f t="shared" si="4"/>
        <v>0</v>
      </c>
      <c r="S7" s="52">
        <f t="shared" si="5"/>
        <v>0</v>
      </c>
      <c r="T7" s="67">
        <f t="shared" ref="T7:T32" si="35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139135.70000000001</v>
      </c>
      <c r="AA7" s="65">
        <f t="shared" si="6"/>
        <v>0</v>
      </c>
      <c r="AB7" s="281">
        <f t="shared" ref="AB7:AB17" si="36">SUM(Y7*$AB$2)</f>
        <v>0</v>
      </c>
      <c r="AC7" s="572">
        <f t="shared" si="25"/>
        <v>1942</v>
      </c>
      <c r="AD7" s="45">
        <f t="shared" si="7"/>
        <v>0</v>
      </c>
      <c r="AE7" s="572">
        <f t="shared" si="26"/>
        <v>366072</v>
      </c>
      <c r="AF7" s="303">
        <f t="shared" si="27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39">(AR7/100)*3000</f>
        <v>1830</v>
      </c>
      <c r="AT7" s="316">
        <f t="shared" ref="AT7:AT23" si="40">SUM(AO7+AQ7+AS7)</f>
        <v>5430</v>
      </c>
      <c r="AU7" s="316">
        <f t="shared" ref="AU7:AU32" si="41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44412</v>
      </c>
      <c r="B8" s="572">
        <v>101</v>
      </c>
      <c r="C8" s="572">
        <v>108</v>
      </c>
      <c r="D8" s="45">
        <f t="shared" si="34"/>
        <v>17.5</v>
      </c>
      <c r="E8" s="45">
        <f t="shared" si="12"/>
        <v>146.65</v>
      </c>
      <c r="F8" s="572">
        <f t="shared" si="13"/>
        <v>1865</v>
      </c>
      <c r="G8" s="52">
        <f t="shared" si="0"/>
        <v>0</v>
      </c>
      <c r="H8" s="572">
        <f t="shared" si="14"/>
        <v>15240</v>
      </c>
      <c r="I8" s="392">
        <f t="shared" si="1"/>
        <v>0</v>
      </c>
      <c r="J8" s="66">
        <f t="shared" si="15"/>
        <v>0</v>
      </c>
      <c r="K8" s="572">
        <f t="shared" si="16"/>
        <v>2353</v>
      </c>
      <c r="L8" s="52">
        <f t="shared" si="17"/>
        <v>0</v>
      </c>
      <c r="M8" s="572">
        <f t="shared" si="18"/>
        <v>173718</v>
      </c>
      <c r="N8" s="392">
        <f t="shared" si="2"/>
        <v>0</v>
      </c>
      <c r="O8" s="64">
        <f t="shared" si="3"/>
        <v>1869</v>
      </c>
      <c r="P8" s="572">
        <v>2120</v>
      </c>
      <c r="Q8" s="572">
        <v>178021</v>
      </c>
      <c r="R8" s="391">
        <f t="shared" si="4"/>
        <v>56</v>
      </c>
      <c r="S8" s="52">
        <f t="shared" si="5"/>
        <v>1</v>
      </c>
      <c r="T8" s="67">
        <f t="shared" si="35"/>
        <v>0</v>
      </c>
      <c r="U8" s="398">
        <f t="shared" si="19"/>
        <v>1</v>
      </c>
      <c r="V8" s="62">
        <f t="shared" si="20"/>
        <v>56</v>
      </c>
      <c r="W8" s="396">
        <f t="shared" si="21"/>
        <v>56</v>
      </c>
      <c r="X8" s="572">
        <f t="shared" si="22"/>
        <v>2470</v>
      </c>
      <c r="Y8" s="52">
        <f t="shared" si="23"/>
        <v>0</v>
      </c>
      <c r="Z8" s="572">
        <f t="shared" si="24"/>
        <v>139135.70000000001</v>
      </c>
      <c r="AA8" s="65">
        <f t="shared" si="6"/>
        <v>0</v>
      </c>
      <c r="AB8" s="281">
        <f t="shared" si="36"/>
        <v>0</v>
      </c>
      <c r="AC8" s="572">
        <f t="shared" si="25"/>
        <v>1942</v>
      </c>
      <c r="AD8" s="45">
        <f t="shared" si="7"/>
        <v>0</v>
      </c>
      <c r="AE8" s="572">
        <f t="shared" si="26"/>
        <v>366072</v>
      </c>
      <c r="AF8" s="303">
        <f t="shared" si="27"/>
        <v>0</v>
      </c>
      <c r="AG8" s="209">
        <f t="shared" si="37"/>
        <v>0</v>
      </c>
      <c r="AH8" s="62">
        <f t="shared" si="38"/>
        <v>0</v>
      </c>
      <c r="AI8" s="314">
        <f t="shared" si="28"/>
        <v>56</v>
      </c>
      <c r="AJ8" s="314">
        <f>-tanks!AW9</f>
        <v>56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39"/>
        <v>1830</v>
      </c>
      <c r="AT8" s="316">
        <f t="shared" si="40"/>
        <v>5430</v>
      </c>
      <c r="AU8" s="316">
        <f t="shared" si="41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44413</v>
      </c>
      <c r="B9" s="572">
        <v>87</v>
      </c>
      <c r="C9" s="572">
        <v>94</v>
      </c>
      <c r="D9" s="45">
        <f t="shared" si="34"/>
        <v>14</v>
      </c>
      <c r="E9" s="45">
        <f t="shared" si="12"/>
        <v>117.32000000000001</v>
      </c>
      <c r="F9" s="572">
        <v>1867</v>
      </c>
      <c r="G9" s="52">
        <f t="shared" si="0"/>
        <v>2</v>
      </c>
      <c r="H9" s="572">
        <v>15373</v>
      </c>
      <c r="I9" s="392">
        <f t="shared" si="1"/>
        <v>133</v>
      </c>
      <c r="J9" s="66">
        <f t="shared" si="15"/>
        <v>66.5</v>
      </c>
      <c r="K9" s="572">
        <f t="shared" si="16"/>
        <v>2353</v>
      </c>
      <c r="L9" s="52">
        <f t="shared" si="17"/>
        <v>0</v>
      </c>
      <c r="M9" s="572">
        <f t="shared" si="18"/>
        <v>173718</v>
      </c>
      <c r="N9" s="392">
        <f t="shared" si="2"/>
        <v>0</v>
      </c>
      <c r="O9" s="64">
        <f t="shared" si="3"/>
        <v>1869</v>
      </c>
      <c r="P9" s="572">
        <v>2121</v>
      </c>
      <c r="Q9" s="572">
        <v>178097</v>
      </c>
      <c r="R9" s="391">
        <f t="shared" si="4"/>
        <v>76</v>
      </c>
      <c r="S9" s="52">
        <f t="shared" si="5"/>
        <v>1</v>
      </c>
      <c r="T9" s="67">
        <f t="shared" si="35"/>
        <v>0</v>
      </c>
      <c r="U9" s="398">
        <f t="shared" si="19"/>
        <v>3</v>
      </c>
      <c r="V9" s="62">
        <f t="shared" si="20"/>
        <v>209</v>
      </c>
      <c r="W9" s="396">
        <f t="shared" si="21"/>
        <v>69.666666666666671</v>
      </c>
      <c r="X9" s="572">
        <f t="shared" si="22"/>
        <v>2470</v>
      </c>
      <c r="Y9" s="52">
        <f t="shared" si="23"/>
        <v>0</v>
      </c>
      <c r="Z9" s="572">
        <f t="shared" si="24"/>
        <v>139135.70000000001</v>
      </c>
      <c r="AA9" s="65">
        <f t="shared" si="6"/>
        <v>0</v>
      </c>
      <c r="AB9" s="281">
        <f t="shared" si="36"/>
        <v>0</v>
      </c>
      <c r="AC9" s="572">
        <f t="shared" si="25"/>
        <v>1942</v>
      </c>
      <c r="AD9" s="45">
        <f t="shared" si="7"/>
        <v>0</v>
      </c>
      <c r="AE9" s="572">
        <f t="shared" si="26"/>
        <v>366072</v>
      </c>
      <c r="AF9" s="303">
        <f t="shared" si="27"/>
        <v>0</v>
      </c>
      <c r="AG9" s="209">
        <f t="shared" si="37"/>
        <v>0</v>
      </c>
      <c r="AH9" s="62">
        <f t="shared" si="38"/>
        <v>0</v>
      </c>
      <c r="AI9" s="314">
        <f t="shared" si="28"/>
        <v>209</v>
      </c>
      <c r="AJ9" s="314">
        <f>-tanks!AW10</f>
        <v>209</v>
      </c>
      <c r="AK9" s="314">
        <f t="shared" si="29"/>
        <v>0</v>
      </c>
      <c r="AL9" s="314">
        <f t="shared" si="8"/>
        <v>3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0"/>
        <v>5430</v>
      </c>
      <c r="AU9" s="316">
        <f t="shared" si="41"/>
        <v>0</v>
      </c>
      <c r="AV9" s="267"/>
      <c r="AW9" s="267"/>
      <c r="AX9" s="309">
        <f t="shared" si="33"/>
        <v>0.8</v>
      </c>
    </row>
    <row r="10" spans="1:52">
      <c r="A10" s="63">
        <f>ELEC!C9</f>
        <v>44414</v>
      </c>
      <c r="B10" s="572">
        <v>96</v>
      </c>
      <c r="C10" s="572">
        <v>103</v>
      </c>
      <c r="D10" s="45">
        <f t="shared" si="34"/>
        <v>-9</v>
      </c>
      <c r="E10" s="45">
        <f t="shared" si="12"/>
        <v>-75.42</v>
      </c>
      <c r="F10" s="572">
        <f t="shared" si="13"/>
        <v>1867</v>
      </c>
      <c r="G10" s="52">
        <f t="shared" si="0"/>
        <v>0</v>
      </c>
      <c r="H10" s="572">
        <f t="shared" si="14"/>
        <v>15373</v>
      </c>
      <c r="I10" s="392">
        <f t="shared" si="1"/>
        <v>0</v>
      </c>
      <c r="J10" s="66">
        <f t="shared" si="15"/>
        <v>0</v>
      </c>
      <c r="K10" s="572">
        <f t="shared" si="16"/>
        <v>2353</v>
      </c>
      <c r="L10" s="52">
        <f t="shared" si="17"/>
        <v>0</v>
      </c>
      <c r="M10" s="572">
        <f t="shared" si="18"/>
        <v>173718</v>
      </c>
      <c r="N10" s="392">
        <f t="shared" si="2"/>
        <v>0</v>
      </c>
      <c r="O10" s="64">
        <f t="shared" si="3"/>
        <v>1869</v>
      </c>
      <c r="P10" s="572">
        <v>2121</v>
      </c>
      <c r="Q10" s="572">
        <f t="shared" si="3"/>
        <v>178097</v>
      </c>
      <c r="R10" s="391">
        <f t="shared" si="4"/>
        <v>0</v>
      </c>
      <c r="S10" s="52">
        <f t="shared" si="5"/>
        <v>0</v>
      </c>
      <c r="T10" s="67">
        <f t="shared" si="35"/>
        <v>0</v>
      </c>
      <c r="U10" s="398">
        <f t="shared" si="19"/>
        <v>0</v>
      </c>
      <c r="V10" s="62">
        <f t="shared" si="20"/>
        <v>0</v>
      </c>
      <c r="W10" s="396" t="e">
        <f t="shared" si="21"/>
        <v>#DIV/0!</v>
      </c>
      <c r="X10" s="572">
        <f t="shared" si="22"/>
        <v>2470</v>
      </c>
      <c r="Y10" s="52">
        <f t="shared" si="23"/>
        <v>0</v>
      </c>
      <c r="Z10" s="572">
        <f t="shared" si="24"/>
        <v>139135.70000000001</v>
      </c>
      <c r="AA10" s="65">
        <f t="shared" si="6"/>
        <v>0</v>
      </c>
      <c r="AB10" s="281">
        <f t="shared" si="36"/>
        <v>0</v>
      </c>
      <c r="AC10" s="572">
        <f t="shared" si="25"/>
        <v>1942</v>
      </c>
      <c r="AD10" s="45">
        <f t="shared" si="7"/>
        <v>0</v>
      </c>
      <c r="AE10" s="572">
        <f t="shared" si="26"/>
        <v>366072</v>
      </c>
      <c r="AF10" s="303">
        <f t="shared" si="27"/>
        <v>0</v>
      </c>
      <c r="AG10" s="209">
        <f t="shared" si="37"/>
        <v>0</v>
      </c>
      <c r="AH10" s="62">
        <f t="shared" si="38"/>
        <v>0</v>
      </c>
      <c r="AI10" s="314">
        <f>SUM(AH10+V10)</f>
        <v>0</v>
      </c>
      <c r="AJ10" s="314">
        <f>-tanks!AW11</f>
        <v>0</v>
      </c>
      <c r="AK10" s="314">
        <f t="shared" si="29"/>
        <v>0</v>
      </c>
      <c r="AL10" s="314">
        <f t="shared" si="8"/>
        <v>0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39"/>
        <v>1830</v>
      </c>
      <c r="AT10" s="316">
        <f t="shared" si="40"/>
        <v>5430</v>
      </c>
      <c r="AU10" s="316">
        <f t="shared" si="41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44415</v>
      </c>
      <c r="B11" s="572">
        <f t="shared" ref="B11:B35" si="42">B10</f>
        <v>96</v>
      </c>
      <c r="C11" s="572">
        <f t="shared" ref="C11:C35" si="43">C10</f>
        <v>103</v>
      </c>
      <c r="D11" s="45">
        <f t="shared" si="34"/>
        <v>0</v>
      </c>
      <c r="E11" s="45">
        <f t="shared" si="12"/>
        <v>0</v>
      </c>
      <c r="F11" s="572">
        <f t="shared" si="13"/>
        <v>1867</v>
      </c>
      <c r="G11" s="52">
        <f t="shared" si="0"/>
        <v>0</v>
      </c>
      <c r="H11" s="572">
        <f t="shared" si="14"/>
        <v>15373</v>
      </c>
      <c r="I11" s="392">
        <f t="shared" si="1"/>
        <v>0</v>
      </c>
      <c r="J11" s="66">
        <f t="shared" si="15"/>
        <v>0</v>
      </c>
      <c r="K11" s="572">
        <f t="shared" si="16"/>
        <v>2353</v>
      </c>
      <c r="L11" s="52">
        <f t="shared" si="17"/>
        <v>0</v>
      </c>
      <c r="M11" s="572">
        <f t="shared" si="18"/>
        <v>173718</v>
      </c>
      <c r="N11" s="392">
        <f t="shared" si="2"/>
        <v>0</v>
      </c>
      <c r="O11" s="64">
        <f t="shared" si="3"/>
        <v>1869</v>
      </c>
      <c r="P11" s="572">
        <f t="shared" si="3"/>
        <v>2121</v>
      </c>
      <c r="Q11" s="572">
        <f t="shared" si="3"/>
        <v>178097</v>
      </c>
      <c r="R11" s="391">
        <f t="shared" ref="R11:R32" si="44">Q11-Q10</f>
        <v>0</v>
      </c>
      <c r="S11" s="52">
        <f t="shared" si="5"/>
        <v>0</v>
      </c>
      <c r="T11" s="67">
        <f t="shared" si="35"/>
        <v>0</v>
      </c>
      <c r="U11" s="398">
        <f t="shared" si="19"/>
        <v>0</v>
      </c>
      <c r="V11" s="62">
        <f t="shared" si="20"/>
        <v>0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139135.70000000001</v>
      </c>
      <c r="AA11" s="65">
        <f t="shared" si="6"/>
        <v>0</v>
      </c>
      <c r="AB11" s="281">
        <f t="shared" si="36"/>
        <v>0</v>
      </c>
      <c r="AC11" s="572">
        <f t="shared" si="25"/>
        <v>1942</v>
      </c>
      <c r="AD11" s="45">
        <f t="shared" si="7"/>
        <v>0</v>
      </c>
      <c r="AE11" s="572">
        <f t="shared" si="26"/>
        <v>366072</v>
      </c>
      <c r="AF11" s="303">
        <f t="shared" si="27"/>
        <v>0</v>
      </c>
      <c r="AG11" s="209">
        <f t="shared" si="37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39"/>
        <v>1830</v>
      </c>
      <c r="AT11" s="316">
        <f t="shared" si="40"/>
        <v>5430</v>
      </c>
      <c r="AU11" s="316">
        <f t="shared" si="41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44416</v>
      </c>
      <c r="B12" s="572">
        <f t="shared" si="42"/>
        <v>96</v>
      </c>
      <c r="C12" s="572">
        <f t="shared" si="43"/>
        <v>103</v>
      </c>
      <c r="D12" s="45">
        <f t="shared" si="34"/>
        <v>0</v>
      </c>
      <c r="E12" s="45">
        <f t="shared" si="12"/>
        <v>0</v>
      </c>
      <c r="F12" s="572">
        <f t="shared" si="13"/>
        <v>1867</v>
      </c>
      <c r="G12" s="52">
        <f t="shared" si="0"/>
        <v>0</v>
      </c>
      <c r="H12" s="572">
        <f t="shared" si="14"/>
        <v>15373</v>
      </c>
      <c r="I12" s="392">
        <f t="shared" si="1"/>
        <v>0</v>
      </c>
      <c r="J12" s="66">
        <f t="shared" si="15"/>
        <v>0</v>
      </c>
      <c r="K12" s="572">
        <f t="shared" si="16"/>
        <v>2353</v>
      </c>
      <c r="L12" s="52">
        <f t="shared" si="17"/>
        <v>0</v>
      </c>
      <c r="M12" s="572">
        <f t="shared" si="18"/>
        <v>173718</v>
      </c>
      <c r="N12" s="392">
        <f t="shared" si="2"/>
        <v>0</v>
      </c>
      <c r="O12" s="64">
        <f t="shared" si="3"/>
        <v>1869</v>
      </c>
      <c r="P12" s="572">
        <f t="shared" si="3"/>
        <v>2121</v>
      </c>
      <c r="Q12" s="572">
        <f t="shared" si="3"/>
        <v>178097</v>
      </c>
      <c r="R12" s="391">
        <f t="shared" si="44"/>
        <v>0</v>
      </c>
      <c r="S12" s="52">
        <f t="shared" si="5"/>
        <v>0</v>
      </c>
      <c r="T12" s="67">
        <f t="shared" si="35"/>
        <v>0</v>
      </c>
      <c r="U12" s="398">
        <f t="shared" si="19"/>
        <v>0</v>
      </c>
      <c r="V12" s="62">
        <f t="shared" si="20"/>
        <v>0</v>
      </c>
      <c r="W12" s="396" t="e">
        <f t="shared" si="21"/>
        <v>#DIV/0!</v>
      </c>
      <c r="X12" s="572">
        <f t="shared" si="22"/>
        <v>2470</v>
      </c>
      <c r="Y12" s="52">
        <f t="shared" si="23"/>
        <v>0</v>
      </c>
      <c r="Z12" s="572">
        <f t="shared" si="24"/>
        <v>139135.70000000001</v>
      </c>
      <c r="AA12" s="65">
        <f t="shared" si="6"/>
        <v>0</v>
      </c>
      <c r="AB12" s="281">
        <f t="shared" si="36"/>
        <v>0</v>
      </c>
      <c r="AC12" s="572">
        <f t="shared" si="25"/>
        <v>1942</v>
      </c>
      <c r="AD12" s="45">
        <f t="shared" si="7"/>
        <v>0</v>
      </c>
      <c r="AE12" s="572">
        <f t="shared" si="26"/>
        <v>366072</v>
      </c>
      <c r="AF12" s="303">
        <f t="shared" si="27"/>
        <v>0</v>
      </c>
      <c r="AG12" s="209">
        <f t="shared" si="37"/>
        <v>0</v>
      </c>
      <c r="AH12" s="62">
        <f t="shared" si="38"/>
        <v>0</v>
      </c>
      <c r="AI12" s="314">
        <f t="shared" si="28"/>
        <v>0</v>
      </c>
      <c r="AJ12" s="314">
        <f>-tanks!AW13</f>
        <v>0</v>
      </c>
      <c r="AK12" s="314">
        <f t="shared" si="29"/>
        <v>0</v>
      </c>
      <c r="AL12" s="314">
        <f t="shared" si="8"/>
        <v>0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39"/>
        <v>1830</v>
      </c>
      <c r="AT12" s="316">
        <f t="shared" si="40"/>
        <v>5430</v>
      </c>
      <c r="AU12" s="316">
        <f t="shared" si="41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44417</v>
      </c>
      <c r="B13" s="572">
        <f t="shared" si="42"/>
        <v>96</v>
      </c>
      <c r="C13" s="572">
        <f t="shared" si="43"/>
        <v>103</v>
      </c>
      <c r="D13" s="45">
        <f t="shared" si="34"/>
        <v>0</v>
      </c>
      <c r="E13" s="45">
        <f t="shared" si="12"/>
        <v>0</v>
      </c>
      <c r="F13" s="572">
        <f t="shared" si="13"/>
        <v>1867</v>
      </c>
      <c r="G13" s="52">
        <f t="shared" si="0"/>
        <v>0</v>
      </c>
      <c r="H13" s="572">
        <f t="shared" si="14"/>
        <v>15373</v>
      </c>
      <c r="I13" s="392">
        <f t="shared" si="1"/>
        <v>0</v>
      </c>
      <c r="J13" s="66">
        <f t="shared" si="15"/>
        <v>0</v>
      </c>
      <c r="K13" s="572">
        <f t="shared" si="16"/>
        <v>2353</v>
      </c>
      <c r="L13" s="52">
        <f t="shared" si="17"/>
        <v>0</v>
      </c>
      <c r="M13" s="572">
        <f t="shared" si="18"/>
        <v>173718</v>
      </c>
      <c r="N13" s="392">
        <f t="shared" si="2"/>
        <v>0</v>
      </c>
      <c r="O13" s="64">
        <f t="shared" si="3"/>
        <v>1869</v>
      </c>
      <c r="P13" s="572">
        <f t="shared" si="3"/>
        <v>2121</v>
      </c>
      <c r="Q13" s="572">
        <f t="shared" si="3"/>
        <v>178097</v>
      </c>
      <c r="R13" s="391">
        <f t="shared" si="44"/>
        <v>0</v>
      </c>
      <c r="S13" s="52">
        <f t="shared" si="5"/>
        <v>0</v>
      </c>
      <c r="T13" s="67">
        <f t="shared" si="35"/>
        <v>0</v>
      </c>
      <c r="U13" s="398">
        <f t="shared" si="19"/>
        <v>0</v>
      </c>
      <c r="V13" s="62">
        <f>R13+N13+I13:I13</f>
        <v>0</v>
      </c>
      <c r="W13" s="396" t="e">
        <f t="shared" si="21"/>
        <v>#DIV/0!</v>
      </c>
      <c r="X13" s="572">
        <f t="shared" si="22"/>
        <v>2470</v>
      </c>
      <c r="Y13" s="52">
        <f t="shared" si="23"/>
        <v>0</v>
      </c>
      <c r="Z13" s="572">
        <f t="shared" si="24"/>
        <v>139135.70000000001</v>
      </c>
      <c r="AA13" s="281">
        <f t="shared" si="6"/>
        <v>0</v>
      </c>
      <c r="AB13" s="281">
        <f t="shared" si="36"/>
        <v>0</v>
      </c>
      <c r="AC13" s="572">
        <f t="shared" si="25"/>
        <v>1942</v>
      </c>
      <c r="AD13" s="45">
        <f t="shared" si="7"/>
        <v>0</v>
      </c>
      <c r="AE13" s="572">
        <f t="shared" si="26"/>
        <v>366072</v>
      </c>
      <c r="AF13" s="303">
        <f t="shared" si="27"/>
        <v>0</v>
      </c>
      <c r="AG13" s="209">
        <f t="shared" si="37"/>
        <v>0</v>
      </c>
      <c r="AH13" s="62">
        <f t="shared" si="38"/>
        <v>0</v>
      </c>
      <c r="AI13" s="314">
        <f t="shared" si="28"/>
        <v>0</v>
      </c>
      <c r="AJ13" s="314">
        <f>-tanks!AW14</f>
        <v>0</v>
      </c>
      <c r="AK13" s="314">
        <f t="shared" si="29"/>
        <v>0</v>
      </c>
      <c r="AL13" s="314">
        <f t="shared" si="8"/>
        <v>0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39"/>
        <v>1830</v>
      </c>
      <c r="AT13" s="316">
        <f t="shared" si="40"/>
        <v>5430</v>
      </c>
      <c r="AU13" s="316">
        <f t="shared" si="41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44418</v>
      </c>
      <c r="B14" s="572">
        <f t="shared" si="42"/>
        <v>96</v>
      </c>
      <c r="C14" s="572">
        <f t="shared" si="43"/>
        <v>103</v>
      </c>
      <c r="D14" s="45">
        <f t="shared" si="34"/>
        <v>0</v>
      </c>
      <c r="E14" s="45">
        <f t="shared" si="12"/>
        <v>0</v>
      </c>
      <c r="F14" s="572">
        <f t="shared" si="13"/>
        <v>1867</v>
      </c>
      <c r="G14" s="52">
        <f t="shared" si="0"/>
        <v>0</v>
      </c>
      <c r="H14" s="572">
        <f t="shared" si="14"/>
        <v>15373</v>
      </c>
      <c r="I14" s="392">
        <f t="shared" si="1"/>
        <v>0</v>
      </c>
      <c r="J14" s="66">
        <f t="shared" si="15"/>
        <v>0</v>
      </c>
      <c r="K14" s="572">
        <f t="shared" si="16"/>
        <v>2353</v>
      </c>
      <c r="L14" s="52">
        <f t="shared" si="17"/>
        <v>0</v>
      </c>
      <c r="M14" s="572">
        <f t="shared" si="18"/>
        <v>173718</v>
      </c>
      <c r="N14" s="392">
        <f t="shared" si="2"/>
        <v>0</v>
      </c>
      <c r="O14" s="64">
        <f t="shared" si="3"/>
        <v>1869</v>
      </c>
      <c r="P14" s="572">
        <f t="shared" si="3"/>
        <v>2121</v>
      </c>
      <c r="Q14" s="572">
        <f t="shared" si="3"/>
        <v>178097</v>
      </c>
      <c r="R14" s="391">
        <f t="shared" si="44"/>
        <v>0</v>
      </c>
      <c r="S14" s="52">
        <f t="shared" si="5"/>
        <v>0</v>
      </c>
      <c r="T14" s="67">
        <f t="shared" si="35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139135.70000000001</v>
      </c>
      <c r="AA14" s="65">
        <f t="shared" si="6"/>
        <v>0</v>
      </c>
      <c r="AB14" s="281">
        <f t="shared" si="36"/>
        <v>0</v>
      </c>
      <c r="AC14" s="572">
        <f t="shared" si="25"/>
        <v>1942</v>
      </c>
      <c r="AD14" s="45">
        <f t="shared" si="7"/>
        <v>0</v>
      </c>
      <c r="AE14" s="572">
        <f t="shared" si="26"/>
        <v>366072</v>
      </c>
      <c r="AF14" s="303">
        <f>AE14-AE13</f>
        <v>0</v>
      </c>
      <c r="AG14" s="209">
        <f t="shared" si="37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39"/>
        <v>1830</v>
      </c>
      <c r="AT14" s="316">
        <f t="shared" si="40"/>
        <v>5430</v>
      </c>
      <c r="AU14" s="316">
        <f t="shared" si="41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44419</v>
      </c>
      <c r="B15" s="572">
        <v>156</v>
      </c>
      <c r="C15" s="572">
        <v>162</v>
      </c>
      <c r="D15" s="45">
        <f t="shared" si="34"/>
        <v>-59</v>
      </c>
      <c r="E15" s="45">
        <f t="shared" si="12"/>
        <v>-494.42000000000007</v>
      </c>
      <c r="F15" s="572">
        <v>1868</v>
      </c>
      <c r="G15" s="52">
        <f t="shared" si="0"/>
        <v>1</v>
      </c>
      <c r="H15" s="572">
        <v>15471</v>
      </c>
      <c r="I15" s="392">
        <f t="shared" si="1"/>
        <v>98</v>
      </c>
      <c r="J15" s="66">
        <f t="shared" si="15"/>
        <v>98</v>
      </c>
      <c r="K15" s="572">
        <f t="shared" si="16"/>
        <v>2353</v>
      </c>
      <c r="L15" s="52">
        <f t="shared" si="17"/>
        <v>0</v>
      </c>
      <c r="M15" s="572">
        <f t="shared" si="18"/>
        <v>173718</v>
      </c>
      <c r="N15" s="392">
        <f t="shared" si="2"/>
        <v>0</v>
      </c>
      <c r="O15" s="64">
        <f t="shared" si="3"/>
        <v>1869</v>
      </c>
      <c r="P15" s="572">
        <v>2123</v>
      </c>
      <c r="Q15" s="572">
        <v>178240</v>
      </c>
      <c r="R15" s="391">
        <f t="shared" si="44"/>
        <v>143</v>
      </c>
      <c r="S15" s="52">
        <f t="shared" si="5"/>
        <v>2</v>
      </c>
      <c r="T15" s="67">
        <f t="shared" si="35"/>
        <v>0</v>
      </c>
      <c r="U15" s="398">
        <f t="shared" si="19"/>
        <v>3</v>
      </c>
      <c r="V15" s="62">
        <f t="shared" si="20"/>
        <v>241</v>
      </c>
      <c r="W15" s="396">
        <f t="shared" si="21"/>
        <v>80.333333333333329</v>
      </c>
      <c r="X15" s="572">
        <f t="shared" si="22"/>
        <v>2470</v>
      </c>
      <c r="Y15" s="52">
        <f t="shared" si="23"/>
        <v>0</v>
      </c>
      <c r="Z15" s="572">
        <f t="shared" si="24"/>
        <v>139135.70000000001</v>
      </c>
      <c r="AA15" s="65">
        <f t="shared" si="6"/>
        <v>0</v>
      </c>
      <c r="AB15" s="281">
        <f t="shared" si="36"/>
        <v>0</v>
      </c>
      <c r="AC15" s="572">
        <f t="shared" si="25"/>
        <v>1942</v>
      </c>
      <c r="AD15" s="45">
        <f t="shared" si="7"/>
        <v>0</v>
      </c>
      <c r="AE15" s="572">
        <f t="shared" si="26"/>
        <v>366072</v>
      </c>
      <c r="AF15" s="303">
        <f t="shared" si="27"/>
        <v>0</v>
      </c>
      <c r="AG15" s="209">
        <f t="shared" si="37"/>
        <v>0</v>
      </c>
      <c r="AH15" s="62">
        <f t="shared" si="38"/>
        <v>0</v>
      </c>
      <c r="AI15" s="314">
        <f t="shared" si="28"/>
        <v>241</v>
      </c>
      <c r="AJ15" s="314">
        <f>-tanks!AW16</f>
        <v>241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39"/>
        <v>1830</v>
      </c>
      <c r="AT15" s="316">
        <f t="shared" si="40"/>
        <v>5430</v>
      </c>
      <c r="AU15" s="316">
        <f t="shared" si="41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44420</v>
      </c>
      <c r="B16" s="572">
        <v>137</v>
      </c>
      <c r="C16" s="572">
        <v>144</v>
      </c>
      <c r="D16" s="45">
        <f t="shared" si="34"/>
        <v>18</v>
      </c>
      <c r="E16" s="45">
        <f t="shared" si="12"/>
        <v>150.84</v>
      </c>
      <c r="F16" s="572">
        <v>1869</v>
      </c>
      <c r="G16" s="52">
        <f t="shared" si="0"/>
        <v>1</v>
      </c>
      <c r="H16" s="572">
        <v>15566</v>
      </c>
      <c r="I16" s="392">
        <f t="shared" si="1"/>
        <v>95</v>
      </c>
      <c r="J16" s="66">
        <f t="shared" si="15"/>
        <v>95</v>
      </c>
      <c r="K16" s="572">
        <f t="shared" si="16"/>
        <v>2353</v>
      </c>
      <c r="L16" s="52">
        <f t="shared" si="17"/>
        <v>0</v>
      </c>
      <c r="M16" s="572">
        <f t="shared" si="18"/>
        <v>173718</v>
      </c>
      <c r="N16" s="392">
        <f t="shared" si="2"/>
        <v>0</v>
      </c>
      <c r="O16" s="64">
        <f t="shared" si="3"/>
        <v>1869</v>
      </c>
      <c r="P16" s="572">
        <f t="shared" si="3"/>
        <v>2123</v>
      </c>
      <c r="Q16" s="572">
        <f t="shared" si="3"/>
        <v>178240</v>
      </c>
      <c r="R16" s="391">
        <f t="shared" si="44"/>
        <v>0</v>
      </c>
      <c r="S16" s="52">
        <f t="shared" si="5"/>
        <v>0</v>
      </c>
      <c r="T16" s="67">
        <f t="shared" si="35"/>
        <v>0</v>
      </c>
      <c r="U16" s="398">
        <f t="shared" si="19"/>
        <v>1</v>
      </c>
      <c r="V16" s="62">
        <f t="shared" si="20"/>
        <v>95</v>
      </c>
      <c r="W16" s="396">
        <f t="shared" si="21"/>
        <v>95</v>
      </c>
      <c r="X16" s="572">
        <f t="shared" si="22"/>
        <v>2470</v>
      </c>
      <c r="Y16" s="52">
        <f t="shared" si="23"/>
        <v>0</v>
      </c>
      <c r="Z16" s="572">
        <f t="shared" si="24"/>
        <v>139135.70000000001</v>
      </c>
      <c r="AA16" s="65">
        <f t="shared" si="6"/>
        <v>0</v>
      </c>
      <c r="AB16" s="281">
        <f t="shared" si="36"/>
        <v>0</v>
      </c>
      <c r="AC16" s="572">
        <f t="shared" si="25"/>
        <v>1942</v>
      </c>
      <c r="AD16" s="45">
        <f t="shared" si="7"/>
        <v>0</v>
      </c>
      <c r="AE16" s="572">
        <f t="shared" si="26"/>
        <v>366072</v>
      </c>
      <c r="AF16" s="303">
        <f t="shared" si="27"/>
        <v>0</v>
      </c>
      <c r="AG16" s="209">
        <f t="shared" si="37"/>
        <v>0</v>
      </c>
      <c r="AH16" s="62">
        <f t="shared" si="38"/>
        <v>0</v>
      </c>
      <c r="AI16" s="314">
        <f t="shared" si="28"/>
        <v>95</v>
      </c>
      <c r="AJ16" s="314">
        <f>-tanks!AW17</f>
        <v>95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39"/>
        <v>1830</v>
      </c>
      <c r="AT16" s="316">
        <f t="shared" si="40"/>
        <v>5430</v>
      </c>
      <c r="AU16" s="316">
        <f t="shared" si="41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44421</v>
      </c>
      <c r="B17" s="572">
        <v>147</v>
      </c>
      <c r="C17" s="572">
        <v>154</v>
      </c>
      <c r="D17" s="45">
        <f t="shared" si="34"/>
        <v>-10</v>
      </c>
      <c r="E17" s="45">
        <f t="shared" si="12"/>
        <v>-83.800000000000011</v>
      </c>
      <c r="F17" s="572">
        <f t="shared" si="13"/>
        <v>1869</v>
      </c>
      <c r="G17" s="52">
        <f t="shared" si="0"/>
        <v>0</v>
      </c>
      <c r="H17" s="572">
        <f t="shared" si="14"/>
        <v>15566</v>
      </c>
      <c r="I17" s="392">
        <f t="shared" si="1"/>
        <v>0</v>
      </c>
      <c r="J17" s="66">
        <f t="shared" si="15"/>
        <v>0</v>
      </c>
      <c r="K17" s="572">
        <f t="shared" si="16"/>
        <v>2353</v>
      </c>
      <c r="L17" s="52">
        <f t="shared" si="17"/>
        <v>0</v>
      </c>
      <c r="M17" s="572">
        <f t="shared" si="18"/>
        <v>173718</v>
      </c>
      <c r="N17" s="392">
        <f t="shared" si="2"/>
        <v>0</v>
      </c>
      <c r="O17" s="64">
        <f t="shared" si="3"/>
        <v>1869</v>
      </c>
      <c r="P17" s="572">
        <f t="shared" si="3"/>
        <v>2123</v>
      </c>
      <c r="Q17" s="572">
        <f t="shared" si="3"/>
        <v>178240</v>
      </c>
      <c r="R17" s="391">
        <f t="shared" si="44"/>
        <v>0</v>
      </c>
      <c r="S17" s="52">
        <f t="shared" si="5"/>
        <v>0</v>
      </c>
      <c r="T17" s="67">
        <f t="shared" si="35"/>
        <v>0</v>
      </c>
      <c r="U17" s="398">
        <f t="shared" si="19"/>
        <v>0</v>
      </c>
      <c r="V17" s="62">
        <f t="shared" si="20"/>
        <v>0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139135.70000000001</v>
      </c>
      <c r="AA17" s="65">
        <f t="shared" si="6"/>
        <v>0</v>
      </c>
      <c r="AB17" s="281">
        <f t="shared" si="36"/>
        <v>0</v>
      </c>
      <c r="AC17" s="572">
        <f t="shared" si="25"/>
        <v>1942</v>
      </c>
      <c r="AD17" s="45">
        <f t="shared" si="7"/>
        <v>0</v>
      </c>
      <c r="AE17" s="572">
        <f t="shared" si="26"/>
        <v>366072</v>
      </c>
      <c r="AF17" s="303">
        <f t="shared" si="27"/>
        <v>0</v>
      </c>
      <c r="AG17" s="209">
        <f t="shared" si="37"/>
        <v>0</v>
      </c>
      <c r="AH17" s="62">
        <f t="shared" si="38"/>
        <v>0</v>
      </c>
      <c r="AI17" s="314">
        <f t="shared" si="28"/>
        <v>0</v>
      </c>
      <c r="AJ17" s="314">
        <f>-tanks!AW18</f>
        <v>0</v>
      </c>
      <c r="AK17" s="314">
        <f t="shared" si="29"/>
        <v>0</v>
      </c>
      <c r="AL17" s="314">
        <f t="shared" si="8"/>
        <v>0</v>
      </c>
      <c r="AM17" s="314">
        <f t="shared" si="30"/>
        <v>0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39"/>
        <v>1830</v>
      </c>
      <c r="AT17" s="316">
        <f t="shared" si="40"/>
        <v>5430</v>
      </c>
      <c r="AU17" s="316">
        <f t="shared" si="41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44422</v>
      </c>
      <c r="B18" s="572">
        <f t="shared" si="42"/>
        <v>147</v>
      </c>
      <c r="C18" s="572">
        <f t="shared" si="43"/>
        <v>154</v>
      </c>
      <c r="D18" s="45">
        <f t="shared" si="34"/>
        <v>0</v>
      </c>
      <c r="E18" s="45">
        <f t="shared" si="12"/>
        <v>0</v>
      </c>
      <c r="F18" s="572">
        <f t="shared" si="13"/>
        <v>1869</v>
      </c>
      <c r="G18" s="52">
        <f t="shared" si="0"/>
        <v>0</v>
      </c>
      <c r="H18" s="572">
        <f t="shared" si="14"/>
        <v>15566</v>
      </c>
      <c r="I18" s="392">
        <f t="shared" si="1"/>
        <v>0</v>
      </c>
      <c r="J18" s="66">
        <f t="shared" si="15"/>
        <v>0</v>
      </c>
      <c r="K18" s="572">
        <f t="shared" si="16"/>
        <v>2353</v>
      </c>
      <c r="L18" s="52">
        <f t="shared" si="17"/>
        <v>0</v>
      </c>
      <c r="M18" s="572">
        <f t="shared" si="18"/>
        <v>173718</v>
      </c>
      <c r="N18" s="392">
        <f t="shared" si="2"/>
        <v>0</v>
      </c>
      <c r="O18" s="64">
        <v>1869</v>
      </c>
      <c r="P18" s="572">
        <f t="shared" ref="P18:P35" si="45">P17</f>
        <v>2123</v>
      </c>
      <c r="Q18" s="572">
        <f t="shared" ref="Q18:Q35" si="46">Q17</f>
        <v>178240</v>
      </c>
      <c r="R18" s="391">
        <f t="shared" si="44"/>
        <v>0</v>
      </c>
      <c r="S18" s="52">
        <f t="shared" si="5"/>
        <v>0</v>
      </c>
      <c r="T18" s="67">
        <f t="shared" si="35"/>
        <v>0</v>
      </c>
      <c r="U18" s="398">
        <f t="shared" si="19"/>
        <v>0</v>
      </c>
      <c r="V18" s="62">
        <f t="shared" si="20"/>
        <v>0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139135.70000000001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1942</v>
      </c>
      <c r="AD18" s="45">
        <f t="shared" si="7"/>
        <v>0</v>
      </c>
      <c r="AE18" s="572">
        <f t="shared" si="26"/>
        <v>366072</v>
      </c>
      <c r="AF18" s="303">
        <f t="shared" si="27"/>
        <v>0</v>
      </c>
      <c r="AG18" s="209">
        <f t="shared" si="37"/>
        <v>0</v>
      </c>
      <c r="AH18" s="62">
        <f t="shared" si="38"/>
        <v>0</v>
      </c>
      <c r="AI18" s="314">
        <f t="shared" si="28"/>
        <v>0</v>
      </c>
      <c r="AJ18" s="314">
        <f>-tanks!AW19</f>
        <v>0</v>
      </c>
      <c r="AK18" s="314">
        <f t="shared" si="29"/>
        <v>0</v>
      </c>
      <c r="AL18" s="314">
        <f t="shared" si="8"/>
        <v>0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39"/>
        <v>1830</v>
      </c>
      <c r="AT18" s="316">
        <f t="shared" si="40"/>
        <v>5430</v>
      </c>
      <c r="AU18" s="316">
        <f t="shared" si="41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44423</v>
      </c>
      <c r="B19" s="572">
        <v>147</v>
      </c>
      <c r="C19" s="572">
        <v>154</v>
      </c>
      <c r="D19" s="45">
        <f t="shared" si="34"/>
        <v>0</v>
      </c>
      <c r="E19" s="45">
        <f t="shared" si="12"/>
        <v>0</v>
      </c>
      <c r="F19" s="572">
        <f t="shared" si="13"/>
        <v>1869</v>
      </c>
      <c r="G19" s="52">
        <f t="shared" si="0"/>
        <v>0</v>
      </c>
      <c r="H19" s="572">
        <f t="shared" si="14"/>
        <v>15566</v>
      </c>
      <c r="I19" s="392">
        <f t="shared" si="1"/>
        <v>0</v>
      </c>
      <c r="J19" s="66">
        <f t="shared" si="15"/>
        <v>0</v>
      </c>
      <c r="K19" s="572">
        <f t="shared" si="16"/>
        <v>2353</v>
      </c>
      <c r="L19" s="52">
        <f t="shared" si="17"/>
        <v>0</v>
      </c>
      <c r="M19" s="572">
        <f t="shared" si="18"/>
        <v>173718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2123</v>
      </c>
      <c r="Q19" s="572">
        <f t="shared" si="46"/>
        <v>178240</v>
      </c>
      <c r="R19" s="391">
        <f t="shared" si="44"/>
        <v>0</v>
      </c>
      <c r="S19" s="52">
        <f t="shared" si="5"/>
        <v>0</v>
      </c>
      <c r="T19" s="67">
        <f t="shared" si="35"/>
        <v>0</v>
      </c>
      <c r="U19" s="398">
        <f t="shared" si="19"/>
        <v>0</v>
      </c>
      <c r="V19" s="62">
        <f t="shared" si="20"/>
        <v>0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139135.70000000001</v>
      </c>
      <c r="AA19" s="65">
        <f t="shared" si="6"/>
        <v>0</v>
      </c>
      <c r="AB19" s="281">
        <f t="shared" si="47"/>
        <v>0</v>
      </c>
      <c r="AC19" s="572">
        <f t="shared" si="25"/>
        <v>1942</v>
      </c>
      <c r="AD19" s="45">
        <f t="shared" si="7"/>
        <v>0</v>
      </c>
      <c r="AE19" s="572">
        <f t="shared" si="26"/>
        <v>366072</v>
      </c>
      <c r="AF19" s="303">
        <f t="shared" si="27"/>
        <v>0</v>
      </c>
      <c r="AG19" s="209">
        <f t="shared" si="37"/>
        <v>0</v>
      </c>
      <c r="AH19" s="62">
        <f t="shared" si="38"/>
        <v>0</v>
      </c>
      <c r="AI19" s="314">
        <f t="shared" si="28"/>
        <v>0</v>
      </c>
      <c r="AJ19" s="314">
        <f>-tanks!AW20</f>
        <v>0</v>
      </c>
      <c r="AK19" s="314">
        <f t="shared" si="29"/>
        <v>0</v>
      </c>
      <c r="AL19" s="314">
        <f t="shared" si="8"/>
        <v>0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39"/>
        <v>1830</v>
      </c>
      <c r="AT19" s="316">
        <f t="shared" si="40"/>
        <v>5430</v>
      </c>
      <c r="AU19" s="316">
        <f t="shared" si="41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44424</v>
      </c>
      <c r="B20" s="572">
        <v>147</v>
      </c>
      <c r="C20" s="572">
        <v>154</v>
      </c>
      <c r="D20" s="45">
        <f>C19-C20</f>
        <v>0</v>
      </c>
      <c r="E20" s="45">
        <f t="shared" si="12"/>
        <v>0</v>
      </c>
      <c r="F20" s="572">
        <v>1870</v>
      </c>
      <c r="G20" s="52">
        <f t="shared" si="0"/>
        <v>1</v>
      </c>
      <c r="H20" s="572">
        <v>15640</v>
      </c>
      <c r="I20" s="392">
        <f t="shared" si="1"/>
        <v>74</v>
      </c>
      <c r="J20" s="66">
        <f t="shared" si="15"/>
        <v>74</v>
      </c>
      <c r="K20" s="572">
        <f t="shared" si="16"/>
        <v>2353</v>
      </c>
      <c r="L20" s="52">
        <f t="shared" si="17"/>
        <v>0</v>
      </c>
      <c r="M20" s="572">
        <f t="shared" si="18"/>
        <v>173718</v>
      </c>
      <c r="N20" s="392">
        <f t="shared" si="2"/>
        <v>0</v>
      </c>
      <c r="O20" s="64">
        <f t="shared" si="48"/>
        <v>1869</v>
      </c>
      <c r="P20" s="572">
        <f t="shared" si="45"/>
        <v>2123</v>
      </c>
      <c r="Q20" s="572">
        <f t="shared" si="46"/>
        <v>178240</v>
      </c>
      <c r="R20" s="391">
        <f t="shared" si="44"/>
        <v>0</v>
      </c>
      <c r="S20" s="52">
        <f t="shared" si="5"/>
        <v>0</v>
      </c>
      <c r="T20" s="67">
        <f t="shared" si="35"/>
        <v>0</v>
      </c>
      <c r="U20" s="398">
        <f t="shared" si="19"/>
        <v>1</v>
      </c>
      <c r="V20" s="62">
        <f t="shared" si="20"/>
        <v>74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139135.70000000001</v>
      </c>
      <c r="AA20" s="65">
        <f t="shared" si="6"/>
        <v>0</v>
      </c>
      <c r="AB20" s="281">
        <f t="shared" si="47"/>
        <v>0</v>
      </c>
      <c r="AC20" s="572">
        <f t="shared" si="25"/>
        <v>1942</v>
      </c>
      <c r="AD20" s="45">
        <f t="shared" si="7"/>
        <v>0</v>
      </c>
      <c r="AE20" s="572">
        <f t="shared" si="26"/>
        <v>366072</v>
      </c>
      <c r="AF20" s="303">
        <f t="shared" si="27"/>
        <v>0</v>
      </c>
      <c r="AG20" s="209">
        <f t="shared" si="37"/>
        <v>0</v>
      </c>
      <c r="AH20" s="62">
        <f t="shared" si="38"/>
        <v>0</v>
      </c>
      <c r="AI20" s="314">
        <f t="shared" si="28"/>
        <v>74</v>
      </c>
      <c r="AJ20" s="314">
        <f>-tanks!AW21</f>
        <v>74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39"/>
        <v>1830</v>
      </c>
      <c r="AT20" s="316">
        <f t="shared" si="40"/>
        <v>5430</v>
      </c>
      <c r="AU20" s="316">
        <f t="shared" si="41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44425</v>
      </c>
      <c r="B21" s="572">
        <v>138</v>
      </c>
      <c r="C21" s="572">
        <v>145</v>
      </c>
      <c r="D21" s="45">
        <f t="shared" ref="D21:D32" si="49">C20-C21</f>
        <v>9</v>
      </c>
      <c r="E21" s="45">
        <f t="shared" si="12"/>
        <v>75.42</v>
      </c>
      <c r="F21" s="572">
        <v>1871</v>
      </c>
      <c r="G21" s="52">
        <f t="shared" si="0"/>
        <v>1</v>
      </c>
      <c r="H21" s="572">
        <v>15689</v>
      </c>
      <c r="I21" s="392">
        <f t="shared" si="1"/>
        <v>49</v>
      </c>
      <c r="J21" s="66">
        <f t="shared" si="15"/>
        <v>49</v>
      </c>
      <c r="K21" s="572">
        <f t="shared" si="16"/>
        <v>2353</v>
      </c>
      <c r="L21" s="52">
        <f t="shared" si="17"/>
        <v>0</v>
      </c>
      <c r="M21" s="572">
        <f t="shared" si="18"/>
        <v>173718</v>
      </c>
      <c r="N21" s="392">
        <f t="shared" si="2"/>
        <v>0</v>
      </c>
      <c r="O21" s="64">
        <f t="shared" si="48"/>
        <v>1869</v>
      </c>
      <c r="P21" s="572">
        <f t="shared" si="45"/>
        <v>2123</v>
      </c>
      <c r="Q21" s="572">
        <f t="shared" si="46"/>
        <v>178240</v>
      </c>
      <c r="R21" s="391">
        <f t="shared" si="44"/>
        <v>0</v>
      </c>
      <c r="S21" s="52">
        <f t="shared" si="5"/>
        <v>0</v>
      </c>
      <c r="T21" s="67">
        <f t="shared" si="35"/>
        <v>0</v>
      </c>
      <c r="U21" s="398">
        <f t="shared" si="19"/>
        <v>1</v>
      </c>
      <c r="V21" s="62">
        <f t="shared" si="20"/>
        <v>49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139135.70000000001</v>
      </c>
      <c r="AA21" s="65">
        <f t="shared" si="6"/>
        <v>0</v>
      </c>
      <c r="AB21" s="281">
        <f t="shared" si="47"/>
        <v>0</v>
      </c>
      <c r="AC21" s="572">
        <f t="shared" si="25"/>
        <v>1942</v>
      </c>
      <c r="AD21" s="45">
        <f t="shared" si="7"/>
        <v>0</v>
      </c>
      <c r="AE21" s="572">
        <f t="shared" si="26"/>
        <v>366072</v>
      </c>
      <c r="AF21" s="303">
        <f t="shared" si="27"/>
        <v>0</v>
      </c>
      <c r="AG21" s="209">
        <f t="shared" si="37"/>
        <v>0</v>
      </c>
      <c r="AH21" s="62">
        <f t="shared" si="38"/>
        <v>0</v>
      </c>
      <c r="AI21" s="314">
        <f t="shared" si="28"/>
        <v>49</v>
      </c>
      <c r="AJ21" s="314">
        <f>-tanks!AW22</f>
        <v>49</v>
      </c>
      <c r="AK21" s="314">
        <f t="shared" si="29"/>
        <v>0</v>
      </c>
      <c r="AL21" s="314">
        <f t="shared" si="8"/>
        <v>1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39"/>
        <v>1830</v>
      </c>
      <c r="AT21" s="316">
        <f t="shared" si="40"/>
        <v>5430</v>
      </c>
      <c r="AU21" s="316">
        <f t="shared" si="41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44426</v>
      </c>
      <c r="B22" s="572">
        <f t="shared" si="42"/>
        <v>138</v>
      </c>
      <c r="C22" s="572">
        <f t="shared" si="43"/>
        <v>145</v>
      </c>
      <c r="D22" s="45">
        <f t="shared" si="49"/>
        <v>0</v>
      </c>
      <c r="E22" s="45">
        <f t="shared" si="12"/>
        <v>0</v>
      </c>
      <c r="F22" s="572">
        <f t="shared" si="13"/>
        <v>1871</v>
      </c>
      <c r="G22" s="52">
        <f t="shared" si="0"/>
        <v>0</v>
      </c>
      <c r="H22" s="572">
        <f t="shared" si="14"/>
        <v>15689</v>
      </c>
      <c r="I22" s="392">
        <f t="shared" si="1"/>
        <v>0</v>
      </c>
      <c r="J22" s="66">
        <f t="shared" si="15"/>
        <v>0</v>
      </c>
      <c r="K22" s="572">
        <f t="shared" si="16"/>
        <v>2353</v>
      </c>
      <c r="L22" s="52">
        <f t="shared" si="17"/>
        <v>0</v>
      </c>
      <c r="M22" s="572">
        <f t="shared" si="18"/>
        <v>173718</v>
      </c>
      <c r="N22" s="392">
        <f t="shared" si="2"/>
        <v>0</v>
      </c>
      <c r="O22" s="64">
        <f t="shared" si="48"/>
        <v>1869</v>
      </c>
      <c r="P22" s="572">
        <f t="shared" si="45"/>
        <v>2123</v>
      </c>
      <c r="Q22" s="572">
        <f t="shared" si="46"/>
        <v>178240</v>
      </c>
      <c r="R22" s="391">
        <f t="shared" si="44"/>
        <v>0</v>
      </c>
      <c r="S22" s="52">
        <f t="shared" si="5"/>
        <v>0</v>
      </c>
      <c r="T22" s="67">
        <f t="shared" si="35"/>
        <v>0</v>
      </c>
      <c r="U22" s="398">
        <f t="shared" si="19"/>
        <v>0</v>
      </c>
      <c r="V22" s="62">
        <f t="shared" si="20"/>
        <v>0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139135.70000000001</v>
      </c>
      <c r="AA22" s="65">
        <f t="shared" si="6"/>
        <v>0</v>
      </c>
      <c r="AB22" s="281">
        <f t="shared" si="47"/>
        <v>0</v>
      </c>
      <c r="AC22" s="572">
        <f t="shared" si="25"/>
        <v>1942</v>
      </c>
      <c r="AD22" s="45">
        <f t="shared" si="7"/>
        <v>0</v>
      </c>
      <c r="AE22" s="572">
        <f t="shared" si="26"/>
        <v>366072</v>
      </c>
      <c r="AF22" s="303">
        <f t="shared" si="27"/>
        <v>0</v>
      </c>
      <c r="AG22" s="209">
        <f t="shared" si="37"/>
        <v>0</v>
      </c>
      <c r="AH22" s="62">
        <f t="shared" si="38"/>
        <v>0</v>
      </c>
      <c r="AI22" s="314">
        <f t="shared" si="28"/>
        <v>0</v>
      </c>
      <c r="AJ22" s="314">
        <f>-tanks!AW23</f>
        <v>0</v>
      </c>
      <c r="AK22" s="314">
        <f t="shared" si="29"/>
        <v>0</v>
      </c>
      <c r="AL22" s="314">
        <f t="shared" si="8"/>
        <v>0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39"/>
        <v>1830</v>
      </c>
      <c r="AT22" s="316">
        <f t="shared" si="40"/>
        <v>5430</v>
      </c>
      <c r="AU22" s="316">
        <f t="shared" si="41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44427</v>
      </c>
      <c r="B23" s="572">
        <f t="shared" si="42"/>
        <v>138</v>
      </c>
      <c r="C23" s="572">
        <f t="shared" si="43"/>
        <v>145</v>
      </c>
      <c r="D23" s="45">
        <f t="shared" si="49"/>
        <v>0</v>
      </c>
      <c r="E23" s="45">
        <f t="shared" si="12"/>
        <v>0</v>
      </c>
      <c r="F23" s="572">
        <f t="shared" si="13"/>
        <v>1871</v>
      </c>
      <c r="G23" s="52">
        <f t="shared" si="0"/>
        <v>0</v>
      </c>
      <c r="H23" s="572">
        <f t="shared" si="14"/>
        <v>15689</v>
      </c>
      <c r="I23" s="392">
        <f t="shared" si="1"/>
        <v>0</v>
      </c>
      <c r="J23" s="66">
        <f t="shared" si="15"/>
        <v>0</v>
      </c>
      <c r="K23" s="572">
        <f t="shared" si="16"/>
        <v>2353</v>
      </c>
      <c r="L23" s="52">
        <f t="shared" si="17"/>
        <v>0</v>
      </c>
      <c r="M23" s="572">
        <f t="shared" si="18"/>
        <v>173718</v>
      </c>
      <c r="N23" s="392">
        <f t="shared" si="2"/>
        <v>0</v>
      </c>
      <c r="O23" s="64">
        <f t="shared" si="48"/>
        <v>1869</v>
      </c>
      <c r="P23" s="572">
        <f t="shared" si="45"/>
        <v>2123</v>
      </c>
      <c r="Q23" s="572">
        <f t="shared" si="46"/>
        <v>178240</v>
      </c>
      <c r="R23" s="391">
        <f t="shared" si="44"/>
        <v>0</v>
      </c>
      <c r="S23" s="52">
        <f t="shared" si="5"/>
        <v>0</v>
      </c>
      <c r="T23" s="67">
        <f t="shared" si="35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139135.70000000001</v>
      </c>
      <c r="AA23" s="65">
        <f t="shared" si="6"/>
        <v>0</v>
      </c>
      <c r="AB23" s="281">
        <f t="shared" si="47"/>
        <v>0</v>
      </c>
      <c r="AC23" s="572">
        <f t="shared" si="25"/>
        <v>1942</v>
      </c>
      <c r="AD23" s="45">
        <f t="shared" si="7"/>
        <v>0</v>
      </c>
      <c r="AE23" s="572">
        <f t="shared" si="26"/>
        <v>366072</v>
      </c>
      <c r="AF23" s="303">
        <f t="shared" si="27"/>
        <v>0</v>
      </c>
      <c r="AG23" s="209">
        <f t="shared" si="37"/>
        <v>0</v>
      </c>
      <c r="AH23" s="62">
        <f t="shared" si="38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39"/>
        <v>1830</v>
      </c>
      <c r="AT23" s="316">
        <f t="shared" si="40"/>
        <v>5430</v>
      </c>
      <c r="AU23" s="316">
        <f t="shared" si="41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44428</v>
      </c>
      <c r="B24" s="572">
        <f t="shared" si="42"/>
        <v>138</v>
      </c>
      <c r="C24" s="572">
        <f t="shared" si="43"/>
        <v>145</v>
      </c>
      <c r="D24" s="45">
        <f t="shared" si="49"/>
        <v>0</v>
      </c>
      <c r="E24" s="45">
        <f t="shared" si="12"/>
        <v>0</v>
      </c>
      <c r="F24" s="572">
        <f t="shared" si="13"/>
        <v>1871</v>
      </c>
      <c r="G24" s="52">
        <f t="shared" si="0"/>
        <v>0</v>
      </c>
      <c r="H24" s="572">
        <f t="shared" si="14"/>
        <v>15689</v>
      </c>
      <c r="I24" s="392">
        <f t="shared" si="1"/>
        <v>0</v>
      </c>
      <c r="J24" s="66">
        <f t="shared" si="15"/>
        <v>0</v>
      </c>
      <c r="K24" s="572">
        <f t="shared" si="16"/>
        <v>2353</v>
      </c>
      <c r="L24" s="52">
        <f t="shared" si="17"/>
        <v>0</v>
      </c>
      <c r="M24" s="572">
        <f t="shared" si="18"/>
        <v>173718</v>
      </c>
      <c r="N24" s="392">
        <f t="shared" si="2"/>
        <v>0</v>
      </c>
      <c r="O24" s="64">
        <f t="shared" si="48"/>
        <v>1869</v>
      </c>
      <c r="P24" s="572">
        <f t="shared" si="45"/>
        <v>2123</v>
      </c>
      <c r="Q24" s="572">
        <f t="shared" si="46"/>
        <v>178240</v>
      </c>
      <c r="R24" s="391">
        <f t="shared" si="44"/>
        <v>0</v>
      </c>
      <c r="S24" s="52">
        <f t="shared" si="5"/>
        <v>0</v>
      </c>
      <c r="T24" s="67">
        <f t="shared" si="35"/>
        <v>0</v>
      </c>
      <c r="U24" s="398">
        <f t="shared" si="19"/>
        <v>0</v>
      </c>
      <c r="V24" s="62">
        <f t="shared" si="20"/>
        <v>0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139135.70000000001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1942</v>
      </c>
      <c r="AD24" s="45">
        <f t="shared" si="7"/>
        <v>0</v>
      </c>
      <c r="AE24" s="572">
        <f t="shared" si="26"/>
        <v>366072</v>
      </c>
      <c r="AF24" s="303">
        <f t="shared" si="27"/>
        <v>0</v>
      </c>
      <c r="AG24" s="209">
        <f t="shared" si="37"/>
        <v>0</v>
      </c>
      <c r="AH24" s="62">
        <f t="shared" si="38"/>
        <v>0</v>
      </c>
      <c r="AI24" s="314">
        <f t="shared" si="28"/>
        <v>0</v>
      </c>
      <c r="AJ24" s="314">
        <f>-tanks!AW25</f>
        <v>0</v>
      </c>
      <c r="AK24" s="314">
        <f t="shared" si="29"/>
        <v>0</v>
      </c>
      <c r="AL24" s="314">
        <f t="shared" si="8"/>
        <v>0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39"/>
        <v>1830</v>
      </c>
      <c r="AT24" s="316">
        <f t="shared" ref="AT24:AT32" si="51">SUM(AO24+AQ24+AS24)</f>
        <v>5430</v>
      </c>
      <c r="AU24" s="316">
        <f t="shared" si="41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44429</v>
      </c>
      <c r="B25" s="572">
        <f t="shared" si="42"/>
        <v>138</v>
      </c>
      <c r="C25" s="572">
        <f t="shared" si="43"/>
        <v>145</v>
      </c>
      <c r="D25" s="45">
        <f t="shared" si="49"/>
        <v>0</v>
      </c>
      <c r="E25" s="45">
        <f t="shared" si="12"/>
        <v>0</v>
      </c>
      <c r="F25" s="572">
        <f t="shared" si="13"/>
        <v>1871</v>
      </c>
      <c r="G25" s="52">
        <f t="shared" si="0"/>
        <v>0</v>
      </c>
      <c r="H25" s="572">
        <f t="shared" si="14"/>
        <v>15689</v>
      </c>
      <c r="I25" s="392">
        <f t="shared" si="1"/>
        <v>0</v>
      </c>
      <c r="J25" s="66">
        <f t="shared" si="15"/>
        <v>0</v>
      </c>
      <c r="K25" s="572">
        <f t="shared" si="16"/>
        <v>2353</v>
      </c>
      <c r="L25" s="52">
        <f t="shared" si="17"/>
        <v>0</v>
      </c>
      <c r="M25" s="572">
        <f t="shared" si="18"/>
        <v>173718</v>
      </c>
      <c r="N25" s="392">
        <f t="shared" si="2"/>
        <v>0</v>
      </c>
      <c r="O25" s="64">
        <f t="shared" si="48"/>
        <v>1869</v>
      </c>
      <c r="P25" s="572">
        <f t="shared" si="45"/>
        <v>2123</v>
      </c>
      <c r="Q25" s="572">
        <f t="shared" si="46"/>
        <v>178240</v>
      </c>
      <c r="R25" s="391">
        <f t="shared" si="44"/>
        <v>0</v>
      </c>
      <c r="S25" s="52">
        <f t="shared" si="5"/>
        <v>0</v>
      </c>
      <c r="T25" s="67">
        <f t="shared" si="35"/>
        <v>0</v>
      </c>
      <c r="U25" s="398">
        <f t="shared" si="19"/>
        <v>0</v>
      </c>
      <c r="V25" s="62">
        <f t="shared" si="20"/>
        <v>0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139135.70000000001</v>
      </c>
      <c r="AA25" s="65">
        <f t="shared" si="6"/>
        <v>0</v>
      </c>
      <c r="AB25" s="281">
        <f t="shared" si="50"/>
        <v>0</v>
      </c>
      <c r="AC25" s="572">
        <f t="shared" si="25"/>
        <v>1942</v>
      </c>
      <c r="AD25" s="45">
        <f t="shared" si="7"/>
        <v>0</v>
      </c>
      <c r="AE25" s="572">
        <f t="shared" si="26"/>
        <v>366072</v>
      </c>
      <c r="AF25" s="303">
        <f t="shared" si="27"/>
        <v>0</v>
      </c>
      <c r="AG25" s="209">
        <f t="shared" si="37"/>
        <v>0</v>
      </c>
      <c r="AH25" s="62">
        <f t="shared" si="38"/>
        <v>0</v>
      </c>
      <c r="AI25" s="314">
        <f t="shared" si="28"/>
        <v>0</v>
      </c>
      <c r="AJ25" s="314">
        <f>-tanks!AW26</f>
        <v>0</v>
      </c>
      <c r="AK25" s="314">
        <f t="shared" si="29"/>
        <v>0</v>
      </c>
      <c r="AL25" s="314">
        <f t="shared" si="8"/>
        <v>0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39"/>
        <v>1830</v>
      </c>
      <c r="AT25" s="316">
        <f t="shared" si="51"/>
        <v>5430</v>
      </c>
      <c r="AU25" s="316">
        <f t="shared" si="41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44430</v>
      </c>
      <c r="B26" s="572">
        <v>125</v>
      </c>
      <c r="C26" s="572">
        <v>132</v>
      </c>
      <c r="D26" s="45">
        <f t="shared" si="49"/>
        <v>13</v>
      </c>
      <c r="E26" s="45">
        <f t="shared" si="12"/>
        <v>108.94000000000001</v>
      </c>
      <c r="F26" s="572">
        <v>1872</v>
      </c>
      <c r="G26" s="52">
        <f t="shared" si="0"/>
        <v>1</v>
      </c>
      <c r="H26" s="572">
        <v>15774</v>
      </c>
      <c r="I26" s="392">
        <f t="shared" si="1"/>
        <v>85</v>
      </c>
      <c r="J26" s="66">
        <f t="shared" si="15"/>
        <v>85</v>
      </c>
      <c r="K26" s="572">
        <v>2353</v>
      </c>
      <c r="L26" s="52">
        <f t="shared" si="17"/>
        <v>0</v>
      </c>
      <c r="M26" s="572">
        <f t="shared" si="18"/>
        <v>173718</v>
      </c>
      <c r="N26" s="392">
        <f t="shared" si="2"/>
        <v>0</v>
      </c>
      <c r="O26" s="64">
        <f t="shared" si="48"/>
        <v>1869</v>
      </c>
      <c r="P26" s="572">
        <f t="shared" si="45"/>
        <v>2123</v>
      </c>
      <c r="Q26" s="572">
        <f t="shared" si="46"/>
        <v>178240</v>
      </c>
      <c r="R26" s="391">
        <f t="shared" si="44"/>
        <v>0</v>
      </c>
      <c r="S26" s="52">
        <f t="shared" si="5"/>
        <v>0</v>
      </c>
      <c r="T26" s="67">
        <f t="shared" si="35"/>
        <v>0</v>
      </c>
      <c r="U26" s="398">
        <f t="shared" si="19"/>
        <v>1</v>
      </c>
      <c r="V26" s="62">
        <f t="shared" si="20"/>
        <v>85</v>
      </c>
      <c r="W26" s="396"/>
      <c r="X26" s="572">
        <f t="shared" si="22"/>
        <v>2470</v>
      </c>
      <c r="Y26" s="52">
        <f t="shared" si="23"/>
        <v>0</v>
      </c>
      <c r="Z26" s="572">
        <v>139138.1</v>
      </c>
      <c r="AA26" s="65">
        <f t="shared" si="6"/>
        <v>2.3999999999941792</v>
      </c>
      <c r="AB26" s="281">
        <f t="shared" si="50"/>
        <v>0</v>
      </c>
      <c r="AC26" s="572">
        <f t="shared" si="25"/>
        <v>1942</v>
      </c>
      <c r="AD26" s="45">
        <f t="shared" si="7"/>
        <v>0</v>
      </c>
      <c r="AE26" s="572">
        <f t="shared" si="26"/>
        <v>366072</v>
      </c>
      <c r="AF26" s="303">
        <f t="shared" si="27"/>
        <v>0</v>
      </c>
      <c r="AG26" s="209">
        <f t="shared" si="37"/>
        <v>0</v>
      </c>
      <c r="AH26" s="62">
        <f t="shared" si="38"/>
        <v>2.3999999999941792</v>
      </c>
      <c r="AI26" s="314">
        <f t="shared" si="28"/>
        <v>87.399999999994179</v>
      </c>
      <c r="AJ26" s="314">
        <f>-tanks!AW27</f>
        <v>87.399999999994179</v>
      </c>
      <c r="AK26" s="314">
        <f t="shared" si="29"/>
        <v>0</v>
      </c>
      <c r="AL26" s="314">
        <f t="shared" si="8"/>
        <v>1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39"/>
        <v>1830</v>
      </c>
      <c r="AT26" s="316">
        <f t="shared" si="51"/>
        <v>5430</v>
      </c>
      <c r="AU26" s="316">
        <f t="shared" si="41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44431</v>
      </c>
      <c r="B27" s="572">
        <v>115</v>
      </c>
      <c r="C27" s="572">
        <v>122</v>
      </c>
      <c r="D27" s="45">
        <f t="shared" si="49"/>
        <v>10</v>
      </c>
      <c r="E27" s="45">
        <f t="shared" si="12"/>
        <v>83.800000000000011</v>
      </c>
      <c r="F27" s="572">
        <v>1873</v>
      </c>
      <c r="G27" s="52">
        <f t="shared" si="0"/>
        <v>1</v>
      </c>
      <c r="H27" s="572">
        <v>15829</v>
      </c>
      <c r="I27" s="392">
        <f t="shared" si="1"/>
        <v>55</v>
      </c>
      <c r="J27" s="66">
        <f t="shared" si="15"/>
        <v>55</v>
      </c>
      <c r="K27" s="572">
        <f t="shared" si="16"/>
        <v>2353</v>
      </c>
      <c r="L27" s="52">
        <f t="shared" si="17"/>
        <v>0</v>
      </c>
      <c r="M27" s="572">
        <f t="shared" si="18"/>
        <v>173718</v>
      </c>
      <c r="N27" s="392">
        <f t="shared" si="2"/>
        <v>0</v>
      </c>
      <c r="O27" s="64">
        <f t="shared" si="48"/>
        <v>1869</v>
      </c>
      <c r="P27" s="572">
        <f t="shared" si="45"/>
        <v>2123</v>
      </c>
      <c r="Q27" s="572">
        <f t="shared" si="46"/>
        <v>178240</v>
      </c>
      <c r="R27" s="391">
        <f t="shared" si="44"/>
        <v>0</v>
      </c>
      <c r="S27" s="52">
        <f t="shared" si="5"/>
        <v>0</v>
      </c>
      <c r="T27" s="67">
        <f t="shared" si="35"/>
        <v>0</v>
      </c>
      <c r="U27" s="398">
        <f t="shared" si="19"/>
        <v>1</v>
      </c>
      <c r="V27" s="62">
        <f t="shared" si="20"/>
        <v>55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139138.1</v>
      </c>
      <c r="AA27" s="65">
        <f t="shared" si="6"/>
        <v>0</v>
      </c>
      <c r="AB27" s="281">
        <f t="shared" si="50"/>
        <v>0</v>
      </c>
      <c r="AC27" s="572">
        <f t="shared" si="25"/>
        <v>1942</v>
      </c>
      <c r="AD27" s="45">
        <f t="shared" si="7"/>
        <v>0</v>
      </c>
      <c r="AE27" s="572">
        <f t="shared" si="26"/>
        <v>366072</v>
      </c>
      <c r="AF27" s="303">
        <f t="shared" si="27"/>
        <v>0</v>
      </c>
      <c r="AG27" s="209">
        <f t="shared" si="37"/>
        <v>0</v>
      </c>
      <c r="AH27" s="62">
        <f t="shared" si="38"/>
        <v>0</v>
      </c>
      <c r="AI27" s="314">
        <f t="shared" si="28"/>
        <v>55</v>
      </c>
      <c r="AJ27" s="314">
        <f>-tanks!AW28</f>
        <v>55</v>
      </c>
      <c r="AK27" s="314">
        <f t="shared" si="29"/>
        <v>0</v>
      </c>
      <c r="AL27" s="314">
        <f t="shared" si="8"/>
        <v>1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39"/>
        <v>1830</v>
      </c>
      <c r="AT27" s="316">
        <f t="shared" si="51"/>
        <v>5430</v>
      </c>
      <c r="AU27" s="316">
        <f t="shared" si="41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44432</v>
      </c>
      <c r="B28" s="572">
        <v>134</v>
      </c>
      <c r="C28" s="572">
        <v>139</v>
      </c>
      <c r="D28" s="45">
        <f t="shared" si="49"/>
        <v>-17</v>
      </c>
      <c r="E28" s="45">
        <f t="shared" si="12"/>
        <v>-142.46</v>
      </c>
      <c r="F28" s="572">
        <v>1874</v>
      </c>
      <c r="G28" s="52">
        <f t="shared" si="0"/>
        <v>1</v>
      </c>
      <c r="H28" s="572">
        <v>15903</v>
      </c>
      <c r="I28" s="392">
        <f t="shared" si="1"/>
        <v>74</v>
      </c>
      <c r="J28" s="66">
        <f t="shared" si="15"/>
        <v>74</v>
      </c>
      <c r="K28" s="572">
        <f t="shared" si="16"/>
        <v>2353</v>
      </c>
      <c r="L28" s="52">
        <f t="shared" si="17"/>
        <v>0</v>
      </c>
      <c r="M28" s="572">
        <f t="shared" si="18"/>
        <v>173718</v>
      </c>
      <c r="N28" s="392">
        <f t="shared" si="2"/>
        <v>0</v>
      </c>
      <c r="O28" s="64">
        <f t="shared" si="48"/>
        <v>1869</v>
      </c>
      <c r="P28" s="572">
        <f t="shared" si="45"/>
        <v>2123</v>
      </c>
      <c r="Q28" s="572">
        <f t="shared" si="46"/>
        <v>178240</v>
      </c>
      <c r="R28" s="391">
        <f t="shared" si="44"/>
        <v>0</v>
      </c>
      <c r="S28" s="52">
        <f t="shared" si="5"/>
        <v>0</v>
      </c>
      <c r="T28" s="67">
        <f t="shared" si="35"/>
        <v>0</v>
      </c>
      <c r="U28" s="398">
        <f t="shared" si="19"/>
        <v>1</v>
      </c>
      <c r="V28" s="62">
        <f t="shared" si="20"/>
        <v>74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139138.1</v>
      </c>
      <c r="AA28" s="65">
        <f t="shared" si="6"/>
        <v>0</v>
      </c>
      <c r="AB28" s="281">
        <f t="shared" si="50"/>
        <v>0</v>
      </c>
      <c r="AC28" s="572">
        <f t="shared" si="25"/>
        <v>1942</v>
      </c>
      <c r="AD28" s="45">
        <f t="shared" si="7"/>
        <v>0</v>
      </c>
      <c r="AE28" s="572">
        <f t="shared" si="26"/>
        <v>366072</v>
      </c>
      <c r="AF28" s="303">
        <f t="shared" si="27"/>
        <v>0</v>
      </c>
      <c r="AG28" s="209">
        <f t="shared" si="37"/>
        <v>0</v>
      </c>
      <c r="AH28" s="62">
        <f t="shared" si="38"/>
        <v>0</v>
      </c>
      <c r="AI28" s="314">
        <f t="shared" si="28"/>
        <v>74</v>
      </c>
      <c r="AJ28" s="314">
        <f>-tanks!AW29</f>
        <v>74</v>
      </c>
      <c r="AK28" s="314">
        <f t="shared" si="29"/>
        <v>0</v>
      </c>
      <c r="AL28" s="314">
        <f t="shared" si="8"/>
        <v>1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39"/>
        <v>1830</v>
      </c>
      <c r="AT28" s="316">
        <f t="shared" si="51"/>
        <v>5430</v>
      </c>
      <c r="AU28" s="316">
        <f t="shared" si="41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44433</v>
      </c>
      <c r="B29" s="572">
        <v>129</v>
      </c>
      <c r="C29" s="572">
        <v>135</v>
      </c>
      <c r="D29" s="45">
        <f t="shared" si="49"/>
        <v>4</v>
      </c>
      <c r="E29" s="45">
        <f t="shared" si="12"/>
        <v>33.520000000000003</v>
      </c>
      <c r="F29" s="572">
        <v>1875</v>
      </c>
      <c r="G29" s="52">
        <f t="shared" si="0"/>
        <v>1</v>
      </c>
      <c r="H29" s="572">
        <v>15969</v>
      </c>
      <c r="I29" s="392">
        <f t="shared" si="1"/>
        <v>66</v>
      </c>
      <c r="J29" s="66">
        <f t="shared" si="15"/>
        <v>66</v>
      </c>
      <c r="K29" s="572">
        <f t="shared" si="16"/>
        <v>2353</v>
      </c>
      <c r="L29" s="52">
        <f t="shared" si="17"/>
        <v>0</v>
      </c>
      <c r="M29" s="572">
        <f t="shared" si="18"/>
        <v>173718</v>
      </c>
      <c r="N29" s="392">
        <f t="shared" si="2"/>
        <v>0</v>
      </c>
      <c r="O29" s="64">
        <f t="shared" si="48"/>
        <v>1869</v>
      </c>
      <c r="P29" s="572">
        <v>2124</v>
      </c>
      <c r="Q29" s="572">
        <v>178321</v>
      </c>
      <c r="R29" s="391">
        <f t="shared" si="44"/>
        <v>81</v>
      </c>
      <c r="S29" s="52">
        <f t="shared" si="5"/>
        <v>1</v>
      </c>
      <c r="T29" s="67">
        <f t="shared" si="35"/>
        <v>0</v>
      </c>
      <c r="U29" s="398">
        <f t="shared" si="19"/>
        <v>2</v>
      </c>
      <c r="V29" s="62">
        <f t="shared" si="20"/>
        <v>147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139138.1</v>
      </c>
      <c r="AA29" s="65">
        <f t="shared" si="6"/>
        <v>0</v>
      </c>
      <c r="AB29" s="281">
        <f t="shared" si="50"/>
        <v>0</v>
      </c>
      <c r="AC29" s="572">
        <f t="shared" si="25"/>
        <v>1942</v>
      </c>
      <c r="AD29" s="45">
        <f t="shared" si="7"/>
        <v>0</v>
      </c>
      <c r="AE29" s="572">
        <f t="shared" si="26"/>
        <v>366072</v>
      </c>
      <c r="AF29" s="303">
        <f t="shared" si="27"/>
        <v>0</v>
      </c>
      <c r="AG29" s="209">
        <f t="shared" si="37"/>
        <v>0</v>
      </c>
      <c r="AH29" s="62">
        <f t="shared" si="38"/>
        <v>0</v>
      </c>
      <c r="AI29" s="314">
        <f t="shared" si="28"/>
        <v>147</v>
      </c>
      <c r="AJ29" s="314">
        <f>-tanks!AW30</f>
        <v>147</v>
      </c>
      <c r="AK29" s="314">
        <f t="shared" si="29"/>
        <v>0</v>
      </c>
      <c r="AL29" s="314">
        <f t="shared" si="8"/>
        <v>2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39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44434</v>
      </c>
      <c r="B30" s="572">
        <v>112</v>
      </c>
      <c r="C30" s="572">
        <v>119</v>
      </c>
      <c r="D30" s="45">
        <f t="shared" si="49"/>
        <v>16</v>
      </c>
      <c r="E30" s="45">
        <f t="shared" si="12"/>
        <v>134.08000000000001</v>
      </c>
      <c r="F30" s="572">
        <f t="shared" si="13"/>
        <v>1875</v>
      </c>
      <c r="G30" s="52">
        <f t="shared" si="0"/>
        <v>0</v>
      </c>
      <c r="H30" s="572">
        <f t="shared" si="14"/>
        <v>15969</v>
      </c>
      <c r="I30" s="392">
        <f t="shared" si="1"/>
        <v>0</v>
      </c>
      <c r="J30" s="66">
        <f t="shared" si="15"/>
        <v>0</v>
      </c>
      <c r="K30" s="572">
        <f t="shared" si="16"/>
        <v>2353</v>
      </c>
      <c r="L30" s="52">
        <f t="shared" si="17"/>
        <v>0</v>
      </c>
      <c r="M30" s="572">
        <f t="shared" si="18"/>
        <v>173718</v>
      </c>
      <c r="N30" s="392">
        <f t="shared" si="2"/>
        <v>0</v>
      </c>
      <c r="O30" s="64">
        <f t="shared" si="48"/>
        <v>1869</v>
      </c>
      <c r="P30" s="572">
        <f t="shared" si="45"/>
        <v>2124</v>
      </c>
      <c r="Q30" s="572">
        <f t="shared" si="46"/>
        <v>178321</v>
      </c>
      <c r="R30" s="391">
        <f t="shared" si="44"/>
        <v>0</v>
      </c>
      <c r="S30" s="52">
        <f t="shared" si="5"/>
        <v>0</v>
      </c>
      <c r="T30" s="67">
        <f t="shared" si="35"/>
        <v>0</v>
      </c>
      <c r="U30" s="398">
        <f t="shared" si="19"/>
        <v>0</v>
      </c>
      <c r="V30" s="62">
        <f t="shared" si="20"/>
        <v>0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139138.1</v>
      </c>
      <c r="AA30" s="65">
        <f t="shared" si="6"/>
        <v>0</v>
      </c>
      <c r="AB30" s="281">
        <f t="shared" si="50"/>
        <v>0</v>
      </c>
      <c r="AC30" s="572">
        <f t="shared" si="25"/>
        <v>1942</v>
      </c>
      <c r="AD30" s="45">
        <f t="shared" si="7"/>
        <v>0</v>
      </c>
      <c r="AE30" s="572">
        <f t="shared" si="26"/>
        <v>366072</v>
      </c>
      <c r="AF30" s="303">
        <f t="shared" si="27"/>
        <v>0</v>
      </c>
      <c r="AG30" s="209">
        <f t="shared" si="37"/>
        <v>0</v>
      </c>
      <c r="AH30" s="62">
        <f t="shared" si="38"/>
        <v>0</v>
      </c>
      <c r="AI30" s="314">
        <f t="shared" si="28"/>
        <v>0</v>
      </c>
      <c r="AJ30" s="314">
        <f>-tanks!AW31</f>
        <v>0</v>
      </c>
      <c r="AK30" s="314">
        <f t="shared" si="29"/>
        <v>0</v>
      </c>
      <c r="AL30" s="314">
        <f t="shared" si="8"/>
        <v>0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39"/>
        <v>1830</v>
      </c>
      <c r="AT30" s="316">
        <f t="shared" si="51"/>
        <v>5430</v>
      </c>
      <c r="AU30" s="316">
        <f t="shared" si="41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44435</v>
      </c>
      <c r="B31" s="572">
        <v>152</v>
      </c>
      <c r="C31" s="572">
        <v>159</v>
      </c>
      <c r="D31" s="45">
        <f t="shared" si="49"/>
        <v>-40</v>
      </c>
      <c r="E31" s="45">
        <f t="shared" si="12"/>
        <v>-335.20000000000005</v>
      </c>
      <c r="F31" s="572">
        <f t="shared" si="13"/>
        <v>1875</v>
      </c>
      <c r="G31" s="52">
        <f t="shared" si="0"/>
        <v>0</v>
      </c>
      <c r="H31" s="572">
        <f t="shared" si="14"/>
        <v>15969</v>
      </c>
      <c r="I31" s="392">
        <f t="shared" si="1"/>
        <v>0</v>
      </c>
      <c r="J31" s="66">
        <f t="shared" si="15"/>
        <v>0</v>
      </c>
      <c r="K31" s="572">
        <f t="shared" si="16"/>
        <v>2353</v>
      </c>
      <c r="L31" s="52">
        <f t="shared" si="17"/>
        <v>0</v>
      </c>
      <c r="M31" s="572">
        <f t="shared" si="18"/>
        <v>173718</v>
      </c>
      <c r="N31" s="392">
        <f t="shared" si="2"/>
        <v>0</v>
      </c>
      <c r="O31" s="64">
        <f t="shared" si="48"/>
        <v>1869</v>
      </c>
      <c r="P31" s="572">
        <f t="shared" si="45"/>
        <v>2124</v>
      </c>
      <c r="Q31" s="572">
        <f t="shared" si="46"/>
        <v>178321</v>
      </c>
      <c r="R31" s="391">
        <f t="shared" si="44"/>
        <v>0</v>
      </c>
      <c r="S31" s="52">
        <f t="shared" si="5"/>
        <v>0</v>
      </c>
      <c r="T31" s="67">
        <f t="shared" si="35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139138.1</v>
      </c>
      <c r="AA31" s="65">
        <f t="shared" si="6"/>
        <v>0</v>
      </c>
      <c r="AB31" s="281">
        <f t="shared" si="50"/>
        <v>0</v>
      </c>
      <c r="AC31" s="572">
        <f t="shared" si="25"/>
        <v>1942</v>
      </c>
      <c r="AD31" s="267">
        <f t="shared" si="7"/>
        <v>0</v>
      </c>
      <c r="AE31" s="572">
        <f t="shared" si="26"/>
        <v>366072</v>
      </c>
      <c r="AF31" s="303">
        <f t="shared" si="27"/>
        <v>0</v>
      </c>
      <c r="AG31" s="209">
        <f t="shared" si="37"/>
        <v>0</v>
      </c>
      <c r="AH31" s="62">
        <f t="shared" si="38"/>
        <v>0</v>
      </c>
      <c r="AI31" s="314">
        <f t="shared" si="28"/>
        <v>0</v>
      </c>
      <c r="AJ31" s="314">
        <f>-tanks!AW32</f>
        <v>0</v>
      </c>
      <c r="AK31" s="314">
        <f t="shared" si="29"/>
        <v>0</v>
      </c>
      <c r="AL31" s="314">
        <f t="shared" si="8"/>
        <v>0</v>
      </c>
      <c r="AM31" s="314">
        <f t="shared" si="30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39"/>
        <v>1830</v>
      </c>
      <c r="AT31" s="316">
        <f t="shared" si="51"/>
        <v>5430</v>
      </c>
      <c r="AU31" s="316">
        <f t="shared" si="41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44436</v>
      </c>
      <c r="B32" s="572">
        <v>152</v>
      </c>
      <c r="C32" s="572">
        <v>159</v>
      </c>
      <c r="D32" s="45">
        <f t="shared" si="49"/>
        <v>0</v>
      </c>
      <c r="E32" s="45">
        <f t="shared" si="12"/>
        <v>0</v>
      </c>
      <c r="F32" s="572">
        <f t="shared" si="13"/>
        <v>1875</v>
      </c>
      <c r="G32" s="52">
        <f t="shared" si="0"/>
        <v>0</v>
      </c>
      <c r="H32" s="572">
        <f t="shared" si="14"/>
        <v>15969</v>
      </c>
      <c r="I32" s="392">
        <f t="shared" si="1"/>
        <v>0</v>
      </c>
      <c r="J32" s="66">
        <f t="shared" si="15"/>
        <v>0</v>
      </c>
      <c r="K32" s="572">
        <f t="shared" si="16"/>
        <v>2353</v>
      </c>
      <c r="L32" s="52">
        <f t="shared" si="17"/>
        <v>0</v>
      </c>
      <c r="M32" s="572">
        <f t="shared" si="18"/>
        <v>173718</v>
      </c>
      <c r="N32" s="392">
        <f t="shared" si="2"/>
        <v>0</v>
      </c>
      <c r="O32" s="64">
        <f t="shared" si="48"/>
        <v>1869</v>
      </c>
      <c r="P32" s="572">
        <f t="shared" si="45"/>
        <v>2124</v>
      </c>
      <c r="Q32" s="572">
        <f t="shared" si="46"/>
        <v>178321</v>
      </c>
      <c r="R32" s="391">
        <f t="shared" si="44"/>
        <v>0</v>
      </c>
      <c r="S32" s="52">
        <f t="shared" si="5"/>
        <v>0</v>
      </c>
      <c r="T32" s="67">
        <f t="shared" si="35"/>
        <v>0</v>
      </c>
      <c r="U32" s="398">
        <f t="shared" si="19"/>
        <v>0</v>
      </c>
      <c r="V32" s="62">
        <f t="shared" si="20"/>
        <v>0</v>
      </c>
      <c r="W32" s="396"/>
      <c r="X32" s="572">
        <f t="shared" si="22"/>
        <v>2470</v>
      </c>
      <c r="Y32" s="52">
        <f t="shared" si="23"/>
        <v>0</v>
      </c>
      <c r="Z32" s="572">
        <f t="shared" si="24"/>
        <v>139138.1</v>
      </c>
      <c r="AA32" s="65">
        <f t="shared" si="6"/>
        <v>0</v>
      </c>
      <c r="AB32" s="281">
        <f t="shared" si="50"/>
        <v>0</v>
      </c>
      <c r="AC32" s="572">
        <f t="shared" si="25"/>
        <v>1942</v>
      </c>
      <c r="AD32" s="267">
        <f t="shared" si="7"/>
        <v>0</v>
      </c>
      <c r="AE32" s="572">
        <f t="shared" si="26"/>
        <v>366072</v>
      </c>
      <c r="AF32" s="303">
        <f t="shared" si="27"/>
        <v>0</v>
      </c>
      <c r="AG32" s="209">
        <f t="shared" si="37"/>
        <v>0</v>
      </c>
      <c r="AH32" s="62">
        <f t="shared" si="38"/>
        <v>0</v>
      </c>
      <c r="AI32" s="314">
        <f t="shared" si="28"/>
        <v>0</v>
      </c>
      <c r="AJ32" s="314">
        <f>-tanks!AW33</f>
        <v>0</v>
      </c>
      <c r="AK32" s="314">
        <f t="shared" si="29"/>
        <v>0</v>
      </c>
      <c r="AL32" s="314">
        <f t="shared" si="8"/>
        <v>0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39"/>
        <v>1830</v>
      </c>
      <c r="AT32" s="316">
        <f t="shared" si="51"/>
        <v>5430</v>
      </c>
      <c r="AU32" s="316">
        <f t="shared" si="41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44437</v>
      </c>
      <c r="B33" s="572">
        <v>152</v>
      </c>
      <c r="C33" s="572">
        <v>159</v>
      </c>
      <c r="D33" s="45">
        <f>C32-C33</f>
        <v>0</v>
      </c>
      <c r="E33" s="45">
        <f>D33*8.38</f>
        <v>0</v>
      </c>
      <c r="F33" s="572">
        <v>1876</v>
      </c>
      <c r="G33" s="52">
        <f>F33-F32</f>
        <v>1</v>
      </c>
      <c r="H33" s="572">
        <v>16096</v>
      </c>
      <c r="I33" s="392">
        <f>SUM(H33-H32)</f>
        <v>127</v>
      </c>
      <c r="J33" s="66">
        <f>IF(G33&gt;0,I33/G33,0)</f>
        <v>127</v>
      </c>
      <c r="K33" s="572">
        <f t="shared" si="16"/>
        <v>2353</v>
      </c>
      <c r="L33" s="52">
        <f>K33-K32</f>
        <v>0</v>
      </c>
      <c r="M33" s="572">
        <f t="shared" si="18"/>
        <v>173718</v>
      </c>
      <c r="N33" s="392">
        <f>M33-M32</f>
        <v>0</v>
      </c>
      <c r="O33" s="64">
        <f t="shared" si="48"/>
        <v>1869</v>
      </c>
      <c r="P33" s="572">
        <f t="shared" si="45"/>
        <v>2124</v>
      </c>
      <c r="Q33" s="572">
        <f t="shared" si="46"/>
        <v>178321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1</v>
      </c>
      <c r="V33" s="62">
        <f>R33+N33+I33:I33</f>
        <v>127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139138.1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127</v>
      </c>
      <c r="AJ33" s="314">
        <f>-tanks!AW34</f>
        <v>127</v>
      </c>
      <c r="AK33" s="314">
        <f>SUM(AJ33-AI33)</f>
        <v>0</v>
      </c>
      <c r="AL33" s="314">
        <f>S33+L33+G33</f>
        <v>1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44438</v>
      </c>
      <c r="B34" s="572">
        <v>159</v>
      </c>
      <c r="C34" s="572">
        <v>165</v>
      </c>
      <c r="D34" s="45">
        <f>C33-C34</f>
        <v>-6</v>
      </c>
      <c r="E34" s="45">
        <f>D34*8.38</f>
        <v>-50.28</v>
      </c>
      <c r="F34" s="572">
        <v>1877</v>
      </c>
      <c r="G34" s="52">
        <f>F34-F33</f>
        <v>1</v>
      </c>
      <c r="H34" s="572">
        <v>16125</v>
      </c>
      <c r="I34" s="392">
        <f>SUM(H34-H33)</f>
        <v>29</v>
      </c>
      <c r="J34" s="66">
        <f>IF(G34&gt;0,I34/G34,0)</f>
        <v>29</v>
      </c>
      <c r="K34" s="572">
        <f t="shared" si="16"/>
        <v>2353</v>
      </c>
      <c r="L34" s="52">
        <f>K34-K33</f>
        <v>0</v>
      </c>
      <c r="M34" s="572">
        <f t="shared" si="18"/>
        <v>173718</v>
      </c>
      <c r="N34" s="392">
        <f>M34-M33</f>
        <v>0</v>
      </c>
      <c r="O34" s="64">
        <f t="shared" si="48"/>
        <v>1869</v>
      </c>
      <c r="P34" s="572">
        <f t="shared" si="45"/>
        <v>2124</v>
      </c>
      <c r="Q34" s="572">
        <f t="shared" si="46"/>
        <v>178321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1</v>
      </c>
      <c r="V34" s="62">
        <f>R34+N34+I34:I34</f>
        <v>29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139138.1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29</v>
      </c>
      <c r="AJ34" s="314">
        <f>-tanks!AW35</f>
        <v>29</v>
      </c>
      <c r="AK34" s="314">
        <f>SUM(AJ34-AI34)</f>
        <v>0</v>
      </c>
      <c r="AL34" s="314">
        <f>S34+L34+G34</f>
        <v>1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44439</v>
      </c>
      <c r="B35" s="572">
        <f t="shared" si="42"/>
        <v>159</v>
      </c>
      <c r="C35" s="572">
        <f t="shared" si="43"/>
        <v>165</v>
      </c>
      <c r="D35" s="45">
        <f>C34-C35</f>
        <v>0</v>
      </c>
      <c r="E35" s="45">
        <f>D35*8.38</f>
        <v>0</v>
      </c>
      <c r="F35" s="572">
        <f t="shared" si="13"/>
        <v>1877</v>
      </c>
      <c r="G35" s="52">
        <f>F35-F34</f>
        <v>0</v>
      </c>
      <c r="H35" s="572">
        <f t="shared" si="14"/>
        <v>16125</v>
      </c>
      <c r="I35" s="392">
        <f>SUM(H35-H34)</f>
        <v>0</v>
      </c>
      <c r="J35" s="66">
        <f>IF(G35&gt;0,I35/G35,0)</f>
        <v>0</v>
      </c>
      <c r="K35" s="572">
        <f t="shared" si="16"/>
        <v>2353</v>
      </c>
      <c r="L35" s="52">
        <f>K35-K34</f>
        <v>0</v>
      </c>
      <c r="M35" s="572">
        <f t="shared" si="18"/>
        <v>173718</v>
      </c>
      <c r="N35" s="392">
        <f>M35-M34</f>
        <v>0</v>
      </c>
      <c r="O35" s="64">
        <f t="shared" si="48"/>
        <v>1869</v>
      </c>
      <c r="P35" s="572">
        <f t="shared" si="45"/>
        <v>2124</v>
      </c>
      <c r="Q35" s="572">
        <f t="shared" si="46"/>
        <v>178321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si="22"/>
        <v>2470</v>
      </c>
      <c r="Y35" s="52">
        <f>X35-X34</f>
        <v>0</v>
      </c>
      <c r="Z35" s="572">
        <f t="shared" si="24"/>
        <v>139138.1</v>
      </c>
      <c r="AA35" s="65">
        <f>Z35-Z34</f>
        <v>0</v>
      </c>
      <c r="AB35" s="281">
        <f>SUM(Y35*$AB$2)</f>
        <v>0</v>
      </c>
      <c r="AC35" s="572">
        <f t="shared" si="25"/>
        <v>1942</v>
      </c>
      <c r="AD35" s="267">
        <f>AC35-AC34</f>
        <v>0</v>
      </c>
      <c r="AE35" s="572">
        <f t="shared" si="26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55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66.349999999999994</v>
      </c>
      <c r="V36" s="62">
        <f>SUM(V5:V34)</f>
        <v>1284</v>
      </c>
      <c r="AE36" s="71" t="s">
        <v>383</v>
      </c>
      <c r="AG36" s="340"/>
      <c r="AH36" s="62">
        <f>SUM(AH5:AH35)</f>
        <v>2.3999999999941792</v>
      </c>
      <c r="AL36" s="62">
        <f>SUM(AL5:AL35)</f>
        <v>18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1286.3999999999942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14" activePane="bottomLeft" state="frozen"/>
      <selection pane="bottomLeft" activeCell="AY35" sqref="AY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8110718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5" t="s">
        <v>95</v>
      </c>
      <c r="AS2" s="676"/>
      <c r="AT2" s="676"/>
      <c r="AU2" s="676"/>
      <c r="AV2" s="677"/>
      <c r="AW2" s="675" t="s">
        <v>96</v>
      </c>
      <c r="AX2" s="676"/>
      <c r="AY2" s="677"/>
      <c r="AZ2" s="675" t="s">
        <v>98</v>
      </c>
      <c r="BA2" s="676"/>
      <c r="BB2" s="677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2" t="s">
        <v>126</v>
      </c>
      <c r="AO3" s="673"/>
      <c r="AP3" s="674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[2]WATER!B36</f>
        <v>109443</v>
      </c>
      <c r="C5" s="406">
        <f>[2]WATER!C36</f>
        <v>0</v>
      </c>
      <c r="D5" s="406">
        <f>[2]WATER!D36</f>
        <v>0</v>
      </c>
      <c r="E5" s="406">
        <f>[2]WATER!E36</f>
        <v>241.93548387096774</v>
      </c>
      <c r="F5" s="406">
        <f>[2]WATER!F36</f>
        <v>0</v>
      </c>
      <c r="G5" s="406">
        <f>[2]WATER!G36</f>
        <v>623470</v>
      </c>
      <c r="H5" s="406">
        <f>[2]WATER!H36</f>
        <v>0</v>
      </c>
      <c r="I5" s="406">
        <f>[2]WATER!I36</f>
        <v>0</v>
      </c>
      <c r="J5" s="406">
        <f>[2]WATER!J36</f>
        <v>0</v>
      </c>
      <c r="K5" s="406">
        <f>[2]WATER!K36</f>
        <v>6815</v>
      </c>
      <c r="L5" s="406">
        <f>[2]WATER!L36</f>
        <v>1</v>
      </c>
      <c r="M5" s="406">
        <f>[2]WATER!M36</f>
        <v>457.44</v>
      </c>
      <c r="N5" s="406">
        <f>[2]WATER!N36</f>
        <v>0</v>
      </c>
      <c r="O5" s="406">
        <f>[2]WATER!O36</f>
        <v>529.52</v>
      </c>
      <c r="P5" s="406">
        <f>[2]WATER!P36</f>
        <v>0</v>
      </c>
      <c r="Q5" s="406">
        <f>[2]WATER!Q36</f>
        <v>0</v>
      </c>
      <c r="R5" s="406">
        <f>[2]WATER!R36</f>
        <v>0</v>
      </c>
      <c r="S5" s="406">
        <f>[2]WATER!S36</f>
        <v>0</v>
      </c>
      <c r="T5" s="406">
        <f>[2]WATER!T36</f>
        <v>5175</v>
      </c>
      <c r="U5" s="406">
        <f>[2]WATER!U36</f>
        <v>0</v>
      </c>
      <c r="V5" s="406">
        <f>[2]WATER!V36</f>
        <v>476</v>
      </c>
      <c r="W5" s="406">
        <f>[2]WATER!W36</f>
        <v>0</v>
      </c>
      <c r="X5" s="406">
        <f>[2]WATER!X36</f>
        <v>153363</v>
      </c>
      <c r="Y5" s="406">
        <f>[2]WATER!Y36</f>
        <v>0</v>
      </c>
      <c r="Z5" s="406">
        <f>[2]WATER!Z36</f>
        <v>99257</v>
      </c>
      <c r="AA5" s="406">
        <f>[2]WATER!AA36</f>
        <v>0</v>
      </c>
      <c r="AB5" s="406">
        <f>[2]WATER!AB36</f>
        <v>261</v>
      </c>
      <c r="AC5" s="406">
        <f>[2]WATER!AC36</f>
        <v>731</v>
      </c>
      <c r="AD5" s="406">
        <f>[2]WATER!AD36</f>
        <v>0</v>
      </c>
      <c r="AE5" s="406">
        <f>[2]WATER!AE36</f>
        <v>237.6</v>
      </c>
      <c r="AF5" s="406">
        <f>[2]WATER!AF36</f>
        <v>0</v>
      </c>
      <c r="AG5" s="406">
        <f>[2]WATER!AG36</f>
        <v>2215.54</v>
      </c>
      <c r="AH5" s="406">
        <f>[2]WATER!AH36</f>
        <v>0</v>
      </c>
      <c r="AI5" s="406">
        <f>[2]WATER!AI36</f>
        <v>0</v>
      </c>
      <c r="AJ5" s="406">
        <f>[2]WATER!AJ36</f>
        <v>0</v>
      </c>
      <c r="AK5" s="406">
        <f>[2]WATER!AK36</f>
        <v>-1</v>
      </c>
      <c r="AL5" s="406">
        <f>[2]WATER!AL36</f>
        <v>0</v>
      </c>
      <c r="AM5" s="406">
        <f>[2]WATER!AM36</f>
        <v>29.5</v>
      </c>
      <c r="AN5" s="406">
        <f>[2]WATER!AN36</f>
        <v>0</v>
      </c>
      <c r="AO5" s="406">
        <f>[2]WATER!AO36</f>
        <v>0</v>
      </c>
      <c r="AP5" s="406">
        <f>[2]WATER!AP36</f>
        <v>0</v>
      </c>
      <c r="AR5" s="600">
        <f>[2]WATER!AR36</f>
        <v>44408</v>
      </c>
      <c r="AS5" s="406">
        <f>[2]WATER!AS36</f>
        <v>0.9</v>
      </c>
      <c r="AT5" s="406">
        <f>[2]WATER!AT36</f>
        <v>86</v>
      </c>
      <c r="AU5" s="406">
        <f>[2]WATER!AU36</f>
        <v>1.1000000000000001</v>
      </c>
      <c r="AV5" s="406">
        <f>[2]WATER!AV36</f>
        <v>198</v>
      </c>
      <c r="AW5" s="406">
        <f>[2]WATER!AW36</f>
        <v>3.9</v>
      </c>
      <c r="AX5" s="406">
        <f>[2]WATER!AX36</f>
        <v>143</v>
      </c>
      <c r="AY5" s="406">
        <f>[2]WATER!AY36</f>
        <v>77.400000000000006</v>
      </c>
      <c r="AZ5" s="406">
        <f>[2]WATER!AZ36</f>
        <v>217.8</v>
      </c>
      <c r="BA5" s="406">
        <f>[2]WATER!BA36</f>
        <v>557.69999999999993</v>
      </c>
      <c r="BB5" s="406">
        <f>[2]WATER!BB36</f>
        <v>-2.7000000000000028</v>
      </c>
      <c r="BC5" s="406">
        <f>[2]WATER!BC36</f>
        <v>4.4000000000000057</v>
      </c>
      <c r="BD5" s="406">
        <f>[2]WATER!BD36</f>
        <v>131.39999999999992</v>
      </c>
      <c r="BE5" s="406">
        <f>[2]WATER!BE36</f>
        <v>133.09999999999991</v>
      </c>
      <c r="BF5" s="406">
        <f>[2]WATER!BF36</f>
        <v>-133.09999999999991</v>
      </c>
      <c r="BG5" s="406">
        <f>[2]WATER!BG36</f>
        <v>0</v>
      </c>
    </row>
    <row r="6" spans="1:65" ht="15.75" thickBot="1">
      <c r="A6" s="6">
        <f>ELEC!C4</f>
        <v>44409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623687</v>
      </c>
      <c r="H6" s="5">
        <f>G6-G5</f>
        <v>217</v>
      </c>
      <c r="I6" s="5">
        <f>C6+H6</f>
        <v>217</v>
      </c>
      <c r="J6" s="330">
        <f t="shared" ref="J6:J33" si="0">IF(I6&gt;0,E6/I6,0)</f>
        <v>1.1149100639215104</v>
      </c>
      <c r="K6" s="5">
        <f>'Swimming Pool quality check '!H6</f>
        <v>6818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5175</v>
      </c>
      <c r="U6" s="5">
        <f t="shared" ref="U6:U33" si="3">SUM(T6-T5)</f>
        <v>0</v>
      </c>
      <c r="V6" s="5">
        <f>V5</f>
        <v>476</v>
      </c>
      <c r="W6" s="320">
        <f>+V6-V5</f>
        <v>0</v>
      </c>
      <c r="X6" s="5">
        <v>153415</v>
      </c>
      <c r="Y6" s="320">
        <f>SUM(X6-X5)</f>
        <v>52</v>
      </c>
      <c r="Z6" s="5">
        <v>99258</v>
      </c>
      <c r="AA6" s="83">
        <f>Z6-Z5</f>
        <v>1</v>
      </c>
      <c r="AB6" s="5">
        <f>AB5</f>
        <v>261</v>
      </c>
      <c r="AC6" s="5">
        <f>AC5</f>
        <v>731</v>
      </c>
      <c r="AD6" s="83">
        <v>0</v>
      </c>
      <c r="AE6" s="5">
        <f>AE5</f>
        <v>237.6</v>
      </c>
      <c r="AF6" s="83">
        <f>AE6-AE5</f>
        <v>0</v>
      </c>
      <c r="AG6" s="5">
        <v>2215.8000000000002</v>
      </c>
      <c r="AH6" s="83">
        <f>AG6-AG5</f>
        <v>0.26000000000021828</v>
      </c>
      <c r="AI6" s="83">
        <f>AF6+AH6</f>
        <v>0.26000000000021828</v>
      </c>
      <c r="AJ6" s="322">
        <f>+Z6-Z5</f>
        <v>1</v>
      </c>
      <c r="AK6" s="323">
        <f>SUM(Y6-L6)</f>
        <v>52</v>
      </c>
      <c r="AL6" s="323">
        <f>SUM(AJ6-W6)</f>
        <v>1</v>
      </c>
      <c r="AM6" s="323">
        <f>'General information '!D6</f>
        <v>29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44409</v>
      </c>
      <c r="AS6" s="420">
        <f>AS5</f>
        <v>0.9</v>
      </c>
      <c r="AT6" s="201">
        <v>124</v>
      </c>
      <c r="AU6" s="421">
        <f>AU5</f>
        <v>1.1000000000000001</v>
      </c>
      <c r="AV6" s="201">
        <v>200</v>
      </c>
      <c r="AW6" s="5">
        <v>2.9</v>
      </c>
      <c r="AX6" s="201">
        <v>152</v>
      </c>
      <c r="AY6" s="422">
        <f>AY5</f>
        <v>77.400000000000006</v>
      </c>
      <c r="AZ6" s="422">
        <f>AU6*AV6</f>
        <v>220.00000000000003</v>
      </c>
      <c r="BA6" s="422">
        <f>AW6*AX6</f>
        <v>440.8</v>
      </c>
      <c r="BB6" s="21">
        <f>AY6-AY5</f>
        <v>0</v>
      </c>
      <c r="BC6" s="21">
        <f>AZ6-AZ5</f>
        <v>2.2000000000000171</v>
      </c>
      <c r="BD6" s="21">
        <f>BA6-BA5</f>
        <v>-116.89999999999992</v>
      </c>
      <c r="BE6" s="24">
        <f>SUM(BB6:BD6)</f>
        <v>-114.6999999999999</v>
      </c>
      <c r="BF6" s="96">
        <f t="shared" ref="BF6:BF33" si="4">SUM(I6-BE6)</f>
        <v>331.69999999999993</v>
      </c>
      <c r="BG6" s="82">
        <f t="shared" ref="BG6:BG33" si="5">SUM(I6-BF6)</f>
        <v>-114.69999999999993</v>
      </c>
      <c r="BI6" s="17"/>
      <c r="BJ6" s="17"/>
      <c r="BK6" s="17"/>
      <c r="BL6" s="17"/>
      <c r="BM6" s="17"/>
    </row>
    <row r="7" spans="1:65" ht="15.75" thickBot="1">
      <c r="A7" s="6">
        <f>ELEC!C5</f>
        <v>44410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623687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6820</v>
      </c>
      <c r="L7" s="83">
        <f>K7-K6</f>
        <v>2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5175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153415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731</v>
      </c>
      <c r="AD7" s="83">
        <f>AC7-AC6</f>
        <v>0</v>
      </c>
      <c r="AE7" s="5">
        <f t="shared" ref="AE7:AE36" si="22">AE6</f>
        <v>237.6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-2</v>
      </c>
      <c r="AL7" s="323">
        <f t="shared" ref="AL7:AL33" si="28">SUM(AJ7-W7)</f>
        <v>0</v>
      </c>
      <c r="AM7" s="323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44410</v>
      </c>
      <c r="AS7" s="420">
        <f t="shared" ref="AS7:AT21" si="30">AS6</f>
        <v>0.9</v>
      </c>
      <c r="AT7" s="201">
        <f t="shared" si="30"/>
        <v>124</v>
      </c>
      <c r="AU7" s="421">
        <f>AU6</f>
        <v>1.1000000000000001</v>
      </c>
      <c r="AV7" s="201">
        <v>198</v>
      </c>
      <c r="AW7" s="5">
        <v>2.9</v>
      </c>
      <c r="AX7" s="201">
        <v>149</v>
      </c>
      <c r="AY7" s="422">
        <f t="shared" ref="AY7:AY35" si="31">AS7*AT7</f>
        <v>111.60000000000001</v>
      </c>
      <c r="AZ7" s="422">
        <f t="shared" ref="AZ7:AZ33" si="32">AU7*AV7</f>
        <v>217.8</v>
      </c>
      <c r="BA7" s="422">
        <f t="shared" ref="BA7:BA33" si="33">AW7*AX7</f>
        <v>432.09999999999997</v>
      </c>
      <c r="BB7" s="21">
        <f t="shared" ref="BB7:BD33" si="34">AY7-AY6</f>
        <v>34.200000000000003</v>
      </c>
      <c r="BC7" s="21">
        <f t="shared" ref="BC7:BD21" si="35">AZ7-AZ6</f>
        <v>-2.2000000000000171</v>
      </c>
      <c r="BD7" s="21">
        <f t="shared" si="35"/>
        <v>-8.7000000000000455</v>
      </c>
      <c r="BE7" s="24">
        <f t="shared" ref="BE7:BE33" si="36">SUM(BB7:BD7)</f>
        <v>23.29999999999994</v>
      </c>
      <c r="BF7" s="96">
        <f t="shared" si="4"/>
        <v>-23.29999999999994</v>
      </c>
      <c r="BG7" s="82">
        <f t="shared" si="5"/>
        <v>23.29999999999994</v>
      </c>
      <c r="BI7" s="86"/>
      <c r="BJ7" s="17"/>
      <c r="BK7" s="17"/>
      <c r="BL7" s="17"/>
      <c r="BM7" s="17"/>
    </row>
    <row r="8" spans="1:65" ht="15.75" thickBot="1">
      <c r="A8" s="6">
        <f>ELEC!C6</f>
        <v>44411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v>623779</v>
      </c>
      <c r="H8" s="5">
        <f t="shared" si="10"/>
        <v>92</v>
      </c>
      <c r="I8" s="5">
        <f t="shared" si="11"/>
        <v>92</v>
      </c>
      <c r="J8" s="330">
        <f t="shared" si="0"/>
        <v>2.6297335203366061</v>
      </c>
      <c r="K8" s="5">
        <f>'Swimming Pool quality check '!H8</f>
        <v>6820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5175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153415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731</v>
      </c>
      <c r="AD8" s="83">
        <f t="shared" ref="AD8:AD33" si="37">AC8-AC7</f>
        <v>0</v>
      </c>
      <c r="AE8" s="5">
        <f t="shared" si="22"/>
        <v>237.6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38">SUM(Y8-L8)</f>
        <v>0</v>
      </c>
      <c r="AL8" s="323">
        <f t="shared" si="28"/>
        <v>0</v>
      </c>
      <c r="AM8" s="323">
        <f>'General information '!D8</f>
        <v>28.5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44411</v>
      </c>
      <c r="AS8" s="420">
        <f t="shared" si="30"/>
        <v>0.9</v>
      </c>
      <c r="AT8" s="201">
        <v>190</v>
      </c>
      <c r="AU8" s="421">
        <v>1.1000000000000001</v>
      </c>
      <c r="AV8" s="201">
        <v>196</v>
      </c>
      <c r="AW8" s="5">
        <v>2.9</v>
      </c>
      <c r="AX8" s="201">
        <v>146</v>
      </c>
      <c r="AY8" s="422">
        <f t="shared" si="31"/>
        <v>171</v>
      </c>
      <c r="AZ8" s="422">
        <f t="shared" si="32"/>
        <v>215.60000000000002</v>
      </c>
      <c r="BA8" s="422">
        <f t="shared" si="33"/>
        <v>423.4</v>
      </c>
      <c r="BB8" s="21">
        <f t="shared" si="34"/>
        <v>59.399999999999991</v>
      </c>
      <c r="BC8" s="21">
        <f t="shared" si="35"/>
        <v>-2.1999999999999886</v>
      </c>
      <c r="BD8" s="21">
        <f t="shared" si="35"/>
        <v>-8.6999999999999886</v>
      </c>
      <c r="BE8" s="24">
        <f t="shared" si="36"/>
        <v>48.500000000000014</v>
      </c>
      <c r="BF8" s="96">
        <f t="shared" si="4"/>
        <v>43.499999999999986</v>
      </c>
      <c r="BG8" s="82">
        <f t="shared" si="5"/>
        <v>48.500000000000014</v>
      </c>
      <c r="BI8" s="86"/>
      <c r="BJ8" s="17"/>
      <c r="BK8" s="17"/>
    </row>
    <row r="9" spans="1:65" ht="15.75" thickBot="1">
      <c r="A9" s="6">
        <f>ELEC!C7</f>
        <v>44412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623779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6822</v>
      </c>
      <c r="L9" s="83">
        <f t="shared" ref="L9:L33" si="39">K9-K8</f>
        <v>2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5175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153415</v>
      </c>
      <c r="Y9" s="320">
        <f t="shared" ref="Y9:Y33" si="40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731</v>
      </c>
      <c r="AD9" s="83">
        <f t="shared" si="37"/>
        <v>0</v>
      </c>
      <c r="AE9" s="5">
        <f t="shared" si="22"/>
        <v>237.6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38"/>
        <v>-2</v>
      </c>
      <c r="AL9" s="323">
        <f t="shared" si="28"/>
        <v>0</v>
      </c>
      <c r="AM9" s="323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44412</v>
      </c>
      <c r="AS9" s="420">
        <f t="shared" si="30"/>
        <v>0.9</v>
      </c>
      <c r="AT9" s="201">
        <v>189</v>
      </c>
      <c r="AU9" s="421">
        <f t="shared" ref="AU9:AU33" si="41">AU8</f>
        <v>1.1000000000000001</v>
      </c>
      <c r="AV9" s="201">
        <v>194</v>
      </c>
      <c r="AW9" s="5">
        <v>2.9</v>
      </c>
      <c r="AX9" s="201">
        <v>144</v>
      </c>
      <c r="AY9" s="422">
        <f t="shared" si="31"/>
        <v>170.1</v>
      </c>
      <c r="AZ9" s="422">
        <f t="shared" si="32"/>
        <v>213.4</v>
      </c>
      <c r="BA9" s="422">
        <f t="shared" si="33"/>
        <v>417.59999999999997</v>
      </c>
      <c r="BB9" s="21">
        <f t="shared" si="34"/>
        <v>-0.90000000000000568</v>
      </c>
      <c r="BC9" s="21">
        <f t="shared" si="35"/>
        <v>-2.2000000000000171</v>
      </c>
      <c r="BD9" s="21">
        <f t="shared" si="35"/>
        <v>-5.8000000000000114</v>
      </c>
      <c r="BE9" s="24">
        <f t="shared" si="36"/>
        <v>-8.9000000000000341</v>
      </c>
      <c r="BF9" s="341">
        <f t="shared" si="4"/>
        <v>8.9000000000000341</v>
      </c>
      <c r="BG9" s="82">
        <f t="shared" si="5"/>
        <v>-8.9000000000000341</v>
      </c>
    </row>
    <row r="10" spans="1:65" ht="15.75" thickBot="1">
      <c r="A10" s="6">
        <f>ELEC!C8</f>
        <v>44413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v>623854</v>
      </c>
      <c r="H10" s="5">
        <f t="shared" si="10"/>
        <v>75</v>
      </c>
      <c r="I10" s="5">
        <f t="shared" si="11"/>
        <v>75</v>
      </c>
      <c r="J10" s="330">
        <f t="shared" si="0"/>
        <v>3.2258064516129035</v>
      </c>
      <c r="K10" s="5">
        <f>'Swimming Pool quality check '!H10</f>
        <v>6822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5175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153415</v>
      </c>
      <c r="Y10" s="320">
        <f t="shared" si="40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731</v>
      </c>
      <c r="AD10" s="83">
        <f t="shared" si="37"/>
        <v>0</v>
      </c>
      <c r="AE10" s="5">
        <f t="shared" si="22"/>
        <v>237.6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29.5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44413</v>
      </c>
      <c r="AS10" s="420">
        <f t="shared" si="30"/>
        <v>0.9</v>
      </c>
      <c r="AT10" s="201">
        <v>189</v>
      </c>
      <c r="AU10" s="421">
        <f t="shared" si="41"/>
        <v>1.1000000000000001</v>
      </c>
      <c r="AV10" s="201">
        <v>196</v>
      </c>
      <c r="AW10" s="5">
        <v>2.9</v>
      </c>
      <c r="AX10" s="201">
        <v>142</v>
      </c>
      <c r="AY10" s="422">
        <f t="shared" si="31"/>
        <v>170.1</v>
      </c>
      <c r="AZ10" s="422">
        <f t="shared" si="32"/>
        <v>215.60000000000002</v>
      </c>
      <c r="BA10" s="422">
        <f t="shared" si="33"/>
        <v>411.8</v>
      </c>
      <c r="BB10" s="21">
        <f t="shared" si="34"/>
        <v>0</v>
      </c>
      <c r="BC10" s="21">
        <f t="shared" si="35"/>
        <v>2.2000000000000171</v>
      </c>
      <c r="BD10" s="21">
        <f t="shared" si="35"/>
        <v>-5.7999999999999545</v>
      </c>
      <c r="BE10" s="24">
        <f t="shared" si="36"/>
        <v>-3.5999999999999375</v>
      </c>
      <c r="BF10" s="96">
        <f t="shared" si="4"/>
        <v>78.599999999999937</v>
      </c>
      <c r="BG10" s="82">
        <f t="shared" si="5"/>
        <v>-3.5999999999999375</v>
      </c>
    </row>
    <row r="11" spans="1:65" ht="15.75" thickBot="1">
      <c r="A11" s="6">
        <f>ELEC!C9</f>
        <v>44414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623854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6823</v>
      </c>
      <c r="L11" s="83">
        <f t="shared" si="39"/>
        <v>1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5175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153415</v>
      </c>
      <c r="Y11" s="320">
        <f t="shared" si="40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731</v>
      </c>
      <c r="AD11" s="83">
        <f t="shared" si="37"/>
        <v>0</v>
      </c>
      <c r="AE11" s="5">
        <f t="shared" si="22"/>
        <v>237.6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38"/>
        <v>-1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44414</v>
      </c>
      <c r="AS11" s="420">
        <f t="shared" si="30"/>
        <v>0.9</v>
      </c>
      <c r="AT11" s="201">
        <f t="shared" si="30"/>
        <v>189</v>
      </c>
      <c r="AU11" s="421">
        <f t="shared" si="41"/>
        <v>1.1000000000000001</v>
      </c>
      <c r="AV11" s="201">
        <v>194</v>
      </c>
      <c r="AW11" s="5">
        <v>2.9</v>
      </c>
      <c r="AX11" s="201">
        <v>140</v>
      </c>
      <c r="AY11" s="422">
        <f t="shared" si="31"/>
        <v>170.1</v>
      </c>
      <c r="AZ11" s="422">
        <f t="shared" si="32"/>
        <v>213.4</v>
      </c>
      <c r="BA11" s="422">
        <f t="shared" si="33"/>
        <v>406</v>
      </c>
      <c r="BB11" s="21">
        <f t="shared" si="34"/>
        <v>0</v>
      </c>
      <c r="BC11" s="21">
        <f t="shared" si="35"/>
        <v>-2.2000000000000171</v>
      </c>
      <c r="BD11" s="21">
        <f t="shared" si="35"/>
        <v>-5.8000000000000114</v>
      </c>
      <c r="BE11" s="24">
        <f t="shared" si="36"/>
        <v>-8.0000000000000284</v>
      </c>
      <c r="BF11" s="96">
        <f t="shared" si="4"/>
        <v>8.0000000000000284</v>
      </c>
      <c r="BG11" s="82">
        <f t="shared" si="5"/>
        <v>-8.0000000000000284</v>
      </c>
    </row>
    <row r="12" spans="1:65" ht="15.75" thickBot="1">
      <c r="A12" s="6">
        <f>ELEC!C10</f>
        <v>44415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623854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6823</v>
      </c>
      <c r="L12" s="83">
        <f t="shared" si="39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5175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153415</v>
      </c>
      <c r="Y12" s="320">
        <f t="shared" si="40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731</v>
      </c>
      <c r="AD12" s="83">
        <f t="shared" si="37"/>
        <v>0</v>
      </c>
      <c r="AE12" s="5">
        <f t="shared" si="22"/>
        <v>237.6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38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44415</v>
      </c>
      <c r="AS12" s="420">
        <f t="shared" si="30"/>
        <v>0.9</v>
      </c>
      <c r="AT12" s="201">
        <f t="shared" si="30"/>
        <v>189</v>
      </c>
      <c r="AU12" s="421">
        <f t="shared" si="41"/>
        <v>1.1000000000000001</v>
      </c>
      <c r="AV12" s="201">
        <f t="shared" ref="AV12:AV35" si="42">AV11</f>
        <v>194</v>
      </c>
      <c r="AW12" s="5">
        <v>2.9</v>
      </c>
      <c r="AX12" s="201">
        <f t="shared" ref="AX12:AX35" si="43">AX11</f>
        <v>140</v>
      </c>
      <c r="AY12" s="422">
        <f t="shared" si="31"/>
        <v>170.1</v>
      </c>
      <c r="AZ12" s="422">
        <f t="shared" si="32"/>
        <v>213.4</v>
      </c>
      <c r="BA12" s="422">
        <f t="shared" si="33"/>
        <v>406</v>
      </c>
      <c r="BB12" s="21">
        <f t="shared" si="34"/>
        <v>0</v>
      </c>
      <c r="BC12" s="21">
        <f t="shared" si="35"/>
        <v>0</v>
      </c>
      <c r="BD12" s="21">
        <f t="shared" si="35"/>
        <v>0</v>
      </c>
      <c r="BE12" s="24">
        <f t="shared" si="36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44416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623854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6823</v>
      </c>
      <c r="L13" s="83">
        <f t="shared" si="39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5175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153415</v>
      </c>
      <c r="Y13" s="320">
        <f t="shared" si="40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731</v>
      </c>
      <c r="AD13" s="83">
        <f t="shared" si="37"/>
        <v>0</v>
      </c>
      <c r="AE13" s="5">
        <f t="shared" si="22"/>
        <v>237.6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38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44416</v>
      </c>
      <c r="AS13" s="420">
        <f t="shared" si="30"/>
        <v>0.9</v>
      </c>
      <c r="AT13" s="201">
        <f t="shared" si="30"/>
        <v>189</v>
      </c>
      <c r="AU13" s="421">
        <f t="shared" si="41"/>
        <v>1.1000000000000001</v>
      </c>
      <c r="AV13" s="201">
        <f t="shared" si="42"/>
        <v>194</v>
      </c>
      <c r="AW13" s="5">
        <v>2.9</v>
      </c>
      <c r="AX13" s="201">
        <f t="shared" si="43"/>
        <v>140</v>
      </c>
      <c r="AY13" s="422">
        <f t="shared" si="31"/>
        <v>170.1</v>
      </c>
      <c r="AZ13" s="422">
        <f t="shared" si="32"/>
        <v>213.4</v>
      </c>
      <c r="BA13" s="422">
        <f t="shared" si="33"/>
        <v>406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44417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623854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6823</v>
      </c>
      <c r="L14" s="83">
        <f t="shared" si="39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5175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153415</v>
      </c>
      <c r="Y14" s="320">
        <f t="shared" si="40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731</v>
      </c>
      <c r="AD14" s="83">
        <f t="shared" si="37"/>
        <v>0</v>
      </c>
      <c r="AE14" s="5">
        <f t="shared" si="22"/>
        <v>237.6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38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44417</v>
      </c>
      <c r="AS14" s="420">
        <f t="shared" si="30"/>
        <v>0.9</v>
      </c>
      <c r="AT14" s="201">
        <f t="shared" si="30"/>
        <v>189</v>
      </c>
      <c r="AU14" s="421">
        <f t="shared" si="41"/>
        <v>1.1000000000000001</v>
      </c>
      <c r="AV14" s="201">
        <f t="shared" si="42"/>
        <v>194</v>
      </c>
      <c r="AW14" s="5">
        <v>2.9</v>
      </c>
      <c r="AX14" s="201">
        <f t="shared" si="43"/>
        <v>140</v>
      </c>
      <c r="AY14" s="422">
        <f t="shared" si="31"/>
        <v>170.1</v>
      </c>
      <c r="AZ14" s="422">
        <f t="shared" si="32"/>
        <v>213.4</v>
      </c>
      <c r="BA14" s="422">
        <f t="shared" si="33"/>
        <v>406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44418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623854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6823</v>
      </c>
      <c r="L15" s="83">
        <f t="shared" si="39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5175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153415</v>
      </c>
      <c r="Y15" s="320">
        <f t="shared" si="40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731</v>
      </c>
      <c r="AD15" s="83">
        <f t="shared" si="37"/>
        <v>0</v>
      </c>
      <c r="AE15" s="5">
        <f t="shared" si="22"/>
        <v>237.6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38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44418</v>
      </c>
      <c r="AS15" s="420">
        <f t="shared" si="30"/>
        <v>0.9</v>
      </c>
      <c r="AT15" s="201">
        <f t="shared" si="30"/>
        <v>189</v>
      </c>
      <c r="AU15" s="421">
        <f t="shared" si="41"/>
        <v>1.1000000000000001</v>
      </c>
      <c r="AV15" s="201">
        <f t="shared" si="42"/>
        <v>194</v>
      </c>
      <c r="AW15" s="5">
        <v>2.9</v>
      </c>
      <c r="AX15" s="201">
        <f t="shared" si="43"/>
        <v>140</v>
      </c>
      <c r="AY15" s="422">
        <f t="shared" si="31"/>
        <v>170.1</v>
      </c>
      <c r="AZ15" s="422">
        <f t="shared" si="32"/>
        <v>213.4</v>
      </c>
      <c r="BA15" s="422">
        <f t="shared" si="33"/>
        <v>406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44419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623854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6823</v>
      </c>
      <c r="L16" s="271">
        <f t="shared" si="39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5175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153415</v>
      </c>
      <c r="Y16" s="320">
        <f t="shared" si="40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731</v>
      </c>
      <c r="AD16" s="83">
        <f t="shared" si="37"/>
        <v>0</v>
      </c>
      <c r="AE16" s="5">
        <f t="shared" si="22"/>
        <v>237.6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38"/>
        <v>0</v>
      </c>
      <c r="AL16" s="323">
        <f t="shared" si="28"/>
        <v>0</v>
      </c>
      <c r="AM16" s="323">
        <f>'General information '!D16</f>
        <v>29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44419</v>
      </c>
      <c r="AS16" s="420">
        <f t="shared" si="30"/>
        <v>0.9</v>
      </c>
      <c r="AT16" s="201">
        <v>183</v>
      </c>
      <c r="AU16" s="421">
        <f t="shared" si="41"/>
        <v>1.1000000000000001</v>
      </c>
      <c r="AV16" s="201">
        <v>194</v>
      </c>
      <c r="AW16" s="5">
        <v>2.9</v>
      </c>
      <c r="AX16" s="201">
        <v>135</v>
      </c>
      <c r="AY16" s="422">
        <f t="shared" si="31"/>
        <v>164.70000000000002</v>
      </c>
      <c r="AZ16" s="422">
        <f t="shared" si="32"/>
        <v>213.4</v>
      </c>
      <c r="BA16" s="422">
        <f t="shared" si="33"/>
        <v>391.5</v>
      </c>
      <c r="BB16" s="21">
        <f t="shared" si="34"/>
        <v>-5.3999999999999773</v>
      </c>
      <c r="BC16" s="21">
        <f t="shared" si="35"/>
        <v>0</v>
      </c>
      <c r="BD16" s="21">
        <f t="shared" si="35"/>
        <v>-14.5</v>
      </c>
      <c r="BE16" s="24">
        <f t="shared" si="36"/>
        <v>-19.899999999999977</v>
      </c>
      <c r="BF16" s="96">
        <f t="shared" si="4"/>
        <v>19.899999999999977</v>
      </c>
      <c r="BG16" s="82">
        <f t="shared" si="5"/>
        <v>-19.899999999999977</v>
      </c>
    </row>
    <row r="17" spans="1:61" ht="15.75" thickBot="1">
      <c r="A17" s="6">
        <f>ELEC!C15</f>
        <v>44420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623854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6825</v>
      </c>
      <c r="L17" s="83">
        <f t="shared" si="39"/>
        <v>2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5175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153415</v>
      </c>
      <c r="Y17" s="320">
        <f t="shared" si="40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731</v>
      </c>
      <c r="AD17" s="83">
        <f t="shared" si="37"/>
        <v>0</v>
      </c>
      <c r="AE17" s="5">
        <f t="shared" si="22"/>
        <v>237.6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-2</v>
      </c>
      <c r="AL17" s="323">
        <f t="shared" si="28"/>
        <v>0</v>
      </c>
      <c r="AM17" s="323">
        <f>'General information '!D17</f>
        <v>30.5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44420</v>
      </c>
      <c r="AS17" s="420">
        <f t="shared" si="30"/>
        <v>0.9</v>
      </c>
      <c r="AT17" s="201">
        <v>182</v>
      </c>
      <c r="AU17" s="421">
        <f t="shared" si="41"/>
        <v>1.1000000000000001</v>
      </c>
      <c r="AV17" s="201">
        <v>200</v>
      </c>
      <c r="AW17" s="5">
        <v>2.9</v>
      </c>
      <c r="AX17" s="201">
        <v>133</v>
      </c>
      <c r="AY17" s="422">
        <f t="shared" si="31"/>
        <v>163.80000000000001</v>
      </c>
      <c r="AZ17" s="422">
        <f t="shared" si="32"/>
        <v>220.00000000000003</v>
      </c>
      <c r="BA17" s="422">
        <f t="shared" si="33"/>
        <v>385.7</v>
      </c>
      <c r="BB17" s="21">
        <f t="shared" si="34"/>
        <v>-0.90000000000000568</v>
      </c>
      <c r="BC17" s="21">
        <f t="shared" si="35"/>
        <v>6.6000000000000227</v>
      </c>
      <c r="BD17" s="21">
        <f t="shared" si="35"/>
        <v>-5.8000000000000114</v>
      </c>
      <c r="BE17" s="24">
        <f t="shared" si="36"/>
        <v>-9.9999999999994316E-2</v>
      </c>
      <c r="BF17" s="96">
        <f t="shared" si="4"/>
        <v>9.9999999999994316E-2</v>
      </c>
      <c r="BG17" s="82">
        <f t="shared" si="5"/>
        <v>-9.9999999999994316E-2</v>
      </c>
    </row>
    <row r="18" spans="1:61" ht="15.75" thickBot="1">
      <c r="A18" s="6">
        <f>ELEC!C16</f>
        <v>44421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623854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6825</v>
      </c>
      <c r="L18" s="83">
        <f t="shared" si="39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5175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153415</v>
      </c>
      <c r="Y18" s="320">
        <f t="shared" si="40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731</v>
      </c>
      <c r="AD18" s="83">
        <f t="shared" si="37"/>
        <v>0</v>
      </c>
      <c r="AE18" s="5">
        <f t="shared" si="22"/>
        <v>237.6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44421</v>
      </c>
      <c r="AS18" s="420">
        <f t="shared" si="30"/>
        <v>0.9</v>
      </c>
      <c r="AT18" s="201">
        <f t="shared" si="30"/>
        <v>182</v>
      </c>
      <c r="AU18" s="421">
        <f t="shared" si="41"/>
        <v>1.1000000000000001</v>
      </c>
      <c r="AV18" s="201">
        <f t="shared" si="42"/>
        <v>200</v>
      </c>
      <c r="AW18" s="5">
        <v>2.9</v>
      </c>
      <c r="AX18" s="201">
        <f t="shared" si="43"/>
        <v>133</v>
      </c>
      <c r="AY18" s="422">
        <f t="shared" si="31"/>
        <v>163.80000000000001</v>
      </c>
      <c r="AZ18" s="422">
        <f t="shared" si="32"/>
        <v>220.00000000000003</v>
      </c>
      <c r="BA18" s="422">
        <f t="shared" si="33"/>
        <v>385.7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44422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623854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6825</v>
      </c>
      <c r="L19" s="83">
        <f t="shared" si="39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5175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153415</v>
      </c>
      <c r="Y19" s="320">
        <f t="shared" si="40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731</v>
      </c>
      <c r="AD19" s="83">
        <f t="shared" si="37"/>
        <v>0</v>
      </c>
      <c r="AE19" s="5">
        <f t="shared" si="22"/>
        <v>237.6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38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44422</v>
      </c>
      <c r="AS19" s="420">
        <f t="shared" si="30"/>
        <v>0.9</v>
      </c>
      <c r="AT19" s="201">
        <f t="shared" si="30"/>
        <v>182</v>
      </c>
      <c r="AU19" s="421">
        <f t="shared" si="41"/>
        <v>1.1000000000000001</v>
      </c>
      <c r="AV19" s="201">
        <f t="shared" si="42"/>
        <v>200</v>
      </c>
      <c r="AW19" s="5">
        <v>2.9</v>
      </c>
      <c r="AX19" s="201">
        <f t="shared" si="43"/>
        <v>133</v>
      </c>
      <c r="AY19" s="422">
        <f>AS19*AT19</f>
        <v>163.80000000000001</v>
      </c>
      <c r="AZ19" s="422">
        <f>AU19*AV19</f>
        <v>220.00000000000003</v>
      </c>
      <c r="BA19" s="422">
        <f>AW19*AX19</f>
        <v>385.7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44423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623854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6825</v>
      </c>
      <c r="L20" s="83">
        <f t="shared" si="39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5175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153415</v>
      </c>
      <c r="Y20" s="320">
        <f t="shared" si="40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731</v>
      </c>
      <c r="AD20" s="83">
        <f t="shared" si="37"/>
        <v>0</v>
      </c>
      <c r="AE20" s="5">
        <f t="shared" si="22"/>
        <v>237.6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38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44423</v>
      </c>
      <c r="AS20" s="420">
        <f t="shared" si="30"/>
        <v>0.9</v>
      </c>
      <c r="AT20" s="201">
        <f t="shared" si="30"/>
        <v>182</v>
      </c>
      <c r="AU20" s="421">
        <f t="shared" si="41"/>
        <v>1.1000000000000001</v>
      </c>
      <c r="AV20" s="201">
        <f t="shared" si="42"/>
        <v>200</v>
      </c>
      <c r="AW20" s="5">
        <v>2.9</v>
      </c>
      <c r="AX20" s="201">
        <f t="shared" si="43"/>
        <v>133</v>
      </c>
      <c r="AY20" s="422">
        <f>AS20*AT20</f>
        <v>163.80000000000001</v>
      </c>
      <c r="AZ20" s="422">
        <f>AU20*AV20</f>
        <v>220.00000000000003</v>
      </c>
      <c r="BA20" s="422">
        <f>AW20*AX20</f>
        <v>385.7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44424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623854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6828</v>
      </c>
      <c r="L21" s="83">
        <f t="shared" si="39"/>
        <v>3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5175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153415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731</v>
      </c>
      <c r="AD21" s="83">
        <f t="shared" si="37"/>
        <v>0</v>
      </c>
      <c r="AE21" s="5">
        <v>238.2</v>
      </c>
      <c r="AF21" s="83">
        <f t="shared" si="23"/>
        <v>0.59999999999999432</v>
      </c>
      <c r="AG21" s="5">
        <v>2215.8000000000002</v>
      </c>
      <c r="AH21" s="83">
        <f t="shared" si="25"/>
        <v>0</v>
      </c>
      <c r="AI21" s="83">
        <f t="shared" si="26"/>
        <v>0.59999999999999432</v>
      </c>
      <c r="AJ21" s="322">
        <f t="shared" si="27"/>
        <v>0</v>
      </c>
      <c r="AK21" s="323">
        <f>SUM(Y21-L21)</f>
        <v>-3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44424</v>
      </c>
      <c r="AS21" s="420">
        <f t="shared" si="30"/>
        <v>0.9</v>
      </c>
      <c r="AT21" s="201">
        <v>170</v>
      </c>
      <c r="AU21" s="421">
        <f t="shared" si="41"/>
        <v>1.1000000000000001</v>
      </c>
      <c r="AV21" s="201">
        <f t="shared" si="42"/>
        <v>200</v>
      </c>
      <c r="AW21" s="5">
        <v>2.9</v>
      </c>
      <c r="AX21" s="201">
        <v>125</v>
      </c>
      <c r="AY21" s="422">
        <f>AS21*AT21</f>
        <v>153</v>
      </c>
      <c r="AZ21" s="422">
        <f>AU21*AV21</f>
        <v>220.00000000000003</v>
      </c>
      <c r="BA21" s="422">
        <f>AW21*AX21</f>
        <v>362.5</v>
      </c>
      <c r="BB21" s="21">
        <f t="shared" si="34"/>
        <v>-10.800000000000011</v>
      </c>
      <c r="BC21" s="21">
        <f t="shared" si="35"/>
        <v>0</v>
      </c>
      <c r="BD21" s="21">
        <f t="shared" si="35"/>
        <v>-23.199999999999989</v>
      </c>
      <c r="BE21" s="24">
        <f t="shared" si="36"/>
        <v>-34</v>
      </c>
      <c r="BF21" s="96">
        <f t="shared" si="4"/>
        <v>34</v>
      </c>
      <c r="BG21" s="82">
        <f t="shared" si="5"/>
        <v>-34</v>
      </c>
    </row>
    <row r="22" spans="1:61" ht="15.75" thickBot="1">
      <c r="A22" s="6">
        <f>ELEC!C20</f>
        <v>44425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623854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6828</v>
      </c>
      <c r="L22" s="83">
        <f t="shared" si="39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5175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153415</v>
      </c>
      <c r="Y22" s="320">
        <f t="shared" si="40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731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38"/>
        <v>0</v>
      </c>
      <c r="AL22" s="323">
        <f t="shared" si="28"/>
        <v>0</v>
      </c>
      <c r="AM22" s="323">
        <f>'General information '!D22</f>
        <v>30.5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44425</v>
      </c>
      <c r="AS22" s="420">
        <f t="shared" ref="AS22:AT33" si="48">AS21</f>
        <v>0.9</v>
      </c>
      <c r="AT22" s="201">
        <v>138</v>
      </c>
      <c r="AU22" s="421">
        <f t="shared" si="41"/>
        <v>1.1000000000000001</v>
      </c>
      <c r="AV22" s="201">
        <v>198</v>
      </c>
      <c r="AW22" s="5">
        <v>2.9</v>
      </c>
      <c r="AX22" s="201">
        <v>127</v>
      </c>
      <c r="AY22" s="422">
        <f t="shared" si="31"/>
        <v>124.2</v>
      </c>
      <c r="AZ22" s="422">
        <f t="shared" si="32"/>
        <v>217.8</v>
      </c>
      <c r="BA22" s="422">
        <f t="shared" si="33"/>
        <v>368.3</v>
      </c>
      <c r="BB22" s="21">
        <f>AY22-AY21</f>
        <v>-28.799999999999997</v>
      </c>
      <c r="BC22" s="21">
        <f t="shared" si="34"/>
        <v>-2.2000000000000171</v>
      </c>
      <c r="BD22" s="21">
        <f t="shared" si="34"/>
        <v>5.8000000000000114</v>
      </c>
      <c r="BE22" s="24">
        <f t="shared" si="36"/>
        <v>-25.200000000000003</v>
      </c>
      <c r="BF22" s="96">
        <f t="shared" si="4"/>
        <v>25.200000000000003</v>
      </c>
      <c r="BG22" s="82">
        <f t="shared" si="5"/>
        <v>-25.200000000000003</v>
      </c>
    </row>
    <row r="23" spans="1:61" ht="15.75" thickBot="1">
      <c r="A23" s="6">
        <f>ELEC!C21</f>
        <v>44426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623854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6828</v>
      </c>
      <c r="L23" s="271">
        <f t="shared" si="39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5175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153415</v>
      </c>
      <c r="Y23" s="320">
        <f t="shared" si="40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731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38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44426</v>
      </c>
      <c r="AS23" s="420">
        <f t="shared" si="48"/>
        <v>0.9</v>
      </c>
      <c r="AT23" s="201">
        <f t="shared" si="48"/>
        <v>138</v>
      </c>
      <c r="AU23" s="421">
        <f t="shared" si="41"/>
        <v>1.1000000000000001</v>
      </c>
      <c r="AV23" s="201">
        <f t="shared" si="42"/>
        <v>198</v>
      </c>
      <c r="AW23" s="5">
        <v>2.9</v>
      </c>
      <c r="AX23" s="201">
        <f t="shared" si="43"/>
        <v>127</v>
      </c>
      <c r="AY23" s="422">
        <f t="shared" si="31"/>
        <v>124.2</v>
      </c>
      <c r="AZ23" s="422">
        <f t="shared" si="32"/>
        <v>217.8</v>
      </c>
      <c r="BA23" s="422">
        <f t="shared" si="33"/>
        <v>368.3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44427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623854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6828</v>
      </c>
      <c r="L24" s="271">
        <f t="shared" si="39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5175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153415</v>
      </c>
      <c r="Y24" s="320">
        <f t="shared" si="40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731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38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44427</v>
      </c>
      <c r="AS24" s="420">
        <f t="shared" si="48"/>
        <v>0.9</v>
      </c>
      <c r="AT24" s="201">
        <f t="shared" si="48"/>
        <v>138</v>
      </c>
      <c r="AU24" s="421">
        <f t="shared" si="41"/>
        <v>1.1000000000000001</v>
      </c>
      <c r="AV24" s="201">
        <f t="shared" si="42"/>
        <v>198</v>
      </c>
      <c r="AW24" s="5">
        <v>2.9</v>
      </c>
      <c r="AX24" s="201">
        <f t="shared" si="43"/>
        <v>127</v>
      </c>
      <c r="AY24" s="422">
        <f t="shared" si="31"/>
        <v>124.2</v>
      </c>
      <c r="AZ24" s="422">
        <f t="shared" si="32"/>
        <v>217.8</v>
      </c>
      <c r="BA24" s="422">
        <f t="shared" si="33"/>
        <v>368.3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44428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623854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6828</v>
      </c>
      <c r="L25" s="271">
        <f t="shared" si="39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5175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153415</v>
      </c>
      <c r="Y25" s="320">
        <f t="shared" si="40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731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38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44428</v>
      </c>
      <c r="AS25" s="420">
        <f t="shared" si="48"/>
        <v>0.9</v>
      </c>
      <c r="AT25" s="201">
        <f t="shared" si="48"/>
        <v>138</v>
      </c>
      <c r="AU25" s="421">
        <f t="shared" si="41"/>
        <v>1.1000000000000001</v>
      </c>
      <c r="AV25" s="201">
        <f t="shared" si="42"/>
        <v>198</v>
      </c>
      <c r="AW25" s="5">
        <v>2.9</v>
      </c>
      <c r="AX25" s="201">
        <f t="shared" si="43"/>
        <v>127</v>
      </c>
      <c r="AY25" s="422">
        <f t="shared" si="31"/>
        <v>124.2</v>
      </c>
      <c r="AZ25" s="422">
        <f t="shared" si="32"/>
        <v>217.8</v>
      </c>
      <c r="BA25" s="422">
        <f t="shared" si="33"/>
        <v>368.3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44429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623854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6828</v>
      </c>
      <c r="L26" s="271">
        <f t="shared" si="39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5175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153415</v>
      </c>
      <c r="Y26" s="320">
        <f t="shared" si="40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731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44429</v>
      </c>
      <c r="AS26" s="420">
        <f t="shared" si="48"/>
        <v>0.9</v>
      </c>
      <c r="AT26" s="201">
        <f t="shared" si="48"/>
        <v>138</v>
      </c>
      <c r="AU26" s="421">
        <f t="shared" si="41"/>
        <v>1.1000000000000001</v>
      </c>
      <c r="AV26" s="201">
        <f t="shared" si="42"/>
        <v>198</v>
      </c>
      <c r="AW26" s="5">
        <v>2.9</v>
      </c>
      <c r="AX26" s="201">
        <f t="shared" si="43"/>
        <v>127</v>
      </c>
      <c r="AY26" s="422">
        <f t="shared" si="31"/>
        <v>124.2</v>
      </c>
      <c r="AZ26" s="422">
        <f t="shared" si="32"/>
        <v>217.8</v>
      </c>
      <c r="BA26" s="422">
        <f t="shared" si="33"/>
        <v>368.3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44430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623854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6828</v>
      </c>
      <c r="L27" s="271">
        <f t="shared" si="39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5175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153415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731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38"/>
        <v>0</v>
      </c>
      <c r="AL27" s="323">
        <f t="shared" si="28"/>
        <v>0</v>
      </c>
      <c r="AM27" s="323">
        <f>'General information '!D27</f>
        <v>29.5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44430</v>
      </c>
      <c r="AS27" s="420">
        <f t="shared" si="48"/>
        <v>0.9</v>
      </c>
      <c r="AT27" s="201">
        <f t="shared" si="48"/>
        <v>138</v>
      </c>
      <c r="AU27" s="421">
        <f t="shared" si="41"/>
        <v>1.1000000000000001</v>
      </c>
      <c r="AV27" s="201">
        <v>196</v>
      </c>
      <c r="AW27" s="5">
        <v>2.9</v>
      </c>
      <c r="AX27" s="201">
        <v>123</v>
      </c>
      <c r="AY27" s="422">
        <f t="shared" si="31"/>
        <v>124.2</v>
      </c>
      <c r="AZ27" s="422">
        <f t="shared" si="32"/>
        <v>215.60000000000002</v>
      </c>
      <c r="BA27" s="422">
        <f t="shared" si="33"/>
        <v>356.7</v>
      </c>
      <c r="BB27" s="21">
        <f t="shared" si="34"/>
        <v>0</v>
      </c>
      <c r="BC27" s="21">
        <f t="shared" si="34"/>
        <v>-2.1999999999999886</v>
      </c>
      <c r="BD27" s="21">
        <f t="shared" si="34"/>
        <v>-11.600000000000023</v>
      </c>
      <c r="BE27" s="24">
        <f t="shared" si="36"/>
        <v>-13.800000000000011</v>
      </c>
      <c r="BF27" s="96">
        <f t="shared" si="4"/>
        <v>13.800000000000011</v>
      </c>
      <c r="BG27" s="82">
        <f t="shared" si="5"/>
        <v>-13.800000000000011</v>
      </c>
    </row>
    <row r="28" spans="1:61" ht="15.75" thickBot="1">
      <c r="A28" s="6">
        <f>ELEC!C26</f>
        <v>44431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623854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6830</v>
      </c>
      <c r="L28" s="271">
        <f t="shared" si="39"/>
        <v>2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5175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153415</v>
      </c>
      <c r="Y28" s="320">
        <f t="shared" si="40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731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38"/>
        <v>-2</v>
      </c>
      <c r="AL28" s="323">
        <f t="shared" si="28"/>
        <v>0</v>
      </c>
      <c r="AM28" s="323">
        <f>'General information '!D28</f>
        <v>29.5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44431</v>
      </c>
      <c r="AS28" s="420">
        <f t="shared" si="48"/>
        <v>0.9</v>
      </c>
      <c r="AT28" s="201">
        <v>138</v>
      </c>
      <c r="AU28" s="421">
        <f t="shared" si="41"/>
        <v>1.1000000000000001</v>
      </c>
      <c r="AV28" s="201">
        <v>196</v>
      </c>
      <c r="AW28" s="5">
        <v>2.9</v>
      </c>
      <c r="AX28" s="201">
        <v>122</v>
      </c>
      <c r="AY28" s="422">
        <f t="shared" si="31"/>
        <v>124.2</v>
      </c>
      <c r="AZ28" s="422">
        <f t="shared" si="32"/>
        <v>215.60000000000002</v>
      </c>
      <c r="BA28" s="422">
        <f t="shared" si="33"/>
        <v>353.8</v>
      </c>
      <c r="BB28" s="21">
        <f t="shared" si="34"/>
        <v>0</v>
      </c>
      <c r="BC28" s="21">
        <f t="shared" si="34"/>
        <v>0</v>
      </c>
      <c r="BD28" s="21">
        <f t="shared" si="34"/>
        <v>-2.8999999999999773</v>
      </c>
      <c r="BE28" s="24">
        <f t="shared" si="36"/>
        <v>-2.8999999999999773</v>
      </c>
      <c r="BF28" s="96">
        <f t="shared" si="4"/>
        <v>2.8999999999999773</v>
      </c>
      <c r="BG28" s="82">
        <f t="shared" si="5"/>
        <v>-2.8999999999999773</v>
      </c>
    </row>
    <row r="29" spans="1:61" ht="15.75" thickBot="1">
      <c r="A29" s="6">
        <f>ELEC!C27</f>
        <v>44432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v>623914</v>
      </c>
      <c r="H29" s="5">
        <f t="shared" si="10"/>
        <v>60</v>
      </c>
      <c r="I29" s="5">
        <f t="shared" si="11"/>
        <v>60</v>
      </c>
      <c r="J29" s="330">
        <f t="shared" si="0"/>
        <v>4.032258064516129</v>
      </c>
      <c r="K29" s="5">
        <f>'Swimming Pool quality check '!H29</f>
        <v>6833</v>
      </c>
      <c r="L29" s="271">
        <f t="shared" si="39"/>
        <v>3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5175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153415</v>
      </c>
      <c r="Y29" s="320">
        <f t="shared" si="40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731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38"/>
        <v>-3</v>
      </c>
      <c r="AL29" s="323">
        <f t="shared" si="28"/>
        <v>0</v>
      </c>
      <c r="AM29" s="323">
        <f>'General information '!D29</f>
        <v>28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44432</v>
      </c>
      <c r="AS29" s="420">
        <f t="shared" si="48"/>
        <v>0.9</v>
      </c>
      <c r="AT29" s="201">
        <v>150</v>
      </c>
      <c r="AU29" s="421">
        <f t="shared" si="41"/>
        <v>1.1000000000000001</v>
      </c>
      <c r="AV29" s="201">
        <v>195</v>
      </c>
      <c r="AW29" s="5">
        <v>2.9</v>
      </c>
      <c r="AX29" s="201">
        <v>115</v>
      </c>
      <c r="AY29" s="422">
        <f t="shared" si="31"/>
        <v>135</v>
      </c>
      <c r="AZ29" s="422">
        <f t="shared" si="32"/>
        <v>214.50000000000003</v>
      </c>
      <c r="BA29" s="422">
        <f t="shared" si="33"/>
        <v>333.5</v>
      </c>
      <c r="BB29" s="21">
        <f t="shared" si="34"/>
        <v>10.799999999999997</v>
      </c>
      <c r="BC29" s="21">
        <f t="shared" si="34"/>
        <v>-1.0999999999999943</v>
      </c>
      <c r="BD29" s="21">
        <f t="shared" si="34"/>
        <v>-20.300000000000011</v>
      </c>
      <c r="BE29" s="24">
        <f t="shared" si="36"/>
        <v>-10.600000000000009</v>
      </c>
      <c r="BF29" s="96">
        <f t="shared" si="4"/>
        <v>70.600000000000009</v>
      </c>
      <c r="BG29" s="82">
        <f t="shared" si="5"/>
        <v>-10.600000000000009</v>
      </c>
    </row>
    <row r="30" spans="1:61" ht="15.75" thickBot="1">
      <c r="A30" s="6">
        <f>ELEC!C28</f>
        <v>44433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v>623993</v>
      </c>
      <c r="H30" s="5">
        <f t="shared" si="10"/>
        <v>79</v>
      </c>
      <c r="I30" s="5">
        <f t="shared" si="11"/>
        <v>79</v>
      </c>
      <c r="J30" s="330">
        <f t="shared" si="0"/>
        <v>3.0624744793793384</v>
      </c>
      <c r="K30" s="5">
        <f>'Swimming Pool quality check '!H30</f>
        <v>6833</v>
      </c>
      <c r="L30" s="271">
        <f t="shared" si="39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5175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153415</v>
      </c>
      <c r="Y30" s="320">
        <f t="shared" si="40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731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38"/>
        <v>0</v>
      </c>
      <c r="AL30" s="323">
        <f t="shared" si="28"/>
        <v>0</v>
      </c>
      <c r="AM30" s="323">
        <f>'General information '!D30</f>
        <v>28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44433</v>
      </c>
      <c r="AS30" s="420">
        <f t="shared" si="48"/>
        <v>0.9</v>
      </c>
      <c r="AT30" s="201">
        <v>190</v>
      </c>
      <c r="AU30" s="421">
        <f t="shared" si="41"/>
        <v>1.1000000000000001</v>
      </c>
      <c r="AV30" s="201">
        <v>193</v>
      </c>
      <c r="AW30" s="5">
        <v>2.9</v>
      </c>
      <c r="AX30" s="201">
        <v>113</v>
      </c>
      <c r="AY30" s="422">
        <f t="shared" si="31"/>
        <v>171</v>
      </c>
      <c r="AZ30" s="422">
        <f t="shared" si="32"/>
        <v>212.3</v>
      </c>
      <c r="BA30" s="422">
        <f t="shared" si="33"/>
        <v>327.7</v>
      </c>
      <c r="BB30" s="21">
        <f t="shared" si="34"/>
        <v>36</v>
      </c>
      <c r="BC30" s="21">
        <f t="shared" si="34"/>
        <v>-2.2000000000000171</v>
      </c>
      <c r="BD30" s="21">
        <f t="shared" si="34"/>
        <v>-5.8000000000000114</v>
      </c>
      <c r="BE30" s="24">
        <f t="shared" si="36"/>
        <v>27.999999999999972</v>
      </c>
      <c r="BF30" s="96">
        <f t="shared" si="4"/>
        <v>51.000000000000028</v>
      </c>
      <c r="BG30" s="82">
        <f t="shared" si="5"/>
        <v>27.999999999999972</v>
      </c>
    </row>
    <row r="31" spans="1:61" ht="15.75" thickBot="1">
      <c r="A31" s="6">
        <f>ELEC!C29</f>
        <v>44434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623993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6838</v>
      </c>
      <c r="L31" s="271">
        <f t="shared" si="39"/>
        <v>5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5175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153415</v>
      </c>
      <c r="Y31" s="320">
        <f t="shared" si="40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731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38"/>
        <v>-5</v>
      </c>
      <c r="AL31" s="323">
        <f t="shared" si="28"/>
        <v>0</v>
      </c>
      <c r="AM31" s="323">
        <f>'General information '!D31</f>
        <v>29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44434</v>
      </c>
      <c r="AS31" s="420">
        <f t="shared" si="48"/>
        <v>0.9</v>
      </c>
      <c r="AT31" s="201">
        <f t="shared" si="48"/>
        <v>190</v>
      </c>
      <c r="AU31" s="421">
        <f t="shared" si="41"/>
        <v>1.1000000000000001</v>
      </c>
      <c r="AV31" s="201">
        <f t="shared" si="42"/>
        <v>193</v>
      </c>
      <c r="AW31" s="5">
        <v>2.9</v>
      </c>
      <c r="AX31" s="201">
        <f t="shared" si="43"/>
        <v>113</v>
      </c>
      <c r="AY31" s="422">
        <f t="shared" si="31"/>
        <v>171</v>
      </c>
      <c r="AZ31" s="422">
        <f>AU31*AV31</f>
        <v>212.3</v>
      </c>
      <c r="BA31" s="422">
        <f t="shared" si="33"/>
        <v>327.7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44435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623993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6838</v>
      </c>
      <c r="L32" s="271">
        <f t="shared" si="39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5175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153415</v>
      </c>
      <c r="Y32" s="320">
        <f t="shared" si="40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731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38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44435</v>
      </c>
      <c r="AS32" s="420">
        <f t="shared" si="48"/>
        <v>0.9</v>
      </c>
      <c r="AT32" s="201">
        <f t="shared" si="48"/>
        <v>190</v>
      </c>
      <c r="AU32" s="421">
        <f t="shared" si="41"/>
        <v>1.1000000000000001</v>
      </c>
      <c r="AV32" s="201">
        <f t="shared" si="42"/>
        <v>193</v>
      </c>
      <c r="AW32" s="5">
        <v>2.9</v>
      </c>
      <c r="AX32" s="201">
        <f t="shared" si="43"/>
        <v>113</v>
      </c>
      <c r="AY32" s="422">
        <f t="shared" si="31"/>
        <v>171</v>
      </c>
      <c r="AZ32" s="422">
        <f t="shared" si="32"/>
        <v>212.3</v>
      </c>
      <c r="BA32" s="422">
        <f t="shared" si="33"/>
        <v>327.7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44436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623993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6838</v>
      </c>
      <c r="L33" s="271">
        <f t="shared" si="39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5175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153415</v>
      </c>
      <c r="Y33" s="320">
        <f t="shared" si="40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731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38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44436</v>
      </c>
      <c r="AS33" s="420">
        <f t="shared" si="48"/>
        <v>0.9</v>
      </c>
      <c r="AT33" s="201">
        <f t="shared" si="48"/>
        <v>190</v>
      </c>
      <c r="AU33" s="421">
        <f t="shared" si="41"/>
        <v>1.1000000000000001</v>
      </c>
      <c r="AV33" s="201">
        <f t="shared" si="42"/>
        <v>193</v>
      </c>
      <c r="AW33" s="5">
        <v>2.9</v>
      </c>
      <c r="AX33" s="201">
        <f t="shared" si="43"/>
        <v>113</v>
      </c>
      <c r="AY33" s="422">
        <f t="shared" si="31"/>
        <v>171</v>
      </c>
      <c r="AZ33" s="422">
        <f t="shared" si="32"/>
        <v>212.3</v>
      </c>
      <c r="BA33" s="422">
        <f t="shared" si="33"/>
        <v>327.7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44437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623993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6838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5175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153415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731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44437</v>
      </c>
      <c r="AS34" s="420">
        <f>AS33</f>
        <v>0.9</v>
      </c>
      <c r="AT34" s="201">
        <v>105</v>
      </c>
      <c r="AU34" s="421">
        <f>AU33</f>
        <v>1.1000000000000001</v>
      </c>
      <c r="AV34" s="201">
        <v>185</v>
      </c>
      <c r="AW34" s="5">
        <v>2.9</v>
      </c>
      <c r="AX34" s="201">
        <v>104</v>
      </c>
      <c r="AY34" s="422">
        <f t="shared" si="31"/>
        <v>94.5</v>
      </c>
      <c r="AZ34" s="422">
        <f>AU34*AV34</f>
        <v>203.50000000000003</v>
      </c>
      <c r="BA34" s="422">
        <f>AW34*AX34</f>
        <v>301.59999999999997</v>
      </c>
      <c r="BB34" s="21">
        <f t="shared" ref="BB34:BD34" si="49">AY34-AY33</f>
        <v>-76.5</v>
      </c>
      <c r="BC34" s="21">
        <f t="shared" si="49"/>
        <v>-8.7999999999999829</v>
      </c>
      <c r="BD34" s="21">
        <f t="shared" si="49"/>
        <v>-26.100000000000023</v>
      </c>
      <c r="BE34" s="24">
        <f>SUM(BB34:BD34)</f>
        <v>-111.4</v>
      </c>
      <c r="BF34" s="96">
        <f>SUM(I34-BE34)</f>
        <v>111.4</v>
      </c>
      <c r="BG34" s="82">
        <f>SUM(I34-BF34)</f>
        <v>-111.4</v>
      </c>
    </row>
    <row r="35" spans="1:59" ht="15.75" thickBot="1">
      <c r="A35" s="6">
        <f>ELEC!C33</f>
        <v>44438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623993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6853</v>
      </c>
      <c r="L35" s="271">
        <f>K35-K34</f>
        <v>15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5175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153415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731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-15</v>
      </c>
      <c r="AL35" s="323">
        <f>SUM(AJ35-W35)</f>
        <v>0</v>
      </c>
      <c r="AM35" s="323">
        <f>'General information '!D35</f>
        <v>28.5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44438</v>
      </c>
      <c r="AS35" s="420">
        <f>AS34</f>
        <v>0.9</v>
      </c>
      <c r="AT35" s="201">
        <v>144</v>
      </c>
      <c r="AU35" s="421">
        <f>AU34</f>
        <v>1.1000000000000001</v>
      </c>
      <c r="AV35" s="201">
        <v>190</v>
      </c>
      <c r="AW35" s="5">
        <v>2.9</v>
      </c>
      <c r="AX35" s="201">
        <v>114</v>
      </c>
      <c r="AY35" s="422">
        <f t="shared" si="31"/>
        <v>129.6</v>
      </c>
      <c r="AZ35" s="422">
        <f>AU35*AV35</f>
        <v>209.00000000000003</v>
      </c>
      <c r="BA35" s="422">
        <f>AW35*AX35</f>
        <v>330.59999999999997</v>
      </c>
      <c r="BB35" s="21">
        <f t="shared" ref="BB35" si="50">AY35-AY34</f>
        <v>35.099999999999994</v>
      </c>
      <c r="BC35" s="21">
        <f>AZ35-AZ34</f>
        <v>5.5</v>
      </c>
      <c r="BD35" s="21">
        <f t="shared" ref="BD35" si="51">BA35-BA34</f>
        <v>29</v>
      </c>
      <c r="BE35" s="24">
        <f>SUM(BB35:BD35)</f>
        <v>69.599999999999994</v>
      </c>
      <c r="BF35" s="96">
        <f>SUM(I35-BE35)</f>
        <v>-69.599999999999994</v>
      </c>
      <c r="BG35" s="82">
        <f>SUM(I35-BF35)</f>
        <v>69.599999999999994</v>
      </c>
    </row>
    <row r="36" spans="1:59" ht="15.75" thickBot="1">
      <c r="A36" s="6">
        <f>ELEC!C34</f>
        <v>44439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623993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6853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5175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153415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731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44439</v>
      </c>
      <c r="AS36" s="420">
        <f>AS35</f>
        <v>0.9</v>
      </c>
      <c r="AT36" s="201">
        <f t="shared" ref="AT36" si="52">AT35</f>
        <v>144</v>
      </c>
      <c r="AU36" s="421">
        <f>AU35</f>
        <v>1.1000000000000001</v>
      </c>
      <c r="AV36" s="201">
        <f t="shared" ref="AV36" si="53">AV35</f>
        <v>190</v>
      </c>
      <c r="AW36" s="5">
        <v>3.9</v>
      </c>
      <c r="AX36" s="201">
        <f t="shared" ref="AX36" si="54">AX35</f>
        <v>114</v>
      </c>
      <c r="AY36" s="422">
        <f t="shared" ref="AY36" si="55">AS36*AT36</f>
        <v>129.6</v>
      </c>
      <c r="AZ36" s="422">
        <f>AU36*AV36</f>
        <v>209.00000000000003</v>
      </c>
      <c r="BA36" s="422">
        <f>AW36*AX36</f>
        <v>444.59999999999997</v>
      </c>
      <c r="BB36" s="21">
        <f t="shared" ref="BB36" si="56">AY36-AY35</f>
        <v>0</v>
      </c>
      <c r="BC36" s="21">
        <f>AZ36-AZ35</f>
        <v>0</v>
      </c>
      <c r="BD36" s="21">
        <f t="shared" ref="BD36" si="57">BA36-BA35</f>
        <v>114</v>
      </c>
      <c r="BE36" s="24">
        <f>SUM(BB36:BD36)</f>
        <v>114</v>
      </c>
      <c r="BF36" s="96">
        <f>SUM(I36-BE36)</f>
        <v>-114</v>
      </c>
      <c r="BG36" s="82">
        <f>SUM(I36-BF36)</f>
        <v>114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523</v>
      </c>
      <c r="I37" s="408">
        <f>SUM(I6:I36)</f>
        <v>523</v>
      </c>
      <c r="L37" s="266">
        <f>SUM(L7:L36)</f>
        <v>35</v>
      </c>
      <c r="M37" s="613"/>
      <c r="N37" s="613"/>
      <c r="O37" s="613"/>
      <c r="P37" s="613"/>
      <c r="Q37" s="613">
        <f t="shared" ref="Q37" si="58">SUM(Q7:Q36)</f>
        <v>0</v>
      </c>
      <c r="R37" s="613"/>
      <c r="S37" s="613"/>
      <c r="T37" s="613"/>
      <c r="U37" s="613">
        <f>SUM(U7:U36)</f>
        <v>0</v>
      </c>
      <c r="X37" s="319"/>
      <c r="Y37" s="318">
        <f>SUM(Y6,Y33,Y31,Y29,Y27,Y25,Y23,Y21,Y19,Y17,Y15,Y13,Y11,Y9,Y7,Y34,Y35,Y36)</f>
        <v>52</v>
      </c>
      <c r="AJ37" s="318">
        <f>SUM(AJ6:AJ36)</f>
        <v>1</v>
      </c>
      <c r="AK37" s="323">
        <f>SUM(Y37-L37)</f>
        <v>17</v>
      </c>
      <c r="AL37" s="318">
        <f>SUM(AL6:AL36)</f>
        <v>1</v>
      </c>
      <c r="AP37" s="17"/>
      <c r="AQ37" s="17"/>
      <c r="AR37" s="17"/>
      <c r="AS37" s="632"/>
      <c r="AT37" s="201"/>
      <c r="AU37" s="632"/>
      <c r="AV37" s="634"/>
      <c r="AW37" s="633"/>
      <c r="AX37" s="633"/>
      <c r="AY37" s="633"/>
      <c r="AZ37" s="634"/>
      <c r="BA37" s="634"/>
      <c r="BB37" s="634"/>
      <c r="BC37" s="634"/>
      <c r="BD37" s="634"/>
      <c r="BE37" s="635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523</v>
      </c>
      <c r="Z38" s="318">
        <f>SUM(Y37:AJ37)</f>
        <v>53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523</v>
      </c>
      <c r="H39" s="1">
        <f>SUM(H38+C38)</f>
        <v>7500</v>
      </c>
      <c r="K39" s="1">
        <f>SUM(H39/G39)</f>
        <v>14.340344168260039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110" zoomScaleNormal="110" workbookViewId="0">
      <pane ySplit="1" topLeftCell="A16" activePane="bottomLeft" state="frozen"/>
      <selection pane="bottomLeft" activeCell="W32" sqref="W32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44408</v>
      </c>
      <c r="B2" s="268">
        <f>[2]GEN!B33</f>
        <v>10658</v>
      </c>
      <c r="C2" s="268">
        <f>[2]GEN!C33</f>
        <v>12</v>
      </c>
      <c r="D2" s="268">
        <f>[2]GEN!D33</f>
        <v>490688</v>
      </c>
      <c r="E2" s="268">
        <f>[2]GEN!E33</f>
        <v>1571</v>
      </c>
      <c r="F2" s="268">
        <f>[2]GEN!F33</f>
        <v>130.91666666666666</v>
      </c>
      <c r="G2" s="268">
        <f>[2]GEN!G33</f>
        <v>0</v>
      </c>
      <c r="H2" s="268">
        <f>[2]GEN!H33</f>
        <v>10705</v>
      </c>
      <c r="I2" s="268" t="str">
        <f>[2]GEN!I33</f>
        <v>ok</v>
      </c>
      <c r="J2" s="268">
        <f>[2]GEN!J33</f>
        <v>10698</v>
      </c>
      <c r="K2" s="268">
        <f>[2]GEN!K33</f>
        <v>0</v>
      </c>
      <c r="L2" s="268">
        <f>[2]GEN!L33</f>
        <v>357691</v>
      </c>
      <c r="M2" s="268">
        <f>[2]GEN!M33</f>
        <v>0</v>
      </c>
      <c r="N2" s="268">
        <f>[2]GEN!N33</f>
        <v>0</v>
      </c>
      <c r="O2" s="268">
        <f>[2]GEN!O33</f>
        <v>0</v>
      </c>
      <c r="P2" s="268">
        <f>[2]GEN!P33</f>
        <v>10873</v>
      </c>
      <c r="Q2" s="268" t="str">
        <f>[2]GEN!Q33</f>
        <v>ok</v>
      </c>
      <c r="R2" s="268">
        <f>[2]GEN!R33</f>
        <v>12776</v>
      </c>
      <c r="S2" s="268">
        <f>[2]GEN!S33</f>
        <v>9</v>
      </c>
      <c r="T2" s="268">
        <f>[2]GEN!T33</f>
        <v>128235</v>
      </c>
      <c r="U2" s="268">
        <f>[2]GEN!U33</f>
        <v>2250</v>
      </c>
      <c r="V2" s="268">
        <f>[2]GEN!V33</f>
        <v>250</v>
      </c>
      <c r="W2" s="268">
        <f>[2]GEN!W33</f>
        <v>0</v>
      </c>
      <c r="X2" s="268">
        <f>[2]GEN!X33</f>
        <v>12918</v>
      </c>
      <c r="Y2" s="268" t="str">
        <f>[2]GEN!Y33</f>
        <v>ok</v>
      </c>
      <c r="Z2" s="268">
        <f>[2]GEN!Z33</f>
        <v>21</v>
      </c>
      <c r="AA2" s="268">
        <f>[2]GEN!AA33</f>
        <v>3821</v>
      </c>
      <c r="AB2" s="268">
        <f>[2]GEN!AB33</f>
        <v>380.91666666666663</v>
      </c>
      <c r="AC2" s="268">
        <f>[2]GEN!AC33</f>
        <v>181.95238095238096</v>
      </c>
      <c r="AD2" s="268">
        <f>[2]GEN!AD33</f>
        <v>15817.000000002736</v>
      </c>
      <c r="AE2" s="268">
        <f>[2]GEN!AE33</f>
        <v>753.19047619060643</v>
      </c>
      <c r="AF2" s="268">
        <f>[2]GEN!AF33</f>
        <v>0.47074404761912902</v>
      </c>
      <c r="AG2" s="268">
        <f>[2]GEN!AG33</f>
        <v>150.63809523812128</v>
      </c>
      <c r="AH2" s="268">
        <f>[2]GEN!AH33</f>
        <v>31.314285714259682</v>
      </c>
      <c r="AI2" s="268">
        <f>[2]GEN!AI33</f>
        <v>4071.0421940935316</v>
      </c>
      <c r="AJ2" s="268">
        <f>[2]GEN!AJ33</f>
        <v>0.25738396624472576</v>
      </c>
      <c r="AK2" s="268">
        <f>[2]GEN!AK33</f>
        <v>193.85915209969198</v>
      </c>
    </row>
    <row r="3" spans="1:37" ht="15.75" thickBot="1">
      <c r="A3" s="4">
        <f>ELEC!C4</f>
        <v>44409</v>
      </c>
      <c r="B3" s="527">
        <v>10669</v>
      </c>
      <c r="C3" s="284">
        <f>B3-B2</f>
        <v>11</v>
      </c>
      <c r="D3" s="528">
        <v>491380</v>
      </c>
      <c r="E3" s="284">
        <f>SUM(D3-D2)</f>
        <v>692</v>
      </c>
      <c r="F3" s="284">
        <f t="shared" ref="F3:F30" si="0">IF(C3&gt;0,E3/C3,0)</f>
        <v>62.909090909090907</v>
      </c>
      <c r="G3" s="268">
        <f>[4]GEN!G32</f>
        <v>0</v>
      </c>
      <c r="H3" s="268">
        <f>H2</f>
        <v>10705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12784</v>
      </c>
      <c r="S3" s="284">
        <f t="shared" ref="S3:S30" si="4">R3-R2</f>
        <v>8</v>
      </c>
      <c r="T3" s="528">
        <f>T2+U3</f>
        <v>130235</v>
      </c>
      <c r="U3" s="284">
        <f>V3*S3</f>
        <v>2000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ok</v>
      </c>
      <c r="Z3" s="284">
        <f t="shared" ref="Z3:Z30" si="6">C3+K3+S3</f>
        <v>19</v>
      </c>
      <c r="AA3" s="284">
        <f>U3+M3+E3</f>
        <v>2692</v>
      </c>
      <c r="AB3" s="284">
        <f>V3+N3+F3</f>
        <v>312.90909090909088</v>
      </c>
      <c r="AC3" s="284">
        <f>IF(Z3&gt;0,AA3/Z3,0)</f>
        <v>141.68421052631578</v>
      </c>
      <c r="AD3" s="73">
        <f>ELEC!Q4</f>
        <v>14968.999999997322</v>
      </c>
      <c r="AE3" s="73">
        <f>SUM(AD3/Z3)</f>
        <v>787.84210526301695</v>
      </c>
      <c r="AF3" s="399">
        <f>SUM(AE3/1600)</f>
        <v>0.49240131578938562</v>
      </c>
      <c r="AG3" s="400">
        <f>SUM(360*AF3)</f>
        <v>177.26447368417882</v>
      </c>
      <c r="AH3" s="400">
        <f>SUM(AC3-AG3)</f>
        <v>-35.580263157863044</v>
      </c>
      <c r="AI3" s="73">
        <f>AD3*AJ3</f>
        <v>3852.7805907166107</v>
      </c>
      <c r="AJ3" s="286">
        <f t="shared" ref="AJ3:AJ33" si="7">305/1185</f>
        <v>0.25738396624472576</v>
      </c>
      <c r="AK3" s="286">
        <f t="shared" ref="AK3:AK32" si="8">AI3/Z3</f>
        <v>202.77792582719005</v>
      </c>
    </row>
    <row r="4" spans="1:37" ht="15.75" thickBot="1">
      <c r="A4" s="4">
        <f>ELEC!C5</f>
        <v>44410</v>
      </c>
      <c r="B4" s="527">
        <v>10679</v>
      </c>
      <c r="C4" s="284">
        <f t="shared" ref="C4:C30" si="9">B4-B3</f>
        <v>10</v>
      </c>
      <c r="D4" s="528">
        <v>492103</v>
      </c>
      <c r="E4" s="284">
        <f t="shared" ref="E4:E25" si="10">SUM(D4-D3)</f>
        <v>723</v>
      </c>
      <c r="F4" s="284">
        <f t="shared" si="0"/>
        <v>72.3</v>
      </c>
      <c r="G4" s="196"/>
      <c r="H4" s="268">
        <f t="shared" ref="H4:H33" si="11">H3</f>
        <v>10705</v>
      </c>
      <c r="I4" s="284" t="str">
        <f t="shared" si="1"/>
        <v>ok</v>
      </c>
      <c r="J4" s="528">
        <f t="shared" ref="J4:J33" si="12">J3</f>
        <v>10698</v>
      </c>
      <c r="K4" s="284">
        <f t="shared" si="2"/>
        <v>0</v>
      </c>
      <c r="L4" s="528">
        <f t="shared" ref="L4:L33" si="13">L3</f>
        <v>357691</v>
      </c>
      <c r="M4" s="284">
        <f t="shared" ref="M4:M30" si="14">SUM(L4-L3)</f>
        <v>0</v>
      </c>
      <c r="N4" s="284">
        <f t="shared" ref="N4:N30" si="15">IF(K4&gt;0,M4/K4,0)</f>
        <v>0</v>
      </c>
      <c r="O4" s="196"/>
      <c r="P4" s="285">
        <f t="shared" ref="P4:P33" si="16">P3</f>
        <v>10873</v>
      </c>
      <c r="Q4" s="284" t="str">
        <f t="shared" si="3"/>
        <v>ok</v>
      </c>
      <c r="R4" s="528">
        <v>12792</v>
      </c>
      <c r="S4" s="284">
        <f t="shared" si="4"/>
        <v>8</v>
      </c>
      <c r="T4" s="528">
        <f t="shared" ref="T4:T33" si="17">T3+U4</f>
        <v>132235</v>
      </c>
      <c r="U4" s="284">
        <f t="shared" ref="U4:U33" si="18">V4*S4</f>
        <v>2000</v>
      </c>
      <c r="V4" s="284">
        <v>250</v>
      </c>
      <c r="W4" s="196"/>
      <c r="X4" s="285">
        <f t="shared" ref="X4:X33" si="19">X3</f>
        <v>12918</v>
      </c>
      <c r="Y4" s="284" t="str">
        <f t="shared" si="5"/>
        <v>ok</v>
      </c>
      <c r="Z4" s="284">
        <f t="shared" si="6"/>
        <v>18</v>
      </c>
      <c r="AA4" s="284">
        <f t="shared" ref="AA4:AA30" si="20">U4+M4+E4</f>
        <v>2723</v>
      </c>
      <c r="AB4" s="284">
        <f t="shared" ref="AB4:AB30" si="21">V4+N4+F4</f>
        <v>322.3</v>
      </c>
      <c r="AC4" s="284">
        <f t="shared" ref="AC4:AC30" si="22">IF(Z4&gt;0,AA4/Z4,0)</f>
        <v>151.27777777777777</v>
      </c>
      <c r="AD4" s="73">
        <f>ELEC!Q5</f>
        <v>13153.000000002066</v>
      </c>
      <c r="AE4" s="73">
        <f>SUM(AD4/Z4)</f>
        <v>730.722222222337</v>
      </c>
      <c r="AF4" s="399">
        <f>SUM(AE4/1600)</f>
        <v>0.45670138888896061</v>
      </c>
      <c r="AG4" s="400">
        <f>SUM(360*AF4)</f>
        <v>164.41250000002583</v>
      </c>
      <c r="AH4" s="400">
        <f t="shared" ref="AH4:AH30" si="23">SUM(AC4-AG4)</f>
        <v>-13.134722222248058</v>
      </c>
      <c r="AI4" s="73">
        <f>AD4*AJ4</f>
        <v>3385.3713080174098</v>
      </c>
      <c r="AJ4" s="286">
        <f t="shared" si="7"/>
        <v>0.25738396624472576</v>
      </c>
      <c r="AK4" s="286">
        <f t="shared" si="8"/>
        <v>188.07618377874499</v>
      </c>
    </row>
    <row r="5" spans="1:37" ht="15.75" thickBot="1">
      <c r="A5" s="4">
        <f>ELEC!C6</f>
        <v>44411</v>
      </c>
      <c r="B5" s="527">
        <v>10686</v>
      </c>
      <c r="C5" s="284">
        <f t="shared" si="9"/>
        <v>7</v>
      </c>
      <c r="D5" s="528">
        <v>492666</v>
      </c>
      <c r="E5" s="284">
        <f t="shared" si="10"/>
        <v>563</v>
      </c>
      <c r="F5" s="284">
        <f t="shared" si="0"/>
        <v>80.428571428571431</v>
      </c>
      <c r="G5" s="282"/>
      <c r="H5" s="268">
        <f t="shared" si="11"/>
        <v>10705</v>
      </c>
      <c r="I5" s="284" t="str">
        <f t="shared" si="1"/>
        <v>ok</v>
      </c>
      <c r="J5" s="528">
        <f t="shared" si="12"/>
        <v>10698</v>
      </c>
      <c r="K5" s="284">
        <f t="shared" si="2"/>
        <v>0</v>
      </c>
      <c r="L5" s="528">
        <f t="shared" si="13"/>
        <v>357691</v>
      </c>
      <c r="M5" s="284">
        <f t="shared" si="14"/>
        <v>0</v>
      </c>
      <c r="N5" s="284">
        <f t="shared" si="15"/>
        <v>0</v>
      </c>
      <c r="O5" s="196"/>
      <c r="P5" s="285">
        <f t="shared" si="16"/>
        <v>10873</v>
      </c>
      <c r="Q5" s="284" t="str">
        <f t="shared" si="3"/>
        <v>ok</v>
      </c>
      <c r="R5" s="528">
        <v>12801</v>
      </c>
      <c r="S5" s="284">
        <f t="shared" si="4"/>
        <v>9</v>
      </c>
      <c r="T5" s="528">
        <f t="shared" si="17"/>
        <v>134485</v>
      </c>
      <c r="U5" s="284">
        <f t="shared" si="18"/>
        <v>2250</v>
      </c>
      <c r="V5" s="284">
        <v>250</v>
      </c>
      <c r="W5" s="196"/>
      <c r="X5" s="285">
        <f t="shared" si="19"/>
        <v>12918</v>
      </c>
      <c r="Y5" s="284" t="str">
        <f t="shared" si="5"/>
        <v>ok</v>
      </c>
      <c r="Z5" s="284">
        <f t="shared" si="6"/>
        <v>16</v>
      </c>
      <c r="AA5" s="284">
        <f t="shared" si="20"/>
        <v>2813</v>
      </c>
      <c r="AB5" s="284">
        <f t="shared" si="21"/>
        <v>330.42857142857144</v>
      </c>
      <c r="AC5" s="284">
        <f t="shared" si="22"/>
        <v>175.8125</v>
      </c>
      <c r="AD5" s="73">
        <f>ELEC!Q6</f>
        <v>12556.000000000495</v>
      </c>
      <c r="AE5" s="73">
        <f t="shared" ref="AE5:AE30" si="24">SUM(AD5/Z5)</f>
        <v>784.75000000003092</v>
      </c>
      <c r="AF5" s="399">
        <f t="shared" ref="AF5:AG30" si="25">SUM(AE5/1600)</f>
        <v>0.49046875000001933</v>
      </c>
      <c r="AG5" s="400">
        <f t="shared" ref="AG5:AG30" si="26">SUM(320*AF5)</f>
        <v>156.95000000000618</v>
      </c>
      <c r="AH5" s="400">
        <f t="shared" si="23"/>
        <v>18.862499999993815</v>
      </c>
      <c r="AI5" s="73">
        <f t="shared" ref="AI5:AI30" si="27">AD5*AJ5</f>
        <v>3231.7130801689041</v>
      </c>
      <c r="AJ5" s="286">
        <f t="shared" si="7"/>
        <v>0.25738396624472576</v>
      </c>
      <c r="AK5" s="286">
        <f t="shared" si="8"/>
        <v>201.9820675105565</v>
      </c>
    </row>
    <row r="6" spans="1:37" ht="15.75" thickBot="1">
      <c r="A6" s="4">
        <f>ELEC!C7</f>
        <v>44412</v>
      </c>
      <c r="B6" s="527">
        <v>10699</v>
      </c>
      <c r="C6" s="284">
        <f t="shared" si="9"/>
        <v>13</v>
      </c>
      <c r="D6" s="528">
        <v>494081</v>
      </c>
      <c r="E6" s="284">
        <f t="shared" si="10"/>
        <v>1415</v>
      </c>
      <c r="F6" s="284">
        <f t="shared" si="0"/>
        <v>108.84615384615384</v>
      </c>
      <c r="G6" s="196"/>
      <c r="H6" s="268">
        <f t="shared" si="11"/>
        <v>10705</v>
      </c>
      <c r="I6" s="284" t="str">
        <f t="shared" si="1"/>
        <v>ok</v>
      </c>
      <c r="J6" s="528">
        <f t="shared" si="12"/>
        <v>10698</v>
      </c>
      <c r="K6" s="284">
        <f t="shared" si="2"/>
        <v>0</v>
      </c>
      <c r="L6" s="528">
        <f t="shared" si="13"/>
        <v>357691</v>
      </c>
      <c r="M6" s="284">
        <f>SUM(L6-L5)</f>
        <v>0</v>
      </c>
      <c r="N6" s="284">
        <f t="shared" si="15"/>
        <v>0</v>
      </c>
      <c r="O6" s="304"/>
      <c r="P6" s="285">
        <f t="shared" si="16"/>
        <v>10873</v>
      </c>
      <c r="Q6" s="284" t="str">
        <f t="shared" si="3"/>
        <v>ok</v>
      </c>
      <c r="R6" s="528">
        <v>12814</v>
      </c>
      <c r="S6" s="284">
        <f t="shared" si="4"/>
        <v>13</v>
      </c>
      <c r="T6" s="528">
        <f t="shared" si="17"/>
        <v>137735</v>
      </c>
      <c r="U6" s="284">
        <f>V6*S6</f>
        <v>3250</v>
      </c>
      <c r="V6" s="284">
        <v>250</v>
      </c>
      <c r="W6" s="304"/>
      <c r="X6" s="285">
        <f t="shared" si="19"/>
        <v>12918</v>
      </c>
      <c r="Y6" s="284" t="str">
        <f t="shared" si="5"/>
        <v>ok</v>
      </c>
      <c r="Z6" s="284">
        <f t="shared" si="6"/>
        <v>26</v>
      </c>
      <c r="AA6" s="284">
        <f t="shared" si="20"/>
        <v>4665</v>
      </c>
      <c r="AB6" s="284">
        <f t="shared" si="21"/>
        <v>358.84615384615381</v>
      </c>
      <c r="AC6" s="284">
        <f t="shared" si="22"/>
        <v>179.42307692307693</v>
      </c>
      <c r="AD6" s="73">
        <f>ELEC!Q7</f>
        <v>16552.999999999884</v>
      </c>
      <c r="AE6" s="73">
        <f>SUM(AD6/Z6)</f>
        <v>636.65384615384164</v>
      </c>
      <c r="AF6" s="399">
        <f t="shared" si="25"/>
        <v>0.39790865384615104</v>
      </c>
      <c r="AG6" s="400">
        <f>SUM(320*AF6)</f>
        <v>127.33076923076834</v>
      </c>
      <c r="AH6" s="400">
        <f t="shared" si="23"/>
        <v>52.092307692308594</v>
      </c>
      <c r="AI6" s="73">
        <f t="shared" si="27"/>
        <v>4260.4767932489158</v>
      </c>
      <c r="AJ6" s="286">
        <f t="shared" si="7"/>
        <v>0.25738396624472576</v>
      </c>
      <c r="AK6" s="286">
        <f t="shared" si="8"/>
        <v>163.86449204803523</v>
      </c>
    </row>
    <row r="7" spans="1:37" ht="15.75" thickBot="1">
      <c r="A7" s="4">
        <f>ELEC!C8</f>
        <v>44413</v>
      </c>
      <c r="B7" s="527">
        <v>10709</v>
      </c>
      <c r="C7" s="284">
        <f t="shared" si="9"/>
        <v>10</v>
      </c>
      <c r="D7" s="528">
        <v>495766</v>
      </c>
      <c r="E7" s="284">
        <f t="shared" si="10"/>
        <v>1685</v>
      </c>
      <c r="F7" s="284">
        <f t="shared" si="0"/>
        <v>168.5</v>
      </c>
      <c r="G7" s="196"/>
      <c r="H7" s="268">
        <v>10705</v>
      </c>
      <c r="I7" s="284" t="str">
        <f t="shared" si="1"/>
        <v>oil change</v>
      </c>
      <c r="J7" s="528">
        <f t="shared" si="12"/>
        <v>10698</v>
      </c>
      <c r="K7" s="284">
        <f t="shared" si="2"/>
        <v>0</v>
      </c>
      <c r="L7" s="528">
        <f t="shared" si="13"/>
        <v>357691</v>
      </c>
      <c r="M7" s="284">
        <f t="shared" si="14"/>
        <v>0</v>
      </c>
      <c r="N7" s="284">
        <f t="shared" si="15"/>
        <v>0</v>
      </c>
      <c r="O7" s="304"/>
      <c r="P7" s="285">
        <f t="shared" si="16"/>
        <v>10873</v>
      </c>
      <c r="Q7" s="284" t="str">
        <f t="shared" si="3"/>
        <v>ok</v>
      </c>
      <c r="R7" s="528">
        <v>12819</v>
      </c>
      <c r="S7" s="284">
        <f t="shared" si="4"/>
        <v>5</v>
      </c>
      <c r="T7" s="528">
        <v>140235</v>
      </c>
      <c r="U7" s="284">
        <f>V7*S7</f>
        <v>1250</v>
      </c>
      <c r="V7" s="284">
        <v>250</v>
      </c>
      <c r="W7" s="196"/>
      <c r="X7" s="285">
        <f t="shared" si="19"/>
        <v>12918</v>
      </c>
      <c r="Y7" s="284" t="str">
        <f t="shared" si="5"/>
        <v>ok</v>
      </c>
      <c r="Z7" s="284">
        <f t="shared" si="6"/>
        <v>15</v>
      </c>
      <c r="AA7" s="284">
        <f>U7+M7+E7</f>
        <v>2935</v>
      </c>
      <c r="AB7" s="284">
        <f t="shared" si="21"/>
        <v>418.5</v>
      </c>
      <c r="AC7" s="284">
        <f t="shared" si="22"/>
        <v>195.66666666666666</v>
      </c>
      <c r="AD7" s="73">
        <f>ELEC!Q8</f>
        <v>13231.999999999971</v>
      </c>
      <c r="AE7" s="73">
        <f t="shared" si="24"/>
        <v>882.13333333333139</v>
      </c>
      <c r="AF7" s="399">
        <f t="shared" si="25"/>
        <v>0.55133333333333212</v>
      </c>
      <c r="AG7" s="399">
        <f t="shared" si="25"/>
        <v>3.4458333333333259E-4</v>
      </c>
      <c r="AH7" s="400">
        <f t="shared" si="23"/>
        <v>195.66632208333331</v>
      </c>
      <c r="AI7" s="73">
        <f t="shared" si="27"/>
        <v>3405.7046413502039</v>
      </c>
      <c r="AJ7" s="286">
        <f t="shared" si="7"/>
        <v>0.25738396624472576</v>
      </c>
      <c r="AK7" s="286">
        <f t="shared" si="8"/>
        <v>227.0469760900136</v>
      </c>
    </row>
    <row r="8" spans="1:37" ht="15.75" thickBot="1">
      <c r="A8" s="4">
        <f>ELEC!C9</f>
        <v>44414</v>
      </c>
      <c r="B8" s="527">
        <v>10718</v>
      </c>
      <c r="C8" s="284">
        <f t="shared" si="9"/>
        <v>9</v>
      </c>
      <c r="D8" s="528">
        <v>496031</v>
      </c>
      <c r="E8" s="284">
        <f t="shared" si="10"/>
        <v>265</v>
      </c>
      <c r="F8" s="284">
        <f t="shared" si="0"/>
        <v>29.444444444444443</v>
      </c>
      <c r="G8" s="196"/>
      <c r="H8" s="268">
        <f t="shared" si="11"/>
        <v>10705</v>
      </c>
      <c r="I8" s="284" t="str">
        <f t="shared" si="1"/>
        <v>oil change</v>
      </c>
      <c r="J8" s="528">
        <f t="shared" si="12"/>
        <v>10698</v>
      </c>
      <c r="K8" s="284">
        <f t="shared" si="2"/>
        <v>0</v>
      </c>
      <c r="L8" s="528">
        <f t="shared" si="13"/>
        <v>357691</v>
      </c>
      <c r="M8" s="284">
        <f t="shared" si="14"/>
        <v>0</v>
      </c>
      <c r="N8" s="284">
        <f t="shared" si="15"/>
        <v>0</v>
      </c>
      <c r="O8" s="196"/>
      <c r="P8" s="285">
        <f t="shared" si="16"/>
        <v>10873</v>
      </c>
      <c r="Q8" s="284" t="str">
        <f t="shared" si="3"/>
        <v>ok</v>
      </c>
      <c r="R8" s="528">
        <v>12831</v>
      </c>
      <c r="S8" s="284">
        <f t="shared" si="4"/>
        <v>12</v>
      </c>
      <c r="T8" s="528">
        <v>146235</v>
      </c>
      <c r="U8" s="284">
        <f>V8*S8</f>
        <v>3000</v>
      </c>
      <c r="V8" s="284">
        <v>250</v>
      </c>
      <c r="W8" s="196"/>
      <c r="X8" s="285">
        <f t="shared" si="19"/>
        <v>12918</v>
      </c>
      <c r="Y8" s="284" t="str">
        <f t="shared" si="5"/>
        <v>ok</v>
      </c>
      <c r="Z8" s="284">
        <f t="shared" si="6"/>
        <v>21</v>
      </c>
      <c r="AA8" s="284">
        <f t="shared" si="20"/>
        <v>3265</v>
      </c>
      <c r="AB8" s="284">
        <f t="shared" si="21"/>
        <v>279.44444444444446</v>
      </c>
      <c r="AC8" s="284">
        <f t="shared" si="22"/>
        <v>155.47619047619048</v>
      </c>
      <c r="AD8" s="73">
        <f>ELEC!Q9</f>
        <v>16231.999999999971</v>
      </c>
      <c r="AE8" s="73">
        <f t="shared" si="24"/>
        <v>772.9523809523796</v>
      </c>
      <c r="AF8" s="399">
        <f t="shared" si="25"/>
        <v>0.48309523809523724</v>
      </c>
      <c r="AG8" s="400">
        <f t="shared" si="26"/>
        <v>154.59047619047593</v>
      </c>
      <c r="AH8" s="400">
        <f t="shared" si="23"/>
        <v>0.88571428571455613</v>
      </c>
      <c r="AI8" s="73">
        <f t="shared" si="27"/>
        <v>4177.8565400843809</v>
      </c>
      <c r="AJ8" s="286">
        <f t="shared" si="7"/>
        <v>0.25738396624472576</v>
      </c>
      <c r="AK8" s="286">
        <f t="shared" si="8"/>
        <v>198.94554952782767</v>
      </c>
    </row>
    <row r="9" spans="1:37" ht="15.75" thickBot="1">
      <c r="A9" s="4">
        <f>ELEC!C10</f>
        <v>44415</v>
      </c>
      <c r="B9" s="527">
        <f t="shared" ref="B9:B23" si="28">B8</f>
        <v>10718</v>
      </c>
      <c r="C9" s="284">
        <f t="shared" si="9"/>
        <v>0</v>
      </c>
      <c r="D9" s="528">
        <f t="shared" ref="D9:D33" si="29">D8</f>
        <v>496031</v>
      </c>
      <c r="E9" s="284">
        <f t="shared" si="10"/>
        <v>0</v>
      </c>
      <c r="F9" s="284">
        <f t="shared" si="0"/>
        <v>0</v>
      </c>
      <c r="G9" s="196"/>
      <c r="H9" s="268">
        <f t="shared" si="11"/>
        <v>10705</v>
      </c>
      <c r="I9" s="284" t="str">
        <f t="shared" si="1"/>
        <v>oil change</v>
      </c>
      <c r="J9" s="528">
        <f t="shared" si="12"/>
        <v>10698</v>
      </c>
      <c r="K9" s="284">
        <f t="shared" si="2"/>
        <v>0</v>
      </c>
      <c r="L9" s="528">
        <f t="shared" si="13"/>
        <v>357691</v>
      </c>
      <c r="M9" s="284">
        <f t="shared" si="14"/>
        <v>0</v>
      </c>
      <c r="N9" s="284">
        <f t="shared" si="15"/>
        <v>0</v>
      </c>
      <c r="O9" s="196"/>
      <c r="P9" s="285">
        <f t="shared" si="16"/>
        <v>10873</v>
      </c>
      <c r="Q9" s="284" t="str">
        <f t="shared" si="3"/>
        <v>ok</v>
      </c>
      <c r="R9" s="528">
        <f t="shared" ref="R9:R33" si="30">R8</f>
        <v>12831</v>
      </c>
      <c r="S9" s="284">
        <f t="shared" si="4"/>
        <v>0</v>
      </c>
      <c r="T9" s="528">
        <f t="shared" si="17"/>
        <v>146235</v>
      </c>
      <c r="U9" s="284">
        <f t="shared" si="18"/>
        <v>0</v>
      </c>
      <c r="V9" s="284">
        <v>250</v>
      </c>
      <c r="W9" s="196"/>
      <c r="X9" s="285">
        <f t="shared" si="19"/>
        <v>12918</v>
      </c>
      <c r="Y9" s="284" t="str">
        <f t="shared" si="5"/>
        <v>ok</v>
      </c>
      <c r="Z9" s="284">
        <f t="shared" si="6"/>
        <v>0</v>
      </c>
      <c r="AA9" s="284">
        <f t="shared" si="20"/>
        <v>0</v>
      </c>
      <c r="AB9" s="284">
        <f t="shared" si="21"/>
        <v>250</v>
      </c>
      <c r="AC9" s="284">
        <f t="shared" si="22"/>
        <v>0</v>
      </c>
      <c r="AD9" s="73">
        <f>ELEC!Q10</f>
        <v>0</v>
      </c>
      <c r="AE9" s="73" t="e">
        <f t="shared" si="24"/>
        <v>#DIV/0!</v>
      </c>
      <c r="AF9" s="399" t="e">
        <f t="shared" si="25"/>
        <v>#DIV/0!</v>
      </c>
      <c r="AG9" s="400" t="e">
        <f t="shared" si="26"/>
        <v>#DIV/0!</v>
      </c>
      <c r="AH9" s="400" t="e">
        <f t="shared" si="23"/>
        <v>#DIV/0!</v>
      </c>
      <c r="AI9" s="73">
        <f t="shared" si="27"/>
        <v>0</v>
      </c>
      <c r="AJ9" s="286">
        <f t="shared" si="7"/>
        <v>0.25738396624472576</v>
      </c>
      <c r="AK9" s="286" t="e">
        <f t="shared" si="8"/>
        <v>#DIV/0!</v>
      </c>
    </row>
    <row r="10" spans="1:37" ht="15.75" thickBot="1">
      <c r="A10" s="4">
        <f>ELEC!C11</f>
        <v>44416</v>
      </c>
      <c r="B10" s="527">
        <f t="shared" si="28"/>
        <v>10718</v>
      </c>
      <c r="C10" s="284">
        <f t="shared" si="9"/>
        <v>0</v>
      </c>
      <c r="D10" s="528">
        <f t="shared" si="29"/>
        <v>496031</v>
      </c>
      <c r="E10" s="284">
        <f t="shared" si="10"/>
        <v>0</v>
      </c>
      <c r="F10" s="284">
        <f t="shared" si="0"/>
        <v>0</v>
      </c>
      <c r="G10" s="196"/>
      <c r="H10" s="268">
        <f t="shared" si="11"/>
        <v>10705</v>
      </c>
      <c r="I10" s="284" t="str">
        <f t="shared" si="1"/>
        <v>oil change</v>
      </c>
      <c r="J10" s="528">
        <f t="shared" si="12"/>
        <v>10698</v>
      </c>
      <c r="K10" s="284">
        <f t="shared" si="2"/>
        <v>0</v>
      </c>
      <c r="L10" s="528">
        <f t="shared" si="13"/>
        <v>357691</v>
      </c>
      <c r="M10" s="284">
        <f t="shared" si="14"/>
        <v>0</v>
      </c>
      <c r="N10" s="284">
        <f t="shared" si="15"/>
        <v>0</v>
      </c>
      <c r="O10" s="196"/>
      <c r="P10" s="285">
        <f t="shared" si="16"/>
        <v>10873</v>
      </c>
      <c r="Q10" s="284" t="str">
        <f t="shared" si="3"/>
        <v>ok</v>
      </c>
      <c r="R10" s="528">
        <f t="shared" si="30"/>
        <v>12831</v>
      </c>
      <c r="S10" s="284">
        <f t="shared" si="4"/>
        <v>0</v>
      </c>
      <c r="T10" s="528">
        <f t="shared" si="17"/>
        <v>146235</v>
      </c>
      <c r="U10" s="284">
        <f t="shared" si="18"/>
        <v>0</v>
      </c>
      <c r="V10" s="284">
        <v>250</v>
      </c>
      <c r="W10" s="334"/>
      <c r="X10" s="285">
        <f t="shared" si="19"/>
        <v>12918</v>
      </c>
      <c r="Y10" s="284" t="str">
        <f t="shared" ref="Y10:Y20" si="31">IF(R10-X10&lt;=0,"ok","oil change")</f>
        <v>ok</v>
      </c>
      <c r="Z10" s="284">
        <f t="shared" si="6"/>
        <v>0</v>
      </c>
      <c r="AA10" s="284">
        <f t="shared" si="20"/>
        <v>0</v>
      </c>
      <c r="AB10" s="284">
        <f t="shared" si="21"/>
        <v>250</v>
      </c>
      <c r="AC10" s="284">
        <f t="shared" si="22"/>
        <v>0</v>
      </c>
      <c r="AD10" s="73">
        <f>ELEC!Q11</f>
        <v>0</v>
      </c>
      <c r="AE10" s="73" t="e">
        <f t="shared" si="24"/>
        <v>#DIV/0!</v>
      </c>
      <c r="AF10" s="399" t="e">
        <f t="shared" si="25"/>
        <v>#DIV/0!</v>
      </c>
      <c r="AG10" s="400" t="e">
        <f t="shared" si="26"/>
        <v>#DIV/0!</v>
      </c>
      <c r="AH10" s="400" t="e">
        <f t="shared" si="23"/>
        <v>#DIV/0!</v>
      </c>
      <c r="AI10" s="73">
        <f t="shared" si="27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44417</v>
      </c>
      <c r="B11" s="527">
        <f t="shared" si="28"/>
        <v>10718</v>
      </c>
      <c r="C11" s="284">
        <f t="shared" si="9"/>
        <v>0</v>
      </c>
      <c r="D11" s="528">
        <f t="shared" si="29"/>
        <v>496031</v>
      </c>
      <c r="E11" s="284">
        <f t="shared" si="10"/>
        <v>0</v>
      </c>
      <c r="F11" s="284">
        <f t="shared" si="0"/>
        <v>0</v>
      </c>
      <c r="G11" s="196"/>
      <c r="H11" s="268">
        <f t="shared" si="11"/>
        <v>10705</v>
      </c>
      <c r="I11" s="284" t="str">
        <f t="shared" si="1"/>
        <v>oil change</v>
      </c>
      <c r="J11" s="528">
        <f t="shared" si="12"/>
        <v>10698</v>
      </c>
      <c r="K11" s="284">
        <f t="shared" si="2"/>
        <v>0</v>
      </c>
      <c r="L11" s="528">
        <f t="shared" si="13"/>
        <v>357691</v>
      </c>
      <c r="M11" s="284">
        <f t="shared" si="14"/>
        <v>0</v>
      </c>
      <c r="N11" s="284">
        <f t="shared" si="15"/>
        <v>0</v>
      </c>
      <c r="O11" s="196"/>
      <c r="P11" s="285">
        <f t="shared" si="16"/>
        <v>10873</v>
      </c>
      <c r="Q11" s="284" t="str">
        <f t="shared" si="3"/>
        <v>ok</v>
      </c>
      <c r="R11" s="528">
        <f t="shared" si="30"/>
        <v>12831</v>
      </c>
      <c r="S11" s="284">
        <f t="shared" si="4"/>
        <v>0</v>
      </c>
      <c r="T11" s="528">
        <f t="shared" si="17"/>
        <v>146235</v>
      </c>
      <c r="U11" s="284">
        <f t="shared" si="18"/>
        <v>0</v>
      </c>
      <c r="V11" s="284">
        <v>250</v>
      </c>
      <c r="W11" s="334"/>
      <c r="X11" s="285">
        <f t="shared" si="19"/>
        <v>12918</v>
      </c>
      <c r="Y11" s="284" t="str">
        <f t="shared" si="31"/>
        <v>ok</v>
      </c>
      <c r="Z11" s="284">
        <f t="shared" si="6"/>
        <v>0</v>
      </c>
      <c r="AA11" s="284">
        <f t="shared" si="20"/>
        <v>0</v>
      </c>
      <c r="AB11" s="284">
        <f t="shared" si="21"/>
        <v>250</v>
      </c>
      <c r="AC11" s="284">
        <f t="shared" si="22"/>
        <v>0</v>
      </c>
      <c r="AD11" s="73">
        <f>ELEC!Q12</f>
        <v>0</v>
      </c>
      <c r="AE11" s="73" t="e">
        <f t="shared" si="24"/>
        <v>#DIV/0!</v>
      </c>
      <c r="AF11" s="399" t="e">
        <f t="shared" si="25"/>
        <v>#DIV/0!</v>
      </c>
      <c r="AG11" s="400" t="e">
        <f t="shared" si="26"/>
        <v>#DIV/0!</v>
      </c>
      <c r="AH11" s="400" t="e">
        <f t="shared" si="23"/>
        <v>#DIV/0!</v>
      </c>
      <c r="AI11" s="73">
        <f t="shared" si="27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44418</v>
      </c>
      <c r="B12" s="527">
        <f t="shared" si="28"/>
        <v>10718</v>
      </c>
      <c r="C12" s="284">
        <f t="shared" si="9"/>
        <v>0</v>
      </c>
      <c r="D12" s="528">
        <f t="shared" si="29"/>
        <v>496031</v>
      </c>
      <c r="E12" s="284">
        <f t="shared" si="10"/>
        <v>0</v>
      </c>
      <c r="F12" s="284">
        <f t="shared" si="0"/>
        <v>0</v>
      </c>
      <c r="G12" s="196"/>
      <c r="H12" s="268">
        <f t="shared" si="11"/>
        <v>10705</v>
      </c>
      <c r="I12" s="284" t="str">
        <f t="shared" si="1"/>
        <v>oil change</v>
      </c>
      <c r="J12" s="528">
        <f t="shared" si="12"/>
        <v>10698</v>
      </c>
      <c r="K12" s="284">
        <f t="shared" si="2"/>
        <v>0</v>
      </c>
      <c r="L12" s="528">
        <f t="shared" si="13"/>
        <v>357691</v>
      </c>
      <c r="M12" s="284">
        <f t="shared" si="14"/>
        <v>0</v>
      </c>
      <c r="N12" s="284">
        <f t="shared" si="15"/>
        <v>0</v>
      </c>
      <c r="O12" s="196"/>
      <c r="P12" s="285">
        <f t="shared" si="16"/>
        <v>10873</v>
      </c>
      <c r="Q12" s="284" t="str">
        <f t="shared" si="3"/>
        <v>ok</v>
      </c>
      <c r="R12" s="528">
        <f t="shared" si="30"/>
        <v>12831</v>
      </c>
      <c r="S12" s="284">
        <f t="shared" si="4"/>
        <v>0</v>
      </c>
      <c r="T12" s="528">
        <f t="shared" si="17"/>
        <v>146235</v>
      </c>
      <c r="U12" s="284">
        <f t="shared" si="18"/>
        <v>0</v>
      </c>
      <c r="V12" s="284">
        <v>250</v>
      </c>
      <c r="W12" s="334"/>
      <c r="X12" s="285">
        <f t="shared" si="19"/>
        <v>12918</v>
      </c>
      <c r="Y12" s="284" t="str">
        <f t="shared" si="31"/>
        <v>ok</v>
      </c>
      <c r="Z12" s="284">
        <f t="shared" si="6"/>
        <v>0</v>
      </c>
      <c r="AA12" s="284">
        <f t="shared" si="20"/>
        <v>0</v>
      </c>
      <c r="AB12" s="284">
        <f t="shared" si="21"/>
        <v>250</v>
      </c>
      <c r="AC12" s="284">
        <f t="shared" si="22"/>
        <v>0</v>
      </c>
      <c r="AD12" s="73">
        <f>ELEC!Q13</f>
        <v>0</v>
      </c>
      <c r="AE12" s="73" t="e">
        <f t="shared" si="24"/>
        <v>#DIV/0!</v>
      </c>
      <c r="AF12" s="399" t="e">
        <f t="shared" si="25"/>
        <v>#DIV/0!</v>
      </c>
      <c r="AG12" s="400" t="e">
        <f t="shared" si="26"/>
        <v>#DIV/0!</v>
      </c>
      <c r="AH12" s="400" t="e">
        <f t="shared" si="23"/>
        <v>#DIV/0!</v>
      </c>
      <c r="AI12" s="73">
        <f t="shared" si="27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44419</v>
      </c>
      <c r="B13" s="527">
        <v>10723</v>
      </c>
      <c r="C13" s="284">
        <f t="shared" si="9"/>
        <v>5</v>
      </c>
      <c r="D13" s="528">
        <v>496634</v>
      </c>
      <c r="E13" s="284">
        <f t="shared" si="10"/>
        <v>603</v>
      </c>
      <c r="F13" s="284">
        <f t="shared" si="0"/>
        <v>120.6</v>
      </c>
      <c r="G13" s="196"/>
      <c r="H13" s="268">
        <f t="shared" si="11"/>
        <v>10705</v>
      </c>
      <c r="I13" s="284" t="str">
        <f t="shared" si="1"/>
        <v>oil change</v>
      </c>
      <c r="J13" s="528">
        <f t="shared" si="12"/>
        <v>10698</v>
      </c>
      <c r="K13" s="284">
        <f t="shared" si="2"/>
        <v>0</v>
      </c>
      <c r="L13" s="528">
        <f t="shared" si="13"/>
        <v>357691</v>
      </c>
      <c r="M13" s="284">
        <f t="shared" si="14"/>
        <v>0</v>
      </c>
      <c r="N13" s="284">
        <f t="shared" si="15"/>
        <v>0</v>
      </c>
      <c r="O13" s="196"/>
      <c r="P13" s="285">
        <f t="shared" si="16"/>
        <v>10873</v>
      </c>
      <c r="Q13" s="284" t="str">
        <f t="shared" si="3"/>
        <v>ok</v>
      </c>
      <c r="R13" s="528">
        <v>12849</v>
      </c>
      <c r="S13" s="284">
        <f t="shared" si="4"/>
        <v>18</v>
      </c>
      <c r="T13" s="528">
        <f t="shared" si="17"/>
        <v>150735</v>
      </c>
      <c r="U13" s="284">
        <f t="shared" si="18"/>
        <v>4500</v>
      </c>
      <c r="V13" s="284">
        <v>250</v>
      </c>
      <c r="W13" s="334"/>
      <c r="X13" s="285">
        <f t="shared" si="19"/>
        <v>12918</v>
      </c>
      <c r="Y13" s="284" t="str">
        <f t="shared" si="31"/>
        <v>ok</v>
      </c>
      <c r="Z13" s="284">
        <f t="shared" si="6"/>
        <v>23</v>
      </c>
      <c r="AA13" s="284">
        <f t="shared" si="20"/>
        <v>5103</v>
      </c>
      <c r="AB13" s="284">
        <f t="shared" si="21"/>
        <v>370.6</v>
      </c>
      <c r="AC13" s="284">
        <f t="shared" si="22"/>
        <v>221.86956521739131</v>
      </c>
      <c r="AD13" s="73">
        <f>ELEC!Q14</f>
        <v>16908.999999999651</v>
      </c>
      <c r="AE13" s="73">
        <f t="shared" si="24"/>
        <v>735.17391304346313</v>
      </c>
      <c r="AF13" s="399">
        <f t="shared" si="25"/>
        <v>0.45948369565216446</v>
      </c>
      <c r="AG13" s="400">
        <f t="shared" si="26"/>
        <v>147.03478260869264</v>
      </c>
      <c r="AH13" s="400">
        <f t="shared" si="23"/>
        <v>74.834782608698674</v>
      </c>
      <c r="AI13" s="73">
        <f t="shared" si="27"/>
        <v>4352.1054852319776</v>
      </c>
      <c r="AJ13" s="286">
        <f t="shared" si="7"/>
        <v>0.25738396624472576</v>
      </c>
      <c r="AK13" s="286">
        <f t="shared" si="8"/>
        <v>189.22197761878164</v>
      </c>
    </row>
    <row r="14" spans="1:37" ht="15.75" thickBot="1">
      <c r="A14" s="4">
        <f>ELEC!C15</f>
        <v>44420</v>
      </c>
      <c r="B14" s="527">
        <v>10743</v>
      </c>
      <c r="C14" s="284">
        <f t="shared" si="9"/>
        <v>20</v>
      </c>
      <c r="D14" s="528">
        <v>498167</v>
      </c>
      <c r="E14" s="284">
        <f t="shared" si="10"/>
        <v>1533</v>
      </c>
      <c r="F14" s="284">
        <f t="shared" si="0"/>
        <v>76.650000000000006</v>
      </c>
      <c r="G14" s="196"/>
      <c r="H14" s="268">
        <v>10881</v>
      </c>
      <c r="I14" s="284" t="str">
        <f t="shared" si="1"/>
        <v>ok</v>
      </c>
      <c r="J14" s="528">
        <f t="shared" si="12"/>
        <v>10698</v>
      </c>
      <c r="K14" s="284">
        <f t="shared" si="2"/>
        <v>0</v>
      </c>
      <c r="L14" s="528">
        <f t="shared" si="13"/>
        <v>357691</v>
      </c>
      <c r="M14" s="284">
        <f t="shared" si="14"/>
        <v>0</v>
      </c>
      <c r="N14" s="284">
        <f t="shared" si="15"/>
        <v>0</v>
      </c>
      <c r="O14" s="196"/>
      <c r="P14" s="285">
        <f t="shared" si="16"/>
        <v>10873</v>
      </c>
      <c r="Q14" s="284" t="str">
        <f t="shared" si="3"/>
        <v>ok</v>
      </c>
      <c r="R14" s="528">
        <v>12852</v>
      </c>
      <c r="S14" s="284">
        <f t="shared" si="4"/>
        <v>3</v>
      </c>
      <c r="T14" s="528">
        <f t="shared" si="17"/>
        <v>151485</v>
      </c>
      <c r="U14" s="284">
        <f t="shared" si="18"/>
        <v>750</v>
      </c>
      <c r="V14" s="284">
        <v>250</v>
      </c>
      <c r="W14" s="334"/>
      <c r="X14" s="285">
        <f t="shared" si="19"/>
        <v>12918</v>
      </c>
      <c r="Y14" s="284" t="str">
        <f t="shared" si="31"/>
        <v>ok</v>
      </c>
      <c r="Z14" s="284">
        <f t="shared" si="6"/>
        <v>23</v>
      </c>
      <c r="AA14" s="284">
        <f t="shared" si="20"/>
        <v>2283</v>
      </c>
      <c r="AB14" s="284">
        <f t="shared" si="21"/>
        <v>326.64999999999998</v>
      </c>
      <c r="AC14" s="284">
        <f t="shared" si="22"/>
        <v>99.260869565217391</v>
      </c>
      <c r="AD14" s="73">
        <f>ELEC!Q15</f>
        <v>17434.999999997672</v>
      </c>
      <c r="AE14" s="73">
        <f t="shared" si="24"/>
        <v>758.04347826076832</v>
      </c>
      <c r="AF14" s="399">
        <f t="shared" si="25"/>
        <v>0.47377717391298019</v>
      </c>
      <c r="AG14" s="400">
        <f t="shared" si="26"/>
        <v>151.60869565215367</v>
      </c>
      <c r="AH14" s="400">
        <f t="shared" si="23"/>
        <v>-52.34782608693628</v>
      </c>
      <c r="AI14" s="73">
        <f t="shared" si="27"/>
        <v>4487.4894514761945</v>
      </c>
      <c r="AJ14" s="286">
        <f t="shared" si="7"/>
        <v>0.25738396624472576</v>
      </c>
      <c r="AK14" s="286">
        <f t="shared" si="8"/>
        <v>195.10823702070411</v>
      </c>
    </row>
    <row r="15" spans="1:37" ht="15.75" thickBot="1">
      <c r="A15" s="4">
        <f>ELEC!C16</f>
        <v>44421</v>
      </c>
      <c r="B15" s="527">
        <f t="shared" si="28"/>
        <v>10743</v>
      </c>
      <c r="C15" s="284">
        <f t="shared" si="9"/>
        <v>0</v>
      </c>
      <c r="D15" s="528">
        <f t="shared" si="29"/>
        <v>498167</v>
      </c>
      <c r="E15" s="284">
        <f t="shared" si="10"/>
        <v>0</v>
      </c>
      <c r="F15" s="284">
        <f t="shared" si="0"/>
        <v>0</v>
      </c>
      <c r="G15" s="196"/>
      <c r="H15" s="268">
        <f t="shared" si="11"/>
        <v>10881</v>
      </c>
      <c r="I15" s="284" t="str">
        <f t="shared" si="1"/>
        <v>ok</v>
      </c>
      <c r="J15" s="528">
        <f t="shared" si="12"/>
        <v>10698</v>
      </c>
      <c r="K15" s="284">
        <f t="shared" si="2"/>
        <v>0</v>
      </c>
      <c r="L15" s="528">
        <f t="shared" si="13"/>
        <v>357691</v>
      </c>
      <c r="M15" s="284">
        <f t="shared" si="14"/>
        <v>0</v>
      </c>
      <c r="N15" s="284">
        <f t="shared" si="15"/>
        <v>0</v>
      </c>
      <c r="O15" s="196"/>
      <c r="P15" s="285">
        <f t="shared" si="16"/>
        <v>10873</v>
      </c>
      <c r="Q15" s="284" t="str">
        <f t="shared" si="3"/>
        <v>ok</v>
      </c>
      <c r="R15" s="528">
        <f t="shared" si="30"/>
        <v>12852</v>
      </c>
      <c r="S15" s="284">
        <f t="shared" si="4"/>
        <v>0</v>
      </c>
      <c r="T15" s="528">
        <f t="shared" si="17"/>
        <v>151485</v>
      </c>
      <c r="U15" s="284">
        <f t="shared" si="18"/>
        <v>0</v>
      </c>
      <c r="V15" s="284">
        <v>250</v>
      </c>
      <c r="W15" s="334"/>
      <c r="X15" s="285">
        <f t="shared" si="19"/>
        <v>12918</v>
      </c>
      <c r="Y15" s="284" t="str">
        <f t="shared" si="31"/>
        <v>ok</v>
      </c>
      <c r="Z15" s="284">
        <f t="shared" si="6"/>
        <v>0</v>
      </c>
      <c r="AA15" s="284">
        <f t="shared" si="20"/>
        <v>0</v>
      </c>
      <c r="AB15" s="284">
        <f t="shared" si="21"/>
        <v>250</v>
      </c>
      <c r="AC15" s="284">
        <f t="shared" si="22"/>
        <v>0</v>
      </c>
      <c r="AD15" s="73">
        <f>ELEC!Q16</f>
        <v>0</v>
      </c>
      <c r="AE15" s="73" t="e">
        <f t="shared" si="24"/>
        <v>#DIV/0!</v>
      </c>
      <c r="AF15" s="399" t="e">
        <f t="shared" si="25"/>
        <v>#DIV/0!</v>
      </c>
      <c r="AG15" s="400" t="e">
        <f t="shared" si="26"/>
        <v>#DIV/0!</v>
      </c>
      <c r="AH15" s="400" t="e">
        <f t="shared" si="23"/>
        <v>#DIV/0!</v>
      </c>
      <c r="AI15" s="73">
        <f t="shared" si="27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44422</v>
      </c>
      <c r="B16" s="527">
        <f t="shared" si="28"/>
        <v>10743</v>
      </c>
      <c r="C16" s="284">
        <f t="shared" si="9"/>
        <v>0</v>
      </c>
      <c r="D16" s="528">
        <f t="shared" si="29"/>
        <v>498167</v>
      </c>
      <c r="E16" s="284">
        <f t="shared" si="10"/>
        <v>0</v>
      </c>
      <c r="F16" s="284">
        <f t="shared" si="0"/>
        <v>0</v>
      </c>
      <c r="G16" s="196"/>
      <c r="H16" s="268">
        <f t="shared" si="11"/>
        <v>10881</v>
      </c>
      <c r="I16" s="284" t="str">
        <f t="shared" si="1"/>
        <v>ok</v>
      </c>
      <c r="J16" s="528">
        <f t="shared" si="12"/>
        <v>10698</v>
      </c>
      <c r="K16" s="284">
        <f t="shared" si="2"/>
        <v>0</v>
      </c>
      <c r="L16" s="528">
        <f t="shared" si="13"/>
        <v>357691</v>
      </c>
      <c r="M16" s="284">
        <f t="shared" si="14"/>
        <v>0</v>
      </c>
      <c r="N16" s="284">
        <f t="shared" si="15"/>
        <v>0</v>
      </c>
      <c r="O16" s="196"/>
      <c r="P16" s="285">
        <f t="shared" si="16"/>
        <v>10873</v>
      </c>
      <c r="Q16" s="284" t="str">
        <f t="shared" si="3"/>
        <v>ok</v>
      </c>
      <c r="R16" s="528">
        <f t="shared" si="30"/>
        <v>12852</v>
      </c>
      <c r="S16" s="284">
        <f t="shared" si="4"/>
        <v>0</v>
      </c>
      <c r="T16" s="528">
        <f t="shared" si="17"/>
        <v>151485</v>
      </c>
      <c r="U16" s="284">
        <f t="shared" si="18"/>
        <v>0</v>
      </c>
      <c r="V16" s="284">
        <v>250</v>
      </c>
      <c r="W16" s="334"/>
      <c r="X16" s="285">
        <f t="shared" si="19"/>
        <v>12918</v>
      </c>
      <c r="Y16" s="284" t="str">
        <f t="shared" si="31"/>
        <v>ok</v>
      </c>
      <c r="Z16" s="284">
        <f t="shared" si="6"/>
        <v>0</v>
      </c>
      <c r="AA16" s="284">
        <f t="shared" si="20"/>
        <v>0</v>
      </c>
      <c r="AB16" s="284">
        <f t="shared" si="21"/>
        <v>250</v>
      </c>
      <c r="AC16" s="284">
        <f t="shared" si="22"/>
        <v>0</v>
      </c>
      <c r="AD16" s="73">
        <f>ELEC!Q17</f>
        <v>0</v>
      </c>
      <c r="AE16" s="73" t="e">
        <f t="shared" si="24"/>
        <v>#DIV/0!</v>
      </c>
      <c r="AF16" s="399" t="e">
        <f t="shared" si="25"/>
        <v>#DIV/0!</v>
      </c>
      <c r="AG16" s="400" t="e">
        <f t="shared" si="26"/>
        <v>#DIV/0!</v>
      </c>
      <c r="AH16" s="400" t="e">
        <f t="shared" si="23"/>
        <v>#DIV/0!</v>
      </c>
      <c r="AI16" s="73">
        <f t="shared" si="27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44423</v>
      </c>
      <c r="B17" s="527">
        <f t="shared" si="28"/>
        <v>10743</v>
      </c>
      <c r="C17" s="284">
        <f t="shared" si="9"/>
        <v>0</v>
      </c>
      <c r="D17" s="528">
        <f t="shared" si="29"/>
        <v>498167</v>
      </c>
      <c r="E17" s="284">
        <f t="shared" si="10"/>
        <v>0</v>
      </c>
      <c r="F17" s="284">
        <f t="shared" si="0"/>
        <v>0</v>
      </c>
      <c r="G17" s="196"/>
      <c r="H17" s="268">
        <f t="shared" si="11"/>
        <v>10881</v>
      </c>
      <c r="I17" s="284" t="str">
        <f t="shared" si="1"/>
        <v>ok</v>
      </c>
      <c r="J17" s="528">
        <f t="shared" si="12"/>
        <v>10698</v>
      </c>
      <c r="K17" s="284">
        <f t="shared" si="2"/>
        <v>0</v>
      </c>
      <c r="L17" s="528">
        <f t="shared" si="13"/>
        <v>357691</v>
      </c>
      <c r="M17" s="284">
        <f t="shared" si="14"/>
        <v>0</v>
      </c>
      <c r="N17" s="284">
        <f t="shared" si="15"/>
        <v>0</v>
      </c>
      <c r="O17" s="196"/>
      <c r="P17" s="285">
        <f t="shared" si="16"/>
        <v>10873</v>
      </c>
      <c r="Q17" s="284" t="str">
        <f t="shared" si="3"/>
        <v>ok</v>
      </c>
      <c r="R17" s="528">
        <f t="shared" si="30"/>
        <v>12852</v>
      </c>
      <c r="S17" s="284">
        <f t="shared" si="4"/>
        <v>0</v>
      </c>
      <c r="T17" s="528">
        <f t="shared" si="17"/>
        <v>151485</v>
      </c>
      <c r="U17" s="284">
        <f t="shared" si="18"/>
        <v>0</v>
      </c>
      <c r="V17" s="284">
        <v>250</v>
      </c>
      <c r="W17" s="334"/>
      <c r="X17" s="285">
        <f t="shared" si="19"/>
        <v>12918</v>
      </c>
      <c r="Y17" s="284" t="str">
        <f t="shared" si="31"/>
        <v>ok</v>
      </c>
      <c r="Z17" s="284">
        <f t="shared" si="6"/>
        <v>0</v>
      </c>
      <c r="AA17" s="284">
        <f t="shared" si="20"/>
        <v>0</v>
      </c>
      <c r="AB17" s="284">
        <f t="shared" si="21"/>
        <v>250</v>
      </c>
      <c r="AC17" s="284">
        <f t="shared" si="22"/>
        <v>0</v>
      </c>
      <c r="AD17" s="73">
        <f>ELEC!Q18</f>
        <v>0</v>
      </c>
      <c r="AE17" s="73" t="e">
        <f t="shared" si="24"/>
        <v>#DIV/0!</v>
      </c>
      <c r="AF17" s="399" t="e">
        <f t="shared" si="25"/>
        <v>#DIV/0!</v>
      </c>
      <c r="AG17" s="400" t="e">
        <f t="shared" si="26"/>
        <v>#DIV/0!</v>
      </c>
      <c r="AH17" s="400" t="e">
        <f t="shared" si="23"/>
        <v>#DIV/0!</v>
      </c>
      <c r="AI17" s="73">
        <f t="shared" si="27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44424</v>
      </c>
      <c r="B18" s="527">
        <v>10743</v>
      </c>
      <c r="C18" s="284">
        <f t="shared" si="9"/>
        <v>0</v>
      </c>
      <c r="D18" s="528">
        <v>498167</v>
      </c>
      <c r="E18" s="284">
        <f t="shared" si="10"/>
        <v>0</v>
      </c>
      <c r="F18" s="284">
        <f t="shared" si="0"/>
        <v>0</v>
      </c>
      <c r="G18" s="196"/>
      <c r="H18" s="268">
        <v>10881</v>
      </c>
      <c r="I18" s="284" t="str">
        <f t="shared" si="1"/>
        <v>ok</v>
      </c>
      <c r="J18" s="528">
        <f t="shared" si="12"/>
        <v>10698</v>
      </c>
      <c r="K18" s="284">
        <f t="shared" si="2"/>
        <v>0</v>
      </c>
      <c r="L18" s="528">
        <f t="shared" si="13"/>
        <v>357691</v>
      </c>
      <c r="M18" s="284">
        <f t="shared" si="14"/>
        <v>0</v>
      </c>
      <c r="N18" s="284">
        <f t="shared" si="15"/>
        <v>0</v>
      </c>
      <c r="O18" s="196"/>
      <c r="P18" s="285">
        <f t="shared" si="16"/>
        <v>10873</v>
      </c>
      <c r="Q18" s="284" t="str">
        <f>IF(J18-P14&lt;=0,"ok","oil change")</f>
        <v>ok</v>
      </c>
      <c r="R18" s="528">
        <v>12871</v>
      </c>
      <c r="S18" s="284">
        <f t="shared" si="4"/>
        <v>19</v>
      </c>
      <c r="T18" s="528">
        <v>160985</v>
      </c>
      <c r="U18" s="284">
        <f t="shared" si="18"/>
        <v>4750</v>
      </c>
      <c r="V18" s="284">
        <v>250</v>
      </c>
      <c r="W18" s="334"/>
      <c r="X18" s="285">
        <f t="shared" si="19"/>
        <v>12918</v>
      </c>
      <c r="Y18" s="284" t="str">
        <f t="shared" si="31"/>
        <v>ok</v>
      </c>
      <c r="Z18" s="284">
        <f t="shared" si="6"/>
        <v>19</v>
      </c>
      <c r="AA18" s="284">
        <f t="shared" si="20"/>
        <v>4750</v>
      </c>
      <c r="AB18" s="284">
        <f t="shared" si="21"/>
        <v>250</v>
      </c>
      <c r="AC18" s="284">
        <f t="shared" si="22"/>
        <v>250</v>
      </c>
      <c r="AD18" s="73">
        <f>ELEC!Q19</f>
        <v>12520.000000000437</v>
      </c>
      <c r="AE18" s="73">
        <f t="shared" si="24"/>
        <v>658.94736842107557</v>
      </c>
      <c r="AF18" s="399">
        <f t="shared" si="25"/>
        <v>0.41184210526317222</v>
      </c>
      <c r="AG18" s="400">
        <f t="shared" si="26"/>
        <v>131.78947368421512</v>
      </c>
      <c r="AH18" s="400">
        <f t="shared" si="23"/>
        <v>118.21052631578488</v>
      </c>
      <c r="AI18" s="73">
        <f t="shared" si="27"/>
        <v>3222.447257384079</v>
      </c>
      <c r="AJ18" s="286">
        <f t="shared" si="7"/>
        <v>0.25738396624472576</v>
      </c>
      <c r="AK18" s="286">
        <f t="shared" si="8"/>
        <v>169.60248723074099</v>
      </c>
    </row>
    <row r="19" spans="1:37" ht="15.75" thickBot="1">
      <c r="A19" s="4">
        <f>ELEC!C20</f>
        <v>44425</v>
      </c>
      <c r="B19" s="527">
        <v>10747</v>
      </c>
      <c r="C19" s="284">
        <f t="shared" si="9"/>
        <v>4</v>
      </c>
      <c r="D19" s="528">
        <v>498646</v>
      </c>
      <c r="E19" s="284">
        <f t="shared" si="10"/>
        <v>479</v>
      </c>
      <c r="F19" s="284">
        <f t="shared" si="0"/>
        <v>119.75</v>
      </c>
      <c r="G19" s="196"/>
      <c r="H19" s="268">
        <f t="shared" si="11"/>
        <v>10881</v>
      </c>
      <c r="I19" s="284" t="str">
        <f t="shared" si="1"/>
        <v>ok</v>
      </c>
      <c r="J19" s="528">
        <f t="shared" si="12"/>
        <v>10698</v>
      </c>
      <c r="K19" s="284">
        <f t="shared" si="2"/>
        <v>0</v>
      </c>
      <c r="L19" s="528">
        <f t="shared" si="13"/>
        <v>357691</v>
      </c>
      <c r="M19" s="284">
        <f t="shared" si="14"/>
        <v>0</v>
      </c>
      <c r="N19" s="284">
        <f t="shared" si="15"/>
        <v>0</v>
      </c>
      <c r="O19" s="196"/>
      <c r="P19" s="285">
        <f t="shared" si="16"/>
        <v>10873</v>
      </c>
      <c r="Q19" s="284" t="str">
        <f t="shared" ref="Q19:Q30" si="32">IF(J19-P19&lt;=0,"ok","oil change")</f>
        <v>ok</v>
      </c>
      <c r="R19" s="528">
        <v>12878</v>
      </c>
      <c r="S19" s="284">
        <f t="shared" si="4"/>
        <v>7</v>
      </c>
      <c r="T19" s="528">
        <f t="shared" si="17"/>
        <v>162735</v>
      </c>
      <c r="U19" s="284">
        <f t="shared" si="18"/>
        <v>1750</v>
      </c>
      <c r="V19" s="284">
        <v>250</v>
      </c>
      <c r="W19" s="334"/>
      <c r="X19" s="285">
        <f t="shared" si="19"/>
        <v>12918</v>
      </c>
      <c r="Y19" s="284" t="str">
        <f t="shared" si="31"/>
        <v>ok</v>
      </c>
      <c r="Z19" s="284">
        <f t="shared" si="6"/>
        <v>11</v>
      </c>
      <c r="AA19" s="284">
        <f t="shared" si="20"/>
        <v>2229</v>
      </c>
      <c r="AB19" s="284">
        <f t="shared" si="21"/>
        <v>369.75</v>
      </c>
      <c r="AC19" s="284">
        <f t="shared" si="22"/>
        <v>202.63636363636363</v>
      </c>
      <c r="AD19" s="73">
        <f>ELEC!Q20</f>
        <v>7920.0000000018917</v>
      </c>
      <c r="AE19" s="73">
        <f t="shared" si="24"/>
        <v>720.00000000017201</v>
      </c>
      <c r="AF19" s="399">
        <f t="shared" si="25"/>
        <v>0.45000000000010748</v>
      </c>
      <c r="AG19" s="400">
        <f t="shared" si="26"/>
        <v>144.00000000003439</v>
      </c>
      <c r="AH19" s="400">
        <f t="shared" si="23"/>
        <v>58.636363636329236</v>
      </c>
      <c r="AI19" s="73">
        <f t="shared" si="27"/>
        <v>2038.4810126587149</v>
      </c>
      <c r="AJ19" s="286">
        <f t="shared" si="7"/>
        <v>0.25738396624472576</v>
      </c>
      <c r="AK19" s="286">
        <f t="shared" si="8"/>
        <v>185.31645569624681</v>
      </c>
    </row>
    <row r="20" spans="1:37" ht="15.75" thickBot="1">
      <c r="A20" s="4">
        <f>ELEC!C21</f>
        <v>44426</v>
      </c>
      <c r="B20" s="527">
        <f t="shared" si="28"/>
        <v>10747</v>
      </c>
      <c r="C20" s="284">
        <f>B20-B19</f>
        <v>0</v>
      </c>
      <c r="D20" s="528">
        <f t="shared" si="29"/>
        <v>498646</v>
      </c>
      <c r="E20" s="284">
        <f t="shared" si="10"/>
        <v>0</v>
      </c>
      <c r="F20" s="284">
        <f t="shared" si="0"/>
        <v>0</v>
      </c>
      <c r="G20" s="196"/>
      <c r="H20" s="268">
        <f t="shared" si="11"/>
        <v>10881</v>
      </c>
      <c r="I20" s="284" t="str">
        <f t="shared" si="1"/>
        <v>ok</v>
      </c>
      <c r="J20" s="528">
        <f t="shared" si="12"/>
        <v>10698</v>
      </c>
      <c r="K20" s="284">
        <f t="shared" si="2"/>
        <v>0</v>
      </c>
      <c r="L20" s="528">
        <f t="shared" si="13"/>
        <v>357691</v>
      </c>
      <c r="M20" s="284">
        <f t="shared" si="14"/>
        <v>0</v>
      </c>
      <c r="N20" s="284">
        <f t="shared" si="15"/>
        <v>0</v>
      </c>
      <c r="O20" s="196"/>
      <c r="P20" s="285">
        <f t="shared" si="16"/>
        <v>10873</v>
      </c>
      <c r="Q20" s="284" t="str">
        <f t="shared" si="32"/>
        <v>ok</v>
      </c>
      <c r="R20" s="528">
        <f t="shared" si="30"/>
        <v>12878</v>
      </c>
      <c r="S20" s="284">
        <f t="shared" si="4"/>
        <v>0</v>
      </c>
      <c r="T20" s="528">
        <f t="shared" si="17"/>
        <v>162735</v>
      </c>
      <c r="U20" s="284">
        <f t="shared" si="18"/>
        <v>0</v>
      </c>
      <c r="V20" s="284">
        <v>250</v>
      </c>
      <c r="W20" s="334"/>
      <c r="X20" s="285">
        <f t="shared" si="19"/>
        <v>12918</v>
      </c>
      <c r="Y20" s="284" t="str">
        <f t="shared" si="31"/>
        <v>ok</v>
      </c>
      <c r="Z20" s="284">
        <f t="shared" si="6"/>
        <v>0</v>
      </c>
      <c r="AA20" s="284">
        <f t="shared" si="20"/>
        <v>0</v>
      </c>
      <c r="AB20" s="284">
        <f t="shared" si="21"/>
        <v>250</v>
      </c>
      <c r="AC20" s="284">
        <f t="shared" si="22"/>
        <v>0</v>
      </c>
      <c r="AD20" s="73">
        <f>ELEC!Q21</f>
        <v>0</v>
      </c>
      <c r="AE20" s="73" t="e">
        <f t="shared" si="24"/>
        <v>#DIV/0!</v>
      </c>
      <c r="AF20" s="399" t="e">
        <f t="shared" si="25"/>
        <v>#DIV/0!</v>
      </c>
      <c r="AG20" s="400" t="e">
        <f t="shared" si="26"/>
        <v>#DIV/0!</v>
      </c>
      <c r="AH20" s="400" t="e">
        <f t="shared" si="23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44427</v>
      </c>
      <c r="B21" s="527">
        <f t="shared" si="28"/>
        <v>10747</v>
      </c>
      <c r="C21" s="284">
        <f>B21-B20</f>
        <v>0</v>
      </c>
      <c r="D21" s="528">
        <f t="shared" si="29"/>
        <v>498646</v>
      </c>
      <c r="E21" s="284">
        <f t="shared" si="10"/>
        <v>0</v>
      </c>
      <c r="F21" s="284">
        <f t="shared" si="0"/>
        <v>0</v>
      </c>
      <c r="G21" s="196"/>
      <c r="H21" s="268">
        <f t="shared" si="11"/>
        <v>10881</v>
      </c>
      <c r="I21" s="284" t="str">
        <f t="shared" si="1"/>
        <v>ok</v>
      </c>
      <c r="J21" s="528">
        <f t="shared" si="12"/>
        <v>10698</v>
      </c>
      <c r="K21" s="284">
        <f t="shared" si="2"/>
        <v>0</v>
      </c>
      <c r="L21" s="528">
        <f t="shared" si="13"/>
        <v>357691</v>
      </c>
      <c r="M21" s="284">
        <f t="shared" si="14"/>
        <v>0</v>
      </c>
      <c r="N21" s="284">
        <f t="shared" si="15"/>
        <v>0</v>
      </c>
      <c r="O21" s="196"/>
      <c r="P21" s="285">
        <f t="shared" si="16"/>
        <v>10873</v>
      </c>
      <c r="Q21" s="284" t="str">
        <f t="shared" si="32"/>
        <v>ok</v>
      </c>
      <c r="R21" s="528">
        <f t="shared" si="30"/>
        <v>12878</v>
      </c>
      <c r="S21" s="284">
        <f t="shared" si="4"/>
        <v>0</v>
      </c>
      <c r="T21" s="528">
        <f t="shared" si="17"/>
        <v>162735</v>
      </c>
      <c r="U21" s="284">
        <f t="shared" si="18"/>
        <v>0</v>
      </c>
      <c r="V21" s="284">
        <v>250</v>
      </c>
      <c r="W21" s="196"/>
      <c r="X21" s="285">
        <f t="shared" si="19"/>
        <v>12918</v>
      </c>
      <c r="Y21" s="284" t="str">
        <f>Y20</f>
        <v>ok</v>
      </c>
      <c r="Z21" s="284">
        <f t="shared" si="6"/>
        <v>0</v>
      </c>
      <c r="AA21" s="284">
        <f t="shared" si="20"/>
        <v>0</v>
      </c>
      <c r="AB21" s="284">
        <f t="shared" si="21"/>
        <v>250</v>
      </c>
      <c r="AC21" s="284">
        <f t="shared" si="22"/>
        <v>0</v>
      </c>
      <c r="AD21" s="73">
        <f>ELEC!Q22</f>
        <v>0</v>
      </c>
      <c r="AE21" s="73" t="e">
        <f t="shared" si="24"/>
        <v>#DIV/0!</v>
      </c>
      <c r="AF21" s="399" t="e">
        <f t="shared" si="25"/>
        <v>#DIV/0!</v>
      </c>
      <c r="AG21" s="400" t="e">
        <f t="shared" si="26"/>
        <v>#DIV/0!</v>
      </c>
      <c r="AH21" s="400" t="e">
        <f t="shared" si="23"/>
        <v>#DIV/0!</v>
      </c>
      <c r="AI21" s="73">
        <f t="shared" si="27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44428</v>
      </c>
      <c r="B22" s="527">
        <f t="shared" si="28"/>
        <v>10747</v>
      </c>
      <c r="C22" s="284">
        <f t="shared" si="9"/>
        <v>0</v>
      </c>
      <c r="D22" s="528">
        <f t="shared" si="29"/>
        <v>498646</v>
      </c>
      <c r="E22" s="284">
        <f>150*C22</f>
        <v>0</v>
      </c>
      <c r="F22" s="284">
        <f t="shared" si="0"/>
        <v>0</v>
      </c>
      <c r="G22" s="196"/>
      <c r="H22" s="268">
        <f t="shared" si="11"/>
        <v>10881</v>
      </c>
      <c r="I22" s="284" t="str">
        <f t="shared" si="1"/>
        <v>ok</v>
      </c>
      <c r="J22" s="528">
        <f t="shared" si="12"/>
        <v>10698</v>
      </c>
      <c r="K22" s="284">
        <f t="shared" si="2"/>
        <v>0</v>
      </c>
      <c r="L22" s="528">
        <f t="shared" si="13"/>
        <v>357691</v>
      </c>
      <c r="M22" s="284">
        <f t="shared" si="14"/>
        <v>0</v>
      </c>
      <c r="N22" s="284">
        <f t="shared" si="15"/>
        <v>0</v>
      </c>
      <c r="O22" s="196"/>
      <c r="P22" s="285">
        <f t="shared" si="16"/>
        <v>10873</v>
      </c>
      <c r="Q22" s="284" t="str">
        <f t="shared" si="32"/>
        <v>ok</v>
      </c>
      <c r="R22" s="528">
        <f t="shared" si="30"/>
        <v>12878</v>
      </c>
      <c r="S22" s="284">
        <f t="shared" si="4"/>
        <v>0</v>
      </c>
      <c r="T22" s="528">
        <f t="shared" si="17"/>
        <v>162735</v>
      </c>
      <c r="U22" s="284">
        <f t="shared" si="18"/>
        <v>0</v>
      </c>
      <c r="V22" s="284">
        <v>250</v>
      </c>
      <c r="W22" s="196"/>
      <c r="X22" s="285">
        <f t="shared" si="19"/>
        <v>12918</v>
      </c>
      <c r="Y22" s="284" t="str">
        <f t="shared" ref="Y22:Y30" si="33">IF(R22-X22&lt;=0,"ok","oil change")</f>
        <v>ok</v>
      </c>
      <c r="Z22" s="284">
        <f t="shared" si="6"/>
        <v>0</v>
      </c>
      <c r="AA22" s="284">
        <f t="shared" si="20"/>
        <v>0</v>
      </c>
      <c r="AB22" s="284">
        <f t="shared" si="21"/>
        <v>250</v>
      </c>
      <c r="AC22" s="284">
        <f t="shared" si="22"/>
        <v>0</v>
      </c>
      <c r="AD22" s="73">
        <f>ELEC!Q23</f>
        <v>0</v>
      </c>
      <c r="AE22" s="73" t="e">
        <f t="shared" si="24"/>
        <v>#DIV/0!</v>
      </c>
      <c r="AF22" s="399" t="e">
        <f t="shared" si="25"/>
        <v>#DIV/0!</v>
      </c>
      <c r="AG22" s="400" t="e">
        <f t="shared" si="26"/>
        <v>#DIV/0!</v>
      </c>
      <c r="AH22" s="400" t="e">
        <f t="shared" si="23"/>
        <v>#DIV/0!</v>
      </c>
      <c r="AI22" s="73">
        <f t="shared" si="27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44429</v>
      </c>
      <c r="B23" s="527">
        <f t="shared" si="28"/>
        <v>10747</v>
      </c>
      <c r="C23" s="284">
        <f t="shared" si="9"/>
        <v>0</v>
      </c>
      <c r="D23" s="528">
        <f t="shared" si="29"/>
        <v>498646</v>
      </c>
      <c r="E23" s="284">
        <f>150*C23</f>
        <v>0</v>
      </c>
      <c r="F23" s="284">
        <f t="shared" si="0"/>
        <v>0</v>
      </c>
      <c r="G23" s="196"/>
      <c r="H23" s="268">
        <f t="shared" si="11"/>
        <v>10881</v>
      </c>
      <c r="I23" s="284" t="str">
        <f t="shared" si="1"/>
        <v>ok</v>
      </c>
      <c r="J23" s="528">
        <f t="shared" si="12"/>
        <v>10698</v>
      </c>
      <c r="K23" s="284">
        <f t="shared" si="2"/>
        <v>0</v>
      </c>
      <c r="L23" s="528">
        <f t="shared" si="13"/>
        <v>357691</v>
      </c>
      <c r="M23" s="284">
        <f t="shared" si="14"/>
        <v>0</v>
      </c>
      <c r="N23" s="284">
        <f t="shared" si="15"/>
        <v>0</v>
      </c>
      <c r="O23" s="196"/>
      <c r="P23" s="285">
        <f t="shared" si="16"/>
        <v>10873</v>
      </c>
      <c r="Q23" s="284" t="str">
        <f t="shared" si="32"/>
        <v>ok</v>
      </c>
      <c r="R23" s="528">
        <f t="shared" si="30"/>
        <v>12878</v>
      </c>
      <c r="S23" s="284">
        <f>R23-R22</f>
        <v>0</v>
      </c>
      <c r="T23" s="528">
        <f t="shared" si="17"/>
        <v>162735</v>
      </c>
      <c r="U23" s="284">
        <f>V23*S23</f>
        <v>0</v>
      </c>
      <c r="V23" s="284">
        <v>250</v>
      </c>
      <c r="W23" s="196"/>
      <c r="X23" s="285">
        <f t="shared" si="19"/>
        <v>12918</v>
      </c>
      <c r="Y23" s="284" t="str">
        <f t="shared" si="33"/>
        <v>ok</v>
      </c>
      <c r="Z23" s="284">
        <f t="shared" si="6"/>
        <v>0</v>
      </c>
      <c r="AA23" s="284">
        <f t="shared" si="20"/>
        <v>0</v>
      </c>
      <c r="AB23" s="284">
        <f t="shared" si="21"/>
        <v>250</v>
      </c>
      <c r="AC23" s="284">
        <f t="shared" si="22"/>
        <v>0</v>
      </c>
      <c r="AD23" s="73">
        <f>ELEC!Q24</f>
        <v>0</v>
      </c>
      <c r="AE23" s="73" t="e">
        <f t="shared" si="24"/>
        <v>#DIV/0!</v>
      </c>
      <c r="AF23" s="399" t="e">
        <f t="shared" si="25"/>
        <v>#DIV/0!</v>
      </c>
      <c r="AG23" s="400" t="e">
        <f t="shared" si="26"/>
        <v>#DIV/0!</v>
      </c>
      <c r="AH23" s="400" t="e">
        <f t="shared" si="23"/>
        <v>#DIV/0!</v>
      </c>
      <c r="AI23" s="73">
        <f t="shared" si="27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44430</v>
      </c>
      <c r="B24" s="527">
        <v>10756</v>
      </c>
      <c r="C24" s="284">
        <f t="shared" si="9"/>
        <v>9</v>
      </c>
      <c r="D24" s="528">
        <v>499504.6</v>
      </c>
      <c r="E24" s="284">
        <f t="shared" si="10"/>
        <v>858.59999999997672</v>
      </c>
      <c r="F24" s="284">
        <f t="shared" si="0"/>
        <v>95.399999999997419</v>
      </c>
      <c r="G24" s="196"/>
      <c r="H24" s="268">
        <f t="shared" si="11"/>
        <v>10881</v>
      </c>
      <c r="I24" s="284" t="str">
        <f t="shared" si="1"/>
        <v>ok</v>
      </c>
      <c r="J24" s="528">
        <f t="shared" si="12"/>
        <v>10698</v>
      </c>
      <c r="K24" s="284">
        <f t="shared" si="2"/>
        <v>0</v>
      </c>
      <c r="L24" s="528">
        <f t="shared" si="13"/>
        <v>357691</v>
      </c>
      <c r="M24" s="284">
        <f t="shared" si="14"/>
        <v>0</v>
      </c>
      <c r="N24" s="284">
        <f t="shared" si="15"/>
        <v>0</v>
      </c>
      <c r="O24" s="196"/>
      <c r="P24" s="285">
        <f t="shared" si="16"/>
        <v>10873</v>
      </c>
      <c r="Q24" s="284" t="str">
        <f t="shared" si="32"/>
        <v>ok</v>
      </c>
      <c r="R24" s="528">
        <v>12886</v>
      </c>
      <c r="S24" s="284">
        <f t="shared" si="4"/>
        <v>8</v>
      </c>
      <c r="T24" s="528">
        <v>166735</v>
      </c>
      <c r="U24" s="284">
        <f t="shared" si="18"/>
        <v>2000</v>
      </c>
      <c r="V24" s="284">
        <v>250</v>
      </c>
      <c r="W24" s="196"/>
      <c r="X24" s="285">
        <f t="shared" si="19"/>
        <v>12918</v>
      </c>
      <c r="Y24" s="284" t="str">
        <f t="shared" si="33"/>
        <v>ok</v>
      </c>
      <c r="Z24" s="284">
        <f t="shared" si="6"/>
        <v>17</v>
      </c>
      <c r="AA24" s="284">
        <f t="shared" si="20"/>
        <v>2858.5999999999767</v>
      </c>
      <c r="AB24" s="284">
        <f t="shared" si="21"/>
        <v>345.39999999999742</v>
      </c>
      <c r="AC24" s="284">
        <f t="shared" si="22"/>
        <v>168.15294117646923</v>
      </c>
      <c r="AD24" s="73">
        <f>ELEC!Q25</f>
        <v>11652.999999998428</v>
      </c>
      <c r="AE24" s="73">
        <f t="shared" si="24"/>
        <v>685.47058823520172</v>
      </c>
      <c r="AF24" s="399">
        <f t="shared" si="25"/>
        <v>0.42841911764700108</v>
      </c>
      <c r="AG24" s="400">
        <f t="shared" si="26"/>
        <v>137.09411764704035</v>
      </c>
      <c r="AH24" s="400">
        <f t="shared" si="23"/>
        <v>31.058823529428878</v>
      </c>
      <c r="AI24" s="73">
        <f t="shared" si="27"/>
        <v>2999.295358649385</v>
      </c>
      <c r="AJ24" s="286">
        <f t="shared" si="7"/>
        <v>0.25738396624472576</v>
      </c>
      <c r="AK24" s="286">
        <f t="shared" si="8"/>
        <v>176.42913874408146</v>
      </c>
    </row>
    <row r="25" spans="1:37" ht="15.75" thickBot="1">
      <c r="A25" s="4">
        <f>ELEC!C26</f>
        <v>44431</v>
      </c>
      <c r="B25" s="527">
        <v>10760</v>
      </c>
      <c r="C25" s="284">
        <f t="shared" si="9"/>
        <v>4</v>
      </c>
      <c r="D25" s="528">
        <v>500310</v>
      </c>
      <c r="E25" s="284">
        <f t="shared" si="10"/>
        <v>805.40000000002328</v>
      </c>
      <c r="F25" s="284">
        <f t="shared" si="0"/>
        <v>201.35000000000582</v>
      </c>
      <c r="G25" s="196"/>
      <c r="H25" s="268">
        <f t="shared" si="11"/>
        <v>10881</v>
      </c>
      <c r="I25" s="284" t="str">
        <f t="shared" si="1"/>
        <v>ok</v>
      </c>
      <c r="J25" s="528">
        <f t="shared" si="12"/>
        <v>10698</v>
      </c>
      <c r="K25" s="284">
        <f t="shared" si="2"/>
        <v>0</v>
      </c>
      <c r="L25" s="528">
        <f t="shared" si="13"/>
        <v>357691</v>
      </c>
      <c r="M25" s="284">
        <f t="shared" si="14"/>
        <v>0</v>
      </c>
      <c r="N25" s="284">
        <f t="shared" si="15"/>
        <v>0</v>
      </c>
      <c r="O25" s="196"/>
      <c r="P25" s="285">
        <f t="shared" si="16"/>
        <v>10873</v>
      </c>
      <c r="Q25" s="284" t="str">
        <f t="shared" si="32"/>
        <v>ok</v>
      </c>
      <c r="R25" s="528">
        <v>12894</v>
      </c>
      <c r="S25" s="284">
        <f t="shared" si="4"/>
        <v>8</v>
      </c>
      <c r="T25" s="528">
        <v>170735</v>
      </c>
      <c r="U25" s="284">
        <f t="shared" si="18"/>
        <v>2000</v>
      </c>
      <c r="V25" s="284">
        <v>250</v>
      </c>
      <c r="W25" s="196"/>
      <c r="X25" s="285">
        <f t="shared" si="19"/>
        <v>12918</v>
      </c>
      <c r="Y25" s="284" t="str">
        <f t="shared" si="33"/>
        <v>ok</v>
      </c>
      <c r="Z25" s="284">
        <f t="shared" si="6"/>
        <v>12</v>
      </c>
      <c r="AA25" s="284">
        <f t="shared" si="20"/>
        <v>2805.4000000000233</v>
      </c>
      <c r="AB25" s="284">
        <f t="shared" si="21"/>
        <v>451.35000000000582</v>
      </c>
      <c r="AC25" s="284">
        <f t="shared" si="22"/>
        <v>233.78333333333526</v>
      </c>
      <c r="AD25" s="73">
        <f>ELEC!Q26</f>
        <v>9914.0000000006694</v>
      </c>
      <c r="AE25" s="73">
        <f t="shared" si="24"/>
        <v>826.16666666672245</v>
      </c>
      <c r="AF25" s="399">
        <f t="shared" si="25"/>
        <v>0.51635416666670153</v>
      </c>
      <c r="AG25" s="400">
        <f t="shared" si="26"/>
        <v>165.23333333334449</v>
      </c>
      <c r="AH25" s="400">
        <f t="shared" si="23"/>
        <v>68.549999999990774</v>
      </c>
      <c r="AI25" s="73">
        <f t="shared" si="27"/>
        <v>2551.7046413503836</v>
      </c>
      <c r="AJ25" s="286">
        <f t="shared" si="7"/>
        <v>0.25738396624472576</v>
      </c>
      <c r="AK25" s="286">
        <f t="shared" si="8"/>
        <v>212.64205344586529</v>
      </c>
    </row>
    <row r="26" spans="1:37" ht="15.75" thickBot="1">
      <c r="A26" s="4">
        <f>ELEC!C27</f>
        <v>44432</v>
      </c>
      <c r="B26" s="527">
        <v>10773</v>
      </c>
      <c r="C26" s="284">
        <f>B26-B25</f>
        <v>13</v>
      </c>
      <c r="D26" s="528">
        <v>500848</v>
      </c>
      <c r="E26" s="284">
        <f>SUM(D26-D25)</f>
        <v>538</v>
      </c>
      <c r="F26" s="284">
        <f t="shared" si="0"/>
        <v>41.384615384615387</v>
      </c>
      <c r="G26" s="196"/>
      <c r="H26" s="268">
        <f t="shared" si="11"/>
        <v>10881</v>
      </c>
      <c r="I26" s="284" t="str">
        <f t="shared" si="1"/>
        <v>ok</v>
      </c>
      <c r="J26" s="528">
        <f t="shared" si="12"/>
        <v>10698</v>
      </c>
      <c r="K26" s="284">
        <f t="shared" si="2"/>
        <v>0</v>
      </c>
      <c r="L26" s="528">
        <f t="shared" si="13"/>
        <v>357691</v>
      </c>
      <c r="M26" s="284">
        <f t="shared" si="14"/>
        <v>0</v>
      </c>
      <c r="N26" s="284">
        <f t="shared" si="15"/>
        <v>0</v>
      </c>
      <c r="O26" s="196"/>
      <c r="P26" s="285">
        <f t="shared" si="16"/>
        <v>10873</v>
      </c>
      <c r="Q26" s="284" t="str">
        <f t="shared" si="32"/>
        <v>ok</v>
      </c>
      <c r="R26" s="528">
        <v>12903</v>
      </c>
      <c r="S26" s="284">
        <f t="shared" ref="S26" si="34">R26-R25</f>
        <v>9</v>
      </c>
      <c r="T26" s="528">
        <f t="shared" si="17"/>
        <v>172985</v>
      </c>
      <c r="U26" s="284">
        <f t="shared" si="18"/>
        <v>2250</v>
      </c>
      <c r="V26" s="284">
        <v>250</v>
      </c>
      <c r="W26" s="196"/>
      <c r="X26" s="285">
        <f t="shared" si="19"/>
        <v>12918</v>
      </c>
      <c r="Y26" s="284" t="str">
        <f t="shared" si="33"/>
        <v>ok</v>
      </c>
      <c r="Z26" s="284">
        <f t="shared" si="6"/>
        <v>22</v>
      </c>
      <c r="AA26" s="284">
        <f t="shared" si="20"/>
        <v>2788</v>
      </c>
      <c r="AB26" s="284">
        <f t="shared" si="21"/>
        <v>291.38461538461536</v>
      </c>
      <c r="AC26" s="284">
        <f t="shared" si="22"/>
        <v>126.72727272727273</v>
      </c>
      <c r="AD26" s="73">
        <f>ELEC!Q27</f>
        <v>17274.000000001251</v>
      </c>
      <c r="AE26" s="73">
        <f t="shared" si="24"/>
        <v>785.18181818187509</v>
      </c>
      <c r="AF26" s="399">
        <f t="shared" si="25"/>
        <v>0.49073863636367193</v>
      </c>
      <c r="AG26" s="400">
        <f t="shared" si="26"/>
        <v>157.03636363637503</v>
      </c>
      <c r="AH26" s="400">
        <f t="shared" si="23"/>
        <v>-30.309090909102295</v>
      </c>
      <c r="AI26" s="73">
        <f t="shared" si="27"/>
        <v>4446.0506329117152</v>
      </c>
      <c r="AJ26" s="286">
        <f t="shared" si="7"/>
        <v>0.25738396624472576</v>
      </c>
      <c r="AK26" s="286">
        <f t="shared" si="8"/>
        <v>202.09321058689613</v>
      </c>
    </row>
    <row r="27" spans="1:37" ht="15.75" thickBot="1">
      <c r="A27" s="4">
        <f>ELEC!C28</f>
        <v>44433</v>
      </c>
      <c r="B27" s="527">
        <v>10786</v>
      </c>
      <c r="C27" s="284">
        <f>B27-B26</f>
        <v>13</v>
      </c>
      <c r="D27" s="528">
        <v>502133</v>
      </c>
      <c r="E27" s="284">
        <f t="shared" ref="E27:E33" si="35">SUM(D27-D26)</f>
        <v>1285</v>
      </c>
      <c r="F27" s="284">
        <f t="shared" si="0"/>
        <v>98.84615384615384</v>
      </c>
      <c r="G27" s="196"/>
      <c r="H27" s="268">
        <f t="shared" si="11"/>
        <v>10881</v>
      </c>
      <c r="I27" s="284" t="str">
        <f>IF(B27-H27&lt;=0,"ok","oil change")</f>
        <v>ok</v>
      </c>
      <c r="J27" s="528">
        <f t="shared" si="12"/>
        <v>10698</v>
      </c>
      <c r="K27" s="284">
        <f t="shared" si="2"/>
        <v>0</v>
      </c>
      <c r="L27" s="528">
        <f t="shared" si="13"/>
        <v>357691</v>
      </c>
      <c r="M27" s="284">
        <f t="shared" si="14"/>
        <v>0</v>
      </c>
      <c r="N27" s="284">
        <f t="shared" si="15"/>
        <v>0</v>
      </c>
      <c r="O27" s="196"/>
      <c r="P27" s="285">
        <f t="shared" si="16"/>
        <v>10873</v>
      </c>
      <c r="Q27" s="284" t="str">
        <f t="shared" si="32"/>
        <v>ok</v>
      </c>
      <c r="R27" s="528">
        <v>12909</v>
      </c>
      <c r="S27" s="284">
        <f t="shared" si="4"/>
        <v>6</v>
      </c>
      <c r="T27" s="528">
        <v>166735</v>
      </c>
      <c r="U27" s="284">
        <f t="shared" si="18"/>
        <v>1500</v>
      </c>
      <c r="V27" s="284">
        <v>250</v>
      </c>
      <c r="W27" s="196"/>
      <c r="X27" s="285">
        <f t="shared" si="19"/>
        <v>12918</v>
      </c>
      <c r="Y27" s="284" t="str">
        <f t="shared" si="33"/>
        <v>ok</v>
      </c>
      <c r="Z27" s="284">
        <f t="shared" si="6"/>
        <v>19</v>
      </c>
      <c r="AA27" s="284">
        <f t="shared" si="20"/>
        <v>2785</v>
      </c>
      <c r="AB27" s="284">
        <f t="shared" si="21"/>
        <v>348.84615384615381</v>
      </c>
      <c r="AC27" s="284">
        <f t="shared" si="22"/>
        <v>146.57894736842104</v>
      </c>
      <c r="AD27" s="73">
        <f>ELEC!Q28</f>
        <v>14967.000000000553</v>
      </c>
      <c r="AE27" s="73">
        <f t="shared" si="24"/>
        <v>787.73684210529223</v>
      </c>
      <c r="AF27" s="399">
        <f t="shared" si="25"/>
        <v>0.49233552631580763</v>
      </c>
      <c r="AG27" s="400">
        <f t="shared" si="26"/>
        <v>157.54736842105845</v>
      </c>
      <c r="AH27" s="400">
        <f t="shared" si="23"/>
        <v>-10.96842105263741</v>
      </c>
      <c r="AI27" s="73">
        <f t="shared" si="27"/>
        <v>3852.2658227849529</v>
      </c>
      <c r="AJ27" s="286">
        <f t="shared" si="7"/>
        <v>0.25738396624472576</v>
      </c>
      <c r="AK27" s="286">
        <f t="shared" si="8"/>
        <v>202.75083277815543</v>
      </c>
    </row>
    <row r="28" spans="1:37" ht="15.75" thickBot="1">
      <c r="A28" s="4">
        <f>ELEC!C29</f>
        <v>44434</v>
      </c>
      <c r="B28" s="527">
        <v>10796</v>
      </c>
      <c r="C28" s="284">
        <f t="shared" si="9"/>
        <v>10</v>
      </c>
      <c r="D28" s="528">
        <v>503250</v>
      </c>
      <c r="E28" s="284">
        <f t="shared" si="35"/>
        <v>1117</v>
      </c>
      <c r="F28" s="284">
        <f t="shared" si="0"/>
        <v>111.7</v>
      </c>
      <c r="G28" s="282"/>
      <c r="H28" s="268">
        <f t="shared" si="11"/>
        <v>10881</v>
      </c>
      <c r="I28" s="284" t="str">
        <f t="shared" si="1"/>
        <v>ok</v>
      </c>
      <c r="J28" s="528">
        <f t="shared" si="12"/>
        <v>10698</v>
      </c>
      <c r="K28" s="284">
        <f t="shared" si="2"/>
        <v>0</v>
      </c>
      <c r="L28" s="528">
        <f t="shared" si="13"/>
        <v>357691</v>
      </c>
      <c r="M28" s="284">
        <f t="shared" si="14"/>
        <v>0</v>
      </c>
      <c r="N28" s="284">
        <f t="shared" si="15"/>
        <v>0</v>
      </c>
      <c r="O28" s="196"/>
      <c r="P28" s="285">
        <f t="shared" si="16"/>
        <v>10873</v>
      </c>
      <c r="Q28" s="284" t="str">
        <f t="shared" si="32"/>
        <v>ok</v>
      </c>
      <c r="R28" s="528">
        <v>12921</v>
      </c>
      <c r="S28" s="284">
        <f t="shared" si="4"/>
        <v>12</v>
      </c>
      <c r="T28" s="528">
        <f t="shared" si="17"/>
        <v>169735</v>
      </c>
      <c r="U28" s="284">
        <f t="shared" si="18"/>
        <v>3000</v>
      </c>
      <c r="V28" s="284">
        <v>250</v>
      </c>
      <c r="W28" s="196"/>
      <c r="X28" s="285">
        <f t="shared" si="19"/>
        <v>12918</v>
      </c>
      <c r="Y28" s="284" t="str">
        <f t="shared" si="33"/>
        <v>oil change</v>
      </c>
      <c r="Z28" s="284">
        <f t="shared" si="6"/>
        <v>22</v>
      </c>
      <c r="AA28" s="284">
        <f t="shared" si="20"/>
        <v>4117</v>
      </c>
      <c r="AB28" s="284">
        <f t="shared" si="21"/>
        <v>361.7</v>
      </c>
      <c r="AC28" s="284">
        <f t="shared" si="22"/>
        <v>187.13636363636363</v>
      </c>
      <c r="AD28" s="73">
        <f>ELEC!Q29</f>
        <v>16206.999999998516</v>
      </c>
      <c r="AE28" s="73">
        <f t="shared" si="24"/>
        <v>736.68181818175071</v>
      </c>
      <c r="AF28" s="399">
        <f t="shared" si="25"/>
        <v>0.4604261363635942</v>
      </c>
      <c r="AG28" s="400">
        <f t="shared" si="26"/>
        <v>147.33636363635014</v>
      </c>
      <c r="AH28" s="400">
        <f t="shared" si="23"/>
        <v>39.800000000013483</v>
      </c>
      <c r="AI28" s="73">
        <f t="shared" si="27"/>
        <v>4171.4219409278885</v>
      </c>
      <c r="AJ28" s="286">
        <f t="shared" si="7"/>
        <v>0.25738396624472576</v>
      </c>
      <c r="AK28" s="286">
        <f t="shared" si="8"/>
        <v>189.61008822399492</v>
      </c>
    </row>
    <row r="29" spans="1:37" ht="15.75" thickBot="1">
      <c r="A29" s="4">
        <f>ELEC!C30</f>
        <v>44435</v>
      </c>
      <c r="B29" s="527">
        <f t="shared" ref="B29:B33" si="36">B28</f>
        <v>10796</v>
      </c>
      <c r="C29" s="284">
        <f t="shared" si="9"/>
        <v>0</v>
      </c>
      <c r="D29" s="528">
        <f t="shared" si="29"/>
        <v>503250</v>
      </c>
      <c r="E29" s="284">
        <f t="shared" si="35"/>
        <v>0</v>
      </c>
      <c r="F29" s="284">
        <f t="shared" si="0"/>
        <v>0</v>
      </c>
      <c r="G29" s="196"/>
      <c r="H29" s="268">
        <f t="shared" si="11"/>
        <v>10881</v>
      </c>
      <c r="I29" s="284" t="str">
        <f t="shared" si="1"/>
        <v>ok</v>
      </c>
      <c r="J29" s="528">
        <f t="shared" si="12"/>
        <v>10698</v>
      </c>
      <c r="K29" s="284">
        <f t="shared" si="2"/>
        <v>0</v>
      </c>
      <c r="L29" s="528">
        <f t="shared" si="13"/>
        <v>357691</v>
      </c>
      <c r="M29" s="284">
        <f t="shared" si="14"/>
        <v>0</v>
      </c>
      <c r="N29" s="284">
        <f t="shared" si="15"/>
        <v>0</v>
      </c>
      <c r="O29" s="196"/>
      <c r="P29" s="285">
        <f t="shared" si="16"/>
        <v>10873</v>
      </c>
      <c r="Q29" s="284" t="str">
        <f t="shared" si="32"/>
        <v>ok</v>
      </c>
      <c r="R29" s="528">
        <f t="shared" si="30"/>
        <v>12921</v>
      </c>
      <c r="S29" s="284">
        <f t="shared" si="4"/>
        <v>0</v>
      </c>
      <c r="T29" s="528">
        <f t="shared" si="17"/>
        <v>169735</v>
      </c>
      <c r="U29" s="284">
        <f t="shared" si="18"/>
        <v>0</v>
      </c>
      <c r="V29" s="284">
        <v>250</v>
      </c>
      <c r="W29" s="196"/>
      <c r="X29" s="285">
        <f t="shared" si="19"/>
        <v>12918</v>
      </c>
      <c r="Y29" s="284" t="str">
        <f t="shared" si="33"/>
        <v>oil change</v>
      </c>
      <c r="Z29" s="284">
        <f t="shared" si="6"/>
        <v>0</v>
      </c>
      <c r="AA29" s="284">
        <f t="shared" si="20"/>
        <v>0</v>
      </c>
      <c r="AB29" s="284">
        <f t="shared" si="21"/>
        <v>250</v>
      </c>
      <c r="AC29" s="284">
        <f t="shared" si="22"/>
        <v>0</v>
      </c>
      <c r="AD29" s="73">
        <f>ELEC!Q30</f>
        <v>0</v>
      </c>
      <c r="AE29" s="73" t="e">
        <f t="shared" si="24"/>
        <v>#DIV/0!</v>
      </c>
      <c r="AF29" s="399" t="e">
        <f t="shared" si="25"/>
        <v>#DIV/0!</v>
      </c>
      <c r="AG29" s="400" t="e">
        <f t="shared" si="26"/>
        <v>#DIV/0!</v>
      </c>
      <c r="AH29" s="400" t="e">
        <f t="shared" si="23"/>
        <v>#DIV/0!</v>
      </c>
      <c r="AI29" s="73">
        <f t="shared" si="27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44436</v>
      </c>
      <c r="B30" s="527">
        <f t="shared" si="36"/>
        <v>10796</v>
      </c>
      <c r="C30" s="284">
        <f t="shared" si="9"/>
        <v>0</v>
      </c>
      <c r="D30" s="528">
        <f t="shared" si="29"/>
        <v>503250</v>
      </c>
      <c r="E30" s="284">
        <f t="shared" si="35"/>
        <v>0</v>
      </c>
      <c r="F30" s="284">
        <f t="shared" si="0"/>
        <v>0</v>
      </c>
      <c r="G30" s="196"/>
      <c r="H30" s="268">
        <f t="shared" si="11"/>
        <v>10881</v>
      </c>
      <c r="I30" s="284" t="str">
        <f t="shared" si="1"/>
        <v>ok</v>
      </c>
      <c r="J30" s="528">
        <f t="shared" si="12"/>
        <v>10698</v>
      </c>
      <c r="K30" s="284">
        <f t="shared" si="2"/>
        <v>0</v>
      </c>
      <c r="L30" s="528">
        <f t="shared" si="13"/>
        <v>357691</v>
      </c>
      <c r="M30" s="284">
        <f t="shared" si="14"/>
        <v>0</v>
      </c>
      <c r="N30" s="284">
        <f t="shared" si="15"/>
        <v>0</v>
      </c>
      <c r="O30" s="196"/>
      <c r="P30" s="285">
        <f t="shared" si="16"/>
        <v>10873</v>
      </c>
      <c r="Q30" s="284" t="str">
        <f t="shared" si="32"/>
        <v>ok</v>
      </c>
      <c r="R30" s="528">
        <f>R29</f>
        <v>12921</v>
      </c>
      <c r="S30" s="284">
        <f t="shared" si="4"/>
        <v>0</v>
      </c>
      <c r="T30" s="528">
        <f t="shared" si="17"/>
        <v>169735</v>
      </c>
      <c r="U30" s="284">
        <f t="shared" si="18"/>
        <v>0</v>
      </c>
      <c r="V30" s="284">
        <v>250</v>
      </c>
      <c r="W30" s="282"/>
      <c r="X30" s="285">
        <f t="shared" si="19"/>
        <v>12918</v>
      </c>
      <c r="Y30" s="284" t="str">
        <f t="shared" si="33"/>
        <v>oil change</v>
      </c>
      <c r="Z30" s="284">
        <f t="shared" si="6"/>
        <v>0</v>
      </c>
      <c r="AA30" s="284">
        <f t="shared" si="20"/>
        <v>0</v>
      </c>
      <c r="AB30" s="284">
        <f t="shared" si="21"/>
        <v>250</v>
      </c>
      <c r="AC30" s="284">
        <f t="shared" si="22"/>
        <v>0</v>
      </c>
      <c r="AD30" s="73">
        <f>ELEC!Q31</f>
        <v>0</v>
      </c>
      <c r="AE30" s="73" t="e">
        <f t="shared" si="24"/>
        <v>#DIV/0!</v>
      </c>
      <c r="AF30" s="399" t="e">
        <f t="shared" si="25"/>
        <v>#DIV/0!</v>
      </c>
      <c r="AG30" s="400" t="e">
        <f t="shared" si="26"/>
        <v>#DIV/0!</v>
      </c>
      <c r="AH30" s="400" t="e">
        <f t="shared" si="23"/>
        <v>#DIV/0!</v>
      </c>
      <c r="AI30" s="73">
        <f t="shared" si="27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44437</v>
      </c>
      <c r="B31" s="527">
        <f t="shared" si="36"/>
        <v>10796</v>
      </c>
      <c r="C31" s="284">
        <f>B31-B30</f>
        <v>0</v>
      </c>
      <c r="D31" s="528">
        <f t="shared" si="29"/>
        <v>503250</v>
      </c>
      <c r="E31" s="284">
        <f t="shared" si="35"/>
        <v>0</v>
      </c>
      <c r="F31" s="284">
        <f>IF(C31&gt;0,E31/C31,0)</f>
        <v>0</v>
      </c>
      <c r="G31" s="334"/>
      <c r="H31" s="268">
        <f t="shared" si="11"/>
        <v>10881</v>
      </c>
      <c r="I31" s="284" t="str">
        <f>IF(B31-H31&lt;=0,"ok","oil change")</f>
        <v>ok</v>
      </c>
      <c r="J31" s="528">
        <f t="shared" si="12"/>
        <v>10698</v>
      </c>
      <c r="K31" s="284">
        <f>J31-J30</f>
        <v>0</v>
      </c>
      <c r="L31" s="528">
        <f t="shared" si="13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6"/>
        <v>10873</v>
      </c>
      <c r="Q31" s="284" t="str">
        <f>IF(J31-P31&lt;=0,"ok","oil change")</f>
        <v>ok</v>
      </c>
      <c r="R31" s="528">
        <f t="shared" si="30"/>
        <v>12921</v>
      </c>
      <c r="S31" s="284">
        <f>R31-R30</f>
        <v>0</v>
      </c>
      <c r="T31" s="528">
        <f t="shared" si="17"/>
        <v>169735</v>
      </c>
      <c r="U31" s="284">
        <f t="shared" si="18"/>
        <v>0</v>
      </c>
      <c r="V31" s="284">
        <v>250</v>
      </c>
      <c r="W31" s="334"/>
      <c r="X31" s="285">
        <f t="shared" si="19"/>
        <v>12918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7">U31+M31+E31</f>
        <v>0</v>
      </c>
      <c r="AB31" s="284">
        <f t="shared" si="37"/>
        <v>250</v>
      </c>
      <c r="AC31" s="284">
        <f>IF(Z31&gt;0,AA31/Z31,0)</f>
        <v>0</v>
      </c>
      <c r="AD31" s="73">
        <f>ELEC!Q32</f>
        <v>16423.999999999069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4227.2742616031364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44438</v>
      </c>
      <c r="B32" s="527">
        <v>10813</v>
      </c>
      <c r="C32" s="284">
        <f>B32-B31</f>
        <v>17</v>
      </c>
      <c r="D32" s="528">
        <v>504534</v>
      </c>
      <c r="E32" s="284">
        <f t="shared" si="35"/>
        <v>1284</v>
      </c>
      <c r="F32" s="284">
        <f>IF(C32&gt;0,E32/C32,0)</f>
        <v>75.529411764705884</v>
      </c>
      <c r="G32" s="334"/>
      <c r="H32" s="268">
        <f t="shared" si="11"/>
        <v>10881</v>
      </c>
      <c r="I32" s="284" t="str">
        <f>IF(B32-H32&lt;=0,"ok","oil change")</f>
        <v>ok</v>
      </c>
      <c r="J32" s="528">
        <f t="shared" si="12"/>
        <v>10698</v>
      </c>
      <c r="K32" s="284">
        <f>J32-J31</f>
        <v>0</v>
      </c>
      <c r="L32" s="528">
        <f t="shared" si="13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6"/>
        <v>10873</v>
      </c>
      <c r="Q32" s="284" t="str">
        <f>IF(J32-P32&lt;=0,"ok","oil change")</f>
        <v>ok</v>
      </c>
      <c r="R32" s="528">
        <v>12937</v>
      </c>
      <c r="S32" s="284">
        <f>R32-R31</f>
        <v>16</v>
      </c>
      <c r="T32" s="528">
        <f t="shared" si="17"/>
        <v>173735</v>
      </c>
      <c r="U32" s="284">
        <f t="shared" si="18"/>
        <v>4000</v>
      </c>
      <c r="V32" s="284">
        <v>250</v>
      </c>
      <c r="W32" s="334"/>
      <c r="X32" s="285">
        <f t="shared" si="19"/>
        <v>12918</v>
      </c>
      <c r="Y32" s="284" t="str">
        <f>IF(R32-X32&lt;=0,"ok","oil change")</f>
        <v>oil change</v>
      </c>
      <c r="Z32" s="284">
        <f>C32+K32+S32</f>
        <v>33</v>
      </c>
      <c r="AA32" s="284">
        <f t="shared" si="37"/>
        <v>5284</v>
      </c>
      <c r="AB32" s="284">
        <f t="shared" si="37"/>
        <v>325.52941176470586</v>
      </c>
      <c r="AC32" s="284">
        <f>IF(Z32&gt;0,AA32/Z32,0)</f>
        <v>160.12121212121212</v>
      </c>
      <c r="AD32" s="73">
        <f>ELEC!Q33</f>
        <v>7659.9999999998545</v>
      </c>
      <c r="AE32" s="73">
        <f>SUM(AD32/Z32)</f>
        <v>232.12121212120772</v>
      </c>
      <c r="AF32" s="399">
        <f>SUM(AE32/1600)</f>
        <v>0.14507575757575483</v>
      </c>
      <c r="AG32" s="494">
        <f>SUM(320*AF32)</f>
        <v>46.424242424241548</v>
      </c>
      <c r="AH32" s="494">
        <f>SUM(AC32-AG32)</f>
        <v>113.69696969697057</v>
      </c>
      <c r="AI32" s="73">
        <f>AD32*AJ32</f>
        <v>1971.5611814345618</v>
      </c>
      <c r="AJ32" s="286">
        <f t="shared" si="7"/>
        <v>0.25738396624472576</v>
      </c>
      <c r="AK32" s="286">
        <f t="shared" si="8"/>
        <v>59.744278225289754</v>
      </c>
    </row>
    <row r="33" spans="1:37">
      <c r="A33" s="4">
        <f>ELEC!C34</f>
        <v>44439</v>
      </c>
      <c r="B33" s="527">
        <f t="shared" si="36"/>
        <v>10813</v>
      </c>
      <c r="C33" s="284">
        <f>B33-B32</f>
        <v>0</v>
      </c>
      <c r="D33" s="528">
        <f t="shared" si="29"/>
        <v>504534</v>
      </c>
      <c r="E33" s="284">
        <f t="shared" si="35"/>
        <v>0</v>
      </c>
      <c r="F33" s="284">
        <f>IF(C33&gt;0,E33/C33,0)</f>
        <v>0</v>
      </c>
      <c r="G33" s="334"/>
      <c r="H33" s="268">
        <f t="shared" si="11"/>
        <v>10881</v>
      </c>
      <c r="I33" s="284" t="str">
        <f>IF(B33-H33&lt;=0,"ok","oil change")</f>
        <v>ok</v>
      </c>
      <c r="J33" s="528">
        <f t="shared" si="12"/>
        <v>10698</v>
      </c>
      <c r="K33" s="284">
        <f>J33-J32</f>
        <v>0</v>
      </c>
      <c r="L33" s="528">
        <f t="shared" si="13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6"/>
        <v>10873</v>
      </c>
      <c r="Q33" s="284" t="str">
        <f>IF(J33-P33&lt;=0,"ok","oil change")</f>
        <v>ok</v>
      </c>
      <c r="R33" s="528">
        <f t="shared" si="30"/>
        <v>12937</v>
      </c>
      <c r="S33" s="284">
        <f>R33-R32</f>
        <v>0</v>
      </c>
      <c r="T33" s="528">
        <f t="shared" si="17"/>
        <v>173735</v>
      </c>
      <c r="U33" s="284">
        <f t="shared" si="18"/>
        <v>0</v>
      </c>
      <c r="V33" s="284">
        <v>251</v>
      </c>
      <c r="W33" s="334"/>
      <c r="X33" s="285">
        <f t="shared" si="19"/>
        <v>12918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8">U33+M33+E33</f>
        <v>0</v>
      </c>
      <c r="AB33" s="284">
        <f t="shared" ref="AB33" si="39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40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316</v>
      </c>
      <c r="V34" s="40"/>
      <c r="X34">
        <v>341</v>
      </c>
      <c r="Z34" s="417">
        <f>SUM(Z3:Z33)</f>
        <v>316</v>
      </c>
    </row>
    <row r="35" spans="1:37">
      <c r="C35" s="40">
        <f>SUM(C3:C33)</f>
        <v>155</v>
      </c>
      <c r="K35" s="40">
        <f>SUM(K3:K33)</f>
        <v>0</v>
      </c>
      <c r="S35" s="40">
        <f>SUM(S3:S33)</f>
        <v>161</v>
      </c>
      <c r="U35" s="40"/>
      <c r="V35" s="40"/>
      <c r="X35" s="40"/>
    </row>
  </sheetData>
  <conditionalFormatting sqref="K3:K33 Z3:Z33 C3:C33 S3:S33">
    <cfRule type="cellIs" dxfId="8" priority="11" stopIfTrue="1" operator="equal">
      <formula>0</formula>
    </cfRule>
  </conditionalFormatting>
  <conditionalFormatting sqref="AA3:AB33">
    <cfRule type="cellIs" dxfId="7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topLeftCell="A6" zoomScale="90" zoomScaleNormal="90" workbookViewId="0">
      <pane xSplit="1" topLeftCell="AL1" activePane="topRight" state="frozen"/>
      <selection pane="topRight" activeCell="AO15" sqref="AO1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0" t="s">
        <v>108</v>
      </c>
      <c r="AS3" s="680" t="s">
        <v>233</v>
      </c>
      <c r="AT3" s="678" t="s">
        <v>301</v>
      </c>
      <c r="AU3" s="679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1"/>
      <c r="AS4" s="681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44408</v>
      </c>
      <c r="B5" s="522">
        <f>[2]tanks!B36</f>
        <v>141</v>
      </c>
      <c r="C5" s="522">
        <f>[2]tanks!C36</f>
        <v>3033.7741935483868</v>
      </c>
      <c r="D5" s="522">
        <f>[2]tanks!D36</f>
        <v>141</v>
      </c>
      <c r="E5" s="522">
        <f>[2]tanks!E36</f>
        <v>3033.7741935483868</v>
      </c>
      <c r="F5" s="522">
        <f>[2]tanks!F36</f>
        <v>141</v>
      </c>
      <c r="G5" s="522">
        <f>[2]tanks!G36</f>
        <v>3033.7741935483868</v>
      </c>
      <c r="H5" s="522">
        <f>[2]tanks!H36</f>
        <v>141</v>
      </c>
      <c r="I5" s="522">
        <f>[2]tanks!I36</f>
        <v>3033.7741935483868</v>
      </c>
      <c r="J5" s="522">
        <f>[2]tanks!J36</f>
        <v>141</v>
      </c>
      <c r="K5" s="522">
        <f>[2]tanks!K36</f>
        <v>3033.7741935483868</v>
      </c>
      <c r="L5" s="522">
        <f>[2]tanks!L36</f>
        <v>141</v>
      </c>
      <c r="M5" s="522">
        <f>[2]tanks!M36</f>
        <v>3033.7741935483868</v>
      </c>
      <c r="N5" s="522">
        <f>[2]tanks!N36</f>
        <v>141</v>
      </c>
      <c r="O5" s="522">
        <f>[2]tanks!O36</f>
        <v>3033.7741935483868</v>
      </c>
      <c r="P5" s="522">
        <f>[2]tanks!P36</f>
        <v>141</v>
      </c>
      <c r="Q5" s="522">
        <f>[2]tanks!Q36</f>
        <v>3033.7741935483868</v>
      </c>
      <c r="R5" s="522">
        <f>[2]tanks!R36</f>
        <v>141</v>
      </c>
      <c r="S5" s="522">
        <f>[2]tanks!S36</f>
        <v>3033.7741935483868</v>
      </c>
      <c r="T5" s="522">
        <f>[2]tanks!T36</f>
        <v>141</v>
      </c>
      <c r="U5" s="522">
        <f>[2]tanks!U36</f>
        <v>3033.7741935483868</v>
      </c>
      <c r="V5" s="522">
        <f>[2]tanks!V36</f>
        <v>141</v>
      </c>
      <c r="W5" s="522">
        <f>[2]tanks!W36</f>
        <v>3033.7741935483868</v>
      </c>
      <c r="X5" s="495">
        <f>[2]tanks!X36</f>
        <v>0.45483870967741935</v>
      </c>
      <c r="Y5" s="522">
        <f>[2]tanks!Y36</f>
        <v>33371.516129032258</v>
      </c>
      <c r="Z5" s="522">
        <f>[2]tanks!Z36</f>
        <v>148</v>
      </c>
      <c r="AA5" s="522">
        <f>[2]tanks!AA36</f>
        <v>1480</v>
      </c>
      <c r="AB5" s="522">
        <f>[2]tanks!AB36</f>
        <v>148</v>
      </c>
      <c r="AC5" s="522">
        <f>[2]tanks!AC36</f>
        <v>1480</v>
      </c>
      <c r="AD5" s="522">
        <f>[2]tanks!AD36</f>
        <v>148</v>
      </c>
      <c r="AE5" s="522">
        <f>[2]tanks!AE36</f>
        <v>1480</v>
      </c>
      <c r="AF5" s="522">
        <f>[2]tanks!AF36</f>
        <v>148</v>
      </c>
      <c r="AG5" s="522">
        <f>[2]tanks!AG36</f>
        <v>1480</v>
      </c>
      <c r="AH5" s="522">
        <f>[2]tanks!AH36</f>
        <v>148</v>
      </c>
      <c r="AI5" s="522">
        <f>[2]tanks!AI36</f>
        <v>1480</v>
      </c>
      <c r="AJ5" s="522">
        <f>[2]tanks!AJ36</f>
        <v>148</v>
      </c>
      <c r="AK5" s="522">
        <f>[2]tanks!AK36</f>
        <v>1480</v>
      </c>
      <c r="AL5" s="522">
        <f>[2]tanks!AL36</f>
        <v>148</v>
      </c>
      <c r="AM5" s="522">
        <f>[2]tanks!AM36</f>
        <v>1480</v>
      </c>
      <c r="AN5" s="495">
        <f>[2]tanks!AN36</f>
        <v>0.52857142857142858</v>
      </c>
      <c r="AO5" s="522">
        <f>[2]tanks!AO36</f>
        <v>10360</v>
      </c>
      <c r="AP5" s="522"/>
      <c r="AQ5" s="495">
        <f>[2]tanks!AQ36</f>
        <v>0.47038309270767192</v>
      </c>
      <c r="AR5" s="495">
        <f>[2]tanks!AR36</f>
        <v>43731.516129032258</v>
      </c>
      <c r="AS5" s="495">
        <f>[2]tanks!AS36</f>
        <v>-5213.5161290322503</v>
      </c>
      <c r="AT5" s="636">
        <f>[2]tanks!AT36</f>
        <v>0</v>
      </c>
      <c r="AU5" s="636">
        <f>[2]tanks!AU36</f>
        <v>0</v>
      </c>
      <c r="AV5" s="636">
        <f>[2]tanks!AV36</f>
        <v>0.78064999999999996</v>
      </c>
      <c r="AW5" s="287">
        <f>-SUM([2]B5!AI5)</f>
        <v>0</v>
      </c>
      <c r="AX5" s="287">
        <f>-SUM(AW5-AS5)</f>
        <v>-5213.5161290322503</v>
      </c>
      <c r="AY5" s="118">
        <f>'General information '!B5</f>
        <v>0</v>
      </c>
      <c r="AZ5" s="495">
        <f>[2]tanks!AZ36</f>
        <v>0</v>
      </c>
      <c r="BA5" s="118">
        <f>'General information '!D5</f>
        <v>0</v>
      </c>
      <c r="BB5" s="495">
        <f>[2]tanks!BB36</f>
        <v>0.72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44409</v>
      </c>
      <c r="B6" s="522">
        <f>'B5'!B5</f>
        <v>125</v>
      </c>
      <c r="C6" s="203">
        <f>B6*$B$4</f>
        <v>2689.516129032258</v>
      </c>
      <c r="D6">
        <f>SUM(B6)</f>
        <v>125</v>
      </c>
      <c r="E6" s="203">
        <f>D6*$B$4</f>
        <v>2689.516129032258</v>
      </c>
      <c r="F6">
        <f>SUM(D6)</f>
        <v>125</v>
      </c>
      <c r="G6" s="203">
        <f t="shared" ref="G6:G33" si="1">F6*$B$4</f>
        <v>2689.516129032258</v>
      </c>
      <c r="H6" s="203">
        <f>SUM(F6)</f>
        <v>125</v>
      </c>
      <c r="I6" s="203">
        <f t="shared" ref="I6:I33" si="2">H6*$B$4</f>
        <v>2689.516129032258</v>
      </c>
      <c r="J6" s="203">
        <f>SUM(H6)</f>
        <v>125</v>
      </c>
      <c r="K6" s="203">
        <f t="shared" ref="K6:K33" si="3">J6*$B$4</f>
        <v>2689.516129032258</v>
      </c>
      <c r="L6" s="203">
        <f>SUM(J6)</f>
        <v>125</v>
      </c>
      <c r="M6" s="203">
        <f t="shared" ref="M6:M33" si="4">L6*$B$4</f>
        <v>2689.516129032258</v>
      </c>
      <c r="N6" s="203">
        <f>SUM(L6)</f>
        <v>125</v>
      </c>
      <c r="O6" s="203">
        <f t="shared" ref="O6:O33" si="5">N6*$B$4</f>
        <v>2689.516129032258</v>
      </c>
      <c r="P6" s="203">
        <f>SUM(N6)</f>
        <v>125</v>
      </c>
      <c r="Q6" s="203">
        <f t="shared" ref="Q6:Q33" si="6">P6*$B$4</f>
        <v>2689.516129032258</v>
      </c>
      <c r="R6" s="203">
        <f>SUM(P6)</f>
        <v>125</v>
      </c>
      <c r="S6" s="203">
        <f t="shared" ref="S6:S33" si="7">R6*$B$4</f>
        <v>2689.516129032258</v>
      </c>
      <c r="T6" s="203">
        <f>SUM(R6)</f>
        <v>125</v>
      </c>
      <c r="U6" s="203">
        <f t="shared" ref="U6:U33" si="8">T6*$B$4</f>
        <v>2689.516129032258</v>
      </c>
      <c r="V6" s="203">
        <f>SUM(T6)</f>
        <v>125</v>
      </c>
      <c r="W6" s="203">
        <f t="shared" ref="W6:W33" si="9">V6*$B$4</f>
        <v>2689.516129032258</v>
      </c>
      <c r="X6" s="35">
        <f t="shared" ref="X6:X29" si="10">SUM(Y6/73370)</f>
        <v>0.40322580645161288</v>
      </c>
      <c r="Y6" s="36">
        <f>SUM(C6+E6+G6+I6+K6+M6+O6+Q6+S6+U6+W6)</f>
        <v>29584.677419354837</v>
      </c>
      <c r="Z6" s="203">
        <f>'B5'!C5</f>
        <v>132</v>
      </c>
      <c r="AA6" s="203">
        <f>SUM(Z6*$Z$4)</f>
        <v>1320</v>
      </c>
      <c r="AB6" s="203">
        <f>SUM(Z6)</f>
        <v>132</v>
      </c>
      <c r="AC6" s="203">
        <f>SUM(AB6*$Z$4)</f>
        <v>1320</v>
      </c>
      <c r="AD6" s="203">
        <f>SUM(AB6)</f>
        <v>132</v>
      </c>
      <c r="AE6" s="203">
        <f t="shared" ref="AE6:AE33" si="11">SUM(AD6*$Z$4)</f>
        <v>1320</v>
      </c>
      <c r="AF6" s="203">
        <f>SUM(AD6)</f>
        <v>132</v>
      </c>
      <c r="AG6" s="203">
        <f t="shared" ref="AG6:AG33" si="12">SUM(AF6*$Z$4)</f>
        <v>1320</v>
      </c>
      <c r="AH6" s="203">
        <f>SUM(AF6)</f>
        <v>132</v>
      </c>
      <c r="AI6" s="203">
        <f t="shared" ref="AI6:AI33" si="13">SUM(AH6*$Z$4)</f>
        <v>1320</v>
      </c>
      <c r="AJ6" s="203">
        <f>SUM(AH6)</f>
        <v>132</v>
      </c>
      <c r="AK6" s="203">
        <f t="shared" ref="AK6:AK33" si="14">SUM(AJ6*$Z$4)</f>
        <v>1320</v>
      </c>
      <c r="AL6" s="203">
        <f>SUM(AJ6)</f>
        <v>132</v>
      </c>
      <c r="AM6" s="203">
        <f t="shared" ref="AM6:AM33" si="15">SUM(AL6*$Z$4)</f>
        <v>1320</v>
      </c>
      <c r="AN6" s="35">
        <f t="shared" ref="AN6:AN29" si="16">SUM(AO6/19600)</f>
        <v>0.47142857142857142</v>
      </c>
      <c r="AO6" s="36">
        <f t="shared" ref="AO6:AO29" si="17">SUM(AA6+AC6+AE6+AG6+AI6+AK6+AM6)</f>
        <v>9240</v>
      </c>
      <c r="AQ6" s="223">
        <f>SUM(AR6/92970)</f>
        <v>0.41760436075459645</v>
      </c>
      <c r="AR6" s="38">
        <f t="shared" ref="AR6" si="18">Y6+AO6</f>
        <v>38824.677419354834</v>
      </c>
      <c r="AS6" s="197">
        <f>SUM(AR6-AR5-AT6)</f>
        <v>-4906.838709677424</v>
      </c>
      <c r="AT6" s="351"/>
      <c r="AU6" s="608"/>
      <c r="AV6" s="508">
        <f>IF(AT6&gt;0,AU6,AV5)</f>
        <v>0.78064999999999996</v>
      </c>
      <c r="AW6" s="287">
        <f>-SUM('B5'!AI5)</f>
        <v>-43</v>
      </c>
      <c r="AX6" s="287">
        <f t="shared" ref="AX6:AX35" si="19">-SUM(AW6-AS6)</f>
        <v>-4863.838709677424</v>
      </c>
      <c r="AY6" s="37">
        <f>SUM(AX6+AW6)</f>
        <v>-4906.838709677424</v>
      </c>
      <c r="AZ6" s="100">
        <f>ELEC!A4</f>
        <v>0</v>
      </c>
      <c r="BA6" s="118">
        <f>'General information '!D6</f>
        <v>29</v>
      </c>
      <c r="BB6" s="277">
        <f>SUM('General information '!E6)</f>
        <v>0.74</v>
      </c>
      <c r="BC6" s="3">
        <f>IF(AR3&gt;=AR6,0,1)</f>
        <v>0</v>
      </c>
      <c r="BD6" s="102">
        <v>19222</v>
      </c>
      <c r="BE6" s="14">
        <f>(305/1185)*ELEC!Q5</f>
        <v>3385.3713080174098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-405.31989247311867</v>
      </c>
      <c r="BK6" s="573">
        <f>GEN!AF3</f>
        <v>0.49240131578938562</v>
      </c>
    </row>
    <row r="7" spans="1:63">
      <c r="A7" s="439">
        <f>ELEC!C5</f>
        <v>44410</v>
      </c>
      <c r="B7">
        <f>'B5'!B6</f>
        <v>134</v>
      </c>
      <c r="C7" s="203">
        <f t="shared" ref="C7:E33" si="20">B7*$B$4</f>
        <v>2883.1612903225805</v>
      </c>
      <c r="D7">
        <f t="shared" ref="D7:D29" si="21">SUM(B7)</f>
        <v>134</v>
      </c>
      <c r="E7" s="203">
        <f t="shared" si="20"/>
        <v>2883.1612903225805</v>
      </c>
      <c r="F7">
        <f t="shared" ref="F7:F29" si="22">SUM(D7)</f>
        <v>134</v>
      </c>
      <c r="G7" s="203">
        <f t="shared" si="1"/>
        <v>2883.1612903225805</v>
      </c>
      <c r="H7" s="203">
        <f t="shared" ref="H7:H29" si="23">SUM(F7)</f>
        <v>134</v>
      </c>
      <c r="I7" s="203">
        <f t="shared" si="2"/>
        <v>2883.1612903225805</v>
      </c>
      <c r="J7" s="203">
        <f t="shared" ref="J7:J29" si="24">SUM(H7)</f>
        <v>134</v>
      </c>
      <c r="K7" s="203">
        <f t="shared" si="3"/>
        <v>2883.1612903225805</v>
      </c>
      <c r="L7" s="203">
        <f t="shared" ref="L7:L29" si="25">SUM(J7)</f>
        <v>134</v>
      </c>
      <c r="M7" s="203">
        <f t="shared" si="4"/>
        <v>2883.1612903225805</v>
      </c>
      <c r="N7" s="203">
        <f t="shared" ref="N7:N29" si="26">SUM(L7)</f>
        <v>134</v>
      </c>
      <c r="O7" s="203">
        <f t="shared" si="5"/>
        <v>2883.1612903225805</v>
      </c>
      <c r="P7" s="203">
        <f t="shared" ref="P7:P29" si="27">SUM(N7)</f>
        <v>134</v>
      </c>
      <c r="Q7" s="203">
        <f t="shared" si="6"/>
        <v>2883.1612903225805</v>
      </c>
      <c r="R7" s="203">
        <f t="shared" ref="R7:R29" si="28">SUM(P7)</f>
        <v>134</v>
      </c>
      <c r="S7" s="203">
        <f t="shared" si="7"/>
        <v>2883.1612903225805</v>
      </c>
      <c r="T7" s="203">
        <f t="shared" ref="T7:T29" si="29">SUM(R7)</f>
        <v>134</v>
      </c>
      <c r="U7" s="203">
        <f t="shared" si="8"/>
        <v>2883.1612903225805</v>
      </c>
      <c r="V7" s="203">
        <f t="shared" ref="V7:V29" si="30">SUM(T7)</f>
        <v>134</v>
      </c>
      <c r="W7" s="203">
        <f t="shared" si="9"/>
        <v>2883.1612903225805</v>
      </c>
      <c r="X7" s="35">
        <f t="shared" si="10"/>
        <v>0.43225806451612891</v>
      </c>
      <c r="Y7" s="36">
        <f t="shared" ref="Y7:Y29" si="31">SUM(C7+E7+G7+I7+K7+M7+O7+Q7+S7+U7+W7)</f>
        <v>31714.774193548379</v>
      </c>
      <c r="Z7" s="203">
        <f>'B5'!C6</f>
        <v>141</v>
      </c>
      <c r="AA7" s="203">
        <f t="shared" ref="AA7:AC33" si="32">SUM(Z7*$Z$4)</f>
        <v>1410</v>
      </c>
      <c r="AB7" s="203">
        <f t="shared" ref="AB7:AB29" si="33">SUM(Z7)</f>
        <v>141</v>
      </c>
      <c r="AC7" s="203">
        <f t="shared" si="32"/>
        <v>1410</v>
      </c>
      <c r="AD7" s="203">
        <f t="shared" ref="AD7:AD29" si="34">SUM(AB7)</f>
        <v>141</v>
      </c>
      <c r="AE7" s="203">
        <f t="shared" si="11"/>
        <v>1410</v>
      </c>
      <c r="AF7" s="203">
        <f t="shared" ref="AF7:AF29" si="35">SUM(AD7)</f>
        <v>141</v>
      </c>
      <c r="AG7" s="203">
        <f t="shared" si="12"/>
        <v>1410</v>
      </c>
      <c r="AH7" s="203">
        <f t="shared" ref="AH7:AH29" si="36">SUM(AF7)</f>
        <v>141</v>
      </c>
      <c r="AI7" s="203">
        <f t="shared" si="13"/>
        <v>1410</v>
      </c>
      <c r="AJ7" s="203">
        <f t="shared" ref="AJ7:AJ29" si="37">SUM(AH7)</f>
        <v>141</v>
      </c>
      <c r="AK7" s="203">
        <f t="shared" si="14"/>
        <v>1410</v>
      </c>
      <c r="AL7" s="203">
        <f t="shared" ref="AL7:AL29" si="38">SUM(AJ7)</f>
        <v>141</v>
      </c>
      <c r="AM7" s="203">
        <f t="shared" si="15"/>
        <v>1410</v>
      </c>
      <c r="AN7" s="35">
        <f t="shared" si="16"/>
        <v>0.50357142857142856</v>
      </c>
      <c r="AO7" s="36">
        <f>SUM(AA7+AC7+AE7+AG7+AI7+AK7+AM7)</f>
        <v>9870</v>
      </c>
      <c r="AQ7" s="223">
        <f t="shared" ref="AQ7:AQ33" si="39">SUM(AR7/92970)</f>
        <v>0.44729239747820132</v>
      </c>
      <c r="AR7" s="38">
        <f>Y7+AO7</f>
        <v>41584.774193548379</v>
      </c>
      <c r="AS7" s="197">
        <f>SUM(AR7-AR6-AT7)</f>
        <v>-2439.9032258064544</v>
      </c>
      <c r="AT7" s="351">
        <v>5200</v>
      </c>
      <c r="AU7" s="608">
        <v>1.17</v>
      </c>
      <c r="AV7" s="508">
        <f>IF(AT7&gt;0,AU7,AV6)</f>
        <v>1.17</v>
      </c>
      <c r="AW7" s="287">
        <f>-SUM('B5'!AI6)</f>
        <v>0</v>
      </c>
      <c r="AX7" s="287">
        <f t="shared" si="19"/>
        <v>-2439.9032258064544</v>
      </c>
      <c r="AY7" s="37">
        <f t="shared" ref="AY7:AY33" si="40">SUM(AX7+AW7)</f>
        <v>-2439.9032258064544</v>
      </c>
      <c r="AZ7" s="100">
        <f>ELEC!A5</f>
        <v>0</v>
      </c>
      <c r="BA7" s="118">
        <f>'General information '!D7</f>
        <v>28.5</v>
      </c>
      <c r="BB7" s="390">
        <f>SUM('General information '!E7)</f>
        <v>0.75</v>
      </c>
      <c r="BC7" s="3">
        <v>0</v>
      </c>
      <c r="BD7" s="102">
        <v>19222</v>
      </c>
      <c r="BE7" s="14">
        <f>(305/1185)*ELEC!Q6</f>
        <v>3231.7130801689041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-162.66021505376364</v>
      </c>
      <c r="BK7" s="573">
        <f>GEN!AF4</f>
        <v>0.45670138888896061</v>
      </c>
    </row>
    <row r="8" spans="1:63">
      <c r="A8" s="439">
        <f>ELEC!C6</f>
        <v>44411</v>
      </c>
      <c r="B8">
        <f>'B5'!B7</f>
        <v>118</v>
      </c>
      <c r="C8" s="203">
        <f t="shared" si="20"/>
        <v>2538.9032258064517</v>
      </c>
      <c r="D8">
        <f t="shared" si="21"/>
        <v>118</v>
      </c>
      <c r="E8" s="203">
        <f t="shared" si="20"/>
        <v>2538.9032258064517</v>
      </c>
      <c r="F8">
        <f t="shared" si="22"/>
        <v>118</v>
      </c>
      <c r="G8" s="203">
        <f t="shared" si="1"/>
        <v>2538.9032258064517</v>
      </c>
      <c r="H8" s="203">
        <f t="shared" si="23"/>
        <v>118</v>
      </c>
      <c r="I8" s="203">
        <f t="shared" si="2"/>
        <v>2538.9032258064517</v>
      </c>
      <c r="J8" s="203">
        <f t="shared" si="24"/>
        <v>118</v>
      </c>
      <c r="K8" s="203">
        <f t="shared" si="3"/>
        <v>2538.9032258064517</v>
      </c>
      <c r="L8" s="203">
        <f t="shared" si="25"/>
        <v>118</v>
      </c>
      <c r="M8" s="203">
        <f t="shared" si="4"/>
        <v>2538.9032258064517</v>
      </c>
      <c r="N8" s="203">
        <f t="shared" si="26"/>
        <v>118</v>
      </c>
      <c r="O8" s="203">
        <f t="shared" si="5"/>
        <v>2538.9032258064517</v>
      </c>
      <c r="P8" s="203">
        <f t="shared" si="27"/>
        <v>118</v>
      </c>
      <c r="Q8" s="203">
        <f t="shared" si="6"/>
        <v>2538.9032258064517</v>
      </c>
      <c r="R8" s="203">
        <f t="shared" si="28"/>
        <v>118</v>
      </c>
      <c r="S8" s="203">
        <f t="shared" si="7"/>
        <v>2538.9032258064517</v>
      </c>
      <c r="T8" s="203">
        <f t="shared" si="29"/>
        <v>118</v>
      </c>
      <c r="U8" s="203">
        <f t="shared" si="8"/>
        <v>2538.9032258064517</v>
      </c>
      <c r="V8" s="203">
        <f t="shared" si="30"/>
        <v>118</v>
      </c>
      <c r="W8" s="203">
        <f t="shared" si="9"/>
        <v>2538.9032258064517</v>
      </c>
      <c r="X8" s="35">
        <f t="shared" si="10"/>
        <v>0.3806451612903225</v>
      </c>
      <c r="Y8" s="36">
        <f t="shared" si="31"/>
        <v>27927.935483870962</v>
      </c>
      <c r="Z8" s="203">
        <f>'B5'!C7</f>
        <v>125.5</v>
      </c>
      <c r="AA8" s="203">
        <f t="shared" si="32"/>
        <v>1255</v>
      </c>
      <c r="AB8" s="203">
        <f t="shared" si="33"/>
        <v>125.5</v>
      </c>
      <c r="AC8" s="203">
        <f t="shared" si="32"/>
        <v>1255</v>
      </c>
      <c r="AD8" s="203">
        <f t="shared" si="34"/>
        <v>125.5</v>
      </c>
      <c r="AE8" s="203">
        <f t="shared" si="11"/>
        <v>1255</v>
      </c>
      <c r="AF8" s="203">
        <f t="shared" si="35"/>
        <v>125.5</v>
      </c>
      <c r="AG8" s="203">
        <f t="shared" si="12"/>
        <v>1255</v>
      </c>
      <c r="AH8" s="203">
        <f t="shared" si="36"/>
        <v>125.5</v>
      </c>
      <c r="AI8" s="203">
        <f t="shared" si="13"/>
        <v>1255</v>
      </c>
      <c r="AJ8" s="203">
        <f t="shared" si="37"/>
        <v>125.5</v>
      </c>
      <c r="AK8" s="203">
        <f t="shared" si="14"/>
        <v>1255</v>
      </c>
      <c r="AL8" s="203">
        <f t="shared" si="38"/>
        <v>125.5</v>
      </c>
      <c r="AM8" s="203">
        <f t="shared" si="15"/>
        <v>1255</v>
      </c>
      <c r="AN8" s="35">
        <f t="shared" si="16"/>
        <v>0.44821428571428573</v>
      </c>
      <c r="AO8" s="36">
        <f t="shared" si="17"/>
        <v>8785</v>
      </c>
      <c r="AQ8" s="223">
        <f t="shared" si="39"/>
        <v>0.39489013105163989</v>
      </c>
      <c r="AR8" s="38">
        <f>Y8+AO8</f>
        <v>36712.935483870962</v>
      </c>
      <c r="AS8" s="197">
        <f t="shared" ref="AS8:AS15" si="42">SUM(AR8-AR7-AT8)</f>
        <v>-4871.8387096774168</v>
      </c>
      <c r="AT8" s="351"/>
      <c r="AU8" s="608"/>
      <c r="AV8" s="508">
        <f t="shared" ref="AV8:AV31" si="43">IF(AT8&gt;0,AU8,AV7)</f>
        <v>1.17</v>
      </c>
      <c r="AW8" s="287">
        <f>-SUM('B5'!AI7)</f>
        <v>0</v>
      </c>
      <c r="AX8" s="287">
        <f t="shared" si="19"/>
        <v>-4871.8387096774168</v>
      </c>
      <c r="AY8" s="37">
        <f t="shared" si="40"/>
        <v>-4871.8387096774168</v>
      </c>
      <c r="AZ8" s="100">
        <f>ELEC!A6</f>
        <v>0</v>
      </c>
      <c r="BA8" s="118">
        <f>'General information '!D8</f>
        <v>28.5</v>
      </c>
      <c r="BB8" s="390">
        <f>SUM('General information '!E8)</f>
        <v>0.75</v>
      </c>
      <c r="BC8" s="3">
        <f t="shared" ref="BC8:BC33" si="44">IF(AR7&gt;=AR8,0,1)</f>
        <v>0</v>
      </c>
      <c r="BD8" s="102">
        <v>19222</v>
      </c>
      <c r="BE8" s="14">
        <f>(305/1185)*ELEC!Q7</f>
        <v>4260.4767932489158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-541.3154121863796</v>
      </c>
      <c r="BK8" s="573">
        <f>GEN!AF5</f>
        <v>0.49046875000001933</v>
      </c>
    </row>
    <row r="9" spans="1:63">
      <c r="A9" s="439">
        <f>ELEC!C7</f>
        <v>44412</v>
      </c>
      <c r="B9">
        <f>'B5'!B8</f>
        <v>101</v>
      </c>
      <c r="C9" s="203">
        <f t="shared" si="20"/>
        <v>2173.1290322580644</v>
      </c>
      <c r="D9">
        <f t="shared" si="21"/>
        <v>101</v>
      </c>
      <c r="E9" s="203">
        <f t="shared" si="20"/>
        <v>2173.1290322580644</v>
      </c>
      <c r="F9">
        <f t="shared" si="22"/>
        <v>101</v>
      </c>
      <c r="G9" s="203">
        <f t="shared" si="1"/>
        <v>2173.1290322580644</v>
      </c>
      <c r="H9" s="203">
        <f t="shared" si="23"/>
        <v>101</v>
      </c>
      <c r="I9" s="203">
        <f t="shared" si="2"/>
        <v>2173.1290322580644</v>
      </c>
      <c r="J9" s="203">
        <f t="shared" si="24"/>
        <v>101</v>
      </c>
      <c r="K9" s="203">
        <f t="shared" si="3"/>
        <v>2173.1290322580644</v>
      </c>
      <c r="L9" s="203">
        <f t="shared" si="25"/>
        <v>101</v>
      </c>
      <c r="M9" s="203">
        <f t="shared" si="4"/>
        <v>2173.1290322580644</v>
      </c>
      <c r="N9" s="203">
        <f t="shared" si="26"/>
        <v>101</v>
      </c>
      <c r="O9" s="203">
        <f t="shared" si="5"/>
        <v>2173.1290322580644</v>
      </c>
      <c r="P9" s="203">
        <f t="shared" si="27"/>
        <v>101</v>
      </c>
      <c r="Q9" s="203">
        <f t="shared" si="6"/>
        <v>2173.1290322580644</v>
      </c>
      <c r="R9" s="203">
        <f t="shared" si="28"/>
        <v>101</v>
      </c>
      <c r="S9" s="203">
        <f t="shared" si="7"/>
        <v>2173.1290322580644</v>
      </c>
      <c r="T9" s="203">
        <f t="shared" si="29"/>
        <v>101</v>
      </c>
      <c r="U9" s="203">
        <f t="shared" si="8"/>
        <v>2173.1290322580644</v>
      </c>
      <c r="V9" s="203">
        <f t="shared" si="30"/>
        <v>101</v>
      </c>
      <c r="W9" s="203">
        <f t="shared" si="9"/>
        <v>2173.1290322580644</v>
      </c>
      <c r="X9" s="35">
        <f t="shared" si="10"/>
        <v>0.32580645161290323</v>
      </c>
      <c r="Y9" s="36">
        <f t="shared" si="31"/>
        <v>23904.419354838708</v>
      </c>
      <c r="Z9" s="203">
        <f>'B5'!C8</f>
        <v>108</v>
      </c>
      <c r="AA9" s="203">
        <f t="shared" si="32"/>
        <v>1080</v>
      </c>
      <c r="AB9" s="203">
        <f t="shared" si="33"/>
        <v>108</v>
      </c>
      <c r="AC9" s="203">
        <f t="shared" si="32"/>
        <v>1080</v>
      </c>
      <c r="AD9" s="203">
        <f t="shared" si="34"/>
        <v>108</v>
      </c>
      <c r="AE9" s="203">
        <f t="shared" si="11"/>
        <v>1080</v>
      </c>
      <c r="AF9" s="203">
        <f t="shared" si="35"/>
        <v>108</v>
      </c>
      <c r="AG9" s="203">
        <f t="shared" si="12"/>
        <v>1080</v>
      </c>
      <c r="AH9" s="203">
        <f t="shared" si="36"/>
        <v>108</v>
      </c>
      <c r="AI9" s="203">
        <f t="shared" si="13"/>
        <v>1080</v>
      </c>
      <c r="AJ9" s="203">
        <f t="shared" si="37"/>
        <v>108</v>
      </c>
      <c r="AK9" s="203">
        <f t="shared" si="14"/>
        <v>1080</v>
      </c>
      <c r="AL9" s="203">
        <f t="shared" si="38"/>
        <v>108</v>
      </c>
      <c r="AM9" s="203">
        <f t="shared" si="15"/>
        <v>1080</v>
      </c>
      <c r="AN9" s="35">
        <f t="shared" si="16"/>
        <v>0.38571428571428573</v>
      </c>
      <c r="AO9" s="36">
        <f>SUM(AA9+AC9+AE9+AG9+AI9+AK9+AM9)</f>
        <v>7560</v>
      </c>
      <c r="AQ9" s="223">
        <f t="shared" si="39"/>
        <v>0.3384362628249834</v>
      </c>
      <c r="AR9" s="38">
        <f t="shared" ref="AR9:AR36" si="45">Y9+AO9</f>
        <v>31464.419354838708</v>
      </c>
      <c r="AS9" s="197">
        <f t="shared" si="42"/>
        <v>-5248.516129032254</v>
      </c>
      <c r="AT9" s="351"/>
      <c r="AU9" s="608"/>
      <c r="AV9" s="508">
        <f t="shared" si="43"/>
        <v>1.17</v>
      </c>
      <c r="AW9" s="287">
        <f>-SUM('B5'!AI8)</f>
        <v>-56</v>
      </c>
      <c r="AX9" s="287">
        <f t="shared" si="19"/>
        <v>-5192.516129032254</v>
      </c>
      <c r="AY9" s="37">
        <f t="shared" si="40"/>
        <v>-5248.516129032254</v>
      </c>
      <c r="AZ9" s="100">
        <f>ELEC!A7</f>
        <v>0</v>
      </c>
      <c r="BA9" s="118">
        <f>'General information '!D9</f>
        <v>30</v>
      </c>
      <c r="BB9" s="390">
        <f>SUM('General information '!E9)</f>
        <v>0.73</v>
      </c>
      <c r="BC9" s="3">
        <f t="shared" si="44"/>
        <v>0</v>
      </c>
      <c r="BD9" s="102">
        <v>19222</v>
      </c>
      <c r="BE9" s="14">
        <f>(305/1185)*ELEC!Q8</f>
        <v>3405.7046413502039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-865.41935483870895</v>
      </c>
      <c r="BK9" s="573">
        <f>GEN!AF6</f>
        <v>0.39790865384615104</v>
      </c>
    </row>
    <row r="10" spans="1:63">
      <c r="A10" s="439">
        <f>ELEC!C8</f>
        <v>44413</v>
      </c>
      <c r="B10">
        <f>'B5'!B9</f>
        <v>87</v>
      </c>
      <c r="C10" s="203">
        <f t="shared" si="20"/>
        <v>1871.9032258064515</v>
      </c>
      <c r="D10">
        <f t="shared" si="21"/>
        <v>87</v>
      </c>
      <c r="E10" s="203">
        <f t="shared" si="20"/>
        <v>1871.9032258064515</v>
      </c>
      <c r="F10">
        <f t="shared" si="22"/>
        <v>87</v>
      </c>
      <c r="G10" s="203">
        <f t="shared" si="1"/>
        <v>1871.9032258064515</v>
      </c>
      <c r="H10" s="203">
        <f t="shared" si="23"/>
        <v>87</v>
      </c>
      <c r="I10" s="203">
        <f t="shared" si="2"/>
        <v>1871.9032258064515</v>
      </c>
      <c r="J10" s="203">
        <f t="shared" si="24"/>
        <v>87</v>
      </c>
      <c r="K10" s="203">
        <f t="shared" si="3"/>
        <v>1871.9032258064515</v>
      </c>
      <c r="L10" s="203">
        <f t="shared" si="25"/>
        <v>87</v>
      </c>
      <c r="M10" s="203">
        <f t="shared" si="4"/>
        <v>1871.9032258064515</v>
      </c>
      <c r="N10" s="203">
        <f t="shared" si="26"/>
        <v>87</v>
      </c>
      <c r="O10" s="203">
        <f t="shared" si="5"/>
        <v>1871.9032258064515</v>
      </c>
      <c r="P10" s="203">
        <f t="shared" si="27"/>
        <v>87</v>
      </c>
      <c r="Q10" s="203">
        <f t="shared" si="6"/>
        <v>1871.9032258064515</v>
      </c>
      <c r="R10" s="203">
        <f t="shared" si="28"/>
        <v>87</v>
      </c>
      <c r="S10" s="203">
        <f t="shared" si="7"/>
        <v>1871.9032258064515</v>
      </c>
      <c r="T10" s="203">
        <f t="shared" si="29"/>
        <v>87</v>
      </c>
      <c r="U10" s="203">
        <f t="shared" si="8"/>
        <v>1871.9032258064515</v>
      </c>
      <c r="V10" s="203">
        <f t="shared" si="30"/>
        <v>87</v>
      </c>
      <c r="W10" s="203">
        <f t="shared" si="9"/>
        <v>1871.9032258064515</v>
      </c>
      <c r="X10" s="35">
        <f t="shared" si="10"/>
        <v>0.28064516129032252</v>
      </c>
      <c r="Y10" s="36">
        <f t="shared" si="31"/>
        <v>20590.935483870962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0.29225487236604242</v>
      </c>
      <c r="AR10" s="38">
        <f t="shared" si="45"/>
        <v>27170.935483870962</v>
      </c>
      <c r="AS10" s="197">
        <f t="shared" si="42"/>
        <v>-4293.483870967746</v>
      </c>
      <c r="AT10" s="351"/>
      <c r="AU10" s="608"/>
      <c r="AV10" s="508">
        <f>IF(AT10&gt;0,AU10,AV9)</f>
        <v>1.17</v>
      </c>
      <c r="AW10" s="287">
        <f>-SUM('B5'!AI9)</f>
        <v>-209</v>
      </c>
      <c r="AX10" s="287">
        <f t="shared" si="19"/>
        <v>-4084.483870967746</v>
      </c>
      <c r="AY10" s="37">
        <f t="shared" si="40"/>
        <v>-4293.483870967746</v>
      </c>
      <c r="AZ10" s="100">
        <f>ELEC!A8</f>
        <v>0</v>
      </c>
      <c r="BA10" s="118">
        <f>'General information '!D10</f>
        <v>29.5</v>
      </c>
      <c r="BB10" s="390">
        <f>SUM('General information '!E10)</f>
        <v>0.75</v>
      </c>
      <c r="BC10" s="3">
        <f t="shared" si="44"/>
        <v>0</v>
      </c>
      <c r="BD10" s="102">
        <v>19222</v>
      </c>
      <c r="BE10" s="14">
        <f>(305/1185)*ELEC!Q9</f>
        <v>4177.8565400843809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-583.49769585253512</v>
      </c>
      <c r="BK10" s="573">
        <f>GEN!AF7</f>
        <v>0.55133333333333212</v>
      </c>
    </row>
    <row r="11" spans="1:63">
      <c r="A11" s="439">
        <f>ELEC!C9</f>
        <v>44414</v>
      </c>
      <c r="B11">
        <f>'B5'!B10</f>
        <v>96</v>
      </c>
      <c r="C11" s="203">
        <f t="shared" si="20"/>
        <v>2065.5483870967741</v>
      </c>
      <c r="D11">
        <f>SUM(B11)</f>
        <v>96</v>
      </c>
      <c r="E11" s="203">
        <f t="shared" si="20"/>
        <v>2065.5483870967741</v>
      </c>
      <c r="F11">
        <f>SUM(D11)</f>
        <v>96</v>
      </c>
      <c r="G11" s="203">
        <f t="shared" si="1"/>
        <v>2065.5483870967741</v>
      </c>
      <c r="H11" s="203">
        <f>SUM(F11)</f>
        <v>96</v>
      </c>
      <c r="I11" s="203">
        <f t="shared" si="2"/>
        <v>2065.5483870967741</v>
      </c>
      <c r="J11" s="203">
        <f>SUM(H11)</f>
        <v>96</v>
      </c>
      <c r="K11" s="203">
        <f t="shared" si="3"/>
        <v>2065.5483870967741</v>
      </c>
      <c r="L11" s="203">
        <f>SUM(J11)</f>
        <v>96</v>
      </c>
      <c r="M11" s="203">
        <f t="shared" si="4"/>
        <v>2065.5483870967741</v>
      </c>
      <c r="N11" s="203">
        <f>SUM(L11)</f>
        <v>96</v>
      </c>
      <c r="O11" s="203">
        <f t="shared" si="5"/>
        <v>2065.5483870967741</v>
      </c>
      <c r="P11" s="203">
        <f>SUM(N11)</f>
        <v>96</v>
      </c>
      <c r="Q11" s="203">
        <f t="shared" si="6"/>
        <v>2065.5483870967741</v>
      </c>
      <c r="R11" s="203">
        <f>SUM(P11)</f>
        <v>96</v>
      </c>
      <c r="S11" s="203">
        <f t="shared" si="7"/>
        <v>2065.5483870967741</v>
      </c>
      <c r="T11" s="203">
        <f>SUM(R11)</f>
        <v>96</v>
      </c>
      <c r="U11" s="203">
        <f t="shared" si="8"/>
        <v>2065.5483870967741</v>
      </c>
      <c r="V11" s="203">
        <f>SUM(T11)</f>
        <v>96</v>
      </c>
      <c r="W11" s="203">
        <f t="shared" si="9"/>
        <v>2065.5483870967741</v>
      </c>
      <c r="X11" s="35">
        <f>SUM(Y11/73370)</f>
        <v>0.30967741935483867</v>
      </c>
      <c r="Y11" s="36">
        <f>SUM(C11+E11+G11+I11+K11+M11+O11+Q11+S11+U11+W11)</f>
        <v>22721.032258064512</v>
      </c>
      <c r="Z11" s="203">
        <f>'B5'!C10</f>
        <v>103</v>
      </c>
      <c r="AA11" s="203">
        <f t="shared" si="32"/>
        <v>1030</v>
      </c>
      <c r="AB11" s="203">
        <f>SUM(Z11)</f>
        <v>103</v>
      </c>
      <c r="AC11" s="203">
        <f t="shared" si="32"/>
        <v>1030</v>
      </c>
      <c r="AD11" s="203">
        <f>SUM(AB11)</f>
        <v>103</v>
      </c>
      <c r="AE11" s="203">
        <f t="shared" si="11"/>
        <v>1030</v>
      </c>
      <c r="AF11" s="203">
        <f>SUM(AD11)</f>
        <v>103</v>
      </c>
      <c r="AG11" s="203">
        <f t="shared" si="12"/>
        <v>1030</v>
      </c>
      <c r="AH11" s="203">
        <f>SUM(AF11)</f>
        <v>103</v>
      </c>
      <c r="AI11" s="203">
        <f t="shared" si="13"/>
        <v>1030</v>
      </c>
      <c r="AJ11" s="203">
        <f>SUM(AH11)</f>
        <v>103</v>
      </c>
      <c r="AK11" s="203">
        <f t="shared" si="14"/>
        <v>1030</v>
      </c>
      <c r="AL11" s="203">
        <f>SUM(AJ11)</f>
        <v>103</v>
      </c>
      <c r="AM11" s="203">
        <f t="shared" si="15"/>
        <v>1030</v>
      </c>
      <c r="AN11" s="35">
        <f>SUM(AO11/19600)</f>
        <v>0.36785714285714288</v>
      </c>
      <c r="AO11" s="36">
        <f t="shared" si="17"/>
        <v>7210</v>
      </c>
      <c r="AP11" s="550"/>
      <c r="AQ11" s="223">
        <f t="shared" si="39"/>
        <v>0.32194290908964734</v>
      </c>
      <c r="AR11" s="38">
        <f t="shared" si="45"/>
        <v>29931.032258064512</v>
      </c>
      <c r="AS11" s="197">
        <f t="shared" si="42"/>
        <v>-2174.9032258064508</v>
      </c>
      <c r="AT11" s="351">
        <v>4935</v>
      </c>
      <c r="AU11" s="608">
        <v>2.89</v>
      </c>
      <c r="AV11" s="508">
        <f>IF(AT11&gt;0,AU11,AV10)</f>
        <v>2.89</v>
      </c>
      <c r="AW11" s="287">
        <f>-SUM('B5'!AI10)</f>
        <v>0</v>
      </c>
      <c r="AX11" s="287">
        <f t="shared" si="19"/>
        <v>-2174.9032258064508</v>
      </c>
      <c r="AY11" s="37">
        <f t="shared" si="40"/>
        <v>-2174.9032258064508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-233.86056191469044</v>
      </c>
      <c r="BK11" s="573">
        <f>GEN!AF8</f>
        <v>0.48309523809523724</v>
      </c>
    </row>
    <row r="12" spans="1:63">
      <c r="A12" s="439">
        <f>ELEC!C10</f>
        <v>44415</v>
      </c>
      <c r="B12">
        <f>'B5'!B11</f>
        <v>96</v>
      </c>
      <c r="C12" s="203">
        <f t="shared" si="20"/>
        <v>2065.5483870967741</v>
      </c>
      <c r="D12">
        <f t="shared" si="21"/>
        <v>96</v>
      </c>
      <c r="E12" s="203">
        <f t="shared" si="20"/>
        <v>2065.5483870967741</v>
      </c>
      <c r="F12">
        <f t="shared" si="22"/>
        <v>96</v>
      </c>
      <c r="G12" s="203">
        <f t="shared" si="1"/>
        <v>2065.5483870967741</v>
      </c>
      <c r="H12" s="203">
        <f t="shared" si="23"/>
        <v>96</v>
      </c>
      <c r="I12" s="203">
        <f t="shared" si="2"/>
        <v>2065.5483870967741</v>
      </c>
      <c r="J12" s="203">
        <f t="shared" si="24"/>
        <v>96</v>
      </c>
      <c r="K12" s="203">
        <f t="shared" si="3"/>
        <v>2065.5483870967741</v>
      </c>
      <c r="L12" s="203">
        <f t="shared" si="25"/>
        <v>96</v>
      </c>
      <c r="M12" s="203">
        <f t="shared" si="4"/>
        <v>2065.5483870967741</v>
      </c>
      <c r="N12" s="203">
        <f t="shared" si="26"/>
        <v>96</v>
      </c>
      <c r="O12" s="203">
        <f t="shared" si="5"/>
        <v>2065.5483870967741</v>
      </c>
      <c r="P12" s="203">
        <f t="shared" si="27"/>
        <v>96</v>
      </c>
      <c r="Q12" s="203">
        <f t="shared" si="6"/>
        <v>2065.5483870967741</v>
      </c>
      <c r="R12" s="203">
        <f t="shared" si="28"/>
        <v>96</v>
      </c>
      <c r="S12" s="203">
        <f t="shared" si="7"/>
        <v>2065.5483870967741</v>
      </c>
      <c r="T12" s="203">
        <f t="shared" si="29"/>
        <v>96</v>
      </c>
      <c r="U12" s="203">
        <f t="shared" si="8"/>
        <v>2065.5483870967741</v>
      </c>
      <c r="V12" s="203">
        <f t="shared" si="30"/>
        <v>96</v>
      </c>
      <c r="W12" s="203">
        <f t="shared" si="9"/>
        <v>2065.5483870967741</v>
      </c>
      <c r="X12" s="35">
        <f t="shared" si="10"/>
        <v>0.30967741935483867</v>
      </c>
      <c r="Y12" s="36">
        <f t="shared" si="31"/>
        <v>22721.032258064512</v>
      </c>
      <c r="Z12" s="203">
        <f>'B5'!C11</f>
        <v>103</v>
      </c>
      <c r="AA12" s="203">
        <f t="shared" si="32"/>
        <v>1030</v>
      </c>
      <c r="AB12" s="203">
        <f t="shared" si="33"/>
        <v>103</v>
      </c>
      <c r="AC12" s="203">
        <f t="shared" si="32"/>
        <v>1030</v>
      </c>
      <c r="AD12" s="203">
        <f t="shared" si="34"/>
        <v>103</v>
      </c>
      <c r="AE12" s="203">
        <f t="shared" si="11"/>
        <v>1030</v>
      </c>
      <c r="AF12" s="203">
        <f t="shared" si="35"/>
        <v>103</v>
      </c>
      <c r="AG12" s="203">
        <f t="shared" si="12"/>
        <v>1030</v>
      </c>
      <c r="AH12" s="203">
        <f t="shared" si="36"/>
        <v>103</v>
      </c>
      <c r="AI12" s="203">
        <f t="shared" si="13"/>
        <v>1030</v>
      </c>
      <c r="AJ12" s="203">
        <f t="shared" si="37"/>
        <v>103</v>
      </c>
      <c r="AK12" s="203">
        <f t="shared" si="14"/>
        <v>1030</v>
      </c>
      <c r="AL12" s="203">
        <f t="shared" si="38"/>
        <v>103</v>
      </c>
      <c r="AM12" s="203">
        <f t="shared" si="15"/>
        <v>1030</v>
      </c>
      <c r="AN12" s="35">
        <f t="shared" si="16"/>
        <v>0.36785714285714288</v>
      </c>
      <c r="AO12" s="36">
        <f t="shared" si="17"/>
        <v>7210</v>
      </c>
      <c r="AP12" s="550"/>
      <c r="AQ12" s="223">
        <f t="shared" si="39"/>
        <v>0.32194290908964734</v>
      </c>
      <c r="AR12" s="38">
        <f t="shared" si="45"/>
        <v>29931.032258064512</v>
      </c>
      <c r="AS12" s="197">
        <f t="shared" si="42"/>
        <v>0</v>
      </c>
      <c r="AT12" s="351"/>
      <c r="AU12" s="608"/>
      <c r="AV12" s="508">
        <f t="shared" si="43"/>
        <v>2.89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3" t="e">
        <f>GEN!AF9</f>
        <v>#DIV/0!</v>
      </c>
    </row>
    <row r="13" spans="1:63">
      <c r="A13" s="439">
        <f>ELEC!C11</f>
        <v>44416</v>
      </c>
      <c r="B13">
        <f>'B5'!B12</f>
        <v>96</v>
      </c>
      <c r="C13" s="203">
        <f t="shared" si="20"/>
        <v>2065.5483870967741</v>
      </c>
      <c r="D13">
        <f t="shared" si="21"/>
        <v>96</v>
      </c>
      <c r="E13" s="203">
        <f t="shared" si="20"/>
        <v>2065.5483870967741</v>
      </c>
      <c r="F13">
        <f t="shared" si="22"/>
        <v>96</v>
      </c>
      <c r="G13" s="203">
        <f t="shared" si="1"/>
        <v>2065.5483870967741</v>
      </c>
      <c r="H13" s="203">
        <f t="shared" si="23"/>
        <v>96</v>
      </c>
      <c r="I13" s="203">
        <f t="shared" si="2"/>
        <v>2065.5483870967741</v>
      </c>
      <c r="J13" s="203">
        <f t="shared" si="24"/>
        <v>96</v>
      </c>
      <c r="K13" s="203">
        <f t="shared" si="3"/>
        <v>2065.5483870967741</v>
      </c>
      <c r="L13" s="203">
        <f t="shared" si="25"/>
        <v>96</v>
      </c>
      <c r="M13" s="203">
        <f t="shared" si="4"/>
        <v>2065.5483870967741</v>
      </c>
      <c r="N13" s="203">
        <f t="shared" si="26"/>
        <v>96</v>
      </c>
      <c r="O13" s="203">
        <f t="shared" si="5"/>
        <v>2065.5483870967741</v>
      </c>
      <c r="P13" s="203">
        <f t="shared" si="27"/>
        <v>96</v>
      </c>
      <c r="Q13" s="203">
        <f t="shared" si="6"/>
        <v>2065.5483870967741</v>
      </c>
      <c r="R13" s="203">
        <f t="shared" si="28"/>
        <v>96</v>
      </c>
      <c r="S13" s="203">
        <f t="shared" si="7"/>
        <v>2065.5483870967741</v>
      </c>
      <c r="T13" s="203">
        <f t="shared" si="29"/>
        <v>96</v>
      </c>
      <c r="U13" s="203">
        <f t="shared" si="8"/>
        <v>2065.5483870967741</v>
      </c>
      <c r="V13" s="203">
        <f t="shared" si="30"/>
        <v>96</v>
      </c>
      <c r="W13" s="203">
        <f t="shared" si="9"/>
        <v>2065.5483870967741</v>
      </c>
      <c r="X13" s="35">
        <f t="shared" si="10"/>
        <v>0.30967741935483867</v>
      </c>
      <c r="Y13" s="36">
        <f t="shared" si="31"/>
        <v>22721.032258064512</v>
      </c>
      <c r="Z13" s="203">
        <f>'B5'!C12</f>
        <v>103</v>
      </c>
      <c r="AA13" s="203">
        <f t="shared" si="32"/>
        <v>1030</v>
      </c>
      <c r="AB13" s="203">
        <f t="shared" si="33"/>
        <v>103</v>
      </c>
      <c r="AC13" s="203">
        <f t="shared" si="32"/>
        <v>1030</v>
      </c>
      <c r="AD13" s="203">
        <f t="shared" si="34"/>
        <v>103</v>
      </c>
      <c r="AE13" s="203">
        <f t="shared" si="11"/>
        <v>1030</v>
      </c>
      <c r="AF13" s="203">
        <f t="shared" si="35"/>
        <v>103</v>
      </c>
      <c r="AG13" s="203">
        <f t="shared" si="12"/>
        <v>1030</v>
      </c>
      <c r="AH13" s="203">
        <f t="shared" si="36"/>
        <v>103</v>
      </c>
      <c r="AI13" s="203">
        <f t="shared" si="13"/>
        <v>1030</v>
      </c>
      <c r="AJ13" s="203">
        <f t="shared" si="37"/>
        <v>103</v>
      </c>
      <c r="AK13" s="203">
        <f t="shared" si="14"/>
        <v>1030</v>
      </c>
      <c r="AL13" s="203">
        <f t="shared" si="38"/>
        <v>103</v>
      </c>
      <c r="AM13" s="203">
        <f t="shared" si="15"/>
        <v>1030</v>
      </c>
      <c r="AN13" s="35">
        <f t="shared" si="16"/>
        <v>0.36785714285714288</v>
      </c>
      <c r="AO13" s="36">
        <f t="shared" si="17"/>
        <v>7210</v>
      </c>
      <c r="AP13" s="550"/>
      <c r="AQ13" s="223">
        <f t="shared" si="39"/>
        <v>0.32194290908964734</v>
      </c>
      <c r="AR13" s="38">
        <f t="shared" si="45"/>
        <v>29931.032258064512</v>
      </c>
      <c r="AS13" s="197">
        <f t="shared" si="42"/>
        <v>0</v>
      </c>
      <c r="AT13" s="351"/>
      <c r="AU13" s="608"/>
      <c r="AV13" s="508">
        <f t="shared" si="43"/>
        <v>2.89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3" t="e">
        <f>GEN!AF10</f>
        <v>#DIV/0!</v>
      </c>
    </row>
    <row r="14" spans="1:63">
      <c r="A14" s="439">
        <f>ELEC!C12</f>
        <v>44417</v>
      </c>
      <c r="B14">
        <f>'B5'!B13</f>
        <v>96</v>
      </c>
      <c r="C14" s="203">
        <f t="shared" si="20"/>
        <v>2065.5483870967741</v>
      </c>
      <c r="D14">
        <f t="shared" si="21"/>
        <v>96</v>
      </c>
      <c r="E14" s="203">
        <f t="shared" si="20"/>
        <v>2065.5483870967741</v>
      </c>
      <c r="F14">
        <f t="shared" si="22"/>
        <v>96</v>
      </c>
      <c r="G14" s="203">
        <f t="shared" si="1"/>
        <v>2065.5483870967741</v>
      </c>
      <c r="H14" s="203">
        <f t="shared" si="23"/>
        <v>96</v>
      </c>
      <c r="I14" s="203">
        <f t="shared" si="2"/>
        <v>2065.5483870967741</v>
      </c>
      <c r="J14" s="203">
        <f t="shared" si="24"/>
        <v>96</v>
      </c>
      <c r="K14" s="203">
        <f t="shared" si="3"/>
        <v>2065.5483870967741</v>
      </c>
      <c r="L14" s="203">
        <f t="shared" si="25"/>
        <v>96</v>
      </c>
      <c r="M14" s="203">
        <f t="shared" si="4"/>
        <v>2065.5483870967741</v>
      </c>
      <c r="N14" s="203">
        <f t="shared" si="26"/>
        <v>96</v>
      </c>
      <c r="O14" s="203">
        <f t="shared" si="5"/>
        <v>2065.5483870967741</v>
      </c>
      <c r="P14" s="203">
        <f t="shared" si="27"/>
        <v>96</v>
      </c>
      <c r="Q14" s="203">
        <f t="shared" si="6"/>
        <v>2065.5483870967741</v>
      </c>
      <c r="R14" s="203">
        <f t="shared" si="28"/>
        <v>96</v>
      </c>
      <c r="S14" s="203">
        <f t="shared" si="7"/>
        <v>2065.5483870967741</v>
      </c>
      <c r="T14" s="203">
        <f t="shared" si="29"/>
        <v>96</v>
      </c>
      <c r="U14" s="203">
        <f t="shared" si="8"/>
        <v>2065.5483870967741</v>
      </c>
      <c r="V14" s="203">
        <f t="shared" si="30"/>
        <v>96</v>
      </c>
      <c r="W14" s="203">
        <f t="shared" si="9"/>
        <v>2065.5483870967741</v>
      </c>
      <c r="X14" s="35">
        <f t="shared" si="10"/>
        <v>0.30967741935483867</v>
      </c>
      <c r="Y14" s="36">
        <f t="shared" si="31"/>
        <v>22721.032258064512</v>
      </c>
      <c r="Z14" s="203">
        <f>'B5'!C13</f>
        <v>103</v>
      </c>
      <c r="AA14" s="203">
        <f t="shared" si="32"/>
        <v>1030</v>
      </c>
      <c r="AB14" s="203">
        <f t="shared" si="33"/>
        <v>103</v>
      </c>
      <c r="AC14" s="203">
        <f t="shared" si="32"/>
        <v>1030</v>
      </c>
      <c r="AD14" s="203">
        <f t="shared" si="34"/>
        <v>103</v>
      </c>
      <c r="AE14" s="203">
        <f t="shared" si="11"/>
        <v>1030</v>
      </c>
      <c r="AF14" s="203">
        <f t="shared" si="35"/>
        <v>103</v>
      </c>
      <c r="AG14" s="203">
        <f t="shared" si="12"/>
        <v>1030</v>
      </c>
      <c r="AH14" s="203">
        <f t="shared" si="36"/>
        <v>103</v>
      </c>
      <c r="AI14" s="203">
        <f t="shared" si="13"/>
        <v>1030</v>
      </c>
      <c r="AJ14" s="203">
        <f t="shared" si="37"/>
        <v>103</v>
      </c>
      <c r="AK14" s="203">
        <f t="shared" si="14"/>
        <v>1030</v>
      </c>
      <c r="AL14" s="203">
        <f t="shared" si="38"/>
        <v>103</v>
      </c>
      <c r="AM14" s="203">
        <f t="shared" si="15"/>
        <v>1030</v>
      </c>
      <c r="AN14" s="35">
        <f t="shared" si="16"/>
        <v>0.36785714285714288</v>
      </c>
      <c r="AO14" s="36">
        <f t="shared" si="17"/>
        <v>7210</v>
      </c>
      <c r="AQ14" s="223">
        <f t="shared" si="39"/>
        <v>0.32194290908964734</v>
      </c>
      <c r="AR14" s="38">
        <f t="shared" si="45"/>
        <v>29931.032258064512</v>
      </c>
      <c r="AS14" s="197">
        <f t="shared" si="42"/>
        <v>0</v>
      </c>
      <c r="AT14" s="351"/>
      <c r="AU14" s="608"/>
      <c r="AV14" s="508">
        <f t="shared" si="43"/>
        <v>2.89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3" t="e">
        <f>GEN!AF11</f>
        <v>#DIV/0!</v>
      </c>
    </row>
    <row r="15" spans="1:63" ht="13.5" customHeight="1">
      <c r="A15" s="439">
        <f>ELEC!C13</f>
        <v>44418</v>
      </c>
      <c r="B15">
        <f>'B5'!B14</f>
        <v>96</v>
      </c>
      <c r="C15" s="203">
        <f>B15*$B$4</f>
        <v>2065.5483870967741</v>
      </c>
      <c r="D15">
        <f t="shared" si="21"/>
        <v>96</v>
      </c>
      <c r="E15" s="203">
        <f t="shared" si="20"/>
        <v>2065.5483870967741</v>
      </c>
      <c r="F15">
        <f t="shared" si="22"/>
        <v>96</v>
      </c>
      <c r="G15" s="203">
        <f t="shared" si="1"/>
        <v>2065.5483870967741</v>
      </c>
      <c r="H15" s="203">
        <f t="shared" si="23"/>
        <v>96</v>
      </c>
      <c r="I15" s="203">
        <f t="shared" si="2"/>
        <v>2065.5483870967741</v>
      </c>
      <c r="J15" s="203">
        <f t="shared" si="24"/>
        <v>96</v>
      </c>
      <c r="K15" s="203">
        <f t="shared" si="3"/>
        <v>2065.5483870967741</v>
      </c>
      <c r="L15" s="203">
        <f t="shared" si="25"/>
        <v>96</v>
      </c>
      <c r="M15" s="203">
        <f t="shared" si="4"/>
        <v>2065.5483870967741</v>
      </c>
      <c r="N15" s="203">
        <f t="shared" si="26"/>
        <v>96</v>
      </c>
      <c r="O15" s="203">
        <f t="shared" si="5"/>
        <v>2065.5483870967741</v>
      </c>
      <c r="P15" s="203">
        <f t="shared" si="27"/>
        <v>96</v>
      </c>
      <c r="Q15" s="203">
        <f t="shared" si="6"/>
        <v>2065.5483870967741</v>
      </c>
      <c r="R15" s="203">
        <f t="shared" si="28"/>
        <v>96</v>
      </c>
      <c r="S15" s="203">
        <f t="shared" si="7"/>
        <v>2065.5483870967741</v>
      </c>
      <c r="T15" s="203">
        <f t="shared" si="29"/>
        <v>96</v>
      </c>
      <c r="U15" s="203">
        <f t="shared" si="8"/>
        <v>2065.5483870967741</v>
      </c>
      <c r="V15" s="203">
        <f t="shared" si="30"/>
        <v>96</v>
      </c>
      <c r="W15" s="203">
        <f t="shared" si="9"/>
        <v>2065.5483870967741</v>
      </c>
      <c r="X15" s="35">
        <f t="shared" si="10"/>
        <v>0.30967741935483867</v>
      </c>
      <c r="Y15" s="36">
        <f t="shared" si="31"/>
        <v>22721.032258064512</v>
      </c>
      <c r="Z15" s="203">
        <f>'B5'!C14</f>
        <v>103</v>
      </c>
      <c r="AA15" s="203">
        <f t="shared" si="32"/>
        <v>1030</v>
      </c>
      <c r="AB15" s="203">
        <f t="shared" si="33"/>
        <v>103</v>
      </c>
      <c r="AC15" s="203">
        <f t="shared" si="32"/>
        <v>1030</v>
      </c>
      <c r="AD15" s="203">
        <f t="shared" si="34"/>
        <v>103</v>
      </c>
      <c r="AE15" s="203">
        <f t="shared" si="11"/>
        <v>1030</v>
      </c>
      <c r="AF15" s="203">
        <f t="shared" si="35"/>
        <v>103</v>
      </c>
      <c r="AG15" s="203">
        <f t="shared" si="12"/>
        <v>1030</v>
      </c>
      <c r="AH15" s="203">
        <f t="shared" si="36"/>
        <v>103</v>
      </c>
      <c r="AI15" s="203">
        <f t="shared" si="13"/>
        <v>1030</v>
      </c>
      <c r="AJ15" s="203">
        <f t="shared" si="37"/>
        <v>103</v>
      </c>
      <c r="AK15" s="203">
        <f t="shared" si="14"/>
        <v>1030</v>
      </c>
      <c r="AL15" s="203">
        <f t="shared" si="38"/>
        <v>103</v>
      </c>
      <c r="AM15" s="203">
        <f t="shared" si="15"/>
        <v>1030</v>
      </c>
      <c r="AN15" s="35">
        <f t="shared" si="16"/>
        <v>0.36785714285714288</v>
      </c>
      <c r="AO15" s="36">
        <f t="shared" si="17"/>
        <v>7210</v>
      </c>
      <c r="AQ15" s="223">
        <f t="shared" si="39"/>
        <v>0.32194290908964734</v>
      </c>
      <c r="AR15" s="38">
        <f t="shared" si="45"/>
        <v>29931.032258064512</v>
      </c>
      <c r="AS15" s="197">
        <f t="shared" si="42"/>
        <v>-7000</v>
      </c>
      <c r="AT15" s="351">
        <v>7000</v>
      </c>
      <c r="AU15" s="608">
        <v>2.89</v>
      </c>
      <c r="AV15" s="508">
        <f>IF(AT15&gt;0,AU15,AV14)</f>
        <v>2.89</v>
      </c>
      <c r="AW15" s="287">
        <f>-SUM('B5'!AI14)</f>
        <v>0</v>
      </c>
      <c r="AX15" s="287">
        <f t="shared" si="19"/>
        <v>-7000</v>
      </c>
      <c r="AY15" s="37">
        <f t="shared" si="40"/>
        <v>-7000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4352.1054852319776</v>
      </c>
      <c r="BF15" s="14"/>
      <c r="BG15" s="14" t="e">
        <f>#REF!-BE15</f>
        <v>#REF!</v>
      </c>
      <c r="BH15" s="11"/>
      <c r="BI15">
        <v>4</v>
      </c>
      <c r="BJ15">
        <f t="shared" si="41"/>
        <v>-1750</v>
      </c>
      <c r="BK15" s="573" t="e">
        <f>GEN!AF12</f>
        <v>#DIV/0!</v>
      </c>
    </row>
    <row r="16" spans="1:63">
      <c r="A16" s="439">
        <f>ELEC!C14</f>
        <v>44419</v>
      </c>
      <c r="B16">
        <f>'B5'!B15</f>
        <v>156</v>
      </c>
      <c r="C16" s="203">
        <f t="shared" si="20"/>
        <v>3356.516129032258</v>
      </c>
      <c r="D16">
        <f t="shared" si="21"/>
        <v>156</v>
      </c>
      <c r="E16" s="203">
        <f t="shared" si="20"/>
        <v>3356.516129032258</v>
      </c>
      <c r="F16">
        <f t="shared" si="22"/>
        <v>156</v>
      </c>
      <c r="G16" s="203">
        <f t="shared" si="1"/>
        <v>3356.516129032258</v>
      </c>
      <c r="H16" s="203">
        <f t="shared" si="23"/>
        <v>156</v>
      </c>
      <c r="I16" s="203">
        <f t="shared" si="2"/>
        <v>3356.516129032258</v>
      </c>
      <c r="J16" s="203">
        <f t="shared" si="24"/>
        <v>156</v>
      </c>
      <c r="K16" s="203">
        <f t="shared" si="3"/>
        <v>3356.516129032258</v>
      </c>
      <c r="L16" s="203">
        <f t="shared" si="25"/>
        <v>156</v>
      </c>
      <c r="M16" s="203">
        <f t="shared" si="4"/>
        <v>3356.516129032258</v>
      </c>
      <c r="N16" s="203">
        <f t="shared" si="26"/>
        <v>156</v>
      </c>
      <c r="O16" s="203">
        <f t="shared" si="5"/>
        <v>3356.516129032258</v>
      </c>
      <c r="P16" s="203">
        <f t="shared" si="27"/>
        <v>156</v>
      </c>
      <c r="Q16" s="203">
        <f t="shared" si="6"/>
        <v>3356.516129032258</v>
      </c>
      <c r="R16" s="203">
        <f t="shared" si="28"/>
        <v>156</v>
      </c>
      <c r="S16" s="203">
        <f t="shared" si="7"/>
        <v>3356.516129032258</v>
      </c>
      <c r="T16" s="203">
        <f t="shared" si="29"/>
        <v>156</v>
      </c>
      <c r="U16" s="203">
        <f t="shared" si="8"/>
        <v>3356.516129032258</v>
      </c>
      <c r="V16" s="203">
        <f t="shared" si="30"/>
        <v>156</v>
      </c>
      <c r="W16" s="203">
        <f t="shared" si="9"/>
        <v>3356.516129032258</v>
      </c>
      <c r="X16" s="35">
        <f t="shared" si="10"/>
        <v>0.50322580645161297</v>
      </c>
      <c r="Y16" s="36">
        <f t="shared" si="31"/>
        <v>36921.677419354841</v>
      </c>
      <c r="Z16" s="203">
        <f>'B5'!C15</f>
        <v>162</v>
      </c>
      <c r="AA16" s="203">
        <f t="shared" si="32"/>
        <v>1620</v>
      </c>
      <c r="AB16" s="203">
        <f t="shared" si="33"/>
        <v>162</v>
      </c>
      <c r="AC16" s="203">
        <f t="shared" si="32"/>
        <v>1620</v>
      </c>
      <c r="AD16" s="203">
        <f t="shared" si="34"/>
        <v>162</v>
      </c>
      <c r="AE16" s="203">
        <f t="shared" si="11"/>
        <v>1620</v>
      </c>
      <c r="AF16" s="203">
        <f t="shared" si="35"/>
        <v>162</v>
      </c>
      <c r="AG16" s="203">
        <f t="shared" si="12"/>
        <v>1620</v>
      </c>
      <c r="AH16" s="203">
        <f t="shared" si="36"/>
        <v>162</v>
      </c>
      <c r="AI16" s="203">
        <f t="shared" si="13"/>
        <v>1620</v>
      </c>
      <c r="AJ16" s="203">
        <f t="shared" si="37"/>
        <v>162</v>
      </c>
      <c r="AK16" s="203">
        <f t="shared" si="14"/>
        <v>1620</v>
      </c>
      <c r="AL16" s="203">
        <f t="shared" si="38"/>
        <v>162</v>
      </c>
      <c r="AM16" s="203">
        <f t="shared" si="15"/>
        <v>1620</v>
      </c>
      <c r="AN16" s="35">
        <f t="shared" si="16"/>
        <v>0.57857142857142863</v>
      </c>
      <c r="AO16" s="36">
        <f t="shared" si="17"/>
        <v>11340</v>
      </c>
      <c r="AQ16" s="223">
        <f t="shared" si="39"/>
        <v>0.51911022286065223</v>
      </c>
      <c r="AR16" s="38">
        <f>Y16+AO16</f>
        <v>48261.677419354841</v>
      </c>
      <c r="AS16" s="197">
        <f>SUM(AR16-AR15-AT16)</f>
        <v>4080.6451612903293</v>
      </c>
      <c r="AT16" s="351">
        <v>14250</v>
      </c>
      <c r="AU16" s="609">
        <v>2.89</v>
      </c>
      <c r="AV16" s="508">
        <f>IF(AT16&gt;0,AU16,AV15)</f>
        <v>2.89</v>
      </c>
      <c r="AW16" s="287">
        <f>-SUM('B5'!AI15)</f>
        <v>-241</v>
      </c>
      <c r="AX16" s="287">
        <f t="shared" si="19"/>
        <v>4321.6451612903293</v>
      </c>
      <c r="AY16" s="37">
        <f t="shared" si="40"/>
        <v>4080.6451612903293</v>
      </c>
      <c r="AZ16" s="100">
        <f>ELEC!A14</f>
        <v>0</v>
      </c>
      <c r="BA16" s="118">
        <f>'General information '!D16</f>
        <v>29</v>
      </c>
      <c r="BB16" s="390">
        <f>SUM('General information '!E16)</f>
        <v>0.79</v>
      </c>
      <c r="BC16" s="3">
        <f t="shared" si="44"/>
        <v>1</v>
      </c>
      <c r="BD16" s="102">
        <v>19222</v>
      </c>
      <c r="BE16" s="14">
        <f>(305/1185)*ELEC!Q15</f>
        <v>4487.4894514761945</v>
      </c>
      <c r="BF16" s="14"/>
      <c r="BG16" s="14" t="e">
        <f>#REF!-BE16</f>
        <v>#REF!</v>
      </c>
      <c r="BH16" s="11"/>
      <c r="BI16">
        <v>3</v>
      </c>
      <c r="BJ16">
        <f t="shared" si="41"/>
        <v>1440.5483870967764</v>
      </c>
      <c r="BK16" s="573">
        <f>GEN!AF13</f>
        <v>0.45948369565216446</v>
      </c>
    </row>
    <row r="17" spans="1:64">
      <c r="A17" s="439">
        <f>ELEC!C15</f>
        <v>44420</v>
      </c>
      <c r="B17">
        <f>'B5'!B16</f>
        <v>137</v>
      </c>
      <c r="C17" s="203">
        <f t="shared" si="20"/>
        <v>2947.7096774193546</v>
      </c>
      <c r="D17">
        <f t="shared" si="21"/>
        <v>137</v>
      </c>
      <c r="E17" s="203">
        <f t="shared" si="20"/>
        <v>2947.7096774193546</v>
      </c>
      <c r="F17">
        <f t="shared" si="22"/>
        <v>137</v>
      </c>
      <c r="G17" s="203">
        <f t="shared" si="1"/>
        <v>2947.7096774193546</v>
      </c>
      <c r="H17" s="203">
        <f t="shared" si="23"/>
        <v>137</v>
      </c>
      <c r="I17" s="203">
        <f t="shared" si="2"/>
        <v>2947.7096774193546</v>
      </c>
      <c r="J17" s="203">
        <f t="shared" si="24"/>
        <v>137</v>
      </c>
      <c r="K17" s="203">
        <f t="shared" si="3"/>
        <v>2947.7096774193546</v>
      </c>
      <c r="L17" s="203">
        <f t="shared" si="25"/>
        <v>137</v>
      </c>
      <c r="M17" s="203">
        <f t="shared" si="4"/>
        <v>2947.7096774193546</v>
      </c>
      <c r="N17" s="203">
        <f t="shared" si="26"/>
        <v>137</v>
      </c>
      <c r="O17" s="203">
        <f t="shared" si="5"/>
        <v>2947.7096774193546</v>
      </c>
      <c r="P17" s="203">
        <f t="shared" si="27"/>
        <v>137</v>
      </c>
      <c r="Q17" s="203">
        <f t="shared" si="6"/>
        <v>2947.7096774193546</v>
      </c>
      <c r="R17" s="203">
        <f t="shared" si="28"/>
        <v>137</v>
      </c>
      <c r="S17" s="203">
        <f t="shared" si="7"/>
        <v>2947.7096774193546</v>
      </c>
      <c r="T17" s="203">
        <f t="shared" si="29"/>
        <v>137</v>
      </c>
      <c r="U17" s="203">
        <f t="shared" si="8"/>
        <v>2947.7096774193546</v>
      </c>
      <c r="V17" s="203">
        <f t="shared" si="30"/>
        <v>137</v>
      </c>
      <c r="W17" s="203">
        <f t="shared" si="9"/>
        <v>2947.7096774193546</v>
      </c>
      <c r="X17" s="35">
        <f t="shared" si="10"/>
        <v>0.44193548387096782</v>
      </c>
      <c r="Y17" s="36">
        <f t="shared" si="31"/>
        <v>32424.806451612909</v>
      </c>
      <c r="Z17" s="203">
        <f>'B5'!C16</f>
        <v>144</v>
      </c>
      <c r="AA17" s="203">
        <f t="shared" si="32"/>
        <v>1440</v>
      </c>
      <c r="AB17" s="203">
        <f t="shared" si="33"/>
        <v>144</v>
      </c>
      <c r="AC17" s="203">
        <f t="shared" si="32"/>
        <v>1440</v>
      </c>
      <c r="AD17" s="203">
        <f t="shared" si="34"/>
        <v>144</v>
      </c>
      <c r="AE17" s="203">
        <f t="shared" si="11"/>
        <v>1440</v>
      </c>
      <c r="AF17" s="203">
        <f t="shared" si="35"/>
        <v>144</v>
      </c>
      <c r="AG17" s="203">
        <f t="shared" si="12"/>
        <v>1440</v>
      </c>
      <c r="AH17" s="203">
        <f t="shared" si="36"/>
        <v>144</v>
      </c>
      <c r="AI17" s="203">
        <f t="shared" si="13"/>
        <v>1440</v>
      </c>
      <c r="AJ17" s="203">
        <f t="shared" si="37"/>
        <v>144</v>
      </c>
      <c r="AK17" s="203">
        <f t="shared" si="14"/>
        <v>1440</v>
      </c>
      <c r="AL17" s="203">
        <f t="shared" si="38"/>
        <v>144</v>
      </c>
      <c r="AM17" s="203">
        <f t="shared" si="15"/>
        <v>1440</v>
      </c>
      <c r="AN17" s="35">
        <f t="shared" si="16"/>
        <v>0.51428571428571423</v>
      </c>
      <c r="AO17" s="36">
        <f>SUM(AA17+AC17+AE17+AG17+AI17+AK17+AM17)</f>
        <v>10080</v>
      </c>
      <c r="AQ17" s="223">
        <f t="shared" si="39"/>
        <v>0.45718840971940311</v>
      </c>
      <c r="AR17" s="38">
        <f t="shared" si="45"/>
        <v>42504.806451612909</v>
      </c>
      <c r="AS17" s="197">
        <f>SUM(AR17-AR16-AT17)</f>
        <v>-5756.870967741932</v>
      </c>
      <c r="AT17" s="351"/>
      <c r="AU17" s="608"/>
      <c r="AV17" s="508">
        <f t="shared" si="43"/>
        <v>2.89</v>
      </c>
      <c r="AW17" s="287">
        <f>-SUM('B5'!AI16)</f>
        <v>-95</v>
      </c>
      <c r="AX17" s="287">
        <f t="shared" si="19"/>
        <v>-5661.870967741932</v>
      </c>
      <c r="AY17" s="37">
        <f t="shared" si="40"/>
        <v>-5756.870967741932</v>
      </c>
      <c r="AZ17" s="100">
        <f>ELEC!A15</f>
        <v>0</v>
      </c>
      <c r="BA17" s="118">
        <f>'General information '!D17</f>
        <v>30.5</v>
      </c>
      <c r="BB17" s="390">
        <f>SUM('General information '!E17)</f>
        <v>0.56000000000000005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44421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154</v>
      </c>
      <c r="AA18" s="203">
        <f t="shared" si="32"/>
        <v>1540</v>
      </c>
      <c r="AB18" s="203">
        <f t="shared" si="33"/>
        <v>154</v>
      </c>
      <c r="AC18" s="203">
        <f t="shared" si="32"/>
        <v>1540</v>
      </c>
      <c r="AD18" s="203">
        <f t="shared" si="34"/>
        <v>154</v>
      </c>
      <c r="AE18" s="203">
        <f t="shared" si="11"/>
        <v>1540</v>
      </c>
      <c r="AF18" s="203">
        <f t="shared" si="35"/>
        <v>154</v>
      </c>
      <c r="AG18" s="203">
        <f t="shared" si="12"/>
        <v>1540</v>
      </c>
      <c r="AH18" s="203">
        <f t="shared" si="36"/>
        <v>154</v>
      </c>
      <c r="AI18" s="203">
        <f t="shared" si="13"/>
        <v>1540</v>
      </c>
      <c r="AJ18" s="203">
        <f t="shared" si="37"/>
        <v>154</v>
      </c>
      <c r="AK18" s="203">
        <f t="shared" si="14"/>
        <v>1540</v>
      </c>
      <c r="AL18" s="203">
        <f t="shared" si="38"/>
        <v>154</v>
      </c>
      <c r="AM18" s="203">
        <f t="shared" si="15"/>
        <v>1540</v>
      </c>
      <c r="AN18" s="35">
        <f t="shared" si="16"/>
        <v>0.55000000000000004</v>
      </c>
      <c r="AO18" s="36">
        <f t="shared" si="17"/>
        <v>10780</v>
      </c>
      <c r="AQ18" s="223">
        <f t="shared" si="39"/>
        <v>0.49017511719007517</v>
      </c>
      <c r="AR18" s="38">
        <f t="shared" si="45"/>
        <v>45571.580645161288</v>
      </c>
      <c r="AS18" s="197">
        <f>SUM(AR18-AR17-AT18)</f>
        <v>-2933.2258064516209</v>
      </c>
      <c r="AT18" s="351">
        <v>6000</v>
      </c>
      <c r="AU18" s="608">
        <v>0.8</v>
      </c>
      <c r="AV18" s="508">
        <f>IF(AT18&gt;0,AU18,AV17)</f>
        <v>0.8</v>
      </c>
      <c r="AW18" s="287">
        <f>-SUM('B5'!AI17)</f>
        <v>0</v>
      </c>
      <c r="AX18" s="287">
        <f t="shared" si="19"/>
        <v>-2933.2258064516209</v>
      </c>
      <c r="AY18" s="37">
        <f t="shared" si="40"/>
        <v>-2933.2258064516209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44422</v>
      </c>
      <c r="B19">
        <f>'B5'!B18</f>
        <v>147</v>
      </c>
      <c r="C19" s="203">
        <f t="shared" si="20"/>
        <v>3162.8709677419356</v>
      </c>
      <c r="D19">
        <f t="shared" si="21"/>
        <v>147</v>
      </c>
      <c r="E19" s="203">
        <f t="shared" si="20"/>
        <v>3162.8709677419356</v>
      </c>
      <c r="F19">
        <f t="shared" si="22"/>
        <v>147</v>
      </c>
      <c r="G19" s="203">
        <f t="shared" si="1"/>
        <v>3162.8709677419356</v>
      </c>
      <c r="H19" s="203">
        <f t="shared" si="23"/>
        <v>147</v>
      </c>
      <c r="I19" s="203">
        <f t="shared" si="2"/>
        <v>3162.8709677419356</v>
      </c>
      <c r="J19" s="203">
        <f t="shared" si="24"/>
        <v>147</v>
      </c>
      <c r="K19" s="203">
        <f t="shared" si="3"/>
        <v>3162.8709677419356</v>
      </c>
      <c r="L19" s="203">
        <f t="shared" si="25"/>
        <v>147</v>
      </c>
      <c r="M19" s="203">
        <f t="shared" si="4"/>
        <v>3162.8709677419356</v>
      </c>
      <c r="N19" s="203">
        <f t="shared" si="26"/>
        <v>147</v>
      </c>
      <c r="O19" s="203">
        <f t="shared" si="5"/>
        <v>3162.8709677419356</v>
      </c>
      <c r="P19" s="203">
        <f t="shared" si="27"/>
        <v>147</v>
      </c>
      <c r="Q19" s="203">
        <f t="shared" si="6"/>
        <v>3162.8709677419356</v>
      </c>
      <c r="R19" s="203">
        <f t="shared" si="28"/>
        <v>147</v>
      </c>
      <c r="S19" s="203">
        <f t="shared" si="7"/>
        <v>3162.8709677419356</v>
      </c>
      <c r="T19" s="203">
        <f t="shared" si="29"/>
        <v>147</v>
      </c>
      <c r="U19" s="203">
        <f t="shared" si="8"/>
        <v>3162.8709677419356</v>
      </c>
      <c r="V19" s="203">
        <f t="shared" si="30"/>
        <v>147</v>
      </c>
      <c r="W19" s="203">
        <f t="shared" si="9"/>
        <v>3162.8709677419356</v>
      </c>
      <c r="X19" s="35">
        <f t="shared" si="10"/>
        <v>0.47419354838709676</v>
      </c>
      <c r="Y19" s="36">
        <f t="shared" si="31"/>
        <v>34791.580645161288</v>
      </c>
      <c r="Z19" s="203">
        <f>'B5'!C18</f>
        <v>154</v>
      </c>
      <c r="AA19" s="203">
        <f t="shared" si="32"/>
        <v>1540</v>
      </c>
      <c r="AB19" s="203">
        <f t="shared" si="33"/>
        <v>154</v>
      </c>
      <c r="AC19" s="203">
        <f t="shared" si="32"/>
        <v>1540</v>
      </c>
      <c r="AD19" s="203">
        <f t="shared" si="34"/>
        <v>154</v>
      </c>
      <c r="AE19" s="203">
        <f t="shared" si="11"/>
        <v>1540</v>
      </c>
      <c r="AF19" s="203">
        <f t="shared" si="35"/>
        <v>154</v>
      </c>
      <c r="AG19" s="203">
        <f t="shared" si="12"/>
        <v>1540</v>
      </c>
      <c r="AH19" s="203">
        <f t="shared" si="36"/>
        <v>154</v>
      </c>
      <c r="AI19" s="203">
        <f t="shared" si="13"/>
        <v>1540</v>
      </c>
      <c r="AJ19" s="203">
        <f t="shared" si="37"/>
        <v>154</v>
      </c>
      <c r="AK19" s="203">
        <f t="shared" si="14"/>
        <v>1540</v>
      </c>
      <c r="AL19" s="203">
        <f t="shared" si="38"/>
        <v>154</v>
      </c>
      <c r="AM19" s="203">
        <f t="shared" si="15"/>
        <v>1540</v>
      </c>
      <c r="AN19" s="35">
        <f t="shared" si="16"/>
        <v>0.55000000000000004</v>
      </c>
      <c r="AO19" s="36">
        <f t="shared" si="17"/>
        <v>10780</v>
      </c>
      <c r="AQ19" s="223">
        <f t="shared" si="39"/>
        <v>0.49017511719007517</v>
      </c>
      <c r="AR19" s="38">
        <f t="shared" si="45"/>
        <v>45571.580645161288</v>
      </c>
      <c r="AS19" s="197">
        <f t="shared" ref="AS19:AS36" si="46">SUM(AR19-AR18-AT19)</f>
        <v>0</v>
      </c>
      <c r="AT19" s="351"/>
      <c r="AU19" s="608"/>
      <c r="AV19" s="508">
        <f t="shared" si="43"/>
        <v>0.8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44423</v>
      </c>
      <c r="B20">
        <f>'B5'!B19</f>
        <v>147</v>
      </c>
      <c r="C20" s="203">
        <f t="shared" si="20"/>
        <v>3162.8709677419356</v>
      </c>
      <c r="D20">
        <f t="shared" si="21"/>
        <v>147</v>
      </c>
      <c r="E20" s="203">
        <f t="shared" si="20"/>
        <v>3162.8709677419356</v>
      </c>
      <c r="F20">
        <f t="shared" si="22"/>
        <v>147</v>
      </c>
      <c r="G20" s="203">
        <f t="shared" si="1"/>
        <v>3162.8709677419356</v>
      </c>
      <c r="H20" s="203">
        <f t="shared" si="23"/>
        <v>147</v>
      </c>
      <c r="I20" s="203">
        <f t="shared" si="2"/>
        <v>3162.8709677419356</v>
      </c>
      <c r="J20" s="203">
        <f t="shared" si="24"/>
        <v>147</v>
      </c>
      <c r="K20" s="203">
        <f t="shared" si="3"/>
        <v>3162.8709677419356</v>
      </c>
      <c r="L20" s="203">
        <f t="shared" si="25"/>
        <v>147</v>
      </c>
      <c r="M20" s="203">
        <f t="shared" si="4"/>
        <v>3162.8709677419356</v>
      </c>
      <c r="N20" s="203">
        <f t="shared" si="26"/>
        <v>147</v>
      </c>
      <c r="O20" s="203">
        <f t="shared" si="5"/>
        <v>3162.8709677419356</v>
      </c>
      <c r="P20" s="203">
        <f t="shared" si="27"/>
        <v>147</v>
      </c>
      <c r="Q20" s="203">
        <f t="shared" si="6"/>
        <v>3162.8709677419356</v>
      </c>
      <c r="R20" s="203">
        <f t="shared" si="28"/>
        <v>147</v>
      </c>
      <c r="S20" s="203">
        <f t="shared" si="7"/>
        <v>3162.8709677419356</v>
      </c>
      <c r="T20" s="203">
        <f t="shared" si="29"/>
        <v>147</v>
      </c>
      <c r="U20" s="203">
        <f t="shared" si="8"/>
        <v>3162.8709677419356</v>
      </c>
      <c r="V20" s="203">
        <f t="shared" si="30"/>
        <v>147</v>
      </c>
      <c r="W20" s="203">
        <f t="shared" si="9"/>
        <v>3162.8709677419356</v>
      </c>
      <c r="X20" s="35">
        <f t="shared" si="10"/>
        <v>0.47419354838709676</v>
      </c>
      <c r="Y20" s="36">
        <f t="shared" si="31"/>
        <v>34791.580645161288</v>
      </c>
      <c r="Z20" s="203">
        <f>'B5'!C19</f>
        <v>154</v>
      </c>
      <c r="AA20" s="203">
        <f t="shared" si="32"/>
        <v>1540</v>
      </c>
      <c r="AB20" s="203">
        <f t="shared" si="33"/>
        <v>154</v>
      </c>
      <c r="AC20" s="203">
        <f t="shared" si="32"/>
        <v>1540</v>
      </c>
      <c r="AD20" s="203">
        <f t="shared" si="34"/>
        <v>154</v>
      </c>
      <c r="AE20" s="203">
        <f t="shared" si="11"/>
        <v>1540</v>
      </c>
      <c r="AF20" s="203">
        <f t="shared" si="35"/>
        <v>154</v>
      </c>
      <c r="AG20" s="203">
        <f t="shared" si="12"/>
        <v>1540</v>
      </c>
      <c r="AH20" s="203">
        <f t="shared" si="36"/>
        <v>154</v>
      </c>
      <c r="AI20" s="203">
        <f t="shared" si="13"/>
        <v>1540</v>
      </c>
      <c r="AJ20" s="203">
        <f t="shared" si="37"/>
        <v>154</v>
      </c>
      <c r="AK20" s="203">
        <f t="shared" si="14"/>
        <v>1540</v>
      </c>
      <c r="AL20" s="203">
        <f t="shared" si="38"/>
        <v>154</v>
      </c>
      <c r="AM20" s="203">
        <f t="shared" si="15"/>
        <v>1540</v>
      </c>
      <c r="AN20" s="35">
        <f t="shared" si="16"/>
        <v>0.55000000000000004</v>
      </c>
      <c r="AO20" s="36">
        <f t="shared" si="17"/>
        <v>10780</v>
      </c>
      <c r="AQ20" s="223">
        <f t="shared" si="39"/>
        <v>0.49017511719007517</v>
      </c>
      <c r="AR20" s="38">
        <f t="shared" si="45"/>
        <v>45571.580645161288</v>
      </c>
      <c r="AS20" s="197">
        <f t="shared" si="46"/>
        <v>0</v>
      </c>
      <c r="AT20" s="351"/>
      <c r="AU20" s="608"/>
      <c r="AV20" s="508">
        <f t="shared" si="43"/>
        <v>0.8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3222.447257384079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44424</v>
      </c>
      <c r="B21">
        <f>'B5'!B20</f>
        <v>147</v>
      </c>
      <c r="C21" s="203">
        <f t="shared" si="20"/>
        <v>3162.8709677419356</v>
      </c>
      <c r="D21">
        <f t="shared" si="21"/>
        <v>147</v>
      </c>
      <c r="E21" s="203">
        <f t="shared" si="20"/>
        <v>3162.8709677419356</v>
      </c>
      <c r="F21">
        <f t="shared" si="22"/>
        <v>147</v>
      </c>
      <c r="G21" s="203">
        <f t="shared" si="1"/>
        <v>3162.8709677419356</v>
      </c>
      <c r="H21" s="203">
        <f t="shared" si="23"/>
        <v>147</v>
      </c>
      <c r="I21" s="203">
        <f t="shared" si="2"/>
        <v>3162.8709677419356</v>
      </c>
      <c r="J21" s="203">
        <f t="shared" si="24"/>
        <v>147</v>
      </c>
      <c r="K21" s="203">
        <f t="shared" si="3"/>
        <v>3162.8709677419356</v>
      </c>
      <c r="L21" s="203">
        <f t="shared" si="25"/>
        <v>147</v>
      </c>
      <c r="M21" s="203">
        <f t="shared" si="4"/>
        <v>3162.8709677419356</v>
      </c>
      <c r="N21" s="203">
        <f t="shared" si="26"/>
        <v>147</v>
      </c>
      <c r="O21" s="203">
        <f t="shared" si="5"/>
        <v>3162.8709677419356</v>
      </c>
      <c r="P21" s="203">
        <f t="shared" si="27"/>
        <v>147</v>
      </c>
      <c r="Q21" s="203">
        <f t="shared" si="6"/>
        <v>3162.8709677419356</v>
      </c>
      <c r="R21" s="203">
        <f t="shared" si="28"/>
        <v>147</v>
      </c>
      <c r="S21" s="203">
        <f t="shared" si="7"/>
        <v>3162.8709677419356</v>
      </c>
      <c r="T21" s="203">
        <f t="shared" si="29"/>
        <v>147</v>
      </c>
      <c r="U21" s="203">
        <f t="shared" si="8"/>
        <v>3162.8709677419356</v>
      </c>
      <c r="V21" s="203">
        <f t="shared" si="30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31"/>
        <v>34791.580645161288</v>
      </c>
      <c r="Z21" s="203">
        <f>'B5'!C20</f>
        <v>154</v>
      </c>
      <c r="AA21" s="203">
        <f t="shared" si="32"/>
        <v>1540</v>
      </c>
      <c r="AB21" s="203">
        <f t="shared" si="33"/>
        <v>154</v>
      </c>
      <c r="AC21" s="203">
        <f t="shared" si="32"/>
        <v>1540</v>
      </c>
      <c r="AD21" s="203">
        <f t="shared" si="34"/>
        <v>154</v>
      </c>
      <c r="AE21" s="203">
        <f t="shared" si="11"/>
        <v>1540</v>
      </c>
      <c r="AF21" s="203">
        <f t="shared" si="35"/>
        <v>154</v>
      </c>
      <c r="AG21" s="203">
        <f t="shared" si="12"/>
        <v>1540</v>
      </c>
      <c r="AH21" s="203">
        <f t="shared" si="36"/>
        <v>154</v>
      </c>
      <c r="AI21" s="203">
        <f t="shared" si="13"/>
        <v>1540</v>
      </c>
      <c r="AJ21" s="203">
        <f t="shared" si="37"/>
        <v>154</v>
      </c>
      <c r="AK21" s="203">
        <f t="shared" si="14"/>
        <v>1540</v>
      </c>
      <c r="AL21" s="203">
        <f t="shared" si="38"/>
        <v>154</v>
      </c>
      <c r="AM21" s="203">
        <f t="shared" si="15"/>
        <v>1540</v>
      </c>
      <c r="AN21" s="35">
        <f t="shared" si="16"/>
        <v>0.55000000000000004</v>
      </c>
      <c r="AO21" s="36">
        <f t="shared" si="17"/>
        <v>10780</v>
      </c>
      <c r="AQ21" s="223">
        <f t="shared" si="39"/>
        <v>0.49017511719007517</v>
      </c>
      <c r="AR21" s="38">
        <f t="shared" si="45"/>
        <v>45571.580645161288</v>
      </c>
      <c r="AS21" s="197">
        <f t="shared" si="46"/>
        <v>0</v>
      </c>
      <c r="AT21" s="351"/>
      <c r="AU21" s="608"/>
      <c r="AV21" s="508">
        <f t="shared" si="43"/>
        <v>0.8</v>
      </c>
      <c r="AW21" s="287">
        <f>-SUM('B5'!AI20)</f>
        <v>-74</v>
      </c>
      <c r="AX21" s="287">
        <f t="shared" si="19"/>
        <v>74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2038.4810126587149</v>
      </c>
      <c r="BF21" s="14"/>
      <c r="BG21" s="14" t="e">
        <f>#REF!-BE21</f>
        <v>#REF!</v>
      </c>
      <c r="BH21" s="11"/>
    </row>
    <row r="22" spans="1:64">
      <c r="A22" s="439">
        <f>ELEC!C20</f>
        <v>44425</v>
      </c>
      <c r="B22">
        <f>'B5'!B21</f>
        <v>138</v>
      </c>
      <c r="C22" s="203">
        <f t="shared" si="20"/>
        <v>2969.2258064516127</v>
      </c>
      <c r="D22">
        <f t="shared" si="21"/>
        <v>138</v>
      </c>
      <c r="E22" s="203">
        <f t="shared" si="20"/>
        <v>2969.2258064516127</v>
      </c>
      <c r="F22">
        <f t="shared" si="22"/>
        <v>138</v>
      </c>
      <c r="G22" s="203">
        <f t="shared" si="1"/>
        <v>2969.2258064516127</v>
      </c>
      <c r="H22" s="203">
        <f t="shared" si="23"/>
        <v>138</v>
      </c>
      <c r="I22" s="203">
        <f t="shared" si="2"/>
        <v>2969.2258064516127</v>
      </c>
      <c r="J22" s="203">
        <f t="shared" si="24"/>
        <v>138</v>
      </c>
      <c r="K22" s="203">
        <f t="shared" si="3"/>
        <v>2969.2258064516127</v>
      </c>
      <c r="L22" s="203">
        <f t="shared" si="25"/>
        <v>138</v>
      </c>
      <c r="M22" s="203">
        <f t="shared" si="4"/>
        <v>2969.2258064516127</v>
      </c>
      <c r="N22" s="203">
        <f t="shared" si="26"/>
        <v>138</v>
      </c>
      <c r="O22" s="203">
        <f t="shared" si="5"/>
        <v>2969.2258064516127</v>
      </c>
      <c r="P22" s="203">
        <f t="shared" si="27"/>
        <v>138</v>
      </c>
      <c r="Q22" s="203">
        <f t="shared" si="6"/>
        <v>2969.2258064516127</v>
      </c>
      <c r="R22" s="203">
        <f t="shared" si="28"/>
        <v>138</v>
      </c>
      <c r="S22" s="203">
        <f t="shared" si="7"/>
        <v>2969.2258064516127</v>
      </c>
      <c r="T22" s="203">
        <f t="shared" si="29"/>
        <v>138</v>
      </c>
      <c r="U22" s="203">
        <f t="shared" si="8"/>
        <v>2969.2258064516127</v>
      </c>
      <c r="V22" s="203">
        <f t="shared" si="30"/>
        <v>138</v>
      </c>
      <c r="W22" s="203">
        <f t="shared" si="9"/>
        <v>2969.2258064516127</v>
      </c>
      <c r="X22" s="35">
        <f t="shared" si="10"/>
        <v>0.44516129032258073</v>
      </c>
      <c r="Y22" s="36">
        <f t="shared" si="31"/>
        <v>32661.483870967746</v>
      </c>
      <c r="Z22" s="203">
        <f>'B5'!C21</f>
        <v>145</v>
      </c>
      <c r="AA22" s="203">
        <f t="shared" si="32"/>
        <v>1450</v>
      </c>
      <c r="AB22" s="203">
        <f t="shared" si="33"/>
        <v>145</v>
      </c>
      <c r="AC22" s="203">
        <f t="shared" si="32"/>
        <v>1450</v>
      </c>
      <c r="AD22" s="203">
        <f t="shared" si="34"/>
        <v>145</v>
      </c>
      <c r="AE22" s="203">
        <f t="shared" si="11"/>
        <v>1450</v>
      </c>
      <c r="AF22" s="203">
        <f t="shared" si="35"/>
        <v>145</v>
      </c>
      <c r="AG22" s="203">
        <f t="shared" si="12"/>
        <v>1450</v>
      </c>
      <c r="AH22" s="203">
        <f t="shared" si="36"/>
        <v>145</v>
      </c>
      <c r="AI22" s="203">
        <f t="shared" si="13"/>
        <v>1450</v>
      </c>
      <c r="AJ22" s="203">
        <f t="shared" si="37"/>
        <v>145</v>
      </c>
      <c r="AK22" s="203">
        <f t="shared" si="14"/>
        <v>1450</v>
      </c>
      <c r="AL22" s="203">
        <f t="shared" si="38"/>
        <v>145</v>
      </c>
      <c r="AM22" s="203">
        <f t="shared" si="15"/>
        <v>1450</v>
      </c>
      <c r="AN22" s="35">
        <f t="shared" si="16"/>
        <v>0.5178571428571429</v>
      </c>
      <c r="AO22" s="36">
        <f t="shared" si="17"/>
        <v>10150</v>
      </c>
      <c r="AQ22" s="223">
        <f t="shared" si="39"/>
        <v>0.4604870804664703</v>
      </c>
      <c r="AR22" s="38">
        <f t="shared" si="45"/>
        <v>42811.483870967742</v>
      </c>
      <c r="AS22" s="197">
        <f t="shared" si="46"/>
        <v>-2760.0967741935456</v>
      </c>
      <c r="AT22" s="351"/>
      <c r="AU22" s="608"/>
      <c r="AV22" s="508">
        <f t="shared" si="43"/>
        <v>0.8</v>
      </c>
      <c r="AW22" s="287">
        <f>-SUM('B5'!AI21)</f>
        <v>-49</v>
      </c>
      <c r="AX22" s="287">
        <f t="shared" si="19"/>
        <v>-2711.0967741935456</v>
      </c>
      <c r="AY22" s="37">
        <f t="shared" si="40"/>
        <v>-2760.0967741935456</v>
      </c>
      <c r="AZ22" s="100">
        <f>ELEC!A20</f>
        <v>0</v>
      </c>
      <c r="BA22" s="118">
        <f>'General information '!D22</f>
        <v>30.5</v>
      </c>
      <c r="BB22" s="390">
        <f>SUM('General information '!E22)</f>
        <v>0.56000000000000005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44426</v>
      </c>
      <c r="B23">
        <f>'B5'!B22</f>
        <v>138</v>
      </c>
      <c r="C23" s="203">
        <f t="shared" si="20"/>
        <v>2969.2258064516127</v>
      </c>
      <c r="D23">
        <f t="shared" si="21"/>
        <v>138</v>
      </c>
      <c r="E23" s="203">
        <f t="shared" si="20"/>
        <v>2969.2258064516127</v>
      </c>
      <c r="F23">
        <f t="shared" si="22"/>
        <v>138</v>
      </c>
      <c r="G23" s="203">
        <f t="shared" si="1"/>
        <v>2969.2258064516127</v>
      </c>
      <c r="H23" s="203">
        <f t="shared" si="23"/>
        <v>138</v>
      </c>
      <c r="I23" s="203">
        <f t="shared" si="2"/>
        <v>2969.2258064516127</v>
      </c>
      <c r="J23" s="203">
        <f t="shared" si="24"/>
        <v>138</v>
      </c>
      <c r="K23" s="203">
        <f t="shared" si="3"/>
        <v>2969.2258064516127</v>
      </c>
      <c r="L23" s="203">
        <f t="shared" si="25"/>
        <v>138</v>
      </c>
      <c r="M23" s="203">
        <f t="shared" si="4"/>
        <v>2969.2258064516127</v>
      </c>
      <c r="N23" s="203">
        <f t="shared" si="26"/>
        <v>138</v>
      </c>
      <c r="O23" s="203">
        <f t="shared" si="5"/>
        <v>2969.2258064516127</v>
      </c>
      <c r="P23" s="203">
        <f t="shared" si="27"/>
        <v>138</v>
      </c>
      <c r="Q23" s="203">
        <f t="shared" si="6"/>
        <v>2969.2258064516127</v>
      </c>
      <c r="R23" s="203">
        <f t="shared" si="28"/>
        <v>138</v>
      </c>
      <c r="S23" s="203">
        <f t="shared" si="7"/>
        <v>2969.2258064516127</v>
      </c>
      <c r="T23" s="203">
        <f t="shared" si="29"/>
        <v>138</v>
      </c>
      <c r="U23" s="203">
        <f t="shared" si="8"/>
        <v>2969.2258064516127</v>
      </c>
      <c r="V23" s="203">
        <f t="shared" si="30"/>
        <v>138</v>
      </c>
      <c r="W23" s="203">
        <f t="shared" si="9"/>
        <v>2969.2258064516127</v>
      </c>
      <c r="X23" s="35">
        <f t="shared" si="10"/>
        <v>0.44516129032258073</v>
      </c>
      <c r="Y23" s="36">
        <f t="shared" si="31"/>
        <v>32661.483870967746</v>
      </c>
      <c r="Z23" s="203">
        <f>'B5'!C22</f>
        <v>145</v>
      </c>
      <c r="AA23" s="203">
        <f t="shared" si="32"/>
        <v>1450</v>
      </c>
      <c r="AB23" s="203">
        <f t="shared" si="33"/>
        <v>145</v>
      </c>
      <c r="AC23" s="203">
        <f t="shared" si="32"/>
        <v>1450</v>
      </c>
      <c r="AD23" s="203">
        <f t="shared" si="34"/>
        <v>145</v>
      </c>
      <c r="AE23" s="203">
        <f t="shared" si="11"/>
        <v>1450</v>
      </c>
      <c r="AF23" s="203">
        <f t="shared" si="35"/>
        <v>145</v>
      </c>
      <c r="AG23" s="203">
        <f t="shared" si="12"/>
        <v>1450</v>
      </c>
      <c r="AH23" s="203">
        <f t="shared" si="36"/>
        <v>145</v>
      </c>
      <c r="AI23" s="203">
        <f t="shared" si="13"/>
        <v>1450</v>
      </c>
      <c r="AJ23" s="203">
        <f t="shared" si="37"/>
        <v>145</v>
      </c>
      <c r="AK23" s="203">
        <f t="shared" si="14"/>
        <v>1450</v>
      </c>
      <c r="AL23" s="203">
        <f t="shared" si="38"/>
        <v>145</v>
      </c>
      <c r="AM23" s="203">
        <f t="shared" si="15"/>
        <v>1450</v>
      </c>
      <c r="AN23" s="35">
        <f t="shared" si="16"/>
        <v>0.5178571428571429</v>
      </c>
      <c r="AO23" s="36">
        <f t="shared" si="17"/>
        <v>10150</v>
      </c>
      <c r="AQ23" s="223">
        <f t="shared" si="39"/>
        <v>0.4604870804664703</v>
      </c>
      <c r="AR23" s="38">
        <f t="shared" si="45"/>
        <v>42811.483870967742</v>
      </c>
      <c r="AS23" s="197">
        <f t="shared" si="46"/>
        <v>0</v>
      </c>
      <c r="AT23" s="351"/>
      <c r="AU23" s="608"/>
      <c r="AV23" s="508">
        <f t="shared" si="43"/>
        <v>0.8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44427</v>
      </c>
      <c r="B24">
        <f>'B5'!B23</f>
        <v>138</v>
      </c>
      <c r="C24" s="203">
        <f t="shared" si="20"/>
        <v>2969.2258064516127</v>
      </c>
      <c r="D24">
        <f t="shared" si="21"/>
        <v>138</v>
      </c>
      <c r="E24" s="203">
        <f t="shared" si="20"/>
        <v>2969.2258064516127</v>
      </c>
      <c r="F24">
        <f t="shared" si="22"/>
        <v>138</v>
      </c>
      <c r="G24" s="203">
        <f t="shared" si="1"/>
        <v>2969.2258064516127</v>
      </c>
      <c r="H24" s="203">
        <f t="shared" si="23"/>
        <v>138</v>
      </c>
      <c r="I24" s="203">
        <f t="shared" si="2"/>
        <v>2969.2258064516127</v>
      </c>
      <c r="J24" s="203">
        <f t="shared" si="24"/>
        <v>138</v>
      </c>
      <c r="K24" s="203">
        <f t="shared" si="3"/>
        <v>2969.2258064516127</v>
      </c>
      <c r="L24" s="203">
        <f t="shared" si="25"/>
        <v>138</v>
      </c>
      <c r="M24" s="203">
        <f t="shared" si="4"/>
        <v>2969.2258064516127</v>
      </c>
      <c r="N24" s="203">
        <f t="shared" si="26"/>
        <v>138</v>
      </c>
      <c r="O24" s="203">
        <f t="shared" si="5"/>
        <v>2969.2258064516127</v>
      </c>
      <c r="P24" s="203">
        <f t="shared" si="27"/>
        <v>138</v>
      </c>
      <c r="Q24" s="203">
        <f t="shared" si="6"/>
        <v>2969.2258064516127</v>
      </c>
      <c r="R24" s="203">
        <f t="shared" si="28"/>
        <v>138</v>
      </c>
      <c r="S24" s="203">
        <f t="shared" si="7"/>
        <v>2969.2258064516127</v>
      </c>
      <c r="T24" s="203">
        <f t="shared" si="29"/>
        <v>138</v>
      </c>
      <c r="U24" s="203">
        <f t="shared" si="8"/>
        <v>2969.2258064516127</v>
      </c>
      <c r="V24" s="203">
        <f t="shared" si="30"/>
        <v>138</v>
      </c>
      <c r="W24" s="203">
        <f t="shared" si="9"/>
        <v>2969.2258064516127</v>
      </c>
      <c r="X24" s="35">
        <f t="shared" si="10"/>
        <v>0.44516129032258073</v>
      </c>
      <c r="Y24" s="36">
        <f t="shared" si="31"/>
        <v>32661.483870967746</v>
      </c>
      <c r="Z24" s="203">
        <f>'B5'!C23</f>
        <v>145</v>
      </c>
      <c r="AA24" s="203">
        <f t="shared" si="32"/>
        <v>1450</v>
      </c>
      <c r="AB24" s="203">
        <f t="shared" si="33"/>
        <v>145</v>
      </c>
      <c r="AC24" s="203">
        <f t="shared" si="32"/>
        <v>1450</v>
      </c>
      <c r="AD24" s="203">
        <f t="shared" si="34"/>
        <v>145</v>
      </c>
      <c r="AE24" s="203">
        <f t="shared" si="11"/>
        <v>1450</v>
      </c>
      <c r="AF24" s="203">
        <f t="shared" si="35"/>
        <v>145</v>
      </c>
      <c r="AG24" s="203">
        <f t="shared" si="12"/>
        <v>1450</v>
      </c>
      <c r="AH24" s="203">
        <f t="shared" si="36"/>
        <v>145</v>
      </c>
      <c r="AI24" s="203">
        <f t="shared" si="13"/>
        <v>1450</v>
      </c>
      <c r="AJ24" s="203">
        <f t="shared" si="37"/>
        <v>145</v>
      </c>
      <c r="AK24" s="203">
        <f t="shared" si="14"/>
        <v>1450</v>
      </c>
      <c r="AL24" s="203">
        <f t="shared" si="38"/>
        <v>145</v>
      </c>
      <c r="AM24" s="203">
        <f t="shared" si="15"/>
        <v>1450</v>
      </c>
      <c r="AN24" s="35">
        <f t="shared" si="16"/>
        <v>0.5178571428571429</v>
      </c>
      <c r="AO24" s="36">
        <f t="shared" si="17"/>
        <v>10150</v>
      </c>
      <c r="AQ24" s="223">
        <f t="shared" si="39"/>
        <v>0.4604870804664703</v>
      </c>
      <c r="AR24" s="38">
        <f t="shared" si="45"/>
        <v>42811.483870967742</v>
      </c>
      <c r="AS24" s="197">
        <f t="shared" si="46"/>
        <v>0</v>
      </c>
      <c r="AT24" s="351"/>
      <c r="AU24" s="608"/>
      <c r="AV24" s="508">
        <f t="shared" si="43"/>
        <v>0.8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44428</v>
      </c>
      <c r="B25">
        <f>'B5'!B24</f>
        <v>138</v>
      </c>
      <c r="C25" s="203">
        <f t="shared" si="20"/>
        <v>2969.2258064516127</v>
      </c>
      <c r="D25">
        <f t="shared" si="21"/>
        <v>138</v>
      </c>
      <c r="E25" s="203">
        <f t="shared" si="20"/>
        <v>2969.2258064516127</v>
      </c>
      <c r="F25">
        <f t="shared" si="22"/>
        <v>138</v>
      </c>
      <c r="G25" s="203">
        <f t="shared" si="1"/>
        <v>2969.2258064516127</v>
      </c>
      <c r="H25" s="203">
        <f t="shared" si="23"/>
        <v>138</v>
      </c>
      <c r="I25" s="203">
        <f t="shared" si="2"/>
        <v>2969.2258064516127</v>
      </c>
      <c r="J25" s="203">
        <f t="shared" si="24"/>
        <v>138</v>
      </c>
      <c r="K25" s="203">
        <f t="shared" si="3"/>
        <v>2969.2258064516127</v>
      </c>
      <c r="L25" s="203">
        <f t="shared" si="25"/>
        <v>138</v>
      </c>
      <c r="M25" s="203">
        <f t="shared" si="4"/>
        <v>2969.2258064516127</v>
      </c>
      <c r="N25" s="203">
        <f t="shared" si="26"/>
        <v>138</v>
      </c>
      <c r="O25" s="203">
        <f t="shared" si="5"/>
        <v>2969.2258064516127</v>
      </c>
      <c r="P25" s="203">
        <f t="shared" si="27"/>
        <v>138</v>
      </c>
      <c r="Q25" s="203">
        <f t="shared" si="6"/>
        <v>2969.2258064516127</v>
      </c>
      <c r="R25" s="203">
        <f t="shared" si="28"/>
        <v>138</v>
      </c>
      <c r="S25" s="203">
        <f t="shared" si="7"/>
        <v>2969.2258064516127</v>
      </c>
      <c r="T25" s="203">
        <f t="shared" si="29"/>
        <v>138</v>
      </c>
      <c r="U25" s="203">
        <f t="shared" si="8"/>
        <v>2969.2258064516127</v>
      </c>
      <c r="V25" s="203">
        <f t="shared" si="30"/>
        <v>138</v>
      </c>
      <c r="W25" s="203">
        <f t="shared" si="9"/>
        <v>2969.2258064516127</v>
      </c>
      <c r="X25" s="35">
        <f t="shared" si="10"/>
        <v>0.44516129032258073</v>
      </c>
      <c r="Y25" s="36">
        <f t="shared" si="31"/>
        <v>32661.483870967746</v>
      </c>
      <c r="Z25" s="203">
        <f>'B5'!C24</f>
        <v>145</v>
      </c>
      <c r="AA25" s="203">
        <f t="shared" si="32"/>
        <v>1450</v>
      </c>
      <c r="AB25" s="203">
        <f t="shared" si="33"/>
        <v>145</v>
      </c>
      <c r="AC25" s="203">
        <f t="shared" si="32"/>
        <v>1450</v>
      </c>
      <c r="AD25" s="203">
        <f t="shared" si="34"/>
        <v>145</v>
      </c>
      <c r="AE25" s="203">
        <f t="shared" si="11"/>
        <v>1450</v>
      </c>
      <c r="AF25" s="203">
        <f t="shared" si="35"/>
        <v>145</v>
      </c>
      <c r="AG25" s="203">
        <f t="shared" si="12"/>
        <v>1450</v>
      </c>
      <c r="AH25" s="203">
        <f t="shared" si="36"/>
        <v>145</v>
      </c>
      <c r="AI25" s="203">
        <f t="shared" si="13"/>
        <v>1450</v>
      </c>
      <c r="AJ25" s="203">
        <f t="shared" si="37"/>
        <v>145</v>
      </c>
      <c r="AK25" s="203">
        <f t="shared" si="14"/>
        <v>1450</v>
      </c>
      <c r="AL25" s="203">
        <f t="shared" si="38"/>
        <v>145</v>
      </c>
      <c r="AM25" s="203">
        <f t="shared" si="15"/>
        <v>1450</v>
      </c>
      <c r="AN25" s="35">
        <f t="shared" si="16"/>
        <v>0.5178571428571429</v>
      </c>
      <c r="AO25" s="36">
        <f t="shared" si="17"/>
        <v>10150</v>
      </c>
      <c r="AQ25" s="223">
        <f t="shared" si="39"/>
        <v>0.4604870804664703</v>
      </c>
      <c r="AR25" s="38">
        <f t="shared" si="45"/>
        <v>42811.483870967742</v>
      </c>
      <c r="AS25" s="197">
        <f t="shared" si="46"/>
        <v>0</v>
      </c>
      <c r="AT25" s="351"/>
      <c r="AU25" s="609"/>
      <c r="AV25" s="508">
        <f t="shared" si="43"/>
        <v>0.8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44429</v>
      </c>
      <c r="B26">
        <f>'B5'!B25</f>
        <v>138</v>
      </c>
      <c r="C26" s="203">
        <f t="shared" si="20"/>
        <v>2969.2258064516127</v>
      </c>
      <c r="D26">
        <f t="shared" si="21"/>
        <v>138</v>
      </c>
      <c r="E26" s="203">
        <f t="shared" si="20"/>
        <v>2969.2258064516127</v>
      </c>
      <c r="F26">
        <f t="shared" si="22"/>
        <v>138</v>
      </c>
      <c r="G26" s="203">
        <f t="shared" si="1"/>
        <v>2969.2258064516127</v>
      </c>
      <c r="H26" s="203">
        <f t="shared" si="23"/>
        <v>138</v>
      </c>
      <c r="I26" s="203">
        <f t="shared" si="2"/>
        <v>2969.2258064516127</v>
      </c>
      <c r="J26" s="203">
        <f t="shared" si="24"/>
        <v>138</v>
      </c>
      <c r="K26" s="203">
        <f t="shared" si="3"/>
        <v>2969.2258064516127</v>
      </c>
      <c r="L26" s="203">
        <f t="shared" si="25"/>
        <v>138</v>
      </c>
      <c r="M26" s="203">
        <f t="shared" si="4"/>
        <v>2969.2258064516127</v>
      </c>
      <c r="N26" s="203">
        <f t="shared" si="26"/>
        <v>138</v>
      </c>
      <c r="O26" s="203">
        <f t="shared" si="5"/>
        <v>2969.2258064516127</v>
      </c>
      <c r="P26" s="203">
        <f t="shared" si="27"/>
        <v>138</v>
      </c>
      <c r="Q26" s="203">
        <f t="shared" si="6"/>
        <v>2969.2258064516127</v>
      </c>
      <c r="R26" s="203">
        <f t="shared" si="28"/>
        <v>138</v>
      </c>
      <c r="S26" s="203">
        <f t="shared" si="7"/>
        <v>2969.2258064516127</v>
      </c>
      <c r="T26" s="203">
        <f t="shared" si="29"/>
        <v>138</v>
      </c>
      <c r="U26" s="203">
        <f t="shared" si="8"/>
        <v>2969.2258064516127</v>
      </c>
      <c r="V26" s="203">
        <f t="shared" si="30"/>
        <v>138</v>
      </c>
      <c r="W26" s="203">
        <f t="shared" si="9"/>
        <v>2969.2258064516127</v>
      </c>
      <c r="X26" s="35">
        <f t="shared" si="10"/>
        <v>0.44516129032258073</v>
      </c>
      <c r="Y26" s="36">
        <f t="shared" si="31"/>
        <v>32661.483870967746</v>
      </c>
      <c r="Z26" s="203">
        <f>'B5'!C25</f>
        <v>145</v>
      </c>
      <c r="AA26" s="203">
        <f t="shared" si="32"/>
        <v>1450</v>
      </c>
      <c r="AB26" s="203">
        <f t="shared" si="33"/>
        <v>145</v>
      </c>
      <c r="AC26" s="203">
        <f t="shared" si="32"/>
        <v>1450</v>
      </c>
      <c r="AD26" s="203">
        <f t="shared" si="34"/>
        <v>145</v>
      </c>
      <c r="AE26" s="203">
        <f t="shared" si="11"/>
        <v>1450</v>
      </c>
      <c r="AF26" s="203">
        <f t="shared" si="35"/>
        <v>145</v>
      </c>
      <c r="AG26" s="203">
        <f t="shared" si="12"/>
        <v>1450</v>
      </c>
      <c r="AH26" s="203">
        <f t="shared" si="36"/>
        <v>145</v>
      </c>
      <c r="AI26" s="203">
        <f t="shared" si="13"/>
        <v>1450</v>
      </c>
      <c r="AJ26" s="203">
        <f t="shared" si="37"/>
        <v>145</v>
      </c>
      <c r="AK26" s="203">
        <f t="shared" si="14"/>
        <v>1450</v>
      </c>
      <c r="AL26" s="203">
        <f t="shared" si="38"/>
        <v>145</v>
      </c>
      <c r="AM26" s="203">
        <f t="shared" si="15"/>
        <v>1450</v>
      </c>
      <c r="AN26" s="35">
        <f t="shared" si="16"/>
        <v>0.5178571428571429</v>
      </c>
      <c r="AO26" s="36">
        <f t="shared" si="17"/>
        <v>10150</v>
      </c>
      <c r="AQ26" s="223">
        <f t="shared" si="39"/>
        <v>0.4604870804664703</v>
      </c>
      <c r="AR26" s="38">
        <f t="shared" si="45"/>
        <v>42811.483870967742</v>
      </c>
      <c r="AS26" s="197">
        <f t="shared" si="46"/>
        <v>0</v>
      </c>
      <c r="AT26" s="351"/>
      <c r="AU26" s="608"/>
      <c r="AV26" s="508">
        <f t="shared" si="43"/>
        <v>0.8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2999.295358649385</v>
      </c>
      <c r="BF26" s="14"/>
      <c r="BG26" s="14" t="e">
        <f>#REF!-BE26</f>
        <v>#REF!</v>
      </c>
      <c r="BH26" s="11"/>
    </row>
    <row r="27" spans="1:64">
      <c r="A27" s="439">
        <f>ELEC!C25</f>
        <v>44430</v>
      </c>
      <c r="B27">
        <f>'B5'!B26</f>
        <v>125</v>
      </c>
      <c r="C27" s="203">
        <f t="shared" si="20"/>
        <v>2689.516129032258</v>
      </c>
      <c r="D27">
        <f t="shared" si="21"/>
        <v>125</v>
      </c>
      <c r="E27" s="203">
        <f t="shared" si="20"/>
        <v>2689.516129032258</v>
      </c>
      <c r="F27">
        <f t="shared" si="22"/>
        <v>125</v>
      </c>
      <c r="G27" s="203">
        <f t="shared" si="1"/>
        <v>2689.516129032258</v>
      </c>
      <c r="H27" s="203">
        <f t="shared" si="23"/>
        <v>125</v>
      </c>
      <c r="I27" s="203">
        <f t="shared" si="2"/>
        <v>2689.516129032258</v>
      </c>
      <c r="J27" s="203">
        <f t="shared" si="24"/>
        <v>125</v>
      </c>
      <c r="K27" s="203">
        <f t="shared" si="3"/>
        <v>2689.516129032258</v>
      </c>
      <c r="L27" s="203">
        <f t="shared" si="25"/>
        <v>125</v>
      </c>
      <c r="M27" s="203">
        <f t="shared" si="4"/>
        <v>2689.516129032258</v>
      </c>
      <c r="N27" s="203">
        <f t="shared" si="26"/>
        <v>125</v>
      </c>
      <c r="O27" s="203">
        <f t="shared" si="5"/>
        <v>2689.516129032258</v>
      </c>
      <c r="P27" s="203">
        <f t="shared" si="27"/>
        <v>125</v>
      </c>
      <c r="Q27" s="203">
        <f t="shared" si="6"/>
        <v>2689.516129032258</v>
      </c>
      <c r="R27" s="203">
        <f t="shared" si="28"/>
        <v>125</v>
      </c>
      <c r="S27" s="203">
        <f t="shared" si="7"/>
        <v>2689.516129032258</v>
      </c>
      <c r="T27" s="203">
        <f t="shared" si="29"/>
        <v>125</v>
      </c>
      <c r="U27" s="203">
        <f t="shared" si="8"/>
        <v>2689.516129032258</v>
      </c>
      <c r="V27" s="203">
        <f t="shared" si="30"/>
        <v>125</v>
      </c>
      <c r="W27" s="203">
        <f t="shared" si="9"/>
        <v>2689.516129032258</v>
      </c>
      <c r="X27" s="35">
        <f t="shared" si="10"/>
        <v>0.40322580645161288</v>
      </c>
      <c r="Y27" s="36">
        <f t="shared" si="31"/>
        <v>29584.677419354837</v>
      </c>
      <c r="Z27" s="203">
        <f>'B5'!C26</f>
        <v>132</v>
      </c>
      <c r="AA27" s="203">
        <f t="shared" si="32"/>
        <v>1320</v>
      </c>
      <c r="AB27" s="203">
        <f t="shared" si="33"/>
        <v>132</v>
      </c>
      <c r="AC27" s="203">
        <f t="shared" si="32"/>
        <v>1320</v>
      </c>
      <c r="AD27" s="203">
        <f t="shared" si="34"/>
        <v>132</v>
      </c>
      <c r="AE27" s="203">
        <f t="shared" si="11"/>
        <v>1320</v>
      </c>
      <c r="AF27" s="203">
        <f t="shared" si="35"/>
        <v>132</v>
      </c>
      <c r="AG27" s="203">
        <f t="shared" si="12"/>
        <v>1320</v>
      </c>
      <c r="AH27" s="203">
        <f t="shared" si="36"/>
        <v>132</v>
      </c>
      <c r="AI27" s="203">
        <f t="shared" si="13"/>
        <v>1320</v>
      </c>
      <c r="AJ27" s="203">
        <f t="shared" si="37"/>
        <v>132</v>
      </c>
      <c r="AK27" s="203">
        <f t="shared" si="14"/>
        <v>1320</v>
      </c>
      <c r="AL27" s="203">
        <f t="shared" si="38"/>
        <v>132</v>
      </c>
      <c r="AM27" s="203">
        <f t="shared" si="15"/>
        <v>1320</v>
      </c>
      <c r="AN27" s="35">
        <f t="shared" si="16"/>
        <v>0.47142857142857142</v>
      </c>
      <c r="AO27" s="36">
        <f t="shared" si="17"/>
        <v>9240</v>
      </c>
      <c r="AQ27" s="223">
        <f t="shared" si="39"/>
        <v>0.41760436075459645</v>
      </c>
      <c r="AR27" s="38">
        <f t="shared" si="45"/>
        <v>38824.677419354834</v>
      </c>
      <c r="AS27" s="197">
        <f t="shared" si="46"/>
        <v>-3986.8064516129089</v>
      </c>
      <c r="AT27" s="351"/>
      <c r="AU27" s="608"/>
      <c r="AV27" s="508">
        <f t="shared" si="43"/>
        <v>0.8</v>
      </c>
      <c r="AW27" s="287">
        <f>-SUM('B5'!AI26)</f>
        <v>-87.399999999994179</v>
      </c>
      <c r="AX27" s="287">
        <f t="shared" si="19"/>
        <v>-3899.4064516129147</v>
      </c>
      <c r="AY27" s="37">
        <f t="shared" si="40"/>
        <v>-3986.8064516129089</v>
      </c>
      <c r="AZ27" s="100">
        <f>ELEC!A25</f>
        <v>0</v>
      </c>
      <c r="BA27" s="118">
        <f>'General information '!D27</f>
        <v>29.5</v>
      </c>
      <c r="BB27" s="390">
        <f>SUM('General information '!E27)</f>
        <v>0.75</v>
      </c>
      <c r="BC27" s="3">
        <f t="shared" si="44"/>
        <v>0</v>
      </c>
      <c r="BD27" s="102">
        <v>19222</v>
      </c>
      <c r="BE27" s="14">
        <f>(305/1185)*ELEC!Q26</f>
        <v>2551.7046413503836</v>
      </c>
      <c r="BF27" s="14"/>
      <c r="BG27" s="14" t="e">
        <f>#REF!-BE27</f>
        <v>#REF!</v>
      </c>
      <c r="BH27" s="11"/>
    </row>
    <row r="28" spans="1:64">
      <c r="A28" s="439">
        <f>ELEC!C26</f>
        <v>44431</v>
      </c>
      <c r="B28">
        <f>'B5'!B27</f>
        <v>115</v>
      </c>
      <c r="C28" s="203">
        <f t="shared" si="20"/>
        <v>2474.3548387096776</v>
      </c>
      <c r="D28">
        <f t="shared" si="21"/>
        <v>115</v>
      </c>
      <c r="E28" s="203">
        <f t="shared" si="20"/>
        <v>2474.3548387096776</v>
      </c>
      <c r="F28">
        <f t="shared" si="22"/>
        <v>115</v>
      </c>
      <c r="G28" s="203">
        <f t="shared" si="1"/>
        <v>2474.3548387096776</v>
      </c>
      <c r="H28" s="203">
        <f t="shared" si="23"/>
        <v>115</v>
      </c>
      <c r="I28" s="203">
        <f t="shared" si="2"/>
        <v>2474.3548387096776</v>
      </c>
      <c r="J28" s="203">
        <f t="shared" si="24"/>
        <v>115</v>
      </c>
      <c r="K28" s="203">
        <f t="shared" si="3"/>
        <v>2474.3548387096776</v>
      </c>
      <c r="L28" s="203">
        <f t="shared" si="25"/>
        <v>115</v>
      </c>
      <c r="M28" s="203">
        <f t="shared" si="4"/>
        <v>2474.3548387096776</v>
      </c>
      <c r="N28" s="203">
        <f t="shared" si="26"/>
        <v>115</v>
      </c>
      <c r="O28" s="203">
        <f t="shared" si="5"/>
        <v>2474.3548387096776</v>
      </c>
      <c r="P28" s="203">
        <f t="shared" si="27"/>
        <v>115</v>
      </c>
      <c r="Q28" s="203">
        <f t="shared" si="6"/>
        <v>2474.3548387096776</v>
      </c>
      <c r="R28" s="203">
        <f t="shared" si="28"/>
        <v>115</v>
      </c>
      <c r="S28" s="203">
        <f t="shared" si="7"/>
        <v>2474.3548387096776</v>
      </c>
      <c r="T28" s="203">
        <f t="shared" si="29"/>
        <v>115</v>
      </c>
      <c r="U28" s="203">
        <f t="shared" si="8"/>
        <v>2474.3548387096776</v>
      </c>
      <c r="V28" s="203">
        <f t="shared" si="30"/>
        <v>115</v>
      </c>
      <c r="W28" s="203">
        <f t="shared" si="9"/>
        <v>2474.3548387096776</v>
      </c>
      <c r="X28" s="35">
        <f t="shared" si="10"/>
        <v>0.37096774193548393</v>
      </c>
      <c r="Y28" s="36">
        <f t="shared" si="31"/>
        <v>27217.903225806454</v>
      </c>
      <c r="Z28" s="203">
        <f>'B5'!C27</f>
        <v>122</v>
      </c>
      <c r="AA28" s="203">
        <f t="shared" si="32"/>
        <v>1220</v>
      </c>
      <c r="AB28" s="203">
        <f t="shared" si="33"/>
        <v>122</v>
      </c>
      <c r="AC28" s="203">
        <f t="shared" si="32"/>
        <v>1220</v>
      </c>
      <c r="AD28" s="203">
        <f t="shared" si="34"/>
        <v>122</v>
      </c>
      <c r="AE28" s="203">
        <f t="shared" si="11"/>
        <v>1220</v>
      </c>
      <c r="AF28" s="203">
        <f t="shared" si="35"/>
        <v>122</v>
      </c>
      <c r="AG28" s="203">
        <f t="shared" si="12"/>
        <v>1220</v>
      </c>
      <c r="AH28" s="203">
        <f t="shared" si="36"/>
        <v>122</v>
      </c>
      <c r="AI28" s="203">
        <f t="shared" si="13"/>
        <v>1220</v>
      </c>
      <c r="AJ28" s="203">
        <f t="shared" si="37"/>
        <v>122</v>
      </c>
      <c r="AK28" s="203">
        <f t="shared" si="14"/>
        <v>1220</v>
      </c>
      <c r="AL28" s="203">
        <f t="shared" si="38"/>
        <v>122</v>
      </c>
      <c r="AM28" s="203">
        <f t="shared" si="15"/>
        <v>1220</v>
      </c>
      <c r="AN28" s="35">
        <f t="shared" si="16"/>
        <v>0.43571428571428572</v>
      </c>
      <c r="AO28" s="36">
        <f t="shared" si="17"/>
        <v>8540</v>
      </c>
      <c r="AQ28" s="223">
        <f t="shared" si="39"/>
        <v>0.38461765328392444</v>
      </c>
      <c r="AR28" s="38">
        <f t="shared" si="45"/>
        <v>35757.903225806454</v>
      </c>
      <c r="AS28" s="197">
        <f t="shared" si="46"/>
        <v>-3066.7741935483791</v>
      </c>
      <c r="AT28" s="351"/>
      <c r="AU28" s="609"/>
      <c r="AV28" s="508">
        <f t="shared" si="43"/>
        <v>0.8</v>
      </c>
      <c r="AW28" s="287">
        <f>-SUM('B5'!AI27)</f>
        <v>-55</v>
      </c>
      <c r="AX28" s="287">
        <f t="shared" si="19"/>
        <v>-3011.7741935483791</v>
      </c>
      <c r="AY28" s="37">
        <f t="shared" si="40"/>
        <v>-3066.7741935483791</v>
      </c>
      <c r="AZ28" s="100">
        <f>ELEC!A26</f>
        <v>0</v>
      </c>
      <c r="BA28" s="118">
        <f>'General information '!D28</f>
        <v>29.5</v>
      </c>
      <c r="BB28" s="390">
        <f>SUM('General information '!E28)</f>
        <v>0.72</v>
      </c>
      <c r="BC28" s="3">
        <f t="shared" si="44"/>
        <v>0</v>
      </c>
      <c r="BD28" s="102">
        <v>19222</v>
      </c>
      <c r="BE28" s="14">
        <f>(305/1185)*ELEC!Q27</f>
        <v>4446.0506329117152</v>
      </c>
      <c r="BF28" s="14"/>
      <c r="BG28" s="14" t="e">
        <f>#REF!-BE28</f>
        <v>#REF!</v>
      </c>
      <c r="BH28" s="11"/>
    </row>
    <row r="29" spans="1:64">
      <c r="A29" s="439">
        <f>ELEC!C27</f>
        <v>44432</v>
      </c>
      <c r="B29">
        <f>'B5'!B28</f>
        <v>134</v>
      </c>
      <c r="C29" s="203">
        <f t="shared" si="20"/>
        <v>2883.1612903225805</v>
      </c>
      <c r="D29">
        <f t="shared" si="21"/>
        <v>134</v>
      </c>
      <c r="E29" s="203">
        <f t="shared" si="20"/>
        <v>2883.1612903225805</v>
      </c>
      <c r="F29">
        <f t="shared" si="22"/>
        <v>134</v>
      </c>
      <c r="G29" s="203">
        <f t="shared" si="1"/>
        <v>2883.1612903225805</v>
      </c>
      <c r="H29" s="203">
        <f t="shared" si="23"/>
        <v>134</v>
      </c>
      <c r="I29" s="203">
        <f t="shared" si="2"/>
        <v>2883.1612903225805</v>
      </c>
      <c r="J29" s="203">
        <f t="shared" si="24"/>
        <v>134</v>
      </c>
      <c r="K29" s="203">
        <f t="shared" si="3"/>
        <v>2883.1612903225805</v>
      </c>
      <c r="L29" s="203">
        <f t="shared" si="25"/>
        <v>134</v>
      </c>
      <c r="M29" s="203">
        <f t="shared" si="4"/>
        <v>2883.1612903225805</v>
      </c>
      <c r="N29" s="203">
        <f t="shared" si="26"/>
        <v>134</v>
      </c>
      <c r="O29" s="203">
        <f t="shared" si="5"/>
        <v>2883.1612903225805</v>
      </c>
      <c r="P29" s="203">
        <f t="shared" si="27"/>
        <v>134</v>
      </c>
      <c r="Q29" s="203">
        <f t="shared" si="6"/>
        <v>2883.1612903225805</v>
      </c>
      <c r="R29" s="203">
        <f t="shared" si="28"/>
        <v>134</v>
      </c>
      <c r="S29" s="203">
        <f t="shared" si="7"/>
        <v>2883.1612903225805</v>
      </c>
      <c r="T29" s="203">
        <f t="shared" si="29"/>
        <v>134</v>
      </c>
      <c r="U29" s="203">
        <f t="shared" si="8"/>
        <v>2883.1612903225805</v>
      </c>
      <c r="V29" s="203">
        <f t="shared" si="30"/>
        <v>134</v>
      </c>
      <c r="W29" s="203">
        <f t="shared" si="9"/>
        <v>2883.1612903225805</v>
      </c>
      <c r="X29" s="35">
        <f t="shared" si="10"/>
        <v>0.43225806451612891</v>
      </c>
      <c r="Y29" s="36">
        <f t="shared" si="31"/>
        <v>31714.774193548379</v>
      </c>
      <c r="Z29" s="203">
        <f>'B5'!C28</f>
        <v>139</v>
      </c>
      <c r="AA29" s="203">
        <f t="shared" si="32"/>
        <v>1390</v>
      </c>
      <c r="AB29" s="203">
        <f t="shared" si="33"/>
        <v>139</v>
      </c>
      <c r="AC29" s="203">
        <f t="shared" si="32"/>
        <v>1390</v>
      </c>
      <c r="AD29" s="203">
        <f t="shared" si="34"/>
        <v>139</v>
      </c>
      <c r="AE29" s="203">
        <f t="shared" si="11"/>
        <v>1390</v>
      </c>
      <c r="AF29" s="203">
        <f t="shared" si="35"/>
        <v>139</v>
      </c>
      <c r="AG29" s="203">
        <f t="shared" si="12"/>
        <v>1390</v>
      </c>
      <c r="AH29" s="203">
        <f t="shared" si="36"/>
        <v>139</v>
      </c>
      <c r="AI29" s="203">
        <f t="shared" si="13"/>
        <v>1390</v>
      </c>
      <c r="AJ29" s="203">
        <f t="shared" si="37"/>
        <v>139</v>
      </c>
      <c r="AK29" s="203">
        <f t="shared" si="14"/>
        <v>1390</v>
      </c>
      <c r="AL29" s="203">
        <f t="shared" si="38"/>
        <v>139</v>
      </c>
      <c r="AM29" s="203">
        <f t="shared" si="15"/>
        <v>1390</v>
      </c>
      <c r="AN29" s="35">
        <f t="shared" si="16"/>
        <v>0.49642857142857144</v>
      </c>
      <c r="AO29" s="36">
        <f t="shared" si="17"/>
        <v>9730</v>
      </c>
      <c r="AQ29" s="223">
        <f t="shared" si="39"/>
        <v>0.44578653537214563</v>
      </c>
      <c r="AR29" s="38">
        <f t="shared" si="45"/>
        <v>41444.774193548379</v>
      </c>
      <c r="AS29" s="197">
        <f>SUM(AR29-AR28-AT29)</f>
        <v>-4313.1290322580753</v>
      </c>
      <c r="AT29" s="351">
        <v>10000</v>
      </c>
      <c r="AU29" s="609">
        <v>3.65</v>
      </c>
      <c r="AV29" s="508">
        <f t="shared" si="43"/>
        <v>3.65</v>
      </c>
      <c r="AW29" s="287">
        <f>-SUM('B5'!AI28)</f>
        <v>-74</v>
      </c>
      <c r="AX29" s="287">
        <f t="shared" si="19"/>
        <v>-4239.1290322580753</v>
      </c>
      <c r="AY29" s="37">
        <f t="shared" si="40"/>
        <v>-4313.1290322580753</v>
      </c>
      <c r="AZ29" s="100">
        <f>ELEC!A27</f>
        <v>0</v>
      </c>
      <c r="BA29" s="118">
        <f>'General information '!D29</f>
        <v>28</v>
      </c>
      <c r="BB29" s="390">
        <f>SUM('General information '!E29)</f>
        <v>0.69</v>
      </c>
      <c r="BC29" s="3">
        <f t="shared" si="44"/>
        <v>1</v>
      </c>
      <c r="BD29" s="102">
        <v>19222</v>
      </c>
      <c r="BE29" s="14">
        <f>(305/1185)*ELEC!Q28</f>
        <v>3852.2658227849529</v>
      </c>
      <c r="BF29" s="14"/>
      <c r="BG29" s="14" t="e">
        <f>#REF!-BE29</f>
        <v>#REF!</v>
      </c>
      <c r="BH29" s="11"/>
    </row>
    <row r="30" spans="1:64">
      <c r="A30" s="439">
        <f>ELEC!C28</f>
        <v>44433</v>
      </c>
      <c r="B30">
        <f>'B5'!B29</f>
        <v>129</v>
      </c>
      <c r="C30" s="203">
        <f t="shared" si="20"/>
        <v>2775.5806451612902</v>
      </c>
      <c r="D30">
        <f t="shared" ref="D30:D35" si="47">SUM(B30)</f>
        <v>129</v>
      </c>
      <c r="E30" s="203">
        <f t="shared" si="20"/>
        <v>2775.5806451612902</v>
      </c>
      <c r="F30">
        <f t="shared" ref="F30:F35" si="48">SUM(D30)</f>
        <v>129</v>
      </c>
      <c r="G30" s="203">
        <f t="shared" si="1"/>
        <v>2775.5806451612902</v>
      </c>
      <c r="H30" s="203">
        <f t="shared" ref="H30:H35" si="49">SUM(F30)</f>
        <v>129</v>
      </c>
      <c r="I30" s="203">
        <f t="shared" si="2"/>
        <v>2775.5806451612902</v>
      </c>
      <c r="J30" s="203">
        <f t="shared" ref="J30:J35" si="50">SUM(H30)</f>
        <v>129</v>
      </c>
      <c r="K30" s="203">
        <f t="shared" si="3"/>
        <v>2775.5806451612902</v>
      </c>
      <c r="L30" s="203">
        <f t="shared" ref="L30:L35" si="51">SUM(J30)</f>
        <v>129</v>
      </c>
      <c r="M30" s="203">
        <f t="shared" si="4"/>
        <v>2775.5806451612902</v>
      </c>
      <c r="N30" s="203">
        <f t="shared" ref="N30:N35" si="52">SUM(L30)</f>
        <v>129</v>
      </c>
      <c r="O30" s="203">
        <f t="shared" si="5"/>
        <v>2775.5806451612902</v>
      </c>
      <c r="P30" s="203">
        <f t="shared" ref="P30:P35" si="53">SUM(N30)</f>
        <v>129</v>
      </c>
      <c r="Q30" s="203">
        <f t="shared" si="6"/>
        <v>2775.5806451612902</v>
      </c>
      <c r="R30" s="203">
        <f t="shared" ref="R30:R35" si="54">SUM(P30)</f>
        <v>129</v>
      </c>
      <c r="S30" s="203">
        <f t="shared" si="7"/>
        <v>2775.5806451612902</v>
      </c>
      <c r="T30" s="203">
        <f t="shared" ref="T30:T35" si="55">SUM(R30)</f>
        <v>129</v>
      </c>
      <c r="U30" s="203">
        <f t="shared" si="8"/>
        <v>2775.5806451612902</v>
      </c>
      <c r="V30" s="203">
        <f t="shared" ref="V30:V35" si="56">SUM(T30)</f>
        <v>129</v>
      </c>
      <c r="W30" s="203">
        <f t="shared" si="9"/>
        <v>2775.5806451612902</v>
      </c>
      <c r="X30" s="35">
        <f t="shared" ref="X30:X35" si="57">SUM(Y30/73370)</f>
        <v>0.41612903225806464</v>
      </c>
      <c r="Y30" s="36">
        <f t="shared" ref="Y30:Y35" si="58">SUM(C30+E30+G30+I30+K30+M30+O30+Q30+S30+U30+W30)</f>
        <v>30531.3870967742</v>
      </c>
      <c r="Z30" s="203">
        <f>'B5'!C29</f>
        <v>135</v>
      </c>
      <c r="AA30" s="203">
        <f t="shared" si="32"/>
        <v>1350</v>
      </c>
      <c r="AB30" s="203">
        <f t="shared" ref="AB30:AB35" si="59">SUM(Z30)</f>
        <v>135</v>
      </c>
      <c r="AC30" s="203">
        <f t="shared" si="32"/>
        <v>1350</v>
      </c>
      <c r="AD30" s="203">
        <f t="shared" ref="AD30:AD35" si="60">SUM(AB30)</f>
        <v>135</v>
      </c>
      <c r="AE30" s="203">
        <f t="shared" si="11"/>
        <v>1350</v>
      </c>
      <c r="AF30" s="203">
        <f t="shared" ref="AF30:AF35" si="61">SUM(AD30)</f>
        <v>135</v>
      </c>
      <c r="AG30" s="203">
        <f t="shared" si="12"/>
        <v>1350</v>
      </c>
      <c r="AH30" s="203">
        <f t="shared" ref="AH30:AH35" si="62">SUM(AF30)</f>
        <v>135</v>
      </c>
      <c r="AI30" s="203">
        <f t="shared" si="13"/>
        <v>1350</v>
      </c>
      <c r="AJ30" s="203">
        <f t="shared" ref="AJ30:AJ35" si="63">SUM(AH30)</f>
        <v>135</v>
      </c>
      <c r="AK30" s="203">
        <f t="shared" si="14"/>
        <v>1350</v>
      </c>
      <c r="AL30" s="203">
        <f t="shared" ref="AL30:AL35" si="64">SUM(AJ30)</f>
        <v>135</v>
      </c>
      <c r="AM30" s="203">
        <f t="shared" si="15"/>
        <v>1350</v>
      </c>
      <c r="AN30" s="35">
        <f t="shared" ref="AN30:AN35" si="65">SUM(AO30/19600)</f>
        <v>0.48214285714285715</v>
      </c>
      <c r="AO30" s="36">
        <f t="shared" ref="AO30:AO35" si="66">SUM(AA30+AC30+AE30+AG30+AI30+AK30+AM30)</f>
        <v>9450</v>
      </c>
      <c r="AQ30" s="223">
        <f t="shared" si="39"/>
        <v>0.43004611268983756</v>
      </c>
      <c r="AR30" s="38">
        <f t="shared" ref="AR30:AR35" si="67">Y30+AO30</f>
        <v>39981.387096774197</v>
      </c>
      <c r="AS30" s="197">
        <f>SUM(AR30-AR29-AT30)</f>
        <v>-4363.3870967741823</v>
      </c>
      <c r="AT30" s="351">
        <v>2900</v>
      </c>
      <c r="AU30" s="609">
        <v>3.98</v>
      </c>
      <c r="AV30" s="508">
        <f t="shared" si="43"/>
        <v>3.98</v>
      </c>
      <c r="AW30" s="287">
        <f>-SUM('B5'!AI29)</f>
        <v>-147</v>
      </c>
      <c r="AX30" s="287">
        <f t="shared" si="19"/>
        <v>-4216.3870967741823</v>
      </c>
      <c r="AY30" s="37">
        <f t="shared" si="40"/>
        <v>-4363.3870967741823</v>
      </c>
      <c r="AZ30" s="100">
        <f>ELEC!A28</f>
        <v>0</v>
      </c>
      <c r="BA30" s="118">
        <f>'General information '!D30</f>
        <v>28</v>
      </c>
      <c r="BB30" s="390">
        <f>SUM('General information '!E30)</f>
        <v>0.69</v>
      </c>
      <c r="BC30" s="3">
        <f t="shared" si="44"/>
        <v>0</v>
      </c>
      <c r="BD30" s="102">
        <v>19222</v>
      </c>
      <c r="BE30" s="14">
        <f>(305/1185)*ELEC!Q29</f>
        <v>4171.4219409278885</v>
      </c>
      <c r="BF30" s="14"/>
      <c r="BG30" s="14" t="e">
        <f>#REF!-BE30</f>
        <v>#REF!</v>
      </c>
      <c r="BH30" s="11"/>
    </row>
    <row r="31" spans="1:64">
      <c r="A31" s="439">
        <f>ELEC!C29</f>
        <v>44434</v>
      </c>
      <c r="B31">
        <f>'B5'!B30</f>
        <v>112</v>
      </c>
      <c r="C31" s="203">
        <f t="shared" si="20"/>
        <v>2409.8064516129034</v>
      </c>
      <c r="D31">
        <f t="shared" si="47"/>
        <v>112</v>
      </c>
      <c r="E31" s="203">
        <f t="shared" si="20"/>
        <v>2409.8064516129034</v>
      </c>
      <c r="F31">
        <f t="shared" si="48"/>
        <v>112</v>
      </c>
      <c r="G31" s="203">
        <f t="shared" si="1"/>
        <v>2409.8064516129034</v>
      </c>
      <c r="H31" s="203">
        <f t="shared" si="49"/>
        <v>112</v>
      </c>
      <c r="I31" s="203">
        <f t="shared" si="2"/>
        <v>2409.8064516129034</v>
      </c>
      <c r="J31" s="203">
        <f t="shared" si="50"/>
        <v>112</v>
      </c>
      <c r="K31" s="203">
        <f t="shared" si="3"/>
        <v>2409.8064516129034</v>
      </c>
      <c r="L31" s="203">
        <f t="shared" si="51"/>
        <v>112</v>
      </c>
      <c r="M31" s="203">
        <f t="shared" si="4"/>
        <v>2409.8064516129034</v>
      </c>
      <c r="N31" s="203">
        <f t="shared" si="52"/>
        <v>112</v>
      </c>
      <c r="O31" s="203">
        <f t="shared" si="5"/>
        <v>2409.8064516129034</v>
      </c>
      <c r="P31" s="203">
        <f t="shared" si="53"/>
        <v>112</v>
      </c>
      <c r="Q31" s="203">
        <f t="shared" si="6"/>
        <v>2409.8064516129034</v>
      </c>
      <c r="R31" s="203">
        <f t="shared" si="54"/>
        <v>112</v>
      </c>
      <c r="S31" s="203">
        <f t="shared" si="7"/>
        <v>2409.8064516129034</v>
      </c>
      <c r="T31" s="203">
        <f t="shared" si="55"/>
        <v>112</v>
      </c>
      <c r="U31" s="203">
        <f t="shared" si="8"/>
        <v>2409.8064516129034</v>
      </c>
      <c r="V31" s="203">
        <f t="shared" si="56"/>
        <v>112</v>
      </c>
      <c r="W31" s="203">
        <f t="shared" si="9"/>
        <v>2409.8064516129034</v>
      </c>
      <c r="X31" s="35">
        <f t="shared" si="57"/>
        <v>0.36129032258064514</v>
      </c>
      <c r="Y31" s="36">
        <f t="shared" si="58"/>
        <v>26507.870967741932</v>
      </c>
      <c r="Z31" s="203">
        <f>'B5'!C30</f>
        <v>119</v>
      </c>
      <c r="AA31" s="203">
        <f t="shared" si="32"/>
        <v>1190</v>
      </c>
      <c r="AB31" s="203">
        <f t="shared" si="59"/>
        <v>119</v>
      </c>
      <c r="AC31" s="203">
        <f t="shared" si="32"/>
        <v>1190</v>
      </c>
      <c r="AD31" s="203">
        <f t="shared" si="60"/>
        <v>119</v>
      </c>
      <c r="AE31" s="203">
        <f t="shared" si="11"/>
        <v>1190</v>
      </c>
      <c r="AF31" s="203">
        <f t="shared" si="61"/>
        <v>119</v>
      </c>
      <c r="AG31" s="203">
        <f t="shared" si="12"/>
        <v>1190</v>
      </c>
      <c r="AH31" s="203">
        <f t="shared" si="62"/>
        <v>119</v>
      </c>
      <c r="AI31" s="203">
        <f t="shared" si="13"/>
        <v>1190</v>
      </c>
      <c r="AJ31" s="203">
        <f t="shared" si="63"/>
        <v>119</v>
      </c>
      <c r="AK31" s="203">
        <f t="shared" si="14"/>
        <v>1190</v>
      </c>
      <c r="AL31" s="203">
        <f t="shared" si="64"/>
        <v>119</v>
      </c>
      <c r="AM31" s="203">
        <f t="shared" si="15"/>
        <v>1190</v>
      </c>
      <c r="AN31" s="35">
        <f t="shared" si="65"/>
        <v>0.42499999999999999</v>
      </c>
      <c r="AO31" s="36">
        <f t="shared" si="66"/>
        <v>8330</v>
      </c>
      <c r="AQ31" s="223">
        <f t="shared" si="39"/>
        <v>0.37472164104272271</v>
      </c>
      <c r="AR31" s="38">
        <f t="shared" si="67"/>
        <v>34837.870967741932</v>
      </c>
      <c r="AS31" s="197">
        <f t="shared" si="46"/>
        <v>-5143.5161290322649</v>
      </c>
      <c r="AT31" s="351"/>
      <c r="AU31" s="655"/>
      <c r="AV31" s="508">
        <f t="shared" si="43"/>
        <v>3.98</v>
      </c>
      <c r="AW31" s="287">
        <f>-SUM('B5'!AI30)</f>
        <v>0</v>
      </c>
      <c r="AX31" s="287">
        <f t="shared" si="19"/>
        <v>-5143.5161290322649</v>
      </c>
      <c r="AY31" s="37">
        <f t="shared" si="40"/>
        <v>-5143.5161290322649</v>
      </c>
      <c r="AZ31" s="100">
        <f>ELEC!A29</f>
        <v>0</v>
      </c>
      <c r="BA31" s="118">
        <f>'General information '!D31</f>
        <v>29</v>
      </c>
      <c r="BB31" s="390">
        <f>SUM('General information '!E31)</f>
        <v>0.5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44435</v>
      </c>
      <c r="B32">
        <f>'B5'!B31</f>
        <v>152</v>
      </c>
      <c r="C32" s="203">
        <f t="shared" si="20"/>
        <v>3270.4516129032259</v>
      </c>
      <c r="D32">
        <f t="shared" si="47"/>
        <v>152</v>
      </c>
      <c r="E32" s="203">
        <f t="shared" si="20"/>
        <v>3270.4516129032259</v>
      </c>
      <c r="F32">
        <f t="shared" si="48"/>
        <v>152</v>
      </c>
      <c r="G32" s="203">
        <f t="shared" si="1"/>
        <v>3270.4516129032259</v>
      </c>
      <c r="H32" s="203">
        <f t="shared" si="49"/>
        <v>152</v>
      </c>
      <c r="I32" s="203">
        <f t="shared" si="2"/>
        <v>3270.4516129032259</v>
      </c>
      <c r="J32" s="203">
        <f t="shared" si="50"/>
        <v>152</v>
      </c>
      <c r="K32" s="203">
        <f t="shared" si="3"/>
        <v>3270.4516129032259</v>
      </c>
      <c r="L32" s="203">
        <f t="shared" si="51"/>
        <v>152</v>
      </c>
      <c r="M32" s="203">
        <f t="shared" si="4"/>
        <v>3270.4516129032259</v>
      </c>
      <c r="N32" s="203">
        <f t="shared" si="52"/>
        <v>152</v>
      </c>
      <c r="O32" s="203">
        <f t="shared" si="5"/>
        <v>3270.4516129032259</v>
      </c>
      <c r="P32" s="203">
        <f t="shared" si="53"/>
        <v>152</v>
      </c>
      <c r="Q32" s="203">
        <f t="shared" si="6"/>
        <v>3270.4516129032259</v>
      </c>
      <c r="R32" s="203">
        <f t="shared" si="54"/>
        <v>152</v>
      </c>
      <c r="S32" s="203">
        <f t="shared" si="7"/>
        <v>3270.4516129032259</v>
      </c>
      <c r="T32" s="203">
        <f t="shared" si="55"/>
        <v>152</v>
      </c>
      <c r="U32" s="203">
        <f t="shared" si="8"/>
        <v>3270.4516129032259</v>
      </c>
      <c r="V32" s="203">
        <f t="shared" si="56"/>
        <v>152</v>
      </c>
      <c r="W32" s="203">
        <f t="shared" si="9"/>
        <v>3270.4516129032259</v>
      </c>
      <c r="X32" s="35">
        <f t="shared" si="57"/>
        <v>0.49032258064516138</v>
      </c>
      <c r="Y32" s="36">
        <f t="shared" si="58"/>
        <v>35974.967741935492</v>
      </c>
      <c r="Z32" s="203">
        <f>'B5'!C31</f>
        <v>159</v>
      </c>
      <c r="AA32" s="203">
        <f t="shared" si="32"/>
        <v>1590</v>
      </c>
      <c r="AB32" s="203">
        <f t="shared" si="59"/>
        <v>159</v>
      </c>
      <c r="AC32" s="203">
        <f t="shared" si="32"/>
        <v>1590</v>
      </c>
      <c r="AD32" s="203">
        <f t="shared" si="60"/>
        <v>159</v>
      </c>
      <c r="AE32" s="203">
        <f t="shared" si="11"/>
        <v>1590</v>
      </c>
      <c r="AF32" s="203">
        <f t="shared" si="61"/>
        <v>159</v>
      </c>
      <c r="AG32" s="203">
        <f t="shared" si="12"/>
        <v>1590</v>
      </c>
      <c r="AH32" s="203">
        <f t="shared" si="62"/>
        <v>159</v>
      </c>
      <c r="AI32" s="203">
        <f t="shared" si="13"/>
        <v>1590</v>
      </c>
      <c r="AJ32" s="203">
        <f t="shared" si="63"/>
        <v>159</v>
      </c>
      <c r="AK32" s="203">
        <f t="shared" si="14"/>
        <v>1590</v>
      </c>
      <c r="AL32" s="203">
        <f t="shared" si="64"/>
        <v>159</v>
      </c>
      <c r="AM32" s="203">
        <f t="shared" si="15"/>
        <v>1590</v>
      </c>
      <c r="AN32" s="35">
        <f t="shared" si="65"/>
        <v>0.56785714285714284</v>
      </c>
      <c r="AO32" s="36">
        <f t="shared" si="66"/>
        <v>11130</v>
      </c>
      <c r="AQ32" s="223">
        <f t="shared" si="39"/>
        <v>0.50666847092541134</v>
      </c>
      <c r="AR32" s="38">
        <f t="shared" si="67"/>
        <v>47104.967741935492</v>
      </c>
      <c r="AS32" s="197">
        <f t="shared" si="46"/>
        <v>2242.0967741935601</v>
      </c>
      <c r="AT32" s="351">
        <v>10025</v>
      </c>
      <c r="AU32" s="608">
        <v>3.85</v>
      </c>
      <c r="AV32" s="508">
        <f>IF(AT32&gt;0,AU32,AV31)</f>
        <v>3.85</v>
      </c>
      <c r="AW32" s="287">
        <f>-SUM('B5'!AI31)</f>
        <v>0</v>
      </c>
      <c r="AX32" s="287">
        <f t="shared" si="19"/>
        <v>2242.0967741935601</v>
      </c>
      <c r="AY32" s="37">
        <f t="shared" si="40"/>
        <v>2242.0967741935601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1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44436</v>
      </c>
      <c r="B33">
        <f>'B5'!B32</f>
        <v>152</v>
      </c>
      <c r="C33" s="203">
        <f t="shared" si="20"/>
        <v>3270.4516129032259</v>
      </c>
      <c r="D33">
        <f t="shared" si="47"/>
        <v>152</v>
      </c>
      <c r="E33" s="203">
        <f t="shared" si="20"/>
        <v>3270.4516129032259</v>
      </c>
      <c r="F33">
        <f t="shared" si="48"/>
        <v>152</v>
      </c>
      <c r="G33" s="203">
        <f t="shared" si="1"/>
        <v>3270.4516129032259</v>
      </c>
      <c r="H33" s="203">
        <f t="shared" si="49"/>
        <v>152</v>
      </c>
      <c r="I33" s="203">
        <f t="shared" si="2"/>
        <v>3270.4516129032259</v>
      </c>
      <c r="J33" s="203">
        <f t="shared" si="50"/>
        <v>152</v>
      </c>
      <c r="K33" s="203">
        <f t="shared" si="3"/>
        <v>3270.4516129032259</v>
      </c>
      <c r="L33" s="203">
        <f t="shared" si="51"/>
        <v>152</v>
      </c>
      <c r="M33" s="203">
        <f t="shared" si="4"/>
        <v>3270.4516129032259</v>
      </c>
      <c r="N33" s="203">
        <f t="shared" si="52"/>
        <v>152</v>
      </c>
      <c r="O33" s="203">
        <f t="shared" si="5"/>
        <v>3270.4516129032259</v>
      </c>
      <c r="P33" s="203">
        <f t="shared" si="53"/>
        <v>152</v>
      </c>
      <c r="Q33" s="203">
        <f t="shared" si="6"/>
        <v>3270.4516129032259</v>
      </c>
      <c r="R33" s="203">
        <f t="shared" si="54"/>
        <v>152</v>
      </c>
      <c r="S33" s="203">
        <f t="shared" si="7"/>
        <v>3270.4516129032259</v>
      </c>
      <c r="T33" s="203">
        <f t="shared" si="55"/>
        <v>152</v>
      </c>
      <c r="U33" s="203">
        <f t="shared" si="8"/>
        <v>3270.4516129032259</v>
      </c>
      <c r="V33" s="203">
        <f t="shared" si="56"/>
        <v>152</v>
      </c>
      <c r="W33" s="203">
        <f t="shared" si="9"/>
        <v>3270.4516129032259</v>
      </c>
      <c r="X33" s="35">
        <f t="shared" si="57"/>
        <v>0.49032258064516138</v>
      </c>
      <c r="Y33" s="36">
        <f t="shared" si="58"/>
        <v>35974.967741935492</v>
      </c>
      <c r="Z33" s="203">
        <f>'B5'!C32</f>
        <v>159</v>
      </c>
      <c r="AA33" s="203">
        <f t="shared" si="32"/>
        <v>1590</v>
      </c>
      <c r="AB33" s="203">
        <f t="shared" si="59"/>
        <v>159</v>
      </c>
      <c r="AC33" s="203">
        <f t="shared" si="32"/>
        <v>1590</v>
      </c>
      <c r="AD33" s="203">
        <f t="shared" si="60"/>
        <v>159</v>
      </c>
      <c r="AE33" s="203">
        <f t="shared" si="11"/>
        <v>1590</v>
      </c>
      <c r="AF33" s="203">
        <f t="shared" si="61"/>
        <v>159</v>
      </c>
      <c r="AG33" s="203">
        <f t="shared" si="12"/>
        <v>1590</v>
      </c>
      <c r="AH33" s="203">
        <f t="shared" si="62"/>
        <v>159</v>
      </c>
      <c r="AI33" s="203">
        <f t="shared" si="13"/>
        <v>1590</v>
      </c>
      <c r="AJ33" s="203">
        <f t="shared" si="63"/>
        <v>159</v>
      </c>
      <c r="AK33" s="203">
        <f t="shared" si="14"/>
        <v>1590</v>
      </c>
      <c r="AL33" s="203">
        <f t="shared" si="64"/>
        <v>159</v>
      </c>
      <c r="AM33" s="203">
        <f t="shared" si="15"/>
        <v>1590</v>
      </c>
      <c r="AN33" s="35">
        <f t="shared" si="65"/>
        <v>0.56785714285714284</v>
      </c>
      <c r="AO33" s="36">
        <f t="shared" si="66"/>
        <v>11130</v>
      </c>
      <c r="AQ33" s="223">
        <f t="shared" si="39"/>
        <v>0.50666847092541134</v>
      </c>
      <c r="AR33" s="38">
        <f t="shared" si="67"/>
        <v>47104.967741935492</v>
      </c>
      <c r="AS33" s="197">
        <f>SUM(AR33-AR32-AT33)</f>
        <v>-5195</v>
      </c>
      <c r="AT33" s="351">
        <v>5195</v>
      </c>
      <c r="AU33" s="608">
        <v>3.67</v>
      </c>
      <c r="AV33" s="508">
        <f>IF(AT33&gt;0,AU33,AV32)</f>
        <v>3.67</v>
      </c>
      <c r="AW33" s="287">
        <f>-SUM('B5'!AI32)</f>
        <v>0</v>
      </c>
      <c r="AX33" s="287">
        <f t="shared" si="19"/>
        <v>-5195</v>
      </c>
      <c r="AY33" s="37">
        <f t="shared" si="40"/>
        <v>-5195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44437</v>
      </c>
      <c r="B34">
        <f>'B5'!B33</f>
        <v>152</v>
      </c>
      <c r="C34" s="203">
        <f>B34*$B$4</f>
        <v>3270.4516129032259</v>
      </c>
      <c r="D34">
        <f t="shared" si="47"/>
        <v>152</v>
      </c>
      <c r="E34" s="203">
        <f>D34*$B$4</f>
        <v>3270.4516129032259</v>
      </c>
      <c r="F34">
        <f t="shared" si="48"/>
        <v>152</v>
      </c>
      <c r="G34" s="203">
        <f>F34*$B$4</f>
        <v>3270.4516129032259</v>
      </c>
      <c r="H34" s="203">
        <f t="shared" si="49"/>
        <v>152</v>
      </c>
      <c r="I34" s="203">
        <f>H34*$B$4</f>
        <v>3270.4516129032259</v>
      </c>
      <c r="J34" s="203">
        <f t="shared" si="50"/>
        <v>152</v>
      </c>
      <c r="K34" s="203">
        <f>J34*$B$4</f>
        <v>3270.4516129032259</v>
      </c>
      <c r="L34" s="203">
        <f t="shared" si="51"/>
        <v>152</v>
      </c>
      <c r="M34" s="203">
        <f>L34*$B$4</f>
        <v>3270.4516129032259</v>
      </c>
      <c r="N34" s="203">
        <f t="shared" si="52"/>
        <v>152</v>
      </c>
      <c r="O34" s="203">
        <f>N34*$B$4</f>
        <v>3270.4516129032259</v>
      </c>
      <c r="P34" s="203">
        <f t="shared" si="53"/>
        <v>152</v>
      </c>
      <c r="Q34" s="203">
        <f>P34*$B$4</f>
        <v>3270.4516129032259</v>
      </c>
      <c r="R34" s="203">
        <f t="shared" si="54"/>
        <v>152</v>
      </c>
      <c r="S34" s="203">
        <f>R34*$B$4</f>
        <v>3270.4516129032259</v>
      </c>
      <c r="T34" s="203">
        <f t="shared" si="55"/>
        <v>152</v>
      </c>
      <c r="U34" s="203">
        <f>T34*$B$4</f>
        <v>3270.4516129032259</v>
      </c>
      <c r="V34" s="203">
        <f t="shared" si="56"/>
        <v>152</v>
      </c>
      <c r="W34" s="203">
        <f>V34*$B$4</f>
        <v>3270.4516129032259</v>
      </c>
      <c r="X34" s="35">
        <f t="shared" si="57"/>
        <v>0.49032258064516138</v>
      </c>
      <c r="Y34" s="36">
        <f t="shared" si="58"/>
        <v>35974.967741935492</v>
      </c>
      <c r="Z34" s="203">
        <f>'B5'!C33</f>
        <v>159</v>
      </c>
      <c r="AA34" s="203">
        <f>SUM(Z34*$Z$4)</f>
        <v>1590</v>
      </c>
      <c r="AB34" s="203">
        <f t="shared" si="59"/>
        <v>159</v>
      </c>
      <c r="AC34" s="203">
        <f>SUM(AB34*$Z$4)</f>
        <v>1590</v>
      </c>
      <c r="AD34" s="203">
        <f t="shared" si="60"/>
        <v>159</v>
      </c>
      <c r="AE34" s="203">
        <f>SUM(AD34*$Z$4)</f>
        <v>1590</v>
      </c>
      <c r="AF34" s="203">
        <f t="shared" si="61"/>
        <v>159</v>
      </c>
      <c r="AG34" s="203">
        <f>SUM(AF34*$Z$4)</f>
        <v>1590</v>
      </c>
      <c r="AH34" s="203">
        <f t="shared" si="62"/>
        <v>159</v>
      </c>
      <c r="AI34" s="203">
        <f>SUM(AH34*$Z$4)</f>
        <v>1590</v>
      </c>
      <c r="AJ34" s="203">
        <f t="shared" si="63"/>
        <v>159</v>
      </c>
      <c r="AK34" s="203">
        <f>SUM(AJ34*$Z$4)</f>
        <v>1590</v>
      </c>
      <c r="AL34" s="203">
        <f t="shared" si="64"/>
        <v>159</v>
      </c>
      <c r="AM34" s="203">
        <f>SUM(AL34*$Z$4)</f>
        <v>1590</v>
      </c>
      <c r="AN34" s="35">
        <f t="shared" si="65"/>
        <v>0.56785714285714284</v>
      </c>
      <c r="AO34" s="36">
        <f t="shared" si="66"/>
        <v>11130</v>
      </c>
      <c r="AQ34" s="223">
        <f>SUM(AR34/92970)</f>
        <v>0.50666847092541134</v>
      </c>
      <c r="AR34" s="38">
        <f t="shared" si="67"/>
        <v>47104.967741935492</v>
      </c>
      <c r="AS34" s="197">
        <f t="shared" si="46"/>
        <v>0</v>
      </c>
      <c r="AT34" s="351"/>
      <c r="AU34" s="608"/>
      <c r="AV34" s="508">
        <f>IF(AT34&gt;0,AU34,AV33)</f>
        <v>3.67</v>
      </c>
      <c r="AW34" s="287">
        <f>-SUM('B5'!AI33)</f>
        <v>-127</v>
      </c>
      <c r="AX34" s="287">
        <f t="shared" si="19"/>
        <v>127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44438</v>
      </c>
      <c r="B35">
        <f>'B5'!B34</f>
        <v>159</v>
      </c>
      <c r="C35" s="203">
        <f>B35*$B$4</f>
        <v>3421.0645161290322</v>
      </c>
      <c r="D35">
        <f t="shared" si="47"/>
        <v>159</v>
      </c>
      <c r="E35" s="203">
        <f>D35*$B$4</f>
        <v>3421.0645161290322</v>
      </c>
      <c r="F35">
        <f t="shared" si="48"/>
        <v>159</v>
      </c>
      <c r="G35" s="203">
        <f>F35*$B$4</f>
        <v>3421.0645161290322</v>
      </c>
      <c r="H35" s="203">
        <f t="shared" si="49"/>
        <v>159</v>
      </c>
      <c r="I35" s="203">
        <f>H35*$B$4</f>
        <v>3421.0645161290322</v>
      </c>
      <c r="J35" s="203">
        <f t="shared" si="50"/>
        <v>159</v>
      </c>
      <c r="K35" s="203">
        <f>J35*$B$4</f>
        <v>3421.0645161290322</v>
      </c>
      <c r="L35" s="203">
        <f t="shared" si="51"/>
        <v>159</v>
      </c>
      <c r="M35" s="203">
        <f>L35*$B$4</f>
        <v>3421.0645161290322</v>
      </c>
      <c r="N35" s="203">
        <f t="shared" si="52"/>
        <v>159</v>
      </c>
      <c r="O35" s="203">
        <f>N35*$B$4</f>
        <v>3421.0645161290322</v>
      </c>
      <c r="P35" s="203">
        <f t="shared" si="53"/>
        <v>159</v>
      </c>
      <c r="Q35" s="203">
        <f>P35*$B$4</f>
        <v>3421.0645161290322</v>
      </c>
      <c r="R35" s="203">
        <f t="shared" si="54"/>
        <v>159</v>
      </c>
      <c r="S35" s="203">
        <f>R35*$B$4</f>
        <v>3421.0645161290322</v>
      </c>
      <c r="T35" s="203">
        <f t="shared" si="55"/>
        <v>159</v>
      </c>
      <c r="U35" s="203">
        <f>T35*$B$4</f>
        <v>3421.0645161290322</v>
      </c>
      <c r="V35" s="203">
        <f t="shared" si="56"/>
        <v>159</v>
      </c>
      <c r="W35" s="203">
        <f>V35*$B$4</f>
        <v>3421.0645161290322</v>
      </c>
      <c r="X35" s="35">
        <f t="shared" si="57"/>
        <v>0.51290322580645142</v>
      </c>
      <c r="Y35" s="36">
        <f t="shared" si="58"/>
        <v>37631.709677419341</v>
      </c>
      <c r="Z35" s="203">
        <f>'B5'!C34</f>
        <v>165</v>
      </c>
      <c r="AA35" s="203">
        <f>SUM(Z35*$Z$4)</f>
        <v>1650</v>
      </c>
      <c r="AB35" s="203">
        <f t="shared" si="59"/>
        <v>165</v>
      </c>
      <c r="AC35" s="203">
        <f>SUM(AB35*$Z$4)</f>
        <v>1650</v>
      </c>
      <c r="AD35" s="203">
        <f t="shared" si="60"/>
        <v>165</v>
      </c>
      <c r="AE35" s="203">
        <f>SUM(AD35*$Z$4)</f>
        <v>1650</v>
      </c>
      <c r="AF35" s="203">
        <f t="shared" si="61"/>
        <v>165</v>
      </c>
      <c r="AG35" s="203">
        <f>SUM(AF35*$Z$4)</f>
        <v>1650</v>
      </c>
      <c r="AH35" s="203">
        <f t="shared" si="62"/>
        <v>165</v>
      </c>
      <c r="AI35" s="203">
        <f>SUM(AH35*$Z$4)</f>
        <v>1650</v>
      </c>
      <c r="AJ35" s="203">
        <f t="shared" si="63"/>
        <v>165</v>
      </c>
      <c r="AK35" s="203">
        <f>SUM(AJ35*$Z$4)</f>
        <v>1650</v>
      </c>
      <c r="AL35" s="203">
        <f t="shared" si="64"/>
        <v>165</v>
      </c>
      <c r="AM35" s="203">
        <f>SUM(AL35*$Z$4)</f>
        <v>1650</v>
      </c>
      <c r="AN35" s="35">
        <f t="shared" si="65"/>
        <v>0.5892857142857143</v>
      </c>
      <c r="AO35" s="36">
        <f t="shared" si="66"/>
        <v>11550</v>
      </c>
      <c r="AQ35" s="223">
        <f>SUM(AR35/92970)</f>
        <v>0.52900623510185374</v>
      </c>
      <c r="AR35" s="38">
        <f t="shared" si="67"/>
        <v>49181.709677419341</v>
      </c>
      <c r="AS35" s="197">
        <f t="shared" si="46"/>
        <v>-1923.2580645161506</v>
      </c>
      <c r="AT35" s="351">
        <v>4000</v>
      </c>
      <c r="AU35" s="608">
        <v>3.85</v>
      </c>
      <c r="AV35" s="574">
        <f>IF(AT35&gt;0,AU35,AV34)</f>
        <v>3.85</v>
      </c>
      <c r="AW35" s="287">
        <f>-SUM('B5'!AI34)</f>
        <v>-29</v>
      </c>
      <c r="AX35" s="287">
        <f t="shared" si="19"/>
        <v>-1894.2580645161506</v>
      </c>
      <c r="AY35" s="37">
        <f>SUM(AX35+AW35)</f>
        <v>-1923.2580645161506</v>
      </c>
      <c r="AZ35" s="100">
        <f>ELEC!A33</f>
        <v>0</v>
      </c>
      <c r="BA35" s="118">
        <f>'General information '!D35</f>
        <v>28.5</v>
      </c>
      <c r="BB35" s="390">
        <f>SUM('General information '!E35)</f>
        <v>0.65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44439</v>
      </c>
      <c r="B36">
        <f>'B5'!B35</f>
        <v>159</v>
      </c>
      <c r="C36" s="203">
        <f>B36*$B$4</f>
        <v>3421.0645161290322</v>
      </c>
      <c r="D36">
        <f t="shared" ref="D36" si="68">SUM(B36)</f>
        <v>159</v>
      </c>
      <c r="E36" s="203">
        <f>D36*$B$4</f>
        <v>3421.0645161290322</v>
      </c>
      <c r="F36">
        <f t="shared" ref="F36" si="69">SUM(D36)</f>
        <v>159</v>
      </c>
      <c r="G36" s="203">
        <f>F36*$B$4</f>
        <v>3421.0645161290322</v>
      </c>
      <c r="H36" s="203">
        <f t="shared" ref="H36" si="70">SUM(F36)</f>
        <v>159</v>
      </c>
      <c r="I36" s="203">
        <f>H36*$B$4</f>
        <v>3421.0645161290322</v>
      </c>
      <c r="J36" s="203">
        <f t="shared" ref="J36" si="71">SUM(H36)</f>
        <v>159</v>
      </c>
      <c r="K36" s="203">
        <f>J36*$B$4</f>
        <v>3421.0645161290322</v>
      </c>
      <c r="L36" s="203">
        <f t="shared" ref="L36" si="72">SUM(J36)</f>
        <v>159</v>
      </c>
      <c r="M36" s="203">
        <f>L36*$B$4</f>
        <v>3421.0645161290322</v>
      </c>
      <c r="N36" s="203">
        <f t="shared" ref="N36" si="73">SUM(L36)</f>
        <v>159</v>
      </c>
      <c r="O36" s="203">
        <f>N36*$B$4</f>
        <v>3421.0645161290322</v>
      </c>
      <c r="P36" s="203">
        <f t="shared" ref="P36" si="74">SUM(N36)</f>
        <v>159</v>
      </c>
      <c r="Q36" s="203">
        <f>P36*$B$4</f>
        <v>3421.0645161290322</v>
      </c>
      <c r="R36" s="203">
        <f t="shared" ref="R36" si="75">SUM(P36)</f>
        <v>159</v>
      </c>
      <c r="S36" s="203">
        <f>R36*$B$4</f>
        <v>3421.0645161290322</v>
      </c>
      <c r="T36" s="203">
        <f t="shared" ref="T36" si="76">SUM(R36)</f>
        <v>159</v>
      </c>
      <c r="U36" s="203">
        <f>T36*$B$4</f>
        <v>3421.0645161290322</v>
      </c>
      <c r="V36" s="203">
        <f t="shared" ref="V36" si="77">SUM(T36)</f>
        <v>159</v>
      </c>
      <c r="W36" s="203">
        <f>V36*$B$4</f>
        <v>3421.0645161290322</v>
      </c>
      <c r="X36" s="35">
        <f t="shared" ref="X36" si="78">SUM(Y36/73370)</f>
        <v>0.51290322580645142</v>
      </c>
      <c r="Y36" s="36">
        <f t="shared" ref="Y36" si="79">SUM(C36+E36+G36+I36+K36+M36+O36+Q36+S36+U36+W36)</f>
        <v>37631.709677419341</v>
      </c>
      <c r="Z36" s="203">
        <f>'B5'!C35</f>
        <v>165</v>
      </c>
      <c r="AA36" s="203">
        <f>SUM(Z36*$Z$4)</f>
        <v>1650</v>
      </c>
      <c r="AB36" s="203">
        <f t="shared" ref="AB36" si="80">SUM(Z36)</f>
        <v>165</v>
      </c>
      <c r="AC36" s="203">
        <f>SUM(AB36*$Z$4)</f>
        <v>1650</v>
      </c>
      <c r="AD36" s="203">
        <f t="shared" ref="AD36" si="81">SUM(AB36)</f>
        <v>165</v>
      </c>
      <c r="AE36" s="203">
        <f>SUM(AD36*$Z$4)</f>
        <v>1650</v>
      </c>
      <c r="AF36" s="203">
        <f t="shared" ref="AF36" si="82">SUM(AD36)</f>
        <v>165</v>
      </c>
      <c r="AG36" s="203">
        <f>SUM(AF36*$Z$4)</f>
        <v>1650</v>
      </c>
      <c r="AH36" s="203">
        <f t="shared" ref="AH36" si="83">SUM(AF36)</f>
        <v>165</v>
      </c>
      <c r="AI36" s="203">
        <f>SUM(AH36*$Z$4)</f>
        <v>1650</v>
      </c>
      <c r="AJ36" s="203">
        <f t="shared" ref="AJ36" si="84">SUM(AH36)</f>
        <v>165</v>
      </c>
      <c r="AK36" s="203">
        <f>SUM(AJ36*$Z$4)</f>
        <v>1650</v>
      </c>
      <c r="AL36" s="203">
        <f t="shared" ref="AL36" si="85">SUM(AJ36)</f>
        <v>165</v>
      </c>
      <c r="AM36" s="203">
        <f>SUM(AL36*$Z$4)</f>
        <v>1650</v>
      </c>
      <c r="AN36" s="35">
        <f t="shared" ref="AN36" si="86">SUM(AO36/19600)</f>
        <v>0.5892857142857143</v>
      </c>
      <c r="AO36" s="36">
        <f t="shared" ref="AO36" si="87">SUM(AA36+AC36+AE36+AG36+AI36+AK36+AM36)</f>
        <v>11550</v>
      </c>
      <c r="AQ36" s="223">
        <f>SUM(AR36/92970)</f>
        <v>0.52900623510185374</v>
      </c>
      <c r="AR36" s="38">
        <f t="shared" si="45"/>
        <v>49181.709677419341</v>
      </c>
      <c r="AS36" s="197">
        <f t="shared" si="46"/>
        <v>0</v>
      </c>
      <c r="AT36" s="351"/>
      <c r="AU36" s="608"/>
      <c r="AV36" s="574">
        <f>IF(AT36&gt;0,AU36,AV35)</f>
        <v>3.85</v>
      </c>
      <c r="AW36" s="287">
        <f>-SUM('B5'!AI36)</f>
        <v>0</v>
      </c>
      <c r="AX36" s="287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28"/>
      <c r="BE36" s="629"/>
      <c r="BF36" s="629"/>
      <c r="BG36" s="629"/>
      <c r="BH36" s="630"/>
    </row>
    <row r="37" spans="1:60">
      <c r="AQ37" s="20"/>
      <c r="AR37" s="472" t="s">
        <v>225</v>
      </c>
      <c r="AS37" s="477">
        <f>COUNT(AT6:AT36)</f>
        <v>10</v>
      </c>
      <c r="AT37" s="203">
        <f>SUM(AT6:AT35)</f>
        <v>69505</v>
      </c>
      <c r="AU37" s="602">
        <f>SUM(AU6:AU36)/AS37</f>
        <v>2.9640000000000009</v>
      </c>
      <c r="AX37" s="203">
        <f>SUM(AX6:AX36)</f>
        <v>-62768.406451612922</v>
      </c>
      <c r="AY37" s="203">
        <f>SUM(AY6:AY36)</f>
        <v>-64054.806451612916</v>
      </c>
    </row>
    <row r="38" spans="1:60">
      <c r="AS38" s="206"/>
      <c r="AT38" s="82">
        <f>+AT37*AU37</f>
        <v>206012.82000000007</v>
      </c>
    </row>
    <row r="40" spans="1:60">
      <c r="AS40" s="165">
        <f>SUM(AS6:AS36)/'EDl log'!A35</f>
        <v>-5337.9005376344094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-1.449315533760025</v>
      </c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conditionalFormatting sqref="AT15:AU15">
    <cfRule type="cellIs" dxfId="4" priority="3" stopIfTrue="1" operator="greaterThan">
      <formula>0</formula>
    </cfRule>
  </conditionalFormatting>
  <conditionalFormatting sqref="AW5">
    <cfRule type="cellIs" dxfId="3" priority="2" stopIfTrue="1" operator="greaterThan">
      <formula>0</formula>
    </cfRule>
  </conditionalFormatting>
  <conditionalFormatting sqref="AX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9" zoomScale="70" zoomScaleNormal="70" workbookViewId="0">
      <selection activeCell="B32" sqref="B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44408</v>
      </c>
      <c r="B3" s="262">
        <f>'[2]EDl log'!B34</f>
        <v>1082313</v>
      </c>
      <c r="C3" s="262">
        <f>'[2]EDl log'!C34</f>
        <v>357</v>
      </c>
      <c r="D3" s="262">
        <f>'[2]EDl log'!D34</f>
        <v>356</v>
      </c>
      <c r="E3" s="262">
        <f>'[2]EDl log'!E34</f>
        <v>1082312</v>
      </c>
      <c r="F3" s="262">
        <f>'[2]EDl log'!F34</f>
        <v>158386</v>
      </c>
      <c r="G3" s="262">
        <f>'[2]EDl log'!G34</f>
        <v>0</v>
      </c>
      <c r="H3" s="262">
        <f>'[2]EDl log'!H34</f>
        <v>528455</v>
      </c>
      <c r="I3" s="262">
        <f>'[2]EDl log'!I34</f>
        <v>339</v>
      </c>
      <c r="J3" s="262">
        <f>'[2]EDl log'!J34</f>
        <v>395470</v>
      </c>
      <c r="K3" s="262">
        <f>'[2]EDl log'!K34</f>
        <v>17</v>
      </c>
      <c r="L3" s="262">
        <f>'[2]EDl log'!L34</f>
        <v>0</v>
      </c>
      <c r="M3" s="262">
        <f>'[2]EDl log'!M34</f>
        <v>25.186069651741292</v>
      </c>
      <c r="N3" s="262">
        <f>'[2]EDl log'!N34</f>
        <v>0.9021558872305141</v>
      </c>
      <c r="O3" s="262">
        <f>'[2]EDl log'!O34</f>
        <v>154.80303857058792</v>
      </c>
      <c r="P3" s="262">
        <f>'[2]EDl log'!P34</f>
        <v>180.89126410955973</v>
      </c>
      <c r="Q3" s="262">
        <f>'[2]EDl log'!Q34</f>
        <v>9525.2824564019702</v>
      </c>
      <c r="R3" s="262">
        <f>'[2]EDl log'!R34</f>
        <v>9706.1737205115296</v>
      </c>
      <c r="S3" s="262">
        <f>'[2]EDl log'!S34</f>
        <v>16131</v>
      </c>
      <c r="T3" s="262">
        <f>'[2]EDl log'!T34</f>
        <v>0.60170936212953507</v>
      </c>
      <c r="Z3" t="s">
        <v>214</v>
      </c>
      <c r="AA3">
        <v>0.1</v>
      </c>
    </row>
    <row r="4" spans="1:32" ht="20.100000000000001" customHeight="1">
      <c r="A4" s="163">
        <f>ELEC!C4</f>
        <v>44409</v>
      </c>
      <c r="B4" s="569">
        <v>1082758</v>
      </c>
      <c r="C4" s="262">
        <f t="shared" ref="C4:C30" si="0">SUM(B4-B3)</f>
        <v>445</v>
      </c>
      <c r="D4" s="305">
        <f>SUM(G4+I4+K4)</f>
        <v>445</v>
      </c>
      <c r="E4" s="305">
        <f>B3+D4</f>
        <v>1082758</v>
      </c>
      <c r="F4" s="575">
        <v>158515</v>
      </c>
      <c r="G4" s="160">
        <f t="shared" ref="G4:G30" si="1">F4-F3</f>
        <v>129</v>
      </c>
      <c r="H4" s="575">
        <v>528632</v>
      </c>
      <c r="I4" s="161">
        <f t="shared" ref="I4:I30" si="2">H4-H3</f>
        <v>177</v>
      </c>
      <c r="J4" s="575">
        <v>395609</v>
      </c>
      <c r="K4" s="162">
        <f t="shared" ref="K4:K30" si="3">J4-J3</f>
        <v>139</v>
      </c>
      <c r="L4" s="293">
        <f t="shared" ref="L4:L13" si="4">SUM(G4*$Y$28)/1507.5</f>
        <v>27.383084577114428</v>
      </c>
      <c r="M4" s="293">
        <f t="shared" ref="M4:M13" si="5">SUM(I4*$Y$27)/1507.5</f>
        <v>13.150248756218906</v>
      </c>
      <c r="N4" s="293">
        <f t="shared" ref="N4:N13" si="6">SUM(K4*$Y$26)/1507.5</f>
        <v>7.3764510779436154</v>
      </c>
      <c r="O4" s="293">
        <f>($AC$29/$A$37)/1507.5</f>
        <v>154.80303857058792</v>
      </c>
      <c r="P4" s="294">
        <f>SUM(L4:O4)</f>
        <v>202.71282298186486</v>
      </c>
      <c r="Q4" s="294">
        <f>SUM(-tanks!AX6*tanks!$AU$37)</f>
        <v>14416.417935483889</v>
      </c>
      <c r="R4" s="294">
        <f>SUM(P4:Q4)</f>
        <v>14619.130758465753</v>
      </c>
      <c r="S4" s="296">
        <f>SUM(ELEC!N4)</f>
        <v>20832</v>
      </c>
      <c r="T4" s="332">
        <f>IF(S4&gt;0,R4/S4,0)</f>
        <v>0.70176318925046821</v>
      </c>
      <c r="U4" s="248"/>
      <c r="V4" s="249" t="str">
        <f>'[6]EDl log'!V21</f>
        <v xml:space="preserve">EDL </v>
      </c>
      <c r="W4" s="167">
        <v>44398</v>
      </c>
      <c r="X4" s="169"/>
      <c r="Y4" s="169"/>
      <c r="Z4" s="169" t="s">
        <v>202</v>
      </c>
      <c r="AA4" s="169"/>
      <c r="AB4" s="692"/>
      <c r="AC4" s="693"/>
    </row>
    <row r="5" spans="1:32" ht="20.100000000000001" customHeight="1">
      <c r="A5" s="163">
        <f>ELEC!C5</f>
        <v>44410</v>
      </c>
      <c r="B5" s="650">
        <v>1084590</v>
      </c>
      <c r="C5" s="262">
        <f t="shared" si="0"/>
        <v>1832</v>
      </c>
      <c r="D5" s="305">
        <f t="shared" ref="D5:D33" si="7">SUM(G5+I5+K5)</f>
        <v>1833</v>
      </c>
      <c r="E5" s="305">
        <f>B4+D5</f>
        <v>1084591</v>
      </c>
      <c r="F5" s="650">
        <f t="shared" ref="F5:F34" si="8">F4</f>
        <v>158515</v>
      </c>
      <c r="G5" s="160">
        <f t="shared" si="1"/>
        <v>0</v>
      </c>
      <c r="H5" s="650">
        <v>530218</v>
      </c>
      <c r="I5" s="161">
        <f t="shared" si="2"/>
        <v>1586</v>
      </c>
      <c r="J5" s="650">
        <v>395856</v>
      </c>
      <c r="K5" s="162">
        <f t="shared" si="3"/>
        <v>247</v>
      </c>
      <c r="L5" s="293">
        <f t="shared" si="4"/>
        <v>0</v>
      </c>
      <c r="M5" s="293">
        <f t="shared" si="5"/>
        <v>117.83217247097843</v>
      </c>
      <c r="N5" s="293">
        <f t="shared" si="6"/>
        <v>13.107794361525706</v>
      </c>
      <c r="O5" s="293">
        <f t="shared" ref="O5:O34" si="9">($AC$29/$A$37)/1507.5</f>
        <v>154.80303857058792</v>
      </c>
      <c r="P5" s="294">
        <f t="shared" ref="P5:P30" si="10">SUM(L5:O5)</f>
        <v>285.74300540309207</v>
      </c>
      <c r="Q5" s="294">
        <f>SUM(-tanks!AX7*tanks!$AU$37)</f>
        <v>7231.873161290333</v>
      </c>
      <c r="R5" s="294">
        <f t="shared" ref="R5:R30" si="11">SUM(P5:Q5)</f>
        <v>7517.6161666934249</v>
      </c>
      <c r="S5" s="296">
        <f>SUM(ELEC!N5)</f>
        <v>15885</v>
      </c>
      <c r="T5" s="332">
        <f>IF(S5&gt;0,R5/S5,0)</f>
        <v>0.47325251285448061</v>
      </c>
      <c r="U5" s="248"/>
      <c r="V5" s="686"/>
      <c r="W5" s="687"/>
      <c r="X5" s="687"/>
      <c r="Y5" s="688"/>
      <c r="Z5" s="26" t="s">
        <v>203</v>
      </c>
      <c r="AA5" s="262">
        <f>'[7]EDl log'!AA22</f>
        <v>5000</v>
      </c>
      <c r="AB5" s="694"/>
      <c r="AC5" s="695"/>
    </row>
    <row r="6" spans="1:32" ht="20.100000000000001" customHeight="1">
      <c r="A6" s="163">
        <f>ELEC!C6</f>
        <v>44411</v>
      </c>
      <c r="B6" s="653">
        <v>1084590</v>
      </c>
      <c r="C6" s="262">
        <f t="shared" si="0"/>
        <v>0</v>
      </c>
      <c r="D6" s="305">
        <f t="shared" si="7"/>
        <v>0</v>
      </c>
      <c r="E6" s="305">
        <f t="shared" ref="E6:E30" si="12">B5+D6</f>
        <v>1084590</v>
      </c>
      <c r="F6" s="650">
        <f t="shared" si="8"/>
        <v>158515</v>
      </c>
      <c r="G6" s="160">
        <f t="shared" si="1"/>
        <v>0</v>
      </c>
      <c r="H6" s="653">
        <v>530218</v>
      </c>
      <c r="I6" s="161">
        <f t="shared" si="2"/>
        <v>0</v>
      </c>
      <c r="J6" s="653">
        <v>395856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9"/>
        <v>154.80303857058792</v>
      </c>
      <c r="P6" s="294">
        <f t="shared" si="10"/>
        <v>154.80303857058792</v>
      </c>
      <c r="Q6" s="294">
        <f>SUM(-tanks!AX8*tanks!$AU$37)</f>
        <v>14440.129935483868</v>
      </c>
      <c r="R6" s="294">
        <f t="shared" si="11"/>
        <v>14594.932974054456</v>
      </c>
      <c r="S6" s="296">
        <f>SUM(ELEC!N6)</f>
        <v>13819</v>
      </c>
      <c r="T6" s="332">
        <f t="shared" ref="T6:T30" si="13">IF(S6&gt;0,R6/S6,0)</f>
        <v>1.0561497195205483</v>
      </c>
      <c r="V6" s="689"/>
      <c r="W6" s="690"/>
      <c r="X6" s="690"/>
      <c r="Y6" s="691"/>
      <c r="Z6" s="3"/>
      <c r="AA6" s="3"/>
      <c r="AB6" s="694"/>
      <c r="AC6" s="695"/>
    </row>
    <row r="7" spans="1:32" ht="20.100000000000001" customHeight="1">
      <c r="A7" s="163">
        <f>ELEC!C7</f>
        <v>44412</v>
      </c>
      <c r="B7" s="653">
        <v>1085479</v>
      </c>
      <c r="C7" s="262">
        <f t="shared" si="0"/>
        <v>889</v>
      </c>
      <c r="D7" s="305">
        <f t="shared" si="7"/>
        <v>888</v>
      </c>
      <c r="E7" s="305">
        <f t="shared" si="12"/>
        <v>1085478</v>
      </c>
      <c r="F7" s="650">
        <f t="shared" si="8"/>
        <v>158515</v>
      </c>
      <c r="G7" s="160">
        <f t="shared" si="1"/>
        <v>0</v>
      </c>
      <c r="H7" s="653">
        <v>530783</v>
      </c>
      <c r="I7" s="161">
        <f t="shared" si="2"/>
        <v>565</v>
      </c>
      <c r="J7" s="653">
        <v>396179</v>
      </c>
      <c r="K7" s="162">
        <f t="shared" si="3"/>
        <v>323</v>
      </c>
      <c r="L7" s="293">
        <f t="shared" si="4"/>
        <v>0</v>
      </c>
      <c r="M7" s="293">
        <f t="shared" si="5"/>
        <v>41.976782752902153</v>
      </c>
      <c r="N7" s="293">
        <f t="shared" si="6"/>
        <v>17.140961857379768</v>
      </c>
      <c r="O7" s="293">
        <f t="shared" si="9"/>
        <v>154.80303857058792</v>
      </c>
      <c r="P7" s="294">
        <f t="shared" si="10"/>
        <v>213.92078318086982</v>
      </c>
      <c r="Q7" s="294">
        <f>SUM(-tanks!AX9*tanks!$AU$37)</f>
        <v>15390.617806451604</v>
      </c>
      <c r="R7" s="294">
        <f t="shared" si="11"/>
        <v>15604.538589632473</v>
      </c>
      <c r="S7" s="296">
        <f>SUM(ELEC!N7)</f>
        <v>16668</v>
      </c>
      <c r="T7" s="332">
        <f t="shared" si="13"/>
        <v>0.93619741958438163</v>
      </c>
      <c r="V7" s="682" t="s">
        <v>204</v>
      </c>
      <c r="W7" s="683"/>
      <c r="X7" s="684" t="s">
        <v>205</v>
      </c>
      <c r="Y7" s="685"/>
      <c r="Z7" s="683"/>
      <c r="AA7" s="26"/>
      <c r="AB7" s="696"/>
      <c r="AC7" s="697"/>
    </row>
    <row r="8" spans="1:32" ht="20.100000000000001" customHeight="1">
      <c r="A8" s="163">
        <f>ELEC!C8</f>
        <v>44413</v>
      </c>
      <c r="B8" s="650">
        <v>1086046</v>
      </c>
      <c r="C8" s="262">
        <f t="shared" si="0"/>
        <v>567</v>
      </c>
      <c r="D8" s="305">
        <f t="shared" si="7"/>
        <v>568</v>
      </c>
      <c r="E8" s="305">
        <f t="shared" si="12"/>
        <v>1086047</v>
      </c>
      <c r="F8" s="650">
        <v>158658</v>
      </c>
      <c r="G8" s="160">
        <f t="shared" si="1"/>
        <v>143</v>
      </c>
      <c r="H8" s="650">
        <v>530902</v>
      </c>
      <c r="I8" s="161">
        <f t="shared" si="2"/>
        <v>119</v>
      </c>
      <c r="J8" s="650">
        <v>396485</v>
      </c>
      <c r="K8" s="162">
        <f>J8-J7</f>
        <v>306</v>
      </c>
      <c r="L8" s="293">
        <f t="shared" si="4"/>
        <v>30.354892205638475</v>
      </c>
      <c r="M8" s="293">
        <f t="shared" si="5"/>
        <v>8.841127694859038</v>
      </c>
      <c r="N8" s="293">
        <f t="shared" si="6"/>
        <v>16.238805970149254</v>
      </c>
      <c r="O8" s="293">
        <f t="shared" si="9"/>
        <v>154.80303857058792</v>
      </c>
      <c r="P8" s="294">
        <f t="shared" si="10"/>
        <v>210.23786444123468</v>
      </c>
      <c r="Q8" s="294">
        <f>SUM(-tanks!AX10*tanks!$AU$37)</f>
        <v>12106.410193548403</v>
      </c>
      <c r="R8" s="294">
        <f t="shared" si="11"/>
        <v>12316.648057989638</v>
      </c>
      <c r="S8" s="296">
        <f>SUM(ELEC!N8)</f>
        <v>14087</v>
      </c>
      <c r="T8" s="332">
        <f>IF(S8&gt;0,R8/S8,0)</f>
        <v>0.87432725619291818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00000000000001" customHeight="1">
      <c r="A9" s="163">
        <f>ELEC!C9</f>
        <v>44414</v>
      </c>
      <c r="B9" s="650">
        <v>1086352</v>
      </c>
      <c r="C9" s="262">
        <f t="shared" si="0"/>
        <v>306</v>
      </c>
      <c r="D9" s="305">
        <f t="shared" si="7"/>
        <v>306</v>
      </c>
      <c r="E9" s="305">
        <f t="shared" si="12"/>
        <v>1086352</v>
      </c>
      <c r="F9" s="650">
        <v>158658</v>
      </c>
      <c r="G9" s="160">
        <f t="shared" si="1"/>
        <v>0</v>
      </c>
      <c r="H9" s="650">
        <v>531147</v>
      </c>
      <c r="I9" s="161">
        <f t="shared" si="2"/>
        <v>245</v>
      </c>
      <c r="J9" s="650">
        <v>396546</v>
      </c>
      <c r="K9" s="162">
        <f>J9-J8</f>
        <v>61</v>
      </c>
      <c r="L9" s="293">
        <f t="shared" si="4"/>
        <v>0</v>
      </c>
      <c r="M9" s="293">
        <f t="shared" si="5"/>
        <v>18.202321724709783</v>
      </c>
      <c r="N9" s="293">
        <f t="shared" si="6"/>
        <v>3.2371475953565505</v>
      </c>
      <c r="O9" s="293">
        <f t="shared" si="9"/>
        <v>154.80303857058792</v>
      </c>
      <c r="P9" s="294">
        <f t="shared" si="10"/>
        <v>176.24250789065425</v>
      </c>
      <c r="Q9" s="294">
        <f>SUM(-tanks!AX11*tanks!$AU$37)</f>
        <v>6446.413161290322</v>
      </c>
      <c r="R9" s="294">
        <f>SUM(P9:Q9)</f>
        <v>6622.6556691809765</v>
      </c>
      <c r="S9" s="296">
        <f>SUM(ELEC!N9)</f>
        <v>16486</v>
      </c>
      <c r="T9" s="332">
        <f t="shared" si="13"/>
        <v>0.40171391903317827</v>
      </c>
      <c r="V9" s="252">
        <f>'[2]EDl log'!V26</f>
        <v>392065</v>
      </c>
      <c r="W9" s="252">
        <f>'[2]EDl log'!W26</f>
        <v>395453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3388</v>
      </c>
      <c r="AB9" s="172">
        <f>'[2]EDl log'!AB26</f>
        <v>271040</v>
      </c>
      <c r="AC9" s="172">
        <f>'[2]EDl log'!AC26</f>
        <v>1033333</v>
      </c>
      <c r="AD9" s="390">
        <f>'[2]EDl log'!AD26</f>
        <v>0.40463458110516931</v>
      </c>
    </row>
    <row r="10" spans="1:32" ht="20.100000000000001" customHeight="1">
      <c r="A10" s="163">
        <f>ELEC!C10</f>
        <v>44415</v>
      </c>
      <c r="B10" s="650">
        <f t="shared" ref="B10:B34" si="14">B9</f>
        <v>1086352</v>
      </c>
      <c r="C10" s="262">
        <f t="shared" si="0"/>
        <v>0</v>
      </c>
      <c r="D10" s="305">
        <f t="shared" si="7"/>
        <v>0</v>
      </c>
      <c r="E10" s="305">
        <f t="shared" si="12"/>
        <v>1086352</v>
      </c>
      <c r="F10" s="650">
        <f t="shared" si="8"/>
        <v>158658</v>
      </c>
      <c r="G10" s="160">
        <f t="shared" si="1"/>
        <v>0</v>
      </c>
      <c r="H10" s="650">
        <f t="shared" ref="H10:H34" si="15">H9</f>
        <v>531147</v>
      </c>
      <c r="I10" s="161">
        <f t="shared" si="2"/>
        <v>0</v>
      </c>
      <c r="J10" s="650">
        <f t="shared" ref="J10:J34" si="16">J9</f>
        <v>396546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9"/>
        <v>154.80303857058792</v>
      </c>
      <c r="P10" s="294">
        <f t="shared" si="10"/>
        <v>154.80303857058792</v>
      </c>
      <c r="Q10" s="294">
        <f>SUM(-tanks!AX12*tanks!$AU$37)</f>
        <v>0</v>
      </c>
      <c r="R10" s="294">
        <f t="shared" si="11"/>
        <v>154.80303857058792</v>
      </c>
      <c r="S10" s="296">
        <f>SUM(ELEC!N10)</f>
        <v>0</v>
      </c>
      <c r="T10" s="332">
        <f t="shared" si="13"/>
        <v>0</v>
      </c>
      <c r="V10" s="252">
        <f>'[2]EDl log'!V27</f>
        <v>524114</v>
      </c>
      <c r="W10" s="252">
        <f>'[2]EDl log'!W27</f>
        <v>528116</v>
      </c>
      <c r="X10" s="172" t="s">
        <v>213</v>
      </c>
      <c r="Y10" s="172">
        <f>'[2]EDl log'!Y27</f>
        <v>112</v>
      </c>
      <c r="Z10" s="172">
        <f>'[2]EDl log'!Z27</f>
        <v>1</v>
      </c>
      <c r="AA10" s="172">
        <f>'[2]EDl log'!AA27</f>
        <v>4002</v>
      </c>
      <c r="AB10" s="172">
        <f>'[2]EDl log'!AB27</f>
        <v>448224</v>
      </c>
      <c r="AC10" s="172">
        <f>'[2]EDl log'!AC27</f>
        <v>6200000</v>
      </c>
      <c r="AD10" s="390">
        <f>'[2]EDl log'!AD27</f>
        <v>0.51586452762923352</v>
      </c>
    </row>
    <row r="11" spans="1:32" ht="20.100000000000001" customHeight="1">
      <c r="A11" s="163">
        <f>ELEC!C11</f>
        <v>44416</v>
      </c>
      <c r="B11" s="650">
        <f t="shared" si="14"/>
        <v>1086352</v>
      </c>
      <c r="C11" s="262">
        <f t="shared" si="0"/>
        <v>0</v>
      </c>
      <c r="D11" s="305">
        <f t="shared" si="7"/>
        <v>0</v>
      </c>
      <c r="E11" s="305">
        <f t="shared" si="12"/>
        <v>1086352</v>
      </c>
      <c r="F11" s="650">
        <f t="shared" si="8"/>
        <v>158658</v>
      </c>
      <c r="G11" s="160">
        <f t="shared" si="1"/>
        <v>0</v>
      </c>
      <c r="H11" s="650">
        <f t="shared" si="15"/>
        <v>531147</v>
      </c>
      <c r="I11" s="161">
        <f t="shared" si="2"/>
        <v>0</v>
      </c>
      <c r="J11" s="650">
        <f t="shared" si="16"/>
        <v>396546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9"/>
        <v>154.80303857058792</v>
      </c>
      <c r="P11" s="294">
        <f t="shared" si="10"/>
        <v>154.80303857058792</v>
      </c>
      <c r="Q11" s="294">
        <f>SUM(-tanks!AX13*tanks!$AU$37)</f>
        <v>0</v>
      </c>
      <c r="R11" s="294">
        <f t="shared" si="11"/>
        <v>154.80303857058792</v>
      </c>
      <c r="S11" s="296">
        <f>SUM(ELEC!N11)</f>
        <v>0</v>
      </c>
      <c r="T11" s="332">
        <f t="shared" si="13"/>
        <v>0</v>
      </c>
      <c r="V11" s="252">
        <f>'[2]EDl log'!V28</f>
        <v>157717</v>
      </c>
      <c r="W11" s="252">
        <f>'[2]EDl log'!W28</f>
        <v>158386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669</v>
      </c>
      <c r="AB11" s="172">
        <f>'[2]EDl log'!AB28</f>
        <v>214080</v>
      </c>
      <c r="AC11" s="172">
        <f>'[2]EDl log'!AC28</f>
        <v>1000</v>
      </c>
      <c r="AD11" s="390">
        <f>'[2]EDl log'!AD28</f>
        <v>7.9500891265597146E-2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44417</v>
      </c>
      <c r="B12" s="650">
        <f t="shared" si="14"/>
        <v>1086352</v>
      </c>
      <c r="C12" s="262">
        <f t="shared" si="0"/>
        <v>0</v>
      </c>
      <c r="D12" s="305">
        <f t="shared" si="7"/>
        <v>0</v>
      </c>
      <c r="E12" s="305">
        <f t="shared" si="12"/>
        <v>1086352</v>
      </c>
      <c r="F12" s="650">
        <f t="shared" si="8"/>
        <v>158658</v>
      </c>
      <c r="G12" s="160">
        <f t="shared" si="1"/>
        <v>0</v>
      </c>
      <c r="H12" s="650">
        <f t="shared" si="15"/>
        <v>531147</v>
      </c>
      <c r="I12" s="161">
        <f t="shared" si="2"/>
        <v>0</v>
      </c>
      <c r="J12" s="650">
        <f t="shared" si="16"/>
        <v>396546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9"/>
        <v>154.80303857058792</v>
      </c>
      <c r="P12" s="294">
        <f t="shared" si="10"/>
        <v>154.80303857058792</v>
      </c>
      <c r="Q12" s="294">
        <f>SUM(-tanks!AX14*tanks!$AU$37)</f>
        <v>0</v>
      </c>
      <c r="R12" s="294">
        <f t="shared" si="11"/>
        <v>154.80303857058792</v>
      </c>
      <c r="S12" s="296">
        <f>SUM(ELEC!N12)</f>
        <v>0</v>
      </c>
      <c r="T12" s="332">
        <f t="shared" si="13"/>
        <v>0</v>
      </c>
      <c r="V12" s="553"/>
      <c r="W12" s="262"/>
      <c r="X12" s="3"/>
      <c r="Y12" s="172">
        <f>'[2]EDl log'!Y29</f>
        <v>0</v>
      </c>
      <c r="Z12" s="172">
        <f>'[2]EDl log'!Z29</f>
        <v>0</v>
      </c>
      <c r="AA12" s="172">
        <f>'[2]EDl log'!AA29</f>
        <v>8059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44418</v>
      </c>
      <c r="B13" s="650">
        <f t="shared" si="14"/>
        <v>1086352</v>
      </c>
      <c r="C13" s="262">
        <f t="shared" si="0"/>
        <v>0</v>
      </c>
      <c r="D13" s="305">
        <f t="shared" si="7"/>
        <v>0</v>
      </c>
      <c r="E13" s="305">
        <f t="shared" si="12"/>
        <v>1086352</v>
      </c>
      <c r="F13" s="650">
        <f t="shared" si="8"/>
        <v>158658</v>
      </c>
      <c r="G13" s="160">
        <f t="shared" si="1"/>
        <v>0</v>
      </c>
      <c r="H13" s="650">
        <f t="shared" si="15"/>
        <v>531147</v>
      </c>
      <c r="I13" s="161">
        <f t="shared" si="2"/>
        <v>0</v>
      </c>
      <c r="J13" s="650">
        <f t="shared" si="16"/>
        <v>396546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9"/>
        <v>154.80303857058792</v>
      </c>
      <c r="P13" s="294">
        <f t="shared" si="10"/>
        <v>154.80303857058792</v>
      </c>
      <c r="Q13" s="294">
        <f>SUM(-tanks!AX15*tanks!$AU$37)</f>
        <v>20748.000000000007</v>
      </c>
      <c r="R13" s="294">
        <f t="shared" si="11"/>
        <v>20902.803038570597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6">
        <f>'[1]EDl log'!W30</f>
        <v>0</v>
      </c>
      <c r="X13" s="496"/>
      <c r="Y13" s="262" t="str">
        <f>'[9]EDl log'!Y30</f>
        <v>Per G</v>
      </c>
      <c r="Z13" s="3"/>
      <c r="AA13" s="3"/>
      <c r="AB13" s="591">
        <f>'[2]EDl log'!$AB$30</f>
        <v>933344</v>
      </c>
      <c r="AC13" s="591">
        <f>'[1]EDl log'!AC30</f>
        <v>0</v>
      </c>
    </row>
    <row r="14" spans="1:32" ht="20.100000000000001" customHeight="1">
      <c r="A14" s="163">
        <f>ELEC!C14</f>
        <v>44419</v>
      </c>
      <c r="B14" s="650">
        <v>1086861</v>
      </c>
      <c r="C14" s="262">
        <f t="shared" si="0"/>
        <v>509</v>
      </c>
      <c r="D14" s="305">
        <f t="shared" si="7"/>
        <v>507</v>
      </c>
      <c r="E14" s="305">
        <f t="shared" si="12"/>
        <v>1086859</v>
      </c>
      <c r="F14" s="650">
        <f t="shared" si="8"/>
        <v>158658</v>
      </c>
      <c r="G14" s="160">
        <f t="shared" si="1"/>
        <v>0</v>
      </c>
      <c r="H14" s="650">
        <v>531514</v>
      </c>
      <c r="I14" s="161">
        <f t="shared" si="2"/>
        <v>367</v>
      </c>
      <c r="J14" s="650">
        <v>396686</v>
      </c>
      <c r="K14" s="162">
        <f>J14-J13</f>
        <v>140</v>
      </c>
      <c r="L14" s="293">
        <f>SUM(G14*$Y$28)/1507.5</f>
        <v>0</v>
      </c>
      <c r="M14" s="293">
        <f>SUM(I14*$Y$27)/1507.5</f>
        <v>27.266334991708128</v>
      </c>
      <c r="N14" s="293">
        <f>SUM(K14*$Y$26)/1507.5</f>
        <v>7.429519071310116</v>
      </c>
      <c r="O14" s="293">
        <f t="shared" si="9"/>
        <v>154.80303857058792</v>
      </c>
      <c r="P14" s="294">
        <f>SUM(L14:O14)</f>
        <v>189.49889263360615</v>
      </c>
      <c r="Q14" s="294">
        <f>SUM(-tanks!AX16*tanks!$AU$37)</f>
        <v>-12809.356258064539</v>
      </c>
      <c r="R14" s="294">
        <f>SUM(P14:Q14)</f>
        <v>-12619.857365430933</v>
      </c>
      <c r="S14" s="296">
        <f>SUM(ELEC!N14)</f>
        <v>17570</v>
      </c>
      <c r="T14" s="332">
        <f>IF(S14&gt;0,R14/S14,0)</f>
        <v>-0.71826165995622837</v>
      </c>
      <c r="V14" s="553" t="str">
        <f>'[7]EDl log'!V31</f>
        <v>Gen RH</v>
      </c>
      <c r="W14" s="577">
        <f>'[2]EDl log'!W33</f>
        <v>479</v>
      </c>
      <c r="X14" s="577">
        <f>'[2]EDl log'!X33</f>
        <v>26.611111111111111</v>
      </c>
      <c r="Y14" s="651">
        <f>'[2]EDl log'!Y33</f>
        <v>26.611111111111111</v>
      </c>
      <c r="Z14" s="262"/>
      <c r="AA14" s="3"/>
      <c r="AB14" s="591">
        <f>'[1]EDl log'!AB31</f>
        <v>0</v>
      </c>
      <c r="AC14" s="591">
        <f>'[1]EDl log'!AC31</f>
        <v>0</v>
      </c>
    </row>
    <row r="15" spans="1:32" ht="20.100000000000001" customHeight="1">
      <c r="A15" s="163">
        <f>ELEC!C15</f>
        <v>44420</v>
      </c>
      <c r="B15" s="650">
        <v>1087118</v>
      </c>
      <c r="C15" s="262">
        <f t="shared" si="0"/>
        <v>257</v>
      </c>
      <c r="D15" s="305">
        <f t="shared" si="7"/>
        <v>259</v>
      </c>
      <c r="E15" s="305">
        <f t="shared" si="12"/>
        <v>1087120</v>
      </c>
      <c r="F15" s="650">
        <v>158658</v>
      </c>
      <c r="G15" s="160">
        <f t="shared" si="1"/>
        <v>0</v>
      </c>
      <c r="H15" s="650">
        <v>531743</v>
      </c>
      <c r="I15" s="161">
        <f t="shared" si="2"/>
        <v>229</v>
      </c>
      <c r="J15" s="650">
        <v>396716</v>
      </c>
      <c r="K15" s="162">
        <f>J15-J14</f>
        <v>30</v>
      </c>
      <c r="L15" s="293">
        <f>SUM(G15*$Y$28)/1507.5</f>
        <v>0</v>
      </c>
      <c r="M15" s="293">
        <f>SUM(I15*$Y$27)/1507.5</f>
        <v>17.013598673300166</v>
      </c>
      <c r="N15" s="293">
        <f>SUM(K15*$Y$26)/1507.5</f>
        <v>1.592039800995025</v>
      </c>
      <c r="O15" s="293">
        <f t="shared" si="9"/>
        <v>154.80303857058792</v>
      </c>
      <c r="P15" s="294">
        <f>SUM(L15:O15)</f>
        <v>173.40867704488312</v>
      </c>
      <c r="Q15" s="294">
        <f>SUM(-tanks!AX17*tanks!$AU$37)</f>
        <v>16781.785548387092</v>
      </c>
      <c r="R15" s="294">
        <f>SUM(P15:Q15)</f>
        <v>16955.194225431977</v>
      </c>
      <c r="S15" s="296">
        <f>SUM(ELEC!N15)</f>
        <v>17457</v>
      </c>
      <c r="T15" s="332">
        <f>IF(S15&gt;0,R15/S15,0)</f>
        <v>0.97125475313238108</v>
      </c>
      <c r="V15" s="553" t="str">
        <f>'[7]EDl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1">
        <f>'[1]EDl log'!AB32</f>
        <v>0</v>
      </c>
      <c r="AC15" s="591">
        <f>'[1]EDl log'!AC32</f>
        <v>0</v>
      </c>
    </row>
    <row r="16" spans="1:32" ht="20.100000000000001" customHeight="1">
      <c r="A16" s="163">
        <f>ELEC!C16</f>
        <v>44421</v>
      </c>
      <c r="B16" s="650">
        <f t="shared" si="14"/>
        <v>1087118</v>
      </c>
      <c r="C16" s="262">
        <f t="shared" si="0"/>
        <v>0</v>
      </c>
      <c r="D16" s="305">
        <f t="shared" si="7"/>
        <v>0</v>
      </c>
      <c r="E16" s="305">
        <f t="shared" si="12"/>
        <v>1087118</v>
      </c>
      <c r="F16" s="650">
        <f t="shared" si="8"/>
        <v>158658</v>
      </c>
      <c r="G16" s="160">
        <f t="shared" si="1"/>
        <v>0</v>
      </c>
      <c r="H16" s="650">
        <f t="shared" si="15"/>
        <v>531743</v>
      </c>
      <c r="I16" s="161">
        <f t="shared" si="2"/>
        <v>0</v>
      </c>
      <c r="J16" s="650">
        <f t="shared" si="16"/>
        <v>396716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9"/>
        <v>154.80303857058792</v>
      </c>
      <c r="P16" s="294">
        <f>SUM(L16:O16)</f>
        <v>154.80303857058792</v>
      </c>
      <c r="Q16" s="294">
        <f>SUM(-tanks!AX18*tanks!$AU$37)</f>
        <v>8694.0812903226069</v>
      </c>
      <c r="R16" s="294">
        <f>SUM(P16:Q16)</f>
        <v>8848.8843288931948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1">
        <f>'[2]EDl log'!AB33</f>
        <v>8167677</v>
      </c>
      <c r="AC16" s="591">
        <f>'[2]EDl log'!AC33</f>
        <v>7234333</v>
      </c>
    </row>
    <row r="17" spans="1:32" ht="20.100000000000001" customHeight="1">
      <c r="A17" s="163">
        <f>ELEC!C17</f>
        <v>44422</v>
      </c>
      <c r="B17" s="650">
        <f t="shared" si="14"/>
        <v>1087118</v>
      </c>
      <c r="C17" s="262">
        <f t="shared" si="0"/>
        <v>0</v>
      </c>
      <c r="D17" s="305">
        <f t="shared" si="7"/>
        <v>0</v>
      </c>
      <c r="E17" s="305">
        <f t="shared" si="12"/>
        <v>1087118</v>
      </c>
      <c r="F17" s="650">
        <f t="shared" si="8"/>
        <v>158658</v>
      </c>
      <c r="G17" s="160">
        <f>F17-F16</f>
        <v>0</v>
      </c>
      <c r="H17" s="650">
        <f t="shared" si="15"/>
        <v>531743</v>
      </c>
      <c r="I17" s="161">
        <f t="shared" si="2"/>
        <v>0</v>
      </c>
      <c r="J17" s="650">
        <f t="shared" si="16"/>
        <v>396716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9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8">
        <f>'[10]EDl log'!AA34</f>
        <v>0.11</v>
      </c>
      <c r="AB17" s="591">
        <f>'[1]EDl log'!AB34</f>
        <v>0</v>
      </c>
      <c r="AC17" s="591">
        <f>'[1]EDl log'!AC34</f>
        <v>0</v>
      </c>
    </row>
    <row r="18" spans="1:32" ht="20.100000000000001" customHeight="1" thickBot="1">
      <c r="A18" s="163">
        <f>ELEC!C18</f>
        <v>44423</v>
      </c>
      <c r="B18" s="650">
        <f t="shared" si="14"/>
        <v>1087118</v>
      </c>
      <c r="C18" s="262">
        <f>SUM(B18-B17)</f>
        <v>0</v>
      </c>
      <c r="D18" s="305">
        <f>SUM(G18+I18+K18)</f>
        <v>0</v>
      </c>
      <c r="E18" s="305">
        <f t="shared" si="12"/>
        <v>1087118</v>
      </c>
      <c r="F18" s="650">
        <f t="shared" si="8"/>
        <v>158658</v>
      </c>
      <c r="G18" s="160">
        <f t="shared" si="1"/>
        <v>0</v>
      </c>
      <c r="H18" s="650">
        <f t="shared" si="15"/>
        <v>531743</v>
      </c>
      <c r="I18" s="161">
        <f t="shared" si="2"/>
        <v>0</v>
      </c>
      <c r="J18" s="650">
        <f t="shared" si="16"/>
        <v>396716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9"/>
        <v>154.80303857058792</v>
      </c>
      <c r="P18" s="294">
        <f t="shared" si="10"/>
        <v>154.80303857058792</v>
      </c>
      <c r="Q18" s="294">
        <f>SUM(-tanks!AX20*tanks!$AU$37)</f>
        <v>0</v>
      </c>
      <c r="R18" s="294">
        <f t="shared" si="11"/>
        <v>154.80303857058792</v>
      </c>
      <c r="S18" s="296">
        <f>SUM(ELEC!N18)</f>
        <v>0</v>
      </c>
      <c r="T18" s="332">
        <f t="shared" si="13"/>
        <v>0</v>
      </c>
      <c r="V18" s="226"/>
      <c r="W18" s="227"/>
      <c r="X18" s="227"/>
      <c r="Y18" s="426"/>
      <c r="Z18" s="496"/>
      <c r="AA18" s="568"/>
      <c r="AB18" s="591">
        <f>'[1]EDl log'!AB35</f>
        <v>0</v>
      </c>
      <c r="AC18" s="591">
        <f>'[1]EDl log'!AC35</f>
        <v>0</v>
      </c>
    </row>
    <row r="19" spans="1:32" ht="20.100000000000001" customHeight="1" thickBot="1">
      <c r="A19" s="163">
        <f>ELEC!C19</f>
        <v>44424</v>
      </c>
      <c r="B19" s="650">
        <f t="shared" si="14"/>
        <v>1087118</v>
      </c>
      <c r="C19" s="262">
        <f t="shared" si="0"/>
        <v>0</v>
      </c>
      <c r="D19" s="305">
        <f t="shared" si="7"/>
        <v>0</v>
      </c>
      <c r="E19" s="305">
        <f t="shared" si="12"/>
        <v>1087118</v>
      </c>
      <c r="F19" s="650">
        <f t="shared" si="8"/>
        <v>158658</v>
      </c>
      <c r="G19" s="160">
        <f t="shared" si="1"/>
        <v>0</v>
      </c>
      <c r="H19" s="650">
        <f t="shared" si="15"/>
        <v>531743</v>
      </c>
      <c r="I19" s="161">
        <f t="shared" si="2"/>
        <v>0</v>
      </c>
      <c r="J19" s="650">
        <f t="shared" si="16"/>
        <v>396716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9"/>
        <v>154.80303857058792</v>
      </c>
      <c r="P19" s="294">
        <f t="shared" si="10"/>
        <v>154.80303857058792</v>
      </c>
      <c r="Q19" s="294">
        <f>SUM(-tanks!AX21*tanks!$AU$37)</f>
        <v>-219.33600000000007</v>
      </c>
      <c r="R19" s="294">
        <f t="shared" si="11"/>
        <v>-64.532961429412154</v>
      </c>
      <c r="S19" s="296">
        <f>SUM(ELEC!N19)</f>
        <v>10967</v>
      </c>
      <c r="T19" s="332">
        <f t="shared" si="13"/>
        <v>-5.8842857143623735E-3</v>
      </c>
      <c r="V19" s="226"/>
      <c r="W19" s="227"/>
      <c r="X19" s="227"/>
      <c r="Y19" s="554"/>
      <c r="Z19" s="554"/>
      <c r="AA19" s="568"/>
      <c r="AB19" s="591">
        <f>'[2]EDl log'!$AB$36</f>
        <v>5418.0278606965176</v>
      </c>
      <c r="AC19" s="591">
        <f>'[1]EDl log'!AC36</f>
        <v>0</v>
      </c>
    </row>
    <row r="20" spans="1:32" ht="20.100000000000001" customHeight="1" thickBot="1">
      <c r="A20" s="163">
        <f>ELEC!C20</f>
        <v>44425</v>
      </c>
      <c r="B20" s="650">
        <v>1087593</v>
      </c>
      <c r="C20" s="262">
        <f t="shared" si="0"/>
        <v>475</v>
      </c>
      <c r="D20" s="305">
        <f t="shared" si="7"/>
        <v>475</v>
      </c>
      <c r="E20" s="305">
        <f t="shared" si="12"/>
        <v>1087593</v>
      </c>
      <c r="F20" s="650">
        <v>158731</v>
      </c>
      <c r="G20" s="160">
        <f t="shared" si="1"/>
        <v>73</v>
      </c>
      <c r="H20" s="650">
        <v>531954</v>
      </c>
      <c r="I20" s="161">
        <f t="shared" si="2"/>
        <v>211</v>
      </c>
      <c r="J20" s="650">
        <v>396907</v>
      </c>
      <c r="K20" s="162">
        <f t="shared" si="3"/>
        <v>191</v>
      </c>
      <c r="L20" s="293">
        <f t="shared" si="17"/>
        <v>15.495854063018243</v>
      </c>
      <c r="M20" s="293">
        <f t="shared" si="18"/>
        <v>15.676285240464345</v>
      </c>
      <c r="N20" s="293">
        <f t="shared" si="19"/>
        <v>10.135986733001658</v>
      </c>
      <c r="O20" s="293">
        <f t="shared" si="9"/>
        <v>154.80303857058792</v>
      </c>
      <c r="P20" s="294">
        <f t="shared" si="10"/>
        <v>196.11116460707217</v>
      </c>
      <c r="Q20" s="294">
        <f>SUM(-tanks!AX22*tanks!$AU$37)</f>
        <v>8035.690838709671</v>
      </c>
      <c r="R20" s="294">
        <f t="shared" si="11"/>
        <v>8231.8020033167431</v>
      </c>
      <c r="S20" s="296">
        <f>SUM(ELEC!N20)</f>
        <v>10065</v>
      </c>
      <c r="T20" s="332">
        <f t="shared" si="13"/>
        <v>0.81786408378705844</v>
      </c>
      <c r="V20" t="s">
        <v>411</v>
      </c>
      <c r="AB20" s="552"/>
    </row>
    <row r="21" spans="1:32" ht="20.100000000000001" customHeight="1">
      <c r="A21" s="163">
        <f>ELEC!C21</f>
        <v>44426</v>
      </c>
      <c r="B21" s="650">
        <f t="shared" si="14"/>
        <v>1087593</v>
      </c>
      <c r="C21" s="262">
        <f t="shared" si="0"/>
        <v>0</v>
      </c>
      <c r="D21" s="305">
        <f t="shared" si="7"/>
        <v>0</v>
      </c>
      <c r="E21" s="305">
        <f t="shared" si="12"/>
        <v>1087593</v>
      </c>
      <c r="F21" s="650">
        <f t="shared" si="8"/>
        <v>158731</v>
      </c>
      <c r="G21" s="160">
        <f t="shared" si="1"/>
        <v>0</v>
      </c>
      <c r="H21" s="650">
        <f t="shared" si="15"/>
        <v>531954</v>
      </c>
      <c r="I21" s="161">
        <f t="shared" si="2"/>
        <v>0</v>
      </c>
      <c r="J21" s="650">
        <f t="shared" si="16"/>
        <v>396907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9"/>
        <v>154.80303857058792</v>
      </c>
      <c r="P21" s="294">
        <f t="shared" si="10"/>
        <v>154.80303857058792</v>
      </c>
      <c r="Q21" s="294">
        <f>SUM(-tanks!AX23*tanks!$AU$37)</f>
        <v>0</v>
      </c>
      <c r="R21" s="294">
        <f t="shared" si="11"/>
        <v>154.80303857058792</v>
      </c>
      <c r="S21" s="296">
        <f>SUM(ELEC!N21)</f>
        <v>0</v>
      </c>
      <c r="T21" s="332">
        <f t="shared" si="13"/>
        <v>0</v>
      </c>
      <c r="V21" s="166" t="s">
        <v>201</v>
      </c>
      <c r="W21" s="167">
        <v>44409</v>
      </c>
      <c r="X21" s="168"/>
      <c r="Y21" s="168"/>
      <c r="Z21" s="169" t="s">
        <v>202</v>
      </c>
      <c r="AA21" s="168"/>
      <c r="AB21" s="692"/>
      <c r="AC21" s="693"/>
    </row>
    <row r="22" spans="1:32" ht="20.100000000000001" customHeight="1">
      <c r="A22" s="163">
        <f>ELEC!C22</f>
        <v>44427</v>
      </c>
      <c r="B22" s="650">
        <f t="shared" si="14"/>
        <v>1087593</v>
      </c>
      <c r="C22" s="262">
        <f t="shared" si="0"/>
        <v>0</v>
      </c>
      <c r="D22" s="305">
        <f t="shared" si="7"/>
        <v>0</v>
      </c>
      <c r="E22" s="305">
        <f t="shared" si="12"/>
        <v>1087593</v>
      </c>
      <c r="F22" s="650">
        <f t="shared" si="8"/>
        <v>158731</v>
      </c>
      <c r="G22" s="160">
        <f t="shared" si="1"/>
        <v>0</v>
      </c>
      <c r="H22" s="650">
        <f t="shared" si="15"/>
        <v>531954</v>
      </c>
      <c r="I22" s="161">
        <f t="shared" si="2"/>
        <v>0</v>
      </c>
      <c r="J22" s="650">
        <f t="shared" si="16"/>
        <v>396907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9"/>
        <v>154.80303857058792</v>
      </c>
      <c r="P22" s="294">
        <f t="shared" si="10"/>
        <v>154.80303857058792</v>
      </c>
      <c r="Q22" s="294">
        <f>SUM(-tanks!AX24*tanks!$AU$37)</f>
        <v>0</v>
      </c>
      <c r="R22" s="294">
        <f t="shared" si="11"/>
        <v>154.80303857058792</v>
      </c>
      <c r="S22" s="296">
        <f>SUM(ELEC!N22)</f>
        <v>0</v>
      </c>
      <c r="T22" s="332">
        <f t="shared" si="13"/>
        <v>0</v>
      </c>
      <c r="V22" s="698"/>
      <c r="W22" s="699"/>
      <c r="X22" s="699"/>
      <c r="Y22" s="700"/>
      <c r="Z22" s="26" t="s">
        <v>203</v>
      </c>
      <c r="AA22" s="26">
        <v>5000</v>
      </c>
      <c r="AB22" s="694"/>
      <c r="AC22" s="695"/>
    </row>
    <row r="23" spans="1:32" ht="20.100000000000001" customHeight="1">
      <c r="A23" s="163">
        <f>ELEC!C23</f>
        <v>44428</v>
      </c>
      <c r="B23" s="650">
        <f t="shared" si="14"/>
        <v>1087593</v>
      </c>
      <c r="C23" s="262">
        <f t="shared" si="0"/>
        <v>0</v>
      </c>
      <c r="D23" s="305">
        <f t="shared" si="7"/>
        <v>0</v>
      </c>
      <c r="E23" s="305">
        <f t="shared" si="12"/>
        <v>1087593</v>
      </c>
      <c r="F23" s="650">
        <f t="shared" si="8"/>
        <v>158731</v>
      </c>
      <c r="G23" s="160">
        <f t="shared" si="1"/>
        <v>0</v>
      </c>
      <c r="H23" s="650">
        <f t="shared" si="15"/>
        <v>531954</v>
      </c>
      <c r="I23" s="161">
        <f t="shared" si="2"/>
        <v>0</v>
      </c>
      <c r="J23" s="650">
        <f t="shared" si="16"/>
        <v>396907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9"/>
        <v>154.80303857058792</v>
      </c>
      <c r="P23" s="294">
        <f t="shared" si="10"/>
        <v>154.80303857058792</v>
      </c>
      <c r="Q23" s="294">
        <f>SUM(-tanks!AX25*tanks!$AU$37)</f>
        <v>0</v>
      </c>
      <c r="R23" s="294">
        <f t="shared" si="11"/>
        <v>154.80303857058792</v>
      </c>
      <c r="S23" s="296">
        <f>SUM(ELEC!N23)</f>
        <v>0</v>
      </c>
      <c r="T23" s="332">
        <f t="shared" si="13"/>
        <v>0</v>
      </c>
      <c r="V23" s="701"/>
      <c r="W23" s="702"/>
      <c r="X23" s="702"/>
      <c r="Y23" s="703"/>
      <c r="Z23" s="704"/>
      <c r="AA23" s="705"/>
      <c r="AB23" s="694"/>
      <c r="AC23" s="695"/>
    </row>
    <row r="24" spans="1:32" ht="20.100000000000001" customHeight="1">
      <c r="A24" s="163">
        <f>ELEC!C24</f>
        <v>44429</v>
      </c>
      <c r="B24" s="650">
        <f t="shared" si="14"/>
        <v>1087593</v>
      </c>
      <c r="C24" s="262">
        <f t="shared" si="0"/>
        <v>0</v>
      </c>
      <c r="D24" s="305">
        <f t="shared" si="7"/>
        <v>0</v>
      </c>
      <c r="E24" s="305">
        <f t="shared" si="12"/>
        <v>1087593</v>
      </c>
      <c r="F24" s="650">
        <f t="shared" si="8"/>
        <v>158731</v>
      </c>
      <c r="G24" s="160">
        <f t="shared" si="1"/>
        <v>0</v>
      </c>
      <c r="H24" s="650">
        <f t="shared" si="15"/>
        <v>531954</v>
      </c>
      <c r="I24" s="161">
        <f t="shared" si="2"/>
        <v>0</v>
      </c>
      <c r="J24" s="650">
        <f t="shared" si="16"/>
        <v>396907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9"/>
        <v>154.80303857058792</v>
      </c>
      <c r="P24" s="294">
        <f t="shared" si="10"/>
        <v>154.80303857058792</v>
      </c>
      <c r="Q24" s="294">
        <f>SUM(-tanks!AX26*tanks!$AU$37)</f>
        <v>0</v>
      </c>
      <c r="R24" s="294">
        <f t="shared" si="11"/>
        <v>154.80303857058792</v>
      </c>
      <c r="S24" s="296">
        <f>SUM(ELEC!N24)</f>
        <v>0</v>
      </c>
      <c r="T24" s="332">
        <f t="shared" si="13"/>
        <v>0</v>
      </c>
      <c r="V24" s="706" t="s">
        <v>204</v>
      </c>
      <c r="W24" s="707"/>
      <c r="X24" s="708" t="s">
        <v>205</v>
      </c>
      <c r="Y24" s="709"/>
      <c r="Z24" s="710"/>
      <c r="AA24" s="170"/>
      <c r="AB24" s="696"/>
      <c r="AC24" s="697"/>
    </row>
    <row r="25" spans="1:32" ht="20.100000000000001" customHeight="1">
      <c r="A25" s="163">
        <f>ELEC!C25</f>
        <v>44430</v>
      </c>
      <c r="B25" s="650">
        <v>1087733</v>
      </c>
      <c r="C25" s="262">
        <f t="shared" si="0"/>
        <v>140</v>
      </c>
      <c r="D25" s="305">
        <f t="shared" si="7"/>
        <v>141</v>
      </c>
      <c r="E25" s="305">
        <f t="shared" si="12"/>
        <v>1087734</v>
      </c>
      <c r="F25" s="650">
        <v>158731</v>
      </c>
      <c r="G25" s="160">
        <f t="shared" si="1"/>
        <v>0</v>
      </c>
      <c r="H25" s="650">
        <v>531990</v>
      </c>
      <c r="I25" s="161">
        <f t="shared" si="2"/>
        <v>36</v>
      </c>
      <c r="J25" s="650">
        <v>397012</v>
      </c>
      <c r="K25" s="162">
        <f t="shared" si="3"/>
        <v>105</v>
      </c>
      <c r="L25" s="293">
        <f t="shared" si="17"/>
        <v>0</v>
      </c>
      <c r="M25" s="293">
        <f t="shared" si="18"/>
        <v>2.6746268656716419</v>
      </c>
      <c r="N25" s="293">
        <f t="shared" si="19"/>
        <v>5.5721393034825875</v>
      </c>
      <c r="O25" s="293">
        <f t="shared" si="9"/>
        <v>154.80303857058792</v>
      </c>
      <c r="P25" s="294">
        <f t="shared" si="10"/>
        <v>163.04980473974214</v>
      </c>
      <c r="Q25" s="294">
        <f>SUM(-tanks!AX27*tanks!$AU$37)</f>
        <v>11557.840722580682</v>
      </c>
      <c r="R25" s="294">
        <f t="shared" si="11"/>
        <v>11720.890527320424</v>
      </c>
      <c r="S25" s="296">
        <f>SUM(ELEC!N25)</f>
        <v>12009</v>
      </c>
      <c r="T25" s="332">
        <f t="shared" si="13"/>
        <v>0.9760088706237342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44431</v>
      </c>
      <c r="B26" s="650">
        <f t="shared" si="14"/>
        <v>1087733</v>
      </c>
      <c r="C26" s="262">
        <f t="shared" si="0"/>
        <v>0</v>
      </c>
      <c r="D26" s="305">
        <f t="shared" si="7"/>
        <v>0</v>
      </c>
      <c r="E26" s="305">
        <f t="shared" si="12"/>
        <v>1087733</v>
      </c>
      <c r="F26" s="650">
        <f t="shared" si="8"/>
        <v>158731</v>
      </c>
      <c r="G26" s="160">
        <f t="shared" si="1"/>
        <v>0</v>
      </c>
      <c r="H26" s="650">
        <f t="shared" si="15"/>
        <v>531990</v>
      </c>
      <c r="I26" s="161">
        <f t="shared" si="2"/>
        <v>0</v>
      </c>
      <c r="J26" s="650">
        <f t="shared" si="16"/>
        <v>397012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9"/>
        <v>154.80303857058792</v>
      </c>
      <c r="P26" s="294">
        <f t="shared" si="10"/>
        <v>154.80303857058792</v>
      </c>
      <c r="Q26" s="294">
        <f>SUM(-tanks!AX28*tanks!$AU$37)</f>
        <v>8926.8987096773981</v>
      </c>
      <c r="R26" s="294">
        <f t="shared" si="11"/>
        <v>9081.701748247986</v>
      </c>
      <c r="S26" s="296">
        <f>SUM(ELEC!N26)</f>
        <v>10124</v>
      </c>
      <c r="T26" s="332">
        <f t="shared" si="13"/>
        <v>0.89704679457210446</v>
      </c>
      <c r="V26" s="252">
        <f>W9</f>
        <v>395453</v>
      </c>
      <c r="W26" s="170">
        <f>J33</f>
        <v>397435</v>
      </c>
      <c r="X26" s="172" t="s">
        <v>199</v>
      </c>
      <c r="Y26" s="172">
        <v>80</v>
      </c>
      <c r="Z26" s="172">
        <v>1</v>
      </c>
      <c r="AA26" s="334">
        <f>(W26-V26)*Z26</f>
        <v>1982</v>
      </c>
      <c r="AB26" s="334">
        <f>AA26*Y26</f>
        <v>158560</v>
      </c>
      <c r="AC26" s="247">
        <f>AC9</f>
        <v>1033333</v>
      </c>
      <c r="AD26" s="495">
        <f>SUM(K36)</f>
        <v>0.27699464336058643</v>
      </c>
    </row>
    <row r="27" spans="1:32" ht="20.100000000000001" customHeight="1">
      <c r="A27" s="163">
        <f>ELEC!C27</f>
        <v>44432</v>
      </c>
      <c r="B27" s="650">
        <v>1088551</v>
      </c>
      <c r="C27" s="262">
        <f t="shared" si="0"/>
        <v>818</v>
      </c>
      <c r="D27" s="305">
        <f t="shared" si="7"/>
        <v>818</v>
      </c>
      <c r="E27" s="305">
        <f t="shared" si="12"/>
        <v>1088551</v>
      </c>
      <c r="F27" s="650">
        <v>158913</v>
      </c>
      <c r="G27" s="160">
        <f t="shared" si="1"/>
        <v>182</v>
      </c>
      <c r="H27" s="650">
        <v>532573</v>
      </c>
      <c r="I27" s="161">
        <f t="shared" si="2"/>
        <v>583</v>
      </c>
      <c r="J27" s="650">
        <v>397065</v>
      </c>
      <c r="K27" s="162">
        <f t="shared" si="3"/>
        <v>53</v>
      </c>
      <c r="L27" s="293">
        <f t="shared" si="17"/>
        <v>38.633499170812605</v>
      </c>
      <c r="M27" s="293">
        <f t="shared" si="18"/>
        <v>43.314096185737974</v>
      </c>
      <c r="N27" s="293">
        <f t="shared" si="19"/>
        <v>2.812603648424544</v>
      </c>
      <c r="O27" s="293">
        <f t="shared" si="9"/>
        <v>154.80303857058792</v>
      </c>
      <c r="P27" s="294">
        <f t="shared" si="10"/>
        <v>239.56323757556305</v>
      </c>
      <c r="Q27" s="294">
        <f>SUM(-tanks!AX29*tanks!$AU$37)</f>
        <v>12564.77845161294</v>
      </c>
      <c r="R27" s="294">
        <f t="shared" si="11"/>
        <v>12804.341689188503</v>
      </c>
      <c r="S27" s="296">
        <f>SUM(ELEC!N27)</f>
        <v>17496</v>
      </c>
      <c r="T27" s="332">
        <f t="shared" si="13"/>
        <v>0.73184394656998752</v>
      </c>
      <c r="V27" s="252">
        <f>W10</f>
        <v>528116</v>
      </c>
      <c r="W27" s="170">
        <f>H33</f>
        <v>533058</v>
      </c>
      <c r="X27" s="172" t="s">
        <v>213</v>
      </c>
      <c r="Y27" s="172">
        <v>112</v>
      </c>
      <c r="Z27" s="172">
        <v>1</v>
      </c>
      <c r="AA27" s="334">
        <f>(W27-V27)*Z27</f>
        <v>4942</v>
      </c>
      <c r="AB27" s="334">
        <f>SUM(AA27*Y27)</f>
        <v>553504</v>
      </c>
      <c r="AC27" s="247">
        <f>AC10</f>
        <v>6200000</v>
      </c>
      <c r="AD27" s="495">
        <f>SUM(I36)</f>
        <v>0.64885819001973499</v>
      </c>
    </row>
    <row r="28" spans="1:32" ht="20.100000000000001" customHeight="1">
      <c r="A28" s="163">
        <f>ELEC!C28</f>
        <v>44433</v>
      </c>
      <c r="B28" s="650">
        <v>1089005</v>
      </c>
      <c r="C28" s="262">
        <f t="shared" si="0"/>
        <v>454</v>
      </c>
      <c r="D28" s="305">
        <f t="shared" si="7"/>
        <v>454</v>
      </c>
      <c r="E28" s="305">
        <f t="shared" si="12"/>
        <v>1089005</v>
      </c>
      <c r="F28" s="650">
        <v>158913</v>
      </c>
      <c r="G28" s="160">
        <f t="shared" si="1"/>
        <v>0</v>
      </c>
      <c r="H28" s="650">
        <v>532853</v>
      </c>
      <c r="I28" s="161">
        <f t="shared" si="2"/>
        <v>280</v>
      </c>
      <c r="J28" s="650">
        <v>397239</v>
      </c>
      <c r="K28" s="162">
        <f t="shared" si="3"/>
        <v>174</v>
      </c>
      <c r="L28" s="293">
        <f t="shared" si="17"/>
        <v>0</v>
      </c>
      <c r="M28" s="293">
        <f t="shared" si="18"/>
        <v>20.802653399668326</v>
      </c>
      <c r="N28" s="293">
        <f t="shared" si="19"/>
        <v>9.2338308457711449</v>
      </c>
      <c r="O28" s="293">
        <f t="shared" si="9"/>
        <v>154.80303857058792</v>
      </c>
      <c r="P28" s="294">
        <f t="shared" si="10"/>
        <v>184.8395228160274</v>
      </c>
      <c r="Q28" s="294">
        <f>SUM(-tanks!AX30*tanks!$AU$37)</f>
        <v>12497.37135483868</v>
      </c>
      <c r="R28" s="294">
        <f t="shared" si="11"/>
        <v>12682.210877654708</v>
      </c>
      <c r="S28" s="296">
        <f>SUM(ELEC!N28)</f>
        <v>15450</v>
      </c>
      <c r="T28" s="332">
        <f t="shared" si="13"/>
        <v>0.82085507298735971</v>
      </c>
      <c r="V28" s="252">
        <f>W11</f>
        <v>158386</v>
      </c>
      <c r="W28" s="170">
        <f>F33</f>
        <v>158913</v>
      </c>
      <c r="X28" s="172" t="s">
        <v>197</v>
      </c>
      <c r="Y28" s="172">
        <v>320</v>
      </c>
      <c r="Z28" s="172">
        <v>1</v>
      </c>
      <c r="AA28" s="334">
        <f>(W28-V28)*Z28</f>
        <v>527</v>
      </c>
      <c r="AB28" s="334">
        <f>SUM(AA28*Y28)</f>
        <v>168640</v>
      </c>
      <c r="AC28" s="247">
        <f>AC11</f>
        <v>1000</v>
      </c>
      <c r="AD28" s="495">
        <f>SUM(G36)</f>
        <v>7.4288130814773048E-2</v>
      </c>
      <c r="AE28" s="40">
        <f>SUM(AB28*5%)</f>
        <v>8432</v>
      </c>
      <c r="AF28" s="82">
        <f>SUM(AE28/7)*31</f>
        <v>37341.71428571429</v>
      </c>
    </row>
    <row r="29" spans="1:32" ht="20.100000000000001" customHeight="1">
      <c r="A29" s="163">
        <f>ELEC!C29</f>
        <v>44434</v>
      </c>
      <c r="B29" s="650">
        <v>1089407</v>
      </c>
      <c r="C29" s="262">
        <f t="shared" si="0"/>
        <v>402</v>
      </c>
      <c r="D29" s="305">
        <f t="shared" si="7"/>
        <v>401</v>
      </c>
      <c r="E29" s="305">
        <f t="shared" si="12"/>
        <v>1089406</v>
      </c>
      <c r="F29" s="650">
        <v>158913</v>
      </c>
      <c r="G29" s="160">
        <f t="shared" si="1"/>
        <v>0</v>
      </c>
      <c r="H29" s="650">
        <v>533058</v>
      </c>
      <c r="I29" s="161">
        <f t="shared" si="2"/>
        <v>205</v>
      </c>
      <c r="J29" s="650">
        <v>397435</v>
      </c>
      <c r="K29" s="162">
        <f t="shared" si="3"/>
        <v>196</v>
      </c>
      <c r="L29" s="293">
        <f t="shared" si="17"/>
        <v>0</v>
      </c>
      <c r="M29" s="293">
        <f t="shared" si="18"/>
        <v>15.230514096185738</v>
      </c>
      <c r="N29" s="293">
        <f t="shared" si="19"/>
        <v>10.401326699834163</v>
      </c>
      <c r="O29" s="293">
        <f t="shared" si="9"/>
        <v>154.80303857058792</v>
      </c>
      <c r="P29" s="294">
        <f t="shared" si="10"/>
        <v>180.43487936660782</v>
      </c>
      <c r="Q29" s="294">
        <f>SUM(-tanks!AX31*tanks!$AU$37)</f>
        <v>15245.381806451638</v>
      </c>
      <c r="R29" s="294">
        <f t="shared" si="11"/>
        <v>15425.816685818247</v>
      </c>
      <c r="S29" s="296">
        <f>SUM(ELEC!N29)</f>
        <v>16603</v>
      </c>
      <c r="T29" s="332">
        <f t="shared" si="13"/>
        <v>0.92909815610541746</v>
      </c>
      <c r="V29" s="213"/>
      <c r="W29" s="214"/>
      <c r="X29" s="214"/>
      <c r="Y29" s="215"/>
      <c r="Z29" s="3"/>
      <c r="AA29" s="334">
        <f>SUM(AA26:AA28)</f>
        <v>7451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44435</v>
      </c>
      <c r="B30" s="650">
        <f t="shared" si="14"/>
        <v>1089407</v>
      </c>
      <c r="C30" s="262">
        <f t="shared" si="0"/>
        <v>0</v>
      </c>
      <c r="D30" s="305">
        <f t="shared" si="7"/>
        <v>0</v>
      </c>
      <c r="E30" s="305">
        <f t="shared" si="12"/>
        <v>1089407</v>
      </c>
      <c r="F30" s="650">
        <f t="shared" si="8"/>
        <v>158913</v>
      </c>
      <c r="G30" s="160">
        <f t="shared" si="1"/>
        <v>0</v>
      </c>
      <c r="H30" s="650">
        <f t="shared" si="15"/>
        <v>533058</v>
      </c>
      <c r="I30" s="161">
        <f t="shared" si="2"/>
        <v>0</v>
      </c>
      <c r="J30" s="650">
        <f t="shared" si="16"/>
        <v>397435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9"/>
        <v>154.80303857058792</v>
      </c>
      <c r="P30" s="294">
        <f t="shared" si="10"/>
        <v>154.80303857058792</v>
      </c>
      <c r="Q30" s="294">
        <f>SUM(-tanks!AX32*tanks!$AU$37)</f>
        <v>-6645.5748387097137</v>
      </c>
      <c r="R30" s="294">
        <f t="shared" si="11"/>
        <v>-6490.7718001391258</v>
      </c>
      <c r="S30" s="296">
        <f>SUM(ELEC!N30)</f>
        <v>0</v>
      </c>
      <c r="T30" s="332">
        <f t="shared" si="13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880704</v>
      </c>
      <c r="AC30" s="247"/>
    </row>
    <row r="31" spans="1:32" ht="20.100000000000001" customHeight="1">
      <c r="A31" s="163">
        <f>ELEC!C31</f>
        <v>44436</v>
      </c>
      <c r="B31" s="650">
        <f t="shared" si="14"/>
        <v>1089407</v>
      </c>
      <c r="C31" s="262">
        <f>SUM(B31-B30)</f>
        <v>0</v>
      </c>
      <c r="D31" s="305">
        <f t="shared" si="7"/>
        <v>0</v>
      </c>
      <c r="E31" s="305">
        <f>B30+D31</f>
        <v>1089407</v>
      </c>
      <c r="F31" s="650">
        <f t="shared" si="8"/>
        <v>158913</v>
      </c>
      <c r="G31" s="160">
        <f>F31-F30</f>
        <v>0</v>
      </c>
      <c r="H31" s="650">
        <f t="shared" si="15"/>
        <v>533058</v>
      </c>
      <c r="I31" s="161">
        <f>H31-H30</f>
        <v>0</v>
      </c>
      <c r="J31" s="650">
        <f t="shared" si="16"/>
        <v>397435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9"/>
        <v>154.80303857058792</v>
      </c>
      <c r="P31" s="294">
        <f>SUM(L31:O31)</f>
        <v>154.80303857058792</v>
      </c>
      <c r="Q31" s="294">
        <f>SUM(-tanks!AX33*tanks!$AU$37)</f>
        <v>15397.980000000005</v>
      </c>
      <c r="R31" s="294">
        <f>SUM(P31:Q31)</f>
        <v>15552.783038570593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44437</v>
      </c>
      <c r="B32" s="650">
        <f t="shared" si="14"/>
        <v>1089407</v>
      </c>
      <c r="C32" s="262">
        <f>SUM(B32-B31)</f>
        <v>0</v>
      </c>
      <c r="D32" s="305">
        <f t="shared" si="7"/>
        <v>0</v>
      </c>
      <c r="E32" s="305">
        <f>B31+D32</f>
        <v>1089407</v>
      </c>
      <c r="F32" s="650">
        <f t="shared" si="8"/>
        <v>158913</v>
      </c>
      <c r="G32" s="160">
        <f>F32-F31</f>
        <v>0</v>
      </c>
      <c r="H32" s="650">
        <f t="shared" si="15"/>
        <v>533058</v>
      </c>
      <c r="I32" s="161">
        <f>H32-H31</f>
        <v>0</v>
      </c>
      <c r="J32" s="650">
        <f t="shared" si="16"/>
        <v>397435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9"/>
        <v>154.80303857058792</v>
      </c>
      <c r="P32" s="294">
        <f>SUM(L32:O32)</f>
        <v>154.80303857058792</v>
      </c>
      <c r="Q32" s="294">
        <f>SUM(-tanks!AX34*tanks!$AU$37)</f>
        <v>-376.42800000000011</v>
      </c>
      <c r="R32" s="294">
        <f>SUM(P32:Q32)</f>
        <v>-221.6249614294122</v>
      </c>
      <c r="S32" s="296">
        <f>SUM(ELEC!N32)</f>
        <v>16833</v>
      </c>
      <c r="T32" s="332">
        <f>IF(S32&gt;0,R32/S32,0)</f>
        <v>-1.3166100007688005E-2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44438</v>
      </c>
      <c r="B33" s="650">
        <f t="shared" si="14"/>
        <v>1089407</v>
      </c>
      <c r="C33" s="262">
        <f>SUM(B33-B32)</f>
        <v>0</v>
      </c>
      <c r="D33" s="305">
        <f t="shared" si="7"/>
        <v>0</v>
      </c>
      <c r="E33" s="305">
        <f>B32+D33</f>
        <v>1089407</v>
      </c>
      <c r="F33" s="650">
        <f t="shared" si="8"/>
        <v>158913</v>
      </c>
      <c r="G33" s="160">
        <f>F33-F32</f>
        <v>0</v>
      </c>
      <c r="H33" s="650">
        <f t="shared" si="15"/>
        <v>533058</v>
      </c>
      <c r="I33" s="161">
        <f>H33-H32</f>
        <v>0</v>
      </c>
      <c r="J33" s="650">
        <f t="shared" si="16"/>
        <v>397435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9"/>
        <v>154.80303857058792</v>
      </c>
      <c r="P33" s="294">
        <f>SUM(L33:O33)</f>
        <v>154.80303857058792</v>
      </c>
      <c r="Q33" s="294">
        <f>SUM(-tanks!AX35*tanks!$AU$37)</f>
        <v>5614.5809032258721</v>
      </c>
      <c r="R33" s="294">
        <f>SUM(P33:Q33)</f>
        <v>5769.38394179646</v>
      </c>
      <c r="S33" s="296">
        <f>SUM(ELEC!N33)</f>
        <v>7730</v>
      </c>
      <c r="T33" s="332">
        <f>IF(S33&gt;0,R33/S33,0)</f>
        <v>0.74636273503188355</v>
      </c>
      <c r="V33" s="216" t="s">
        <v>317</v>
      </c>
      <c r="W33" s="577">
        <f>'Utility Cost '!B18</f>
        <v>316</v>
      </c>
      <c r="X33" s="222">
        <f>SUM(W33/A35)</f>
        <v>26.333333333333332</v>
      </c>
      <c r="Y33" s="258">
        <f>SUM(X33/1)</f>
        <v>26.333333333333332</v>
      </c>
      <c r="Z33" s="3"/>
      <c r="AA33" s="3"/>
      <c r="AB33" s="529">
        <f>SUM(AB30+AC33)</f>
        <v>8115037</v>
      </c>
      <c r="AC33" s="247">
        <f>SUM(AC29)</f>
        <v>7234333</v>
      </c>
    </row>
    <row r="34" spans="1:32" ht="20.100000000000001" customHeight="1">
      <c r="A34" s="163">
        <f>ELEC!C34</f>
        <v>44439</v>
      </c>
      <c r="B34" s="650">
        <f t="shared" si="14"/>
        <v>1089407</v>
      </c>
      <c r="C34" s="262">
        <f>SUM(B34-B33)</f>
        <v>0</v>
      </c>
      <c r="D34" s="305">
        <f t="shared" ref="D34" si="20">SUM(G34+I34+K34)</f>
        <v>0</v>
      </c>
      <c r="E34" s="305">
        <f>B33+D34</f>
        <v>1089407</v>
      </c>
      <c r="F34" s="650">
        <f t="shared" si="8"/>
        <v>158913</v>
      </c>
      <c r="G34" s="160">
        <f>F34-F33</f>
        <v>0</v>
      </c>
      <c r="H34" s="650">
        <f t="shared" si="15"/>
        <v>533058</v>
      </c>
      <c r="I34" s="161">
        <f>H34-H33</f>
        <v>0</v>
      </c>
      <c r="J34" s="650">
        <f t="shared" si="16"/>
        <v>397435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9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12</v>
      </c>
      <c r="C35" s="173">
        <f>SUM(C4:C34)/A35</f>
        <v>591.16666666666663</v>
      </c>
      <c r="D35" s="173"/>
      <c r="E35" s="173"/>
      <c r="F35" s="631"/>
      <c r="G35" s="631">
        <f>SUM(G4:G34)/A35</f>
        <v>43.916666666666664</v>
      </c>
      <c r="H35" s="173"/>
      <c r="I35" s="173">
        <f>SUM(I4:I34)/A35</f>
        <v>383.58333333333331</v>
      </c>
      <c r="K35" s="173">
        <f>SUM(K4:K34)/A35</f>
        <v>163.75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5">
        <f>AC33/1507</f>
        <v>4800.4863968148638</v>
      </c>
    </row>
    <row r="36" spans="1:32" ht="15.75" thickBot="1">
      <c r="A36" s="210"/>
      <c r="C36" s="212">
        <f>SUM(G36:K36)</f>
        <v>1.0001409641950945</v>
      </c>
      <c r="G36" s="225">
        <f>IF(C35&gt;0,G35/C35,0)</f>
        <v>7.4288130814773048E-2</v>
      </c>
      <c r="H36" s="212"/>
      <c r="I36" s="225">
        <f>SUM(I35/C35)</f>
        <v>0.64885819001973499</v>
      </c>
      <c r="J36" s="212"/>
      <c r="K36" s="225">
        <f>SUM(K35/C35)</f>
        <v>0.27699464336058643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5383.1091210613595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5383.1091210613595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6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1"/>
      <c r="AC45" s="711"/>
      <c r="AD45" s="586"/>
      <c r="AE45" s="17"/>
      <c r="AF45" s="17"/>
    </row>
    <row r="46" spans="1:32">
      <c r="V46" s="711"/>
      <c r="W46" s="711"/>
      <c r="X46" s="711"/>
      <c r="Y46" s="711"/>
      <c r="Z46" s="533"/>
      <c r="AA46" s="533"/>
      <c r="AB46" s="711"/>
      <c r="AC46" s="711"/>
      <c r="AD46" s="586"/>
      <c r="AE46" s="17"/>
      <c r="AF46" s="17"/>
    </row>
    <row r="47" spans="1:32">
      <c r="V47" s="711"/>
      <c r="W47" s="711"/>
      <c r="X47" s="711"/>
      <c r="Y47" s="711"/>
      <c r="Z47" s="711"/>
      <c r="AA47" s="711"/>
      <c r="AB47" s="711"/>
      <c r="AC47" s="711"/>
      <c r="AD47" s="586"/>
      <c r="AE47" s="17"/>
      <c r="AF47" s="17"/>
    </row>
    <row r="48" spans="1:32">
      <c r="V48" s="712"/>
      <c r="W48" s="712"/>
      <c r="X48" s="713"/>
      <c r="Y48" s="713"/>
      <c r="Z48" s="713"/>
      <c r="AA48" s="534"/>
      <c r="AB48" s="711"/>
      <c r="AC48" s="711"/>
      <c r="AD48" s="586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6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6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6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6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6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6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6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6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6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6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6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6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6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6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6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6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6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6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6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6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6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6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6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6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6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6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6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6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6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6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6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6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E36" sqref="E36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4" t="s">
        <v>193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6"/>
    </row>
    <row r="2" spans="1:15" ht="15.75" customHeight="1" thickBot="1">
      <c r="A2" s="717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9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44408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44409</v>
      </c>
      <c r="B6" s="37">
        <v>31</v>
      </c>
      <c r="C6" s="37">
        <v>27</v>
      </c>
      <c r="D6" s="26">
        <f t="shared" ref="D6:D12" si="0">(C6+B6)/2</f>
        <v>29</v>
      </c>
      <c r="E6" s="336">
        <v>0.74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44410</v>
      </c>
      <c r="B7" s="37">
        <v>31</v>
      </c>
      <c r="C7" s="37">
        <v>26</v>
      </c>
      <c r="D7" s="26">
        <f t="shared" si="0"/>
        <v>28.5</v>
      </c>
      <c r="E7" s="336">
        <v>0.75</v>
      </c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44411</v>
      </c>
      <c r="B8" s="37">
        <v>31</v>
      </c>
      <c r="C8" s="37">
        <v>26</v>
      </c>
      <c r="D8" s="26">
        <f t="shared" si="0"/>
        <v>28.5</v>
      </c>
      <c r="E8" s="336">
        <v>0.75</v>
      </c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44412</v>
      </c>
      <c r="B9" s="37">
        <v>32</v>
      </c>
      <c r="C9" s="37">
        <v>28</v>
      </c>
      <c r="D9" s="26">
        <f>(C9+B9)/2</f>
        <v>30</v>
      </c>
      <c r="E9" s="390">
        <v>0.73</v>
      </c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44413</v>
      </c>
      <c r="B10" s="37">
        <v>31</v>
      </c>
      <c r="C10" s="37">
        <v>28</v>
      </c>
      <c r="D10" s="26">
        <f t="shared" si="0"/>
        <v>29.5</v>
      </c>
      <c r="E10" s="350">
        <v>0.75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44414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44415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44416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44417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44418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44419</v>
      </c>
      <c r="B16" s="37">
        <v>29</v>
      </c>
      <c r="C16" s="37">
        <v>29</v>
      </c>
      <c r="D16" s="26">
        <f t="shared" si="3"/>
        <v>29</v>
      </c>
      <c r="E16" s="336">
        <v>0.79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44420</v>
      </c>
      <c r="B17" s="37">
        <v>29</v>
      </c>
      <c r="C17" s="37">
        <v>32</v>
      </c>
      <c r="D17" s="26">
        <f t="shared" si="3"/>
        <v>30.5</v>
      </c>
      <c r="E17" s="336">
        <v>0.56000000000000005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44421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44422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44423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44424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44425</v>
      </c>
      <c r="B22" s="37">
        <v>29</v>
      </c>
      <c r="C22" s="37">
        <v>32</v>
      </c>
      <c r="D22" s="26">
        <f t="shared" si="3"/>
        <v>30.5</v>
      </c>
      <c r="E22" s="336">
        <v>0.56000000000000005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44426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44427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44428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44429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44430</v>
      </c>
      <c r="B27" s="37">
        <v>28</v>
      </c>
      <c r="C27" s="37">
        <v>31</v>
      </c>
      <c r="D27" s="26">
        <f t="shared" si="3"/>
        <v>29.5</v>
      </c>
      <c r="E27" s="390">
        <v>0.75</v>
      </c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44431</v>
      </c>
      <c r="B28" s="37">
        <v>31</v>
      </c>
      <c r="C28" s="37">
        <v>28</v>
      </c>
      <c r="D28" s="26">
        <f t="shared" si="3"/>
        <v>29.5</v>
      </c>
      <c r="E28" s="390">
        <v>0.72</v>
      </c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44432</v>
      </c>
      <c r="B29" s="37">
        <v>30</v>
      </c>
      <c r="C29" s="37">
        <v>26</v>
      </c>
      <c r="D29" s="26">
        <f t="shared" si="3"/>
        <v>28</v>
      </c>
      <c r="E29" s="336">
        <v>0.69</v>
      </c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44433</v>
      </c>
      <c r="B30" s="37">
        <v>30</v>
      </c>
      <c r="C30" s="37">
        <v>26</v>
      </c>
      <c r="D30" s="26">
        <f t="shared" si="3"/>
        <v>28</v>
      </c>
      <c r="E30" s="336">
        <v>0.69</v>
      </c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44434</v>
      </c>
      <c r="B31" s="37">
        <v>30</v>
      </c>
      <c r="C31" s="37">
        <v>28</v>
      </c>
      <c r="D31" s="26">
        <f t="shared" si="3"/>
        <v>29</v>
      </c>
      <c r="E31" s="337">
        <v>0.5</v>
      </c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44435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44436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44437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44438</v>
      </c>
      <c r="B35" s="37">
        <v>31</v>
      </c>
      <c r="C35" s="37">
        <v>26</v>
      </c>
      <c r="D35" s="26">
        <f>(C35+B35)/2</f>
        <v>28.5</v>
      </c>
      <c r="E35" s="390">
        <v>0.65</v>
      </c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44439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34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5208</v>
      </c>
      <c r="C2" s="3">
        <f>ELEC!N4</f>
        <v>20832</v>
      </c>
      <c r="D2" s="3">
        <f>C2-E2</f>
        <v>5863.0000000026776</v>
      </c>
      <c r="E2" s="3">
        <f>ELEC!Q4</f>
        <v>14968.999999997322</v>
      </c>
      <c r="F2" s="3">
        <f>GEN!Z2</f>
        <v>21</v>
      </c>
      <c r="G2" s="3">
        <f>WATER!C5+WATER!H5</f>
        <v>0</v>
      </c>
      <c r="H2" s="3">
        <f>WATER!L5</f>
        <v>1</v>
      </c>
      <c r="I2" s="15">
        <f>WATER!BC5+WATER!BD5+WATER!BE6-Sheet1!G2</f>
        <v>21.100000000000023</v>
      </c>
      <c r="J2" s="9">
        <f>'B5'!A4</f>
        <v>44408</v>
      </c>
    </row>
    <row r="3" spans="1:10">
      <c r="A3" s="3">
        <f>ELEC!T5+ELEC!X3+ELEC!AB5</f>
        <v>31</v>
      </c>
      <c r="B3" s="3">
        <f>ELEC!AF5</f>
        <v>4722</v>
      </c>
      <c r="C3" s="3">
        <f>ELEC!N5</f>
        <v>15885</v>
      </c>
      <c r="D3" s="3">
        <f t="shared" ref="D3:D30" si="0">C3-E3</f>
        <v>2731.9999999979336</v>
      </c>
      <c r="E3" s="3">
        <f>ELEC!Q5</f>
        <v>13153.000000002066</v>
      </c>
      <c r="F3" s="3">
        <f>GEN!Z3</f>
        <v>19</v>
      </c>
      <c r="G3" s="3">
        <f>WATER!C6+WATER!H6</f>
        <v>217</v>
      </c>
      <c r="H3" s="3">
        <f>WATER!L6</f>
        <v>0</v>
      </c>
      <c r="I3" s="15">
        <f>WATER!BC6+WATER!BD6+WATER!BE7-Sheet1!G3</f>
        <v>-308.39999999999998</v>
      </c>
      <c r="J3" s="9">
        <f>'B5'!A5</f>
        <v>44409</v>
      </c>
    </row>
    <row r="4" spans="1:10">
      <c r="A4" s="3">
        <f>ELEC!T6+ELEC!X6+ELEC!AB6</f>
        <v>18</v>
      </c>
      <c r="B4" s="3">
        <f>ELEC!AF6</f>
        <v>5125</v>
      </c>
      <c r="C4" s="3">
        <f>ELEC!N6</f>
        <v>13819</v>
      </c>
      <c r="D4" s="3">
        <f t="shared" si="0"/>
        <v>1262.9999999995052</v>
      </c>
      <c r="E4" s="3">
        <f>ELEC!Q6</f>
        <v>12556.000000000495</v>
      </c>
      <c r="F4" s="3">
        <f>GEN!Z4</f>
        <v>18</v>
      </c>
      <c r="G4" s="3">
        <f>WATER!C7+WATER!H7</f>
        <v>0</v>
      </c>
      <c r="H4" s="3">
        <f>WATER!L7</f>
        <v>2</v>
      </c>
      <c r="I4" s="15">
        <f>WATER!BC7+WATER!BD7+WATER!BE8-Sheet1!G4</f>
        <v>37.599999999999952</v>
      </c>
      <c r="J4" s="9">
        <f>'B5'!A6</f>
        <v>44410</v>
      </c>
    </row>
    <row r="5" spans="1:10">
      <c r="A5" s="3">
        <f>ELEC!T7+ELEC!X7+ELEC!AB7</f>
        <v>22</v>
      </c>
      <c r="B5" s="3">
        <f>ELEC!AF7</f>
        <v>5570</v>
      </c>
      <c r="C5" s="3">
        <f>ELEC!N7</f>
        <v>16668</v>
      </c>
      <c r="D5" s="3">
        <f t="shared" si="0"/>
        <v>115.00000000011642</v>
      </c>
      <c r="E5" s="3">
        <f>ELEC!Q7</f>
        <v>16552.999999999884</v>
      </c>
      <c r="F5" s="3">
        <f>GEN!Z5</f>
        <v>16</v>
      </c>
      <c r="G5" s="3">
        <f>WATER!C8+WATER!H8</f>
        <v>92</v>
      </c>
      <c r="H5" s="3">
        <f>WATER!L8</f>
        <v>0</v>
      </c>
      <c r="I5" s="15">
        <f>WATER!BC8+WATER!BD8+WATER!BE9-Sheet1!G5</f>
        <v>-111.80000000000001</v>
      </c>
      <c r="J5" s="9">
        <f>'B5'!A7</f>
        <v>44411</v>
      </c>
    </row>
    <row r="6" spans="1:10">
      <c r="A6" s="3">
        <f>ELEC!T8+ELEC!X8+ELEC!AB8</f>
        <v>17</v>
      </c>
      <c r="B6" s="3">
        <f>ELEC!AF8</f>
        <v>4418</v>
      </c>
      <c r="C6" s="3">
        <f>ELEC!N8</f>
        <v>14087</v>
      </c>
      <c r="D6" s="3">
        <f t="shared" si="0"/>
        <v>2434.0000000015716</v>
      </c>
      <c r="E6" s="3">
        <f>ELEC!Q25</f>
        <v>11652.999999998428</v>
      </c>
      <c r="F6" s="3">
        <f>GEN!Z6</f>
        <v>26</v>
      </c>
      <c r="G6" s="3">
        <f>WATER!C9+WATER!H9</f>
        <v>0</v>
      </c>
      <c r="H6" s="3">
        <f>WATER!L9</f>
        <v>2</v>
      </c>
      <c r="I6" s="15">
        <f>WATER!BC9+WATER!BD9+WATER!BE10-Sheet1!G6</f>
        <v>-11.599999999999966</v>
      </c>
      <c r="J6" s="9">
        <f>'B5'!A8</f>
        <v>44412</v>
      </c>
    </row>
    <row r="7" spans="1:10">
      <c r="A7" s="3">
        <f>ELEC!T9+ELEC!X9+ELEC!AB9</f>
        <v>21</v>
      </c>
      <c r="B7" s="3">
        <f>ELEC!AF9</f>
        <v>5521</v>
      </c>
      <c r="C7" s="3">
        <f>ELEC!N9</f>
        <v>16486</v>
      </c>
      <c r="D7" s="3">
        <f t="shared" si="0"/>
        <v>254.0000000000291</v>
      </c>
      <c r="E7" s="3">
        <f>ELEC!Q9</f>
        <v>16231.999999999971</v>
      </c>
      <c r="F7" s="3">
        <f>GEN!Z7</f>
        <v>15</v>
      </c>
      <c r="G7" s="3">
        <f>WATER!C10+WATER!H10</f>
        <v>75</v>
      </c>
      <c r="H7" s="3">
        <f>WATER!L10</f>
        <v>0</v>
      </c>
      <c r="I7" s="15">
        <f>WATER!BC10+WATER!BD10+WATER!BE11-Sheet1!G7</f>
        <v>-86.599999999999966</v>
      </c>
      <c r="J7" s="9">
        <f>'B5'!A9</f>
        <v>44413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21</v>
      </c>
      <c r="G8" s="3">
        <f>WATER!C11+WATER!H11</f>
        <v>0</v>
      </c>
      <c r="H8" s="3">
        <f>WATER!L11</f>
        <v>1</v>
      </c>
      <c r="I8" s="15">
        <f>WATER!BC11+WATER!BD11+WATER!BE12-Sheet1!G8</f>
        <v>-8.0000000000000284</v>
      </c>
      <c r="J8" s="9">
        <f>'B5'!A10</f>
        <v>44414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44415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44416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44417</v>
      </c>
    </row>
    <row r="12" spans="1:10">
      <c r="A12" s="3">
        <f>ELEC!T14+ELEC!X14+ELEC!AB14</f>
        <v>21</v>
      </c>
      <c r="B12" s="3">
        <f>ELEC!AF14</f>
        <v>5828</v>
      </c>
      <c r="C12" s="3">
        <f>ELEC!N14</f>
        <v>17570</v>
      </c>
      <c r="D12" s="3">
        <f t="shared" si="0"/>
        <v>661.00000000034925</v>
      </c>
      <c r="E12" s="3">
        <f>ELEC!Q14</f>
        <v>16908.999999999651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-19.899999999999977</v>
      </c>
      <c r="J12" s="9">
        <f>'B5'!A14</f>
        <v>44418</v>
      </c>
    </row>
    <row r="13" spans="1:10">
      <c r="A13" s="3">
        <f>ELEC!T15+ELEC!X15+ELEC!AB15</f>
        <v>22</v>
      </c>
      <c r="B13" s="3">
        <f>ELEC!AF15</f>
        <v>5767</v>
      </c>
      <c r="C13" s="3">
        <f>ELEC!N15</f>
        <v>17457</v>
      </c>
      <c r="D13" s="3">
        <f t="shared" si="0"/>
        <v>22.000000002328306</v>
      </c>
      <c r="E13" s="3">
        <f>ELEC!Q15</f>
        <v>17434.999999997672</v>
      </c>
      <c r="F13" s="3">
        <f>GEN!Z13</f>
        <v>23</v>
      </c>
      <c r="G13" s="3">
        <f>WATER!C16+WATER!H16</f>
        <v>0</v>
      </c>
      <c r="H13" s="3">
        <f>WATER!L16</f>
        <v>0</v>
      </c>
      <c r="I13" s="15">
        <f>WATER!BC16+WATER!BD16+WATER!BE17-Sheet1!G13</f>
        <v>-14.599999999999994</v>
      </c>
      <c r="J13" s="9">
        <f>'B5'!A15</f>
        <v>44419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23</v>
      </c>
      <c r="G14" s="3">
        <f>WATER!C17+WATER!H17</f>
        <v>0</v>
      </c>
      <c r="H14" s="3">
        <f>WATER!L17</f>
        <v>2</v>
      </c>
      <c r="I14" s="15">
        <f>WATER!BC17+WATER!BD17+WATER!BE18-Sheet1!G14</f>
        <v>0.80000000000001137</v>
      </c>
      <c r="J14" s="9">
        <f>'B5'!A16</f>
        <v>44420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44421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44422</v>
      </c>
    </row>
    <row r="17" spans="1:10">
      <c r="A17" s="3">
        <f>ELEC!T19+ELEC!X19+ELEC!AB19</f>
        <v>13</v>
      </c>
      <c r="B17" s="3">
        <f>ELEC!AF19</f>
        <v>3578</v>
      </c>
      <c r="C17" s="3">
        <f>ELEC!N19</f>
        <v>10967</v>
      </c>
      <c r="D17" s="3">
        <f t="shared" si="0"/>
        <v>-1553.0000000004366</v>
      </c>
      <c r="E17" s="3">
        <f>ELEC!Q19</f>
        <v>12520.000000000437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-34</v>
      </c>
      <c r="J17" s="9">
        <f>'B5'!A19</f>
        <v>44423</v>
      </c>
    </row>
    <row r="18" spans="1:10">
      <c r="A18" s="3">
        <f>ELEC!T20+ELEC!X20+ELEC!AB20</f>
        <v>10</v>
      </c>
      <c r="B18" s="3">
        <f>ELEC!AF20</f>
        <v>2593</v>
      </c>
      <c r="C18" s="3">
        <f>ELEC!N20</f>
        <v>10065</v>
      </c>
      <c r="D18" s="3">
        <f t="shared" si="0"/>
        <v>2144.9999999981083</v>
      </c>
      <c r="E18" s="3">
        <f>ELEC!Q20</f>
        <v>7920.0000000018917</v>
      </c>
      <c r="F18" s="3">
        <f>GEN!Z18</f>
        <v>19</v>
      </c>
      <c r="G18" s="3">
        <f>WATER!C21+WATER!H21</f>
        <v>0</v>
      </c>
      <c r="H18" s="3">
        <f>WATER!L21</f>
        <v>3</v>
      </c>
      <c r="I18" s="15">
        <f>WATER!BC21+WATER!BD21+WATER!BE22-Sheet1!G18</f>
        <v>-48.399999999999991</v>
      </c>
      <c r="J18" s="9">
        <f>'B5'!A20</f>
        <v>44424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11</v>
      </c>
      <c r="G19" s="3">
        <f>WATER!C22+WATER!H22</f>
        <v>0</v>
      </c>
      <c r="H19" s="3">
        <f>WATER!L22</f>
        <v>0</v>
      </c>
      <c r="I19" s="15">
        <f>WATER!BC22+WATER!BD22+WATER!BE23-Sheet1!G19</f>
        <v>3.5999999999999943</v>
      </c>
      <c r="J19" s="9">
        <f>'B5'!A21</f>
        <v>44425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44426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44427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44428</v>
      </c>
    </row>
    <row r="23" spans="1:10">
      <c r="A23" s="3">
        <f>ELEC!T25+ELEC!X25+ELEC!AB25</f>
        <v>15</v>
      </c>
      <c r="B23" s="3">
        <f>ELEC!AF25</f>
        <v>3668</v>
      </c>
      <c r="C23" s="3">
        <f>ELEC!N25</f>
        <v>12009</v>
      </c>
      <c r="D23" s="3">
        <f t="shared" si="0"/>
        <v>356.00000000157161</v>
      </c>
      <c r="E23" s="3">
        <f>ELEC!Q25</f>
        <v>11652.999999998428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-13.800000000000011</v>
      </c>
      <c r="J23" s="9">
        <f>'B5'!A25</f>
        <v>44429</v>
      </c>
    </row>
    <row r="24" spans="1:10">
      <c r="A24" s="3">
        <f>ELEC!T26+ELEC!X26+ELEC!AB26</f>
        <v>11</v>
      </c>
      <c r="B24" s="3">
        <f>ELEC!AF26</f>
        <v>3485</v>
      </c>
      <c r="C24" s="3">
        <f>ELEC!N26</f>
        <v>10124</v>
      </c>
      <c r="D24" s="3">
        <f t="shared" si="0"/>
        <v>209.99999999933061</v>
      </c>
      <c r="E24" s="3">
        <f>ELEC!Q26</f>
        <v>9914.0000000006694</v>
      </c>
      <c r="F24" s="3">
        <f>GEN!Z24</f>
        <v>17</v>
      </c>
      <c r="G24" s="3">
        <f>WATER!C27+WATER!H27</f>
        <v>0</v>
      </c>
      <c r="H24" s="3">
        <f>WATER!L27</f>
        <v>0</v>
      </c>
      <c r="I24" s="15">
        <f>WATER!BC27+WATER!BD27+WATER!BE28-Sheet1!G24</f>
        <v>-16.699999999999989</v>
      </c>
      <c r="J24" s="9">
        <f>'B5'!A26</f>
        <v>44430</v>
      </c>
    </row>
    <row r="25" spans="1:10">
      <c r="A25" s="3">
        <f>ELEC!T27+ELEC!X27+ELEC!AB27</f>
        <v>22</v>
      </c>
      <c r="B25" s="3">
        <f>ELEC!AF27</f>
        <v>6073</v>
      </c>
      <c r="C25" s="3">
        <f>ELEC!N27</f>
        <v>17496</v>
      </c>
      <c r="D25" s="3">
        <f t="shared" si="0"/>
        <v>221.99999999874854</v>
      </c>
      <c r="E25" s="3">
        <f>ELEC!Q27</f>
        <v>17274.000000001251</v>
      </c>
      <c r="F25" s="3">
        <f>GEN!Z25</f>
        <v>12</v>
      </c>
      <c r="G25" s="3">
        <f>WATER!C28+WATER!H28</f>
        <v>0</v>
      </c>
      <c r="H25" s="3">
        <f>WATER!L28</f>
        <v>2</v>
      </c>
      <c r="I25" s="15">
        <f>WATER!BC28+WATER!BD28+WATER!BE29-Sheet1!G25</f>
        <v>-13.499999999999986</v>
      </c>
      <c r="J25" s="9">
        <f>'B5'!A27</f>
        <v>44431</v>
      </c>
    </row>
    <row r="26" spans="1:10">
      <c r="A26" s="3">
        <f>ELEC!T28+ELEC!X28+ELEC!AB28</f>
        <v>18</v>
      </c>
      <c r="B26" s="3">
        <f>ELEC!AF28</f>
        <v>5258</v>
      </c>
      <c r="C26" s="3">
        <f>ELEC!N28</f>
        <v>15450</v>
      </c>
      <c r="D26" s="3">
        <f t="shared" si="0"/>
        <v>482.99999999944703</v>
      </c>
      <c r="E26" s="3">
        <f>ELEC!Q28</f>
        <v>14967.000000000553</v>
      </c>
      <c r="F26" s="3">
        <f>GEN!Z26</f>
        <v>22</v>
      </c>
      <c r="G26" s="3">
        <f>WATER!C29+WATER!H29</f>
        <v>60</v>
      </c>
      <c r="H26" s="3">
        <f>WATER!L29</f>
        <v>3</v>
      </c>
      <c r="I26" s="15">
        <f>WATER!BC29+WATER!BD29+WATER!BE30-Sheet1!G26</f>
        <v>-53.400000000000034</v>
      </c>
      <c r="J26" s="9">
        <f>'B5'!A28</f>
        <v>44432</v>
      </c>
    </row>
    <row r="27" spans="1:10">
      <c r="A27" s="3">
        <f>ELEC!T29+ELEC!X29+ELEC!AB29</f>
        <v>20</v>
      </c>
      <c r="B27" s="3">
        <f>ELEC!AF29</f>
        <v>5283</v>
      </c>
      <c r="C27" s="3">
        <f>ELEC!N29</f>
        <v>16603</v>
      </c>
      <c r="D27" s="3">
        <f t="shared" si="0"/>
        <v>396.0000000014843</v>
      </c>
      <c r="E27" s="3">
        <f>ELEC!Q29</f>
        <v>16206.999999998516</v>
      </c>
      <c r="F27" s="3">
        <f>GEN!Z27</f>
        <v>19</v>
      </c>
      <c r="G27" s="3">
        <f>WATER!C30+WATER!H30</f>
        <v>79</v>
      </c>
      <c r="H27" s="3">
        <f>WATER!L30</f>
        <v>0</v>
      </c>
      <c r="I27" s="15">
        <f>WATER!BC30+WATER!BD30+WATER!BE31-Sheet1!G27</f>
        <v>-87.000000000000028</v>
      </c>
      <c r="J27" s="9">
        <f>'B5'!A29</f>
        <v>44433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22</v>
      </c>
      <c r="G28" s="3">
        <f>WATER!C31+WATER!H31</f>
        <v>0</v>
      </c>
      <c r="H28" s="3">
        <f>WATER!L31</f>
        <v>5</v>
      </c>
      <c r="I28" s="15">
        <f>WATER!BC31+WATER!BD31+WATER!BE32-Sheet1!G28</f>
        <v>0</v>
      </c>
      <c r="J28" s="9">
        <f>'B5'!A30</f>
        <v>44434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44435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44436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6"/>
      <c r="B1" s="724" t="s">
        <v>119</v>
      </c>
      <c r="C1" s="724" t="s">
        <v>118</v>
      </c>
      <c r="D1" s="728" t="s">
        <v>113</v>
      </c>
      <c r="E1" s="728" t="s">
        <v>114</v>
      </c>
      <c r="F1" s="729" t="s">
        <v>120</v>
      </c>
      <c r="G1" s="730" t="s">
        <v>75</v>
      </c>
      <c r="H1" s="721" t="s">
        <v>115</v>
      </c>
      <c r="I1" s="722" t="s">
        <v>116</v>
      </c>
      <c r="J1" s="721" t="s">
        <v>117</v>
      </c>
      <c r="K1" s="720" t="s">
        <v>121</v>
      </c>
      <c r="L1" s="720" t="s">
        <v>122</v>
      </c>
      <c r="M1" s="720" t="s">
        <v>123</v>
      </c>
      <c r="N1" s="720" t="s">
        <v>124</v>
      </c>
    </row>
    <row r="2" spans="1:14">
      <c r="A2" s="727"/>
      <c r="B2" s="725"/>
      <c r="C2" s="725"/>
      <c r="D2" s="728"/>
      <c r="E2" s="728"/>
      <c r="F2" s="729"/>
      <c r="G2" s="730"/>
      <c r="H2" s="721"/>
      <c r="I2" s="723"/>
      <c r="J2" s="721"/>
      <c r="K2" s="720"/>
      <c r="L2" s="720"/>
      <c r="M2" s="720"/>
      <c r="N2" s="72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44409</v>
      </c>
      <c r="B5" s="76">
        <f>'B5'!V5</f>
        <v>43</v>
      </c>
      <c r="C5" s="76">
        <f>'B5'!AH5</f>
        <v>0</v>
      </c>
      <c r="D5" s="76">
        <f>GEN!AI3</f>
        <v>3852.7805907166107</v>
      </c>
      <c r="E5" s="240">
        <f t="shared" ref="E5:E33" si="0">B5+C5+D5</f>
        <v>3895.7805907166107</v>
      </c>
      <c r="F5" s="75">
        <f>WATER!L5</f>
        <v>1</v>
      </c>
      <c r="G5" s="78">
        <f>WATER!BG5</f>
        <v>0</v>
      </c>
      <c r="H5" s="79">
        <f>ELEC!AF4</f>
        <v>5208</v>
      </c>
      <c r="I5" s="79">
        <f>ELEC!Q4</f>
        <v>14968.999999997322</v>
      </c>
      <c r="J5" s="79">
        <f>ELEC!R4</f>
        <v>5863.0000000026776</v>
      </c>
      <c r="K5" s="80"/>
      <c r="L5" s="3"/>
      <c r="M5" s="3"/>
      <c r="N5" s="3"/>
    </row>
    <row r="6" spans="1:14">
      <c r="A6" s="63">
        <f>'B5'!A6</f>
        <v>44410</v>
      </c>
      <c r="B6" s="76">
        <f>'B5'!V6</f>
        <v>0</v>
      </c>
      <c r="C6" s="76">
        <f>'B5'!AH6</f>
        <v>0</v>
      </c>
      <c r="D6" s="76">
        <f>GEN!AI4</f>
        <v>3385.3713080174098</v>
      </c>
      <c r="E6" s="240">
        <f t="shared" si="0"/>
        <v>3385.3713080174098</v>
      </c>
      <c r="F6" s="75">
        <f>WATER!L6</f>
        <v>0</v>
      </c>
      <c r="G6" s="78">
        <f>WATER!BG6</f>
        <v>-114.69999999999993</v>
      </c>
      <c r="H6" s="79">
        <f>ELEC!AF5</f>
        <v>4722</v>
      </c>
      <c r="I6" s="79">
        <f>ELEC!Q5</f>
        <v>13153.000000002066</v>
      </c>
      <c r="J6" s="79">
        <f>ELEC!R5</f>
        <v>2731.9999999979336</v>
      </c>
      <c r="K6" s="3"/>
      <c r="L6" s="3"/>
      <c r="M6" s="3"/>
      <c r="N6" s="3"/>
    </row>
    <row r="7" spans="1:14">
      <c r="A7" s="63">
        <f>'B5'!A7</f>
        <v>44411</v>
      </c>
      <c r="B7" s="76">
        <f>'B5'!V7</f>
        <v>0</v>
      </c>
      <c r="C7" s="76">
        <f>'B5'!AH7</f>
        <v>0</v>
      </c>
      <c r="D7" s="76">
        <f>GEN!AI5</f>
        <v>3231.7130801689041</v>
      </c>
      <c r="E7" s="240">
        <f t="shared" si="0"/>
        <v>3231.7130801689041</v>
      </c>
      <c r="F7" s="75">
        <f>WATER!L7</f>
        <v>2</v>
      </c>
      <c r="G7" s="78">
        <f>WATER!BG7</f>
        <v>23.29999999999994</v>
      </c>
      <c r="H7" s="79">
        <f>ELEC!AF6</f>
        <v>5125</v>
      </c>
      <c r="I7" s="79">
        <f>ELEC!Q6</f>
        <v>12556.000000000495</v>
      </c>
      <c r="J7" s="79">
        <f>ELEC!R6</f>
        <v>1262.9999999995052</v>
      </c>
      <c r="K7" s="3"/>
      <c r="L7" s="3"/>
      <c r="M7" s="3"/>
      <c r="N7" s="3"/>
    </row>
    <row r="8" spans="1:14">
      <c r="A8" s="63">
        <f>'B5'!A8</f>
        <v>44412</v>
      </c>
      <c r="B8" s="76">
        <f>'B5'!V8</f>
        <v>56</v>
      </c>
      <c r="C8" s="76">
        <f>'B5'!AH8</f>
        <v>0</v>
      </c>
      <c r="D8" s="76">
        <f>GEN!AI6</f>
        <v>4260.4767932489158</v>
      </c>
      <c r="E8" s="240">
        <f t="shared" si="0"/>
        <v>4316.4767932489158</v>
      </c>
      <c r="F8" s="75">
        <f>WATER!L8</f>
        <v>0</v>
      </c>
      <c r="G8" s="78">
        <f>WATER!BG8</f>
        <v>48.500000000000014</v>
      </c>
      <c r="H8" s="79">
        <f>ELEC!AF7</f>
        <v>5570</v>
      </c>
      <c r="I8" s="79">
        <f>ELEC!Q7</f>
        <v>16552.999999999884</v>
      </c>
      <c r="J8" s="79">
        <f>ELEC!R7</f>
        <v>115.00000000011642</v>
      </c>
      <c r="K8" s="3"/>
      <c r="L8" s="3"/>
      <c r="M8" s="3"/>
      <c r="N8" s="3"/>
    </row>
    <row r="9" spans="1:14">
      <c r="A9" s="63">
        <f>'B5'!A9</f>
        <v>44413</v>
      </c>
      <c r="B9" s="76">
        <f>'B5'!V9</f>
        <v>209</v>
      </c>
      <c r="C9" s="76">
        <f>'B5'!AH9</f>
        <v>0</v>
      </c>
      <c r="D9" s="76">
        <f>GEN!AI7</f>
        <v>3405.7046413502039</v>
      </c>
      <c r="E9" s="240">
        <f t="shared" si="0"/>
        <v>3614.7046413502039</v>
      </c>
      <c r="F9" s="75">
        <f>WATER!L9</f>
        <v>2</v>
      </c>
      <c r="G9" s="78">
        <f>WATER!BG9</f>
        <v>-8.9000000000000341</v>
      </c>
      <c r="H9" s="79">
        <f>ELEC!AF8</f>
        <v>4418</v>
      </c>
      <c r="I9" s="79">
        <f>ELEC!Q8</f>
        <v>13231.999999999971</v>
      </c>
      <c r="J9" s="79">
        <f>ELEC!R8</f>
        <v>855.0000000000291</v>
      </c>
      <c r="K9" s="3"/>
      <c r="L9" s="3"/>
      <c r="M9" s="3"/>
      <c r="N9" s="3"/>
    </row>
    <row r="10" spans="1:14">
      <c r="A10" s="63">
        <f>'B5'!A10</f>
        <v>44414</v>
      </c>
      <c r="B10" s="76">
        <f>'B5'!V10</f>
        <v>0</v>
      </c>
      <c r="C10" s="76">
        <f>'B5'!AH10</f>
        <v>0</v>
      </c>
      <c r="D10" s="76">
        <f>GEN!AI8</f>
        <v>4177.8565400843809</v>
      </c>
      <c r="E10" s="240">
        <f t="shared" si="0"/>
        <v>4177.8565400843809</v>
      </c>
      <c r="F10" s="75">
        <f>WATER!L10</f>
        <v>0</v>
      </c>
      <c r="G10" s="78">
        <f>WATER!BG10</f>
        <v>-3.5999999999999375</v>
      </c>
      <c r="H10" s="79">
        <f>ELEC!AF9</f>
        <v>5521</v>
      </c>
      <c r="I10" s="79">
        <f>ELEC!Q9</f>
        <v>16231.999999999971</v>
      </c>
      <c r="J10" s="79">
        <f>ELEC!R9</f>
        <v>254.0000000000291</v>
      </c>
      <c r="K10" s="3"/>
      <c r="L10" s="3"/>
      <c r="M10" s="3"/>
      <c r="N10" s="3"/>
    </row>
    <row r="11" spans="1:14">
      <c r="A11" s="63">
        <f>'B5'!A11</f>
        <v>44415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1</v>
      </c>
      <c r="G11" s="78">
        <f>WATER!BG11</f>
        <v>-8.0000000000000284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44416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44417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44418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44419</v>
      </c>
      <c r="B15" s="76">
        <f>'B5'!V15</f>
        <v>241</v>
      </c>
      <c r="C15" s="76">
        <f>'B5'!AH15</f>
        <v>0</v>
      </c>
      <c r="D15" s="76">
        <f>GEN!AI13</f>
        <v>4352.1054852319776</v>
      </c>
      <c r="E15" s="240">
        <f t="shared" si="0"/>
        <v>4593.1054852319776</v>
      </c>
      <c r="F15" s="75">
        <f>WATER!L15</f>
        <v>0</v>
      </c>
      <c r="G15" s="78">
        <f>WATER!BG15</f>
        <v>0</v>
      </c>
      <c r="H15" s="79">
        <f>ELEC!AF14</f>
        <v>5828</v>
      </c>
      <c r="I15" s="79">
        <f>ELEC!Q14</f>
        <v>16908.999999999651</v>
      </c>
      <c r="J15" s="79">
        <f>ELEC!R14</f>
        <v>661.00000000034925</v>
      </c>
      <c r="K15" s="3"/>
      <c r="L15" s="3"/>
      <c r="M15" s="3"/>
      <c r="N15" s="3"/>
    </row>
    <row r="16" spans="1:14">
      <c r="A16" s="63">
        <f>'B5'!A16</f>
        <v>44420</v>
      </c>
      <c r="B16" s="76">
        <f>'B5'!V16</f>
        <v>95</v>
      </c>
      <c r="C16" s="76">
        <f>'B5'!AH16</f>
        <v>0</v>
      </c>
      <c r="D16" s="76">
        <f>GEN!AI14</f>
        <v>4487.4894514761945</v>
      </c>
      <c r="E16" s="240">
        <f t="shared" si="0"/>
        <v>4582.4894514761945</v>
      </c>
      <c r="F16" s="75">
        <f>WATER!L16</f>
        <v>0</v>
      </c>
      <c r="G16" s="78">
        <f>WATER!BG16</f>
        <v>-19.899999999999977</v>
      </c>
      <c r="H16" s="79">
        <f>ELEC!AF15</f>
        <v>5767</v>
      </c>
      <c r="I16" s="79">
        <f>ELEC!Q15</f>
        <v>17434.999999997672</v>
      </c>
      <c r="J16" s="79">
        <f>ELEC!R15</f>
        <v>22.000000002328306</v>
      </c>
      <c r="K16" s="3"/>
      <c r="L16" s="3"/>
      <c r="M16" s="3"/>
      <c r="N16" s="3"/>
    </row>
    <row r="17" spans="1:14">
      <c r="A17" s="63">
        <f>'B5'!A17</f>
        <v>44421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2</v>
      </c>
      <c r="G17" s="78">
        <f>WATER!BG17</f>
        <v>-9.9999999999994316E-2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44422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44423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44424</v>
      </c>
      <c r="B20" s="76">
        <f>'B5'!V20</f>
        <v>74</v>
      </c>
      <c r="C20" s="76">
        <f>'B5'!AH20</f>
        <v>0</v>
      </c>
      <c r="D20" s="76">
        <f>GEN!AI18</f>
        <v>3222.447257384079</v>
      </c>
      <c r="E20" s="240">
        <f t="shared" si="0"/>
        <v>3296.447257384079</v>
      </c>
      <c r="F20" s="75">
        <f>WATER!L20</f>
        <v>0</v>
      </c>
      <c r="G20" s="78">
        <f>WATER!BG20</f>
        <v>0</v>
      </c>
      <c r="H20" s="79">
        <f>ELEC!AF19</f>
        <v>3578</v>
      </c>
      <c r="I20" s="79">
        <f>ELEC!Q19</f>
        <v>12520.000000000437</v>
      </c>
      <c r="J20" s="79">
        <f>ELEC!R19</f>
        <v>-1553.0000000004366</v>
      </c>
      <c r="K20" s="3"/>
      <c r="L20" s="3"/>
      <c r="M20" s="3"/>
      <c r="N20" s="3"/>
    </row>
    <row r="21" spans="1:14">
      <c r="A21" s="63">
        <f>'B5'!A21</f>
        <v>44425</v>
      </c>
      <c r="B21" s="76">
        <f>'B5'!V21</f>
        <v>49</v>
      </c>
      <c r="C21" s="76">
        <f>'B5'!AH21</f>
        <v>0</v>
      </c>
      <c r="D21" s="76">
        <f>GEN!AI19</f>
        <v>2038.4810126587149</v>
      </c>
      <c r="E21" s="240">
        <f t="shared" si="0"/>
        <v>2087.4810126587149</v>
      </c>
      <c r="F21" s="75">
        <f>WATER!L21</f>
        <v>3</v>
      </c>
      <c r="G21" s="78">
        <f>WATER!BG21</f>
        <v>-34</v>
      </c>
      <c r="H21" s="79">
        <f>ELEC!AF20</f>
        <v>2593</v>
      </c>
      <c r="I21" s="79">
        <f>ELEC!Q20</f>
        <v>7920.0000000018917</v>
      </c>
      <c r="J21" s="79">
        <f>ELEC!R20</f>
        <v>2144.9999999981083</v>
      </c>
      <c r="K21" s="3"/>
      <c r="L21" s="3"/>
      <c r="M21" s="3"/>
      <c r="N21" s="3"/>
    </row>
    <row r="22" spans="1:14">
      <c r="A22" s="63">
        <f>'B5'!A22</f>
        <v>44426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-25.200000000000003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44427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44428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44429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44430</v>
      </c>
      <c r="B26" s="76">
        <f>'B5'!V26</f>
        <v>85</v>
      </c>
      <c r="C26" s="76">
        <f>'B5'!AH26</f>
        <v>2.3999999999941792</v>
      </c>
      <c r="D26" s="76">
        <f>GEN!AI24</f>
        <v>2999.295358649385</v>
      </c>
      <c r="E26" s="240">
        <f t="shared" si="0"/>
        <v>3086.6953586493792</v>
      </c>
      <c r="F26" s="75">
        <f>WATER!L26</f>
        <v>0</v>
      </c>
      <c r="G26" s="78">
        <f>WATER!BG26</f>
        <v>0</v>
      </c>
      <c r="H26" s="79">
        <f>ELEC!AF25</f>
        <v>3668</v>
      </c>
      <c r="I26" s="79">
        <f>ELEC!Q25</f>
        <v>11652.999999998428</v>
      </c>
      <c r="J26" s="79">
        <f>ELEC!R25</f>
        <v>356.00000000157161</v>
      </c>
      <c r="K26" s="3"/>
      <c r="L26" s="3"/>
      <c r="M26" s="3"/>
      <c r="N26" s="3"/>
    </row>
    <row r="27" spans="1:14">
      <c r="A27" s="63">
        <f>'B5'!A27</f>
        <v>44431</v>
      </c>
      <c r="B27" s="76">
        <f>'B5'!V27</f>
        <v>55</v>
      </c>
      <c r="C27" s="76">
        <f>'B5'!AH27</f>
        <v>0</v>
      </c>
      <c r="D27" s="76">
        <f>GEN!AI25</f>
        <v>2551.7046413503836</v>
      </c>
      <c r="E27" s="240">
        <f t="shared" si="0"/>
        <v>2606.7046413503836</v>
      </c>
      <c r="F27" s="75">
        <f>WATER!L27</f>
        <v>0</v>
      </c>
      <c r="G27" s="78">
        <f>WATER!BG27</f>
        <v>-13.800000000000011</v>
      </c>
      <c r="H27" s="79">
        <f>ELEC!AF26</f>
        <v>3485</v>
      </c>
      <c r="I27" s="79">
        <f>ELEC!Q26</f>
        <v>9914.0000000006694</v>
      </c>
      <c r="J27" s="79">
        <f>ELEC!R26</f>
        <v>209.99999999933061</v>
      </c>
      <c r="K27" s="3"/>
      <c r="L27" s="3"/>
      <c r="M27" s="3"/>
      <c r="N27" s="3"/>
    </row>
    <row r="28" spans="1:14">
      <c r="A28" s="63">
        <f>'B5'!A28</f>
        <v>44432</v>
      </c>
      <c r="B28" s="76">
        <f>'B5'!V28</f>
        <v>74</v>
      </c>
      <c r="C28" s="76">
        <f>'B5'!AH28</f>
        <v>0</v>
      </c>
      <c r="D28" s="76">
        <f>GEN!AI26</f>
        <v>4446.0506329117152</v>
      </c>
      <c r="E28" s="240">
        <f t="shared" si="0"/>
        <v>4520.0506329117152</v>
      </c>
      <c r="F28" s="75">
        <f>WATER!L28</f>
        <v>2</v>
      </c>
      <c r="G28" s="78">
        <f>WATER!BG28</f>
        <v>-2.8999999999999773</v>
      </c>
      <c r="H28" s="79">
        <f>ELEC!AF27</f>
        <v>6073</v>
      </c>
      <c r="I28" s="79">
        <f>ELEC!Q27</f>
        <v>17274.000000001251</v>
      </c>
      <c r="J28" s="79">
        <f>ELEC!R27</f>
        <v>221.99999999874854</v>
      </c>
      <c r="K28" s="3"/>
      <c r="L28" s="3"/>
      <c r="M28" s="3"/>
      <c r="N28" s="3"/>
    </row>
    <row r="29" spans="1:14">
      <c r="A29" s="63">
        <f>'B5'!A29</f>
        <v>44433</v>
      </c>
      <c r="B29" s="76">
        <f>'B5'!V29</f>
        <v>147</v>
      </c>
      <c r="C29" s="76">
        <f>'B5'!AH29</f>
        <v>0</v>
      </c>
      <c r="D29" s="76">
        <f>GEN!AI27</f>
        <v>3852.2658227849529</v>
      </c>
      <c r="E29" s="77">
        <f t="shared" si="0"/>
        <v>3999.2658227849529</v>
      </c>
      <c r="F29" s="75">
        <f>WATER!L29</f>
        <v>3</v>
      </c>
      <c r="G29" s="78">
        <f>WATER!BG29</f>
        <v>-10.600000000000009</v>
      </c>
      <c r="H29" s="79">
        <f>ELEC!AF28</f>
        <v>5258</v>
      </c>
      <c r="I29" s="79">
        <f>ELEC!Q28</f>
        <v>14967.000000000553</v>
      </c>
      <c r="J29" s="79">
        <f>ELEC!R28</f>
        <v>482.99999999944703</v>
      </c>
      <c r="K29" s="3"/>
      <c r="L29" s="3"/>
      <c r="M29" s="3"/>
      <c r="N29" s="3"/>
    </row>
    <row r="30" spans="1:14">
      <c r="A30" s="63">
        <f>'B5'!A30</f>
        <v>44434</v>
      </c>
      <c r="B30" s="76">
        <f>'B5'!V30</f>
        <v>0</v>
      </c>
      <c r="C30" s="76">
        <f>'B5'!AH30</f>
        <v>0</v>
      </c>
      <c r="D30" s="76">
        <f>GEN!AI28</f>
        <v>4171.4219409278885</v>
      </c>
      <c r="E30" s="77">
        <f t="shared" si="0"/>
        <v>4171.4219409278885</v>
      </c>
      <c r="F30" s="75">
        <f>WATER!L30</f>
        <v>0</v>
      </c>
      <c r="G30" s="78">
        <f>WATER!BG30</f>
        <v>27.999999999999972</v>
      </c>
      <c r="H30" s="79">
        <f>ELEC!AF29</f>
        <v>5283</v>
      </c>
      <c r="I30" s="79">
        <f>ELEC!Q29</f>
        <v>16206.999999998516</v>
      </c>
      <c r="J30" s="79">
        <f>ELEC!R29</f>
        <v>396.0000000014843</v>
      </c>
      <c r="K30" s="3"/>
      <c r="L30" s="3"/>
      <c r="M30" s="3"/>
      <c r="N30" s="3"/>
    </row>
    <row r="31" spans="1:14">
      <c r="A31" s="63">
        <f>'B5'!A31</f>
        <v>44435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5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44436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1" t="s">
        <v>151</v>
      </c>
      <c r="U3" s="73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19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1" activePane="bottomLeft" state="frozen"/>
      <selection pane="bottomLeft" activeCell="H36" sqref="H3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2" t="s">
        <v>51</v>
      </c>
      <c r="B1" s="744" t="s">
        <v>318</v>
      </c>
      <c r="C1" s="745"/>
      <c r="D1" s="747"/>
      <c r="E1" s="744" t="s">
        <v>319</v>
      </c>
      <c r="F1" s="745"/>
      <c r="G1" s="746"/>
      <c r="H1" s="741" t="s">
        <v>324</v>
      </c>
      <c r="I1" s="738" t="s">
        <v>325</v>
      </c>
      <c r="J1" s="735" t="s">
        <v>43</v>
      </c>
    </row>
    <row r="2" spans="1:18" ht="38.25" thickBot="1">
      <c r="A2" s="733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2"/>
      <c r="I2" s="739"/>
      <c r="J2" s="736"/>
    </row>
    <row r="3" spans="1:18" ht="24" customHeight="1" thickBot="1">
      <c r="A3" s="734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3"/>
      <c r="I3" s="740"/>
      <c r="J3" s="737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'[2]Swimming Pool quality check '!$A$36</f>
        <v>44408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0</v>
      </c>
      <c r="F5" s="170">
        <f>'[2]Swimming Pool quality check '!F36</f>
        <v>0</v>
      </c>
      <c r="G5" s="170">
        <f>'[2]Swimming Pool quality check '!G36</f>
        <v>0</v>
      </c>
      <c r="H5" s="170">
        <f>'[2]Swimming Pool quality check '!H36</f>
        <v>6815</v>
      </c>
      <c r="I5" s="45">
        <f>'[10]Swimming Pool quality check '!I36</f>
        <v>0</v>
      </c>
      <c r="J5" s="507">
        <f>'[11]Swimming Pool quality check '!J36</f>
        <v>0.33333333333333398</v>
      </c>
      <c r="K5" s="403">
        <v>0</v>
      </c>
      <c r="L5" s="524">
        <f>A5</f>
        <v>44408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44409</v>
      </c>
      <c r="B6" s="252">
        <v>1.5</v>
      </c>
      <c r="C6" s="570">
        <v>7.8</v>
      </c>
      <c r="D6" s="170">
        <v>0</v>
      </c>
      <c r="E6" s="170">
        <v>0</v>
      </c>
      <c r="F6" s="170">
        <v>0</v>
      </c>
      <c r="G6" s="566">
        <v>0</v>
      </c>
      <c r="H6" s="567">
        <v>6818</v>
      </c>
      <c r="I6" s="499">
        <f>H6-H5</f>
        <v>3</v>
      </c>
      <c r="J6" s="479">
        <v>0.29166666666666669</v>
      </c>
      <c r="L6" s="99">
        <f t="shared" ref="L6:L33" si="0">A6</f>
        <v>44409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44410</v>
      </c>
      <c r="B7" s="252">
        <v>1.5</v>
      </c>
      <c r="C7" s="604">
        <v>7.8</v>
      </c>
      <c r="D7" s="170">
        <v>0</v>
      </c>
      <c r="E7" s="170">
        <v>0</v>
      </c>
      <c r="F7" s="170">
        <v>0</v>
      </c>
      <c r="G7" s="566">
        <v>0</v>
      </c>
      <c r="H7" s="567">
        <v>6820</v>
      </c>
      <c r="I7" s="499">
        <f>H7-H6</f>
        <v>2</v>
      </c>
      <c r="J7" s="480">
        <v>0.29166666666666669</v>
      </c>
      <c r="L7" s="99">
        <f t="shared" si="0"/>
        <v>44410</v>
      </c>
      <c r="M7" s="3">
        <f t="shared" ref="M7:M36" si="1">M6</f>
        <v>6541</v>
      </c>
      <c r="N7" s="499"/>
      <c r="O7" s="499">
        <f t="shared" ref="O7:O33" si="2">M7+N7</f>
        <v>6541</v>
      </c>
    </row>
    <row r="8" spans="1:18" ht="15.75" thickBot="1">
      <c r="A8" s="238">
        <f>ELEC!C6</f>
        <v>44411</v>
      </c>
      <c r="B8" s="252">
        <v>1.5</v>
      </c>
      <c r="C8" s="653">
        <v>7.8</v>
      </c>
      <c r="D8" s="170">
        <v>0</v>
      </c>
      <c r="E8" s="170">
        <v>0</v>
      </c>
      <c r="F8" s="170">
        <v>0</v>
      </c>
      <c r="G8" s="566">
        <v>0</v>
      </c>
      <c r="H8" s="567">
        <v>6820</v>
      </c>
      <c r="I8" s="499">
        <f t="shared" ref="I8:I33" si="3">H8-H7</f>
        <v>0</v>
      </c>
      <c r="J8" s="480">
        <v>0.29166666666666669</v>
      </c>
      <c r="L8" s="99">
        <f t="shared" si="0"/>
        <v>44411</v>
      </c>
      <c r="M8" s="3">
        <f t="shared" si="1"/>
        <v>6541</v>
      </c>
      <c r="N8" s="499"/>
      <c r="O8" s="499">
        <f t="shared" si="2"/>
        <v>6541</v>
      </c>
    </row>
    <row r="9" spans="1:18" ht="15.75" thickBot="1">
      <c r="A9" s="238">
        <f>ELEC!C7</f>
        <v>44412</v>
      </c>
      <c r="B9" s="252">
        <v>1.5</v>
      </c>
      <c r="C9" s="653">
        <v>7.8</v>
      </c>
      <c r="D9" s="170">
        <v>0</v>
      </c>
      <c r="E9" s="170">
        <v>0</v>
      </c>
      <c r="F9" s="170">
        <v>0</v>
      </c>
      <c r="G9" s="566">
        <v>0</v>
      </c>
      <c r="H9" s="567">
        <v>6822</v>
      </c>
      <c r="I9" s="499">
        <f t="shared" si="3"/>
        <v>2</v>
      </c>
      <c r="J9" s="480">
        <v>0.25</v>
      </c>
      <c r="L9" s="99">
        <f t="shared" si="0"/>
        <v>44412</v>
      </c>
      <c r="M9" s="3">
        <f t="shared" si="1"/>
        <v>6541</v>
      </c>
      <c r="N9" s="499"/>
      <c r="O9" s="499">
        <f t="shared" si="2"/>
        <v>6541</v>
      </c>
    </row>
    <row r="10" spans="1:18" ht="15.75" thickBot="1">
      <c r="A10" s="238">
        <f>ELEC!C8</f>
        <v>44413</v>
      </c>
      <c r="B10" s="252">
        <v>1.5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6822</v>
      </c>
      <c r="I10" s="499">
        <f t="shared" si="3"/>
        <v>0</v>
      </c>
      <c r="J10" s="480">
        <v>0.29166666666666669</v>
      </c>
      <c r="L10" s="99">
        <f t="shared" si="0"/>
        <v>44413</v>
      </c>
      <c r="M10" s="3">
        <f t="shared" si="1"/>
        <v>6541</v>
      </c>
      <c r="N10" s="499"/>
      <c r="O10" s="499">
        <f t="shared" si="2"/>
        <v>6541</v>
      </c>
    </row>
    <row r="11" spans="1:18" ht="15.75" thickBot="1">
      <c r="A11" s="238">
        <f>ELEC!C9</f>
        <v>44414</v>
      </c>
      <c r="B11" s="252">
        <v>1.6</v>
      </c>
      <c r="C11" s="590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6823</v>
      </c>
      <c r="I11" s="499">
        <f t="shared" si="3"/>
        <v>1</v>
      </c>
      <c r="J11" s="480">
        <v>0.29166666666666669</v>
      </c>
      <c r="L11" s="99">
        <f t="shared" si="0"/>
        <v>44414</v>
      </c>
      <c r="M11" s="3">
        <f t="shared" si="1"/>
        <v>6541</v>
      </c>
      <c r="N11" s="499"/>
      <c r="O11" s="499">
        <f t="shared" si="2"/>
        <v>6541</v>
      </c>
    </row>
    <row r="12" spans="1:18" ht="16.5" thickBot="1">
      <c r="A12" s="238">
        <f>ELEC!C10</f>
        <v>44415</v>
      </c>
      <c r="B12" s="252"/>
      <c r="C12" s="578"/>
      <c r="D12" s="170"/>
      <c r="E12" s="170"/>
      <c r="F12" s="170"/>
      <c r="G12" s="525"/>
      <c r="H12" s="567">
        <v>6823</v>
      </c>
      <c r="I12" s="499">
        <f t="shared" si="3"/>
        <v>0</v>
      </c>
      <c r="J12" s="480">
        <v>0.29166666666666669</v>
      </c>
      <c r="L12" s="99">
        <f t="shared" si="0"/>
        <v>44415</v>
      </c>
      <c r="M12" s="3">
        <f t="shared" si="1"/>
        <v>6541</v>
      </c>
      <c r="N12" s="499"/>
      <c r="O12" s="499">
        <f t="shared" si="2"/>
        <v>6541</v>
      </c>
      <c r="P12" s="432"/>
      <c r="Q12" s="354"/>
      <c r="R12" s="354"/>
    </row>
    <row r="13" spans="1:18" ht="15.75" thickBot="1">
      <c r="A13" s="238">
        <f>ELEC!C11</f>
        <v>44416</v>
      </c>
      <c r="B13" s="252"/>
      <c r="C13" s="637"/>
      <c r="D13" s="525"/>
      <c r="E13" s="525"/>
      <c r="F13" s="525"/>
      <c r="G13" s="525"/>
      <c r="H13" s="567">
        <v>6823</v>
      </c>
      <c r="I13" s="499">
        <f t="shared" si="3"/>
        <v>0</v>
      </c>
      <c r="J13" s="480">
        <v>0.29166666666666669</v>
      </c>
      <c r="L13" s="99">
        <f t="shared" si="0"/>
        <v>44416</v>
      </c>
      <c r="M13" s="3">
        <f t="shared" si="1"/>
        <v>6541</v>
      </c>
      <c r="N13" s="499"/>
      <c r="O13" s="499">
        <f t="shared" si="2"/>
        <v>6541</v>
      </c>
    </row>
    <row r="14" spans="1:18" ht="15.75" thickBot="1">
      <c r="A14" s="238">
        <f>ELEC!C12</f>
        <v>44417</v>
      </c>
      <c r="B14" s="252"/>
      <c r="C14" s="592"/>
      <c r="D14" s="170"/>
      <c r="E14" s="170"/>
      <c r="F14" s="170"/>
      <c r="G14" s="170"/>
      <c r="H14" s="567">
        <v>6823</v>
      </c>
      <c r="I14" s="499">
        <f t="shared" si="3"/>
        <v>0</v>
      </c>
      <c r="J14" s="480">
        <v>0.29166666666666669</v>
      </c>
      <c r="L14" s="99">
        <f t="shared" si="0"/>
        <v>44417</v>
      </c>
      <c r="M14" s="3">
        <f t="shared" si="1"/>
        <v>6541</v>
      </c>
      <c r="N14" s="499"/>
      <c r="O14" s="499">
        <f t="shared" si="2"/>
        <v>6541</v>
      </c>
    </row>
    <row r="15" spans="1:18" ht="15.75" thickBot="1">
      <c r="A15" s="238">
        <f>ELEC!C13</f>
        <v>44418</v>
      </c>
      <c r="B15" s="525"/>
      <c r="C15" s="570"/>
      <c r="D15" s="570"/>
      <c r="E15" s="570"/>
      <c r="F15" s="570"/>
      <c r="G15" s="565"/>
      <c r="H15" s="567">
        <v>6823</v>
      </c>
      <c r="I15" s="499">
        <f t="shared" si="3"/>
        <v>0</v>
      </c>
      <c r="J15" s="480">
        <v>0.29166666666666669</v>
      </c>
      <c r="L15" s="99">
        <f t="shared" si="0"/>
        <v>44418</v>
      </c>
      <c r="M15" s="3">
        <f t="shared" si="1"/>
        <v>6541</v>
      </c>
      <c r="N15" s="499"/>
      <c r="O15" s="499">
        <f t="shared" si="2"/>
        <v>6541</v>
      </c>
    </row>
    <row r="16" spans="1:18" ht="15.75" thickBot="1">
      <c r="A16" s="238">
        <f>ELEC!C14</f>
        <v>44419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6823</v>
      </c>
      <c r="I16" s="499">
        <f t="shared" si="3"/>
        <v>0</v>
      </c>
      <c r="J16" s="480">
        <v>0.29166666666666669</v>
      </c>
      <c r="L16" s="99">
        <f t="shared" si="0"/>
        <v>44419</v>
      </c>
      <c r="M16" s="3">
        <f t="shared" si="1"/>
        <v>6541</v>
      </c>
      <c r="N16" s="499"/>
      <c r="O16" s="499">
        <f t="shared" si="2"/>
        <v>6541</v>
      </c>
    </row>
    <row r="17" spans="1:15" ht="15.75" thickBot="1">
      <c r="A17" s="238">
        <f>ELEC!C15</f>
        <v>44420</v>
      </c>
      <c r="B17" s="252">
        <v>1.5</v>
      </c>
      <c r="C17" s="639">
        <v>7.8</v>
      </c>
      <c r="D17" s="170">
        <v>0</v>
      </c>
      <c r="E17" s="170">
        <v>0</v>
      </c>
      <c r="F17" s="597">
        <v>0</v>
      </c>
      <c r="G17" s="596">
        <v>0</v>
      </c>
      <c r="H17" s="567">
        <v>6825</v>
      </c>
      <c r="I17" s="499">
        <f t="shared" si="3"/>
        <v>2</v>
      </c>
      <c r="J17" s="480">
        <v>0.29166666666666669</v>
      </c>
      <c r="L17" s="99">
        <f t="shared" si="0"/>
        <v>44420</v>
      </c>
      <c r="M17" s="3">
        <f t="shared" si="1"/>
        <v>6541</v>
      </c>
      <c r="N17" s="499"/>
      <c r="O17" s="499">
        <f t="shared" si="2"/>
        <v>6541</v>
      </c>
    </row>
    <row r="18" spans="1:15" ht="15.75" thickBot="1">
      <c r="A18" s="238">
        <f>ELEC!C16</f>
        <v>44421</v>
      </c>
      <c r="B18" s="252"/>
      <c r="C18" s="579"/>
      <c r="D18" s="170"/>
      <c r="E18" s="170"/>
      <c r="F18" s="610"/>
      <c r="G18" s="599"/>
      <c r="H18" s="567">
        <v>6825</v>
      </c>
      <c r="I18" s="499">
        <f t="shared" si="3"/>
        <v>0</v>
      </c>
      <c r="J18" s="480">
        <v>0.29166666666666669</v>
      </c>
      <c r="L18" s="99">
        <f t="shared" si="0"/>
        <v>44421</v>
      </c>
      <c r="M18" s="3">
        <f t="shared" si="1"/>
        <v>6541</v>
      </c>
      <c r="N18" s="499"/>
      <c r="O18" s="499">
        <f t="shared" si="2"/>
        <v>6541</v>
      </c>
    </row>
    <row r="19" spans="1:15" ht="15.75" thickBot="1">
      <c r="A19" s="238">
        <f>ELEC!C17</f>
        <v>44422</v>
      </c>
      <c r="B19" s="252"/>
      <c r="C19" s="641"/>
      <c r="D19" s="170"/>
      <c r="E19" s="170"/>
      <c r="F19" s="641"/>
      <c r="G19" s="640"/>
      <c r="H19" s="567">
        <v>6825</v>
      </c>
      <c r="I19" s="499">
        <f t="shared" si="3"/>
        <v>0</v>
      </c>
      <c r="J19" s="480">
        <v>0.29166666666666669</v>
      </c>
      <c r="L19" s="99">
        <f t="shared" si="0"/>
        <v>44422</v>
      </c>
      <c r="M19" s="3">
        <f t="shared" si="1"/>
        <v>6541</v>
      </c>
      <c r="N19" s="499"/>
      <c r="O19" s="499">
        <f t="shared" si="2"/>
        <v>6541</v>
      </c>
    </row>
    <row r="20" spans="1:15" ht="15.75" thickBot="1">
      <c r="A20" s="238">
        <f>ELEC!C18</f>
        <v>44423</v>
      </c>
      <c r="B20" s="252"/>
      <c r="C20" s="643"/>
      <c r="D20" s="170"/>
      <c r="E20" s="170"/>
      <c r="F20" s="643"/>
      <c r="G20" s="642"/>
      <c r="H20" s="567">
        <v>6825</v>
      </c>
      <c r="I20" s="499">
        <f t="shared" si="3"/>
        <v>0</v>
      </c>
      <c r="J20" s="480">
        <v>0.29166666666666669</v>
      </c>
      <c r="L20" s="99">
        <f t="shared" si="0"/>
        <v>44423</v>
      </c>
      <c r="M20" s="3">
        <f t="shared" si="1"/>
        <v>6541</v>
      </c>
      <c r="N20" s="499"/>
      <c r="O20" s="499">
        <f t="shared" si="2"/>
        <v>6541</v>
      </c>
    </row>
    <row r="21" spans="1:15" ht="15.75" thickBot="1">
      <c r="A21" s="238">
        <f>ELEC!C19</f>
        <v>44424</v>
      </c>
      <c r="B21" s="252">
        <v>1</v>
      </c>
      <c r="C21" s="593">
        <v>6.3</v>
      </c>
      <c r="D21" s="170">
        <v>0</v>
      </c>
      <c r="E21" s="170">
        <v>0</v>
      </c>
      <c r="F21" s="597">
        <v>0</v>
      </c>
      <c r="G21" s="599">
        <v>0</v>
      </c>
      <c r="H21" s="567">
        <v>6828</v>
      </c>
      <c r="I21" s="499">
        <f t="shared" si="3"/>
        <v>3</v>
      </c>
      <c r="J21" s="562" t="s">
        <v>414</v>
      </c>
      <c r="L21" s="99">
        <f t="shared" si="0"/>
        <v>44424</v>
      </c>
      <c r="M21" s="3">
        <f t="shared" si="1"/>
        <v>6541</v>
      </c>
      <c r="N21" s="499"/>
      <c r="O21" s="499">
        <f t="shared" si="2"/>
        <v>6541</v>
      </c>
    </row>
    <row r="22" spans="1:15" ht="15.75" thickBot="1">
      <c r="A22" s="238">
        <f>ELEC!C20</f>
        <v>44425</v>
      </c>
      <c r="B22" s="252">
        <v>1.5</v>
      </c>
      <c r="C22" s="580">
        <v>7.8</v>
      </c>
      <c r="D22" s="581"/>
      <c r="E22" s="580"/>
      <c r="F22" s="597"/>
      <c r="G22" s="596"/>
      <c r="H22" s="567">
        <v>6828</v>
      </c>
      <c r="I22" s="499">
        <f t="shared" si="3"/>
        <v>0</v>
      </c>
      <c r="J22" s="480">
        <v>0.29166666666666669</v>
      </c>
      <c r="L22" s="99">
        <f t="shared" si="0"/>
        <v>44425</v>
      </c>
      <c r="M22" s="3">
        <f t="shared" si="1"/>
        <v>6541</v>
      </c>
      <c r="N22" s="499"/>
      <c r="O22" s="499">
        <f t="shared" si="2"/>
        <v>6541</v>
      </c>
    </row>
    <row r="23" spans="1:15" ht="15.75" thickBot="1">
      <c r="A23" s="238">
        <f>ELEC!C21</f>
        <v>44426</v>
      </c>
      <c r="B23" s="252"/>
      <c r="C23" s="594"/>
      <c r="D23" s="595"/>
      <c r="E23" s="594"/>
      <c r="F23" s="597"/>
      <c r="G23" s="596"/>
      <c r="H23" s="567">
        <v>6828</v>
      </c>
      <c r="I23" s="499">
        <f t="shared" si="3"/>
        <v>0</v>
      </c>
      <c r="J23" s="480">
        <v>0.29166666666666669</v>
      </c>
      <c r="L23" s="99">
        <f t="shared" si="0"/>
        <v>44426</v>
      </c>
      <c r="M23" s="3">
        <f t="shared" si="1"/>
        <v>6541</v>
      </c>
      <c r="N23" s="499"/>
      <c r="O23" s="499">
        <f t="shared" si="2"/>
        <v>6541</v>
      </c>
    </row>
    <row r="24" spans="1:15" ht="15.75" thickBot="1">
      <c r="A24" s="238">
        <f>ELEC!C22</f>
        <v>44427</v>
      </c>
      <c r="B24" s="252"/>
      <c r="C24" s="597"/>
      <c r="D24" s="598"/>
      <c r="E24" s="597"/>
      <c r="F24" s="597"/>
      <c r="G24" s="599"/>
      <c r="H24" s="567">
        <v>6828</v>
      </c>
      <c r="I24" s="499">
        <f t="shared" si="3"/>
        <v>0</v>
      </c>
      <c r="J24" s="480">
        <v>0.29166666666666702</v>
      </c>
      <c r="L24" s="99">
        <f t="shared" si="0"/>
        <v>44427</v>
      </c>
      <c r="M24" s="3">
        <f t="shared" si="1"/>
        <v>6541</v>
      </c>
      <c r="N24" s="499"/>
      <c r="O24" s="499">
        <f t="shared" si="2"/>
        <v>6541</v>
      </c>
    </row>
    <row r="25" spans="1:15" ht="15.75" thickBot="1">
      <c r="A25" s="238">
        <f>ELEC!C23</f>
        <v>44428</v>
      </c>
      <c r="B25" s="252"/>
      <c r="C25" s="646"/>
      <c r="D25" s="644"/>
      <c r="E25" s="646"/>
      <c r="F25" s="646"/>
      <c r="G25" s="645"/>
      <c r="H25" s="567">
        <v>6828</v>
      </c>
      <c r="I25" s="499">
        <f t="shared" si="3"/>
        <v>0</v>
      </c>
      <c r="J25" s="480">
        <v>0.29166666666666702</v>
      </c>
      <c r="L25" s="99">
        <f t="shared" si="0"/>
        <v>44428</v>
      </c>
      <c r="M25" s="3">
        <f t="shared" si="1"/>
        <v>6541</v>
      </c>
      <c r="N25" s="499"/>
      <c r="O25" s="499">
        <f t="shared" si="2"/>
        <v>6541</v>
      </c>
    </row>
    <row r="26" spans="1:15" ht="15.75" thickBot="1">
      <c r="A26" s="238">
        <f>ELEC!C24</f>
        <v>44429</v>
      </c>
      <c r="B26" s="252"/>
      <c r="C26" s="649"/>
      <c r="D26" s="647"/>
      <c r="E26" s="649"/>
      <c r="F26" s="649"/>
      <c r="G26" s="648"/>
      <c r="H26" s="567">
        <v>6828</v>
      </c>
      <c r="I26" s="499">
        <f t="shared" si="3"/>
        <v>0</v>
      </c>
      <c r="J26" s="480">
        <v>0.29166666666666702</v>
      </c>
      <c r="L26" s="99">
        <f t="shared" si="0"/>
        <v>44429</v>
      </c>
      <c r="M26" s="3">
        <f t="shared" si="1"/>
        <v>6541</v>
      </c>
      <c r="N26" s="499"/>
      <c r="O26" s="499">
        <f t="shared" si="2"/>
        <v>6541</v>
      </c>
    </row>
    <row r="27" spans="1:15" ht="15.75" thickBot="1">
      <c r="A27" s="238">
        <f>ELEC!C25</f>
        <v>44430</v>
      </c>
      <c r="B27" s="170">
        <v>1</v>
      </c>
      <c r="C27" s="170">
        <v>6.5</v>
      </c>
      <c r="D27" s="611">
        <v>0</v>
      </c>
      <c r="E27" s="612">
        <v>0</v>
      </c>
      <c r="F27" s="612">
        <v>0</v>
      </c>
      <c r="G27" s="170">
        <v>0</v>
      </c>
      <c r="H27" s="567">
        <v>6828</v>
      </c>
      <c r="I27" s="499">
        <f t="shared" si="3"/>
        <v>0</v>
      </c>
      <c r="J27" s="480">
        <v>0.29166666666666702</v>
      </c>
      <c r="L27" s="99">
        <f t="shared" si="0"/>
        <v>44430</v>
      </c>
      <c r="M27" s="3">
        <f t="shared" si="1"/>
        <v>6541</v>
      </c>
      <c r="N27" s="499"/>
      <c r="O27" s="499">
        <f t="shared" si="2"/>
        <v>6541</v>
      </c>
    </row>
    <row r="28" spans="1:15" ht="15.75" thickBot="1">
      <c r="A28" s="238">
        <f>ELEC!C26</f>
        <v>44431</v>
      </c>
      <c r="B28" s="170">
        <v>1.4</v>
      </c>
      <c r="C28" s="170">
        <v>7.8</v>
      </c>
      <c r="D28" s="611">
        <v>0</v>
      </c>
      <c r="E28" s="612">
        <v>0</v>
      </c>
      <c r="F28" s="612">
        <v>0</v>
      </c>
      <c r="G28" s="170">
        <v>0</v>
      </c>
      <c r="H28" s="567">
        <v>6830</v>
      </c>
      <c r="I28" s="499">
        <f t="shared" si="3"/>
        <v>2</v>
      </c>
      <c r="J28" s="481">
        <v>0.29166666666666702</v>
      </c>
      <c r="L28" s="99">
        <f t="shared" si="0"/>
        <v>44431</v>
      </c>
      <c r="M28" s="3">
        <f t="shared" si="1"/>
        <v>6541</v>
      </c>
      <c r="N28" s="499"/>
      <c r="O28" s="499">
        <f t="shared" si="2"/>
        <v>6541</v>
      </c>
    </row>
    <row r="29" spans="1:15" ht="15.75" thickBot="1">
      <c r="A29" s="238">
        <f>ELEC!C27</f>
        <v>44432</v>
      </c>
      <c r="B29" s="252">
        <v>1.5</v>
      </c>
      <c r="C29" s="654">
        <v>7.8</v>
      </c>
      <c r="D29" s="582"/>
      <c r="E29" s="597"/>
      <c r="F29" s="597"/>
      <c r="G29" s="596"/>
      <c r="H29" s="567">
        <v>6833</v>
      </c>
      <c r="I29" s="499">
        <f t="shared" si="3"/>
        <v>3</v>
      </c>
      <c r="J29" s="480">
        <v>0.29166666666666702</v>
      </c>
      <c r="L29" s="99">
        <f t="shared" si="0"/>
        <v>44432</v>
      </c>
      <c r="M29" s="3">
        <f t="shared" si="1"/>
        <v>6541</v>
      </c>
      <c r="N29" s="499"/>
      <c r="O29" s="499">
        <f t="shared" si="2"/>
        <v>6541</v>
      </c>
    </row>
    <row r="30" spans="1:15" ht="15.75" thickBot="1">
      <c r="A30" s="238">
        <f>ELEC!C28</f>
        <v>44433</v>
      </c>
      <c r="B30" s="252">
        <v>3</v>
      </c>
      <c r="C30" s="583">
        <v>7.8</v>
      </c>
      <c r="D30" s="584">
        <v>0</v>
      </c>
      <c r="E30" s="583">
        <v>0</v>
      </c>
      <c r="F30" s="583">
        <v>0</v>
      </c>
      <c r="G30" s="170">
        <v>0</v>
      </c>
      <c r="H30" s="567">
        <f t="shared" ref="H30:H36" si="4">H29</f>
        <v>6833</v>
      </c>
      <c r="I30" s="499">
        <f t="shared" si="3"/>
        <v>0</v>
      </c>
      <c r="J30" s="480">
        <v>0.29166666666666702</v>
      </c>
      <c r="L30" s="99">
        <f t="shared" si="0"/>
        <v>44433</v>
      </c>
      <c r="M30" s="3">
        <f t="shared" si="1"/>
        <v>6541</v>
      </c>
      <c r="N30" s="499"/>
      <c r="O30" s="499">
        <f t="shared" si="2"/>
        <v>6541</v>
      </c>
    </row>
    <row r="31" spans="1:15" ht="15.75" thickBot="1">
      <c r="A31" s="238">
        <f>ELEC!C29</f>
        <v>44434</v>
      </c>
      <c r="B31" s="252">
        <v>2</v>
      </c>
      <c r="C31" s="570">
        <v>7.8</v>
      </c>
      <c r="D31" s="170">
        <v>0</v>
      </c>
      <c r="E31" s="170">
        <v>0</v>
      </c>
      <c r="F31" s="170">
        <v>0</v>
      </c>
      <c r="G31" s="170">
        <v>0</v>
      </c>
      <c r="H31" s="567">
        <v>6838</v>
      </c>
      <c r="I31" s="499">
        <f t="shared" si="3"/>
        <v>5</v>
      </c>
      <c r="J31" s="480">
        <v>0.29166666666666702</v>
      </c>
      <c r="L31" s="99">
        <f t="shared" si="0"/>
        <v>44434</v>
      </c>
      <c r="M31" s="3">
        <f t="shared" si="1"/>
        <v>6541</v>
      </c>
      <c r="N31" s="499"/>
      <c r="O31" s="499">
        <f t="shared" si="2"/>
        <v>6541</v>
      </c>
    </row>
    <row r="32" spans="1:15" ht="15.75" thickBot="1">
      <c r="A32" s="238">
        <f>ELEC!C30</f>
        <v>44435</v>
      </c>
      <c r="B32" s="170"/>
      <c r="C32" s="170"/>
      <c r="D32" s="170"/>
      <c r="E32" s="170"/>
      <c r="F32" s="170"/>
      <c r="G32" s="499"/>
      <c r="H32" s="567">
        <f t="shared" si="4"/>
        <v>6838</v>
      </c>
      <c r="I32" s="499">
        <f t="shared" si="3"/>
        <v>0</v>
      </c>
      <c r="J32" s="480">
        <v>0.29166666666666702</v>
      </c>
      <c r="L32" s="99">
        <f t="shared" si="0"/>
        <v>44435</v>
      </c>
      <c r="M32" s="3">
        <f t="shared" si="1"/>
        <v>6541</v>
      </c>
      <c r="N32" s="499"/>
      <c r="O32" s="499">
        <f t="shared" si="2"/>
        <v>6541</v>
      </c>
    </row>
    <row r="33" spans="1:15" ht="15.75" thickBot="1">
      <c r="A33" s="238">
        <f>ELEC!C31</f>
        <v>44436</v>
      </c>
      <c r="B33" s="170"/>
      <c r="C33" s="170"/>
      <c r="D33" s="170"/>
      <c r="E33" s="170"/>
      <c r="F33" s="170"/>
      <c r="G33" s="499"/>
      <c r="H33" s="567">
        <f t="shared" si="4"/>
        <v>6838</v>
      </c>
      <c r="I33" s="499">
        <f t="shared" si="3"/>
        <v>0</v>
      </c>
      <c r="J33" s="480">
        <v>0.29166666666666702</v>
      </c>
      <c r="L33" s="99">
        <f t="shared" si="0"/>
        <v>44436</v>
      </c>
      <c r="M33" s="3">
        <f t="shared" si="1"/>
        <v>6541</v>
      </c>
      <c r="N33" s="499"/>
      <c r="O33" s="499">
        <f t="shared" si="2"/>
        <v>6541</v>
      </c>
    </row>
    <row r="34" spans="1:15" ht="15.75" thickBot="1">
      <c r="A34" s="238">
        <f>ELEC!C32</f>
        <v>44437</v>
      </c>
      <c r="B34" s="170">
        <v>1.2</v>
      </c>
      <c r="C34" s="170">
        <v>7.8</v>
      </c>
      <c r="D34" s="170">
        <v>0</v>
      </c>
      <c r="E34" s="170">
        <v>0</v>
      </c>
      <c r="F34" s="170">
        <v>0</v>
      </c>
      <c r="G34" s="499">
        <v>0</v>
      </c>
      <c r="H34" s="567">
        <f t="shared" si="4"/>
        <v>6838</v>
      </c>
      <c r="I34" s="499">
        <f>H34-H33</f>
        <v>0</v>
      </c>
      <c r="J34" s="480">
        <v>0.33333333333333398</v>
      </c>
      <c r="L34" s="99">
        <f>A34</f>
        <v>44437</v>
      </c>
      <c r="M34" s="3">
        <f t="shared" si="1"/>
        <v>6541</v>
      </c>
      <c r="N34" s="499"/>
      <c r="O34" s="499">
        <f>M34+N34</f>
        <v>6541</v>
      </c>
    </row>
    <row r="35" spans="1:15" ht="15.75" thickBot="1">
      <c r="A35" s="238">
        <f>ELEC!C33</f>
        <v>44438</v>
      </c>
      <c r="B35" s="170">
        <v>1.6</v>
      </c>
      <c r="C35" s="170">
        <v>7.8</v>
      </c>
      <c r="D35" s="170">
        <v>0</v>
      </c>
      <c r="E35" s="170">
        <v>0</v>
      </c>
      <c r="F35" s="170">
        <v>0</v>
      </c>
      <c r="G35" s="499">
        <v>0</v>
      </c>
      <c r="H35" s="567">
        <v>6853</v>
      </c>
      <c r="I35" s="499">
        <f>H35-H34</f>
        <v>15</v>
      </c>
      <c r="J35" s="480">
        <v>0.375000000000001</v>
      </c>
      <c r="L35" s="99">
        <f>A35</f>
        <v>44438</v>
      </c>
      <c r="M35" s="3">
        <f t="shared" si="1"/>
        <v>6541</v>
      </c>
      <c r="N35" s="499"/>
      <c r="O35" s="499">
        <f>M35+N35</f>
        <v>6541</v>
      </c>
    </row>
    <row r="36" spans="1:15">
      <c r="A36" s="238">
        <f>ELEC!C34</f>
        <v>44439</v>
      </c>
      <c r="B36" s="170"/>
      <c r="C36" s="170"/>
      <c r="D36" s="170"/>
      <c r="E36" s="170"/>
      <c r="F36" s="170"/>
      <c r="G36" s="499"/>
      <c r="H36" s="567">
        <f t="shared" si="4"/>
        <v>6853</v>
      </c>
      <c r="I36" s="499"/>
      <c r="J36" s="480"/>
      <c r="L36" s="99">
        <f>A36</f>
        <v>44439</v>
      </c>
      <c r="M36" s="3">
        <f t="shared" si="1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0" zoomScale="80" zoomScaleNormal="80" workbookViewId="0">
      <selection activeCell="J67" sqref="J6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9" t="s">
        <v>161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</row>
    <row r="2" spans="1:28" ht="19.5">
      <c r="A2" s="760"/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</row>
    <row r="3" spans="1:28" ht="19.5">
      <c r="A3" s="760" t="s">
        <v>162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0" t="s">
        <v>408</v>
      </c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  <c r="P5" s="760"/>
      <c r="Q5" s="760"/>
      <c r="R5" s="760"/>
      <c r="S5" s="760"/>
      <c r="T5" s="760"/>
      <c r="U5" s="760"/>
      <c r="V5" s="760"/>
      <c r="W5" s="760"/>
      <c r="X5" s="760"/>
    </row>
    <row r="6" spans="1:28" ht="15.75" thickBot="1">
      <c r="A6" s="761"/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  <c r="N6" s="761"/>
      <c r="O6" s="761"/>
      <c r="P6" s="761"/>
      <c r="Q6" s="761"/>
      <c r="R6" s="761"/>
      <c r="S6" s="761"/>
      <c r="T6" s="761"/>
      <c r="U6" s="761"/>
      <c r="V6" s="761"/>
      <c r="W6" s="761"/>
      <c r="X6" s="761"/>
    </row>
    <row r="7" spans="1:28" ht="15.75" thickBot="1">
      <c r="A7" s="749" t="s">
        <v>163</v>
      </c>
      <c r="B7" s="750"/>
      <c r="C7" s="751" t="s">
        <v>164</v>
      </c>
      <c r="D7" s="752"/>
      <c r="E7" s="752"/>
      <c r="F7" s="752"/>
      <c r="G7" s="752"/>
      <c r="H7" s="752"/>
      <c r="I7" s="752"/>
      <c r="J7" s="752"/>
      <c r="K7" s="75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'[12]Degree Days 2020'!B10</f>
        <v>20</v>
      </c>
      <c r="C10" s="269">
        <f>'[12]Degree Days 2020'!C10</f>
        <v>15</v>
      </c>
      <c r="D10" s="269">
        <f>'[12]Degree Days 2020'!D10</f>
        <v>-0.80000000000000071</v>
      </c>
      <c r="E10" s="269">
        <f>'[12]Degree Days 2020'!E10</f>
        <v>1</v>
      </c>
      <c r="F10" s="269">
        <f>'[12]Degree Days 2020'!F10</f>
        <v>21</v>
      </c>
      <c r="G10" s="269">
        <f>'[12]Degree Days 2020'!G10</f>
        <v>16</v>
      </c>
      <c r="H10" s="269">
        <f>'[12]Degree Days 2020'!H10</f>
        <v>0.19999999999999929</v>
      </c>
      <c r="I10" s="269">
        <f>'[12]Degree Days 2020'!I10</f>
        <v>1</v>
      </c>
      <c r="J10" s="269">
        <f>'[12]Degree Days 2020'!J10</f>
        <v>18</v>
      </c>
      <c r="K10" s="269">
        <f>'[12]Degree Days 2020'!K10</f>
        <v>14</v>
      </c>
      <c r="L10" s="269">
        <f>'[12]Degree Days 2020'!L10</f>
        <v>-2.3000000000000007</v>
      </c>
      <c r="M10" s="269">
        <f>'[13]Degree Days 2020'!M10</f>
        <v>1</v>
      </c>
      <c r="N10" s="269">
        <f>'[14]General information '!B6</f>
        <v>17</v>
      </c>
      <c r="O10" s="269">
        <f>'[14]General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'[12]Degree Days 2020'!AA10</f>
        <v>-92.59999999999998</v>
      </c>
      <c r="AB10" s="269">
        <f>'[12]Degree Days 2020'!AB10</f>
        <v>2.7999999999999936</v>
      </c>
    </row>
    <row r="11" spans="1:28">
      <c r="A11" s="117">
        <v>2</v>
      </c>
      <c r="B11" s="269">
        <f>'[12]Degree Days 2020'!B11</f>
        <v>21</v>
      </c>
      <c r="C11" s="269">
        <f>'[12]Degree Days 2020'!C11</f>
        <v>15</v>
      </c>
      <c r="D11" s="269">
        <f>'[12]Degree Days 2020'!D11</f>
        <v>-0.30000000000000071</v>
      </c>
      <c r="E11" s="269">
        <f>'[12]Degree Days 2020'!E11</f>
        <v>2</v>
      </c>
      <c r="F11" s="269">
        <f>'[12]Degree Days 2020'!F11</f>
        <v>23</v>
      </c>
      <c r="G11" s="269">
        <f>'[12]Degree Days 2020'!G11</f>
        <v>17</v>
      </c>
      <c r="H11" s="269">
        <f>'[12]Degree Days 2020'!H11</f>
        <v>1.6999999999999993</v>
      </c>
      <c r="I11" s="269">
        <f>'[12]Degree Days 2020'!I11</f>
        <v>2</v>
      </c>
      <c r="J11" s="269">
        <f>'[12]Degree Days 2020'!J11</f>
        <v>18</v>
      </c>
      <c r="K11" s="269">
        <f>'[12]Degree Days 2020'!K11</f>
        <v>13</v>
      </c>
      <c r="L11" s="269">
        <f>'[12]Degree Days 2020'!L11</f>
        <v>-2.8000000000000007</v>
      </c>
      <c r="M11" s="269">
        <f>'[13]Degree Days 2020'!M11</f>
        <v>2</v>
      </c>
      <c r="N11" s="269">
        <f>'[14]General information '!B7</f>
        <v>15</v>
      </c>
      <c r="O11" s="269">
        <f>'[14]General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'[12]Degree Days 2020'!AA11</f>
        <v>-75.899999999999977</v>
      </c>
      <c r="AB11" s="269">
        <f>'[12]Degree Days 2020'!AB11</f>
        <v>6.4999999999999964</v>
      </c>
    </row>
    <row r="12" spans="1:28">
      <c r="A12" s="117">
        <v>3</v>
      </c>
      <c r="B12" s="269">
        <f>'[12]Degree Days 2020'!B12</f>
        <v>21</v>
      </c>
      <c r="C12" s="269">
        <f>'[12]Degree Days 2020'!C12</f>
        <v>16</v>
      </c>
      <c r="D12" s="269">
        <f>'[12]Degree Days 2020'!D12</f>
        <v>0.19999999999999929</v>
      </c>
      <c r="E12" s="269">
        <f>'[12]Degree Days 2020'!E12</f>
        <v>3</v>
      </c>
      <c r="F12" s="269">
        <f>'[12]Degree Days 2020'!F12</f>
        <v>20</v>
      </c>
      <c r="G12" s="269">
        <f>'[12]Degree Days 2020'!G12</f>
        <v>15</v>
      </c>
      <c r="H12" s="269">
        <f>'[12]Degree Days 2020'!H12</f>
        <v>-0.80000000000000071</v>
      </c>
      <c r="I12" s="269">
        <f>'[12]Degree Days 2020'!I12</f>
        <v>3</v>
      </c>
      <c r="J12" s="269">
        <f>'[12]Degree Days 2020'!J12</f>
        <v>18</v>
      </c>
      <c r="K12" s="269">
        <f>'[12]Degree Days 2020'!K12</f>
        <v>13</v>
      </c>
      <c r="L12" s="269">
        <f>'[12]Degree Days 2020'!L12</f>
        <v>-2.8000000000000007</v>
      </c>
      <c r="M12" s="269">
        <f>'[13]Degree Days 2020'!M12</f>
        <v>3</v>
      </c>
      <c r="N12" s="269">
        <f>'[14]General information '!B8</f>
        <v>19</v>
      </c>
      <c r="O12" s="269">
        <f>'[14]General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'[12]Degree Days 2020'!AA12</f>
        <v>-56.899999999999991</v>
      </c>
      <c r="AB12" s="269">
        <f>'[12]Degree Days 2020'!AB12</f>
        <v>11.499999999999996</v>
      </c>
    </row>
    <row r="13" spans="1:28">
      <c r="A13" s="117">
        <v>4</v>
      </c>
      <c r="B13" s="269">
        <f>'[12]Degree Days 2020'!B13</f>
        <v>22</v>
      </c>
      <c r="C13" s="269">
        <f>'[12]Degree Days 2020'!C13</f>
        <v>15</v>
      </c>
      <c r="D13" s="269">
        <f>'[12]Degree Days 2020'!D13</f>
        <v>0.19999999999999929</v>
      </c>
      <c r="E13" s="269">
        <f>'[12]Degree Days 2020'!E13</f>
        <v>4</v>
      </c>
      <c r="F13" s="269">
        <f>'[12]Degree Days 2020'!F13</f>
        <v>20</v>
      </c>
      <c r="G13" s="269">
        <f>'[12]Degree Days 2020'!G13</f>
        <v>15</v>
      </c>
      <c r="H13" s="269">
        <f>'[12]Degree Days 2020'!H13</f>
        <v>-0.80000000000000071</v>
      </c>
      <c r="I13" s="269">
        <f>'[12]Degree Days 2020'!I13</f>
        <v>4</v>
      </c>
      <c r="J13" s="269">
        <f>'[12]Degree Days 2020'!J13</f>
        <v>18</v>
      </c>
      <c r="K13" s="269">
        <f>'[12]Degree Days 2020'!K13</f>
        <v>13</v>
      </c>
      <c r="L13" s="269">
        <f>'[12]Degree Days 2020'!L13</f>
        <v>-2.8000000000000007</v>
      </c>
      <c r="M13" s="269">
        <f>'[13]Degree Days 2020'!M13</f>
        <v>4</v>
      </c>
      <c r="N13" s="269">
        <f>'[14]General information '!B9</f>
        <v>18</v>
      </c>
      <c r="O13" s="269">
        <f>'[14]General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'[12]Degree Days 2020'!B14</f>
        <v>22</v>
      </c>
      <c r="C14" s="269">
        <f>'[12]Degree Days 2020'!C14</f>
        <v>16</v>
      </c>
      <c r="D14" s="269">
        <f>'[12]Degree Days 2020'!D14</f>
        <v>0.69999999999999929</v>
      </c>
      <c r="E14" s="269">
        <f>'[12]Degree Days 2020'!E14</f>
        <v>5</v>
      </c>
      <c r="F14" s="269">
        <f>'[12]Degree Days 2020'!F14</f>
        <v>20</v>
      </c>
      <c r="G14" s="269">
        <f>'[12]Degree Days 2020'!G14</f>
        <v>15</v>
      </c>
      <c r="H14" s="269">
        <f>'[12]Degree Days 2020'!H14</f>
        <v>-0.80000000000000071</v>
      </c>
      <c r="I14" s="269">
        <f>'[12]Degree Days 2020'!I14</f>
        <v>5</v>
      </c>
      <c r="J14" s="269">
        <f>'[12]Degree Days 2020'!J14</f>
        <v>19</v>
      </c>
      <c r="K14" s="269">
        <f>'[12]Degree Days 2020'!K14</f>
        <v>12</v>
      </c>
      <c r="L14" s="269">
        <f>'[12]Degree Days 2020'!L14</f>
        <v>-2.8000000000000007</v>
      </c>
      <c r="M14" s="269">
        <f>'[13]Degree Days 2020'!M14</f>
        <v>5</v>
      </c>
      <c r="N14" s="269">
        <f>'[14]General information '!B10</f>
        <v>19</v>
      </c>
      <c r="O14" s="269">
        <f>'[14]General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'[12]Degree Days 2020'!B15</f>
        <v>22</v>
      </c>
      <c r="C15" s="269">
        <f>'[12]Degree Days 2020'!C15</f>
        <v>15</v>
      </c>
      <c r="D15" s="269">
        <f>'[12]Degree Days 2020'!D15</f>
        <v>0.19999999999999929</v>
      </c>
      <c r="E15" s="269">
        <f>'[12]Degree Days 2020'!E15</f>
        <v>6</v>
      </c>
      <c r="F15" s="269">
        <f>'[12]Degree Days 2020'!F15</f>
        <v>19</v>
      </c>
      <c r="G15" s="269">
        <f>'[12]Degree Days 2020'!G15</f>
        <v>15</v>
      </c>
      <c r="H15" s="269">
        <f>'[12]Degree Days 2020'!H15</f>
        <v>-1.3000000000000007</v>
      </c>
      <c r="I15" s="269">
        <f>'[12]Degree Days 2020'!I15</f>
        <v>6</v>
      </c>
      <c r="J15" s="269">
        <f>'[12]Degree Days 2020'!J15</f>
        <v>18</v>
      </c>
      <c r="K15" s="269">
        <f>'[12]Degree Days 2020'!K15</f>
        <v>14</v>
      </c>
      <c r="L15" s="269">
        <f>'[12]Degree Days 2020'!L15</f>
        <v>-2.3000000000000007</v>
      </c>
      <c r="M15" s="269">
        <f>'[13]Degree Days 2020'!M15</f>
        <v>6</v>
      </c>
      <c r="N15" s="269">
        <f>'[14]General information '!B11</f>
        <v>30</v>
      </c>
      <c r="O15" s="269">
        <f>'[14]General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'[12]Degree Days 2020'!B16</f>
        <v>20</v>
      </c>
      <c r="C16" s="269">
        <f>'[12]Degree Days 2020'!C16</f>
        <v>14</v>
      </c>
      <c r="D16" s="269">
        <f>'[12]Degree Days 2020'!D16</f>
        <v>-1.3000000000000007</v>
      </c>
      <c r="E16" s="269">
        <f>'[12]Degree Days 2020'!E16</f>
        <v>7</v>
      </c>
      <c r="F16" s="269">
        <f>'[12]Degree Days 2020'!F16</f>
        <v>21</v>
      </c>
      <c r="G16" s="269">
        <f>'[12]Degree Days 2020'!G16</f>
        <v>17</v>
      </c>
      <c r="H16" s="269">
        <f>'[12]Degree Days 2020'!H16</f>
        <v>0.69999999999999929</v>
      </c>
      <c r="I16" s="269">
        <f>'[12]Degree Days 2020'!I16</f>
        <v>7</v>
      </c>
      <c r="J16" s="269">
        <f>'[12]Degree Days 2020'!J16</f>
        <v>19</v>
      </c>
      <c r="K16" s="269">
        <f>'[12]Degree Days 2020'!K16</f>
        <v>14</v>
      </c>
      <c r="L16" s="269">
        <f>'[12]Degree Days 2020'!L16</f>
        <v>-1.8000000000000007</v>
      </c>
      <c r="M16" s="269">
        <f>'[13]Degree Days 2020'!M16</f>
        <v>7</v>
      </c>
      <c r="N16" s="269">
        <f>'[14]General information '!B12</f>
        <v>24</v>
      </c>
      <c r="O16" s="269">
        <f>'[14]General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'[12]Degree Days 2020'!B17</f>
        <v>21</v>
      </c>
      <c r="C17" s="269">
        <f>'[12]Degree Days 2020'!C17</f>
        <v>14</v>
      </c>
      <c r="D17" s="269">
        <f>'[12]Degree Days 2020'!D17</f>
        <v>-0.80000000000000071</v>
      </c>
      <c r="E17" s="269">
        <f>'[12]Degree Days 2020'!E17</f>
        <v>8</v>
      </c>
      <c r="F17" s="269">
        <f>'[12]Degree Days 2020'!F17</f>
        <v>23</v>
      </c>
      <c r="G17" s="269">
        <f>'[12]Degree Days 2020'!G17</f>
        <v>19</v>
      </c>
      <c r="H17" s="269">
        <f>'[12]Degree Days 2020'!H17</f>
        <v>2.6999999999999993</v>
      </c>
      <c r="I17" s="269">
        <f>'[12]Degree Days 2020'!I17</f>
        <v>8</v>
      </c>
      <c r="J17" s="269">
        <f>'[12]Degree Days 2020'!J17</f>
        <v>20</v>
      </c>
      <c r="K17" s="269">
        <f>'[12]Degree Days 2020'!K17</f>
        <v>16</v>
      </c>
      <c r="L17" s="269">
        <f>'[12]Degree Days 2020'!L17</f>
        <v>-0.30000000000000071</v>
      </c>
      <c r="M17" s="269">
        <f>'[13]Degree Days 2020'!M17</f>
        <v>8</v>
      </c>
      <c r="N17" s="269">
        <f>'[14]General information '!B13</f>
        <v>20</v>
      </c>
      <c r="O17" s="269">
        <f>'[14]General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'[12]Degree Days 2020'!B18</f>
        <v>22</v>
      </c>
      <c r="C18" s="269">
        <f>'[12]Degree Days 2020'!C18</f>
        <v>15</v>
      </c>
      <c r="D18" s="269">
        <f>'[12]Degree Days 2020'!D18</f>
        <v>0.19999999999999929</v>
      </c>
      <c r="E18" s="269">
        <f>'[12]Degree Days 2020'!E18</f>
        <v>9</v>
      </c>
      <c r="F18" s="269">
        <f>'[12]Degree Days 2020'!F18</f>
        <v>21</v>
      </c>
      <c r="G18" s="269">
        <f>'[12]Degree Days 2020'!G18</f>
        <v>18</v>
      </c>
      <c r="H18" s="269">
        <f>'[12]Degree Days 2020'!H18</f>
        <v>1.1999999999999993</v>
      </c>
      <c r="I18" s="269">
        <f>'[12]Degree Days 2020'!I18</f>
        <v>9</v>
      </c>
      <c r="J18" s="269">
        <f>'[12]Degree Days 2020'!J18</f>
        <v>23</v>
      </c>
      <c r="K18" s="269">
        <f>'[12]Degree Days 2020'!K18</f>
        <v>17</v>
      </c>
      <c r="L18" s="269">
        <f>'[12]Degree Days 2020'!L18</f>
        <v>1.6999999999999993</v>
      </c>
      <c r="M18" s="269">
        <f>'[13]Degree Days 2020'!M18</f>
        <v>9</v>
      </c>
      <c r="N18" s="269">
        <f>'[14]General information '!B14</f>
        <v>20</v>
      </c>
      <c r="O18" s="269">
        <f>'[14]General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'[12]Degree Days 2020'!B19</f>
        <v>22</v>
      </c>
      <c r="C19" s="269">
        <f>'[12]Degree Days 2020'!C19</f>
        <v>15</v>
      </c>
      <c r="D19" s="269">
        <f>'[12]Degree Days 2020'!D19</f>
        <v>0.19999999999999929</v>
      </c>
      <c r="E19" s="269">
        <f>'[12]Degree Days 2020'!E19</f>
        <v>10</v>
      </c>
      <c r="F19" s="269">
        <f>'[12]Degree Days 2020'!F19</f>
        <v>19</v>
      </c>
      <c r="G19" s="269">
        <f>'[12]Degree Days 2020'!G19</f>
        <v>14</v>
      </c>
      <c r="H19" s="269">
        <f>'[12]Degree Days 2020'!H19</f>
        <v>-1.8000000000000007</v>
      </c>
      <c r="I19" s="269">
        <f>'[12]Degree Days 2020'!I19</f>
        <v>10</v>
      </c>
      <c r="J19" s="269">
        <f>'[12]Degree Days 2020'!J19</f>
        <v>19</v>
      </c>
      <c r="K19" s="269">
        <f>'[12]Degree Days 2020'!K19</f>
        <v>13</v>
      </c>
      <c r="L19" s="269">
        <f>'[12]Degree Days 2020'!L19</f>
        <v>-2.3000000000000007</v>
      </c>
      <c r="M19" s="269">
        <f>'[13]Degree Days 2020'!M19</f>
        <v>10</v>
      </c>
      <c r="N19" s="269">
        <f>'[14]General information '!B15</f>
        <v>16</v>
      </c>
      <c r="O19" s="269">
        <f>'[14]General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'[12]Degree Days 2020'!B20</f>
        <v>22</v>
      </c>
      <c r="C20" s="269">
        <f>'[12]Degree Days 2020'!C20</f>
        <v>16</v>
      </c>
      <c r="D20" s="269">
        <f>'[12]Degree Days 2020'!D20</f>
        <v>0.69999999999999929</v>
      </c>
      <c r="E20" s="269">
        <f>'[12]Degree Days 2020'!E20</f>
        <v>11</v>
      </c>
      <c r="F20" s="269">
        <f>'[12]Degree Days 2020'!F20</f>
        <v>18</v>
      </c>
      <c r="G20" s="269">
        <f>'[12]Degree Days 2020'!G20</f>
        <v>13</v>
      </c>
      <c r="H20" s="269">
        <f>'[12]Degree Days 2020'!H20</f>
        <v>-2.8000000000000007</v>
      </c>
      <c r="I20" s="269">
        <f>'[12]Degree Days 2020'!I20</f>
        <v>11</v>
      </c>
      <c r="J20" s="269">
        <f>'[12]Degree Days 2020'!J20</f>
        <v>17</v>
      </c>
      <c r="K20" s="269">
        <f>'[12]Degree Days 2020'!K20</f>
        <v>12</v>
      </c>
      <c r="L20" s="269">
        <f>'[12]Degree Days 2020'!L20</f>
        <v>-3.8000000000000007</v>
      </c>
      <c r="M20" s="269">
        <f>'[13]Degree Days 2020'!M20</f>
        <v>11</v>
      </c>
      <c r="N20" s="269">
        <f>'[14]General information '!B16</f>
        <v>17</v>
      </c>
      <c r="O20" s="269">
        <f>'[14]General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'[12]Degree Days 2020'!B21</f>
        <v>24</v>
      </c>
      <c r="C21" s="269">
        <f>'[12]Degree Days 2020'!C21</f>
        <v>13</v>
      </c>
      <c r="D21" s="269">
        <f>'[12]Degree Days 2020'!D21</f>
        <v>0.19999999999999929</v>
      </c>
      <c r="E21" s="269">
        <f>'[12]Degree Days 2020'!E21</f>
        <v>12</v>
      </c>
      <c r="F21" s="269">
        <f>'[12]Degree Days 2020'!F21</f>
        <v>18</v>
      </c>
      <c r="G21" s="269">
        <f>'[12]Degree Days 2020'!G21</f>
        <v>13</v>
      </c>
      <c r="H21" s="269">
        <f>'[12]Degree Days 2020'!H21</f>
        <v>-2.8000000000000007</v>
      </c>
      <c r="I21" s="269">
        <f>'[12]Degree Days 2020'!I21</f>
        <v>12</v>
      </c>
      <c r="J21" s="269">
        <f>'[12]Degree Days 2020'!J21</f>
        <v>18</v>
      </c>
      <c r="K21" s="269">
        <f>'[12]Degree Days 2020'!K21</f>
        <v>13</v>
      </c>
      <c r="L21" s="269">
        <f>'[12]Degree Days 2020'!L21</f>
        <v>-2.8000000000000007</v>
      </c>
      <c r="M21" s="269">
        <f>'[13]Degree Days 2020'!M21</f>
        <v>12</v>
      </c>
      <c r="N21" s="269">
        <f>'[14]General information '!B17</f>
        <v>16</v>
      </c>
      <c r="O21" s="269">
        <f>'[14]General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'[12]Degree Days 2020'!B22</f>
        <v>18</v>
      </c>
      <c r="C22" s="269">
        <f>'[12]Degree Days 2020'!C22</f>
        <v>12</v>
      </c>
      <c r="D22" s="269">
        <f>'[12]Degree Days 2020'!D22</f>
        <v>-3.3000000000000007</v>
      </c>
      <c r="E22" s="269">
        <f>'[12]Degree Days 2020'!E22</f>
        <v>13</v>
      </c>
      <c r="F22" s="269">
        <f>'[12]Degree Days 2020'!F22</f>
        <v>19</v>
      </c>
      <c r="G22" s="269">
        <f>'[12]Degree Days 2020'!G22</f>
        <v>14</v>
      </c>
      <c r="H22" s="269">
        <f>'[12]Degree Days 2020'!H22</f>
        <v>-1.8000000000000007</v>
      </c>
      <c r="I22" s="269">
        <f>'[12]Degree Days 2020'!I22</f>
        <v>13</v>
      </c>
      <c r="J22" s="269">
        <f>'[12]Degree Days 2020'!J22</f>
        <v>18</v>
      </c>
      <c r="K22" s="269">
        <f>'[12]Degree Days 2020'!K22</f>
        <v>16</v>
      </c>
      <c r="L22" s="269">
        <f>'[12]Degree Days 2020'!L22</f>
        <v>-1.3000000000000007</v>
      </c>
      <c r="M22" s="269">
        <f>'[13]Degree Days 2020'!M22</f>
        <v>13</v>
      </c>
      <c r="N22" s="269">
        <f>'[14]General information '!B18</f>
        <v>18</v>
      </c>
      <c r="O22" s="269">
        <f>'[14]General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'[12]Degree Days 2020'!B23</f>
        <v>17</v>
      </c>
      <c r="C23" s="269">
        <f>'[12]Degree Days 2020'!C23</f>
        <v>12</v>
      </c>
      <c r="D23" s="269">
        <f>'[12]Degree Days 2020'!D23</f>
        <v>-3.8000000000000007</v>
      </c>
      <c r="E23" s="269">
        <f>'[12]Degree Days 2020'!E23</f>
        <v>14</v>
      </c>
      <c r="F23" s="269">
        <f>'[12]Degree Days 2020'!F23</f>
        <v>18</v>
      </c>
      <c r="G23" s="269">
        <f>'[12]Degree Days 2020'!G23</f>
        <v>13</v>
      </c>
      <c r="H23" s="269">
        <f>'[12]Degree Days 2020'!H23</f>
        <v>-2.8000000000000007</v>
      </c>
      <c r="I23" s="269">
        <f>'[12]Degree Days 2020'!I23</f>
        <v>14</v>
      </c>
      <c r="J23" s="269">
        <f>'[12]Degree Days 2020'!J23</f>
        <v>19</v>
      </c>
      <c r="K23" s="269">
        <f>'[12]Degree Days 2020'!K23</f>
        <v>15</v>
      </c>
      <c r="L23" s="269">
        <f>'[12]Degree Days 2020'!L23</f>
        <v>-1.3000000000000007</v>
      </c>
      <c r="M23" s="269">
        <f>'[13]Degree Days 2020'!M23</f>
        <v>14</v>
      </c>
      <c r="N23" s="269">
        <f>'[14]General information '!B19</f>
        <v>20</v>
      </c>
      <c r="O23" s="269">
        <f>'[14]General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'[12]Degree Days 2020'!B24</f>
        <v>19</v>
      </c>
      <c r="C24" s="269">
        <f>'[12]Degree Days 2020'!C24</f>
        <v>13</v>
      </c>
      <c r="D24" s="269">
        <f>'[12]Degree Days 2020'!D24</f>
        <v>-2.3000000000000007</v>
      </c>
      <c r="E24" s="269">
        <f>'[12]Degree Days 2020'!E24</f>
        <v>15</v>
      </c>
      <c r="F24" s="269">
        <f>'[12]Degree Days 2020'!F24</f>
        <v>18</v>
      </c>
      <c r="G24" s="269">
        <f>'[12]Degree Days 2020'!G24</f>
        <v>12</v>
      </c>
      <c r="H24" s="269">
        <f>'[12]Degree Days 2020'!H24</f>
        <v>-3.3000000000000007</v>
      </c>
      <c r="I24" s="269">
        <f>'[12]Degree Days 2020'!I24</f>
        <v>15</v>
      </c>
      <c r="J24" s="269">
        <f>'[12]Degree Days 2020'!J24</f>
        <v>19</v>
      </c>
      <c r="K24" s="269">
        <f>'[12]Degree Days 2020'!K24</f>
        <v>15</v>
      </c>
      <c r="L24" s="269">
        <f>'[12]Degree Days 2020'!L24</f>
        <v>-1.3000000000000007</v>
      </c>
      <c r="M24" s="269">
        <f>'[13]Degree Days 2020'!M24</f>
        <v>15</v>
      </c>
      <c r="N24" s="269">
        <f>'[14]General information '!B20</f>
        <v>24</v>
      </c>
      <c r="O24" s="269">
        <f>'[14]General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'[12]Degree Days 2020'!B25</f>
        <v>15</v>
      </c>
      <c r="C25" s="269">
        <f>'[12]Degree Days 2020'!C25</f>
        <v>9</v>
      </c>
      <c r="D25" s="269">
        <f>'[12]Degree Days 2020'!D25</f>
        <v>-6.3000000000000007</v>
      </c>
      <c r="E25" s="269">
        <f>'[12]Degree Days 2020'!E25</f>
        <v>16</v>
      </c>
      <c r="F25" s="269">
        <f>'[12]Degree Days 2020'!F25</f>
        <v>11</v>
      </c>
      <c r="G25" s="269">
        <f>'[12]Degree Days 2020'!G25</f>
        <v>7</v>
      </c>
      <c r="H25" s="269">
        <f>'[12]Degree Days 2020'!H25</f>
        <v>-9.3000000000000007</v>
      </c>
      <c r="I25" s="269">
        <f>'[12]Degree Days 2020'!I25</f>
        <v>16</v>
      </c>
      <c r="J25" s="269">
        <f>'[12]Degree Days 2020'!J25</f>
        <v>19</v>
      </c>
      <c r="K25" s="269">
        <f>'[12]Degree Days 2020'!K25</f>
        <v>14</v>
      </c>
      <c r="L25" s="269">
        <f>'[12]Degree Days 2020'!L25</f>
        <v>-1.8000000000000007</v>
      </c>
      <c r="M25" s="269">
        <f>'[13]Degree Days 2020'!M25</f>
        <v>16</v>
      </c>
      <c r="N25" s="269">
        <f>'[14]General information '!B21</f>
        <v>26</v>
      </c>
      <c r="O25" s="269">
        <f>'[14]General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'[12]Degree Days 2020'!B26</f>
        <v>15</v>
      </c>
      <c r="C26" s="269">
        <f>'[12]Degree Days 2020'!C26</f>
        <v>12</v>
      </c>
      <c r="D26" s="269">
        <f>'[12]Degree Days 2020'!D26</f>
        <v>-4.8000000000000007</v>
      </c>
      <c r="E26" s="269">
        <f>'[12]Degree Days 2020'!E26</f>
        <v>17</v>
      </c>
      <c r="F26" s="269">
        <f>'[12]Degree Days 2020'!F26</f>
        <v>13</v>
      </c>
      <c r="G26" s="269">
        <f>'[12]Degree Days 2020'!G26</f>
        <v>7</v>
      </c>
      <c r="H26" s="269">
        <f>'[12]Degree Days 2020'!H26</f>
        <v>-8.3000000000000007</v>
      </c>
      <c r="I26" s="269">
        <f>'[12]Degree Days 2020'!I26</f>
        <v>17</v>
      </c>
      <c r="J26" s="269">
        <f>'[12]Degree Days 2020'!J26</f>
        <v>20</v>
      </c>
      <c r="K26" s="269">
        <f>'[12]Degree Days 2020'!K26</f>
        <v>15</v>
      </c>
      <c r="L26" s="269">
        <f>'[12]Degree Days 2020'!L26</f>
        <v>-0.80000000000000071</v>
      </c>
      <c r="M26" s="269">
        <f>'[13]Degree Days 2020'!M26</f>
        <v>17</v>
      </c>
      <c r="N26" s="269">
        <f>'[14]General information '!B22</f>
        <v>27</v>
      </c>
      <c r="O26" s="269">
        <f>'[14]General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'[12]Degree Days 2020'!B27</f>
        <v>14</v>
      </c>
      <c r="C27" s="269">
        <f>'[12]Degree Days 2020'!C27</f>
        <v>8</v>
      </c>
      <c r="D27" s="269">
        <f>'[12]Degree Days 2020'!D27</f>
        <v>-7.3000000000000007</v>
      </c>
      <c r="E27" s="269">
        <f>'[12]Degree Days 2020'!E27</f>
        <v>18</v>
      </c>
      <c r="F27" s="269">
        <f>'[12]Degree Days 2020'!F27</f>
        <v>13</v>
      </c>
      <c r="G27" s="269">
        <f>'[12]Degree Days 2020'!G27</f>
        <v>7</v>
      </c>
      <c r="H27" s="269">
        <f>'[12]Degree Days 2020'!H27</f>
        <v>-8.3000000000000007</v>
      </c>
      <c r="I27" s="269">
        <f>'[12]Degree Days 2020'!I27</f>
        <v>18</v>
      </c>
      <c r="J27" s="269">
        <f>'[12]Degree Days 2020'!J27</f>
        <v>20</v>
      </c>
      <c r="K27" s="269">
        <f>'[12]Degree Days 2020'!K27</f>
        <v>15</v>
      </c>
      <c r="L27" s="269">
        <f>'[12]Degree Days 2020'!L27</f>
        <v>-0.80000000000000071</v>
      </c>
      <c r="M27" s="269">
        <f>'[13]Degree Days 2020'!M27</f>
        <v>18</v>
      </c>
      <c r="N27" s="269">
        <f>'[14]General information '!B23</f>
        <v>32</v>
      </c>
      <c r="O27" s="269">
        <f>'[14]General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'[12]Degree Days 2020'!B28</f>
        <v>17</v>
      </c>
      <c r="C28" s="269">
        <f>'[12]Degree Days 2020'!C28</f>
        <v>10</v>
      </c>
      <c r="D28" s="269">
        <f>'[12]Degree Days 2020'!D28</f>
        <v>-4.8000000000000007</v>
      </c>
      <c r="E28" s="269">
        <f>'[12]Degree Days 2020'!E28</f>
        <v>19</v>
      </c>
      <c r="F28" s="269">
        <f>'[12]Degree Days 2020'!F28</f>
        <v>14</v>
      </c>
      <c r="G28" s="269">
        <f>'[12]Degree Days 2020'!G28</f>
        <v>7</v>
      </c>
      <c r="H28" s="269">
        <f>'[12]Degree Days 2020'!H28</f>
        <v>-7.8000000000000007</v>
      </c>
      <c r="I28" s="269">
        <f>'[12]Degree Days 2020'!I28</f>
        <v>19</v>
      </c>
      <c r="J28" s="269">
        <f>'[12]Degree Days 2020'!J28</f>
        <v>19</v>
      </c>
      <c r="K28" s="269">
        <f>'[12]Degree Days 2020'!K28</f>
        <v>17</v>
      </c>
      <c r="L28" s="269">
        <f>'[12]Degree Days 2020'!L28</f>
        <v>-0.30000000000000071</v>
      </c>
      <c r="M28" s="269">
        <f>'[13]Degree Days 2020'!M28</f>
        <v>19</v>
      </c>
      <c r="N28" s="269">
        <f>'[14]General information '!B24</f>
        <v>33</v>
      </c>
      <c r="O28" s="269">
        <f>'[14]General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'[12]Degree Days 2020'!B29</f>
        <v>17</v>
      </c>
      <c r="C29" s="269">
        <f>'[12]Degree Days 2020'!C29</f>
        <v>10</v>
      </c>
      <c r="D29" s="269">
        <f>'[12]Degree Days 2020'!D29</f>
        <v>-4.8000000000000007</v>
      </c>
      <c r="E29" s="269">
        <f>'[12]Degree Days 2020'!E29</f>
        <v>20</v>
      </c>
      <c r="F29" s="269">
        <f>'[12]Degree Days 2020'!F29</f>
        <v>19</v>
      </c>
      <c r="G29" s="269">
        <f>'[12]Degree Days 2020'!G29</f>
        <v>14</v>
      </c>
      <c r="H29" s="269">
        <f>'[12]Degree Days 2020'!H29</f>
        <v>-1.8000000000000007</v>
      </c>
      <c r="I29" s="269">
        <f>'[12]Degree Days 2020'!I29</f>
        <v>20</v>
      </c>
      <c r="J29" s="269">
        <f>'[12]Degree Days 2020'!J29</f>
        <v>21</v>
      </c>
      <c r="K29" s="269">
        <f>'[12]Degree Days 2020'!K29</f>
        <v>18</v>
      </c>
      <c r="L29" s="269">
        <f>'[12]Degree Days 2020'!L29</f>
        <v>1.1999999999999993</v>
      </c>
      <c r="M29" s="269">
        <f>'[13]Degree Days 2020'!M29</f>
        <v>20</v>
      </c>
      <c r="N29" s="269">
        <f>'[14]General information '!B25</f>
        <v>22</v>
      </c>
      <c r="O29" s="269">
        <f>'[14]General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'[12]Degree Days 2020'!B30</f>
        <v>16</v>
      </c>
      <c r="C30" s="269">
        <f>'[12]Degree Days 2020'!C30</f>
        <v>9</v>
      </c>
      <c r="D30" s="269">
        <f>'[12]Degree Days 2020'!D30</f>
        <v>-5.8000000000000007</v>
      </c>
      <c r="E30" s="269">
        <f>'[12]Degree Days 2020'!E30</f>
        <v>21</v>
      </c>
      <c r="F30" s="269">
        <f>'[12]Degree Days 2020'!F30</f>
        <v>18</v>
      </c>
      <c r="G30" s="269">
        <f>'[12]Degree Days 2020'!G30</f>
        <v>13</v>
      </c>
      <c r="H30" s="269">
        <f>'[12]Degree Days 2020'!H30</f>
        <v>-2.8000000000000007</v>
      </c>
      <c r="I30" s="269">
        <f>'[12]Degree Days 2020'!I30</f>
        <v>21</v>
      </c>
      <c r="J30" s="269">
        <f>'[12]Degree Days 2020'!J30</f>
        <v>23</v>
      </c>
      <c r="K30" s="269">
        <f>'[12]Degree Days 2020'!K30</f>
        <v>14</v>
      </c>
      <c r="L30" s="269">
        <f>'[12]Degree Days 2020'!L30</f>
        <v>0.19999999999999929</v>
      </c>
      <c r="M30" s="269">
        <f>'[13]Degree Days 2020'!M30</f>
        <v>21</v>
      </c>
      <c r="N30" s="269">
        <f>'[14]General information '!B26</f>
        <v>21</v>
      </c>
      <c r="O30" s="269">
        <f>'[14]General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'[12]Degree Days 2020'!B31</f>
        <v>17</v>
      </c>
      <c r="C31" s="269">
        <f>'[12]Degree Days 2020'!C31</f>
        <v>10</v>
      </c>
      <c r="D31" s="269">
        <f>'[12]Degree Days 2020'!D31</f>
        <v>-4.8000000000000007</v>
      </c>
      <c r="E31" s="269">
        <f>'[12]Degree Days 2020'!E31</f>
        <v>22</v>
      </c>
      <c r="F31" s="269">
        <f>'[12]Degree Days 2020'!F31</f>
        <v>21</v>
      </c>
      <c r="G31" s="269">
        <f>'[12]Degree Days 2020'!G31</f>
        <v>12</v>
      </c>
      <c r="H31" s="269">
        <f>'[12]Degree Days 2020'!H31</f>
        <v>-1.8000000000000007</v>
      </c>
      <c r="I31" s="269">
        <f>'[12]Degree Days 2020'!I31</f>
        <v>22</v>
      </c>
      <c r="J31" s="269">
        <f>'[12]Degree Days 2020'!J31</f>
        <v>26</v>
      </c>
      <c r="K31" s="269">
        <f>'[12]Degree Days 2020'!K31</f>
        <v>14</v>
      </c>
      <c r="L31" s="269">
        <f>'[12]Degree Days 2020'!L31</f>
        <v>1.6999999999999993</v>
      </c>
      <c r="M31" s="269">
        <f>'[13]Degree Days 2020'!M31</f>
        <v>22</v>
      </c>
      <c r="N31" s="269">
        <f>'[14]General information '!B27</f>
        <v>21</v>
      </c>
      <c r="O31" s="269">
        <f>'[14]General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'[12]Degree Days 2020'!B32</f>
        <v>18</v>
      </c>
      <c r="C32" s="269">
        <f>'[12]Degree Days 2020'!C32</f>
        <v>12</v>
      </c>
      <c r="D32" s="269">
        <f>'[12]Degree Days 2020'!D32</f>
        <v>-3.3000000000000007</v>
      </c>
      <c r="E32" s="269">
        <f>'[12]Degree Days 2020'!E32</f>
        <v>23</v>
      </c>
      <c r="F32" s="269">
        <f>'[12]Degree Days 2020'!F32</f>
        <v>19</v>
      </c>
      <c r="G32" s="269">
        <f>'[12]Degree Days 2020'!G32</f>
        <v>13</v>
      </c>
      <c r="H32" s="269">
        <f>'[12]Degree Days 2020'!H32</f>
        <v>-2.3000000000000007</v>
      </c>
      <c r="I32" s="269">
        <f>'[12]Degree Days 2020'!I32</f>
        <v>23</v>
      </c>
      <c r="J32" s="269">
        <f>'[12]Degree Days 2020'!J32</f>
        <v>33</v>
      </c>
      <c r="K32" s="269">
        <f>'[12]Degree Days 2020'!K32</f>
        <v>17</v>
      </c>
      <c r="L32" s="269">
        <f>'[12]Degree Days 2020'!L32</f>
        <v>6.6999999999999993</v>
      </c>
      <c r="M32" s="269">
        <f>'[13]Degree Days 2020'!M32</f>
        <v>23</v>
      </c>
      <c r="N32" s="269">
        <f>'[14]General information '!B28</f>
        <v>20</v>
      </c>
      <c r="O32" s="269">
        <f>'[14]General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'[12]Degree Days 2020'!B33</f>
        <v>17</v>
      </c>
      <c r="C33" s="269">
        <f>'[12]Degree Days 2020'!C33</f>
        <v>11</v>
      </c>
      <c r="D33" s="269">
        <f>'[12]Degree Days 2020'!D33</f>
        <v>-4.3000000000000007</v>
      </c>
      <c r="E33" s="269">
        <f>'[12]Degree Days 2020'!E33</f>
        <v>24</v>
      </c>
      <c r="F33" s="269">
        <f>'[12]Degree Days 2020'!F33</f>
        <v>19</v>
      </c>
      <c r="G33" s="269">
        <f>'[12]Degree Days 2020'!G33</f>
        <v>12</v>
      </c>
      <c r="H33" s="269">
        <f>'[12]Degree Days 2020'!H33</f>
        <v>-2.8000000000000007</v>
      </c>
      <c r="I33" s="269">
        <f>'[12]Degree Days 2020'!I33</f>
        <v>24</v>
      </c>
      <c r="J33" s="269">
        <f>'[12]Degree Days 2020'!J33</f>
        <v>15</v>
      </c>
      <c r="K33" s="269">
        <f>'[12]Degree Days 2020'!K33</f>
        <v>12</v>
      </c>
      <c r="L33" s="269">
        <f>'[12]Degree Days 2020'!L33</f>
        <v>-4.8000000000000007</v>
      </c>
      <c r="M33" s="269">
        <f>'[13]Degree Days 2020'!M33</f>
        <v>24</v>
      </c>
      <c r="N33" s="269">
        <f>'[14]General information '!B29</f>
        <v>24</v>
      </c>
      <c r="O33" s="269">
        <f>'[14]General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'[12]Degree Days 2020'!B34</f>
        <v>21</v>
      </c>
      <c r="C34" s="269">
        <f>'[12]Degree Days 2020'!C34</f>
        <v>12</v>
      </c>
      <c r="D34" s="269">
        <f>'[12]Degree Days 2020'!D34</f>
        <v>-1.8000000000000007</v>
      </c>
      <c r="E34" s="269">
        <f>'[12]Degree Days 2020'!E34</f>
        <v>25</v>
      </c>
      <c r="F34" s="269">
        <f>'[12]Degree Days 2020'!F34</f>
        <v>18</v>
      </c>
      <c r="G34" s="269">
        <f>'[12]Degree Days 2020'!G34</f>
        <v>13</v>
      </c>
      <c r="H34" s="269">
        <f>'[12]Degree Days 2020'!H34</f>
        <v>-2.8000000000000007</v>
      </c>
      <c r="I34" s="269">
        <f>'[12]Degree Days 2020'!I34</f>
        <v>25</v>
      </c>
      <c r="J34" s="269">
        <f>'[12]Degree Days 2020'!J34</f>
        <v>15</v>
      </c>
      <c r="K34" s="269">
        <f>'[12]Degree Days 2020'!K34</f>
        <v>12</v>
      </c>
      <c r="L34" s="269">
        <f>'[12]Degree Days 2020'!L34</f>
        <v>-4.8000000000000007</v>
      </c>
      <c r="M34" s="269">
        <f>'[13]Degree Days 2020'!M34</f>
        <v>25</v>
      </c>
      <c r="N34" s="269">
        <f>'[14]General information '!B30</f>
        <v>23</v>
      </c>
      <c r="O34" s="269">
        <f>'[14]General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'[12]Degree Days 2020'!B35</f>
        <v>18</v>
      </c>
      <c r="C35" s="269">
        <f>'[12]Degree Days 2020'!C35</f>
        <v>11</v>
      </c>
      <c r="D35" s="269">
        <f>'[12]Degree Days 2020'!D35</f>
        <v>-3.8000000000000007</v>
      </c>
      <c r="E35" s="269">
        <f>'[12]Degree Days 2020'!E35</f>
        <v>26</v>
      </c>
      <c r="F35" s="269">
        <f>'[12]Degree Days 2020'!F35</f>
        <v>18</v>
      </c>
      <c r="G35" s="269">
        <f>'[12]Degree Days 2020'!G35</f>
        <v>13</v>
      </c>
      <c r="H35" s="269">
        <f>'[12]Degree Days 2020'!H35</f>
        <v>-2.8000000000000007</v>
      </c>
      <c r="I35" s="269">
        <f>'[12]Degree Days 2020'!I35</f>
        <v>26</v>
      </c>
      <c r="J35" s="269">
        <f>'[12]Degree Days 2020'!J35</f>
        <v>16</v>
      </c>
      <c r="K35" s="269">
        <f>'[12]Degree Days 2020'!K35</f>
        <v>10</v>
      </c>
      <c r="L35" s="269">
        <f>'[12]Degree Days 2020'!L35</f>
        <v>-5.3000000000000007</v>
      </c>
      <c r="M35" s="269">
        <f>'[13]Degree Days 2020'!M35</f>
        <v>26</v>
      </c>
      <c r="N35" s="269">
        <f>'[14]General information '!B31</f>
        <v>22</v>
      </c>
      <c r="O35" s="269">
        <f>'[14]General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'[12]Degree Days 2020'!B36</f>
        <v>14</v>
      </c>
      <c r="C36" s="269">
        <f>'[12]Degree Days 2020'!C36</f>
        <v>10</v>
      </c>
      <c r="D36" s="269">
        <f>'[12]Degree Days 2020'!D36</f>
        <v>-6.3000000000000007</v>
      </c>
      <c r="E36" s="269">
        <f>'[12]Degree Days 2020'!E36</f>
        <v>27</v>
      </c>
      <c r="F36" s="269">
        <f>'[12]Degree Days 2020'!F36</f>
        <v>18</v>
      </c>
      <c r="G36" s="269">
        <f>'[12]Degree Days 2020'!G36</f>
        <v>13</v>
      </c>
      <c r="H36" s="269">
        <f>'[12]Degree Days 2020'!H36</f>
        <v>-2.8000000000000007</v>
      </c>
      <c r="I36" s="269">
        <f>'[12]Degree Days 2020'!I36</f>
        <v>27</v>
      </c>
      <c r="J36" s="269">
        <f>'[12]Degree Days 2020'!J36</f>
        <v>17</v>
      </c>
      <c r="K36" s="269">
        <f>'[12]Degree Days 2020'!K36</f>
        <v>11</v>
      </c>
      <c r="L36" s="269">
        <f>'[12]Degree Days 2020'!L36</f>
        <v>-4.3000000000000007</v>
      </c>
      <c r="M36" s="269">
        <f>'[13]Degree Days 2020'!M36</f>
        <v>27</v>
      </c>
      <c r="N36" s="269">
        <f>'[14]General information '!B32</f>
        <v>22</v>
      </c>
      <c r="O36" s="269">
        <f>'[14]General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'[12]Degree Days 2020'!B37</f>
        <v>14</v>
      </c>
      <c r="C37" s="269">
        <f>'[12]Degree Days 2020'!C37</f>
        <v>10</v>
      </c>
      <c r="D37" s="269">
        <f>'[12]Degree Days 2020'!D37</f>
        <v>-6.3000000000000007</v>
      </c>
      <c r="E37" s="269">
        <f>'[12]Degree Days 2020'!E37</f>
        <v>28</v>
      </c>
      <c r="F37" s="269">
        <f>'[12]Degree Days 2020'!F37</f>
        <v>17</v>
      </c>
      <c r="G37" s="269">
        <f>'[12]Degree Days 2020'!G37</f>
        <v>13</v>
      </c>
      <c r="H37" s="269">
        <f>'[12]Degree Days 2020'!H37</f>
        <v>-3.3000000000000007</v>
      </c>
      <c r="I37" s="269">
        <f>'[12]Degree Days 2020'!I37</f>
        <v>28</v>
      </c>
      <c r="J37" s="269">
        <f>'[12]Degree Days 2020'!J37</f>
        <v>17</v>
      </c>
      <c r="K37" s="269">
        <f>'[12]Degree Days 2020'!K37</f>
        <v>13</v>
      </c>
      <c r="L37" s="269">
        <f>'[12]Degree Days 2020'!L37</f>
        <v>-3.3000000000000007</v>
      </c>
      <c r="M37" s="269">
        <f>'[13]Degree Days 2020'!M37</f>
        <v>28</v>
      </c>
      <c r="N37" s="269">
        <f>'[14]General information '!B33</f>
        <v>26</v>
      </c>
      <c r="O37" s="269">
        <f>'[14]General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'[12]Degree Days 2020'!B38</f>
        <v>16</v>
      </c>
      <c r="C38" s="269">
        <f>'[12]Degree Days 2020'!C38</f>
        <v>12</v>
      </c>
      <c r="D38" s="269">
        <f>'[12]Degree Days 2020'!D38</f>
        <v>-4.3000000000000007</v>
      </c>
      <c r="E38" s="269"/>
      <c r="F38" s="269"/>
      <c r="G38" s="269"/>
      <c r="H38" s="269"/>
      <c r="I38" s="269">
        <f>'[12]Degree Days 2020'!I38</f>
        <v>29</v>
      </c>
      <c r="J38" s="269">
        <f>'[12]Degree Days 2020'!J38</f>
        <v>17</v>
      </c>
      <c r="K38" s="269">
        <f>'[12]Degree Days 2020'!K38</f>
        <v>14</v>
      </c>
      <c r="L38" s="269">
        <f>'[12]Degree Days 2020'!L38</f>
        <v>-2.8000000000000007</v>
      </c>
      <c r="M38" s="269">
        <f>'[13]Degree Days 2020'!M38</f>
        <v>29</v>
      </c>
      <c r="N38" s="269">
        <f>'[14]General information '!B34</f>
        <v>29</v>
      </c>
      <c r="O38" s="269">
        <f>'[14]General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'[12]Degree Days 2020'!B39</f>
        <v>10</v>
      </c>
      <c r="C39" s="269">
        <f>'[12]Degree Days 2020'!C39</f>
        <v>4</v>
      </c>
      <c r="D39" s="269">
        <f>'[12]Degree Days 2020'!D39</f>
        <v>-11.3</v>
      </c>
      <c r="E39" s="269"/>
      <c r="F39" s="269"/>
      <c r="G39" s="269"/>
      <c r="H39" s="269"/>
      <c r="I39" s="269">
        <f>'[12]Degree Days 2020'!I39</f>
        <v>30</v>
      </c>
      <c r="J39" s="269">
        <f>'[12]Degree Days 2020'!J39</f>
        <v>19</v>
      </c>
      <c r="K39" s="269">
        <f>'[12]Degree Days 2020'!K39</f>
        <v>13</v>
      </c>
      <c r="L39" s="269">
        <f>'[12]Degree Days 2020'!L39</f>
        <v>-2.3000000000000007</v>
      </c>
      <c r="M39" s="269">
        <f>'[13]Degree Days 2020'!M39</f>
        <v>30</v>
      </c>
      <c r="N39" s="269">
        <f>'[14]General information '!B35</f>
        <v>25</v>
      </c>
      <c r="O39" s="269">
        <f>'[14]General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'[12]Degree Days 2020'!B40</f>
        <v>21</v>
      </c>
      <c r="C40" s="269">
        <f>'[12]Degree Days 2020'!C40</f>
        <v>16</v>
      </c>
      <c r="D40" s="269">
        <f>'[12]Degree Days 2020'!D40</f>
        <v>0.19999999999999929</v>
      </c>
      <c r="E40" s="269"/>
      <c r="F40" s="269"/>
      <c r="G40" s="269"/>
      <c r="H40" s="269"/>
      <c r="I40" s="269">
        <f>'[12]Degree Days 2020'!I40</f>
        <v>31</v>
      </c>
      <c r="J40" s="269">
        <f>'[12]Degree Days 2020'!J40</f>
        <v>18</v>
      </c>
      <c r="K40" s="269">
        <f>'[12]Degree Days 2020'!K40</f>
        <v>13</v>
      </c>
      <c r="L40" s="269">
        <f>'[12]Degree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'[2]Degree Days 2020'!B48</f>
        <v>0</v>
      </c>
      <c r="C48" s="269">
        <f>'[2]Degree Days 2020'!C48</f>
        <v>0</v>
      </c>
      <c r="D48" s="119">
        <f t="shared" ref="D48:D56" si="3">(B48+C48)/2-18.3</f>
        <v>-18.3</v>
      </c>
      <c r="E48" s="117">
        <v>1</v>
      </c>
      <c r="F48" s="269">
        <f>'General information '!B6</f>
        <v>31</v>
      </c>
      <c r="G48" s="269">
        <f>'General information '!C6</f>
        <v>27</v>
      </c>
      <c r="H48" s="119">
        <f t="shared" ref="H48:H78" si="4">(F48+G48)/2-18.3</f>
        <v>10.7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'[2]Degree Days 2020'!B49</f>
        <v>0</v>
      </c>
      <c r="C49" s="269">
        <f>'[2]Degree Days 2020'!C49</f>
        <v>0</v>
      </c>
      <c r="D49" s="119">
        <f t="shared" si="3"/>
        <v>-18.3</v>
      </c>
      <c r="E49" s="117">
        <v>2</v>
      </c>
      <c r="F49" s="269">
        <f>'General information '!B7</f>
        <v>31</v>
      </c>
      <c r="G49" s="269">
        <f>'General information '!C7</f>
        <v>26</v>
      </c>
      <c r="H49" s="119">
        <f t="shared" si="4"/>
        <v>10.199999999999999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'[2]Degree Days 2020'!B50</f>
        <v>0</v>
      </c>
      <c r="C50" s="269">
        <f>'[2]Degree Days 2020'!C50</f>
        <v>0</v>
      </c>
      <c r="D50" s="119">
        <f t="shared" si="3"/>
        <v>-18.3</v>
      </c>
      <c r="E50" s="117">
        <v>3</v>
      </c>
      <c r="F50" s="269">
        <f>'General information '!B8</f>
        <v>31</v>
      </c>
      <c r="G50" s="269">
        <f>'General information '!C8</f>
        <v>26</v>
      </c>
      <c r="H50" s="119">
        <f t="shared" si="4"/>
        <v>10.199999999999999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'[2]Degree Days 2020'!B51</f>
        <v>0</v>
      </c>
      <c r="C51" s="269">
        <f>'[2]Degree Days 2020'!C51</f>
        <v>0</v>
      </c>
      <c r="D51" s="119">
        <f t="shared" si="3"/>
        <v>-18.3</v>
      </c>
      <c r="E51" s="117">
        <v>4</v>
      </c>
      <c r="F51" s="269">
        <f>'General information '!B9</f>
        <v>32</v>
      </c>
      <c r="G51" s="269">
        <f>'General information '!C9</f>
        <v>28</v>
      </c>
      <c r="H51" s="119">
        <f t="shared" si="4"/>
        <v>11.7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'[2]Degree Days 2020'!B52</f>
        <v>30</v>
      </c>
      <c r="C52" s="269">
        <f>'[2]Degree Days 2020'!C52</f>
        <v>27</v>
      </c>
      <c r="D52" s="119">
        <f t="shared" si="3"/>
        <v>10.199999999999999</v>
      </c>
      <c r="E52" s="117">
        <v>5</v>
      </c>
      <c r="F52" s="269">
        <f>'General information '!B10</f>
        <v>31</v>
      </c>
      <c r="G52" s="269">
        <f>'General information '!C10</f>
        <v>28</v>
      </c>
      <c r="H52" s="119">
        <f t="shared" si="4"/>
        <v>11.2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'[2]Degree Days 2020'!B53</f>
        <v>30</v>
      </c>
      <c r="C53" s="269">
        <f>'[2]Degree Days 2020'!C53</f>
        <v>27</v>
      </c>
      <c r="D53" s="119">
        <f t="shared" si="3"/>
        <v>10.199999999999999</v>
      </c>
      <c r="E53" s="117">
        <v>6</v>
      </c>
      <c r="F53" s="269">
        <f>'General information '!B11</f>
        <v>0</v>
      </c>
      <c r="G53" s="269">
        <f>'General information '!C11</f>
        <v>0</v>
      </c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'[2]Degree Days 2020'!B54</f>
        <v>30</v>
      </c>
      <c r="C54" s="269">
        <f>'[2]Degree Days 2020'!C54</f>
        <v>24</v>
      </c>
      <c r="D54" s="119">
        <f t="shared" si="3"/>
        <v>8.6999999999999993</v>
      </c>
      <c r="E54" s="117">
        <v>7</v>
      </c>
      <c r="F54" s="269">
        <f>'General information '!B12</f>
        <v>0</v>
      </c>
      <c r="G54" s="269">
        <f>'General information '!C12</f>
        <v>0</v>
      </c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'[2]Degree Days 2020'!B55</f>
        <v>29</v>
      </c>
      <c r="C55" s="269">
        <f>'[2]Degree Days 2020'!C55</f>
        <v>26</v>
      </c>
      <c r="D55" s="119">
        <f t="shared" si="3"/>
        <v>9.1999999999999993</v>
      </c>
      <c r="E55" s="117">
        <v>8</v>
      </c>
      <c r="F55" s="269">
        <f>'General information '!B13</f>
        <v>0</v>
      </c>
      <c r="G55" s="269">
        <f>'General information '!C13</f>
        <v>0</v>
      </c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'[2]Degree Days 2020'!B56</f>
        <v>30</v>
      </c>
      <c r="C56" s="269">
        <f>'[2]Degree Days 2020'!C56</f>
        <v>28</v>
      </c>
      <c r="D56" s="119">
        <f t="shared" si="3"/>
        <v>10.7</v>
      </c>
      <c r="E56" s="117">
        <v>9</v>
      </c>
      <c r="F56" s="269">
        <f>'General information '!B14</f>
        <v>0</v>
      </c>
      <c r="G56" s="269">
        <f>'General information '!C14</f>
        <v>0</v>
      </c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'[2]Degree Days 2020'!B57</f>
        <v>31</v>
      </c>
      <c r="C57" s="269">
        <f>'[2]Degree Days 2020'!C57</f>
        <v>28</v>
      </c>
      <c r="D57" s="119">
        <f t="shared" ref="D57:D78" si="9">(B57+C57)/2-18.3</f>
        <v>11.2</v>
      </c>
      <c r="E57" s="117">
        <v>10</v>
      </c>
      <c r="F57" s="269">
        <f>'General information '!B15</f>
        <v>0</v>
      </c>
      <c r="G57" s="269">
        <f>'General information '!C15</f>
        <v>0</v>
      </c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'[2]Degree Days 2020'!B58</f>
        <v>30</v>
      </c>
      <c r="C58" s="269">
        <f>'[2]Degree Days 2020'!C58</f>
        <v>26</v>
      </c>
      <c r="D58" s="119">
        <f t="shared" si="9"/>
        <v>9.6999999999999993</v>
      </c>
      <c r="E58" s="117">
        <v>11</v>
      </c>
      <c r="F58" s="269">
        <f>'General information '!B16</f>
        <v>29</v>
      </c>
      <c r="G58" s="269">
        <f>'General information '!C16</f>
        <v>29</v>
      </c>
      <c r="H58" s="119">
        <f t="shared" si="4"/>
        <v>10.7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'[2]Degree Days 2020'!B59</f>
        <v>31</v>
      </c>
      <c r="C59" s="269">
        <f>'[2]Degree Days 2020'!C59</f>
        <v>26</v>
      </c>
      <c r="D59" s="119">
        <f t="shared" si="9"/>
        <v>10.199999999999999</v>
      </c>
      <c r="E59" s="117">
        <v>12</v>
      </c>
      <c r="F59" s="269">
        <f>'General information '!B17</f>
        <v>29</v>
      </c>
      <c r="G59" s="269">
        <f>'General information '!C17</f>
        <v>32</v>
      </c>
      <c r="H59" s="119">
        <f t="shared" si="4"/>
        <v>12.2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'[2]Degree Days 2020'!B60</f>
        <v>31</v>
      </c>
      <c r="C60" s="269">
        <f>'[2]Degree Days 2020'!C60</f>
        <v>27</v>
      </c>
      <c r="D60" s="119">
        <f t="shared" si="9"/>
        <v>10.7</v>
      </c>
      <c r="E60" s="117">
        <v>13</v>
      </c>
      <c r="F60" s="269">
        <f>'General information '!B18</f>
        <v>0</v>
      </c>
      <c r="G60" s="269">
        <f>'General information '!C18</f>
        <v>0</v>
      </c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'[2]Degree Days 2020'!B61</f>
        <v>30</v>
      </c>
      <c r="C61" s="269">
        <f>'[2]Degree Days 2020'!C61</f>
        <v>26</v>
      </c>
      <c r="D61" s="119">
        <f t="shared" si="9"/>
        <v>9.6999999999999993</v>
      </c>
      <c r="E61" s="117">
        <v>14</v>
      </c>
      <c r="F61" s="269">
        <f>'General information '!B19</f>
        <v>0</v>
      </c>
      <c r="G61" s="269">
        <f>'General information '!C19</f>
        <v>0</v>
      </c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'[2]Degree Days 2020'!B62</f>
        <v>28</v>
      </c>
      <c r="C62" s="269">
        <f>'[2]Degree Days 2020'!C62</f>
        <v>26</v>
      </c>
      <c r="D62" s="119">
        <f t="shared" si="9"/>
        <v>8.6999999999999993</v>
      </c>
      <c r="E62" s="117">
        <v>15</v>
      </c>
      <c r="F62" s="269">
        <f>'General information '!B20</f>
        <v>0</v>
      </c>
      <c r="G62" s="269">
        <f>'General information '!C20</f>
        <v>0</v>
      </c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'[2]Degree Days 2020'!B63</f>
        <v>30</v>
      </c>
      <c r="C63" s="269">
        <f>'[2]Degree Days 2020'!C63</f>
        <v>26</v>
      </c>
      <c r="D63" s="119">
        <f t="shared" si="9"/>
        <v>9.6999999999999993</v>
      </c>
      <c r="E63" s="117">
        <v>16</v>
      </c>
      <c r="F63" s="269">
        <f>'General information '!B21</f>
        <v>0</v>
      </c>
      <c r="G63" s="269">
        <f>'General information '!C21</f>
        <v>0</v>
      </c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'[2]Degree Days 2020'!B64</f>
        <v>30</v>
      </c>
      <c r="C64" s="269">
        <f>'[2]Degree Days 2020'!C64</f>
        <v>26</v>
      </c>
      <c r="D64" s="119">
        <f t="shared" si="9"/>
        <v>9.6999999999999993</v>
      </c>
      <c r="E64" s="117">
        <v>17</v>
      </c>
      <c r="F64" s="269">
        <f>'General information '!B22</f>
        <v>29</v>
      </c>
      <c r="G64" s="269">
        <f>'General information '!C22</f>
        <v>32</v>
      </c>
      <c r="H64" s="119">
        <f t="shared" si="4"/>
        <v>12.2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'[2]Degree Days 2020'!B65</f>
        <v>30</v>
      </c>
      <c r="C65" s="269">
        <f>'[2]Degree Days 2020'!C65</f>
        <v>25</v>
      </c>
      <c r="D65" s="119">
        <f t="shared" si="9"/>
        <v>9.1999999999999993</v>
      </c>
      <c r="E65" s="117">
        <v>18</v>
      </c>
      <c r="F65" s="269">
        <f>'General information '!B23</f>
        <v>0</v>
      </c>
      <c r="G65" s="269">
        <f>'General information '!C23</f>
        <v>0</v>
      </c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'[2]Degree Days 2020'!B66</f>
        <v>31</v>
      </c>
      <c r="C66" s="269">
        <f>'[2]Degree Days 2020'!C66</f>
        <v>26</v>
      </c>
      <c r="D66" s="119">
        <f t="shared" si="9"/>
        <v>10.199999999999999</v>
      </c>
      <c r="E66" s="117">
        <v>19</v>
      </c>
      <c r="F66" s="269">
        <f>'General information '!B24</f>
        <v>0</v>
      </c>
      <c r="G66" s="269">
        <f>'General information '!C24</f>
        <v>0</v>
      </c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'[2]Degree Days 2020'!B67</f>
        <v>31</v>
      </c>
      <c r="C67" s="269">
        <f>'[2]Degree Days 2020'!C67</f>
        <v>27</v>
      </c>
      <c r="D67" s="119">
        <f t="shared" si="9"/>
        <v>10.7</v>
      </c>
      <c r="E67" s="117">
        <v>20</v>
      </c>
      <c r="F67" s="269">
        <f>'General information '!B25</f>
        <v>0</v>
      </c>
      <c r="G67" s="269">
        <f>'General information '!C25</f>
        <v>0</v>
      </c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'[2]Degree Days 2020'!B68</f>
        <v>31</v>
      </c>
      <c r="C68" s="269">
        <f>'[2]Degree Days 2020'!C68</f>
        <v>26</v>
      </c>
      <c r="D68" s="119">
        <f t="shared" si="9"/>
        <v>10.199999999999999</v>
      </c>
      <c r="E68" s="117">
        <v>21</v>
      </c>
      <c r="F68" s="269">
        <f>'General information '!B26</f>
        <v>0</v>
      </c>
      <c r="G68" s="269">
        <f>'General information '!C26</f>
        <v>0</v>
      </c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'[2]Degree Days 2020'!B69</f>
        <v>0</v>
      </c>
      <c r="C69" s="269">
        <f>'[2]Degree Days 2020'!C69</f>
        <v>0</v>
      </c>
      <c r="D69" s="119">
        <f t="shared" si="9"/>
        <v>-18.3</v>
      </c>
      <c r="E69" s="117">
        <v>22</v>
      </c>
      <c r="F69" s="269">
        <f>'General information '!B27</f>
        <v>28</v>
      </c>
      <c r="G69" s="269">
        <f>'General information '!C27</f>
        <v>31</v>
      </c>
      <c r="H69" s="119">
        <f t="shared" si="4"/>
        <v>11.2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'[2]Degree Days 2020'!B70</f>
        <v>0</v>
      </c>
      <c r="C70" s="269">
        <f>'[2]Degree Days 2020'!C70</f>
        <v>0</v>
      </c>
      <c r="D70" s="119">
        <f t="shared" si="9"/>
        <v>-18.3</v>
      </c>
      <c r="E70" s="117">
        <v>23</v>
      </c>
      <c r="F70" s="269">
        <f>'General information '!B28</f>
        <v>31</v>
      </c>
      <c r="G70" s="269">
        <f>'General information '!C28</f>
        <v>28</v>
      </c>
      <c r="H70" s="119">
        <f t="shared" si="4"/>
        <v>11.2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'[2]Degree Days 2020'!B71</f>
        <v>0</v>
      </c>
      <c r="C71" s="269">
        <f>'[2]Degree Days 2020'!C71</f>
        <v>0</v>
      </c>
      <c r="D71" s="119">
        <f t="shared" si="9"/>
        <v>-18.3</v>
      </c>
      <c r="E71" s="117">
        <v>24</v>
      </c>
      <c r="F71" s="269">
        <f>'General information '!B29</f>
        <v>30</v>
      </c>
      <c r="G71" s="269">
        <f>'General information '!C29</f>
        <v>26</v>
      </c>
      <c r="H71" s="119">
        <f t="shared" si="4"/>
        <v>9.6999999999999993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'[2]Degree Days 2020'!B72</f>
        <v>0</v>
      </c>
      <c r="C72" s="269">
        <f>'[2]Degree Days 2020'!C72</f>
        <v>0</v>
      </c>
      <c r="D72" s="119">
        <f t="shared" si="9"/>
        <v>-18.3</v>
      </c>
      <c r="E72" s="117">
        <v>25</v>
      </c>
      <c r="F72" s="269">
        <f>'General information '!B30</f>
        <v>30</v>
      </c>
      <c r="G72" s="269">
        <f>'General information '!C30</f>
        <v>26</v>
      </c>
      <c r="H72" s="119">
        <f t="shared" si="4"/>
        <v>9.6999999999999993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'[2]Degree Days 2020'!B73</f>
        <v>0</v>
      </c>
      <c r="C73" s="269">
        <f>'[2]Degree Days 2020'!C73</f>
        <v>0</v>
      </c>
      <c r="D73" s="119">
        <f t="shared" si="9"/>
        <v>-18.3</v>
      </c>
      <c r="E73" s="117">
        <v>26</v>
      </c>
      <c r="F73" s="269">
        <f>'General information '!B31</f>
        <v>30</v>
      </c>
      <c r="G73" s="269">
        <f>'General information '!C31</f>
        <v>28</v>
      </c>
      <c r="H73" s="119">
        <f t="shared" si="4"/>
        <v>10.7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'[2]Degree Days 2020'!B74</f>
        <v>31</v>
      </c>
      <c r="C74" s="269">
        <f>'[2]Degree Days 2020'!C74</f>
        <v>26</v>
      </c>
      <c r="D74" s="119">
        <f t="shared" si="9"/>
        <v>10.199999999999999</v>
      </c>
      <c r="E74" s="117">
        <v>27</v>
      </c>
      <c r="F74" s="269">
        <f>'General information '!B32</f>
        <v>0</v>
      </c>
      <c r="G74" s="269">
        <f>'General information '!C32</f>
        <v>0</v>
      </c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'[2]Degree Days 2020'!B75</f>
        <v>32</v>
      </c>
      <c r="C75" s="269">
        <f>'[2]Degree Days 2020'!C75</f>
        <v>29</v>
      </c>
      <c r="D75" s="119">
        <f t="shared" si="9"/>
        <v>12.2</v>
      </c>
      <c r="E75" s="117">
        <v>28</v>
      </c>
      <c r="F75" s="269">
        <f>'General information '!B33</f>
        <v>0</v>
      </c>
      <c r="G75" s="269">
        <f>'General information '!C33</f>
        <v>0</v>
      </c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'[2]Degree Days 2020'!B76</f>
        <v>32</v>
      </c>
      <c r="C76" s="269">
        <f>'[2]Degree Days 2020'!C76</f>
        <v>27</v>
      </c>
      <c r="D76" s="119">
        <f t="shared" si="9"/>
        <v>11.2</v>
      </c>
      <c r="E76" s="117">
        <v>29</v>
      </c>
      <c r="F76" s="269">
        <f>'General information '!B34</f>
        <v>0</v>
      </c>
      <c r="G76" s="269">
        <f>'General information '!C34</f>
        <v>0</v>
      </c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'[2]Degree Days 2020'!B77</f>
        <v>31</v>
      </c>
      <c r="C77" s="269">
        <f>'[2]Degree Days 2020'!C77</f>
        <v>29</v>
      </c>
      <c r="D77" s="119">
        <f t="shared" si="9"/>
        <v>11.7</v>
      </c>
      <c r="E77" s="117">
        <v>30</v>
      </c>
      <c r="F77" s="269">
        <f>'General information '!B35</f>
        <v>31</v>
      </c>
      <c r="G77" s="269">
        <f>'General information '!C35</f>
        <v>26</v>
      </c>
      <c r="H77" s="119">
        <f t="shared" si="4"/>
        <v>10.199999999999999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'[2]Degree Days 2020'!B78</f>
        <v>31</v>
      </c>
      <c r="C78" s="269">
        <f>'[2]Degree Days 2020'!C78</f>
        <v>28</v>
      </c>
      <c r="D78" s="119">
        <f t="shared" si="9"/>
        <v>11.2</v>
      </c>
      <c r="E78" s="120">
        <v>31</v>
      </c>
      <c r="F78" s="269">
        <f>'General information '!B36</f>
        <v>0</v>
      </c>
      <c r="G78" s="269">
        <f>'General information '!C36</f>
        <v>0</v>
      </c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-311.10000000000008</v>
      </c>
      <c r="G81" s="119">
        <f>SUMIF(H48:H78,"&gt;0")</f>
        <v>151.79999999999998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4" t="s">
        <v>174</v>
      </c>
      <c r="O84" s="754" t="s">
        <v>175</v>
      </c>
      <c r="P84" s="134"/>
      <c r="T84" s="134"/>
      <c r="X84" s="134"/>
    </row>
    <row r="85" spans="1:24" ht="20.25" thickBot="1">
      <c r="D85" s="134"/>
      <c r="I85" s="756" t="s">
        <v>182</v>
      </c>
      <c r="J85" s="757"/>
      <c r="K85" s="757"/>
      <c r="L85" s="757"/>
      <c r="N85" s="755"/>
      <c r="O85" s="755"/>
      <c r="P85" s="134"/>
      <c r="R85" s="17"/>
      <c r="S85" s="17"/>
      <c r="T85" s="140"/>
      <c r="U85" s="141"/>
      <c r="X85" s="134"/>
    </row>
    <row r="86" spans="1:24" ht="18.75" thickBot="1">
      <c r="D86" s="134"/>
      <c r="I86" s="758" t="s">
        <v>183</v>
      </c>
      <c r="J86" s="758"/>
      <c r="K86" s="758"/>
      <c r="L86" s="758"/>
      <c r="N86" s="142">
        <f>B43+F43+J43+N43+R43+V43+B81+F81+J81+N81+R81+V81</f>
        <v>-2990.3000000000006</v>
      </c>
      <c r="O86" s="142">
        <f>C43+G43+K43+O43+S43+W43+C81+G81+K81+O81+S81+W81</f>
        <v>819.29999999999973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8"/>
      <c r="C88" s="748"/>
      <c r="D88" s="748"/>
      <c r="E88" s="748"/>
      <c r="F88" s="748"/>
      <c r="G88" s="748"/>
      <c r="H88" s="748"/>
      <c r="I88" s="748"/>
      <c r="J88" s="748"/>
      <c r="K88" s="748"/>
      <c r="L88" s="748"/>
      <c r="M88" s="748"/>
      <c r="N88" s="748"/>
      <c r="O88" s="748"/>
      <c r="P88" s="748"/>
      <c r="Q88" s="748"/>
      <c r="R88" s="748"/>
      <c r="S88" s="748"/>
      <c r="T88" s="748"/>
      <c r="U88" s="748"/>
      <c r="V88" s="748"/>
      <c r="W88" s="74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H8" sqref="H8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2" t="s">
        <v>216</v>
      </c>
      <c r="B2" s="762"/>
      <c r="C2" s="762"/>
      <c r="D2" s="762"/>
      <c r="E2" s="762"/>
      <c r="F2" s="762"/>
      <c r="G2" s="762"/>
      <c r="H2" s="762"/>
      <c r="I2" s="762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12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523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3368.1290322580644</v>
      </c>
      <c r="G7" s="500">
        <v>8200</v>
      </c>
      <c r="H7" s="189">
        <v>8701</v>
      </c>
      <c r="I7" s="185">
        <f>'[15]Budget 2021'!$I$15</f>
        <v>8701</v>
      </c>
      <c r="J7" s="273"/>
    </row>
    <row r="8" spans="1:11">
      <c r="A8" s="190" t="s">
        <v>219</v>
      </c>
      <c r="B8" s="347">
        <f>tanks!AT37</f>
        <v>69505</v>
      </c>
      <c r="C8" s="484">
        <f>SUM(tanks!AU37)</f>
        <v>2.9640000000000009</v>
      </c>
      <c r="D8" s="191">
        <f>SUM(B8*C8)*D4</f>
        <v>310564326.1500001</v>
      </c>
      <c r="E8" s="192">
        <f>SUM(D8/D4/F4)</f>
        <v>17167.735000000004</v>
      </c>
      <c r="F8" s="192">
        <f>SUM(E8*F4)</f>
        <v>206012.82000000007</v>
      </c>
      <c r="G8" s="652">
        <f>E8*$G$4</f>
        <v>532199.78500000015</v>
      </c>
      <c r="H8" s="189">
        <f>I8</f>
        <v>25186.497311827956</v>
      </c>
      <c r="I8" s="192">
        <f>'[15]Budget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7451</v>
      </c>
      <c r="C10" s="181"/>
      <c r="D10" s="183">
        <f>'EDl log'!AB33</f>
        <v>8115037</v>
      </c>
      <c r="E10" s="182">
        <f>SUM(D10/D4/F4)</f>
        <v>448.59242675511331</v>
      </c>
      <c r="F10" s="182">
        <f>SUM(E10*F4)</f>
        <v>5383.1091210613595</v>
      </c>
      <c r="G10" s="500">
        <f>E10*$G$4</f>
        <v>13906.365229408513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17897.004846109954</v>
      </c>
      <c r="F12" s="180">
        <f>SUM(F6:F10)</f>
        <v>214764.05815331949</v>
      </c>
      <c r="G12" s="179">
        <f>SUM(G6:G10)</f>
        <v>554306.15022940864</v>
      </c>
      <c r="H12" s="179">
        <f>SUM(H6:H11)</f>
        <v>52887.497311827959</v>
      </c>
      <c r="I12" s="221">
        <f>SUM(I6:I11)</f>
        <v>52887.497311827959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'[16]Utility Cost '!C14</f>
        <v>307.69999999999982</v>
      </c>
      <c r="D14" s="170"/>
      <c r="E14" s="170">
        <f>B14-C14</f>
        <v>-98.899999999999892</v>
      </c>
      <c r="F14" s="499">
        <v>0</v>
      </c>
      <c r="G14" s="418"/>
      <c r="H14" s="419">
        <f>SUM(G12-H12)</f>
        <v>501418.65291758068</v>
      </c>
      <c r="I14" s="419">
        <f>SUM(G12-I12)</f>
        <v>501418.65291758068</v>
      </c>
    </row>
    <row r="15" spans="1:11">
      <c r="A15" s="444" t="s">
        <v>303</v>
      </c>
      <c r="B15" s="97">
        <f>'Degree Days 2020'!V43</f>
        <v>-18.3</v>
      </c>
      <c r="C15" s="429">
        <f>'[16]Utility Cost '!C15</f>
        <v>0</v>
      </c>
      <c r="D15" s="170"/>
      <c r="E15" s="170">
        <f>B15-C15</f>
        <v>-18.3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34</v>
      </c>
      <c r="C16" s="429">
        <f>'[16]Utility Cost '!C16</f>
        <v>27.258064516129032</v>
      </c>
      <c r="D16" s="428"/>
      <c r="E16" s="429">
        <f>B16-C16</f>
        <v>6.741935483870968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'[16]Utility Cost '!C17</f>
        <v>3.4203333333333336E-2</v>
      </c>
      <c r="D17" s="471">
        <v>0</v>
      </c>
      <c r="E17" s="513">
        <f>B17-C17</f>
        <v>-3.4203333333333336E-2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316</v>
      </c>
      <c r="C18" s="429">
        <f>'[16]Utility Cost '!C18</f>
        <v>167</v>
      </c>
      <c r="D18" s="426">
        <f>'[17]Other Fuel Calculation 2021'!$G$116</f>
        <v>202.66666666666666</v>
      </c>
      <c r="E18" s="515">
        <f>B18-C18</f>
        <v>149</v>
      </c>
      <c r="F18" s="518">
        <f>B18-D18</f>
        <v>113.33333333333334</v>
      </c>
    </row>
    <row r="19" spans="1:10">
      <c r="A19" s="512" t="s">
        <v>410</v>
      </c>
      <c r="B19" s="510">
        <f>SUM(B18/$F$4)</f>
        <v>26.333333333333332</v>
      </c>
      <c r="C19" s="429">
        <f>'[16]Utility Cost '!C19</f>
        <v>5.387096774193548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2021-08-31T05:44:42Z</dcterms:modified>
</cp:coreProperties>
</file>