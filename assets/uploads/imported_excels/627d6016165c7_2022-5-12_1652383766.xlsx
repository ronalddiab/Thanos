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<sst xmlns="http://schemas.openxmlformats.org/spreadsheetml/2006/main" count="315" uniqueCount="148">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</sst>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 t="e">
        <f>Submetering!E13+Submetering!F13+Submetering!G13+Submetering!H13+Submetering!J13-Submetering!AV13</f>
        <v>#VALUE!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 t="e">
        <f>'FS Desroches Daily'!CM15</f>
        <v>#VALUE!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 t="str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43299.999999999884</v>
      </c>
      <c r="F33" s="17">
        <f t="shared" ref="F33:BC33" si="0">SUM(F2:F32)</f>
        <v>40000.000000000044</v>
      </c>
      <c r="G33" s="17">
        <f t="shared" si="0"/>
        <v>40599.999999999534</v>
      </c>
      <c r="H33" s="17">
        <f t="shared" si="0"/>
        <v>20599.999999999956</v>
      </c>
      <c r="I33" s="17">
        <f t="shared" si="0"/>
        <v>30600.000000000182</v>
      </c>
      <c r="J33" s="17">
        <f t="shared" si="0"/>
        <v>26100.000000000007</v>
      </c>
      <c r="K33" s="17">
        <f t="shared" si="0"/>
        <v>415</v>
      </c>
      <c r="L33" s="17">
        <f t="shared" si="0"/>
        <v>69</v>
      </c>
      <c r="M33" s="17">
        <f t="shared" si="0"/>
        <v>16.400000000000091</v>
      </c>
      <c r="N33" s="17">
        <f t="shared" si="0"/>
        <v>5941</v>
      </c>
      <c r="O33" s="17">
        <f t="shared" si="0"/>
        <v>4359.9999999999563</v>
      </c>
      <c r="P33" s="17">
        <f t="shared" si="0"/>
        <v>35600.000000000073</v>
      </c>
      <c r="Q33" s="17">
        <f t="shared" si="0"/>
        <v>5120.0000000000055</v>
      </c>
      <c r="R33" s="17">
        <f t="shared" si="0"/>
        <v>6840.0000000000327</v>
      </c>
      <c r="S33" s="17">
        <f t="shared" si="0"/>
        <v>12929.999999999949</v>
      </c>
      <c r="T33" s="17">
        <f t="shared" si="0"/>
        <v>455</v>
      </c>
      <c r="U33" s="35">
        <f t="shared" si="0"/>
        <v>11370.000000000004</v>
      </c>
      <c r="V33" s="35">
        <f t="shared" si="0"/>
        <v>3310.0000000000023</v>
      </c>
      <c r="W33" s="35">
        <f t="shared" si="0"/>
        <v>3650.0000000000341</v>
      </c>
      <c r="X33" s="35">
        <f t="shared" si="0"/>
        <v>3110.0000000000132</v>
      </c>
      <c r="Y33" s="35">
        <f t="shared" si="0"/>
        <v>2560.0000000000023</v>
      </c>
      <c r="Z33" s="35">
        <f t="shared" si="0"/>
        <v>3299.9999999999545</v>
      </c>
      <c r="AA33" s="35">
        <f t="shared" si="0"/>
        <v>3299.9999999999545</v>
      </c>
      <c r="AB33" s="35">
        <f t="shared" si="0"/>
        <v>3020.0000000000387</v>
      </c>
      <c r="AC33" s="35">
        <f t="shared" si="0"/>
        <v>2189.9999999999977</v>
      </c>
      <c r="AD33" s="35">
        <f t="shared" si="0"/>
        <v>2910.000000000025</v>
      </c>
      <c r="AE33" s="35">
        <f t="shared" si="0"/>
        <v>1799.9999999999545</v>
      </c>
      <c r="AF33" s="17">
        <f t="shared" si="0"/>
        <v>397</v>
      </c>
      <c r="AG33" s="32">
        <f t="shared" si="0"/>
        <v>500</v>
      </c>
      <c r="AH33" s="32">
        <f t="shared" si="0"/>
        <v>409.99999999996817</v>
      </c>
      <c r="AI33" s="32">
        <f t="shared" si="0"/>
        <v>659.99999999999659</v>
      </c>
      <c r="AJ33" s="32">
        <f t="shared" si="0"/>
        <v>530.00000000000114</v>
      </c>
      <c r="AK33" s="32">
        <f t="shared" si="0"/>
        <v>739.99999999995225</v>
      </c>
      <c r="AL33" s="32">
        <f t="shared" si="0"/>
        <v>536</v>
      </c>
      <c r="AM33" s="32">
        <f t="shared" si="0"/>
        <v>649.99999999997726</v>
      </c>
      <c r="AN33" s="32">
        <f t="shared" si="0"/>
        <v>547</v>
      </c>
      <c r="AO33" s="32">
        <f t="shared" si="0"/>
        <v>560.00000000000227</v>
      </c>
      <c r="AP33" s="32">
        <f t="shared" si="0"/>
        <v>550</v>
      </c>
      <c r="AQ33" s="17">
        <f t="shared" si="0"/>
        <v>749</v>
      </c>
      <c r="AR33" s="17">
        <f t="shared" si="0"/>
        <v>136</v>
      </c>
      <c r="AS33" s="17">
        <f t="shared" si="0"/>
        <v>65.299999999999272</v>
      </c>
      <c r="AT33" s="17">
        <f t="shared" si="0"/>
        <v>597.69999999999709</v>
      </c>
      <c r="AU33" s="17">
        <f t="shared" si="0"/>
        <v>3467</v>
      </c>
      <c r="AV33" s="17">
        <f t="shared" si="0"/>
        <v>10500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65.933999999999997</v>
      </c>
      <c r="BC33" s="17">
        <f t="shared" si="0"/>
        <v>360</v>
      </c>
    </row>
    <row r="35" spans="5:55" x14ac:dyDescent="0.25">
      <c r="E35" s="38">
        <f>E33/E37</f>
        <v>0.26771692490323884</v>
      </c>
      <c r="G35" s="29">
        <f>G33-M36</f>
        <v>34642.599999999533</v>
      </c>
      <c r="AE35" s="35">
        <f>SUM(U33:AE33)</f>
        <v>40519.999999999985</v>
      </c>
      <c r="AG35" s="32">
        <f>SUM(AG33:AP33)</f>
        <v>5682.9999999998981</v>
      </c>
    </row>
    <row r="36" spans="5:55" x14ac:dyDescent="0.25">
      <c r="G36" s="29">
        <f>G35-633*14</f>
        <v>25780.599999999533</v>
      </c>
      <c r="M36" s="29">
        <f>M33+N33</f>
        <v>5957.4</v>
      </c>
    </row>
    <row r="37" spans="5:55" x14ac:dyDescent="0.25">
      <c r="E37" s="17">
        <f>E33+F33+G33+H33+J33-633*14</f>
        <v>161737.99999999942</v>
      </c>
      <c r="G37" s="37">
        <f>M36/E37</f>
        <v>3.6833644536225382E-2</v>
      </c>
      <c r="M37" s="35">
        <f>AE35</f>
        <v>40519.999999999985</v>
      </c>
    </row>
    <row r="38" spans="5:55" x14ac:dyDescent="0.25">
      <c r="L38" s="27">
        <f>M38/E37</f>
        <v>3.5137073538685518E-2</v>
      </c>
      <c r="M38" s="29">
        <f>AG35</f>
        <v>5682.9999999998981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" activePane="bottomLeft" state="frozen"/>
      <selection pane="bottomLeft" activeCell="A14" sqref="A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/>
      <c r="D15" s="64" t="str">
        <f t="shared" si="50"/>
        <v>0</v>
      </c>
      <c r="E15" s="58"/>
      <c r="F15" s="64" t="str">
        <f t="shared" si="51"/>
        <v>0</v>
      </c>
      <c r="G15" s="58"/>
      <c r="H15" s="64" t="str">
        <f t="shared" si="52"/>
        <v>0</v>
      </c>
      <c r="I15" s="58"/>
      <c r="J15" s="64" t="str">
        <f t="shared" si="53"/>
        <v>0</v>
      </c>
      <c r="K15" s="58"/>
      <c r="L15" s="64" t="str">
        <f t="shared" si="54"/>
        <v>0</v>
      </c>
      <c r="M15" s="58"/>
      <c r="N15" s="64" t="str">
        <f t="shared" si="55"/>
        <v/>
      </c>
      <c r="O15" s="58"/>
      <c r="P15" s="67" t="str">
        <f t="shared" si="56"/>
        <v/>
      </c>
      <c r="Q15" s="58"/>
      <c r="R15" s="67" t="str">
        <f>IF((Q15-Q14&lt;0), "",Q15-Q14)</f>
        <v/>
      </c>
      <c r="S15" s="58"/>
      <c r="T15" s="67" t="str">
        <f t="shared" si="58"/>
        <v/>
      </c>
      <c r="U15" s="58"/>
      <c r="V15" s="67" t="str">
        <f t="shared" si="59"/>
        <v/>
      </c>
      <c r="W15" s="58"/>
      <c r="X15" s="65" t="str">
        <f t="shared" si="60"/>
        <v/>
      </c>
      <c r="Y15" s="58"/>
      <c r="Z15" s="65" t="str">
        <f t="shared" si="61"/>
        <v/>
      </c>
      <c r="AA15" s="58"/>
      <c r="AB15" s="65" t="str">
        <f t="shared" si="62"/>
        <v/>
      </c>
      <c r="AC15" s="58"/>
      <c r="AD15" s="65" t="str">
        <f t="shared" si="63"/>
        <v/>
      </c>
      <c r="AE15" s="58"/>
      <c r="AF15" s="65" t="str">
        <f t="shared" si="64"/>
        <v/>
      </c>
      <c r="AG15" s="58"/>
      <c r="AH15" s="67" t="str">
        <f t="shared" si="65"/>
        <v/>
      </c>
      <c r="AI15" s="58"/>
      <c r="AJ15" s="65" t="str">
        <f t="shared" si="66"/>
        <v/>
      </c>
      <c r="AK15" s="58"/>
      <c r="AL15" s="65" t="str">
        <f t="shared" si="67"/>
        <v/>
      </c>
      <c r="AM15" s="58"/>
      <c r="AN15" s="65" t="str">
        <f t="shared" si="68"/>
        <v/>
      </c>
      <c r="AO15" s="58"/>
      <c r="AP15" s="65" t="str">
        <f t="shared" si="69"/>
        <v/>
      </c>
      <c r="AQ15" s="58"/>
      <c r="AR15" s="65" t="str">
        <f t="shared" si="70"/>
        <v/>
      </c>
      <c r="AS15" s="58"/>
      <c r="AT15" s="65" t="str">
        <f t="shared" si="71"/>
        <v/>
      </c>
      <c r="AU15" s="58"/>
      <c r="AV15" s="65" t="str">
        <f t="shared" si="72"/>
        <v/>
      </c>
      <c r="AW15" s="58"/>
      <c r="AX15" s="65" t="str">
        <f t="shared" si="73"/>
        <v/>
      </c>
      <c r="AY15" s="58"/>
      <c r="AZ15" s="65" t="str">
        <f t="shared" si="74"/>
        <v/>
      </c>
      <c r="BA15" s="58"/>
      <c r="BB15" s="65" t="str">
        <f t="shared" si="75"/>
        <v/>
      </c>
      <c r="BC15" s="58"/>
      <c r="BD15" s="65" t="str">
        <f t="shared" si="76"/>
        <v/>
      </c>
      <c r="BE15" s="59"/>
      <c r="BF15" s="67" t="str">
        <f t="shared" si="77"/>
        <v/>
      </c>
      <c r="BG15" s="60"/>
      <c r="BH15" s="65" t="str">
        <f t="shared" si="78"/>
        <v/>
      </c>
      <c r="BI15" s="60"/>
      <c r="BJ15" s="65" t="str">
        <f t="shared" si="79"/>
        <v/>
      </c>
      <c r="BK15" s="60"/>
      <c r="BL15" s="65" t="str">
        <f t="shared" si="80"/>
        <v/>
      </c>
      <c r="BM15" s="60"/>
      <c r="BN15" s="65" t="str">
        <f t="shared" si="81"/>
        <v/>
      </c>
      <c r="BO15" s="60"/>
      <c r="BP15" s="65" t="str">
        <f t="shared" si="82"/>
        <v/>
      </c>
      <c r="BQ15" s="60"/>
      <c r="BR15" s="65" t="str">
        <f t="shared" si="83"/>
        <v/>
      </c>
      <c r="BS15" s="60"/>
      <c r="BT15" s="65" t="str">
        <f t="shared" si="84"/>
        <v/>
      </c>
      <c r="BU15" s="60"/>
      <c r="BV15" s="65" t="str">
        <f t="shared" si="85"/>
        <v/>
      </c>
      <c r="BW15" s="60"/>
      <c r="BX15" s="65" t="str">
        <f t="shared" si="86"/>
        <v/>
      </c>
      <c r="BY15" s="60"/>
      <c r="BZ15" s="67" t="str">
        <f t="shared" si="87"/>
        <v/>
      </c>
      <c r="CA15" s="60"/>
      <c r="CB15" s="67" t="str">
        <f t="shared" si="88"/>
        <v/>
      </c>
      <c r="CC15" s="60"/>
      <c r="CD15" s="67" t="str">
        <f t="shared" si="89"/>
        <v/>
      </c>
      <c r="CE15" s="60"/>
      <c r="CF15" s="67" t="str">
        <f t="shared" si="90"/>
        <v/>
      </c>
      <c r="CG15" s="60"/>
      <c r="CH15" s="67" t="str">
        <f t="shared" si="91"/>
        <v/>
      </c>
      <c r="CI15" s="60"/>
      <c r="CJ15" s="67" t="str">
        <f t="shared" si="92"/>
        <v/>
      </c>
      <c r="CK15" s="60"/>
      <c r="CL15" s="64" t="str">
        <f t="shared" si="93"/>
        <v/>
      </c>
      <c r="CM15" s="65" t="e">
        <f t="shared" si="94"/>
        <v>#VALUE!</v>
      </c>
      <c r="CN15" s="62"/>
      <c r="CO15" s="62"/>
      <c r="CP15" s="68"/>
      <c r="CQ15" s="67" t="str">
        <f t="shared" si="45"/>
        <v/>
      </c>
      <c r="CR15" s="68"/>
      <c r="CS15" s="67" t="str">
        <f t="shared" si="45"/>
        <v/>
      </c>
      <c r="CT15" s="75"/>
      <c r="CU15" s="67" t="str">
        <f t="shared" si="47"/>
        <v/>
      </c>
      <c r="CV15" s="68"/>
      <c r="CW15" s="67" t="str">
        <f t="shared" si="95"/>
        <v/>
      </c>
      <c r="CX15" s="58"/>
      <c r="CY15" s="67" t="str">
        <f t="shared" si="96"/>
        <v/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Q22" sqref="Q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-227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Umesh Lohar</cp:lastModifiedBy>
  <dcterms:created xsi:type="dcterms:W3CDTF">2019-08-14T08:16:24Z</dcterms:created>
  <dcterms:modified xsi:type="dcterms:W3CDTF">2022-05-12T19:14:38Z</dcterms:modified>
</cp:coreProperties>
</file>