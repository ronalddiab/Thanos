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1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Q6" i="9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AP7" i="7"/>
  <c r="AA38" i="7"/>
  <c r="AL7" i="7"/>
  <c r="W38" i="7"/>
  <c r="AG7" i="7"/>
  <c r="R38" i="7"/>
  <c r="M2" i="9"/>
  <c r="Y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<sst xmlns="http://schemas.openxmlformats.org/spreadsheetml/2006/main" count="128" uniqueCount="49">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</sst>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47590</v>
      </c>
      <c r="F2" s="11">
        <v>5.0000000000000001E-3</v>
      </c>
      <c r="G2" s="12">
        <f>Submetering!R2</f>
        <v>732.85537599999998</v>
      </c>
      <c r="H2" s="11">
        <v>0.52800000000000002</v>
      </c>
      <c r="I2" s="12">
        <f>Hotel!B7</f>
        <v>239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46600</v>
      </c>
      <c r="F3" s="11">
        <v>5.0000000000000001E-3</v>
      </c>
      <c r="G3" s="12">
        <f>Submetering!R3</f>
        <v>668.124865</v>
      </c>
      <c r="H3" s="11">
        <v>0.52800000000000002</v>
      </c>
      <c r="I3" s="12">
        <f>Hotel!B8</f>
        <v>256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39580</v>
      </c>
      <c r="F4" s="11">
        <v>5.0000000000000001E-3</v>
      </c>
      <c r="G4" s="12">
        <f>Submetering!R4</f>
        <v>513.68013699999995</v>
      </c>
      <c r="H4" s="11">
        <v>0.52800000000000002</v>
      </c>
      <c r="I4" s="12">
        <f>Hotel!B9</f>
        <v>205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55900</v>
      </c>
      <c r="F5" s="11">
        <v>5.0000000000000001E-3</v>
      </c>
      <c r="G5" s="12">
        <f>Submetering!R5</f>
        <v>718.09227699999997</v>
      </c>
      <c r="H5" s="11">
        <v>0.52800000000000002</v>
      </c>
      <c r="I5" s="12">
        <f>Hotel!B10</f>
        <v>185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45260</v>
      </c>
      <c r="F6" s="11">
        <v>5.0000000000000001E-3</v>
      </c>
      <c r="G6" s="12">
        <f>Submetering!R6</f>
        <v>674.56006200000002</v>
      </c>
      <c r="H6" s="11">
        <v>0.52800000000000002</v>
      </c>
      <c r="I6" s="12">
        <f>Hotel!B11</f>
        <v>180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2021</v>
      </c>
      <c r="E2" s="4">
        <f>Hotel!Q7</f>
        <v>550</v>
      </c>
      <c r="F2" s="4">
        <f>Hotel!R7</f>
        <v>1900</v>
      </c>
      <c r="G2" s="4">
        <f>Hotel!S7</f>
        <v>3400</v>
      </c>
      <c r="H2" s="4">
        <f>Hotel!T7</f>
        <v>1510</v>
      </c>
      <c r="I2" s="4">
        <f>Hotel!U7</f>
        <v>3960</v>
      </c>
      <c r="J2" s="4">
        <f>Hotel!V7</f>
        <v>3010</v>
      </c>
      <c r="K2" s="4">
        <f>Hotel!W7</f>
        <v>2280</v>
      </c>
      <c r="L2" s="4">
        <f>Hotel!X7</f>
        <v>3310</v>
      </c>
      <c r="M2" s="4">
        <f>Hotel!Y7</f>
        <v>4930</v>
      </c>
      <c r="N2" s="4">
        <f>Hotel!Z7</f>
        <v>2600</v>
      </c>
      <c r="O2" s="4">
        <f>Hotel!AA7</f>
        <v>3590</v>
      </c>
      <c r="P2" s="4">
        <f>Hotel!AB7</f>
        <v>6320</v>
      </c>
      <c r="Q2" s="4">
        <f>Hotel!AC7</f>
        <v>10230</v>
      </c>
      <c r="R2" s="4">
        <f>Hotel!AV7*0.00378541*100</f>
        <v>732.85537599999998</v>
      </c>
      <c r="S2" s="4">
        <f>Hotel!B7</f>
        <v>239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2021</v>
      </c>
      <c r="E3" s="4">
        <f>Hotel!Q8</f>
        <v>540</v>
      </c>
      <c r="F3" s="4">
        <f>Hotel!R8</f>
        <v>2210</v>
      </c>
      <c r="G3" s="4">
        <f>Hotel!S8</f>
        <v>3460</v>
      </c>
      <c r="H3" s="4">
        <f>Hotel!T8</f>
        <v>1440</v>
      </c>
      <c r="I3" s="4">
        <f>Hotel!U8</f>
        <v>3820</v>
      </c>
      <c r="J3" s="4">
        <f>Hotel!V8</f>
        <v>2960</v>
      </c>
      <c r="K3" s="4">
        <f>Hotel!W8</f>
        <v>2220</v>
      </c>
      <c r="L3" s="4">
        <f>Hotel!X8</f>
        <v>3170</v>
      </c>
      <c r="M3" s="4">
        <f>Hotel!Y8</f>
        <v>4800</v>
      </c>
      <c r="N3" s="4">
        <f>Hotel!Z8</f>
        <v>2480</v>
      </c>
      <c r="O3" s="4">
        <f>Hotel!AA8</f>
        <v>3560</v>
      </c>
      <c r="P3" s="4">
        <f>Hotel!AB8</f>
        <v>7270</v>
      </c>
      <c r="Q3" s="4">
        <f>Hotel!AC8</f>
        <v>8670</v>
      </c>
      <c r="R3" s="4">
        <f>Hotel!AV8*0.00378541*100</f>
        <v>668.124865</v>
      </c>
      <c r="S3" s="4">
        <f>Hotel!B8</f>
        <v>256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2021</v>
      </c>
      <c r="E4" s="4">
        <f>Hotel!Q9</f>
        <v>550</v>
      </c>
      <c r="F4" s="4">
        <f>Hotel!R9</f>
        <v>1390</v>
      </c>
      <c r="G4" s="4">
        <f>Hotel!S9</f>
        <v>3160</v>
      </c>
      <c r="H4" s="4">
        <f>Hotel!T9</f>
        <v>1490</v>
      </c>
      <c r="I4" s="4">
        <f>Hotel!U9</f>
        <v>3980</v>
      </c>
      <c r="J4" s="4">
        <f>Hotel!V9</f>
        <v>3050</v>
      </c>
      <c r="K4" s="4">
        <f>Hotel!W9</f>
        <v>2330</v>
      </c>
      <c r="L4" s="4">
        <f>Hotel!X9</f>
        <v>3020</v>
      </c>
      <c r="M4" s="4">
        <f>Hotel!Y9</f>
        <v>4650</v>
      </c>
      <c r="N4" s="4">
        <f>Hotel!Z9</f>
        <v>2630</v>
      </c>
      <c r="O4" s="4">
        <f>Hotel!AA9</f>
        <v>3440</v>
      </c>
      <c r="P4" s="4">
        <f>Hotel!AB9</f>
        <v>6590</v>
      </c>
      <c r="Q4" s="4">
        <f>Hotel!AC9</f>
        <v>3300</v>
      </c>
      <c r="R4" s="4">
        <f>Hotel!AV9*0.00378541*100</f>
        <v>513.68013699999995</v>
      </c>
      <c r="S4" s="4">
        <f>Hotel!B9</f>
        <v>205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2021</v>
      </c>
      <c r="E5" s="4">
        <f>Hotel!Q10</f>
        <v>570</v>
      </c>
      <c r="F5" s="4">
        <f>Hotel!R10</f>
        <v>1990</v>
      </c>
      <c r="G5" s="4">
        <f>Hotel!S10</f>
        <v>3690</v>
      </c>
      <c r="H5" s="4">
        <f>Hotel!T10</f>
        <v>1520</v>
      </c>
      <c r="I5" s="4">
        <f>Hotel!U10</f>
        <v>4070</v>
      </c>
      <c r="J5" s="4">
        <f>Hotel!V10</f>
        <v>2970</v>
      </c>
      <c r="K5" s="4">
        <f>Hotel!W10</f>
        <v>2330</v>
      </c>
      <c r="L5" s="4">
        <f>Hotel!X10</f>
        <v>3080</v>
      </c>
      <c r="M5" s="4">
        <f>Hotel!Y10</f>
        <v>4220</v>
      </c>
      <c r="N5" s="4">
        <f>Hotel!Z10</f>
        <v>2820</v>
      </c>
      <c r="O5" s="4">
        <f>Hotel!AA10</f>
        <v>3420</v>
      </c>
      <c r="P5" s="4">
        <f>Hotel!AB10</f>
        <v>6700</v>
      </c>
      <c r="Q5" s="4">
        <f>Hotel!AC10</f>
        <v>18520</v>
      </c>
      <c r="R5" s="4">
        <f>Hotel!AV10*0.00378541*100</f>
        <v>718.09227699999997</v>
      </c>
      <c r="S5" s="4">
        <f>Hotel!B10</f>
        <v>185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2460</v>
      </c>
      <c r="H6" s="4">
        <f>Hotel!T11</f>
        <v>1490</v>
      </c>
      <c r="I6" s="4">
        <f>Hotel!U11</f>
        <v>3850</v>
      </c>
      <c r="J6" s="4">
        <f>Hotel!V11</f>
        <v>2880</v>
      </c>
      <c r="K6" s="4">
        <f>Hotel!W11</f>
        <v>2240</v>
      </c>
      <c r="L6" s="4">
        <f>Hotel!X11</f>
        <v>3010</v>
      </c>
      <c r="M6" s="4">
        <f>Hotel!Y11</f>
        <v>4010</v>
      </c>
      <c r="N6" s="4">
        <f>Hotel!Z11</f>
        <v>2730</v>
      </c>
      <c r="O6" s="4">
        <f>Hotel!AA11</f>
        <v>3050</v>
      </c>
      <c r="P6" s="4">
        <f>Hotel!AB11</f>
        <v>6520</v>
      </c>
      <c r="Q6" s="4">
        <f>Hotel!AC11</f>
        <v>10600</v>
      </c>
      <c r="R6" s="4">
        <f>Hotel!AV11*0.00378541*100</f>
        <v>674.56006200000002</v>
      </c>
      <c r="S6" s="4">
        <f>Hotel!B11</f>
        <v>180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2021</v>
      </c>
      <c r="E7" s="4" t="str">
        <f>Hotel!Q12</f>
        <v>0</v>
      </c>
      <c r="F7" s="4" t="str">
        <f>Hotel!R12</f>
        <v>0</v>
      </c>
      <c r="G7" s="4" t="str">
        <f>Hotel!S12</f>
        <v>0</v>
      </c>
      <c r="H7" s="4" t="str">
        <f>Hotel!T12</f>
        <v>0</v>
      </c>
      <c r="I7" s="4" t="str">
        <f>Hotel!U12</f>
        <v>0</v>
      </c>
      <c r="J7" s="4" t="str">
        <f>Hotel!V12</f>
        <v>0</v>
      </c>
      <c r="K7" s="4" t="str">
        <f>Hotel!W12</f>
        <v>0</v>
      </c>
      <c r="L7" s="4" t="str">
        <f>Hotel!X12</f>
        <v>0</v>
      </c>
      <c r="M7" s="4" t="str">
        <f>Hotel!Y12</f>
        <v>0</v>
      </c>
      <c r="N7" s="4" t="str">
        <f>Hotel!Z12</f>
        <v>0</v>
      </c>
      <c r="O7" s="4" t="str">
        <f>Hotel!AA12</f>
        <v>0</v>
      </c>
      <c r="P7" s="4" t="str">
        <f>Hotel!AB12</f>
        <v>0</v>
      </c>
      <c r="Q7" s="4" t="str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B28" zoomScale="93" zoomScaleNormal="93" workbookViewId="0">
      <selection activeCell="AU17" sqref="AU1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44286</v>
      </c>
      <c r="B2" s="40">
        <v>234</v>
      </c>
      <c r="C2" s="24">
        <v>6556420</v>
      </c>
      <c r="D2" s="24">
        <v>15203780</v>
      </c>
      <c r="E2" s="24">
        <v>2509110</v>
      </c>
      <c r="F2" s="24">
        <v>3367320</v>
      </c>
      <c r="G2" s="24">
        <v>10132680</v>
      </c>
      <c r="H2" s="24">
        <v>5312280</v>
      </c>
      <c r="I2" s="24">
        <v>4921920</v>
      </c>
      <c r="J2" s="24">
        <v>5711600</v>
      </c>
      <c r="K2" s="24">
        <v>8891730</v>
      </c>
      <c r="L2" s="24">
        <v>3673640</v>
      </c>
      <c r="M2" s="24">
        <v>7688360</v>
      </c>
      <c r="N2" s="24">
        <v>11569780</v>
      </c>
      <c r="O2" s="24">
        <v>15990380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532452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532452</v>
      </c>
    </row>
    <row r="7" spans="1:49" x14ac:dyDescent="0.25">
      <c r="A7" s="23">
        <v>44287</v>
      </c>
      <c r="B7" s="40">
        <v>239</v>
      </c>
      <c r="C7" s="24">
        <v>6556970</v>
      </c>
      <c r="D7" s="24">
        <v>15205680</v>
      </c>
      <c r="E7" s="24">
        <v>2512510</v>
      </c>
      <c r="F7" s="24">
        <v>3368830</v>
      </c>
      <c r="G7" s="24">
        <v>10136640</v>
      </c>
      <c r="H7" s="24">
        <v>5315290</v>
      </c>
      <c r="I7" s="24">
        <v>4924200</v>
      </c>
      <c r="J7" s="24">
        <v>5714910</v>
      </c>
      <c r="K7" s="24">
        <v>8896660</v>
      </c>
      <c r="L7" s="24">
        <v>3676240</v>
      </c>
      <c r="M7" s="24">
        <v>7691950</v>
      </c>
      <c r="N7" s="24">
        <v>11576100</v>
      </c>
      <c r="O7" s="24">
        <v>16000610</v>
      </c>
      <c r="Q7" s="37">
        <f>IF((C7-C2&lt;0), "0",C7-C2)</f>
        <v>550</v>
      </c>
      <c r="R7" s="37">
        <f t="shared" ref="R7:AC7" si="0">IF((D7-D2&lt;0), "0",D7-D2)</f>
        <v>1900</v>
      </c>
      <c r="S7" s="37">
        <f>IF((E7-E2&lt;0), "0",E7-E2)</f>
        <v>3400</v>
      </c>
      <c r="T7" s="37">
        <f t="shared" si="0"/>
        <v>1510</v>
      </c>
      <c r="U7" s="37">
        <f t="shared" si="0"/>
        <v>3960</v>
      </c>
      <c r="V7" s="37">
        <f t="shared" si="0"/>
        <v>3010</v>
      </c>
      <c r="W7" s="37">
        <f t="shared" si="0"/>
        <v>2280</v>
      </c>
      <c r="X7" s="37">
        <f t="shared" si="0"/>
        <v>3310</v>
      </c>
      <c r="Y7" s="37">
        <f t="shared" si="0"/>
        <v>4930</v>
      </c>
      <c r="Z7" s="37">
        <f t="shared" si="0"/>
        <v>2600</v>
      </c>
      <c r="AA7" s="37">
        <f t="shared" si="0"/>
        <v>3590</v>
      </c>
      <c r="AB7" s="37">
        <f t="shared" si="0"/>
        <v>6320</v>
      </c>
      <c r="AC7" s="37">
        <f t="shared" si="0"/>
        <v>10230</v>
      </c>
      <c r="AD7" s="34">
        <f>SUM(Q7:AC7)</f>
        <v>47590</v>
      </c>
      <c r="AF7" s="20">
        <f t="shared" ref="AF7:AF36" si="1">Q7*$D$39</f>
        <v>2.75</v>
      </c>
      <c r="AG7" s="20">
        <f t="shared" ref="AG7:AG36" si="2">R7*$D$39</f>
        <v>9.5</v>
      </c>
      <c r="AH7" s="20">
        <f t="shared" ref="AH7:AH36" si="3">S7*$D$39</f>
        <v>17</v>
      </c>
      <c r="AI7" s="20">
        <f t="shared" ref="AI7:AI36" si="4">T7*$D$39</f>
        <v>7.55</v>
      </c>
      <c r="AJ7" s="20">
        <f t="shared" ref="AJ7:AJ36" si="5">U7*$D$39</f>
        <v>19.8</v>
      </c>
      <c r="AK7" s="20">
        <f t="shared" ref="AK7:AK36" si="6">V7*$D$39</f>
        <v>15.05</v>
      </c>
      <c r="AL7" s="20">
        <f t="shared" ref="AL7:AL36" si="7">W7*$D$39</f>
        <v>11.4</v>
      </c>
      <c r="AM7" s="20">
        <f t="shared" ref="AM7:AM36" si="8">X7*$D$39</f>
        <v>16.55</v>
      </c>
      <c r="AN7" s="20">
        <f t="shared" ref="AN7:AN36" si="9">Y7*$D$39</f>
        <v>24.650000000000002</v>
      </c>
      <c r="AO7" s="20">
        <f t="shared" ref="AO7:AO36" si="10">Z7*$D$39</f>
        <v>13</v>
      </c>
      <c r="AP7" s="20">
        <f t="shared" ref="AP7:AP36" si="11">AA7*$D$39</f>
        <v>17.95</v>
      </c>
      <c r="AQ7" s="20">
        <f t="shared" ref="AQ7:AQ36" si="12">AB7*$D$39</f>
        <v>31.6</v>
      </c>
      <c r="AR7" s="20">
        <f t="shared" ref="AR7:AR36" si="13">AC7*$D$39</f>
        <v>51.15</v>
      </c>
      <c r="AS7" s="35">
        <f>SUM(AF7:AR7)</f>
        <v>237.95</v>
      </c>
      <c r="AU7" s="47">
        <v>534388</v>
      </c>
      <c r="AV7" s="37">
        <f>IF((AU7-AU6&lt;0),"0",AU7-AU6)</f>
        <v>1936</v>
      </c>
      <c r="AW7" s="50">
        <v>0</v>
      </c>
    </row>
    <row r="8" spans="1:49" x14ac:dyDescent="0.25">
      <c r="A8" s="23">
        <v>44288</v>
      </c>
      <c r="B8" s="40">
        <v>256</v>
      </c>
      <c r="C8" s="24">
        <v>6557510</v>
      </c>
      <c r="D8" s="24">
        <v>15207890</v>
      </c>
      <c r="E8" s="24">
        <v>2515970</v>
      </c>
      <c r="F8" s="24">
        <v>3370270</v>
      </c>
      <c r="G8" s="24">
        <v>10140460</v>
      </c>
      <c r="H8" s="24">
        <v>5318250</v>
      </c>
      <c r="I8" s="24">
        <v>4926420</v>
      </c>
      <c r="J8" s="24">
        <v>5718080</v>
      </c>
      <c r="K8" s="24">
        <v>8901460</v>
      </c>
      <c r="L8" s="24">
        <v>3678720</v>
      </c>
      <c r="M8" s="24">
        <v>7695510</v>
      </c>
      <c r="N8" s="24">
        <v>11583370</v>
      </c>
      <c r="O8" s="24">
        <v>16009280</v>
      </c>
      <c r="Q8" s="37">
        <f>IF((C8-C7&lt;0), "0",C8-C7)</f>
        <v>540</v>
      </c>
      <c r="R8" s="37">
        <f t="shared" ref="R8:AC8" si="14">IF((D8-D7&lt;0), "0",D8-D7)</f>
        <v>2210</v>
      </c>
      <c r="S8" s="37">
        <f t="shared" ref="S8:S35" si="15">IF((E8-E7&lt;0), "0",E8-E7)</f>
        <v>3460</v>
      </c>
      <c r="T8" s="37">
        <f t="shared" si="14"/>
        <v>1440</v>
      </c>
      <c r="U8" s="37">
        <f t="shared" si="14"/>
        <v>3820</v>
      </c>
      <c r="V8" s="37">
        <f t="shared" si="14"/>
        <v>2960</v>
      </c>
      <c r="W8" s="37">
        <f t="shared" si="14"/>
        <v>2220</v>
      </c>
      <c r="X8" s="37">
        <f t="shared" si="14"/>
        <v>3170</v>
      </c>
      <c r="Y8" s="37">
        <f t="shared" si="14"/>
        <v>4800</v>
      </c>
      <c r="Z8" s="37">
        <f t="shared" si="14"/>
        <v>2480</v>
      </c>
      <c r="AA8" s="37">
        <f t="shared" si="14"/>
        <v>3560</v>
      </c>
      <c r="AB8" s="37">
        <f t="shared" si="14"/>
        <v>7270</v>
      </c>
      <c r="AC8" s="37">
        <f t="shared" si="14"/>
        <v>8670</v>
      </c>
      <c r="AD8" s="35">
        <f>SUM(Q8:AC8)</f>
        <v>46600</v>
      </c>
      <c r="AF8" s="20">
        <f t="shared" si="1"/>
        <v>2.7</v>
      </c>
      <c r="AG8" s="20">
        <f t="shared" si="2"/>
        <v>11.05</v>
      </c>
      <c r="AH8" s="20">
        <f t="shared" si="3"/>
        <v>17.3</v>
      </c>
      <c r="AI8" s="20">
        <f t="shared" si="4"/>
        <v>7.2</v>
      </c>
      <c r="AJ8" s="20">
        <f t="shared" si="5"/>
        <v>19.100000000000001</v>
      </c>
      <c r="AK8" s="20">
        <f t="shared" si="6"/>
        <v>14.8</v>
      </c>
      <c r="AL8" s="20">
        <f t="shared" si="7"/>
        <v>11.1</v>
      </c>
      <c r="AM8" s="20">
        <f t="shared" si="8"/>
        <v>15.85</v>
      </c>
      <c r="AN8" s="20">
        <f t="shared" si="9"/>
        <v>24</v>
      </c>
      <c r="AO8" s="20">
        <f t="shared" si="10"/>
        <v>12.4</v>
      </c>
      <c r="AP8" s="20">
        <f t="shared" si="11"/>
        <v>17.8</v>
      </c>
      <c r="AQ8" s="20">
        <f t="shared" si="12"/>
        <v>36.35</v>
      </c>
      <c r="AR8" s="20">
        <f t="shared" si="13"/>
        <v>43.35</v>
      </c>
      <c r="AS8" s="35">
        <f>SUM(AF8:AR8)</f>
        <v>233</v>
      </c>
      <c r="AU8" s="47">
        <v>536153</v>
      </c>
      <c r="AV8" s="37">
        <f>IF((AU8-AU7&lt;0),"0",AU8-AU7)</f>
        <v>1765</v>
      </c>
      <c r="AW8" s="35">
        <v>0</v>
      </c>
    </row>
    <row r="9" spans="1:49" x14ac:dyDescent="0.25">
      <c r="A9" s="23">
        <v>44289</v>
      </c>
      <c r="B9" s="40">
        <v>205</v>
      </c>
      <c r="C9" s="24">
        <v>6558060</v>
      </c>
      <c r="D9" s="24">
        <v>15209280</v>
      </c>
      <c r="E9" s="24">
        <v>2519130</v>
      </c>
      <c r="F9" s="24">
        <v>3371760</v>
      </c>
      <c r="G9" s="24">
        <v>10144440</v>
      </c>
      <c r="H9" s="24">
        <v>5321300</v>
      </c>
      <c r="I9" s="24">
        <v>4928750</v>
      </c>
      <c r="J9" s="24">
        <v>5721100</v>
      </c>
      <c r="K9" s="24">
        <v>8906110</v>
      </c>
      <c r="L9" s="24">
        <v>3681350</v>
      </c>
      <c r="M9" s="24">
        <v>7698950</v>
      </c>
      <c r="N9" s="24">
        <v>11589960</v>
      </c>
      <c r="O9" s="24">
        <v>16012580</v>
      </c>
      <c r="Q9" s="37">
        <f t="shared" ref="Q9:Q30" si="16">IF((C9-C8&lt;0), "0",C9-C8)</f>
        <v>550</v>
      </c>
      <c r="R9" s="37">
        <f t="shared" ref="R9:R35" si="17">IF((D9-D8&lt;0), "0",D9-D8)</f>
        <v>1390</v>
      </c>
      <c r="S9" s="37">
        <f t="shared" si="15"/>
        <v>3160</v>
      </c>
      <c r="T9" s="37">
        <f t="shared" ref="T9:T35" si="18">IF((F9-F8&lt;0), "0",F9-F8)</f>
        <v>1490</v>
      </c>
      <c r="U9" s="37">
        <f t="shared" ref="U9:U35" si="19">IF((G9-G8&lt;0), "0",G9-G8)</f>
        <v>3980</v>
      </c>
      <c r="V9" s="37">
        <f t="shared" ref="V9:V35" si="20">IF((H9-H8&lt;0), "0",H9-H8)</f>
        <v>3050</v>
      </c>
      <c r="W9" s="37">
        <f t="shared" ref="W9:W35" si="21">IF((I9-I8&lt;0), "0",I9-I8)</f>
        <v>2330</v>
      </c>
      <c r="X9" s="37">
        <f t="shared" ref="X9:X35" si="22">IF((J9-J8&lt;0), "0",J9-J8)</f>
        <v>3020</v>
      </c>
      <c r="Y9" s="37">
        <f t="shared" ref="Y9:Y35" si="23">IF((K9-K8&lt;0), "0",K9-K8)</f>
        <v>4650</v>
      </c>
      <c r="Z9" s="37">
        <f t="shared" ref="Z9:Z35" si="24">IF((L9-L8&lt;0), "0",L9-L8)</f>
        <v>2630</v>
      </c>
      <c r="AA9" s="37">
        <f t="shared" ref="AA9:AA35" si="25">IF((M9-M8&lt;0), "0",M9-M8)</f>
        <v>3440</v>
      </c>
      <c r="AB9" s="37">
        <f t="shared" ref="AB9:AB37" si="26">IF((N9-N8&lt;0), "0",N9-N8)</f>
        <v>6590</v>
      </c>
      <c r="AC9" s="37">
        <f t="shared" ref="AC9:AC37" si="27">IF((O9-O8&lt;0), "0",O9-O8)</f>
        <v>3300</v>
      </c>
      <c r="AD9" s="35">
        <f t="shared" ref="AD9:AD37" si="28">SUM(Q9:AC9)</f>
        <v>39580</v>
      </c>
      <c r="AF9" s="20">
        <f t="shared" si="1"/>
        <v>2.75</v>
      </c>
      <c r="AG9" s="20">
        <f t="shared" si="2"/>
        <v>6.95</v>
      </c>
      <c r="AH9" s="20">
        <f t="shared" si="3"/>
        <v>15.8</v>
      </c>
      <c r="AI9" s="20">
        <f t="shared" si="4"/>
        <v>7.45</v>
      </c>
      <c r="AJ9" s="20">
        <f t="shared" si="5"/>
        <v>19.900000000000002</v>
      </c>
      <c r="AK9" s="20">
        <f t="shared" si="6"/>
        <v>15.25</v>
      </c>
      <c r="AL9" s="20">
        <f t="shared" si="7"/>
        <v>11.65</v>
      </c>
      <c r="AM9" s="20">
        <f t="shared" si="8"/>
        <v>15.1</v>
      </c>
      <c r="AN9" s="20">
        <f t="shared" si="9"/>
        <v>23.25</v>
      </c>
      <c r="AO9" s="20">
        <f t="shared" si="10"/>
        <v>13.15</v>
      </c>
      <c r="AP9" s="20">
        <f t="shared" si="11"/>
        <v>17.2</v>
      </c>
      <c r="AQ9" s="20">
        <f t="shared" si="12"/>
        <v>32.950000000000003</v>
      </c>
      <c r="AR9" s="20">
        <f t="shared" si="13"/>
        <v>16.5</v>
      </c>
      <c r="AS9" s="35">
        <f t="shared" ref="AS9:AS33" si="29">SUM(AF9:AR9)</f>
        <v>197.89999999999998</v>
      </c>
      <c r="AU9" s="47">
        <v>537510</v>
      </c>
      <c r="AV9" s="37">
        <f>IF((AU9-AU8&lt;0),"0",AU9-AU8)</f>
        <v>1357</v>
      </c>
      <c r="AW9" s="35">
        <f t="shared" ref="AW9:AW35" si="30">AV9*$D$40</f>
        <v>2.714</v>
      </c>
    </row>
    <row r="10" spans="1:49" x14ac:dyDescent="0.25">
      <c r="A10" s="23">
        <v>44290</v>
      </c>
      <c r="B10" s="40">
        <v>185</v>
      </c>
      <c r="C10" s="24">
        <v>6558630</v>
      </c>
      <c r="D10" s="24">
        <v>15211270</v>
      </c>
      <c r="E10" s="24">
        <v>2522820</v>
      </c>
      <c r="F10" s="24">
        <v>3373280</v>
      </c>
      <c r="G10" s="24">
        <v>10148510</v>
      </c>
      <c r="H10" s="24">
        <v>5324270</v>
      </c>
      <c r="I10" s="24">
        <v>4931080</v>
      </c>
      <c r="J10" s="24">
        <v>5724180</v>
      </c>
      <c r="K10" s="24">
        <v>8910330</v>
      </c>
      <c r="L10" s="24">
        <v>3684170</v>
      </c>
      <c r="M10" s="24">
        <v>7702370</v>
      </c>
      <c r="N10" s="24">
        <v>11596660</v>
      </c>
      <c r="O10" s="24">
        <v>16031100</v>
      </c>
      <c r="Q10" s="37">
        <f t="shared" si="16"/>
        <v>570</v>
      </c>
      <c r="R10" s="37">
        <f t="shared" si="17"/>
        <v>1990</v>
      </c>
      <c r="S10" s="37">
        <f t="shared" si="15"/>
        <v>3690</v>
      </c>
      <c r="T10" s="37">
        <f t="shared" si="18"/>
        <v>1520</v>
      </c>
      <c r="U10" s="37">
        <f t="shared" si="19"/>
        <v>4070</v>
      </c>
      <c r="V10" s="37">
        <f t="shared" si="20"/>
        <v>2970</v>
      </c>
      <c r="W10" s="37">
        <f t="shared" si="21"/>
        <v>2330</v>
      </c>
      <c r="X10" s="37">
        <f t="shared" si="22"/>
        <v>3080</v>
      </c>
      <c r="Y10" s="37">
        <f t="shared" si="23"/>
        <v>4220</v>
      </c>
      <c r="Z10" s="37">
        <f t="shared" si="24"/>
        <v>2820</v>
      </c>
      <c r="AA10" s="37">
        <f t="shared" si="25"/>
        <v>3420</v>
      </c>
      <c r="AB10" s="37">
        <f t="shared" si="26"/>
        <v>6700</v>
      </c>
      <c r="AC10" s="37">
        <f t="shared" si="27"/>
        <v>18520</v>
      </c>
      <c r="AD10" s="35">
        <f t="shared" si="28"/>
        <v>55900</v>
      </c>
      <c r="AF10" s="20">
        <f t="shared" si="1"/>
        <v>2.85</v>
      </c>
      <c r="AG10" s="20">
        <f t="shared" si="2"/>
        <v>9.9500000000000011</v>
      </c>
      <c r="AH10" s="20">
        <f t="shared" si="3"/>
        <v>18.45</v>
      </c>
      <c r="AI10" s="20">
        <f t="shared" si="4"/>
        <v>7.6000000000000005</v>
      </c>
      <c r="AJ10" s="20">
        <f t="shared" si="5"/>
        <v>20.350000000000001</v>
      </c>
      <c r="AK10" s="20">
        <f t="shared" si="6"/>
        <v>14.85</v>
      </c>
      <c r="AL10" s="20">
        <f t="shared" si="7"/>
        <v>11.65</v>
      </c>
      <c r="AM10" s="20">
        <f t="shared" si="8"/>
        <v>15.4</v>
      </c>
      <c r="AN10" s="20">
        <f t="shared" si="9"/>
        <v>21.1</v>
      </c>
      <c r="AO10" s="20">
        <f t="shared" si="10"/>
        <v>14.1</v>
      </c>
      <c r="AP10" s="20">
        <f t="shared" si="11"/>
        <v>17.100000000000001</v>
      </c>
      <c r="AQ10" s="20">
        <f t="shared" si="12"/>
        <v>33.5</v>
      </c>
      <c r="AR10" s="20">
        <f t="shared" si="13"/>
        <v>92.600000000000009</v>
      </c>
      <c r="AS10" s="35">
        <f t="shared" si="29"/>
        <v>279.5</v>
      </c>
      <c r="AU10" s="47">
        <v>539407</v>
      </c>
      <c r="AV10" s="37">
        <f t="shared" ref="AV10:AV26" si="31">IF((AU10-AU9&lt;0),"0",AU10-AU9)</f>
        <v>1897</v>
      </c>
      <c r="AW10" s="35">
        <f t="shared" si="30"/>
        <v>3.794</v>
      </c>
    </row>
    <row r="11" spans="1:49" x14ac:dyDescent="0.25">
      <c r="A11" s="23">
        <v>44291</v>
      </c>
      <c r="B11" s="40">
        <v>180</v>
      </c>
      <c r="C11" s="24">
        <v>6559180</v>
      </c>
      <c r="D11" s="24">
        <v>15213140</v>
      </c>
      <c r="E11" s="24">
        <v>2525280</v>
      </c>
      <c r="F11" s="24">
        <v>3374770</v>
      </c>
      <c r="G11" s="24">
        <v>10152360</v>
      </c>
      <c r="H11" s="24">
        <v>5327150</v>
      </c>
      <c r="I11" s="24">
        <v>4933320</v>
      </c>
      <c r="J11" s="24">
        <v>5727190</v>
      </c>
      <c r="K11" s="24">
        <v>8914340</v>
      </c>
      <c r="L11" s="24">
        <v>3686900</v>
      </c>
      <c r="M11" s="24">
        <v>7705420</v>
      </c>
      <c r="N11" s="24">
        <v>11603180</v>
      </c>
      <c r="O11" s="24">
        <v>16041700</v>
      </c>
      <c r="Q11" s="37">
        <f t="shared" si="16"/>
        <v>550</v>
      </c>
      <c r="R11" s="37">
        <f t="shared" si="17"/>
        <v>1870</v>
      </c>
      <c r="S11" s="37">
        <f t="shared" si="15"/>
        <v>2460</v>
      </c>
      <c r="T11" s="37">
        <f t="shared" si="18"/>
        <v>1490</v>
      </c>
      <c r="U11" s="37">
        <f t="shared" si="19"/>
        <v>3850</v>
      </c>
      <c r="V11" s="37">
        <f t="shared" si="20"/>
        <v>2880</v>
      </c>
      <c r="W11" s="37">
        <f t="shared" si="21"/>
        <v>2240</v>
      </c>
      <c r="X11" s="37">
        <f t="shared" si="22"/>
        <v>3010</v>
      </c>
      <c r="Y11" s="37">
        <f t="shared" si="23"/>
        <v>4010</v>
      </c>
      <c r="Z11" s="37">
        <f t="shared" si="24"/>
        <v>2730</v>
      </c>
      <c r="AA11" s="37">
        <f t="shared" si="25"/>
        <v>3050</v>
      </c>
      <c r="AB11" s="37">
        <f t="shared" si="26"/>
        <v>6520</v>
      </c>
      <c r="AC11" s="37">
        <f t="shared" si="27"/>
        <v>10600</v>
      </c>
      <c r="AD11" s="35">
        <f t="shared" si="28"/>
        <v>45260</v>
      </c>
      <c r="AF11" s="20">
        <f t="shared" si="1"/>
        <v>2.75</v>
      </c>
      <c r="AG11" s="20">
        <f t="shared" si="2"/>
        <v>9.35</v>
      </c>
      <c r="AH11" s="20">
        <f t="shared" si="3"/>
        <v>12.3</v>
      </c>
      <c r="AI11" s="20">
        <f t="shared" si="4"/>
        <v>7.45</v>
      </c>
      <c r="AJ11" s="20">
        <f t="shared" si="5"/>
        <v>19.25</v>
      </c>
      <c r="AK11" s="20">
        <f t="shared" si="6"/>
        <v>14.4</v>
      </c>
      <c r="AL11" s="20">
        <f t="shared" si="7"/>
        <v>11.200000000000001</v>
      </c>
      <c r="AM11" s="20">
        <f t="shared" si="8"/>
        <v>15.05</v>
      </c>
      <c r="AN11" s="20">
        <f t="shared" si="9"/>
        <v>20.05</v>
      </c>
      <c r="AO11" s="20">
        <f t="shared" si="10"/>
        <v>13.65</v>
      </c>
      <c r="AP11" s="20">
        <f t="shared" si="11"/>
        <v>15.25</v>
      </c>
      <c r="AQ11" s="20">
        <f t="shared" si="12"/>
        <v>32.6</v>
      </c>
      <c r="AR11" s="20">
        <f t="shared" si="13"/>
        <v>53</v>
      </c>
      <c r="AS11" s="35">
        <f t="shared" si="29"/>
        <v>226.29999999999998</v>
      </c>
      <c r="AU11" s="47">
        <v>541189</v>
      </c>
      <c r="AV11" s="37">
        <f t="shared" si="31"/>
        <v>1782</v>
      </c>
      <c r="AW11" s="35">
        <f t="shared" si="30"/>
        <v>3.5640000000000001</v>
      </c>
    </row>
    <row r="12" spans="1:49" x14ac:dyDescent="0.25">
      <c r="A12" s="23">
        <v>44292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 t="str">
        <f t="shared" si="16"/>
        <v>0</v>
      </c>
      <c r="R12" s="37" t="str">
        <f t="shared" si="17"/>
        <v>0</v>
      </c>
      <c r="S12" s="37" t="str">
        <f t="shared" si="15"/>
        <v>0</v>
      </c>
      <c r="T12" s="37" t="str">
        <f t="shared" ref="T12:W14" si="32">IF((F12-F11&lt;0), "0",F12-F11)</f>
        <v>0</v>
      </c>
      <c r="U12" s="37" t="str">
        <f t="shared" si="32"/>
        <v>0</v>
      </c>
      <c r="V12" s="37" t="str">
        <f t="shared" si="32"/>
        <v>0</v>
      </c>
      <c r="W12" s="37" t="str">
        <f t="shared" si="32"/>
        <v>0</v>
      </c>
      <c r="X12" s="37" t="str">
        <f t="shared" si="22"/>
        <v>0</v>
      </c>
      <c r="Y12" s="37" t="str">
        <f t="shared" si="23"/>
        <v>0</v>
      </c>
      <c r="Z12" s="37" t="str">
        <f>IF((L12-L11&lt;0), "0",L12-L11)</f>
        <v>0</v>
      </c>
      <c r="AA12" s="37" t="str">
        <f t="shared" si="25"/>
        <v>0</v>
      </c>
      <c r="AB12" s="37" t="str">
        <f t="shared" si="26"/>
        <v>0</v>
      </c>
      <c r="AC12" s="37" t="str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 t="str">
        <f t="shared" si="31"/>
        <v>0</v>
      </c>
      <c r="AW12" s="35">
        <f t="shared" si="30"/>
        <v>0</v>
      </c>
    </row>
    <row r="13" spans="1:49" x14ac:dyDescent="0.25">
      <c r="A13" s="23">
        <v>44293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44294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44295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44296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44297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44298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44299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44300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44301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44302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44303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44304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44305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44306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44307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44308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44309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44310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44311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44312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44313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44314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44315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44316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2760</v>
      </c>
      <c r="R38" s="38">
        <f t="shared" ref="R38:AD38" si="62">SUM(R7:R37)</f>
        <v>9360</v>
      </c>
      <c r="S38" s="38">
        <f t="shared" si="62"/>
        <v>16170</v>
      </c>
      <c r="T38" s="38">
        <f t="shared" si="62"/>
        <v>7450</v>
      </c>
      <c r="U38" s="38">
        <f t="shared" si="62"/>
        <v>19680</v>
      </c>
      <c r="V38" s="38">
        <f t="shared" si="62"/>
        <v>14870</v>
      </c>
      <c r="W38" s="38">
        <f t="shared" si="62"/>
        <v>11400</v>
      </c>
      <c r="X38" s="38">
        <f t="shared" si="62"/>
        <v>15590</v>
      </c>
      <c r="Y38" s="38">
        <f t="shared" si="62"/>
        <v>22610</v>
      </c>
      <c r="Z38" s="38">
        <f t="shared" si="62"/>
        <v>13260</v>
      </c>
      <c r="AA38" s="38">
        <f t="shared" si="62"/>
        <v>17060</v>
      </c>
      <c r="AB38" s="38">
        <f t="shared" si="62"/>
        <v>33400</v>
      </c>
      <c r="AC38" s="38">
        <f t="shared" si="62"/>
        <v>51320</v>
      </c>
      <c r="AD38" s="38">
        <f t="shared" si="62"/>
        <v>234930</v>
      </c>
      <c r="AF38" s="35">
        <f t="shared" ref="AF38:AS38" si="63">SUM(AF7:AF34)</f>
        <v>13.799999999999999</v>
      </c>
      <c r="AG38" s="35">
        <f t="shared" si="63"/>
        <v>46.800000000000004</v>
      </c>
      <c r="AH38" s="35">
        <f t="shared" si="63"/>
        <v>80.849999999999994</v>
      </c>
      <c r="AI38" s="35">
        <f t="shared" si="63"/>
        <v>37.25</v>
      </c>
      <c r="AJ38" s="35">
        <f t="shared" si="63"/>
        <v>98.4</v>
      </c>
      <c r="AK38" s="35">
        <f t="shared" si="63"/>
        <v>74.350000000000009</v>
      </c>
      <c r="AL38" s="35">
        <f t="shared" si="63"/>
        <v>57</v>
      </c>
      <c r="AM38" s="35">
        <f t="shared" si="63"/>
        <v>77.95</v>
      </c>
      <c r="AN38" s="35">
        <f t="shared" si="63"/>
        <v>113.05</v>
      </c>
      <c r="AO38" s="35">
        <f t="shared" si="63"/>
        <v>66.3</v>
      </c>
      <c r="AP38" s="35">
        <f t="shared" si="63"/>
        <v>85.300000000000011</v>
      </c>
      <c r="AQ38" s="35">
        <f t="shared" si="63"/>
        <v>167</v>
      </c>
      <c r="AR38" s="35">
        <f t="shared" si="63"/>
        <v>256.60000000000002</v>
      </c>
      <c r="AS38" s="35">
        <f t="shared" si="63"/>
        <v>1174.6499999999999</v>
      </c>
      <c r="AU38" s="48"/>
      <c r="AV38" s="35">
        <f>SUM(AV7:AV34)</f>
        <v>8737</v>
      </c>
      <c r="AW38" s="35">
        <f>SUM(AW7:AW34)</f>
        <v>10.071999999999999</v>
      </c>
    </row>
    <row r="39" spans="1:49" x14ac:dyDescent="0.25">
      <c r="D39">
        <v>5.0000000000000001E-3</v>
      </c>
      <c r="AV39" s="36">
        <f>AV38*0.00378541*1000</f>
        <v>33073.12717</v>
      </c>
    </row>
    <row r="40" spans="1:49" x14ac:dyDescent="0.25">
      <c r="D40">
        <v>2E-3</v>
      </c>
      <c r="AV40">
        <f>AV39/31</f>
        <v>1066.8750700000001</v>
      </c>
    </row>
    <row r="41" spans="1:49" x14ac:dyDescent="0.25">
      <c r="AV41">
        <f>AV38*0.00378541</f>
        <v>33.073127169999999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disablePrompts="1"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2021-04-06T06:50:47Z</dcterms:modified>
</cp:coreProperties>
</file>