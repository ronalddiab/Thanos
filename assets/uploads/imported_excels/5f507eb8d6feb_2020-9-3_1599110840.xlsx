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5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8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AG12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0" i="23" l="1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<sst xmlns="http://schemas.openxmlformats.org/spreadsheetml/2006/main" count="531" uniqueCount="321">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</sst>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702080"/>
        <c:axId val="1227120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713600"/>
        <c:axId val="122715136"/>
      </c:lineChart>
      <c:catAx>
        <c:axId val="1227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12064"/>
        <c:crosses val="autoZero"/>
        <c:auto val="1"/>
        <c:lblAlgn val="ctr"/>
        <c:lblOffset val="100"/>
      </c:catAx>
      <c:valAx>
        <c:axId val="1227120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02080"/>
        <c:crosses val="autoZero"/>
        <c:crossBetween val="between"/>
        <c:majorUnit val="200"/>
      </c:valAx>
      <c:catAx>
        <c:axId val="122713600"/>
        <c:scaling>
          <c:orientation val="minMax"/>
        </c:scaling>
        <c:delete val="1"/>
        <c:axPos val="b"/>
        <c:tickLblPos val="none"/>
        <c:crossAx val="122715136"/>
        <c:crosses val="autoZero"/>
        <c:auto val="1"/>
        <c:lblAlgn val="ctr"/>
        <c:lblOffset val="100"/>
      </c:catAx>
      <c:valAx>
        <c:axId val="122715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13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793408"/>
        <c:axId val="817949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796480"/>
        <c:axId val="81802368"/>
      </c:lineChart>
      <c:catAx>
        <c:axId val="8179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94944"/>
        <c:crosses val="autoZero"/>
        <c:auto val="1"/>
        <c:lblAlgn val="ctr"/>
        <c:lblOffset val="100"/>
      </c:catAx>
      <c:valAx>
        <c:axId val="817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93408"/>
        <c:crosses val="autoZero"/>
        <c:crossBetween val="between"/>
        <c:majorUnit val="200"/>
      </c:valAx>
      <c:catAx>
        <c:axId val="81796480"/>
        <c:scaling>
          <c:orientation val="minMax"/>
        </c:scaling>
        <c:delete val="1"/>
        <c:axPos val="b"/>
        <c:tickLblPos val="none"/>
        <c:crossAx val="81802368"/>
        <c:crosses val="autoZero"/>
        <c:auto val="1"/>
        <c:lblAlgn val="ctr"/>
        <c:lblOffset val="100"/>
      </c:catAx>
      <c:valAx>
        <c:axId val="81802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96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2060800"/>
        <c:axId val="82062336"/>
      </c:lineChart>
      <c:catAx>
        <c:axId val="820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62336"/>
        <c:crosses val="autoZero"/>
        <c:auto val="1"/>
        <c:lblAlgn val="ctr"/>
        <c:lblOffset val="200"/>
        <c:tickLblSkip val="1"/>
      </c:catAx>
      <c:valAx>
        <c:axId val="82062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2091008"/>
        <c:axId val="82785024"/>
      </c:lineChart>
      <c:catAx>
        <c:axId val="8209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5024"/>
        <c:crosses val="autoZero"/>
        <c:auto val="1"/>
        <c:lblAlgn val="ctr"/>
        <c:lblOffset val="100"/>
      </c:catAx>
      <c:valAx>
        <c:axId val="82785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817792"/>
        <c:axId val="82819712"/>
      </c:lineChart>
      <c:catAx>
        <c:axId val="8281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19712"/>
        <c:crosses val="autoZero"/>
        <c:auto val="1"/>
        <c:lblAlgn val="ctr"/>
        <c:lblOffset val="100"/>
      </c:catAx>
      <c:valAx>
        <c:axId val="828197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17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750464"/>
        <c:axId val="82756736"/>
      </c:lineChart>
      <c:catAx>
        <c:axId val="82750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6736"/>
        <c:crosses val="autoZero"/>
        <c:auto val="1"/>
        <c:lblAlgn val="ctr"/>
        <c:lblOffset val="100"/>
      </c:catAx>
      <c:valAx>
        <c:axId val="82756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0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-317240.44000000006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3371520"/>
        <c:axId val="83373056"/>
      </c:lineChart>
      <c:catAx>
        <c:axId val="8337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3056"/>
        <c:crosses val="autoZero"/>
        <c:auto val="1"/>
        <c:lblAlgn val="ctr"/>
        <c:lblOffset val="100"/>
      </c:catAx>
      <c:valAx>
        <c:axId val="83373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410944"/>
        <c:axId val="83412480"/>
      </c:lineChart>
      <c:catAx>
        <c:axId val="834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2480"/>
        <c:crosses val="autoZero"/>
        <c:auto val="1"/>
        <c:lblAlgn val="ctr"/>
        <c:lblOffset val="100"/>
      </c:catAx>
      <c:valAx>
        <c:axId val="834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235392"/>
        <c:axId val="84236928"/>
      </c:lineChart>
      <c:catAx>
        <c:axId val="8423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6928"/>
        <c:crosses val="autoZero"/>
        <c:auto val="1"/>
        <c:lblAlgn val="ctr"/>
        <c:lblOffset val="100"/>
      </c:catAx>
      <c:valAx>
        <c:axId val="8423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973"/>
          <c:y val="7.471324705111244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261504"/>
        <c:axId val="84271488"/>
      </c:lineChart>
      <c:catAx>
        <c:axId val="8426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1488"/>
        <c:crosses val="autoZero"/>
        <c:auto val="1"/>
        <c:lblAlgn val="ctr"/>
        <c:lblOffset val="200"/>
        <c:tickLblSkip val="1"/>
      </c:catAx>
      <c:valAx>
        <c:axId val="84271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6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4448000"/>
        <c:axId val="84449536"/>
      </c:lineChart>
      <c:catAx>
        <c:axId val="8444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49536"/>
        <c:crosses val="autoZero"/>
        <c:auto val="1"/>
        <c:lblAlgn val="ctr"/>
        <c:lblOffset val="100"/>
      </c:catAx>
      <c:valAx>
        <c:axId val="8444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4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936960"/>
        <c:axId val="84971904"/>
      </c:lineChart>
      <c:catAx>
        <c:axId val="84936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71904"/>
        <c:crosses val="autoZero"/>
        <c:auto val="1"/>
        <c:lblAlgn val="ctr"/>
        <c:lblOffset val="100"/>
      </c:catAx>
      <c:valAx>
        <c:axId val="8497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6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5140224"/>
        <c:axId val="85142144"/>
      </c:lineChart>
      <c:catAx>
        <c:axId val="8514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42144"/>
        <c:crosses val="autoZero"/>
        <c:auto val="1"/>
        <c:lblAlgn val="ctr"/>
        <c:lblOffset val="100"/>
      </c:catAx>
      <c:valAx>
        <c:axId val="85142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402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183488"/>
        <c:axId val="85189376"/>
      </c:lineChart>
      <c:catAx>
        <c:axId val="851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89376"/>
        <c:crosses val="autoZero"/>
        <c:auto val="1"/>
        <c:lblAlgn val="ctr"/>
        <c:lblOffset val="100"/>
      </c:catAx>
      <c:valAx>
        <c:axId val="8518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784640"/>
        <c:axId val="84786176"/>
      </c:lineChart>
      <c:catAx>
        <c:axId val="847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6176"/>
        <c:crosses val="autoZero"/>
        <c:auto val="1"/>
        <c:lblAlgn val="ctr"/>
        <c:lblOffset val="100"/>
      </c:catAx>
      <c:valAx>
        <c:axId val="8478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469824"/>
        <c:axId val="85471616"/>
      </c:lineChart>
      <c:catAx>
        <c:axId val="8546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1616"/>
        <c:crosses val="autoZero"/>
        <c:auto val="1"/>
        <c:lblAlgn val="ctr"/>
        <c:lblOffset val="100"/>
      </c:catAx>
      <c:valAx>
        <c:axId val="8547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206"/>
          <c:y val="7.471324705111284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110976"/>
        <c:axId val="861125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0359424"/>
        <c:axId val="80360960"/>
      </c:lineChart>
      <c:catAx>
        <c:axId val="861109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2512"/>
        <c:crosses val="autoZero"/>
        <c:lblAlgn val="ctr"/>
        <c:lblOffset val="100"/>
        <c:tickMarkSkip val="1"/>
      </c:catAx>
      <c:valAx>
        <c:axId val="86112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0976"/>
        <c:crosses val="autoZero"/>
        <c:crossBetween val="between"/>
      </c:valAx>
      <c:catAx>
        <c:axId val="80359424"/>
        <c:scaling>
          <c:orientation val="minMax"/>
        </c:scaling>
        <c:delete val="1"/>
        <c:axPos val="b"/>
        <c:numFmt formatCode="[$-409]d\-mmm\-yy;@" sourceLinked="1"/>
        <c:tickLblPos val="none"/>
        <c:crossAx val="80360960"/>
        <c:crosses val="autoZero"/>
        <c:lblAlgn val="ctr"/>
        <c:lblOffset val="100"/>
      </c:catAx>
      <c:valAx>
        <c:axId val="8036096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59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0393728"/>
        <c:axId val="80395264"/>
      </c:lineChart>
      <c:catAx>
        <c:axId val="803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95264"/>
        <c:crosses val="autoZero"/>
        <c:auto val="1"/>
        <c:lblAlgn val="ctr"/>
        <c:lblOffset val="100"/>
      </c:catAx>
      <c:valAx>
        <c:axId val="803952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186432"/>
        <c:axId val="87204608"/>
      </c:lineChart>
      <c:catAx>
        <c:axId val="871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04608"/>
        <c:crosses val="autoZero"/>
        <c:auto val="1"/>
        <c:lblAlgn val="ctr"/>
        <c:lblOffset val="100"/>
      </c:catAx>
      <c:valAx>
        <c:axId val="872046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112128"/>
        <c:axId val="88122112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123648"/>
        <c:axId val="88125440"/>
      </c:lineChart>
      <c:catAx>
        <c:axId val="88112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2112"/>
        <c:crosses val="autoZero"/>
        <c:lblAlgn val="ctr"/>
        <c:lblOffset val="100"/>
        <c:tickMarkSkip val="1"/>
      </c:catAx>
      <c:valAx>
        <c:axId val="8812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2128"/>
        <c:crosses val="autoZero"/>
        <c:crossBetween val="between"/>
      </c:valAx>
      <c:catAx>
        <c:axId val="88123648"/>
        <c:scaling>
          <c:orientation val="minMax"/>
        </c:scaling>
        <c:delete val="1"/>
        <c:axPos val="b"/>
        <c:numFmt formatCode="General" sourceLinked="1"/>
        <c:tickLblPos val="none"/>
        <c:crossAx val="88125440"/>
        <c:crosses val="autoZero"/>
        <c:lblAlgn val="ctr"/>
        <c:lblOffset val="100"/>
      </c:catAx>
      <c:valAx>
        <c:axId val="88125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3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645568"/>
        <c:axId val="87651456"/>
      </c:lineChart>
      <c:catAx>
        <c:axId val="8764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51456"/>
        <c:crosses val="autoZero"/>
        <c:auto val="1"/>
        <c:lblAlgn val="ctr"/>
        <c:lblOffset val="100"/>
      </c:catAx>
      <c:valAx>
        <c:axId val="8765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4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7680128"/>
        <c:axId val="87681664"/>
      </c:lineChart>
      <c:catAx>
        <c:axId val="8768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1664"/>
        <c:crosses val="autoZero"/>
        <c:auto val="1"/>
        <c:lblAlgn val="ctr"/>
        <c:lblOffset val="100"/>
      </c:catAx>
      <c:valAx>
        <c:axId val="8768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5893888"/>
        <c:axId val="85895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5901312"/>
        <c:axId val="85902848"/>
      </c:lineChart>
      <c:catAx>
        <c:axId val="85893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5424"/>
        <c:crosses val="autoZero"/>
        <c:lblAlgn val="ctr"/>
        <c:lblOffset val="100"/>
        <c:tickMarkSkip val="1"/>
      </c:catAx>
      <c:valAx>
        <c:axId val="85895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3888"/>
        <c:crosses val="autoZero"/>
        <c:crossBetween val="between"/>
      </c:valAx>
      <c:catAx>
        <c:axId val="85901312"/>
        <c:scaling>
          <c:orientation val="minMax"/>
        </c:scaling>
        <c:delete val="1"/>
        <c:axPos val="b"/>
        <c:numFmt formatCode="[$-409]d\-mmm\-yy;@" sourceLinked="1"/>
        <c:tickLblPos val="none"/>
        <c:crossAx val="85902848"/>
        <c:crosses val="autoZero"/>
        <c:lblAlgn val="ctr"/>
        <c:lblOffset val="100"/>
      </c:catAx>
      <c:valAx>
        <c:axId val="859028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1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3100160"/>
        <c:axId val="123110144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111680"/>
        <c:axId val="123125760"/>
      </c:lineChart>
      <c:catAx>
        <c:axId val="123100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10144"/>
        <c:crosses val="autoZero"/>
        <c:lblAlgn val="ctr"/>
        <c:lblOffset val="100"/>
        <c:tickMarkSkip val="1"/>
      </c:catAx>
      <c:valAx>
        <c:axId val="12311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00160"/>
        <c:crosses val="autoZero"/>
        <c:crossBetween val="between"/>
      </c:valAx>
      <c:catAx>
        <c:axId val="123111680"/>
        <c:scaling>
          <c:orientation val="minMax"/>
        </c:scaling>
        <c:delete val="1"/>
        <c:axPos val="b"/>
        <c:numFmt formatCode="General" sourceLinked="1"/>
        <c:tickLblPos val="none"/>
        <c:crossAx val="123125760"/>
        <c:crosses val="autoZero"/>
        <c:lblAlgn val="ctr"/>
        <c:lblOffset val="100"/>
      </c:catAx>
      <c:valAx>
        <c:axId val="123125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1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7199488"/>
        <c:axId val="1257676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5769216"/>
        <c:axId val="125770752"/>
      </c:lineChart>
      <c:catAx>
        <c:axId val="1271994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67680"/>
        <c:crosses val="autoZero"/>
        <c:lblAlgn val="ctr"/>
        <c:lblOffset val="100"/>
        <c:tickMarkSkip val="1"/>
      </c:catAx>
      <c:valAx>
        <c:axId val="125767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9488"/>
        <c:crosses val="autoZero"/>
        <c:crossBetween val="between"/>
      </c:valAx>
      <c:catAx>
        <c:axId val="125769216"/>
        <c:scaling>
          <c:orientation val="minMax"/>
        </c:scaling>
        <c:delete val="1"/>
        <c:axPos val="b"/>
        <c:numFmt formatCode="[$-409]d\-mmm\-yy;@" sourceLinked="1"/>
        <c:tickLblPos val="none"/>
        <c:crossAx val="125770752"/>
        <c:crosses val="autoZero"/>
        <c:lblAlgn val="ctr"/>
        <c:lblOffset val="100"/>
      </c:catAx>
      <c:valAx>
        <c:axId val="1257707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69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5813504"/>
        <c:axId val="125815040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5816832"/>
        <c:axId val="125818368"/>
      </c:lineChart>
      <c:catAx>
        <c:axId val="1258135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15040"/>
        <c:crosses val="autoZero"/>
        <c:lblAlgn val="ctr"/>
        <c:lblOffset val="100"/>
        <c:tickMarkSkip val="1"/>
      </c:catAx>
      <c:valAx>
        <c:axId val="12581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13504"/>
        <c:crosses val="autoZero"/>
        <c:crossBetween val="between"/>
      </c:valAx>
      <c:catAx>
        <c:axId val="125816832"/>
        <c:scaling>
          <c:orientation val="minMax"/>
        </c:scaling>
        <c:delete val="1"/>
        <c:axPos val="b"/>
        <c:numFmt formatCode="General" sourceLinked="1"/>
        <c:tickLblPos val="none"/>
        <c:crossAx val="125818368"/>
        <c:crosses val="autoZero"/>
        <c:lblAlgn val="ctr"/>
        <c:lblOffset val="100"/>
      </c:catAx>
      <c:valAx>
        <c:axId val="125818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16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0388992"/>
        <c:axId val="160391168"/>
      </c:lineChart>
      <c:catAx>
        <c:axId val="16038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91168"/>
        <c:crosses val="autoZero"/>
        <c:auto val="1"/>
        <c:lblAlgn val="ctr"/>
        <c:lblOffset val="100"/>
      </c:catAx>
      <c:valAx>
        <c:axId val="160391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88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0416128"/>
        <c:axId val="160418048"/>
      </c:lineChart>
      <c:catAx>
        <c:axId val="160416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8048"/>
        <c:crosses val="autoZero"/>
        <c:auto val="1"/>
        <c:lblAlgn val="ctr"/>
        <c:lblOffset val="100"/>
      </c:catAx>
      <c:valAx>
        <c:axId val="160418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6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0193152"/>
        <c:axId val="160194944"/>
      </c:lineChart>
      <c:catAx>
        <c:axId val="16019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4944"/>
        <c:crosses val="autoZero"/>
        <c:auto val="1"/>
        <c:lblAlgn val="ctr"/>
        <c:lblOffset val="200"/>
        <c:tickLblSkip val="1"/>
      </c:catAx>
      <c:valAx>
        <c:axId val="160194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964992"/>
        <c:axId val="160966528"/>
      </c:lineChart>
      <c:catAx>
        <c:axId val="1609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6528"/>
        <c:crosses val="autoZero"/>
        <c:auto val="1"/>
        <c:lblAlgn val="ctr"/>
        <c:lblOffset val="100"/>
      </c:catAx>
      <c:valAx>
        <c:axId val="160966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8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-317240.44000000006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995200"/>
        <c:axId val="160996736"/>
      </c:lineChart>
      <c:catAx>
        <c:axId val="1609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6736"/>
        <c:crosses val="autoZero"/>
        <c:auto val="1"/>
        <c:lblAlgn val="ctr"/>
        <c:lblOffset val="100"/>
      </c:catAx>
      <c:valAx>
        <c:axId val="160996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2082176"/>
        <c:axId val="162104832"/>
      </c:lineChart>
      <c:catAx>
        <c:axId val="162082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4832"/>
        <c:crosses val="autoZero"/>
        <c:auto val="1"/>
        <c:lblAlgn val="ctr"/>
        <c:lblOffset val="100"/>
      </c:catAx>
      <c:valAx>
        <c:axId val="162104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82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2125696"/>
        <c:axId val="162295808"/>
      </c:lineChart>
      <c:catAx>
        <c:axId val="162125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95808"/>
        <c:crosses val="autoZero"/>
        <c:auto val="1"/>
        <c:lblAlgn val="ctr"/>
        <c:lblOffset val="100"/>
      </c:catAx>
      <c:valAx>
        <c:axId val="162295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25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2324864"/>
        <c:axId val="162326400"/>
      </c:lineChart>
      <c:catAx>
        <c:axId val="16232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6400"/>
        <c:crosses val="autoZero"/>
        <c:auto val="1"/>
        <c:lblAlgn val="ctr"/>
        <c:lblOffset val="200"/>
        <c:tickLblSkip val="1"/>
      </c:catAx>
      <c:valAx>
        <c:axId val="162326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2031488"/>
        <c:axId val="162033024"/>
      </c:lineChart>
      <c:catAx>
        <c:axId val="1620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3024"/>
        <c:crosses val="autoZero"/>
        <c:auto val="1"/>
        <c:lblAlgn val="ctr"/>
        <c:lblOffset val="100"/>
      </c:catAx>
      <c:valAx>
        <c:axId val="162033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8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-317240.44000000006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053504"/>
        <c:axId val="162858112"/>
      </c:lineChart>
      <c:catAx>
        <c:axId val="16205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8112"/>
        <c:crosses val="autoZero"/>
        <c:auto val="1"/>
        <c:lblAlgn val="ctr"/>
        <c:lblOffset val="100"/>
      </c:catAx>
      <c:valAx>
        <c:axId val="162858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5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3775616"/>
        <c:axId val="163777536"/>
      </c:lineChart>
      <c:catAx>
        <c:axId val="16377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7536"/>
        <c:crosses val="autoZero"/>
        <c:auto val="1"/>
        <c:lblAlgn val="ctr"/>
        <c:lblOffset val="100"/>
      </c:catAx>
      <c:valAx>
        <c:axId val="163777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5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3802496"/>
        <c:axId val="163821056"/>
      </c:lineChart>
      <c:catAx>
        <c:axId val="163802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1056"/>
        <c:crosses val="autoZero"/>
        <c:auto val="1"/>
        <c:lblAlgn val="ctr"/>
        <c:lblOffset val="100"/>
      </c:catAx>
      <c:valAx>
        <c:axId val="163821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2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190080"/>
        <c:axId val="164191616"/>
      </c:lineChart>
      <c:catAx>
        <c:axId val="16419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91616"/>
        <c:crosses val="autoZero"/>
        <c:auto val="1"/>
        <c:lblAlgn val="ctr"/>
        <c:lblOffset val="200"/>
        <c:tickLblSkip val="1"/>
      </c:catAx>
      <c:valAx>
        <c:axId val="164191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9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220288"/>
        <c:axId val="164230272"/>
      </c:lineChart>
      <c:catAx>
        <c:axId val="16422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30272"/>
        <c:crosses val="autoZero"/>
        <c:auto val="1"/>
        <c:lblAlgn val="ctr"/>
        <c:lblOffset val="100"/>
      </c:catAx>
      <c:valAx>
        <c:axId val="16423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2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27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992704"/>
        <c:axId val="163994240"/>
      </c:lineChart>
      <c:catAx>
        <c:axId val="16399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94240"/>
        <c:crosses val="autoZero"/>
        <c:auto val="1"/>
        <c:lblAlgn val="ctr"/>
        <c:lblOffset val="100"/>
      </c:catAx>
      <c:valAx>
        <c:axId val="16399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4035200"/>
        <c:axId val="164713216"/>
      </c:lineChart>
      <c:catAx>
        <c:axId val="16403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13216"/>
        <c:crosses val="autoZero"/>
        <c:auto val="1"/>
        <c:lblAlgn val="ctr"/>
        <c:lblOffset val="100"/>
      </c:catAx>
      <c:valAx>
        <c:axId val="1647132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35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4754560"/>
        <c:axId val="164756480"/>
      </c:lineChart>
      <c:catAx>
        <c:axId val="164754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6480"/>
        <c:crosses val="autoZero"/>
        <c:auto val="1"/>
        <c:lblAlgn val="ctr"/>
        <c:lblOffset val="100"/>
      </c:catAx>
      <c:valAx>
        <c:axId val="1647564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4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4523392"/>
        <c:axId val="164533376"/>
      </c:lineChart>
      <c:catAx>
        <c:axId val="1645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3376"/>
        <c:crosses val="autoZero"/>
        <c:auto val="1"/>
        <c:lblAlgn val="ctr"/>
        <c:lblOffset val="200"/>
        <c:tickLblSkip val="1"/>
      </c:catAx>
      <c:valAx>
        <c:axId val="164533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221504"/>
        <c:axId val="165223040"/>
      </c:lineChart>
      <c:catAx>
        <c:axId val="1652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23040"/>
        <c:crosses val="autoZero"/>
        <c:auto val="1"/>
        <c:lblAlgn val="ctr"/>
        <c:lblOffset val="100"/>
      </c:catAx>
      <c:valAx>
        <c:axId val="16522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27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5235328"/>
        <c:axId val="165257600"/>
      </c:lineChart>
      <c:catAx>
        <c:axId val="16523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7600"/>
        <c:crosses val="autoZero"/>
        <c:auto val="1"/>
        <c:lblAlgn val="ctr"/>
        <c:lblOffset val="100"/>
      </c:catAx>
      <c:valAx>
        <c:axId val="16525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3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0</v>
      </c>
      <c r="F4" s="484" t="e">
        <f>('UTILITY REPORT 1'!E5*'UTILITY REPORT 1'!D5)/'UTILITY REPORT 1'!F5</f>
        <v>#DIV/0!</v>
      </c>
      <c r="G4" s="484" t="str">
        <f>IF('Utility summery'!M8&lt;0,"0",'Utility summery'!M8)</f>
        <v>0</v>
      </c>
      <c r="H4" s="492">
        <v>0</v>
      </c>
      <c r="I4" s="484" t="str">
        <f>IF('UTILITY REPORT 1'!G5&lt;0,"0",'UTILITY REPORT 1'!G5)</f>
        <v>0</v>
      </c>
      <c r="J4" s="492">
        <v>0</v>
      </c>
      <c r="K4" s="483">
        <f>'UTILITY REPORT 1'!C5</f>
        <v>3</v>
      </c>
      <c r="L4" s="485" t="e">
        <f>E4*F4+G4*H4+#REF!*#REF!+I4*J4</f>
        <v>#DIV/0!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0</v>
      </c>
      <c r="F5" s="484" t="e">
        <f>('UTILITY REPORT 1'!E6*'UTILITY REPORT 1'!D6)/'UTILITY REPORT 1'!F6</f>
        <v>#DIV/0!</v>
      </c>
      <c r="G5" s="484">
        <f>IF('Utility summery'!M9&lt;0,"0",'Utility summery'!M9)</f>
        <v>0</v>
      </c>
      <c r="H5" s="492">
        <v>0</v>
      </c>
      <c r="I5" s="484">
        <f>IF('UTILITY REPORT 1'!G6&lt;0,"0",'UTILITY REPORT 1'!G6)</f>
        <v>0</v>
      </c>
      <c r="J5" s="492">
        <v>0</v>
      </c>
      <c r="K5" s="483">
        <f>'UTILITY REPORT 1'!C6</f>
        <v>0</v>
      </c>
      <c r="L5" s="485" t="e">
        <f>E5*F5+G5*H5+#REF!*#REF!+I5*J5</f>
        <v>#DIV/0!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0</v>
      </c>
      <c r="F6" s="484" t="e">
        <f>('UTILITY REPORT 1'!E7*'UTILITY REPORT 1'!D7)/'UTILITY REPORT 1'!F7</f>
        <v>#DIV/0!</v>
      </c>
      <c r="G6" s="484">
        <f>IF('Utility summery'!M10&lt;0,"0",'Utility summery'!M10)</f>
        <v>0</v>
      </c>
      <c r="H6" s="492">
        <v>0</v>
      </c>
      <c r="I6" s="484">
        <f>IF('UTILITY REPORT 1'!G7&lt;0,"0",'UTILITY REPORT 1'!G7)</f>
        <v>0</v>
      </c>
      <c r="J6" s="492">
        <v>0</v>
      </c>
      <c r="K6" s="483">
        <f>'UTILITY REPORT 1'!C7</f>
        <v>0</v>
      </c>
      <c r="L6" s="485" t="e">
        <f>E6*F6+G6*H6+#REF!*#REF!+I6*J6</f>
        <v>#DIV/0!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0</v>
      </c>
      <c r="F7" s="484" t="e">
        <f>('UTILITY REPORT 1'!E8*'UTILITY REPORT 1'!D8)/'UTILITY REPORT 1'!F8</f>
        <v>#DIV/0!</v>
      </c>
      <c r="G7" s="484">
        <f>IF('Utility summery'!M11&lt;0,"0",'Utility summery'!M11)</f>
        <v>0</v>
      </c>
      <c r="H7" s="492">
        <v>0</v>
      </c>
      <c r="I7" s="484">
        <f>IF('UTILITY REPORT 1'!G8&lt;0,"0",'UTILITY REPORT 1'!G8)</f>
        <v>0</v>
      </c>
      <c r="J7" s="492">
        <v>0</v>
      </c>
      <c r="K7" s="483">
        <f>'UTILITY REPORT 1'!C8</f>
        <v>0</v>
      </c>
      <c r="L7" s="485" t="e">
        <f>E7*F7+G7*H7+#REF!*#REF!+I7*J7</f>
        <v>#DIV/0!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0</v>
      </c>
      <c r="F8" s="484" t="e">
        <f>('UTILITY REPORT 1'!E9*'UTILITY REPORT 1'!D9)/'UTILITY REPORT 1'!F9</f>
        <v>#DIV/0!</v>
      </c>
      <c r="G8" s="484">
        <f>IF('Utility summery'!M12&lt;0,"0",'Utility summery'!M12)</f>
        <v>0</v>
      </c>
      <c r="H8" s="492">
        <v>0</v>
      </c>
      <c r="I8" s="484">
        <f>IF('UTILITY REPORT 1'!G9&lt;0,"0",'UTILITY REPORT 1'!G9)</f>
        <v>0</v>
      </c>
      <c r="J8" s="492">
        <v>0</v>
      </c>
      <c r="K8" s="483">
        <f>'UTILITY REPORT 1'!C9</f>
        <v>0</v>
      </c>
      <c r="L8" s="485" t="e">
        <f>E8*F8+G8*H8+#REF!*#REF!+I8*J8</f>
        <v>#DIV/0!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0</v>
      </c>
      <c r="F9" s="484" t="e">
        <f>('UTILITY REPORT 1'!E10*'UTILITY REPORT 1'!D10)/'UTILITY REPORT 1'!F10</f>
        <v>#DIV/0!</v>
      </c>
      <c r="G9" s="484">
        <f>IF('Utility summery'!M13&lt;0,"0",'Utility summery'!M13)</f>
        <v>0</v>
      </c>
      <c r="H9" s="492">
        <v>0</v>
      </c>
      <c r="I9" s="484">
        <f>IF('UTILITY REPORT 1'!G10&lt;0,"0",'UTILITY REPORT 1'!G10)</f>
        <v>0</v>
      </c>
      <c r="J9" s="492">
        <v>0</v>
      </c>
      <c r="K9" s="483">
        <f>'UTILITY REPORT 1'!C10</f>
        <v>0</v>
      </c>
      <c r="L9" s="485" t="e">
        <f>E9*F9+G9*H9+#REF!*#REF!+I9*J9</f>
        <v>#DIV/0!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0</v>
      </c>
      <c r="F10" s="484" t="e">
        <f>('UTILITY REPORT 1'!E11*'UTILITY REPORT 1'!D11)/'UTILITY REPORT 1'!F11</f>
        <v>#DIV/0!</v>
      </c>
      <c r="G10" s="484">
        <f>IF('Utility summery'!M14&lt;0,"0",'Utility summery'!M14)</f>
        <v>0</v>
      </c>
      <c r="H10" s="492">
        <v>0</v>
      </c>
      <c r="I10" s="484">
        <f>IF('UTILITY REPORT 1'!G11&lt;0,"0",'UTILITY REPORT 1'!G11)</f>
        <v>0</v>
      </c>
      <c r="J10" s="492">
        <v>0</v>
      </c>
      <c r="K10" s="483">
        <f>'UTILITY REPORT 1'!C11</f>
        <v>0</v>
      </c>
      <c r="L10" s="485" t="e">
        <f>E10*F10+G10*H10+#REF!*#REF!+I10*J10</f>
        <v>#DIV/0!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>
        <f>IF('Utility summery'!M15&lt;0,"0",'Utility summery'!M15)</f>
        <v>0</v>
      </c>
      <c r="H11" s="492">
        <v>0</v>
      </c>
      <c r="I11" s="484">
        <f>IF('UTILITY REPORT 1'!G12&lt;0,"0",'UTILITY REPORT 1'!G12)</f>
        <v>0</v>
      </c>
      <c r="J11" s="492">
        <v>0</v>
      </c>
      <c r="K11" s="483">
        <f>'UTILITY REPORT 1'!C12</f>
        <v>0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0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3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0</v>
      </c>
      <c r="F4" s="540">
        <f>'UTILITY REPORT 1'!E5</f>
        <v>0</v>
      </c>
      <c r="G4" s="541">
        <f>'UTILITY REPORT 1'!F5</f>
        <v>0</v>
      </c>
      <c r="H4" s="540" t="str">
        <f>IF('Kit report'!F6&lt;0,"0",'Kit report'!F6)</f>
        <v>0</v>
      </c>
      <c r="I4" s="540" t="str">
        <f>IF('Kit report'!X6&lt;0,"0",'Kit report'!X6)</f>
        <v>0</v>
      </c>
      <c r="J4" s="540" t="str">
        <f>IF('Utility summery'!H8&lt;0,"0",'Utility summery'!H8)</f>
        <v>0</v>
      </c>
      <c r="K4" s="541" t="str">
        <f>IF('UTILITY REPORT 1'!H5&lt;0,"0",'UTILITY REPORT 1'!H5)</f>
        <v>0</v>
      </c>
      <c r="L4" s="540">
        <f>'Water-Meter'!K8</f>
        <v>-8024</v>
      </c>
      <c r="M4" s="541" t="str">
        <f>'Water-Meter'!H8</f>
        <v>0</v>
      </c>
      <c r="N4" s="541" t="str">
        <f>'Water-Meter'!Q8</f>
        <v>0</v>
      </c>
      <c r="O4" s="540" t="e">
        <f>K4*E4+H4*I4+#REF!*#REF!+J4*L4</f>
        <v>#REF!</v>
      </c>
      <c r="P4" s="547" t="str">
        <f>'Water-Meter'!E8</f>
        <v>0</v>
      </c>
      <c r="Q4" s="289" t="str">
        <f>IF('Water-Meter'!U8&lt;0,"0",'Water-Meter'!U8)</f>
        <v>0</v>
      </c>
      <c r="R4" s="289" t="str">
        <f>IF('Water-Meter'!X8&lt;0,"0",'Water-Meter'!X8)</f>
        <v>0</v>
      </c>
      <c r="S4" s="289" t="str">
        <f>IF('Water-Meter'!AA8&lt;0,"0",'Water-Meter'!AA8)</f>
        <v>0</v>
      </c>
      <c r="T4" s="289" t="str">
        <f>IF('Water-Meter'!AD8&lt;0,"0",'Water-Meter'!AD8)</f>
        <v>0</v>
      </c>
      <c r="U4" s="289" t="str">
        <f>IF('Water-Meter'!AG8&lt;0,"0",'Water-Meter'!AG8)</f>
        <v>0</v>
      </c>
      <c r="V4" s="289" t="str">
        <f>IF('Water-Meter'!AJ8&lt;0,"0",'Water-Meter'!AJ8)</f>
        <v>0</v>
      </c>
      <c r="W4" s="31">
        <f>'Water-Meter'!AN8</f>
        <v>-15155</v>
      </c>
      <c r="X4" s="558">
        <f>Total!K4</f>
        <v>3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0</v>
      </c>
      <c r="G5" s="541">
        <f>'UTILITY REPORT 1'!F6</f>
        <v>0</v>
      </c>
      <c r="H5" s="540">
        <f>IF('Kit report'!F7&lt;0,"0",'Kit report'!F7)</f>
        <v>0</v>
      </c>
      <c r="I5" s="540">
        <f>IF('Kit report'!X7&lt;0,"0",'Kit report'!X7)</f>
        <v>0</v>
      </c>
      <c r="J5" s="540">
        <f>IF('Utility summery'!H9&lt;0,"0",'Utility summery'!H9)</f>
        <v>0</v>
      </c>
      <c r="K5" s="541">
        <f>IF('UTILITY REPORT 1'!H6&lt;0,"0",'UTILITY REPORT 1'!H6)</f>
        <v>0</v>
      </c>
      <c r="L5" s="540">
        <f>'Water-Meter'!K9</f>
        <v>0</v>
      </c>
      <c r="M5" s="541">
        <f>'Water-Meter'!H9</f>
        <v>0</v>
      </c>
      <c r="N5" s="541">
        <f>'Water-Meter'!Q9</f>
        <v>0</v>
      </c>
      <c r="O5" s="540" t="e">
        <f>K5*E5+H5*I5+#REF!*#REF!+J5*L5</f>
        <v>#REF!</v>
      </c>
      <c r="P5" s="547">
        <f>'Water-Meter'!E9</f>
        <v>0</v>
      </c>
      <c r="Q5" s="289">
        <f>IF('Water-Meter'!U9&lt;0,"0",'Water-Meter'!U9)</f>
        <v>0</v>
      </c>
      <c r="R5" s="289">
        <f>IF('Water-Meter'!X9&lt;0,"0",'Water-Meter'!X9)</f>
        <v>0</v>
      </c>
      <c r="S5" s="289">
        <f>IF('Water-Meter'!AA9&lt;0,"0",'Water-Meter'!AA9)</f>
        <v>0</v>
      </c>
      <c r="T5" s="289">
        <f>IF('Water-Meter'!AD9&lt;0,"0",'Water-Meter'!AD9)</f>
        <v>0</v>
      </c>
      <c r="U5" s="289">
        <f>IF('Water-Meter'!AG9&lt;0,"0",'Water-Meter'!AG9)</f>
        <v>0</v>
      </c>
      <c r="V5" s="289">
        <f>IF('Water-Meter'!AJ9&lt;0,"0",'Water-Meter'!AJ9)</f>
        <v>0</v>
      </c>
      <c r="W5" s="31">
        <f>'Water-Meter'!AN9</f>
        <v>0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0</v>
      </c>
      <c r="F6" s="540">
        <f>'UTILITY REPORT 1'!E7</f>
        <v>0</v>
      </c>
      <c r="G6" s="541">
        <f>'UTILITY REPORT 1'!F7</f>
        <v>0</v>
      </c>
      <c r="H6" s="540">
        <f>IF('Kit report'!F8&lt;0,"0",'Kit report'!F8)</f>
        <v>0</v>
      </c>
      <c r="I6" s="540">
        <f>IF('Kit report'!X8&lt;0,"0",'Kit report'!X8)</f>
        <v>0</v>
      </c>
      <c r="J6" s="540">
        <f>IF('Utility summery'!H10&lt;0,"0",'Utility summery'!H10)</f>
        <v>0</v>
      </c>
      <c r="K6" s="541">
        <f>IF('UTILITY REPORT 1'!H7&lt;0,"0",'UTILITY REPORT 1'!H7)</f>
        <v>0</v>
      </c>
      <c r="L6" s="540">
        <f>'Water-Meter'!K10</f>
        <v>0</v>
      </c>
      <c r="M6" s="541">
        <f>'Water-Meter'!H10</f>
        <v>0</v>
      </c>
      <c r="N6" s="541">
        <f>'Water-Meter'!Q10</f>
        <v>0</v>
      </c>
      <c r="O6" s="540" t="e">
        <f>K6*E6+H6*I6+#REF!*#REF!+J6*L6</f>
        <v>#REF!</v>
      </c>
      <c r="P6" s="547">
        <f>'Water-Meter'!E10</f>
        <v>0</v>
      </c>
      <c r="Q6" s="289">
        <f>IF('Water-Meter'!U10&lt;0,"0",'Water-Meter'!U10)</f>
        <v>0</v>
      </c>
      <c r="R6" s="289">
        <f>IF('Water-Meter'!X10&lt;0,"0",'Water-Meter'!X10)</f>
        <v>0</v>
      </c>
      <c r="S6" s="289">
        <f>IF('Water-Meter'!AA10&lt;0,"0",'Water-Meter'!AA10)</f>
        <v>0</v>
      </c>
      <c r="T6" s="289">
        <f>IF('Water-Meter'!AD10&lt;0,"0",'Water-Meter'!AD10)</f>
        <v>0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0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0</v>
      </c>
      <c r="G7" s="541">
        <f>'UTILITY REPORT 1'!F8</f>
        <v>0</v>
      </c>
      <c r="H7" s="540">
        <f>IF('Kit report'!F9&lt;0,"0",'Kit report'!F9)</f>
        <v>0</v>
      </c>
      <c r="I7" s="540">
        <f>IF('Kit report'!X9&lt;0,"0",'Kit report'!X9)</f>
        <v>0</v>
      </c>
      <c r="J7" s="540">
        <f>IF('Utility summery'!H11&lt;0,"0",'Utility summery'!H11)</f>
        <v>0</v>
      </c>
      <c r="K7" s="541">
        <f>IF('UTILITY REPORT 1'!H8&lt;0,"0",'UTILITY REPORT 1'!H8)</f>
        <v>0</v>
      </c>
      <c r="L7" s="540">
        <f>'Water-Meter'!K11</f>
        <v>0</v>
      </c>
      <c r="M7" s="541">
        <f>'Water-Meter'!H11</f>
        <v>0</v>
      </c>
      <c r="N7" s="541">
        <f>'Water-Meter'!Q11</f>
        <v>0</v>
      </c>
      <c r="O7" s="540" t="e">
        <f>K7*E7+H7*I7+#REF!*#REF!+J7*L7</f>
        <v>#REF!</v>
      </c>
      <c r="P7" s="547">
        <f>'Water-Meter'!E11</f>
        <v>0</v>
      </c>
      <c r="Q7" s="289">
        <f>IF('Water-Meter'!U11&lt;0,"0",'Water-Meter'!U11)</f>
        <v>0</v>
      </c>
      <c r="R7" s="289">
        <f>IF('Water-Meter'!X11&lt;0,"0",'Water-Meter'!X11)</f>
        <v>0</v>
      </c>
      <c r="S7" s="289">
        <f>IF('Water-Meter'!AA11&lt;0,"0",'Water-Meter'!AA11)</f>
        <v>0</v>
      </c>
      <c r="T7" s="289">
        <f>IF('Water-Meter'!AD11&lt;0,"0",'Water-Meter'!AD11)</f>
        <v>0</v>
      </c>
      <c r="U7" s="289">
        <f>IF('Water-Meter'!AG11&lt;0,"0",'Water-Meter'!AG11)</f>
        <v>0</v>
      </c>
      <c r="V7" s="289">
        <f>IF('Water-Meter'!AJ11&lt;0,"0",'Water-Meter'!AJ11)</f>
        <v>0</v>
      </c>
      <c r="W7" s="31">
        <f>'Water-Meter'!AN11</f>
        <v>0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0</v>
      </c>
      <c r="F8" s="540">
        <f>'UTILITY REPORT 1'!E9</f>
        <v>0</v>
      </c>
      <c r="G8" s="541">
        <f>'UTILITY REPORT 1'!F9</f>
        <v>0</v>
      </c>
      <c r="H8" s="540">
        <f>IF('Kit report'!F10&lt;0,"0",'Kit report'!F10)</f>
        <v>0</v>
      </c>
      <c r="I8" s="540">
        <f>IF('Kit report'!X10&lt;0,"0",'Kit report'!X10)</f>
        <v>0</v>
      </c>
      <c r="J8" s="540">
        <f>IF('Utility summery'!H12&lt;0,"0",'Utility summery'!H12)</f>
        <v>0</v>
      </c>
      <c r="K8" s="541">
        <f>IF('UTILITY REPORT 1'!H9&lt;0,"0",'UTILITY REPORT 1'!H9)</f>
        <v>0</v>
      </c>
      <c r="L8" s="540">
        <f>'Water-Meter'!K12</f>
        <v>0</v>
      </c>
      <c r="M8" s="541">
        <f>'Water-Meter'!H12</f>
        <v>0</v>
      </c>
      <c r="N8" s="541">
        <f>'Water-Meter'!Q12</f>
        <v>0</v>
      </c>
      <c r="O8" s="540" t="e">
        <f>K8*E8+H8*I8+#REF!*#REF!+J8*L8</f>
        <v>#REF!</v>
      </c>
      <c r="P8" s="547">
        <f>'Water-Meter'!E12</f>
        <v>0</v>
      </c>
      <c r="Q8" s="289">
        <f>IF('Water-Meter'!U12&lt;0,"0",'Water-Meter'!U12)</f>
        <v>0</v>
      </c>
      <c r="R8" s="289">
        <f>IF('Water-Meter'!X12&lt;0,"0",'Water-Meter'!X12)</f>
        <v>0</v>
      </c>
      <c r="S8" s="289">
        <f>IF('Water-Meter'!AA12&lt;0,"0",'Water-Meter'!AA12)</f>
        <v>0</v>
      </c>
      <c r="T8" s="289">
        <f>IF('Water-Meter'!AD12&lt;0,"0",'Water-Meter'!AD12)</f>
        <v>0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0</v>
      </c>
      <c r="F9" s="540">
        <f>'UTILITY REPORT 1'!E10</f>
        <v>0</v>
      </c>
      <c r="G9" s="541">
        <f>'UTILITY REPORT 1'!F10</f>
        <v>0</v>
      </c>
      <c r="H9" s="540">
        <f>IF('Kit report'!F11&lt;0,"0",'Kit report'!F11)</f>
        <v>0</v>
      </c>
      <c r="I9" s="540">
        <f>IF('Kit report'!X11&lt;0,"0",'Kit report'!X11)</f>
        <v>0</v>
      </c>
      <c r="J9" s="540">
        <f>IF('Utility summery'!H13&lt;0,"0",'Utility summery'!H13)</f>
        <v>0</v>
      </c>
      <c r="K9" s="541">
        <f>IF('UTILITY REPORT 1'!H10&lt;0,"0",'UTILITY REPORT 1'!H10)</f>
        <v>0</v>
      </c>
      <c r="L9" s="540">
        <f>'Water-Meter'!K13</f>
        <v>0</v>
      </c>
      <c r="M9" s="541">
        <f>'Water-Meter'!H13</f>
        <v>0</v>
      </c>
      <c r="N9" s="541">
        <f>'Water-Meter'!Q13</f>
        <v>0</v>
      </c>
      <c r="O9" s="540" t="e">
        <f>K9*E9+H9*I9+#REF!*#REF!+J9*L9</f>
        <v>#REF!</v>
      </c>
      <c r="P9" s="547">
        <f>'Water-Meter'!E13</f>
        <v>0</v>
      </c>
      <c r="Q9" s="289">
        <f>IF('Water-Meter'!U13&lt;0,"0",'Water-Meter'!U13)</f>
        <v>0</v>
      </c>
      <c r="R9" s="289">
        <f>IF('Water-Meter'!X13&lt;0,"0",'Water-Meter'!X13)</f>
        <v>0</v>
      </c>
      <c r="S9" s="289">
        <f>IF('Water-Meter'!AA13&lt;0,"0",'Water-Meter'!AA13)</f>
        <v>0</v>
      </c>
      <c r="T9" s="289">
        <f>IF('Water-Meter'!AD13&lt;0,"0",'Water-Meter'!AD13)</f>
        <v>0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0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0</v>
      </c>
      <c r="G10" s="541">
        <f>'UTILITY REPORT 1'!F11</f>
        <v>0</v>
      </c>
      <c r="H10" s="540">
        <f>IF('Kit report'!F12&lt;0,"0",'Kit report'!F12)</f>
        <v>0</v>
      </c>
      <c r="I10" s="540">
        <f>IF('Kit report'!X12&lt;0,"0",'Kit report'!X12)</f>
        <v>0</v>
      </c>
      <c r="J10" s="540">
        <f>IF('Utility summery'!H14&lt;0,"0",'Utility summery'!H14)</f>
        <v>0</v>
      </c>
      <c r="K10" s="541">
        <f>IF('UTILITY REPORT 1'!H11&lt;0,"0",'UTILITY REPORT 1'!H11)</f>
        <v>0</v>
      </c>
      <c r="L10" s="540">
        <f>'Water-Meter'!K14</f>
        <v>0</v>
      </c>
      <c r="M10" s="541">
        <f>'Water-Meter'!H14</f>
        <v>0</v>
      </c>
      <c r="N10" s="541">
        <f>'Water-Meter'!Q14</f>
        <v>0</v>
      </c>
      <c r="O10" s="540" t="e">
        <f>K10*E10+H10*I10+#REF!*#REF!+J10*L10</f>
        <v>#REF!</v>
      </c>
      <c r="P10" s="547">
        <f>'Water-Meter'!E14</f>
        <v>0</v>
      </c>
      <c r="Q10" s="289">
        <f>IF('Water-Meter'!U14&lt;0,"0",'Water-Meter'!U14)</f>
        <v>0</v>
      </c>
      <c r="R10" s="289">
        <f>IF('Water-Meter'!X14&lt;0,"0",'Water-Meter'!X14)</f>
        <v>0</v>
      </c>
      <c r="S10" s="289">
        <f>IF('Water-Meter'!AA14&lt;0,"0",'Water-Meter'!AA14)</f>
        <v>0</v>
      </c>
      <c r="T10" s="289">
        <f>IF('Water-Meter'!AD14&lt;0,"0",'Water-Meter'!AD14)</f>
        <v>0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0</v>
      </c>
      <c r="X10" s="558">
        <f>Total!K10</f>
        <v>0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>
        <f>IF('Kit report'!F13&lt;0,"0",'Kit report'!F13)</f>
        <v>0</v>
      </c>
      <c r="I11" s="540">
        <f>IF('Kit report'!X13&lt;0,"0",'Kit report'!X13)</f>
        <v>0</v>
      </c>
      <c r="J11" s="540">
        <f>IF('Utility summery'!H15&lt;0,"0",'Utility summery'!H15)</f>
        <v>0</v>
      </c>
      <c r="K11" s="541">
        <f>IF('UTILITY REPORT 1'!H12&lt;0,"0",'UTILITY REPORT 1'!H12)</f>
        <v>0</v>
      </c>
      <c r="L11" s="540">
        <f>'Water-Meter'!K15</f>
        <v>0</v>
      </c>
      <c r="M11" s="541">
        <f>'Water-Meter'!H15</f>
        <v>0</v>
      </c>
      <c r="N11" s="541">
        <f>'Water-Meter'!Q15</f>
        <v>0</v>
      </c>
      <c r="O11" s="540" t="e">
        <f>K11*E11+H11*I11+#REF!*#REF!+J11*L11</f>
        <v>#REF!</v>
      </c>
      <c r="P11" s="547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8">
        <f>Total!K11</f>
        <v>0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0.04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0.04</v>
      </c>
      <c r="C4" s="471">
        <f>'Summery Report'!E6</f>
        <v>3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0</v>
      </c>
    </row>
    <row r="5" spans="1:9" ht="13.5">
      <c r="A5" s="468">
        <f>Gen!B13</f>
        <v>44077</v>
      </c>
      <c r="B5" s="470">
        <f>Gen!C13</f>
        <v>0.04</v>
      </c>
      <c r="C5" s="471">
        <f>'Summery Report'!E7</f>
        <v>3</v>
      </c>
      <c r="D5" s="472">
        <v>1</v>
      </c>
      <c r="E5" s="471">
        <f>Gen!T13</f>
        <v>0</v>
      </c>
      <c r="F5" s="471">
        <f>Gen!U13</f>
        <v>0</v>
      </c>
      <c r="G5" s="471" t="str">
        <f>'Water-Meter'!E8</f>
        <v>0</v>
      </c>
      <c r="H5" s="471">
        <f>'Utility report '!AC8</f>
        <v>-37908</v>
      </c>
      <c r="I5" s="471">
        <f>Gen!AK13</f>
        <v>0</v>
      </c>
    </row>
    <row r="6" spans="1:9" ht="13.5">
      <c r="A6" s="468">
        <f>Gen!B14</f>
        <v>44078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0</v>
      </c>
      <c r="F6" s="471">
        <f>Gen!U14</f>
        <v>0</v>
      </c>
      <c r="G6" s="471">
        <f>'Water-Meter'!E9</f>
        <v>0</v>
      </c>
      <c r="H6" s="471">
        <f>'Utility report '!AC9</f>
        <v>0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0</v>
      </c>
      <c r="F7" s="471">
        <f>Gen!U15</f>
        <v>0</v>
      </c>
      <c r="G7" s="471">
        <f>'Water-Meter'!E10</f>
        <v>0</v>
      </c>
      <c r="H7" s="471">
        <f>'Utility report '!AC10</f>
        <v>0</v>
      </c>
      <c r="I7" s="471">
        <f>Gen!AK15</f>
        <v>0</v>
      </c>
    </row>
    <row r="8" spans="1:9" ht="13.5">
      <c r="A8" s="468">
        <f>Gen!B16</f>
        <v>44080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0</v>
      </c>
      <c r="F8" s="471">
        <f>Gen!U16</f>
        <v>0</v>
      </c>
      <c r="G8" s="471">
        <f>'Water-Meter'!E11</f>
        <v>0</v>
      </c>
      <c r="H8" s="471">
        <f>'Utility report '!AC11</f>
        <v>0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0</v>
      </c>
      <c r="F9" s="471">
        <f>Gen!U17</f>
        <v>0</v>
      </c>
      <c r="G9" s="471">
        <f>'Water-Meter'!E12</f>
        <v>0</v>
      </c>
      <c r="H9" s="471">
        <f>'Utility report '!AC12</f>
        <v>0</v>
      </c>
      <c r="I9" s="471">
        <f>Gen!AK17</f>
        <v>0</v>
      </c>
    </row>
    <row r="10" spans="1:9" ht="13.5">
      <c r="A10" s="468">
        <f>Gen!B18</f>
        <v>44082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0</v>
      </c>
      <c r="F10" s="471">
        <f>Gen!U18</f>
        <v>0</v>
      </c>
      <c r="G10" s="471">
        <f>'Water-Meter'!E13</f>
        <v>0</v>
      </c>
      <c r="H10" s="471">
        <f>'Utility report '!AC13</f>
        <v>0</v>
      </c>
      <c r="I10" s="471">
        <f>Gen!AK18</f>
        <v>0</v>
      </c>
    </row>
    <row r="11" spans="1:9" ht="13.5">
      <c r="A11" s="468">
        <f>Gen!B19</f>
        <v>44083</v>
      </c>
      <c r="B11" s="470">
        <f>Gen!C19</f>
        <v>0</v>
      </c>
      <c r="C11" s="471">
        <f>'Summery Report'!E13</f>
        <v>0</v>
      </c>
      <c r="D11" s="472">
        <v>1</v>
      </c>
      <c r="E11" s="471">
        <f>Gen!T19</f>
        <v>0</v>
      </c>
      <c r="F11" s="471">
        <f>Gen!U19</f>
        <v>0</v>
      </c>
      <c r="G11" s="471">
        <f>'Water-Meter'!E14</f>
        <v>0</v>
      </c>
      <c r="H11" s="471">
        <f>'Utility report '!AC14</f>
        <v>0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0</v>
      </c>
      <c r="C12" s="471">
        <f>'Summery Report'!E14</f>
        <v>0</v>
      </c>
      <c r="D12" s="472">
        <v>1</v>
      </c>
      <c r="E12" s="471">
        <f>Gen!T20</f>
        <v>0</v>
      </c>
      <c r="F12" s="471">
        <f>Gen!U20</f>
        <v>0</v>
      </c>
      <c r="G12" s="471">
        <f>'Water-Meter'!E15</f>
        <v>0</v>
      </c>
      <c r="H12" s="471">
        <f>'Utility report '!AC15</f>
        <v>0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3</v>
      </c>
      <c r="C7" s="6">
        <f>Gen!U12</f>
        <v>2147</v>
      </c>
      <c r="D7" s="177">
        <f>Gen!T12</f>
        <v>821.92000000000007</v>
      </c>
      <c r="E7" s="177">
        <f>Gen!AK12</f>
        <v>0</v>
      </c>
      <c r="F7" s="177">
        <f>Gen!AS12</f>
        <v>821.92000000000007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383.5626666666667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3</v>
      </c>
      <c r="C8" s="6">
        <f>Gen!U13</f>
        <v>0</v>
      </c>
      <c r="D8" s="177">
        <f>Gen!T13</f>
        <v>0</v>
      </c>
      <c r="E8" s="177">
        <f>Gen!AK13</f>
        <v>0</v>
      </c>
      <c r="F8" s="177">
        <f>Gen!AS13</f>
        <v>0</v>
      </c>
      <c r="G8" s="180">
        <f>'Utility report '!AC8</f>
        <v>-37908</v>
      </c>
      <c r="H8" s="180">
        <f>'Utility report '!AE8</f>
        <v>-204681</v>
      </c>
      <c r="I8" s="348" t="str">
        <f>'Water-Meter'!E8</f>
        <v>0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-317240.44000000006</v>
      </c>
      <c r="N8" s="175">
        <f t="shared" ref="N8:O36" si="2">D8*1.4</f>
        <v>0</v>
      </c>
      <c r="O8" s="175">
        <f t="shared" si="2"/>
        <v>0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0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0</v>
      </c>
      <c r="C9" s="6">
        <f>Gen!U14</f>
        <v>0</v>
      </c>
      <c r="D9" s="177">
        <f>Gen!T14</f>
        <v>0</v>
      </c>
      <c r="E9" s="177">
        <f>Gen!AK14</f>
        <v>0</v>
      </c>
      <c r="F9" s="177">
        <f>Gen!AS14</f>
        <v>0</v>
      </c>
      <c r="G9" s="180">
        <f>'Utility report '!AC9</f>
        <v>0</v>
      </c>
      <c r="H9" s="180">
        <f>'Utility report '!AE9</f>
        <v>0</v>
      </c>
      <c r="I9" s="348">
        <f>'Water-Meter'!E9</f>
        <v>0</v>
      </c>
      <c r="J9" s="182">
        <f>'Lpg (2)'!B13</f>
        <v>0</v>
      </c>
      <c r="K9" s="182">
        <f>'Lpg (2)'!C13</f>
        <v>0</v>
      </c>
      <c r="L9" s="182">
        <f>'Lpg (2)'!D13</f>
        <v>0</v>
      </c>
      <c r="M9" s="528">
        <f>'Lpg (2)'!G13</f>
        <v>0</v>
      </c>
      <c r="N9" s="175">
        <f t="shared" si="2"/>
        <v>0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0</v>
      </c>
      <c r="C10" s="6">
        <f>Gen!U15</f>
        <v>0</v>
      </c>
      <c r="D10" s="177">
        <f>Gen!T15</f>
        <v>0</v>
      </c>
      <c r="E10" s="177">
        <f>Gen!AK15</f>
        <v>0</v>
      </c>
      <c r="F10" s="177">
        <f>Gen!AS15</f>
        <v>0</v>
      </c>
      <c r="G10" s="180">
        <f>'Utility report '!AC10</f>
        <v>0</v>
      </c>
      <c r="H10" s="180">
        <f>'Utility report '!AE10</f>
        <v>0</v>
      </c>
      <c r="I10" s="348">
        <f>'Water-Meter'!E10</f>
        <v>0</v>
      </c>
      <c r="J10" s="182">
        <f>'Lpg (2)'!B14</f>
        <v>0</v>
      </c>
      <c r="K10" s="182">
        <f>'Lpg (2)'!C14</f>
        <v>0</v>
      </c>
      <c r="L10" s="182">
        <f>'Lpg (2)'!D14</f>
        <v>0</v>
      </c>
      <c r="M10" s="528">
        <f>'Lpg (2)'!G14</f>
        <v>0</v>
      </c>
      <c r="N10" s="175">
        <f t="shared" si="2"/>
        <v>0</v>
      </c>
      <c r="O10" s="175">
        <f t="shared" si="2"/>
        <v>0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0</v>
      </c>
      <c r="C11" s="6">
        <f>Gen!U16</f>
        <v>0</v>
      </c>
      <c r="D11" s="177">
        <f>Gen!T16</f>
        <v>0</v>
      </c>
      <c r="E11" s="177">
        <f>Gen!AK16</f>
        <v>0</v>
      </c>
      <c r="F11" s="177">
        <f>Gen!AS16</f>
        <v>0</v>
      </c>
      <c r="G11" s="180">
        <f>'Utility report '!AC11</f>
        <v>0</v>
      </c>
      <c r="H11" s="180">
        <f>'Utility report '!AE11</f>
        <v>0</v>
      </c>
      <c r="I11" s="348">
        <f>'Water-Meter'!E11</f>
        <v>0</v>
      </c>
      <c r="J11" s="182">
        <f>'Lpg (2)'!B15</f>
        <v>0</v>
      </c>
      <c r="K11" s="182">
        <f>'Lpg (2)'!C15</f>
        <v>0</v>
      </c>
      <c r="L11" s="182">
        <f>'Lpg (2)'!D15</f>
        <v>0</v>
      </c>
      <c r="M11" s="528">
        <f>'Lpg (2)'!G15</f>
        <v>0</v>
      </c>
      <c r="N11" s="175">
        <f t="shared" si="2"/>
        <v>0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0</v>
      </c>
      <c r="C12" s="6">
        <f>Gen!U17</f>
        <v>0</v>
      </c>
      <c r="D12" s="177">
        <f>Gen!T17</f>
        <v>0</v>
      </c>
      <c r="E12" s="177">
        <f>Gen!AK17</f>
        <v>0</v>
      </c>
      <c r="F12" s="177">
        <f>Gen!AS17</f>
        <v>0</v>
      </c>
      <c r="G12" s="180">
        <f>'Utility report '!AC12</f>
        <v>0</v>
      </c>
      <c r="H12" s="180">
        <f>'Utility report '!AE12</f>
        <v>0</v>
      </c>
      <c r="I12" s="348">
        <f>'Water-Meter'!E12</f>
        <v>0</v>
      </c>
      <c r="J12" s="182">
        <f>'Lpg (2)'!B16</f>
        <v>0</v>
      </c>
      <c r="K12" s="182">
        <f>'Lpg (2)'!C16</f>
        <v>0</v>
      </c>
      <c r="L12" s="182">
        <f>'Lpg (2)'!D16</f>
        <v>0</v>
      </c>
      <c r="M12" s="528">
        <f>'Lpg (2)'!G16</f>
        <v>0</v>
      </c>
      <c r="N12" s="175">
        <f t="shared" si="2"/>
        <v>0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0</v>
      </c>
      <c r="C13" s="6">
        <f>Gen!U18</f>
        <v>0</v>
      </c>
      <c r="D13" s="177">
        <f>Gen!T18</f>
        <v>0</v>
      </c>
      <c r="E13" s="177">
        <f>Gen!AK18</f>
        <v>0</v>
      </c>
      <c r="F13" s="177">
        <f>Gen!AS18</f>
        <v>0</v>
      </c>
      <c r="G13" s="180">
        <f>'Utility report '!AC13</f>
        <v>0</v>
      </c>
      <c r="H13" s="180">
        <f>'Utility report '!AE13</f>
        <v>0</v>
      </c>
      <c r="I13" s="348">
        <f>'Water-Meter'!E13</f>
        <v>0</v>
      </c>
      <c r="J13" s="182">
        <f>'Lpg (2)'!B17</f>
        <v>0</v>
      </c>
      <c r="K13" s="182">
        <f>'Lpg (2)'!C17</f>
        <v>0</v>
      </c>
      <c r="L13" s="182">
        <f>'Lpg (2)'!D17</f>
        <v>0</v>
      </c>
      <c r="M13" s="528">
        <f>'Lpg (2)'!G17</f>
        <v>0</v>
      </c>
      <c r="N13" s="175">
        <f t="shared" si="2"/>
        <v>0</v>
      </c>
      <c r="O13" s="175">
        <f t="shared" si="2"/>
        <v>0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0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0</v>
      </c>
      <c r="H14" s="180">
        <f>'Utility report '!AE14</f>
        <v>0</v>
      </c>
      <c r="I14" s="348">
        <f>'Water-Meter'!E14</f>
        <v>0</v>
      </c>
      <c r="J14" s="182">
        <f>'Lpg (2)'!B18</f>
        <v>0</v>
      </c>
      <c r="K14" s="182">
        <f>'Lpg (2)'!C18</f>
        <v>0</v>
      </c>
      <c r="L14" s="182">
        <f>'Lpg (2)'!D18</f>
        <v>0</v>
      </c>
      <c r="M14" s="528">
        <f>'Lpg (2)'!G18</f>
        <v>0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 t="e">
        <f t="shared" si="0"/>
        <v>#DIV/0!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8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6</v>
      </c>
      <c r="C39" s="537">
        <f>SUM(C7:C35)</f>
        <v>2147</v>
      </c>
      <c r="D39" s="537">
        <f>SUM(D7:D35)</f>
        <v>821.92000000000007</v>
      </c>
      <c r="E39" s="537">
        <f t="shared" ref="E39:S39" si="3">SUM(E7:E35)</f>
        <v>0</v>
      </c>
      <c r="F39" s="537">
        <f t="shared" si="3"/>
        <v>821.92000000000007</v>
      </c>
      <c r="G39" s="537">
        <f t="shared" si="3"/>
        <v>-37882</v>
      </c>
      <c r="H39" s="537">
        <f t="shared" si="3"/>
        <v>-204651</v>
      </c>
      <c r="I39" s="537">
        <f t="shared" si="3"/>
        <v>58</v>
      </c>
      <c r="J39" s="537">
        <f t="shared" si="3"/>
        <v>170</v>
      </c>
      <c r="K39" s="537">
        <f t="shared" si="3"/>
        <v>170</v>
      </c>
      <c r="L39" s="537">
        <f t="shared" si="3"/>
        <v>3</v>
      </c>
      <c r="M39" s="537">
        <f t="shared" si="3"/>
        <v>-317164.40800000005</v>
      </c>
      <c r="N39" s="537">
        <f t="shared" si="3"/>
        <v>1150.6880000000001</v>
      </c>
      <c r="O39" s="537">
        <f t="shared" si="3"/>
        <v>0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7" sqref="AD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43590.620000000017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0.04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3</v>
      </c>
      <c r="C7" s="156">
        <f>Gen!C12</f>
        <v>0.04</v>
      </c>
      <c r="D7" s="495">
        <f>'Summery Report'!E6</f>
        <v>3</v>
      </c>
      <c r="E7" s="496">
        <f>SUM(E6)</f>
        <v>1.3262195121951219</v>
      </c>
      <c r="F7" s="497">
        <f>SUM(J7*E7)/D7</f>
        <v>363.34878048780485</v>
      </c>
      <c r="G7" s="497">
        <f t="shared" si="0"/>
        <v>363.34878048780485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0</v>
      </c>
      <c r="L7" s="140">
        <f t="shared" si="1"/>
        <v>821.92000000000007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/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0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3</v>
      </c>
      <c r="C8" s="156">
        <f>Gen!C13</f>
        <v>0.04</v>
      </c>
      <c r="D8" s="495">
        <f>'Summery Report'!E7</f>
        <v>3</v>
      </c>
      <c r="E8" s="496">
        <f t="shared" ref="E8:E36" si="13">SUM(E7)</f>
        <v>1.3262195121951219</v>
      </c>
      <c r="F8" s="497">
        <f t="shared" ref="F8:F36" si="14">SUM(J8*E8)/D8</f>
        <v>0</v>
      </c>
      <c r="G8" s="497">
        <f t="shared" si="0"/>
        <v>0</v>
      </c>
      <c r="H8" s="496">
        <f>Gen!D13</f>
        <v>41808.060000000019</v>
      </c>
      <c r="I8" s="498">
        <f>Gen!F13</f>
        <v>0</v>
      </c>
      <c r="J8" s="140">
        <f>Gen!T13</f>
        <v>0</v>
      </c>
      <c r="K8" s="140">
        <f>Gen!AK13</f>
        <v>0</v>
      </c>
      <c r="L8" s="140">
        <f t="shared" si="1"/>
        <v>0</v>
      </c>
      <c r="M8" s="527">
        <f>'Water-Meter'!K48</f>
        <v>589.50579976886524</v>
      </c>
      <c r="N8" s="201" t="str">
        <f>'Water-Meter'!E8</f>
        <v>0</v>
      </c>
      <c r="O8" s="212"/>
      <c r="P8" s="753"/>
      <c r="Q8" s="499">
        <f t="shared" si="2"/>
        <v>0</v>
      </c>
      <c r="R8" s="500">
        <f t="shared" si="5"/>
        <v>0</v>
      </c>
      <c r="S8" s="446"/>
      <c r="T8" s="565"/>
      <c r="U8" s="499">
        <f t="shared" si="6"/>
        <v>-16868.189999999999</v>
      </c>
      <c r="V8" s="501">
        <f t="shared" si="7"/>
        <v>0</v>
      </c>
      <c r="W8" s="446"/>
      <c r="X8" s="563"/>
      <c r="Y8" s="499">
        <f t="shared" si="8"/>
        <v>-24974</v>
      </c>
      <c r="Z8" s="501">
        <f t="shared" si="9"/>
        <v>0</v>
      </c>
      <c r="AA8" s="501">
        <f t="shared" si="10"/>
        <v>0</v>
      </c>
      <c r="AB8" s="564"/>
      <c r="AC8" s="136">
        <f t="shared" si="11"/>
        <v>-37908</v>
      </c>
      <c r="AD8" s="564"/>
      <c r="AE8" s="219">
        <f t="shared" ref="AE8:AE37" si="15">AD8-AD7</f>
        <v>-204681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41808.060000000019</v>
      </c>
      <c r="I9" s="498">
        <f>Gen!F14</f>
        <v>0</v>
      </c>
      <c r="J9" s="140">
        <f>Gen!T14</f>
        <v>0</v>
      </c>
      <c r="K9" s="140">
        <f>Gen!AK14</f>
        <v>0</v>
      </c>
      <c r="L9" s="140">
        <f t="shared" si="1"/>
        <v>0</v>
      </c>
      <c r="M9" s="527">
        <f>'Water-Meter'!K49</f>
        <v>0</v>
      </c>
      <c r="N9" s="201">
        <f>'Water-Meter'!E9</f>
        <v>0</v>
      </c>
      <c r="O9" s="212"/>
      <c r="P9" s="753"/>
      <c r="Q9" s="499">
        <f t="shared" si="2"/>
        <v>0</v>
      </c>
      <c r="R9" s="500">
        <f t="shared" si="5"/>
        <v>0</v>
      </c>
      <c r="S9" s="446"/>
      <c r="T9" s="565"/>
      <c r="U9" s="499">
        <f t="shared" si="6"/>
        <v>0</v>
      </c>
      <c r="V9" s="501">
        <f t="shared" si="7"/>
        <v>0</v>
      </c>
      <c r="W9" s="446"/>
      <c r="X9" s="563"/>
      <c r="Y9" s="499">
        <f t="shared" si="8"/>
        <v>0</v>
      </c>
      <c r="Z9" s="501">
        <f t="shared" si="9"/>
        <v>0</v>
      </c>
      <c r="AA9" s="501">
        <f t="shared" si="10"/>
        <v>0</v>
      </c>
      <c r="AB9" s="564"/>
      <c r="AC9" s="136">
        <f t="shared" si="11"/>
        <v>0</v>
      </c>
      <c r="AD9" s="564"/>
      <c r="AE9" s="219">
        <f t="shared" si="15"/>
        <v>0</v>
      </c>
      <c r="AF9" s="314">
        <f>'Lpg (2)'!B13*2000/85</f>
        <v>0</v>
      </c>
      <c r="AG9" s="315">
        <f>'Lpg (2)'!C13*1000/85</f>
        <v>0</v>
      </c>
      <c r="AH9" s="316">
        <f>'Lpg (2)'!D13*1000/85</f>
        <v>0</v>
      </c>
      <c r="AI9" s="504">
        <f t="shared" si="12"/>
        <v>4000000</v>
      </c>
      <c r="AJ9" s="503">
        <f t="shared" si="4"/>
        <v>1011764.7058823528</v>
      </c>
      <c r="AK9" s="142"/>
    </row>
    <row r="10" spans="1:37" ht="19.5" thickBot="1">
      <c r="A10" s="94">
        <f>Gen!B15</f>
        <v>44079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41808.060000000019</v>
      </c>
      <c r="I10" s="498">
        <f>Gen!F15</f>
        <v>0</v>
      </c>
      <c r="J10" s="140">
        <f>Gen!T15</f>
        <v>0</v>
      </c>
      <c r="K10" s="140">
        <f>Gen!AK15</f>
        <v>0</v>
      </c>
      <c r="L10" s="140">
        <f t="shared" si="1"/>
        <v>0</v>
      </c>
      <c r="M10" s="527">
        <f>'Water-Meter'!K50</f>
        <v>0</v>
      </c>
      <c r="N10" s="201">
        <f>'Water-Meter'!E10</f>
        <v>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/>
      <c r="U10" s="499">
        <f t="shared" si="6"/>
        <v>0</v>
      </c>
      <c r="V10" s="501">
        <f t="shared" ref="V10:V16" si="16">SUM(U10*S10)</f>
        <v>0</v>
      </c>
      <c r="W10" s="446"/>
      <c r="X10" s="563"/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/>
      <c r="AC10" s="136">
        <f t="shared" si="11"/>
        <v>0</v>
      </c>
      <c r="AD10" s="564"/>
      <c r="AE10" s="219">
        <f t="shared" si="15"/>
        <v>0</v>
      </c>
      <c r="AF10" s="314">
        <f>'Lpg (2)'!B14*2000/85</f>
        <v>0</v>
      </c>
      <c r="AG10" s="315">
        <f>'Lpg (2)'!C14*1000/85</f>
        <v>0</v>
      </c>
      <c r="AH10" s="316">
        <f>'Lpg (2)'!D14*1000/85</f>
        <v>0</v>
      </c>
      <c r="AI10" s="504">
        <f t="shared" si="12"/>
        <v>0</v>
      </c>
      <c r="AJ10" s="503">
        <f t="shared" si="4"/>
        <v>4000000</v>
      </c>
      <c r="AK10" s="142"/>
    </row>
    <row r="11" spans="1:37" ht="19.5" thickBot="1">
      <c r="A11" s="94">
        <f>Gen!B16</f>
        <v>44080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41808.060000000019</v>
      </c>
      <c r="I11" s="498">
        <f>Gen!F16</f>
        <v>0</v>
      </c>
      <c r="J11" s="140">
        <f>Gen!T16</f>
        <v>0</v>
      </c>
      <c r="K11" s="140">
        <f>Gen!AK16</f>
        <v>0</v>
      </c>
      <c r="L11" s="140">
        <f t="shared" si="1"/>
        <v>0</v>
      </c>
      <c r="M11" s="527">
        <f>'Water-Meter'!K51</f>
        <v>0</v>
      </c>
      <c r="N11" s="201">
        <f>'Water-Meter'!E11</f>
        <v>0</v>
      </c>
      <c r="O11" s="212"/>
      <c r="P11" s="753"/>
      <c r="Q11" s="499">
        <f t="shared" si="2"/>
        <v>0</v>
      </c>
      <c r="R11" s="500">
        <f t="shared" si="5"/>
        <v>0</v>
      </c>
      <c r="S11" s="446"/>
      <c r="T11" s="565"/>
      <c r="U11" s="499">
        <f t="shared" si="6"/>
        <v>0</v>
      </c>
      <c r="V11" s="501">
        <f t="shared" si="16"/>
        <v>0</v>
      </c>
      <c r="W11" s="446"/>
      <c r="X11" s="563"/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/>
      <c r="AC11" s="136">
        <f t="shared" si="11"/>
        <v>0</v>
      </c>
      <c r="AD11" s="564"/>
      <c r="AE11" s="219">
        <f t="shared" si="15"/>
        <v>0</v>
      </c>
      <c r="AF11" s="314">
        <f>'Lpg (2)'!B15*2000/85</f>
        <v>0</v>
      </c>
      <c r="AG11" s="315">
        <f>'Lpg (2)'!C15*1000/85</f>
        <v>0</v>
      </c>
      <c r="AH11" s="316">
        <f>'Lpg (2)'!D15*1000/85</f>
        <v>0</v>
      </c>
      <c r="AI11" s="504">
        <f t="shared" si="12"/>
        <v>0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41808.060000000019</v>
      </c>
      <c r="I12" s="498">
        <f>Gen!F17</f>
        <v>0</v>
      </c>
      <c r="J12" s="140">
        <f>Gen!T17</f>
        <v>0</v>
      </c>
      <c r="K12" s="140">
        <f>Gen!AK17</f>
        <v>0</v>
      </c>
      <c r="L12" s="140">
        <f t="shared" si="1"/>
        <v>0</v>
      </c>
      <c r="M12" s="527">
        <f>'Water-Meter'!K52</f>
        <v>0</v>
      </c>
      <c r="N12" s="201">
        <f>'Water-Meter'!E12</f>
        <v>0</v>
      </c>
      <c r="O12" s="212"/>
      <c r="P12" s="753"/>
      <c r="Q12" s="499">
        <f t="shared" si="2"/>
        <v>0</v>
      </c>
      <c r="R12" s="500">
        <f t="shared" si="5"/>
        <v>0</v>
      </c>
      <c r="S12" s="446"/>
      <c r="T12" s="565"/>
      <c r="U12" s="499">
        <f t="shared" si="6"/>
        <v>0</v>
      </c>
      <c r="V12" s="501">
        <f t="shared" si="16"/>
        <v>0</v>
      </c>
      <c r="W12" s="446"/>
      <c r="X12" s="563"/>
      <c r="Y12" s="499">
        <f t="shared" si="8"/>
        <v>0</v>
      </c>
      <c r="Z12" s="501">
        <f t="shared" si="9"/>
        <v>0</v>
      </c>
      <c r="AA12" s="501">
        <f t="shared" si="10"/>
        <v>0</v>
      </c>
      <c r="AB12" s="564"/>
      <c r="AC12" s="136">
        <f t="shared" si="11"/>
        <v>0</v>
      </c>
      <c r="AD12" s="564"/>
      <c r="AE12" s="219">
        <f t="shared" si="15"/>
        <v>0</v>
      </c>
      <c r="AF12" s="314">
        <f>'Lpg (2)'!B16*2000/85</f>
        <v>0</v>
      </c>
      <c r="AG12" s="315">
        <f>'Lpg (2)'!C16*1000/85</f>
        <v>0</v>
      </c>
      <c r="AH12" s="316">
        <f>'Lpg (2)'!D16*1000/85</f>
        <v>0</v>
      </c>
      <c r="AI12" s="504">
        <f t="shared" si="12"/>
        <v>0</v>
      </c>
      <c r="AJ12" s="503">
        <f t="shared" si="4"/>
        <v>0</v>
      </c>
      <c r="AK12" s="142"/>
    </row>
    <row r="13" spans="1:37" ht="19.5" thickBot="1">
      <c r="A13" s="94">
        <f>Gen!B18</f>
        <v>44082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41808.060000000019</v>
      </c>
      <c r="I13" s="498">
        <f>Gen!F18</f>
        <v>0</v>
      </c>
      <c r="J13" s="140">
        <f>Gen!T18</f>
        <v>0</v>
      </c>
      <c r="K13" s="140">
        <f>Gen!AK18</f>
        <v>0</v>
      </c>
      <c r="L13" s="140">
        <f t="shared" si="1"/>
        <v>0</v>
      </c>
      <c r="M13" s="527">
        <f>'Water-Meter'!K53</f>
        <v>0</v>
      </c>
      <c r="N13" s="201">
        <f>'Water-Meter'!E13</f>
        <v>0</v>
      </c>
      <c r="O13" s="212"/>
      <c r="P13" s="753"/>
      <c r="Q13" s="499">
        <f t="shared" si="2"/>
        <v>0</v>
      </c>
      <c r="R13" s="500">
        <f t="shared" si="5"/>
        <v>0</v>
      </c>
      <c r="S13" s="446"/>
      <c r="T13" s="565"/>
      <c r="U13" s="499">
        <f t="shared" si="6"/>
        <v>0</v>
      </c>
      <c r="V13" s="501">
        <f t="shared" si="16"/>
        <v>0</v>
      </c>
      <c r="W13" s="446"/>
      <c r="X13" s="563"/>
      <c r="Y13" s="499">
        <f t="shared" si="8"/>
        <v>0</v>
      </c>
      <c r="Z13" s="501">
        <f t="shared" si="9"/>
        <v>0</v>
      </c>
      <c r="AA13" s="501">
        <f t="shared" si="10"/>
        <v>0</v>
      </c>
      <c r="AB13" s="564"/>
      <c r="AC13" s="136">
        <f t="shared" si="11"/>
        <v>0</v>
      </c>
      <c r="AD13" s="564"/>
      <c r="AE13" s="219">
        <f t="shared" si="15"/>
        <v>0</v>
      </c>
      <c r="AF13" s="314">
        <f>'Lpg (2)'!B17*2000/85</f>
        <v>0</v>
      </c>
      <c r="AG13" s="315">
        <f>'Lpg (2)'!C17*1000/85</f>
        <v>0</v>
      </c>
      <c r="AH13" s="316">
        <f>'Lpg (2)'!D17*1000/85</f>
        <v>0</v>
      </c>
      <c r="AI13" s="504">
        <f t="shared" si="12"/>
        <v>0</v>
      </c>
      <c r="AJ13" s="503">
        <f t="shared" si="4"/>
        <v>0</v>
      </c>
      <c r="AK13" s="143"/>
    </row>
    <row r="14" spans="1:37" ht="19.5" thickBot="1">
      <c r="A14" s="94">
        <f>Gen!B19</f>
        <v>44083</v>
      </c>
      <c r="B14" s="494">
        <f>'Summery Report'!E13</f>
        <v>0</v>
      </c>
      <c r="C14" s="156">
        <f>Gen!C19</f>
        <v>0</v>
      </c>
      <c r="D14" s="495">
        <f>'Summery Report'!E13</f>
        <v>0</v>
      </c>
      <c r="E14" s="496">
        <f t="shared" si="13"/>
        <v>1.3262195121951219</v>
      </c>
      <c r="F14" s="497" t="e">
        <f t="shared" si="14"/>
        <v>#DIV/0!</v>
      </c>
      <c r="G14" s="497" t="e">
        <f t="shared" si="0"/>
        <v>#DIV/0!</v>
      </c>
      <c r="H14" s="496">
        <f>Gen!D19</f>
        <v>41808.060000000019</v>
      </c>
      <c r="I14" s="498">
        <f>Gen!F19</f>
        <v>0</v>
      </c>
      <c r="J14" s="140">
        <f>Gen!T19</f>
        <v>0</v>
      </c>
      <c r="K14" s="140">
        <f>Gen!AK19</f>
        <v>0</v>
      </c>
      <c r="L14" s="140">
        <f t="shared" si="1"/>
        <v>0</v>
      </c>
      <c r="M14" s="527">
        <f>'Water-Meter'!K54</f>
        <v>0</v>
      </c>
      <c r="N14" s="201">
        <f>'Water-Meter'!E14</f>
        <v>0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/>
      <c r="U14" s="499">
        <f t="shared" si="6"/>
        <v>0</v>
      </c>
      <c r="V14" s="501">
        <f t="shared" si="16"/>
        <v>0</v>
      </c>
      <c r="W14" s="446"/>
      <c r="X14" s="563"/>
      <c r="Y14" s="499">
        <f t="shared" si="8"/>
        <v>0</v>
      </c>
      <c r="Z14" s="501">
        <f t="shared" si="9"/>
        <v>0</v>
      </c>
      <c r="AA14" s="501">
        <f t="shared" si="10"/>
        <v>0</v>
      </c>
      <c r="AB14" s="564"/>
      <c r="AC14" s="136">
        <f t="shared" si="11"/>
        <v>0</v>
      </c>
      <c r="AD14" s="564"/>
      <c r="AE14" s="219">
        <f t="shared" si="15"/>
        <v>0</v>
      </c>
      <c r="AF14" s="314">
        <f>'Lpg (2)'!B18*2000/85</f>
        <v>0</v>
      </c>
      <c r="AG14" s="315">
        <f>'Lpg (2)'!C18*1000/85</f>
        <v>0</v>
      </c>
      <c r="AH14" s="316">
        <f>'Lpg (2)'!D18*1000/85</f>
        <v>0</v>
      </c>
      <c r="AI14" s="504">
        <f t="shared" si="12"/>
        <v>0</v>
      </c>
      <c r="AJ14" s="503">
        <f t="shared" si="4"/>
        <v>0</v>
      </c>
      <c r="AK14" s="142"/>
    </row>
    <row r="15" spans="1:37" ht="19.5" thickBot="1">
      <c r="A15" s="94">
        <f>Gen!B20</f>
        <v>44084</v>
      </c>
      <c r="B15" s="494">
        <f>'Summery Report'!E14</f>
        <v>0</v>
      </c>
      <c r="C15" s="156">
        <f>Gen!C20</f>
        <v>0</v>
      </c>
      <c r="D15" s="495">
        <f>'Summery Report'!E14</f>
        <v>0</v>
      </c>
      <c r="E15" s="496">
        <f t="shared" si="13"/>
        <v>1.3262195121951219</v>
      </c>
      <c r="F15" s="497" t="e">
        <f t="shared" si="14"/>
        <v>#DIV/0!</v>
      </c>
      <c r="G15" s="497" t="e">
        <f t="shared" si="0"/>
        <v>#DIV/0!</v>
      </c>
      <c r="H15" s="496">
        <f>Gen!D20</f>
        <v>41808.060000000019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0</v>
      </c>
      <c r="N15" s="201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0</v>
      </c>
      <c r="V15" s="501">
        <f t="shared" si="16"/>
        <v>0</v>
      </c>
      <c r="W15" s="446"/>
      <c r="X15" s="563"/>
      <c r="Y15" s="499">
        <f t="shared" si="8"/>
        <v>0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0</v>
      </c>
      <c r="AD15" s="564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4">
        <f t="shared" ref="AI15:AI35" si="17">SUM(AF15*2000)+(AG15*1000)+(AH15*1000)</f>
        <v>0</v>
      </c>
      <c r="AJ15" s="503">
        <f t="shared" si="4"/>
        <v>0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41808.060000000019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0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41808.060000000019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41808.060000000019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41808.060000000019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41808.060000000019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41808.060000000019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41808.060000000019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41808.060000000019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41808.060000000019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41808.060000000019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41808.060000000019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41808.060000000019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41808.060000000019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41808.060000000019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41808.060000000019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41808.060000000019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41808.060000000019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41808.060000000019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41808.060000000019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41808.060000000019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41808.060000000019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1713.35</v>
      </c>
      <c r="K37" s="163"/>
      <c r="L37" s="140">
        <f t="shared" si="1"/>
        <v>1713.35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8" sqref="E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1" t="s">
        <v>156</v>
      </c>
      <c r="C3" s="792"/>
      <c r="D3" s="196"/>
      <c r="E3" s="699">
        <v>8794.7000000000007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8021</v>
      </c>
      <c r="P3" s="709">
        <f>'Water-Meter'!J5</f>
        <v>8021</v>
      </c>
      <c r="Q3" s="195"/>
      <c r="R3" s="696"/>
      <c r="S3" s="697"/>
      <c r="T3" s="791" t="s">
        <v>156</v>
      </c>
      <c r="U3" s="792"/>
      <c r="V3" s="196"/>
      <c r="W3" s="700">
        <v>7819.2</v>
      </c>
      <c r="X3" s="710">
        <f t="shared" ref="X3:X35" si="0">(W3-V3)*200</f>
        <v>1563840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0.04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0.04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0.04</v>
      </c>
      <c r="B6" s="719">
        <f>Gen!B13</f>
        <v>44077</v>
      </c>
      <c r="C6" s="698"/>
      <c r="D6" s="703">
        <f t="shared" si="1"/>
        <v>8797.9</v>
      </c>
      <c r="E6" s="699"/>
      <c r="F6" s="703">
        <f t="shared" si="2"/>
        <v>-1055748</v>
      </c>
      <c r="G6" s="698"/>
      <c r="H6" s="720">
        <f t="shared" si="6"/>
        <v>44077</v>
      </c>
      <c r="I6" s="713"/>
      <c r="J6" s="763">
        <f>'Water-Meter'!G8</f>
        <v>0</v>
      </c>
      <c r="K6" s="739">
        <f>'Water-Meter'!G8</f>
        <v>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0</v>
      </c>
      <c r="P6" s="702">
        <f>'Water-Meter'!J8</f>
        <v>0</v>
      </c>
      <c r="Q6" s="740">
        <f t="shared" si="8"/>
        <v>-8024</v>
      </c>
      <c r="R6" s="746">
        <f t="shared" si="4"/>
        <v>-4.9684210526315793</v>
      </c>
      <c r="S6" s="747">
        <f>Gen!T13</f>
        <v>0</v>
      </c>
      <c r="T6" s="735">
        <f t="shared" si="9"/>
        <v>44077</v>
      </c>
      <c r="U6" s="698"/>
      <c r="V6" s="703">
        <f t="shared" si="5"/>
        <v>7819.7</v>
      </c>
      <c r="W6" s="700"/>
      <c r="X6" s="736">
        <f t="shared" si="0"/>
        <v>-1563940</v>
      </c>
      <c r="Y6" s="730">
        <f t="shared" si="10"/>
        <v>44077</v>
      </c>
      <c r="Z6" s="698"/>
      <c r="AA6" s="698"/>
      <c r="AB6" s="728">
        <f>'Water-Meter'!P8</f>
        <v>0</v>
      </c>
      <c r="AC6" s="729">
        <f t="shared" si="11"/>
        <v>-20257</v>
      </c>
    </row>
    <row r="7" spans="1:29" ht="19.5" thickBot="1">
      <c r="A7" s="712">
        <f>Gen!C14</f>
        <v>0</v>
      </c>
      <c r="B7" s="719">
        <f>Gen!B14</f>
        <v>44078</v>
      </c>
      <c r="C7" s="698"/>
      <c r="D7" s="703">
        <f t="shared" si="1"/>
        <v>0</v>
      </c>
      <c r="E7" s="699"/>
      <c r="F7" s="703">
        <f t="shared" si="2"/>
        <v>0</v>
      </c>
      <c r="G7" s="698"/>
      <c r="H7" s="720">
        <f t="shared" si="6"/>
        <v>44078</v>
      </c>
      <c r="I7" s="713"/>
      <c r="J7" s="763">
        <f>'Water-Meter'!G9</f>
        <v>0</v>
      </c>
      <c r="K7" s="739">
        <f>'Water-Meter'!G9</f>
        <v>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0</v>
      </c>
      <c r="P7" s="702">
        <f>'Water-Meter'!J9</f>
        <v>0</v>
      </c>
      <c r="Q7" s="740">
        <f t="shared" si="8"/>
        <v>0</v>
      </c>
      <c r="R7" s="746">
        <f t="shared" si="4"/>
        <v>0</v>
      </c>
      <c r="S7" s="747">
        <f>Gen!T14</f>
        <v>0</v>
      </c>
      <c r="T7" s="735">
        <f t="shared" si="9"/>
        <v>44078</v>
      </c>
      <c r="U7" s="698"/>
      <c r="V7" s="703">
        <f t="shared" si="5"/>
        <v>0</v>
      </c>
      <c r="W7" s="700"/>
      <c r="X7" s="736">
        <f t="shared" si="0"/>
        <v>0</v>
      </c>
      <c r="Y7" s="730">
        <f t="shared" si="10"/>
        <v>44078</v>
      </c>
      <c r="Z7" s="698"/>
      <c r="AA7" s="698"/>
      <c r="AB7" s="728">
        <f>'Water-Meter'!P9</f>
        <v>0</v>
      </c>
      <c r="AC7" s="729">
        <f t="shared" si="11"/>
        <v>0</v>
      </c>
    </row>
    <row r="8" spans="1:29" ht="19.5" thickBot="1">
      <c r="A8" s="712">
        <f>Gen!C15</f>
        <v>0</v>
      </c>
      <c r="B8" s="719">
        <f>Gen!B15</f>
        <v>44079</v>
      </c>
      <c r="C8" s="698"/>
      <c r="D8" s="703">
        <f t="shared" si="1"/>
        <v>0</v>
      </c>
      <c r="E8" s="699"/>
      <c r="F8" s="703">
        <f t="shared" si="2"/>
        <v>0</v>
      </c>
      <c r="G8" s="698"/>
      <c r="H8" s="720">
        <f t="shared" si="6"/>
        <v>44079</v>
      </c>
      <c r="I8" s="713"/>
      <c r="J8" s="763">
        <f>'Water-Meter'!G10</f>
        <v>0</v>
      </c>
      <c r="K8" s="739">
        <f>'Water-Meter'!G10</f>
        <v>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0</v>
      </c>
      <c r="P8" s="702">
        <f>'Water-Meter'!J10</f>
        <v>0</v>
      </c>
      <c r="Q8" s="740">
        <f t="shared" si="8"/>
        <v>0</v>
      </c>
      <c r="R8" s="746">
        <f t="shared" si="4"/>
        <v>0</v>
      </c>
      <c r="S8" s="747">
        <f>Gen!T15</f>
        <v>0</v>
      </c>
      <c r="T8" s="735">
        <f t="shared" si="9"/>
        <v>44079</v>
      </c>
      <c r="U8" s="698"/>
      <c r="V8" s="703">
        <f t="shared" si="5"/>
        <v>0</v>
      </c>
      <c r="W8" s="700"/>
      <c r="X8" s="736">
        <f t="shared" si="0"/>
        <v>0</v>
      </c>
      <c r="Y8" s="730">
        <f t="shared" si="10"/>
        <v>44079</v>
      </c>
      <c r="Z8" s="698"/>
      <c r="AA8" s="698"/>
      <c r="AB8" s="728">
        <f>'Water-Meter'!P10</f>
        <v>0</v>
      </c>
      <c r="AC8" s="729">
        <f t="shared" si="11"/>
        <v>0</v>
      </c>
    </row>
    <row r="9" spans="1:29" ht="19.5" thickBot="1">
      <c r="A9" s="712">
        <f>Gen!C16</f>
        <v>0</v>
      </c>
      <c r="B9" s="719">
        <f>Gen!B16</f>
        <v>44080</v>
      </c>
      <c r="C9" s="698"/>
      <c r="D9" s="703">
        <f t="shared" si="1"/>
        <v>0</v>
      </c>
      <c r="E9" s="699"/>
      <c r="F9" s="703">
        <f t="shared" si="2"/>
        <v>0</v>
      </c>
      <c r="G9" s="698"/>
      <c r="H9" s="720">
        <f t="shared" si="6"/>
        <v>44080</v>
      </c>
      <c r="I9" s="713"/>
      <c r="J9" s="763">
        <f>'Water-Meter'!G11</f>
        <v>0</v>
      </c>
      <c r="K9" s="739">
        <f>'Water-Meter'!G11</f>
        <v>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0</v>
      </c>
      <c r="P9" s="702">
        <f>'Water-Meter'!J11</f>
        <v>0</v>
      </c>
      <c r="Q9" s="740">
        <f t="shared" si="8"/>
        <v>0</v>
      </c>
      <c r="R9" s="746">
        <f t="shared" si="4"/>
        <v>0</v>
      </c>
      <c r="S9" s="747">
        <f>Gen!T16</f>
        <v>0</v>
      </c>
      <c r="T9" s="735">
        <f t="shared" si="9"/>
        <v>44080</v>
      </c>
      <c r="U9" s="698"/>
      <c r="V9" s="703">
        <f t="shared" si="5"/>
        <v>0</v>
      </c>
      <c r="W9" s="700"/>
      <c r="X9" s="736">
        <f t="shared" si="0"/>
        <v>0</v>
      </c>
      <c r="Y9" s="730">
        <f t="shared" si="10"/>
        <v>44080</v>
      </c>
      <c r="Z9" s="698"/>
      <c r="AA9" s="698"/>
      <c r="AB9" s="728">
        <f>'Water-Meter'!P11</f>
        <v>0</v>
      </c>
      <c r="AC9" s="729">
        <f t="shared" si="11"/>
        <v>0</v>
      </c>
    </row>
    <row r="10" spans="1:29" ht="19.5" thickBot="1">
      <c r="A10" s="712">
        <f>Gen!C17</f>
        <v>0</v>
      </c>
      <c r="B10" s="719">
        <f>Gen!B17</f>
        <v>44081</v>
      </c>
      <c r="C10" s="698"/>
      <c r="D10" s="703">
        <f t="shared" si="1"/>
        <v>0</v>
      </c>
      <c r="E10" s="699"/>
      <c r="F10" s="703">
        <f t="shared" si="2"/>
        <v>0</v>
      </c>
      <c r="G10" s="698"/>
      <c r="H10" s="720">
        <f t="shared" si="6"/>
        <v>44081</v>
      </c>
      <c r="I10" s="713"/>
      <c r="J10" s="763">
        <f>'Water-Meter'!G12</f>
        <v>0</v>
      </c>
      <c r="K10" s="739">
        <f>'Water-Meter'!G12</f>
        <v>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0</v>
      </c>
      <c r="P10" s="702">
        <f>'Water-Meter'!J12</f>
        <v>0</v>
      </c>
      <c r="Q10" s="740">
        <f t="shared" si="8"/>
        <v>0</v>
      </c>
      <c r="R10" s="746">
        <f t="shared" si="4"/>
        <v>0</v>
      </c>
      <c r="S10" s="747">
        <f>Gen!T17</f>
        <v>0</v>
      </c>
      <c r="T10" s="735">
        <f t="shared" si="9"/>
        <v>44081</v>
      </c>
      <c r="U10" s="698"/>
      <c r="V10" s="703">
        <f t="shared" si="5"/>
        <v>0</v>
      </c>
      <c r="W10" s="700"/>
      <c r="X10" s="736">
        <f t="shared" si="0"/>
        <v>0</v>
      </c>
      <c r="Y10" s="730">
        <f t="shared" si="10"/>
        <v>44081</v>
      </c>
      <c r="Z10" s="698"/>
      <c r="AA10" s="698"/>
      <c r="AB10" s="728">
        <f>'Water-Meter'!P12</f>
        <v>0</v>
      </c>
      <c r="AC10" s="729">
        <f t="shared" si="11"/>
        <v>0</v>
      </c>
    </row>
    <row r="11" spans="1:29" ht="19.5" thickBot="1">
      <c r="A11" s="712">
        <f>Gen!C18</f>
        <v>0</v>
      </c>
      <c r="B11" s="719">
        <f>Gen!B18</f>
        <v>44082</v>
      </c>
      <c r="C11" s="698"/>
      <c r="D11" s="703">
        <f t="shared" si="1"/>
        <v>0</v>
      </c>
      <c r="E11" s="699"/>
      <c r="F11" s="703">
        <f t="shared" si="2"/>
        <v>0</v>
      </c>
      <c r="G11" s="698"/>
      <c r="H11" s="720">
        <f t="shared" si="6"/>
        <v>44082</v>
      </c>
      <c r="I11" s="713"/>
      <c r="J11" s="763">
        <f>'Water-Meter'!G13</f>
        <v>0</v>
      </c>
      <c r="K11" s="739">
        <f>'Water-Meter'!G13</f>
        <v>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0</v>
      </c>
      <c r="P11" s="702">
        <f>'Water-Meter'!J13</f>
        <v>0</v>
      </c>
      <c r="Q11" s="740">
        <f t="shared" si="8"/>
        <v>0</v>
      </c>
      <c r="R11" s="746">
        <f t="shared" si="4"/>
        <v>0</v>
      </c>
      <c r="S11" s="747">
        <f>Gen!T18</f>
        <v>0</v>
      </c>
      <c r="T11" s="735">
        <f t="shared" si="9"/>
        <v>44082</v>
      </c>
      <c r="U11" s="698"/>
      <c r="V11" s="703">
        <f t="shared" si="5"/>
        <v>0</v>
      </c>
      <c r="W11" s="700"/>
      <c r="X11" s="736">
        <f t="shared" si="0"/>
        <v>0</v>
      </c>
      <c r="Y11" s="730">
        <f t="shared" si="10"/>
        <v>44082</v>
      </c>
      <c r="Z11" s="698"/>
      <c r="AA11" s="698"/>
      <c r="AB11" s="728">
        <f>'Water-Meter'!P13</f>
        <v>0</v>
      </c>
      <c r="AC11" s="729">
        <f t="shared" si="11"/>
        <v>0</v>
      </c>
    </row>
    <row r="12" spans="1:29" ht="19.5" thickBot="1">
      <c r="A12" s="712">
        <f>Gen!C19</f>
        <v>0</v>
      </c>
      <c r="B12" s="719">
        <f>Gen!B19</f>
        <v>44083</v>
      </c>
      <c r="C12" s="698"/>
      <c r="D12" s="703">
        <f t="shared" si="1"/>
        <v>0</v>
      </c>
      <c r="E12" s="699"/>
      <c r="F12" s="703">
        <f t="shared" si="2"/>
        <v>0</v>
      </c>
      <c r="G12" s="698"/>
      <c r="H12" s="720">
        <f t="shared" si="6"/>
        <v>44083</v>
      </c>
      <c r="I12" s="713"/>
      <c r="J12" s="763">
        <f>'Water-Meter'!G14</f>
        <v>0</v>
      </c>
      <c r="K12" s="739">
        <f>'Water-Meter'!G14</f>
        <v>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0</v>
      </c>
      <c r="P12" s="702">
        <f>'Water-Meter'!J14</f>
        <v>0</v>
      </c>
      <c r="Q12" s="740">
        <f t="shared" si="8"/>
        <v>0</v>
      </c>
      <c r="R12" s="746">
        <f t="shared" si="4"/>
        <v>0</v>
      </c>
      <c r="S12" s="747">
        <f>Gen!T19</f>
        <v>0</v>
      </c>
      <c r="T12" s="735">
        <f t="shared" si="9"/>
        <v>44083</v>
      </c>
      <c r="U12" s="698"/>
      <c r="V12" s="703">
        <f t="shared" si="5"/>
        <v>0</v>
      </c>
      <c r="W12" s="700"/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0</v>
      </c>
      <c r="AC12" s="729">
        <f t="shared" si="11"/>
        <v>0</v>
      </c>
    </row>
    <row r="13" spans="1:29" ht="19.5" thickBot="1">
      <c r="A13" s="712">
        <f>Gen!C20</f>
        <v>0</v>
      </c>
      <c r="B13" s="719">
        <f>Gen!B20</f>
        <v>44084</v>
      </c>
      <c r="C13" s="698"/>
      <c r="D13" s="703">
        <f t="shared" si="1"/>
        <v>0</v>
      </c>
      <c r="E13" s="699"/>
      <c r="F13" s="703">
        <f t="shared" si="2"/>
        <v>0</v>
      </c>
      <c r="G13" s="698"/>
      <c r="H13" s="720">
        <f t="shared" si="6"/>
        <v>44084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0</v>
      </c>
      <c r="R13" s="746">
        <f t="shared" si="4"/>
        <v>0</v>
      </c>
      <c r="S13" s="747">
        <f>Gen!T20</f>
        <v>0</v>
      </c>
      <c r="T13" s="735">
        <f t="shared" si="9"/>
        <v>44084</v>
      </c>
      <c r="U13" s="698"/>
      <c r="V13" s="703">
        <f t="shared" si="5"/>
        <v>0</v>
      </c>
      <c r="W13" s="700"/>
      <c r="X13" s="736">
        <f t="shared" si="0"/>
        <v>0</v>
      </c>
      <c r="Y13" s="730">
        <f t="shared" si="10"/>
        <v>44084</v>
      </c>
      <c r="Z13" s="698"/>
      <c r="AA13" s="698"/>
      <c r="AB13" s="728">
        <f>'Water-Meter'!P15</f>
        <v>0</v>
      </c>
      <c r="AC13" s="729">
        <f t="shared" si="11"/>
        <v>0</v>
      </c>
    </row>
    <row r="14" spans="1:29" ht="19.5" thickBot="1">
      <c r="A14" s="712">
        <f>Gen!C21</f>
        <v>0</v>
      </c>
      <c r="B14" s="719">
        <f>Gen!B21</f>
        <v>44085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44085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-1055364.0000000002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-1563840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14" sqref="E1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0.04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0.04</v>
      </c>
      <c r="D6" s="512">
        <f t="shared" si="0"/>
        <v>3</v>
      </c>
      <c r="E6" s="75">
        <v>3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-153693</v>
      </c>
      <c r="C7" s="88">
        <f>Gen!C13</f>
        <v>0.04</v>
      </c>
      <c r="D7" s="512">
        <f t="shared" si="0"/>
        <v>3</v>
      </c>
      <c r="E7" s="75">
        <v>3</v>
      </c>
      <c r="F7" s="71">
        <f>Gen!U11</f>
        <v>2111</v>
      </c>
      <c r="G7" s="86">
        <f>Gen!T11</f>
        <v>891.43</v>
      </c>
      <c r="H7" s="86">
        <f>Gen!AK13</f>
        <v>0</v>
      </c>
      <c r="I7" s="86">
        <f t="shared" si="1"/>
        <v>891.43</v>
      </c>
      <c r="J7" s="525">
        <f>Gen!D13</f>
        <v>41808.060000000019</v>
      </c>
      <c r="K7" s="347" t="str">
        <f>'Water-Meter'!E8</f>
        <v>0</v>
      </c>
      <c r="L7" s="526">
        <f>'Lpg (2)'!G12</f>
        <v>-317240.44000000006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0</v>
      </c>
      <c r="C8" s="88">
        <f>Gen!C14</f>
        <v>0</v>
      </c>
      <c r="D8" s="512">
        <f>E8</f>
        <v>0</v>
      </c>
      <c r="E8" s="75"/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41808.060000000019</v>
      </c>
      <c r="K8" s="347">
        <f>'Water-Meter'!E9</f>
        <v>0</v>
      </c>
      <c r="L8" s="526">
        <f>'Lpg (2)'!G13</f>
        <v>0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0</v>
      </c>
      <c r="C9" s="88">
        <f>Gen!C15</f>
        <v>0</v>
      </c>
      <c r="D9" s="512">
        <f t="shared" si="0"/>
        <v>0</v>
      </c>
      <c r="E9" s="75"/>
      <c r="F9" s="71">
        <f>Gen!U13</f>
        <v>0</v>
      </c>
      <c r="G9" s="86">
        <f>Gen!T13</f>
        <v>0</v>
      </c>
      <c r="H9" s="86">
        <f>Gen!AK15</f>
        <v>0</v>
      </c>
      <c r="I9" s="86">
        <f t="shared" si="1"/>
        <v>0</v>
      </c>
      <c r="J9" s="525">
        <f>Gen!D15</f>
        <v>41808.060000000019</v>
      </c>
      <c r="K9" s="347">
        <f>'Water-Meter'!E10</f>
        <v>0</v>
      </c>
      <c r="L9" s="526">
        <f>'Lpg (2)'!G14</f>
        <v>0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0</v>
      </c>
      <c r="C10" s="88">
        <f>Gen!C16</f>
        <v>0</v>
      </c>
      <c r="D10" s="512">
        <f t="shared" si="0"/>
        <v>0</v>
      </c>
      <c r="E10" s="75"/>
      <c r="F10" s="71">
        <f>Gen!U14</f>
        <v>0</v>
      </c>
      <c r="G10" s="86">
        <f>Gen!T14</f>
        <v>0</v>
      </c>
      <c r="H10" s="86">
        <f>Gen!AK16</f>
        <v>0</v>
      </c>
      <c r="I10" s="86">
        <f t="shared" si="1"/>
        <v>0</v>
      </c>
      <c r="J10" s="525">
        <f>Gen!D16</f>
        <v>41808.060000000019</v>
      </c>
      <c r="K10" s="347">
        <f>'Water-Meter'!E11</f>
        <v>0</v>
      </c>
      <c r="L10" s="526">
        <f>'Lpg (2)'!G15</f>
        <v>0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0</v>
      </c>
      <c r="C11" s="88">
        <f>Gen!C17</f>
        <v>0</v>
      </c>
      <c r="D11" s="512">
        <f t="shared" si="0"/>
        <v>0</v>
      </c>
      <c r="E11" s="75"/>
      <c r="F11" s="71">
        <f>Gen!U15</f>
        <v>0</v>
      </c>
      <c r="G11" s="86">
        <f>Gen!T15</f>
        <v>0</v>
      </c>
      <c r="H11" s="86">
        <f>Gen!AK17</f>
        <v>0</v>
      </c>
      <c r="I11" s="86">
        <f t="shared" si="1"/>
        <v>0</v>
      </c>
      <c r="J11" s="525">
        <f>Gen!D17</f>
        <v>41808.060000000019</v>
      </c>
      <c r="K11" s="347">
        <f>'Water-Meter'!E12</f>
        <v>0</v>
      </c>
      <c r="L11" s="526">
        <f>'Lpg (2)'!G16</f>
        <v>0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0</v>
      </c>
      <c r="C12" s="88">
        <f>Gen!C18</f>
        <v>0</v>
      </c>
      <c r="D12" s="512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525">
        <f>Gen!D18</f>
        <v>41808.060000000019</v>
      </c>
      <c r="K12" s="347">
        <f>'Water-Meter'!E13</f>
        <v>0</v>
      </c>
      <c r="L12" s="526">
        <f>'Lpg (2)'!G17</f>
        <v>0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0</v>
      </c>
      <c r="C13" s="88">
        <f>Gen!C19</f>
        <v>0</v>
      </c>
      <c r="D13" s="51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525">
        <f>Gen!D19</f>
        <v>41808.060000000019</v>
      </c>
      <c r="K13" s="347">
        <f>'Water-Meter'!E14</f>
        <v>0</v>
      </c>
      <c r="L13" s="526">
        <f>'Lpg (2)'!G18</f>
        <v>0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0</v>
      </c>
      <c r="C14" s="88">
        <f>Gen!C20</f>
        <v>0</v>
      </c>
      <c r="D14" s="51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525">
        <f>Gen!D20</f>
        <v>41808.060000000019</v>
      </c>
      <c r="K14" s="347">
        <f>'Water-Meter'!E15</f>
        <v>0</v>
      </c>
      <c r="L14" s="526">
        <f>'Lpg (2)'!G19</f>
        <v>0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5">
        <f>Gen!D21</f>
        <v>41808.060000000019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41808.060000000019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41808.060000000019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41808.060000000019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41808.060000000019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41808.060000000019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41808.060000000019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41808.060000000019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41808.060000000019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41808.060000000019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41808.060000000019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41808.060000000019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41808.060000000019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41808.060000000019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41808.060000000019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41808.060000000019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41808.060000000019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41808.060000000019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41808.060000000019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41808.060000000019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41808.060000000019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41808.060000000019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B13" sqref="AB1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44075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/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/>
      <c r="C7" s="360">
        <v>21229.78</v>
      </c>
      <c r="D7" s="360">
        <v>21400.2</v>
      </c>
      <c r="E7" s="360"/>
      <c r="F7" s="360"/>
      <c r="G7" s="360"/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/>
      <c r="C8" s="360">
        <v>20407.86</v>
      </c>
      <c r="D8" s="360">
        <v>21400.2</v>
      </c>
      <c r="E8" s="360"/>
      <c r="F8" s="360"/>
      <c r="G8" s="360"/>
      <c r="H8" s="360"/>
      <c r="I8" s="360">
        <v>30931.1</v>
      </c>
      <c r="J8" s="360">
        <v>20520.900000000001</v>
      </c>
      <c r="K8" s="359">
        <f t="shared" si="0"/>
        <v>35012</v>
      </c>
      <c r="L8" s="360"/>
      <c r="M8" s="359">
        <f t="shared" si="1"/>
        <v>-35012</v>
      </c>
      <c r="N8" s="361">
        <f t="shared" si="2"/>
        <v>30127</v>
      </c>
      <c r="O8" s="360"/>
      <c r="P8" s="359">
        <f t="shared" si="3"/>
        <v>-30127</v>
      </c>
      <c r="Q8" s="359">
        <f t="shared" si="4"/>
        <v>35503</v>
      </c>
      <c r="R8" s="360"/>
      <c r="S8" s="359">
        <f t="shared" si="5"/>
        <v>-35503</v>
      </c>
      <c r="T8" s="359">
        <f t="shared" si="6"/>
        <v>32220</v>
      </c>
      <c r="U8" s="360"/>
      <c r="V8" s="359">
        <f t="shared" si="7"/>
        <v>-32220</v>
      </c>
      <c r="W8" s="361">
        <f t="shared" si="8"/>
        <v>20831</v>
      </c>
      <c r="X8" s="360"/>
      <c r="Y8" s="359">
        <f t="shared" si="9"/>
        <v>-20831</v>
      </c>
      <c r="Z8" s="362">
        <f t="shared" si="10"/>
        <v>-153693</v>
      </c>
      <c r="AA8" s="127"/>
      <c r="AB8" s="127"/>
      <c r="AC8" s="312">
        <f>Gen!T13</f>
        <v>0</v>
      </c>
    </row>
    <row r="9" spans="1:29" ht="20.100000000000001" customHeight="1">
      <c r="A9" s="308">
        <f>Gen!B14</f>
        <v>44078</v>
      </c>
      <c r="B9" s="392"/>
      <c r="C9" s="360"/>
      <c r="D9" s="360"/>
      <c r="E9" s="360"/>
      <c r="F9" s="360"/>
      <c r="G9" s="360"/>
      <c r="H9" s="360"/>
      <c r="I9" s="360"/>
      <c r="J9" s="360"/>
      <c r="K9" s="359">
        <f t="shared" si="0"/>
        <v>0</v>
      </c>
      <c r="L9" s="360"/>
      <c r="M9" s="359">
        <f t="shared" si="1"/>
        <v>0</v>
      </c>
      <c r="N9" s="361">
        <f t="shared" si="2"/>
        <v>0</v>
      </c>
      <c r="O9" s="360"/>
      <c r="P9" s="359">
        <f t="shared" si="3"/>
        <v>0</v>
      </c>
      <c r="Q9" s="359">
        <f t="shared" si="4"/>
        <v>0</v>
      </c>
      <c r="R9" s="360"/>
      <c r="S9" s="359">
        <f t="shared" si="5"/>
        <v>0</v>
      </c>
      <c r="T9" s="359">
        <f t="shared" si="6"/>
        <v>0</v>
      </c>
      <c r="U9" s="360"/>
      <c r="V9" s="359">
        <f t="shared" si="7"/>
        <v>0</v>
      </c>
      <c r="W9" s="361">
        <f t="shared" si="8"/>
        <v>0</v>
      </c>
      <c r="X9" s="360"/>
      <c r="Y9" s="359">
        <f t="shared" si="9"/>
        <v>0</v>
      </c>
      <c r="Z9" s="362">
        <f t="shared" si="10"/>
        <v>0</v>
      </c>
      <c r="AA9" s="127"/>
      <c r="AB9" s="127"/>
      <c r="AC9" s="312">
        <f>Gen!T14</f>
        <v>0</v>
      </c>
    </row>
    <row r="10" spans="1:29" ht="20.100000000000001" customHeight="1">
      <c r="A10" s="308">
        <f>Gen!B15</f>
        <v>44079</v>
      </c>
      <c r="B10" s="392"/>
      <c r="C10" s="360"/>
      <c r="D10" s="360"/>
      <c r="E10" s="360"/>
      <c r="F10" s="360"/>
      <c r="G10" s="360"/>
      <c r="H10" s="360"/>
      <c r="I10" s="360"/>
      <c r="J10" s="360"/>
      <c r="K10" s="359">
        <f t="shared" si="0"/>
        <v>0</v>
      </c>
      <c r="L10" s="360"/>
      <c r="M10" s="359">
        <f t="shared" si="1"/>
        <v>0</v>
      </c>
      <c r="N10" s="361">
        <f t="shared" si="2"/>
        <v>0</v>
      </c>
      <c r="O10" s="360"/>
      <c r="P10" s="359">
        <f t="shared" si="3"/>
        <v>0</v>
      </c>
      <c r="Q10" s="359">
        <f t="shared" si="4"/>
        <v>0</v>
      </c>
      <c r="R10" s="360"/>
      <c r="S10" s="359">
        <f t="shared" si="5"/>
        <v>0</v>
      </c>
      <c r="T10" s="359">
        <f t="shared" si="6"/>
        <v>0</v>
      </c>
      <c r="U10" s="360"/>
      <c r="V10" s="359">
        <f t="shared" si="7"/>
        <v>0</v>
      </c>
      <c r="W10" s="361">
        <f t="shared" si="8"/>
        <v>0</v>
      </c>
      <c r="X10" s="360"/>
      <c r="Y10" s="359">
        <f t="shared" si="9"/>
        <v>0</v>
      </c>
      <c r="Z10" s="362">
        <f t="shared" si="10"/>
        <v>0</v>
      </c>
      <c r="AA10" s="127"/>
      <c r="AB10" s="127"/>
      <c r="AC10" s="312">
        <f>Gen!T15</f>
        <v>0</v>
      </c>
    </row>
    <row r="11" spans="1:29" ht="20.100000000000001" customHeight="1">
      <c r="A11" s="308">
        <f>Gen!B16</f>
        <v>44080</v>
      </c>
      <c r="B11" s="392"/>
      <c r="C11" s="360"/>
      <c r="D11" s="360"/>
      <c r="E11" s="360"/>
      <c r="F11" s="360"/>
      <c r="G11" s="360"/>
      <c r="H11" s="360"/>
      <c r="I11" s="360"/>
      <c r="J11" s="360"/>
      <c r="K11" s="359">
        <f t="shared" si="0"/>
        <v>0</v>
      </c>
      <c r="L11" s="360"/>
      <c r="M11" s="359">
        <f t="shared" si="1"/>
        <v>0</v>
      </c>
      <c r="N11" s="361">
        <f t="shared" si="2"/>
        <v>0</v>
      </c>
      <c r="O11" s="360"/>
      <c r="P11" s="359">
        <f t="shared" si="3"/>
        <v>0</v>
      </c>
      <c r="Q11" s="359">
        <f t="shared" si="4"/>
        <v>0</v>
      </c>
      <c r="R11" s="360"/>
      <c r="S11" s="359">
        <f t="shared" si="5"/>
        <v>0</v>
      </c>
      <c r="T11" s="359">
        <f t="shared" si="6"/>
        <v>0</v>
      </c>
      <c r="U11" s="360"/>
      <c r="V11" s="359">
        <f t="shared" si="7"/>
        <v>0</v>
      </c>
      <c r="W11" s="361">
        <f t="shared" si="8"/>
        <v>0</v>
      </c>
      <c r="X11" s="360"/>
      <c r="Y11" s="359">
        <f t="shared" si="9"/>
        <v>0</v>
      </c>
      <c r="Z11" s="362">
        <f t="shared" si="10"/>
        <v>0</v>
      </c>
      <c r="AA11" s="127"/>
      <c r="AB11" s="127"/>
      <c r="AC11" s="312">
        <f>Gen!T16</f>
        <v>0</v>
      </c>
    </row>
    <row r="12" spans="1:29" ht="20.100000000000001" customHeight="1">
      <c r="A12" s="308">
        <f>Gen!B17</f>
        <v>44081</v>
      </c>
      <c r="B12" s="392"/>
      <c r="C12" s="360"/>
      <c r="D12" s="360"/>
      <c r="E12" s="360"/>
      <c r="F12" s="360"/>
      <c r="G12" s="360"/>
      <c r="H12" s="360"/>
      <c r="I12" s="360"/>
      <c r="J12" s="360"/>
      <c r="K12" s="359">
        <f t="shared" si="0"/>
        <v>0</v>
      </c>
      <c r="L12" s="360"/>
      <c r="M12" s="359">
        <f t="shared" si="1"/>
        <v>0</v>
      </c>
      <c r="N12" s="361">
        <f t="shared" si="2"/>
        <v>0</v>
      </c>
      <c r="O12" s="360"/>
      <c r="P12" s="359">
        <f t="shared" si="3"/>
        <v>0</v>
      </c>
      <c r="Q12" s="359">
        <f t="shared" si="4"/>
        <v>0</v>
      </c>
      <c r="R12" s="360"/>
      <c r="S12" s="359">
        <f t="shared" si="5"/>
        <v>0</v>
      </c>
      <c r="T12" s="359">
        <f t="shared" si="6"/>
        <v>0</v>
      </c>
      <c r="U12" s="360"/>
      <c r="V12" s="359">
        <f t="shared" si="7"/>
        <v>0</v>
      </c>
      <c r="W12" s="361">
        <f t="shared" si="8"/>
        <v>0</v>
      </c>
      <c r="X12" s="360"/>
      <c r="Y12" s="359">
        <f t="shared" si="9"/>
        <v>0</v>
      </c>
      <c r="Z12" s="362">
        <f t="shared" si="10"/>
        <v>0</v>
      </c>
      <c r="AA12" s="127"/>
      <c r="AB12" s="127"/>
      <c r="AC12" s="312">
        <f>Gen!T17</f>
        <v>0</v>
      </c>
    </row>
    <row r="13" spans="1:29" ht="20.100000000000001" customHeight="1">
      <c r="A13" s="308">
        <f>Gen!B18</f>
        <v>44082</v>
      </c>
      <c r="B13" s="392"/>
      <c r="C13" s="360"/>
      <c r="D13" s="360"/>
      <c r="E13" s="360"/>
      <c r="F13" s="360"/>
      <c r="G13" s="360"/>
      <c r="H13" s="360"/>
      <c r="I13" s="360"/>
      <c r="J13" s="360"/>
      <c r="K13" s="359">
        <f t="shared" si="0"/>
        <v>0</v>
      </c>
      <c r="L13" s="360"/>
      <c r="M13" s="359">
        <f t="shared" si="1"/>
        <v>0</v>
      </c>
      <c r="N13" s="361">
        <f t="shared" si="2"/>
        <v>0</v>
      </c>
      <c r="O13" s="360"/>
      <c r="P13" s="359">
        <f t="shared" si="3"/>
        <v>0</v>
      </c>
      <c r="Q13" s="359">
        <f t="shared" si="4"/>
        <v>0</v>
      </c>
      <c r="R13" s="360"/>
      <c r="S13" s="359">
        <f t="shared" si="5"/>
        <v>0</v>
      </c>
      <c r="T13" s="359">
        <f t="shared" si="6"/>
        <v>0</v>
      </c>
      <c r="U13" s="360"/>
      <c r="V13" s="359">
        <f t="shared" si="7"/>
        <v>0</v>
      </c>
      <c r="W13" s="361">
        <f t="shared" si="8"/>
        <v>0</v>
      </c>
      <c r="X13" s="360"/>
      <c r="Y13" s="359">
        <f t="shared" si="9"/>
        <v>0</v>
      </c>
      <c r="Z13" s="362">
        <f t="shared" si="10"/>
        <v>0</v>
      </c>
      <c r="AA13" s="127"/>
      <c r="AB13" s="127"/>
      <c r="AC13" s="312">
        <f>Gen!T18</f>
        <v>0</v>
      </c>
    </row>
    <row r="14" spans="1:29" ht="20.100000000000001" customHeight="1">
      <c r="A14" s="308">
        <f>Gen!B19</f>
        <v>44083</v>
      </c>
      <c r="B14" s="392"/>
      <c r="C14" s="360"/>
      <c r="D14" s="360"/>
      <c r="E14" s="360"/>
      <c r="F14" s="360"/>
      <c r="G14" s="360"/>
      <c r="H14" s="360"/>
      <c r="I14" s="360"/>
      <c r="J14" s="360"/>
      <c r="K14" s="359">
        <f t="shared" si="0"/>
        <v>0</v>
      </c>
      <c r="L14" s="360"/>
      <c r="M14" s="359">
        <f t="shared" si="1"/>
        <v>0</v>
      </c>
      <c r="N14" s="361">
        <f t="shared" si="2"/>
        <v>0</v>
      </c>
      <c r="O14" s="360"/>
      <c r="P14" s="359">
        <f t="shared" si="3"/>
        <v>0</v>
      </c>
      <c r="Q14" s="359">
        <f t="shared" si="4"/>
        <v>0</v>
      </c>
      <c r="R14" s="360"/>
      <c r="S14" s="359">
        <f t="shared" si="5"/>
        <v>0</v>
      </c>
      <c r="T14" s="359">
        <f t="shared" si="6"/>
        <v>0</v>
      </c>
      <c r="U14" s="360"/>
      <c r="V14" s="359">
        <f t="shared" si="7"/>
        <v>0</v>
      </c>
      <c r="W14" s="361">
        <f t="shared" si="8"/>
        <v>0</v>
      </c>
      <c r="X14" s="360"/>
      <c r="Y14" s="359">
        <f t="shared" si="9"/>
        <v>0</v>
      </c>
      <c r="Z14" s="362">
        <f t="shared" si="10"/>
        <v>0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44084</v>
      </c>
      <c r="B15" s="392"/>
      <c r="C15" s="360"/>
      <c r="D15" s="360"/>
      <c r="E15" s="360"/>
      <c r="F15" s="360"/>
      <c r="G15" s="360"/>
      <c r="H15" s="360"/>
      <c r="I15" s="360"/>
      <c r="J15" s="360"/>
      <c r="K15" s="359">
        <f t="shared" si="0"/>
        <v>0</v>
      </c>
      <c r="L15" s="360"/>
      <c r="M15" s="359">
        <f t="shared" si="1"/>
        <v>0</v>
      </c>
      <c r="N15" s="361">
        <f t="shared" si="2"/>
        <v>0</v>
      </c>
      <c r="O15" s="360"/>
      <c r="P15" s="359">
        <f t="shared" si="3"/>
        <v>0</v>
      </c>
      <c r="Q15" s="359">
        <f t="shared" si="4"/>
        <v>0</v>
      </c>
      <c r="R15" s="360"/>
      <c r="S15" s="359">
        <f t="shared" si="5"/>
        <v>0</v>
      </c>
      <c r="T15" s="359">
        <f t="shared" si="6"/>
        <v>0</v>
      </c>
      <c r="U15" s="360"/>
      <c r="V15" s="359">
        <f t="shared" si="7"/>
        <v>0</v>
      </c>
      <c r="W15" s="361">
        <f t="shared" si="8"/>
        <v>0</v>
      </c>
      <c r="X15" s="360"/>
      <c r="Y15" s="359">
        <f t="shared" si="9"/>
        <v>0</v>
      </c>
      <c r="Z15" s="362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44085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>L16-K16</f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C17" sqref="C17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44075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0.04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0.04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821.92000000000007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0.04</v>
      </c>
      <c r="D13" s="691">
        <f t="shared" si="6"/>
        <v>41808.060000000019</v>
      </c>
      <c r="E13" s="269"/>
      <c r="F13" s="690"/>
      <c r="G13" s="685"/>
      <c r="H13" s="665"/>
      <c r="I13" s="250"/>
      <c r="J13" s="270"/>
      <c r="K13" s="250"/>
      <c r="L13" s="250"/>
      <c r="M13" s="351"/>
      <c r="N13" s="350"/>
      <c r="O13" s="252"/>
      <c r="P13" s="252"/>
      <c r="Q13" s="252"/>
      <c r="R13" s="252"/>
      <c r="S13" s="670"/>
      <c r="T13" s="678">
        <f t="shared" si="0"/>
        <v>0</v>
      </c>
      <c r="U13" s="264">
        <f t="shared" si="1"/>
        <v>0</v>
      </c>
      <c r="V13" s="679" t="e">
        <f t="shared" si="4"/>
        <v>#DIV/0!</v>
      </c>
      <c r="W13" s="257"/>
      <c r="X13" s="265"/>
      <c r="Y13" s="584"/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0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0</v>
      </c>
      <c r="AT13" s="267">
        <f t="shared" si="7"/>
        <v>0</v>
      </c>
      <c r="AU13" s="334">
        <f t="shared" si="5"/>
        <v>41808.060000000019</v>
      </c>
    </row>
    <row r="14" spans="2:47" ht="13.5" customHeight="1">
      <c r="B14" s="695">
        <v>44078</v>
      </c>
      <c r="C14" s="683"/>
      <c r="D14" s="691">
        <f t="shared" si="6"/>
        <v>41808.060000000019</v>
      </c>
      <c r="E14" s="269"/>
      <c r="F14" s="690"/>
      <c r="G14" s="685"/>
      <c r="H14" s="665"/>
      <c r="I14" s="250"/>
      <c r="J14" s="270"/>
      <c r="K14" s="250"/>
      <c r="L14" s="250"/>
      <c r="M14" s="351"/>
      <c r="N14" s="350"/>
      <c r="O14" s="252"/>
      <c r="P14" s="252"/>
      <c r="Q14" s="252"/>
      <c r="R14" s="252"/>
      <c r="S14" s="670"/>
      <c r="T14" s="678">
        <f t="shared" si="0"/>
        <v>0</v>
      </c>
      <c r="U14" s="264">
        <f t="shared" si="1"/>
        <v>0</v>
      </c>
      <c r="V14" s="679" t="e">
        <f t="shared" si="4"/>
        <v>#DIV/0!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0</v>
      </c>
      <c r="AT14" s="267">
        <f t="shared" si="7"/>
        <v>0</v>
      </c>
      <c r="AU14" s="334">
        <f t="shared" si="5"/>
        <v>41808.060000000019</v>
      </c>
    </row>
    <row r="15" spans="2:47" ht="13.5" customHeight="1">
      <c r="B15" s="695">
        <v>44079</v>
      </c>
      <c r="C15" s="683"/>
      <c r="D15" s="691">
        <f t="shared" si="6"/>
        <v>41808.060000000019</v>
      </c>
      <c r="E15" s="269"/>
      <c r="F15" s="690"/>
      <c r="G15" s="685"/>
      <c r="H15" s="665"/>
      <c r="I15" s="250"/>
      <c r="J15" s="270"/>
      <c r="K15" s="250"/>
      <c r="L15" s="250"/>
      <c r="M15" s="351"/>
      <c r="N15" s="350"/>
      <c r="O15" s="252"/>
      <c r="P15" s="252"/>
      <c r="Q15" s="252"/>
      <c r="R15" s="252"/>
      <c r="S15" s="670"/>
      <c r="T15" s="678">
        <f t="shared" si="0"/>
        <v>0</v>
      </c>
      <c r="U15" s="264">
        <f t="shared" si="1"/>
        <v>0</v>
      </c>
      <c r="V15" s="679" t="e">
        <f t="shared" si="4"/>
        <v>#DIV/0!</v>
      </c>
      <c r="W15" s="257"/>
      <c r="X15" s="265"/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0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0</v>
      </c>
      <c r="AT15" s="267">
        <f t="shared" si="7"/>
        <v>0</v>
      </c>
      <c r="AU15" s="334">
        <f t="shared" si="5"/>
        <v>41808.060000000019</v>
      </c>
    </row>
    <row r="16" spans="2:47" ht="13.5" customHeight="1">
      <c r="B16" s="695">
        <v>44080</v>
      </c>
      <c r="C16" s="683"/>
      <c r="D16" s="691">
        <f t="shared" si="6"/>
        <v>41808.060000000019</v>
      </c>
      <c r="E16" s="269"/>
      <c r="F16" s="690"/>
      <c r="G16" s="685"/>
      <c r="H16" s="665"/>
      <c r="I16" s="250"/>
      <c r="J16" s="270"/>
      <c r="K16" s="250"/>
      <c r="L16" s="250"/>
      <c r="M16" s="351"/>
      <c r="N16" s="350"/>
      <c r="O16" s="252"/>
      <c r="P16" s="252"/>
      <c r="Q16" s="252"/>
      <c r="R16" s="252"/>
      <c r="S16" s="670"/>
      <c r="T16" s="678">
        <f t="shared" si="0"/>
        <v>0</v>
      </c>
      <c r="U16" s="264">
        <f t="shared" si="1"/>
        <v>0</v>
      </c>
      <c r="V16" s="679" t="e">
        <f t="shared" si="4"/>
        <v>#DIV/0!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0</v>
      </c>
      <c r="AT16" s="267">
        <f t="shared" si="7"/>
        <v>0</v>
      </c>
      <c r="AU16" s="334">
        <f t="shared" si="5"/>
        <v>41808.060000000019</v>
      </c>
    </row>
    <row r="17" spans="2:47" ht="13.5" customHeight="1">
      <c r="B17" s="695">
        <v>44081</v>
      </c>
      <c r="C17" s="683"/>
      <c r="D17" s="691">
        <f t="shared" si="6"/>
        <v>41808.060000000019</v>
      </c>
      <c r="E17" s="269"/>
      <c r="F17" s="690"/>
      <c r="G17" s="685"/>
      <c r="H17" s="665"/>
      <c r="I17" s="250"/>
      <c r="J17" s="270"/>
      <c r="K17" s="250"/>
      <c r="L17" s="250"/>
      <c r="M17" s="351"/>
      <c r="N17" s="350"/>
      <c r="O17" s="252"/>
      <c r="P17" s="252"/>
      <c r="Q17" s="252"/>
      <c r="R17" s="252"/>
      <c r="S17" s="670"/>
      <c r="T17" s="678">
        <f t="shared" si="0"/>
        <v>0</v>
      </c>
      <c r="U17" s="264">
        <f t="shared" si="1"/>
        <v>0</v>
      </c>
      <c r="V17" s="679" t="e">
        <f t="shared" si="4"/>
        <v>#DIV/0!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0</v>
      </c>
      <c r="AT17" s="267">
        <f t="shared" si="7"/>
        <v>0</v>
      </c>
      <c r="AU17" s="334">
        <f t="shared" si="5"/>
        <v>41808.060000000019</v>
      </c>
    </row>
    <row r="18" spans="2:47" ht="13.5" customHeight="1">
      <c r="B18" s="695">
        <v>44082</v>
      </c>
      <c r="C18" s="683"/>
      <c r="D18" s="691">
        <f t="shared" si="6"/>
        <v>41808.060000000019</v>
      </c>
      <c r="E18" s="269"/>
      <c r="F18" s="690"/>
      <c r="G18" s="685"/>
      <c r="H18" s="665"/>
      <c r="I18" s="250"/>
      <c r="J18" s="270"/>
      <c r="K18" s="250"/>
      <c r="L18" s="250"/>
      <c r="M18" s="351"/>
      <c r="N18" s="350"/>
      <c r="O18" s="252"/>
      <c r="P18" s="252"/>
      <c r="Q18" s="252"/>
      <c r="R18" s="252"/>
      <c r="S18" s="670"/>
      <c r="T18" s="678">
        <f t="shared" si="0"/>
        <v>0</v>
      </c>
      <c r="U18" s="264">
        <f t="shared" si="1"/>
        <v>0</v>
      </c>
      <c r="V18" s="679" t="e">
        <f t="shared" si="4"/>
        <v>#DIV/0!</v>
      </c>
      <c r="W18" s="257"/>
      <c r="X18" s="265"/>
      <c r="Y18" s="241"/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0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0</v>
      </c>
      <c r="AT18" s="267">
        <f t="shared" si="7"/>
        <v>0</v>
      </c>
      <c r="AU18" s="334">
        <f t="shared" si="5"/>
        <v>41808.060000000019</v>
      </c>
    </row>
    <row r="19" spans="2:47" ht="13.5" customHeight="1">
      <c r="B19" s="695">
        <v>44083</v>
      </c>
      <c r="C19" s="683"/>
      <c r="D19" s="691">
        <f t="shared" si="6"/>
        <v>41808.060000000019</v>
      </c>
      <c r="E19" s="269"/>
      <c r="F19" s="690"/>
      <c r="G19" s="685"/>
      <c r="H19" s="665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70"/>
      <c r="T19" s="678">
        <f t="shared" si="0"/>
        <v>0</v>
      </c>
      <c r="U19" s="264">
        <f t="shared" si="1"/>
        <v>0</v>
      </c>
      <c r="V19" s="679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41808.060000000019</v>
      </c>
    </row>
    <row r="20" spans="2:47" ht="14.25">
      <c r="B20" s="695">
        <v>44084</v>
      </c>
      <c r="C20" s="683"/>
      <c r="D20" s="691">
        <f t="shared" si="6"/>
        <v>41808.060000000019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41808.060000000019</v>
      </c>
    </row>
    <row r="21" spans="2:47" ht="14.25">
      <c r="B21" s="695">
        <v>44085</v>
      </c>
      <c r="C21" s="683"/>
      <c r="D21" s="691">
        <f t="shared" si="6"/>
        <v>41808.060000000019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41808.060000000019</v>
      </c>
    </row>
    <row r="22" spans="2:47" ht="14.25">
      <c r="B22" s="695">
        <v>44086</v>
      </c>
      <c r="C22" s="683"/>
      <c r="D22" s="691">
        <f t="shared" si="6"/>
        <v>41808.060000000019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41808.060000000019</v>
      </c>
    </row>
    <row r="23" spans="2:47" ht="14.25">
      <c r="B23" s="695">
        <v>44087</v>
      </c>
      <c r="C23" s="683"/>
      <c r="D23" s="691">
        <f t="shared" si="6"/>
        <v>41808.060000000019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41808.060000000019</v>
      </c>
    </row>
    <row r="24" spans="2:47" ht="14.25">
      <c r="B24" s="695">
        <v>44088</v>
      </c>
      <c r="C24" s="683"/>
      <c r="D24" s="691">
        <f t="shared" si="6"/>
        <v>41808.060000000019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41808.060000000019</v>
      </c>
    </row>
    <row r="25" spans="2:47" ht="14.25">
      <c r="B25" s="695">
        <v>44089</v>
      </c>
      <c r="C25" s="683"/>
      <c r="D25" s="691">
        <f t="shared" si="6"/>
        <v>41808.060000000019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41808.060000000019</v>
      </c>
    </row>
    <row r="26" spans="2:47" ht="14.25">
      <c r="B26" s="695">
        <v>44090</v>
      </c>
      <c r="C26" s="683"/>
      <c r="D26" s="691">
        <f t="shared" si="6"/>
        <v>41808.060000000019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41808.060000000019</v>
      </c>
    </row>
    <row r="27" spans="2:47" ht="14.25">
      <c r="B27" s="695">
        <v>44091</v>
      </c>
      <c r="C27" s="683"/>
      <c r="D27" s="691">
        <f t="shared" si="6"/>
        <v>41808.060000000019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41808.060000000019</v>
      </c>
    </row>
    <row r="28" spans="2:47" ht="14.25">
      <c r="B28" s="695">
        <v>44092</v>
      </c>
      <c r="C28" s="683"/>
      <c r="D28" s="691">
        <f t="shared" si="6"/>
        <v>41808.060000000019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41808.060000000019</v>
      </c>
    </row>
    <row r="29" spans="2:47" ht="14.25">
      <c r="B29" s="695">
        <v>44093</v>
      </c>
      <c r="C29" s="683"/>
      <c r="D29" s="691">
        <f t="shared" si="6"/>
        <v>41808.060000000019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41808.060000000019</v>
      </c>
    </row>
    <row r="30" spans="2:47" ht="14.25">
      <c r="B30" s="695">
        <v>44094</v>
      </c>
      <c r="C30" s="683"/>
      <c r="D30" s="691">
        <f t="shared" si="6"/>
        <v>41808.060000000019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41808.060000000019</v>
      </c>
    </row>
    <row r="31" spans="2:47" ht="14.25">
      <c r="B31" s="695">
        <v>44095</v>
      </c>
      <c r="C31" s="683"/>
      <c r="D31" s="691">
        <f t="shared" si="6"/>
        <v>41808.060000000019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41808.060000000019</v>
      </c>
    </row>
    <row r="32" spans="2:47" ht="14.25">
      <c r="B32" s="695">
        <v>44096</v>
      </c>
      <c r="C32" s="683"/>
      <c r="D32" s="691">
        <f t="shared" si="6"/>
        <v>41808.060000000019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41808.060000000019</v>
      </c>
    </row>
    <row r="33" spans="2:47" ht="14.25">
      <c r="B33" s="695">
        <v>44097</v>
      </c>
      <c r="C33" s="683"/>
      <c r="D33" s="691">
        <f t="shared" si="6"/>
        <v>41808.060000000019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41808.060000000019</v>
      </c>
    </row>
    <row r="34" spans="2:47" ht="14.25">
      <c r="B34" s="695">
        <v>44098</v>
      </c>
      <c r="C34" s="683"/>
      <c r="D34" s="691">
        <f t="shared" si="6"/>
        <v>41808.060000000019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41808.060000000019</v>
      </c>
    </row>
    <row r="35" spans="2:47" ht="14.25">
      <c r="B35" s="695">
        <v>44099</v>
      </c>
      <c r="C35" s="683"/>
      <c r="D35" s="691">
        <f t="shared" si="6"/>
        <v>41808.060000000019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41808.060000000019</v>
      </c>
    </row>
    <row r="36" spans="2:47" ht="14.25">
      <c r="B36" s="695">
        <v>44100</v>
      </c>
      <c r="C36" s="683"/>
      <c r="D36" s="691">
        <f t="shared" si="6"/>
        <v>41808.060000000019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41808.060000000019</v>
      </c>
    </row>
    <row r="37" spans="2:47" ht="14.25">
      <c r="B37" s="695">
        <v>44101</v>
      </c>
      <c r="C37" s="683"/>
      <c r="D37" s="691">
        <f t="shared" si="6"/>
        <v>41808.060000000019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41808.060000000019</v>
      </c>
    </row>
    <row r="38" spans="2:47" ht="14.25">
      <c r="B38" s="695">
        <v>44102</v>
      </c>
      <c r="C38" s="683"/>
      <c r="D38" s="691">
        <f t="shared" si="6"/>
        <v>41808.060000000019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41808.060000000019</v>
      </c>
    </row>
    <row r="39" spans="2:47" ht="14.25">
      <c r="B39" s="695">
        <v>44103</v>
      </c>
      <c r="C39" s="683"/>
      <c r="D39" s="691">
        <f t="shared" si="6"/>
        <v>41808.060000000019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41808.060000000019</v>
      </c>
    </row>
    <row r="40" spans="2:47" ht="14.25">
      <c r="B40" s="695">
        <v>44104</v>
      </c>
      <c r="C40" s="683"/>
      <c r="D40" s="691">
        <f t="shared" si="6"/>
        <v>41808.060000000019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41808.060000000019</v>
      </c>
    </row>
    <row r="41" spans="2:47" ht="14.25">
      <c r="B41" s="695"/>
      <c r="C41" s="683"/>
      <c r="D41" s="691">
        <f t="shared" si="6"/>
        <v>41808.060000000019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41808.060000000019</v>
      </c>
    </row>
    <row r="42" spans="2:47" ht="14.25">
      <c r="B42" s="695"/>
      <c r="C42" s="684"/>
      <c r="D42" s="691">
        <f t="shared" si="6"/>
        <v>41808.060000000019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41808.060000000019</v>
      </c>
    </row>
    <row r="43" spans="2:47" ht="14.25">
      <c r="B43" s="591" t="s">
        <v>25</v>
      </c>
      <c r="C43" s="554">
        <f>AVERAGE(C11:C42)</f>
        <v>0.04</v>
      </c>
      <c r="D43" s="689">
        <f t="shared" si="6"/>
        <v>41808.060000000019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41808.060000000019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0</v>
      </c>
      <c r="I45" s="363">
        <f t="shared" si="8"/>
        <v>409.57</v>
      </c>
      <c r="J45" s="368">
        <f t="shared" si="8"/>
        <v>355.12</v>
      </c>
      <c r="K45" s="363">
        <f t="shared" si="8"/>
        <v>412.35</v>
      </c>
      <c r="L45" s="368">
        <f t="shared" si="8"/>
        <v>536.30999999999995</v>
      </c>
      <c r="M45" s="363">
        <f t="shared" si="8"/>
        <v>0</v>
      </c>
      <c r="N45" s="368">
        <f t="shared" si="8"/>
        <v>1002</v>
      </c>
      <c r="O45" s="658">
        <f t="shared" si="8"/>
        <v>1041</v>
      </c>
      <c r="P45" s="368">
        <f t="shared" si="8"/>
        <v>0</v>
      </c>
      <c r="Q45" s="363">
        <f>SUM(Q11:Q43)</f>
        <v>1106</v>
      </c>
      <c r="R45" s="368">
        <f>SUM(R11:R44)</f>
        <v>1109</v>
      </c>
      <c r="S45" s="363">
        <f>SUM(S11:S44)</f>
        <v>0</v>
      </c>
      <c r="T45" s="655">
        <f t="shared" si="0"/>
        <v>1713.35</v>
      </c>
      <c r="U45" s="363">
        <f>SUM(N45:S45)</f>
        <v>4258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0</v>
      </c>
      <c r="Y45" s="650">
        <f t="shared" si="9"/>
        <v>0</v>
      </c>
      <c r="Z45" s="281">
        <f t="shared" si="9"/>
        <v>0</v>
      </c>
      <c r="AA45" s="650">
        <f t="shared" si="9"/>
        <v>69.209999999999994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0</v>
      </c>
      <c r="AJ45" s="281">
        <f>SUM(AJ9:AJ39)</f>
        <v>0</v>
      </c>
      <c r="AK45" s="650">
        <f>SUM(AK9:AK44)</f>
        <v>69.209999999999994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1782.56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107.08437499999999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3966405.25</v>
      </c>
      <c r="V47" s="373" t="s">
        <v>244</v>
      </c>
      <c r="AS47" s="618">
        <f>AS45*2143</f>
        <v>3820026.08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1732.811380515509</v>
      </c>
      <c r="V48" s="373" t="s">
        <v>245</v>
      </c>
      <c r="X48" s="234"/>
      <c r="Y48" s="234"/>
      <c r="Z48" s="234"/>
      <c r="AA48" s="234"/>
      <c r="AB48" s="234"/>
      <c r="AS48" s="372">
        <f>AS47/2289</f>
        <v>1668.8624202708606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8" sqref="F1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0.04</v>
      </c>
      <c r="I10" s="6">
        <f>SUM(F10/H10)</f>
        <v>1802070.5000000002</v>
      </c>
      <c r="J10" s="118">
        <f t="shared" ref="J10:J40" si="1">SUM(G10/I10)</f>
        <v>4.3827364134783421E-5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0.04</v>
      </c>
      <c r="I11" s="6">
        <f t="shared" ref="I11:I28" si="2">SUM(F11/H11)</f>
        <v>1802502.5</v>
      </c>
      <c r="J11" s="118">
        <f t="shared" si="1"/>
        <v>4.218135619783877E-5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/>
      <c r="G12" s="318">
        <f t="shared" si="0"/>
        <v>-317240.44000000006</v>
      </c>
      <c r="H12" s="113">
        <f>Gen!C13</f>
        <v>0.04</v>
      </c>
      <c r="I12" s="6">
        <f t="shared" si="2"/>
        <v>0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44078</v>
      </c>
      <c r="B13" s="318"/>
      <c r="C13" s="318"/>
      <c r="D13" s="318"/>
      <c r="E13" s="318"/>
      <c r="F13" s="318"/>
      <c r="G13" s="318">
        <f t="shared" si="0"/>
        <v>0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44079</v>
      </c>
      <c r="B14" s="318"/>
      <c r="C14" s="318"/>
      <c r="D14" s="318"/>
      <c r="E14" s="318"/>
      <c r="F14" s="318"/>
      <c r="G14" s="318">
        <f t="shared" si="0"/>
        <v>0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44080</v>
      </c>
      <c r="B15" s="318"/>
      <c r="C15" s="318"/>
      <c r="D15" s="318"/>
      <c r="E15" s="318"/>
      <c r="F15" s="318"/>
      <c r="G15" s="318">
        <f t="shared" si="0"/>
        <v>0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44081</v>
      </c>
      <c r="B16" s="318"/>
      <c r="C16" s="318"/>
      <c r="D16" s="318"/>
      <c r="E16" s="318"/>
      <c r="F16" s="318"/>
      <c r="G16" s="318">
        <f t="shared" si="0"/>
        <v>0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44082</v>
      </c>
      <c r="B17" s="318"/>
      <c r="C17" s="318"/>
      <c r="D17" s="318"/>
      <c r="E17" s="318"/>
      <c r="F17" s="318"/>
      <c r="G17" s="318">
        <f t="shared" si="0"/>
        <v>0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44083</v>
      </c>
      <c r="B18" s="318"/>
      <c r="C18" s="318"/>
      <c r="D18" s="318"/>
      <c r="E18" s="318"/>
      <c r="F18" s="318"/>
      <c r="G18" s="318">
        <f t="shared" si="0"/>
        <v>0</v>
      </c>
      <c r="H18" s="113">
        <f>Gen!C19</f>
        <v>0</v>
      </c>
      <c r="I18" s="6" t="e">
        <f t="shared" si="2"/>
        <v>#DIV/0!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44084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44085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144182.92000000001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S1" activePane="topRight" state="frozen"/>
      <selection pane="topRight" activeCell="AI9" sqref="AI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1" t="s">
        <v>318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</row>
    <row r="2" spans="1:40" ht="13.5" customHeight="1" thickTop="1">
      <c r="A2" s="30"/>
      <c r="B2" s="30"/>
      <c r="C2" s="850" t="s">
        <v>52</v>
      </c>
      <c r="D2" s="850"/>
      <c r="E2" s="850"/>
      <c r="F2" s="850" t="s">
        <v>17</v>
      </c>
      <c r="G2" s="850"/>
      <c r="H2" s="850"/>
      <c r="I2" s="850" t="s">
        <v>131</v>
      </c>
      <c r="J2" s="850"/>
      <c r="K2" s="850"/>
      <c r="L2" s="850" t="s">
        <v>134</v>
      </c>
      <c r="M2" s="850"/>
      <c r="N2" s="850"/>
      <c r="O2" s="850" t="s">
        <v>132</v>
      </c>
      <c r="P2" s="850"/>
      <c r="Q2" s="850"/>
      <c r="R2" s="299"/>
      <c r="S2" s="859" t="s">
        <v>181</v>
      </c>
      <c r="T2" s="860"/>
      <c r="U2" s="861"/>
      <c r="V2" s="859" t="s">
        <v>182</v>
      </c>
      <c r="W2" s="860"/>
      <c r="X2" s="861"/>
      <c r="Y2" s="859" t="s">
        <v>183</v>
      </c>
      <c r="Z2" s="860"/>
      <c r="AA2" s="861"/>
      <c r="AB2" s="859" t="s">
        <v>184</v>
      </c>
      <c r="AC2" s="860"/>
      <c r="AD2" s="861"/>
      <c r="AE2" s="853" t="s">
        <v>239</v>
      </c>
      <c r="AF2" s="854"/>
      <c r="AG2" s="865"/>
      <c r="AH2" s="853" t="s">
        <v>243</v>
      </c>
      <c r="AI2" s="854"/>
      <c r="AJ2" s="865"/>
      <c r="AK2" s="853" t="s">
        <v>240</v>
      </c>
      <c r="AL2" s="854"/>
      <c r="AM2" s="854"/>
      <c r="AN2" s="857" t="s">
        <v>189</v>
      </c>
    </row>
    <row r="3" spans="1:40" ht="21.75" customHeight="1" thickBot="1">
      <c r="A3" s="848" t="s">
        <v>7</v>
      </c>
      <c r="B3" s="30"/>
      <c r="C3" s="850" t="s">
        <v>133</v>
      </c>
      <c r="D3" s="850" t="s">
        <v>15</v>
      </c>
      <c r="E3" s="850" t="s">
        <v>16</v>
      </c>
      <c r="F3" s="850" t="s">
        <v>133</v>
      </c>
      <c r="G3" s="850" t="s">
        <v>15</v>
      </c>
      <c r="H3" s="850" t="s">
        <v>16</v>
      </c>
      <c r="I3" s="850" t="s">
        <v>133</v>
      </c>
      <c r="J3" s="850" t="s">
        <v>15</v>
      </c>
      <c r="K3" s="850" t="s">
        <v>16</v>
      </c>
      <c r="L3" s="850" t="s">
        <v>133</v>
      </c>
      <c r="M3" s="850" t="s">
        <v>15</v>
      </c>
      <c r="N3" s="850" t="s">
        <v>16</v>
      </c>
      <c r="O3" s="850" t="s">
        <v>133</v>
      </c>
      <c r="P3" s="850" t="s">
        <v>15</v>
      </c>
      <c r="Q3" s="850" t="s">
        <v>16</v>
      </c>
      <c r="R3" s="867" t="s">
        <v>185</v>
      </c>
      <c r="S3" s="862"/>
      <c r="T3" s="863"/>
      <c r="U3" s="864"/>
      <c r="V3" s="862"/>
      <c r="W3" s="863"/>
      <c r="X3" s="864"/>
      <c r="Y3" s="862"/>
      <c r="Z3" s="863"/>
      <c r="AA3" s="864"/>
      <c r="AB3" s="862"/>
      <c r="AC3" s="863"/>
      <c r="AD3" s="864"/>
      <c r="AE3" s="855"/>
      <c r="AF3" s="856"/>
      <c r="AG3" s="866"/>
      <c r="AH3" s="855"/>
      <c r="AI3" s="856"/>
      <c r="AJ3" s="866"/>
      <c r="AK3" s="855"/>
      <c r="AL3" s="856"/>
      <c r="AM3" s="856"/>
      <c r="AN3" s="858"/>
    </row>
    <row r="4" spans="1:40" ht="15.75" thickTop="1">
      <c r="A4" s="849"/>
      <c r="B4" s="291"/>
      <c r="C4" s="850"/>
      <c r="D4" s="850"/>
      <c r="E4" s="850"/>
      <c r="F4" s="850"/>
      <c r="G4" s="850"/>
      <c r="H4" s="850"/>
      <c r="I4" s="850"/>
      <c r="J4" s="850"/>
      <c r="K4" s="850"/>
      <c r="L4" s="850"/>
      <c r="M4" s="850"/>
      <c r="N4" s="850"/>
      <c r="O4" s="850"/>
      <c r="P4" s="850"/>
      <c r="Q4" s="850"/>
      <c r="R4" s="86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12710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12710</v>
      </c>
      <c r="M6" s="1">
        <v>12710</v>
      </c>
      <c r="N6" s="559">
        <f t="shared" ref="N6:N24" si="8">IF((M6-M5)&lt;0,"0",(M6-M5))</f>
        <v>0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AC6-AB6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12710</v>
      </c>
      <c r="M7" s="1">
        <v>12710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AC7-AB7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/>
      <c r="E8" s="59" t="str">
        <f t="shared" si="3"/>
        <v>0</v>
      </c>
      <c r="F8" s="97">
        <f t="shared" si="4"/>
        <v>38000</v>
      </c>
      <c r="G8" s="452"/>
      <c r="H8" s="559" t="str">
        <f t="shared" si="5"/>
        <v>0</v>
      </c>
      <c r="I8" s="97">
        <f t="shared" si="6"/>
        <v>8024</v>
      </c>
      <c r="J8" s="1"/>
      <c r="K8" s="559">
        <f>J8-J7</f>
        <v>-8024</v>
      </c>
      <c r="L8" s="97">
        <f t="shared" si="7"/>
        <v>12710</v>
      </c>
      <c r="M8" s="1"/>
      <c r="N8" s="559" t="str">
        <f t="shared" si="8"/>
        <v>0</v>
      </c>
      <c r="O8" s="97">
        <f t="shared" si="9"/>
        <v>20257</v>
      </c>
      <c r="P8" s="448"/>
      <c r="Q8" s="559" t="str">
        <f t="shared" si="1"/>
        <v>0</v>
      </c>
      <c r="R8" s="297"/>
      <c r="S8" s="292">
        <f t="shared" si="10"/>
        <v>58349</v>
      </c>
      <c r="T8" s="449"/>
      <c r="U8" s="560" t="str">
        <f t="shared" si="11"/>
        <v>0</v>
      </c>
      <c r="V8" s="292">
        <f t="shared" si="12"/>
        <v>73030</v>
      </c>
      <c r="W8" s="449"/>
      <c r="X8" s="560" t="str">
        <f t="shared" si="13"/>
        <v>0</v>
      </c>
      <c r="Y8" s="292">
        <f t="shared" si="14"/>
        <v>83091</v>
      </c>
      <c r="Z8" s="449"/>
      <c r="AA8" s="560" t="str">
        <f t="shared" si="15"/>
        <v>0</v>
      </c>
      <c r="AB8" s="758">
        <f t="shared" si="21"/>
        <v>15155</v>
      </c>
      <c r="AC8" s="759"/>
      <c r="AD8" s="761">
        <f t="shared" si="22"/>
        <v>-15155</v>
      </c>
      <c r="AE8" s="292">
        <f t="shared" si="16"/>
        <v>18300</v>
      </c>
      <c r="AF8" s="450"/>
      <c r="AG8" s="560" t="str">
        <f t="shared" si="17"/>
        <v>0</v>
      </c>
      <c r="AH8" s="292">
        <f t="shared" si="18"/>
        <v>25367</v>
      </c>
      <c r="AI8" s="450"/>
      <c r="AJ8" s="560" t="str">
        <f t="shared" si="19"/>
        <v>0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-15155</v>
      </c>
    </row>
    <row r="9" spans="1:40" ht="23.1" customHeight="1">
      <c r="A9" s="58">
        <f>Gen!B14</f>
        <v>44078</v>
      </c>
      <c r="B9" s="4"/>
      <c r="C9" s="97">
        <f t="shared" si="0"/>
        <v>0</v>
      </c>
      <c r="D9" s="1"/>
      <c r="E9" s="59">
        <f t="shared" si="3"/>
        <v>0</v>
      </c>
      <c r="F9" s="97">
        <f t="shared" si="4"/>
        <v>0</v>
      </c>
      <c r="G9" s="452"/>
      <c r="H9" s="559">
        <f t="shared" si="5"/>
        <v>0</v>
      </c>
      <c r="I9" s="97">
        <f t="shared" si="6"/>
        <v>0</v>
      </c>
      <c r="J9" s="1"/>
      <c r="K9" s="559">
        <f>J9-J8</f>
        <v>0</v>
      </c>
      <c r="L9" s="97">
        <f t="shared" si="7"/>
        <v>0</v>
      </c>
      <c r="M9" s="1"/>
      <c r="N9" s="559">
        <f t="shared" si="8"/>
        <v>0</v>
      </c>
      <c r="O9" s="97">
        <f t="shared" si="9"/>
        <v>0</v>
      </c>
      <c r="P9" s="448"/>
      <c r="Q9" s="559">
        <f t="shared" si="1"/>
        <v>0</v>
      </c>
      <c r="R9" s="297"/>
      <c r="S9" s="292">
        <f t="shared" si="10"/>
        <v>0</v>
      </c>
      <c r="T9" s="449"/>
      <c r="U9" s="560">
        <f t="shared" si="11"/>
        <v>0</v>
      </c>
      <c r="V9" s="292">
        <f t="shared" si="12"/>
        <v>0</v>
      </c>
      <c r="W9" s="449"/>
      <c r="X9" s="560">
        <f t="shared" si="13"/>
        <v>0</v>
      </c>
      <c r="Y9" s="292">
        <f t="shared" si="14"/>
        <v>0</v>
      </c>
      <c r="Z9" s="449"/>
      <c r="AA9" s="560">
        <f t="shared" si="15"/>
        <v>0</v>
      </c>
      <c r="AB9" s="758">
        <f t="shared" si="21"/>
        <v>0</v>
      </c>
      <c r="AC9" s="759"/>
      <c r="AD9" s="761">
        <f t="shared" si="22"/>
        <v>0</v>
      </c>
      <c r="AE9" s="292">
        <f t="shared" si="16"/>
        <v>0</v>
      </c>
      <c r="AF9" s="450"/>
      <c r="AG9" s="560">
        <f t="shared" si="17"/>
        <v>0</v>
      </c>
      <c r="AH9" s="292">
        <f t="shared" ref="AH9" si="24">AI9</f>
        <v>0</v>
      </c>
      <c r="AI9" s="450"/>
      <c r="AJ9" s="560">
        <f t="shared" si="19"/>
        <v>0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0</v>
      </c>
    </row>
    <row r="10" spans="1:40" ht="23.1" customHeight="1">
      <c r="A10" s="58">
        <f>Gen!B15</f>
        <v>44079</v>
      </c>
      <c r="B10" s="4"/>
      <c r="C10" s="97">
        <f t="shared" si="0"/>
        <v>0</v>
      </c>
      <c r="D10" s="1"/>
      <c r="E10" s="59">
        <f t="shared" si="3"/>
        <v>0</v>
      </c>
      <c r="F10" s="97">
        <f t="shared" si="4"/>
        <v>0</v>
      </c>
      <c r="G10" s="452"/>
      <c r="H10" s="559">
        <f t="shared" si="5"/>
        <v>0</v>
      </c>
      <c r="I10" s="97">
        <f t="shared" si="6"/>
        <v>0</v>
      </c>
      <c r="J10" s="1"/>
      <c r="K10" s="559">
        <f t="shared" ref="K10:K27" si="25">IF((J10-J9)&lt;0,"0",(J10-J9))</f>
        <v>0</v>
      </c>
      <c r="L10" s="97">
        <f t="shared" si="7"/>
        <v>0</v>
      </c>
      <c r="M10" s="1"/>
      <c r="N10" s="559">
        <f t="shared" si="8"/>
        <v>0</v>
      </c>
      <c r="O10" s="97">
        <f t="shared" si="9"/>
        <v>0</v>
      </c>
      <c r="P10" s="448"/>
      <c r="Q10" s="559">
        <f t="shared" si="1"/>
        <v>0</v>
      </c>
      <c r="R10" s="297"/>
      <c r="S10" s="292">
        <f t="shared" si="10"/>
        <v>0</v>
      </c>
      <c r="T10" s="449"/>
      <c r="U10" s="560">
        <f t="shared" si="11"/>
        <v>0</v>
      </c>
      <c r="V10" s="292">
        <f t="shared" si="12"/>
        <v>0</v>
      </c>
      <c r="W10" s="449"/>
      <c r="X10" s="560">
        <f t="shared" si="13"/>
        <v>0</v>
      </c>
      <c r="Y10" s="292">
        <f t="shared" si="14"/>
        <v>0</v>
      </c>
      <c r="Z10" s="449"/>
      <c r="AA10" s="560">
        <f t="shared" si="15"/>
        <v>0</v>
      </c>
      <c r="AB10" s="758">
        <f t="shared" si="21"/>
        <v>0</v>
      </c>
      <c r="AC10" s="759"/>
      <c r="AD10" s="761">
        <f t="shared" si="22"/>
        <v>0</v>
      </c>
      <c r="AE10" s="292">
        <f t="shared" si="16"/>
        <v>0</v>
      </c>
      <c r="AF10" s="450"/>
      <c r="AG10" s="560">
        <f>IF((AF11-AF9)&lt;0,"0",(AF11-AF9))</f>
        <v>0</v>
      </c>
      <c r="AH10" s="292">
        <f t="shared" si="18"/>
        <v>0</v>
      </c>
      <c r="AI10" s="450"/>
      <c r="AJ10" s="560">
        <f t="shared" si="19"/>
        <v>0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0</v>
      </c>
    </row>
    <row r="11" spans="1:40" ht="23.1" customHeight="1">
      <c r="A11" s="58">
        <f>Gen!B16</f>
        <v>44080</v>
      </c>
      <c r="B11" s="4"/>
      <c r="C11" s="97">
        <f t="shared" si="0"/>
        <v>0</v>
      </c>
      <c r="D11" s="1"/>
      <c r="E11" s="59">
        <f t="shared" si="3"/>
        <v>0</v>
      </c>
      <c r="F11" s="97">
        <f t="shared" si="4"/>
        <v>0</v>
      </c>
      <c r="G11" s="452"/>
      <c r="H11" s="559">
        <f t="shared" si="5"/>
        <v>0</v>
      </c>
      <c r="I11" s="97">
        <f t="shared" si="6"/>
        <v>0</v>
      </c>
      <c r="J11" s="1"/>
      <c r="K11" s="559">
        <f t="shared" si="25"/>
        <v>0</v>
      </c>
      <c r="L11" s="97">
        <f t="shared" si="7"/>
        <v>0</v>
      </c>
      <c r="M11" s="1"/>
      <c r="N11" s="559">
        <f t="shared" si="8"/>
        <v>0</v>
      </c>
      <c r="O11" s="97">
        <f t="shared" si="9"/>
        <v>0</v>
      </c>
      <c r="P11" s="448"/>
      <c r="Q11" s="559">
        <f t="shared" si="1"/>
        <v>0</v>
      </c>
      <c r="R11" s="297"/>
      <c r="S11" s="292">
        <f t="shared" si="10"/>
        <v>0</v>
      </c>
      <c r="T11" s="449"/>
      <c r="U11" s="560">
        <f t="shared" si="11"/>
        <v>0</v>
      </c>
      <c r="V11" s="292">
        <f t="shared" si="12"/>
        <v>0</v>
      </c>
      <c r="W11" s="449"/>
      <c r="X11" s="560">
        <f t="shared" si="13"/>
        <v>0</v>
      </c>
      <c r="Y11" s="292">
        <f t="shared" si="14"/>
        <v>0</v>
      </c>
      <c r="Z11" s="449"/>
      <c r="AA11" s="560">
        <f t="shared" si="15"/>
        <v>0</v>
      </c>
      <c r="AB11" s="758">
        <f t="shared" si="21"/>
        <v>0</v>
      </c>
      <c r="AC11" s="759"/>
      <c r="AD11" s="761">
        <f t="shared" si="22"/>
        <v>0</v>
      </c>
      <c r="AE11" s="292">
        <f>AF11</f>
        <v>0</v>
      </c>
      <c r="AF11" s="450"/>
      <c r="AG11" s="560">
        <f t="shared" ref="AG11:AG17" si="26">IF((AF12-AF10)&lt;0,"0",(AF12-AF10))</f>
        <v>0</v>
      </c>
      <c r="AH11" s="292">
        <f t="shared" si="18"/>
        <v>0</v>
      </c>
      <c r="AI11" s="450"/>
      <c r="AJ11" s="560">
        <f t="shared" si="19"/>
        <v>0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0</v>
      </c>
    </row>
    <row r="12" spans="1:40" ht="23.1" customHeight="1">
      <c r="A12" s="58">
        <f>Gen!B17</f>
        <v>44081</v>
      </c>
      <c r="B12" s="4"/>
      <c r="C12" s="97">
        <f t="shared" si="0"/>
        <v>0</v>
      </c>
      <c r="D12" s="1"/>
      <c r="E12" s="59">
        <f t="shared" si="3"/>
        <v>0</v>
      </c>
      <c r="F12" s="97">
        <f t="shared" si="4"/>
        <v>0</v>
      </c>
      <c r="G12" s="452"/>
      <c r="H12" s="559">
        <f t="shared" si="5"/>
        <v>0</v>
      </c>
      <c r="I12" s="97">
        <f t="shared" si="6"/>
        <v>0</v>
      </c>
      <c r="J12" s="1"/>
      <c r="K12" s="559">
        <f t="shared" si="25"/>
        <v>0</v>
      </c>
      <c r="L12" s="97">
        <f t="shared" si="7"/>
        <v>0</v>
      </c>
      <c r="M12" s="1"/>
      <c r="N12" s="559">
        <f t="shared" si="8"/>
        <v>0</v>
      </c>
      <c r="O12" s="97">
        <f t="shared" si="9"/>
        <v>0</v>
      </c>
      <c r="P12" s="448"/>
      <c r="Q12" s="559">
        <f t="shared" si="1"/>
        <v>0</v>
      </c>
      <c r="R12" s="297"/>
      <c r="S12" s="292">
        <f t="shared" si="10"/>
        <v>0</v>
      </c>
      <c r="T12" s="449"/>
      <c r="U12" s="560">
        <f t="shared" si="11"/>
        <v>0</v>
      </c>
      <c r="V12" s="292">
        <f t="shared" si="12"/>
        <v>0</v>
      </c>
      <c r="W12" s="449"/>
      <c r="X12" s="560">
        <f t="shared" si="13"/>
        <v>0</v>
      </c>
      <c r="Y12" s="292">
        <f t="shared" si="14"/>
        <v>0</v>
      </c>
      <c r="Z12" s="449"/>
      <c r="AA12" s="560">
        <f t="shared" si="15"/>
        <v>0</v>
      </c>
      <c r="AB12" s="758">
        <f t="shared" si="21"/>
        <v>0</v>
      </c>
      <c r="AC12" s="759"/>
      <c r="AD12" s="761">
        <f t="shared" si="22"/>
        <v>0</v>
      </c>
      <c r="AE12" s="292">
        <f t="shared" ref="AE12:AE20" si="27">AF12</f>
        <v>0</v>
      </c>
      <c r="AF12" s="450"/>
      <c r="AG12" s="560">
        <f t="shared" si="26"/>
        <v>0</v>
      </c>
      <c r="AH12" s="292">
        <f t="shared" si="18"/>
        <v>0</v>
      </c>
      <c r="AI12" s="450"/>
      <c r="AJ12" s="560">
        <f t="shared" si="19"/>
        <v>0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0</v>
      </c>
    </row>
    <row r="13" spans="1:40" ht="23.1" customHeight="1">
      <c r="A13" s="58">
        <f>Gen!B18</f>
        <v>44082</v>
      </c>
      <c r="B13" s="4"/>
      <c r="C13" s="97">
        <f t="shared" si="0"/>
        <v>0</v>
      </c>
      <c r="D13" s="1"/>
      <c r="E13" s="59">
        <f t="shared" si="3"/>
        <v>0</v>
      </c>
      <c r="F13" s="97">
        <f t="shared" si="4"/>
        <v>0</v>
      </c>
      <c r="G13" s="452"/>
      <c r="H13" s="559">
        <f t="shared" si="5"/>
        <v>0</v>
      </c>
      <c r="I13" s="97">
        <f t="shared" si="6"/>
        <v>0</v>
      </c>
      <c r="J13" s="1"/>
      <c r="K13" s="559">
        <f t="shared" si="25"/>
        <v>0</v>
      </c>
      <c r="L13" s="97">
        <f t="shared" si="7"/>
        <v>0</v>
      </c>
      <c r="M13" s="1"/>
      <c r="N13" s="559">
        <f t="shared" si="8"/>
        <v>0</v>
      </c>
      <c r="O13" s="97">
        <f t="shared" si="9"/>
        <v>0</v>
      </c>
      <c r="P13" s="448"/>
      <c r="Q13" s="559">
        <f t="shared" si="1"/>
        <v>0</v>
      </c>
      <c r="R13" s="297"/>
      <c r="S13" s="292">
        <f t="shared" si="10"/>
        <v>0</v>
      </c>
      <c r="T13" s="449"/>
      <c r="U13" s="560">
        <f t="shared" si="11"/>
        <v>0</v>
      </c>
      <c r="V13" s="292">
        <f t="shared" si="12"/>
        <v>0</v>
      </c>
      <c r="W13" s="449"/>
      <c r="X13" s="560">
        <f t="shared" si="13"/>
        <v>0</v>
      </c>
      <c r="Y13" s="292">
        <f t="shared" si="14"/>
        <v>0</v>
      </c>
      <c r="Z13" s="449"/>
      <c r="AA13" s="560">
        <f t="shared" si="15"/>
        <v>0</v>
      </c>
      <c r="AB13" s="758">
        <f t="shared" si="21"/>
        <v>0</v>
      </c>
      <c r="AC13" s="759"/>
      <c r="AD13" s="761">
        <f t="shared" si="22"/>
        <v>0</v>
      </c>
      <c r="AE13" s="292">
        <f t="shared" si="27"/>
        <v>0</v>
      </c>
      <c r="AF13" s="450"/>
      <c r="AG13" s="560">
        <f t="shared" si="26"/>
        <v>0</v>
      </c>
      <c r="AH13" s="292">
        <f t="shared" si="18"/>
        <v>0</v>
      </c>
      <c r="AI13" s="450"/>
      <c r="AJ13" s="560">
        <f t="shared" si="19"/>
        <v>0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0</v>
      </c>
    </row>
    <row r="14" spans="1:40" ht="23.1" customHeight="1">
      <c r="A14" s="58">
        <f>Gen!B19</f>
        <v>44083</v>
      </c>
      <c r="B14" s="4"/>
      <c r="C14" s="97">
        <f t="shared" si="0"/>
        <v>0</v>
      </c>
      <c r="D14" s="1"/>
      <c r="E14" s="59">
        <f t="shared" si="3"/>
        <v>0</v>
      </c>
      <c r="F14" s="97">
        <f t="shared" si="4"/>
        <v>0</v>
      </c>
      <c r="G14" s="452"/>
      <c r="H14" s="559">
        <f t="shared" si="5"/>
        <v>0</v>
      </c>
      <c r="I14" s="97">
        <f t="shared" si="6"/>
        <v>0</v>
      </c>
      <c r="J14" s="1"/>
      <c r="K14" s="559">
        <f t="shared" si="25"/>
        <v>0</v>
      </c>
      <c r="L14" s="97">
        <f t="shared" si="7"/>
        <v>0</v>
      </c>
      <c r="M14" s="1"/>
      <c r="N14" s="559">
        <f t="shared" si="8"/>
        <v>0</v>
      </c>
      <c r="O14" s="97">
        <f t="shared" si="9"/>
        <v>0</v>
      </c>
      <c r="P14" s="448"/>
      <c r="Q14" s="559">
        <f t="shared" si="1"/>
        <v>0</v>
      </c>
      <c r="R14" s="297"/>
      <c r="S14" s="292">
        <f t="shared" si="10"/>
        <v>0</v>
      </c>
      <c r="T14" s="449"/>
      <c r="U14" s="560">
        <f t="shared" si="11"/>
        <v>0</v>
      </c>
      <c r="V14" s="292">
        <f t="shared" si="12"/>
        <v>0</v>
      </c>
      <c r="W14" s="449"/>
      <c r="X14" s="560">
        <f t="shared" si="13"/>
        <v>0</v>
      </c>
      <c r="Y14" s="292">
        <f t="shared" si="14"/>
        <v>0</v>
      </c>
      <c r="Z14" s="449"/>
      <c r="AA14" s="560">
        <f t="shared" si="15"/>
        <v>0</v>
      </c>
      <c r="AB14" s="758">
        <f t="shared" si="21"/>
        <v>0</v>
      </c>
      <c r="AC14" s="762"/>
      <c r="AD14" s="761">
        <f t="shared" si="22"/>
        <v>0</v>
      </c>
      <c r="AE14" s="292">
        <f t="shared" si="27"/>
        <v>0</v>
      </c>
      <c r="AF14" s="450"/>
      <c r="AG14" s="560">
        <f t="shared" si="26"/>
        <v>0</v>
      </c>
      <c r="AH14" s="292">
        <f t="shared" si="18"/>
        <v>0</v>
      </c>
      <c r="AI14" s="450"/>
      <c r="AJ14" s="560">
        <f t="shared" si="19"/>
        <v>0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0</v>
      </c>
    </row>
    <row r="15" spans="1:40" ht="23.1" customHeight="1">
      <c r="A15" s="58">
        <f>Gen!B20</f>
        <v>44084</v>
      </c>
      <c r="B15" s="4"/>
      <c r="C15" s="97">
        <f t="shared" si="0"/>
        <v>0</v>
      </c>
      <c r="D15" s="1"/>
      <c r="E15" s="59">
        <f t="shared" si="3"/>
        <v>0</v>
      </c>
      <c r="F15" s="97">
        <f t="shared" si="4"/>
        <v>0</v>
      </c>
      <c r="G15" s="452"/>
      <c r="H15" s="559">
        <f t="shared" si="5"/>
        <v>0</v>
      </c>
      <c r="I15" s="97">
        <f t="shared" si="6"/>
        <v>0</v>
      </c>
      <c r="J15" s="1"/>
      <c r="K15" s="559">
        <f t="shared" si="25"/>
        <v>0</v>
      </c>
      <c r="L15" s="97">
        <f t="shared" si="7"/>
        <v>0</v>
      </c>
      <c r="M15" s="1"/>
      <c r="N15" s="559">
        <f t="shared" si="8"/>
        <v>0</v>
      </c>
      <c r="O15" s="97">
        <f t="shared" si="9"/>
        <v>0</v>
      </c>
      <c r="P15" s="448"/>
      <c r="Q15" s="559">
        <f t="shared" si="1"/>
        <v>0</v>
      </c>
      <c r="R15" s="297"/>
      <c r="S15" s="292">
        <f t="shared" si="10"/>
        <v>0</v>
      </c>
      <c r="T15" s="449"/>
      <c r="U15" s="560">
        <f t="shared" si="11"/>
        <v>0</v>
      </c>
      <c r="V15" s="292">
        <f t="shared" si="12"/>
        <v>0</v>
      </c>
      <c r="W15" s="449"/>
      <c r="X15" s="560">
        <f t="shared" si="13"/>
        <v>0</v>
      </c>
      <c r="Y15" s="292">
        <f t="shared" si="14"/>
        <v>0</v>
      </c>
      <c r="Z15" s="449"/>
      <c r="AA15" s="560">
        <f t="shared" si="15"/>
        <v>0</v>
      </c>
      <c r="AB15" s="758">
        <f t="shared" si="21"/>
        <v>0</v>
      </c>
      <c r="AC15" s="762"/>
      <c r="AD15" s="761">
        <f t="shared" si="22"/>
        <v>0</v>
      </c>
      <c r="AE15" s="292">
        <f t="shared" si="27"/>
        <v>0</v>
      </c>
      <c r="AF15" s="450"/>
      <c r="AG15" s="560">
        <f t="shared" si="26"/>
        <v>0</v>
      </c>
      <c r="AH15" s="292">
        <f t="shared" si="18"/>
        <v>0</v>
      </c>
      <c r="AI15" s="450"/>
      <c r="AJ15" s="560">
        <f t="shared" si="19"/>
        <v>0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0</v>
      </c>
    </row>
    <row r="16" spans="1:40" ht="23.1" customHeight="1">
      <c r="A16" s="58">
        <f>Gen!B21</f>
        <v>44085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4"/>
        <v>0</v>
      </c>
      <c r="G16" s="452"/>
      <c r="H16" s="559">
        <f t="shared" si="5"/>
        <v>0</v>
      </c>
      <c r="I16" s="97">
        <f t="shared" si="6"/>
        <v>0</v>
      </c>
      <c r="J16" s="1"/>
      <c r="K16" s="559">
        <f t="shared" si="25"/>
        <v>0</v>
      </c>
      <c r="L16" s="97">
        <f t="shared" si="7"/>
        <v>0</v>
      </c>
      <c r="M16" s="1"/>
      <c r="N16" s="559">
        <f t="shared" si="8"/>
        <v>0</v>
      </c>
      <c r="O16" s="97">
        <f t="shared" si="9"/>
        <v>0</v>
      </c>
      <c r="P16" s="448"/>
      <c r="Q16" s="559">
        <f t="shared" si="1"/>
        <v>0</v>
      </c>
      <c r="R16" s="297"/>
      <c r="S16" s="292">
        <f t="shared" si="10"/>
        <v>0</v>
      </c>
      <c r="T16" s="449"/>
      <c r="U16" s="560">
        <f t="shared" si="11"/>
        <v>0</v>
      </c>
      <c r="V16" s="292">
        <f t="shared" si="12"/>
        <v>0</v>
      </c>
      <c r="W16" s="449"/>
      <c r="X16" s="560">
        <f t="shared" si="13"/>
        <v>0</v>
      </c>
      <c r="Y16" s="292">
        <f t="shared" si="14"/>
        <v>0</v>
      </c>
      <c r="Z16" s="449"/>
      <c r="AA16" s="560">
        <f t="shared" si="15"/>
        <v>0</v>
      </c>
      <c r="AB16" s="758">
        <f t="shared" si="21"/>
        <v>0</v>
      </c>
      <c r="AC16" s="762"/>
      <c r="AD16" s="761">
        <f t="shared" si="22"/>
        <v>0</v>
      </c>
      <c r="AE16" s="292">
        <f t="shared" si="27"/>
        <v>0</v>
      </c>
      <c r="AF16" s="450"/>
      <c r="AG16" s="560">
        <f t="shared" si="26"/>
        <v>0</v>
      </c>
      <c r="AH16" s="292">
        <f t="shared" si="18"/>
        <v>0</v>
      </c>
      <c r="AI16" s="450"/>
      <c r="AJ16" s="560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7"/>
        <v>0</v>
      </c>
      <c r="AF17" s="450"/>
      <c r="AG17" s="560">
        <f t="shared" si="26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8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7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9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8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7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9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8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7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9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8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30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9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8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30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9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8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30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9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8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30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9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8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1">J24</f>
        <v>0</v>
      </c>
      <c r="J25" s="1"/>
      <c r="K25" s="559">
        <f t="shared" si="25"/>
        <v>0</v>
      </c>
      <c r="L25" s="97">
        <f t="shared" ref="L25:L37" si="32">M24</f>
        <v>0</v>
      </c>
      <c r="M25" s="1"/>
      <c r="N25" s="559">
        <f t="shared" ref="N25:N37" si="33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4">T24</f>
        <v>0</v>
      </c>
      <c r="T25" s="449"/>
      <c r="U25" s="560">
        <f t="shared" ref="U25:U37" si="35">IF((T25-T24)&lt;0,"0",(T25-T24))</f>
        <v>0</v>
      </c>
      <c r="V25" s="292">
        <f t="shared" si="30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9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8"/>
        <v>0</v>
      </c>
      <c r="F26" s="97">
        <f>G26</f>
        <v>0</v>
      </c>
      <c r="G26" s="452"/>
      <c r="H26" s="559">
        <f t="shared" ref="H26:H27" si="36">IF((G27-G25)&lt;0,"0",(G27-G25))</f>
        <v>0</v>
      </c>
      <c r="I26" s="97">
        <f t="shared" si="31"/>
        <v>0</v>
      </c>
      <c r="J26" s="1"/>
      <c r="K26" s="559">
        <f t="shared" si="25"/>
        <v>0</v>
      </c>
      <c r="L26" s="97">
        <f t="shared" si="32"/>
        <v>0</v>
      </c>
      <c r="M26" s="1"/>
      <c r="N26" s="559">
        <f t="shared" si="33"/>
        <v>0</v>
      </c>
      <c r="O26" s="97">
        <f t="shared" ref="O26:O37" si="37">P25</f>
        <v>0</v>
      </c>
      <c r="P26" s="448"/>
      <c r="Q26" s="559">
        <f t="shared" si="1"/>
        <v>0</v>
      </c>
      <c r="R26" s="297"/>
      <c r="S26" s="292">
        <f t="shared" si="34"/>
        <v>0</v>
      </c>
      <c r="T26" s="449"/>
      <c r="U26" s="560">
        <f t="shared" si="35"/>
        <v>0</v>
      </c>
      <c r="V26" s="292">
        <f t="shared" si="30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9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8"/>
        <v>0</v>
      </c>
      <c r="F27" s="97">
        <f t="shared" ref="F27:F31" si="38">G27</f>
        <v>0</v>
      </c>
      <c r="G27" s="452"/>
      <c r="H27" s="559">
        <f t="shared" si="36"/>
        <v>0</v>
      </c>
      <c r="I27" s="97">
        <f t="shared" si="31"/>
        <v>0</v>
      </c>
      <c r="J27" s="1"/>
      <c r="K27" s="559">
        <f t="shared" si="25"/>
        <v>0</v>
      </c>
      <c r="L27" s="97">
        <f t="shared" si="32"/>
        <v>0</v>
      </c>
      <c r="M27" s="1"/>
      <c r="N27" s="559">
        <f t="shared" si="33"/>
        <v>0</v>
      </c>
      <c r="O27" s="97">
        <f t="shared" si="37"/>
        <v>0</v>
      </c>
      <c r="P27" s="448"/>
      <c r="Q27" s="559">
        <f t="shared" si="1"/>
        <v>0</v>
      </c>
      <c r="R27" s="297"/>
      <c r="S27" s="292">
        <f t="shared" si="34"/>
        <v>0</v>
      </c>
      <c r="T27" s="449"/>
      <c r="U27" s="560">
        <f t="shared" si="35"/>
        <v>0</v>
      </c>
      <c r="V27" s="292">
        <f t="shared" si="30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9">D27</f>
        <v>0</v>
      </c>
      <c r="D28" s="1"/>
      <c r="E28" s="559">
        <f t="shared" si="28"/>
        <v>0</v>
      </c>
      <c r="F28" s="97">
        <f t="shared" si="38"/>
        <v>0</v>
      </c>
      <c r="G28" s="452"/>
      <c r="H28" s="559">
        <f t="shared" ref="H28:H37" si="40">IF((G28-G27)&lt;0,"0",(G28-G27))</f>
        <v>0</v>
      </c>
      <c r="I28" s="97">
        <f t="shared" si="31"/>
        <v>0</v>
      </c>
      <c r="J28" s="1"/>
      <c r="K28" s="559">
        <f>IF((J28-J27)&lt;0,"0",(J28-J27))</f>
        <v>0</v>
      </c>
      <c r="L28" s="97">
        <f t="shared" si="32"/>
        <v>0</v>
      </c>
      <c r="M28" s="1"/>
      <c r="N28" s="559">
        <f t="shared" si="33"/>
        <v>0</v>
      </c>
      <c r="O28" s="97">
        <f t="shared" si="37"/>
        <v>0</v>
      </c>
      <c r="P28" s="448"/>
      <c r="Q28" s="559">
        <f t="shared" ref="Q28:Q37" si="41">IF((P28-P27)&lt;0,"0",(P28-P27))</f>
        <v>0</v>
      </c>
      <c r="R28" s="297"/>
      <c r="S28" s="292">
        <f t="shared" si="34"/>
        <v>0</v>
      </c>
      <c r="T28" s="449"/>
      <c r="U28" s="560">
        <f t="shared" si="35"/>
        <v>0</v>
      </c>
      <c r="V28" s="292">
        <f t="shared" si="30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9"/>
        <v>0</v>
      </c>
      <c r="D29" s="1"/>
      <c r="E29" s="559">
        <f t="shared" si="28"/>
        <v>0</v>
      </c>
      <c r="F29" s="97">
        <f t="shared" si="38"/>
        <v>0</v>
      </c>
      <c r="G29" s="452"/>
      <c r="H29" s="559">
        <f t="shared" si="40"/>
        <v>0</v>
      </c>
      <c r="I29" s="97">
        <f t="shared" si="31"/>
        <v>0</v>
      </c>
      <c r="J29" s="1"/>
      <c r="K29" s="559">
        <f t="shared" ref="K29:K37" si="42">IF((J29-J28)&lt;0,"0",(J29-J28))</f>
        <v>0</v>
      </c>
      <c r="L29" s="97">
        <f t="shared" si="32"/>
        <v>0</v>
      </c>
      <c r="M29" s="1"/>
      <c r="N29" s="559">
        <f t="shared" si="33"/>
        <v>0</v>
      </c>
      <c r="O29" s="97">
        <f t="shared" si="37"/>
        <v>0</v>
      </c>
      <c r="P29" s="448"/>
      <c r="Q29" s="559">
        <f t="shared" si="41"/>
        <v>0</v>
      </c>
      <c r="R29" s="297"/>
      <c r="S29" s="292">
        <f t="shared" si="34"/>
        <v>0</v>
      </c>
      <c r="T29" s="449"/>
      <c r="U29" s="560">
        <f t="shared" si="35"/>
        <v>0</v>
      </c>
      <c r="V29" s="292">
        <f t="shared" si="30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9"/>
        <v>0</v>
      </c>
      <c r="D30" s="1"/>
      <c r="E30" s="559">
        <f t="shared" si="28"/>
        <v>0</v>
      </c>
      <c r="F30" s="97">
        <f t="shared" si="38"/>
        <v>0</v>
      </c>
      <c r="G30" s="452"/>
      <c r="H30" s="559">
        <f t="shared" si="40"/>
        <v>0</v>
      </c>
      <c r="I30" s="97">
        <f t="shared" si="31"/>
        <v>0</v>
      </c>
      <c r="J30" s="1"/>
      <c r="K30" s="559">
        <f t="shared" si="42"/>
        <v>0</v>
      </c>
      <c r="L30" s="97">
        <f t="shared" si="32"/>
        <v>0</v>
      </c>
      <c r="M30" s="1"/>
      <c r="N30" s="559">
        <f t="shared" si="33"/>
        <v>0</v>
      </c>
      <c r="O30" s="97">
        <f t="shared" si="37"/>
        <v>0</v>
      </c>
      <c r="P30" s="448"/>
      <c r="Q30" s="559">
        <f t="shared" si="41"/>
        <v>0</v>
      </c>
      <c r="R30" s="297"/>
      <c r="S30" s="292">
        <f t="shared" si="34"/>
        <v>0</v>
      </c>
      <c r="T30" s="449"/>
      <c r="U30" s="560">
        <f t="shared" si="35"/>
        <v>0</v>
      </c>
      <c r="V30" s="292">
        <f t="shared" si="30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9"/>
        <v>0</v>
      </c>
      <c r="D31" s="1"/>
      <c r="E31" s="559">
        <f t="shared" si="28"/>
        <v>0</v>
      </c>
      <c r="F31" s="97">
        <f t="shared" si="38"/>
        <v>0</v>
      </c>
      <c r="G31" s="452"/>
      <c r="H31" s="559">
        <f t="shared" si="40"/>
        <v>0</v>
      </c>
      <c r="I31" s="97">
        <f t="shared" si="31"/>
        <v>0</v>
      </c>
      <c r="J31" s="1"/>
      <c r="K31" s="559">
        <f t="shared" si="42"/>
        <v>0</v>
      </c>
      <c r="L31" s="97">
        <f t="shared" si="32"/>
        <v>0</v>
      </c>
      <c r="M31" s="1"/>
      <c r="N31" s="559">
        <f t="shared" si="33"/>
        <v>0</v>
      </c>
      <c r="O31" s="97">
        <f t="shared" si="37"/>
        <v>0</v>
      </c>
      <c r="P31" s="448"/>
      <c r="Q31" s="559">
        <f t="shared" si="41"/>
        <v>0</v>
      </c>
      <c r="R31" s="297"/>
      <c r="S31" s="292">
        <f t="shared" si="34"/>
        <v>0</v>
      </c>
      <c r="T31" s="449"/>
      <c r="U31" s="560">
        <f t="shared" si="35"/>
        <v>0</v>
      </c>
      <c r="V31" s="292">
        <f t="shared" si="30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9"/>
        <v>0</v>
      </c>
      <c r="D32" s="1"/>
      <c r="E32" s="559">
        <f t="shared" si="28"/>
        <v>0</v>
      </c>
      <c r="F32" s="97">
        <f t="shared" si="4"/>
        <v>0</v>
      </c>
      <c r="G32" s="452"/>
      <c r="H32" s="559">
        <f t="shared" si="40"/>
        <v>0</v>
      </c>
      <c r="I32" s="97">
        <f t="shared" si="31"/>
        <v>0</v>
      </c>
      <c r="J32" s="1"/>
      <c r="K32" s="559">
        <f t="shared" si="42"/>
        <v>0</v>
      </c>
      <c r="L32" s="97">
        <f t="shared" si="32"/>
        <v>0</v>
      </c>
      <c r="M32" s="1"/>
      <c r="N32" s="559">
        <f t="shared" si="33"/>
        <v>0</v>
      </c>
      <c r="O32" s="97">
        <f t="shared" si="37"/>
        <v>0</v>
      </c>
      <c r="P32" s="448"/>
      <c r="Q32" s="559">
        <f t="shared" si="41"/>
        <v>0</v>
      </c>
      <c r="R32" s="297"/>
      <c r="S32" s="292">
        <f t="shared" si="34"/>
        <v>0</v>
      </c>
      <c r="T32" s="449"/>
      <c r="U32" s="560">
        <f t="shared" si="35"/>
        <v>0</v>
      </c>
      <c r="V32" s="292">
        <f t="shared" si="30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9"/>
        <v>0</v>
      </c>
      <c r="D33" s="1"/>
      <c r="E33" s="559">
        <f t="shared" si="28"/>
        <v>0</v>
      </c>
      <c r="F33" s="97">
        <f t="shared" si="4"/>
        <v>0</v>
      </c>
      <c r="G33" s="452"/>
      <c r="H33" s="559">
        <f t="shared" si="40"/>
        <v>0</v>
      </c>
      <c r="I33" s="97">
        <f t="shared" si="31"/>
        <v>0</v>
      </c>
      <c r="J33" s="1"/>
      <c r="K33" s="559">
        <f t="shared" si="42"/>
        <v>0</v>
      </c>
      <c r="L33" s="97">
        <f t="shared" si="32"/>
        <v>0</v>
      </c>
      <c r="M33" s="1"/>
      <c r="N33" s="559">
        <f t="shared" si="33"/>
        <v>0</v>
      </c>
      <c r="O33" s="97">
        <f t="shared" si="37"/>
        <v>0</v>
      </c>
      <c r="P33" s="448"/>
      <c r="Q33" s="559">
        <f t="shared" si="41"/>
        <v>0</v>
      </c>
      <c r="R33" s="297"/>
      <c r="S33" s="292">
        <f t="shared" si="34"/>
        <v>0</v>
      </c>
      <c r="T33" s="449"/>
      <c r="U33" s="560">
        <f t="shared" si="35"/>
        <v>0</v>
      </c>
      <c r="V33" s="292">
        <f t="shared" si="30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9"/>
        <v>0</v>
      </c>
      <c r="D34" s="1"/>
      <c r="E34" s="559">
        <f t="shared" si="28"/>
        <v>0</v>
      </c>
      <c r="F34" s="97">
        <f t="shared" si="4"/>
        <v>0</v>
      </c>
      <c r="G34" s="452"/>
      <c r="H34" s="559">
        <f t="shared" si="40"/>
        <v>0</v>
      </c>
      <c r="I34" s="97">
        <f t="shared" si="31"/>
        <v>0</v>
      </c>
      <c r="J34" s="1"/>
      <c r="K34" s="559">
        <f t="shared" si="42"/>
        <v>0</v>
      </c>
      <c r="L34" s="97">
        <f t="shared" si="32"/>
        <v>0</v>
      </c>
      <c r="M34" s="1"/>
      <c r="N34" s="559">
        <f t="shared" si="33"/>
        <v>0</v>
      </c>
      <c r="O34" s="97">
        <f t="shared" si="37"/>
        <v>0</v>
      </c>
      <c r="P34" s="448"/>
      <c r="Q34" s="559">
        <f t="shared" si="41"/>
        <v>0</v>
      </c>
      <c r="R34" s="297"/>
      <c r="S34" s="292">
        <f t="shared" si="34"/>
        <v>0</v>
      </c>
      <c r="T34" s="449"/>
      <c r="U34" s="560">
        <f t="shared" si="35"/>
        <v>0</v>
      </c>
      <c r="V34" s="292">
        <f t="shared" si="30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9"/>
        <v>0</v>
      </c>
      <c r="D35" s="1"/>
      <c r="E35" s="559">
        <f t="shared" si="28"/>
        <v>0</v>
      </c>
      <c r="F35" s="97">
        <f t="shared" si="4"/>
        <v>0</v>
      </c>
      <c r="G35" s="452"/>
      <c r="H35" s="559">
        <f t="shared" si="40"/>
        <v>0</v>
      </c>
      <c r="I35" s="97">
        <f t="shared" si="31"/>
        <v>0</v>
      </c>
      <c r="J35" s="1"/>
      <c r="K35" s="559">
        <f t="shared" si="42"/>
        <v>0</v>
      </c>
      <c r="L35" s="97">
        <f t="shared" si="32"/>
        <v>0</v>
      </c>
      <c r="M35" s="1"/>
      <c r="N35" s="559">
        <f t="shared" si="33"/>
        <v>0</v>
      </c>
      <c r="O35" s="97">
        <f t="shared" si="37"/>
        <v>0</v>
      </c>
      <c r="P35" s="448"/>
      <c r="Q35" s="559">
        <f t="shared" si="41"/>
        <v>0</v>
      </c>
      <c r="R35" s="297"/>
      <c r="S35" s="292">
        <f t="shared" si="34"/>
        <v>0</v>
      </c>
      <c r="T35" s="449"/>
      <c r="U35" s="560">
        <f t="shared" si="35"/>
        <v>0</v>
      </c>
      <c r="V35" s="292">
        <f t="shared" si="30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9"/>
        <v>0</v>
      </c>
      <c r="D36" s="1"/>
      <c r="E36" s="559">
        <f t="shared" si="28"/>
        <v>0</v>
      </c>
      <c r="F36" s="97">
        <f t="shared" si="4"/>
        <v>0</v>
      </c>
      <c r="G36" s="452"/>
      <c r="H36" s="559">
        <f t="shared" si="40"/>
        <v>0</v>
      </c>
      <c r="I36" s="97">
        <f t="shared" si="31"/>
        <v>0</v>
      </c>
      <c r="J36" s="1"/>
      <c r="K36" s="559">
        <f t="shared" si="42"/>
        <v>0</v>
      </c>
      <c r="L36" s="97">
        <f t="shared" si="32"/>
        <v>0</v>
      </c>
      <c r="M36" s="1"/>
      <c r="N36" s="559">
        <f t="shared" si="33"/>
        <v>0</v>
      </c>
      <c r="O36" s="97">
        <f t="shared" si="37"/>
        <v>0</v>
      </c>
      <c r="P36" s="448"/>
      <c r="Q36" s="559">
        <f t="shared" si="41"/>
        <v>0</v>
      </c>
      <c r="R36" s="297"/>
      <c r="S36" s="292">
        <f t="shared" si="34"/>
        <v>0</v>
      </c>
      <c r="T36" s="449"/>
      <c r="U36" s="560">
        <f t="shared" si="35"/>
        <v>0</v>
      </c>
      <c r="V36" s="292">
        <f t="shared" si="30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9"/>
        <v>0</v>
      </c>
      <c r="D37" s="1"/>
      <c r="E37" s="559">
        <f t="shared" si="28"/>
        <v>0</v>
      </c>
      <c r="F37" s="97">
        <f t="shared" si="4"/>
        <v>0</v>
      </c>
      <c r="G37" s="452"/>
      <c r="H37" s="559">
        <f t="shared" si="40"/>
        <v>0</v>
      </c>
      <c r="I37" s="97">
        <f t="shared" si="31"/>
        <v>0</v>
      </c>
      <c r="J37" s="1"/>
      <c r="K37" s="559">
        <f t="shared" si="42"/>
        <v>0</v>
      </c>
      <c r="L37" s="97">
        <f t="shared" si="32"/>
        <v>0</v>
      </c>
      <c r="M37" s="1"/>
      <c r="N37" s="559">
        <f t="shared" si="33"/>
        <v>0</v>
      </c>
      <c r="O37" s="97">
        <f t="shared" si="37"/>
        <v>0</v>
      </c>
      <c r="P37" s="448"/>
      <c r="Q37" s="559">
        <f t="shared" si="41"/>
        <v>0</v>
      </c>
      <c r="R37" s="297"/>
      <c r="S37" s="292">
        <f t="shared" si="34"/>
        <v>0</v>
      </c>
      <c r="T37" s="449"/>
      <c r="U37" s="560">
        <f t="shared" si="35"/>
        <v>0</v>
      </c>
      <c r="V37" s="292">
        <f t="shared" si="30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3">U38+X38+AA38+AD38+AG38+AJ38+AM38</f>
        <v>168</v>
      </c>
    </row>
    <row r="38" spans="1:41" ht="18.75">
      <c r="A38" s="58"/>
      <c r="B38" s="22"/>
      <c r="C38" s="868" t="s">
        <v>6</v>
      </c>
      <c r="D38" s="868"/>
      <c r="E38" s="23">
        <f>SUM(E6:E36)</f>
        <v>114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-8021</v>
      </c>
      <c r="L38" s="168"/>
      <c r="M38" s="168"/>
      <c r="N38" s="29">
        <f t="shared" ref="N38" si="44">M38-M37</f>
        <v>0</v>
      </c>
      <c r="O38" s="27"/>
      <c r="P38" s="294"/>
      <c r="Q38" s="295">
        <f t="shared" ref="Q38" si="45">P38-O38</f>
        <v>0</v>
      </c>
      <c r="R38" s="296">
        <f>E38</f>
        <v>114</v>
      </c>
      <c r="S38" s="294"/>
      <c r="T38" s="294"/>
      <c r="U38" s="304">
        <f>SUM(U6:U37)</f>
        <v>168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6">IF((AI39-AI37)&lt;0,"0",(AI39-AI37))</f>
        <v>0</v>
      </c>
      <c r="AK38" s="294"/>
      <c r="AL38" s="294"/>
      <c r="AM38" s="294"/>
      <c r="AN38" s="300">
        <f t="shared" ref="AN38" si="47">U38+X38+AA38+AD38+AG38+AJ38+AM38</f>
        <v>168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37"/>
      <c r="B42" s="328"/>
      <c r="C42" s="834" t="s">
        <v>222</v>
      </c>
      <c r="D42" s="835"/>
      <c r="E42" s="835"/>
      <c r="F42" s="835"/>
      <c r="G42" s="835"/>
      <c r="H42" s="835"/>
      <c r="I42" s="835"/>
      <c r="J42" s="835"/>
      <c r="K42" s="836"/>
      <c r="R42" s="20"/>
    </row>
    <row r="43" spans="1:41" ht="24.75" customHeight="1">
      <c r="A43" s="838"/>
      <c r="B43" s="20"/>
      <c r="C43" s="840" t="s">
        <v>216</v>
      </c>
      <c r="D43" s="841"/>
      <c r="E43" s="842" t="s">
        <v>237</v>
      </c>
      <c r="F43" s="843"/>
      <c r="G43" s="844" t="s">
        <v>217</v>
      </c>
      <c r="H43" s="845"/>
      <c r="I43" s="844" t="s">
        <v>238</v>
      </c>
      <c r="J43" s="845"/>
      <c r="K43" s="832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38"/>
      <c r="B44" s="20"/>
      <c r="C44" s="846" t="s">
        <v>218</v>
      </c>
      <c r="D44" s="847"/>
      <c r="E44" s="846" t="s">
        <v>219</v>
      </c>
      <c r="F44" s="847"/>
      <c r="G44" s="846" t="s">
        <v>220</v>
      </c>
      <c r="H44" s="847"/>
      <c r="I44" s="846" t="s">
        <v>221</v>
      </c>
      <c r="J44" s="847"/>
      <c r="K44" s="833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39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8">C46*217/300</f>
        <v>206.15</v>
      </c>
      <c r="E46" s="6">
        <v>215</v>
      </c>
      <c r="F46" s="382">
        <f t="shared" ref="F46:F77" si="49">E46*92/305</f>
        <v>64.852459016393439</v>
      </c>
      <c r="G46" s="562">
        <v>205</v>
      </c>
      <c r="H46" s="382">
        <f t="shared" ref="H46:H77" si="50">G46*146/383</f>
        <v>78.146214099216706</v>
      </c>
      <c r="I46" s="6">
        <v>298</v>
      </c>
      <c r="J46" s="382">
        <f t="shared" ref="J46:J77" si="51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8"/>
        <v>177.21666666666667</v>
      </c>
      <c r="E47" s="6">
        <v>200</v>
      </c>
      <c r="F47" s="382">
        <f t="shared" si="49"/>
        <v>60.327868852459019</v>
      </c>
      <c r="G47" s="562">
        <v>300</v>
      </c>
      <c r="H47" s="382">
        <f t="shared" si="50"/>
        <v>114.36031331592689</v>
      </c>
      <c r="I47" s="6">
        <v>298</v>
      </c>
      <c r="J47" s="382">
        <f t="shared" si="51"/>
        <v>206.08441558441558</v>
      </c>
      <c r="K47" s="388">
        <f t="shared" ref="K47:K77" si="52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8"/>
        <v>217</v>
      </c>
      <c r="E48" s="6">
        <v>295</v>
      </c>
      <c r="F48" s="382">
        <f t="shared" si="49"/>
        <v>88.983606557377044</v>
      </c>
      <c r="G48" s="562">
        <v>185</v>
      </c>
      <c r="H48" s="382">
        <f t="shared" si="50"/>
        <v>70.522193211488258</v>
      </c>
      <c r="I48" s="6">
        <v>308</v>
      </c>
      <c r="J48" s="382">
        <f t="shared" si="51"/>
        <v>213</v>
      </c>
      <c r="K48" s="388">
        <f t="shared" si="52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/>
      <c r="D49" s="382">
        <f t="shared" si="48"/>
        <v>0</v>
      </c>
      <c r="E49" s="6"/>
      <c r="F49" s="382">
        <f t="shared" si="49"/>
        <v>0</v>
      </c>
      <c r="G49" s="562"/>
      <c r="H49" s="382">
        <f t="shared" si="50"/>
        <v>0</v>
      </c>
      <c r="I49" s="6"/>
      <c r="J49" s="382">
        <f t="shared" si="51"/>
        <v>0</v>
      </c>
      <c r="K49" s="388">
        <f t="shared" si="52"/>
        <v>0</v>
      </c>
    </row>
    <row r="50" spans="1:15" ht="13.5">
      <c r="A50" s="345">
        <f>Gen!B15</f>
        <v>44079</v>
      </c>
      <c r="B50" s="20"/>
      <c r="C50" s="63"/>
      <c r="D50" s="382">
        <f t="shared" si="48"/>
        <v>0</v>
      </c>
      <c r="E50" s="6"/>
      <c r="F50" s="382">
        <f t="shared" si="49"/>
        <v>0</v>
      </c>
      <c r="G50" s="562"/>
      <c r="H50" s="382">
        <f t="shared" si="50"/>
        <v>0</v>
      </c>
      <c r="I50" s="6"/>
      <c r="J50" s="382">
        <f t="shared" si="51"/>
        <v>0</v>
      </c>
      <c r="K50" s="388">
        <f t="shared" si="52"/>
        <v>0</v>
      </c>
    </row>
    <row r="51" spans="1:15" ht="13.5">
      <c r="A51" s="345">
        <f>Gen!B16</f>
        <v>44080</v>
      </c>
      <c r="B51" s="20"/>
      <c r="C51" s="63"/>
      <c r="D51" s="382">
        <f t="shared" si="48"/>
        <v>0</v>
      </c>
      <c r="E51" s="6"/>
      <c r="F51" s="382">
        <f t="shared" si="49"/>
        <v>0</v>
      </c>
      <c r="G51" s="562"/>
      <c r="H51" s="382">
        <f t="shared" si="50"/>
        <v>0</v>
      </c>
      <c r="I51" s="6"/>
      <c r="J51" s="382">
        <f t="shared" si="51"/>
        <v>0</v>
      </c>
      <c r="K51" s="388">
        <f t="shared" si="52"/>
        <v>0</v>
      </c>
    </row>
    <row r="52" spans="1:15" ht="13.5">
      <c r="A52" s="345">
        <f>Gen!B17</f>
        <v>44081</v>
      </c>
      <c r="B52" s="20"/>
      <c r="C52" s="63"/>
      <c r="D52" s="382">
        <f t="shared" si="48"/>
        <v>0</v>
      </c>
      <c r="E52" s="6"/>
      <c r="F52" s="382">
        <f t="shared" si="49"/>
        <v>0</v>
      </c>
      <c r="G52" s="562"/>
      <c r="H52" s="382">
        <f t="shared" si="50"/>
        <v>0</v>
      </c>
      <c r="I52" s="6"/>
      <c r="J52" s="382">
        <f t="shared" si="51"/>
        <v>0</v>
      </c>
      <c r="K52" s="388">
        <f t="shared" si="52"/>
        <v>0</v>
      </c>
    </row>
    <row r="53" spans="1:15" ht="13.5">
      <c r="A53" s="345">
        <f>Gen!B18</f>
        <v>44082</v>
      </c>
      <c r="B53" s="20"/>
      <c r="C53" s="63"/>
      <c r="D53" s="382">
        <f t="shared" si="48"/>
        <v>0</v>
      </c>
      <c r="E53" s="6"/>
      <c r="F53" s="382">
        <f t="shared" si="49"/>
        <v>0</v>
      </c>
      <c r="G53" s="562"/>
      <c r="H53" s="382">
        <f t="shared" si="50"/>
        <v>0</v>
      </c>
      <c r="I53" s="6"/>
      <c r="J53" s="382">
        <f t="shared" si="51"/>
        <v>0</v>
      </c>
      <c r="K53" s="388">
        <f t="shared" si="52"/>
        <v>0</v>
      </c>
    </row>
    <row r="54" spans="1:15" ht="13.5">
      <c r="A54" s="345">
        <f>Gen!B19</f>
        <v>44083</v>
      </c>
      <c r="B54" s="20"/>
      <c r="C54" s="63"/>
      <c r="D54" s="382">
        <f t="shared" si="48"/>
        <v>0</v>
      </c>
      <c r="E54" s="6"/>
      <c r="F54" s="382">
        <f t="shared" si="49"/>
        <v>0</v>
      </c>
      <c r="G54" s="562"/>
      <c r="H54" s="382">
        <f t="shared" si="50"/>
        <v>0</v>
      </c>
      <c r="I54" s="6"/>
      <c r="J54" s="382">
        <f t="shared" si="51"/>
        <v>0</v>
      </c>
      <c r="K54" s="388">
        <f t="shared" si="52"/>
        <v>0</v>
      </c>
    </row>
    <row r="55" spans="1:15" ht="13.5">
      <c r="A55" s="345">
        <f>Gen!B20</f>
        <v>44084</v>
      </c>
      <c r="B55" s="20"/>
      <c r="C55" s="63"/>
      <c r="D55" s="382">
        <f t="shared" si="48"/>
        <v>0</v>
      </c>
      <c r="E55" s="6"/>
      <c r="F55" s="382">
        <f t="shared" si="49"/>
        <v>0</v>
      </c>
      <c r="G55" s="562"/>
      <c r="H55" s="382">
        <f t="shared" si="50"/>
        <v>0</v>
      </c>
      <c r="I55" s="6"/>
      <c r="J55" s="382">
        <f t="shared" si="51"/>
        <v>0</v>
      </c>
      <c r="K55" s="388">
        <f t="shared" si="52"/>
        <v>0</v>
      </c>
    </row>
    <row r="56" spans="1:15" ht="13.5">
      <c r="A56" s="345">
        <f>Gen!B21</f>
        <v>44085</v>
      </c>
      <c r="B56" s="20"/>
      <c r="C56" s="63"/>
      <c r="D56" s="382">
        <f t="shared" si="48"/>
        <v>0</v>
      </c>
      <c r="E56" s="6"/>
      <c r="F56" s="382">
        <f t="shared" si="49"/>
        <v>0</v>
      </c>
      <c r="G56" s="562"/>
      <c r="H56" s="382">
        <f t="shared" si="50"/>
        <v>0</v>
      </c>
      <c r="I56" s="6"/>
      <c r="J56" s="382">
        <f t="shared" si="51"/>
        <v>0</v>
      </c>
      <c r="K56" s="388">
        <f t="shared" si="52"/>
        <v>0</v>
      </c>
    </row>
    <row r="57" spans="1:15" ht="13.5">
      <c r="A57" s="345">
        <f>Gen!B22</f>
        <v>44086</v>
      </c>
      <c r="B57" s="20"/>
      <c r="C57" s="63"/>
      <c r="D57" s="382">
        <f t="shared" si="48"/>
        <v>0</v>
      </c>
      <c r="E57" s="6"/>
      <c r="F57" s="382">
        <f t="shared" si="49"/>
        <v>0</v>
      </c>
      <c r="G57" s="562"/>
      <c r="H57" s="382">
        <f t="shared" si="50"/>
        <v>0</v>
      </c>
      <c r="I57" s="6"/>
      <c r="J57" s="382">
        <f t="shared" si="51"/>
        <v>0</v>
      </c>
      <c r="K57" s="388">
        <f t="shared" si="52"/>
        <v>0</v>
      </c>
    </row>
    <row r="58" spans="1:15" ht="13.5">
      <c r="A58" s="345">
        <f>Gen!B23</f>
        <v>44087</v>
      </c>
      <c r="B58" s="20"/>
      <c r="C58" s="63"/>
      <c r="D58" s="382">
        <f t="shared" si="48"/>
        <v>0</v>
      </c>
      <c r="E58" s="6"/>
      <c r="F58" s="382">
        <f t="shared" si="49"/>
        <v>0</v>
      </c>
      <c r="G58" s="562"/>
      <c r="H58" s="382">
        <f t="shared" si="50"/>
        <v>0</v>
      </c>
      <c r="I58" s="6"/>
      <c r="J58" s="382">
        <f t="shared" si="51"/>
        <v>0</v>
      </c>
      <c r="K58" s="388">
        <f t="shared" si="52"/>
        <v>0</v>
      </c>
    </row>
    <row r="59" spans="1:15" ht="13.5">
      <c r="A59" s="345">
        <f>Gen!B24</f>
        <v>44088</v>
      </c>
      <c r="B59" s="20"/>
      <c r="C59" s="63"/>
      <c r="D59" s="382">
        <f t="shared" si="48"/>
        <v>0</v>
      </c>
      <c r="E59" s="6"/>
      <c r="F59" s="382">
        <f t="shared" si="49"/>
        <v>0</v>
      </c>
      <c r="G59" s="562"/>
      <c r="H59" s="382">
        <f t="shared" si="50"/>
        <v>0</v>
      </c>
      <c r="I59" s="6"/>
      <c r="J59" s="382">
        <f t="shared" si="51"/>
        <v>0</v>
      </c>
      <c r="K59" s="388">
        <f t="shared" si="52"/>
        <v>0</v>
      </c>
    </row>
    <row r="60" spans="1:15" ht="13.5">
      <c r="A60" s="345">
        <f>Gen!B25</f>
        <v>44089</v>
      </c>
      <c r="B60" s="20"/>
      <c r="C60" s="63"/>
      <c r="D60" s="382">
        <f t="shared" si="48"/>
        <v>0</v>
      </c>
      <c r="E60" s="6"/>
      <c r="F60" s="382">
        <f t="shared" si="49"/>
        <v>0</v>
      </c>
      <c r="G60" s="562"/>
      <c r="H60" s="382">
        <f t="shared" si="50"/>
        <v>0</v>
      </c>
      <c r="I60" s="6"/>
      <c r="J60" s="382">
        <f t="shared" si="51"/>
        <v>0</v>
      </c>
      <c r="K60" s="388">
        <f t="shared" si="52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8"/>
        <v>0</v>
      </c>
      <c r="E61" s="6"/>
      <c r="F61" s="382">
        <f t="shared" si="49"/>
        <v>0</v>
      </c>
      <c r="G61" s="562"/>
      <c r="H61" s="382">
        <f t="shared" si="50"/>
        <v>0</v>
      </c>
      <c r="I61" s="6"/>
      <c r="J61" s="382">
        <f t="shared" si="51"/>
        <v>0</v>
      </c>
      <c r="K61" s="388">
        <f t="shared" si="52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8"/>
        <v>0</v>
      </c>
      <c r="E62" s="6"/>
      <c r="F62" s="382">
        <f t="shared" si="49"/>
        <v>0</v>
      </c>
      <c r="G62" s="562"/>
      <c r="H62" s="382">
        <f t="shared" si="50"/>
        <v>0</v>
      </c>
      <c r="I62" s="6"/>
      <c r="J62" s="382">
        <f t="shared" si="51"/>
        <v>0</v>
      </c>
      <c r="K62" s="388">
        <f t="shared" si="52"/>
        <v>0</v>
      </c>
    </row>
    <row r="63" spans="1:15" ht="13.5">
      <c r="A63" s="345">
        <f>Gen!B28</f>
        <v>44092</v>
      </c>
      <c r="B63" s="20"/>
      <c r="C63" s="63"/>
      <c r="D63" s="382">
        <f t="shared" si="48"/>
        <v>0</v>
      </c>
      <c r="E63" s="6"/>
      <c r="F63" s="382">
        <f t="shared" si="49"/>
        <v>0</v>
      </c>
      <c r="G63" s="562"/>
      <c r="H63" s="382">
        <f t="shared" si="50"/>
        <v>0</v>
      </c>
      <c r="I63" s="6"/>
      <c r="J63" s="382">
        <f t="shared" si="51"/>
        <v>0</v>
      </c>
      <c r="K63" s="388">
        <f t="shared" si="52"/>
        <v>0</v>
      </c>
    </row>
    <row r="64" spans="1:15" ht="13.5">
      <c r="A64" s="345">
        <f>Gen!B29</f>
        <v>44093</v>
      </c>
      <c r="B64" s="20"/>
      <c r="C64" s="63"/>
      <c r="D64" s="382">
        <f t="shared" si="48"/>
        <v>0</v>
      </c>
      <c r="E64" s="6"/>
      <c r="F64" s="382">
        <f t="shared" si="49"/>
        <v>0</v>
      </c>
      <c r="G64" s="562"/>
      <c r="H64" s="382">
        <f t="shared" si="50"/>
        <v>0</v>
      </c>
      <c r="I64" s="6"/>
      <c r="J64" s="382">
        <f t="shared" si="51"/>
        <v>0</v>
      </c>
      <c r="K64" s="388">
        <f t="shared" si="52"/>
        <v>0</v>
      </c>
    </row>
    <row r="65" spans="1:11" ht="13.5">
      <c r="A65" s="345">
        <f>Gen!B30</f>
        <v>44094</v>
      </c>
      <c r="B65" s="20"/>
      <c r="C65" s="63"/>
      <c r="D65" s="382">
        <f t="shared" si="48"/>
        <v>0</v>
      </c>
      <c r="E65" s="6"/>
      <c r="F65" s="382">
        <f t="shared" si="49"/>
        <v>0</v>
      </c>
      <c r="G65" s="562"/>
      <c r="H65" s="382">
        <f t="shared" si="50"/>
        <v>0</v>
      </c>
      <c r="I65" s="6"/>
      <c r="J65" s="382">
        <f t="shared" si="51"/>
        <v>0</v>
      </c>
      <c r="K65" s="388">
        <f t="shared" si="52"/>
        <v>0</v>
      </c>
    </row>
    <row r="66" spans="1:11" ht="13.5">
      <c r="A66" s="345">
        <f>Gen!B31</f>
        <v>44095</v>
      </c>
      <c r="B66" s="20"/>
      <c r="C66" s="63"/>
      <c r="D66" s="382">
        <f t="shared" si="48"/>
        <v>0</v>
      </c>
      <c r="E66" s="6"/>
      <c r="F66" s="382">
        <f t="shared" si="49"/>
        <v>0</v>
      </c>
      <c r="G66" s="562"/>
      <c r="H66" s="382">
        <f t="shared" si="50"/>
        <v>0</v>
      </c>
      <c r="I66" s="6"/>
      <c r="J66" s="382">
        <f t="shared" si="51"/>
        <v>0</v>
      </c>
      <c r="K66" s="388">
        <f t="shared" si="52"/>
        <v>0</v>
      </c>
    </row>
    <row r="67" spans="1:11" ht="13.5">
      <c r="A67" s="345">
        <f>Gen!B32</f>
        <v>44096</v>
      </c>
      <c r="B67" s="20"/>
      <c r="C67" s="63"/>
      <c r="D67" s="382">
        <f t="shared" si="48"/>
        <v>0</v>
      </c>
      <c r="E67" s="6"/>
      <c r="F67" s="382">
        <f t="shared" si="49"/>
        <v>0</v>
      </c>
      <c r="G67" s="562"/>
      <c r="H67" s="382">
        <f t="shared" si="50"/>
        <v>0</v>
      </c>
      <c r="I67" s="6"/>
      <c r="J67" s="382">
        <f t="shared" si="51"/>
        <v>0</v>
      </c>
      <c r="K67" s="388">
        <f t="shared" si="52"/>
        <v>0</v>
      </c>
    </row>
    <row r="68" spans="1:11" ht="13.5">
      <c r="A68" s="345">
        <f>Gen!B33</f>
        <v>44097</v>
      </c>
      <c r="B68" s="20"/>
      <c r="C68" s="63"/>
      <c r="D68" s="382">
        <f t="shared" si="48"/>
        <v>0</v>
      </c>
      <c r="E68" s="6"/>
      <c r="F68" s="382">
        <f t="shared" si="49"/>
        <v>0</v>
      </c>
      <c r="G68" s="562"/>
      <c r="H68" s="382">
        <f t="shared" si="50"/>
        <v>0</v>
      </c>
      <c r="I68" s="6"/>
      <c r="J68" s="382">
        <f t="shared" si="51"/>
        <v>0</v>
      </c>
      <c r="K68" s="388">
        <f t="shared" si="52"/>
        <v>0</v>
      </c>
    </row>
    <row r="69" spans="1:11" ht="13.5">
      <c r="A69" s="345">
        <f>Gen!B34</f>
        <v>44098</v>
      </c>
      <c r="B69" s="20"/>
      <c r="C69" s="63"/>
      <c r="D69" s="382">
        <f t="shared" si="48"/>
        <v>0</v>
      </c>
      <c r="E69" s="6"/>
      <c r="F69" s="382">
        <f t="shared" si="49"/>
        <v>0</v>
      </c>
      <c r="G69" s="562"/>
      <c r="H69" s="382">
        <f t="shared" si="50"/>
        <v>0</v>
      </c>
      <c r="I69" s="6"/>
      <c r="J69" s="382">
        <f t="shared" si="51"/>
        <v>0</v>
      </c>
      <c r="K69" s="388">
        <f t="shared" si="52"/>
        <v>0</v>
      </c>
    </row>
    <row r="70" spans="1:11" ht="13.5">
      <c r="A70" s="345">
        <f>Gen!B35</f>
        <v>44099</v>
      </c>
      <c r="B70" s="20"/>
      <c r="C70" s="63"/>
      <c r="D70" s="382">
        <f t="shared" si="48"/>
        <v>0</v>
      </c>
      <c r="E70" s="6"/>
      <c r="F70" s="382">
        <f t="shared" si="49"/>
        <v>0</v>
      </c>
      <c r="G70" s="562"/>
      <c r="H70" s="382">
        <f t="shared" si="50"/>
        <v>0</v>
      </c>
      <c r="I70" s="6"/>
      <c r="J70" s="382">
        <f t="shared" si="51"/>
        <v>0</v>
      </c>
      <c r="K70" s="388">
        <f t="shared" si="52"/>
        <v>0</v>
      </c>
    </row>
    <row r="71" spans="1:11" ht="13.5">
      <c r="A71" s="345">
        <f>Gen!B36</f>
        <v>44100</v>
      </c>
      <c r="B71" s="20"/>
      <c r="C71" s="63"/>
      <c r="D71" s="382">
        <f t="shared" si="48"/>
        <v>0</v>
      </c>
      <c r="E71" s="6"/>
      <c r="F71" s="382">
        <f t="shared" si="49"/>
        <v>0</v>
      </c>
      <c r="G71" s="562"/>
      <c r="H71" s="382">
        <f t="shared" si="50"/>
        <v>0</v>
      </c>
      <c r="I71" s="6"/>
      <c r="J71" s="382">
        <f t="shared" si="51"/>
        <v>0</v>
      </c>
      <c r="K71" s="388">
        <f t="shared" si="52"/>
        <v>0</v>
      </c>
    </row>
    <row r="72" spans="1:11" ht="13.5">
      <c r="A72" s="345">
        <f>Gen!B37</f>
        <v>44101</v>
      </c>
      <c r="B72" s="20"/>
      <c r="C72" s="63"/>
      <c r="D72" s="382">
        <f t="shared" si="48"/>
        <v>0</v>
      </c>
      <c r="E72" s="6"/>
      <c r="F72" s="382">
        <f t="shared" si="49"/>
        <v>0</v>
      </c>
      <c r="G72" s="562"/>
      <c r="H72" s="382">
        <f t="shared" si="50"/>
        <v>0</v>
      </c>
      <c r="I72" s="6"/>
      <c r="J72" s="382">
        <f t="shared" si="51"/>
        <v>0</v>
      </c>
      <c r="K72" s="388">
        <f t="shared" si="52"/>
        <v>0</v>
      </c>
    </row>
    <row r="73" spans="1:11" ht="13.5">
      <c r="A73" s="345">
        <f>Gen!B38</f>
        <v>44102</v>
      </c>
      <c r="B73" s="20"/>
      <c r="C73" s="63"/>
      <c r="D73" s="382">
        <f t="shared" si="48"/>
        <v>0</v>
      </c>
      <c r="E73" s="6"/>
      <c r="F73" s="382">
        <f t="shared" si="49"/>
        <v>0</v>
      </c>
      <c r="G73" s="562"/>
      <c r="H73" s="382">
        <f t="shared" si="50"/>
        <v>0</v>
      </c>
      <c r="I73" s="6"/>
      <c r="J73" s="382">
        <f t="shared" si="51"/>
        <v>0</v>
      </c>
      <c r="K73" s="388">
        <f t="shared" si="52"/>
        <v>0</v>
      </c>
    </row>
    <row r="74" spans="1:11" ht="13.5">
      <c r="A74" s="345">
        <f>Gen!B39</f>
        <v>44103</v>
      </c>
      <c r="B74" s="20"/>
      <c r="C74" s="63"/>
      <c r="D74" s="382">
        <f t="shared" si="48"/>
        <v>0</v>
      </c>
      <c r="E74" s="6"/>
      <c r="F74" s="382">
        <f t="shared" si="49"/>
        <v>0</v>
      </c>
      <c r="G74" s="562"/>
      <c r="H74" s="382">
        <f t="shared" si="50"/>
        <v>0</v>
      </c>
      <c r="I74" s="6"/>
      <c r="J74" s="382">
        <f t="shared" si="51"/>
        <v>0</v>
      </c>
      <c r="K74" s="388">
        <f t="shared" si="52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8"/>
        <v>0</v>
      </c>
      <c r="E75" s="6"/>
      <c r="F75" s="382">
        <f t="shared" si="49"/>
        <v>0</v>
      </c>
      <c r="G75" s="562"/>
      <c r="H75" s="382">
        <f t="shared" si="50"/>
        <v>0</v>
      </c>
      <c r="I75" s="6"/>
      <c r="J75" s="382">
        <f t="shared" si="51"/>
        <v>0</v>
      </c>
      <c r="K75" s="388">
        <f t="shared" si="52"/>
        <v>0</v>
      </c>
    </row>
    <row r="76" spans="1:11" ht="13.5">
      <c r="A76" s="345">
        <f>Gen!B41</f>
        <v>0</v>
      </c>
      <c r="C76" s="63"/>
      <c r="D76" s="382">
        <f t="shared" si="48"/>
        <v>0</v>
      </c>
      <c r="E76" s="6"/>
      <c r="F76" s="382">
        <f t="shared" si="49"/>
        <v>0</v>
      </c>
      <c r="G76" s="562"/>
      <c r="H76" s="382">
        <f t="shared" si="50"/>
        <v>0</v>
      </c>
      <c r="I76" s="6"/>
      <c r="J76" s="382">
        <f t="shared" si="51"/>
        <v>0</v>
      </c>
      <c r="K76" s="388">
        <f t="shared" si="52"/>
        <v>0</v>
      </c>
    </row>
    <row r="77" spans="1:11" ht="14.25" thickBot="1">
      <c r="A77" s="345">
        <f>Gen!B42</f>
        <v>0</v>
      </c>
      <c r="C77" s="63"/>
      <c r="D77" s="382">
        <f t="shared" si="48"/>
        <v>0</v>
      </c>
      <c r="E77" s="6"/>
      <c r="F77" s="382">
        <f t="shared" si="49"/>
        <v>0</v>
      </c>
      <c r="G77" s="562"/>
      <c r="H77" s="382">
        <f t="shared" si="50"/>
        <v>0</v>
      </c>
      <c r="I77" s="6"/>
      <c r="J77" s="382">
        <f t="shared" si="51"/>
        <v>0</v>
      </c>
      <c r="K77" s="389">
        <f t="shared" si="52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0.04</v>
      </c>
      <c r="D5" s="512">
        <f>SUM(77*C5)</f>
        <v>3.08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0.04</v>
      </c>
      <c r="D6" s="512">
        <f t="shared" ref="D6:D35" si="2">SUM(77*C6)</f>
        <v>3.08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0.04</v>
      </c>
      <c r="D7" s="512">
        <f t="shared" si="2"/>
        <v>3.08</v>
      </c>
      <c r="E7" s="75"/>
      <c r="F7" s="71">
        <f>Gen!U13</f>
        <v>0</v>
      </c>
      <c r="G7" s="86">
        <f>Gen!T13</f>
        <v>0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 t="str">
        <f>'Water-Meter'!E8</f>
        <v>0</v>
      </c>
      <c r="L7" s="526">
        <f>'Lpg (2)'!G12</f>
        <v>-317240.44000000006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0</v>
      </c>
      <c r="U7" s="124">
        <f t="shared" si="6"/>
        <v>-393145.82305555564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0</v>
      </c>
      <c r="G8" s="86">
        <f>Gen!T14</f>
        <v>0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0</v>
      </c>
      <c r="L8" s="526">
        <f>'Lpg (2)'!G13</f>
        <v>0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0</v>
      </c>
      <c r="U8" s="124">
        <f t="shared" si="6"/>
        <v>0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0</v>
      </c>
      <c r="G9" s="86">
        <f>Gen!T15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>
        <f>'Water-Meter'!E10</f>
        <v>0</v>
      </c>
      <c r="L9" s="526">
        <f>'Lpg (2)'!G14</f>
        <v>0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 t="e">
        <f t="shared" si="3"/>
        <v>#DIV/0!</v>
      </c>
      <c r="S9" s="516" t="e">
        <f t="shared" si="4"/>
        <v>#DIV/0!</v>
      </c>
      <c r="T9" s="77">
        <f t="shared" si="5"/>
        <v>0</v>
      </c>
      <c r="U9" s="124">
        <f t="shared" si="6"/>
        <v>0</v>
      </c>
      <c r="V9" s="18">
        <f t="shared" si="7"/>
        <v>0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526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0</v>
      </c>
      <c r="U10" s="124">
        <f t="shared" si="6"/>
        <v>0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526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516" t="e">
        <f t="shared" si="4"/>
        <v>#DIV/0!</v>
      </c>
      <c r="T11" s="77">
        <f t="shared" si="5"/>
        <v>0</v>
      </c>
      <c r="U11" s="124">
        <f t="shared" si="6"/>
        <v>0</v>
      </c>
      <c r="V11" s="18">
        <f t="shared" si="7"/>
        <v>178025.516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52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0</v>
      </c>
      <c r="U12" s="124">
        <f t="shared" si="6"/>
        <v>0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0</v>
      </c>
      <c r="D13" s="51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52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0</v>
      </c>
      <c r="U13" s="124">
        <f t="shared" si="6"/>
        <v>0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0</v>
      </c>
      <c r="D14" s="51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114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P18" sqref="P1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44075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0.04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0.04</v>
      </c>
      <c r="C6" s="522">
        <f>Gen!AK12</f>
        <v>0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0.04</v>
      </c>
      <c r="C7" s="522">
        <f>Gen!AK13</f>
        <v>0</v>
      </c>
      <c r="D7" s="523">
        <f>Gen!T13</f>
        <v>0</v>
      </c>
      <c r="E7" s="460">
        <f>Gen!D13</f>
        <v>41808.060000000019</v>
      </c>
      <c r="F7" s="461" t="str">
        <f>'Water-Meter'!E8</f>
        <v>0</v>
      </c>
      <c r="G7" s="462">
        <f>'Water-Meter'!AN8</f>
        <v>-15155</v>
      </c>
      <c r="H7" s="460">
        <f>'Utility report '!AC8</f>
        <v>-37908</v>
      </c>
      <c r="I7" s="459">
        <f>'Kit report'!F6</f>
        <v>-1055748</v>
      </c>
      <c r="J7" s="460">
        <f>'Kit report'!X6</f>
        <v>-1563940</v>
      </c>
    </row>
    <row r="8" spans="1:10" ht="17.100000000000001" customHeight="1">
      <c r="A8" s="263">
        <f>Gen!B14</f>
        <v>44078</v>
      </c>
      <c r="B8" s="464">
        <f>Gen!C14</f>
        <v>0</v>
      </c>
      <c r="C8" s="522">
        <f>Gen!AK14</f>
        <v>0</v>
      </c>
      <c r="D8" s="523">
        <f>Gen!T14</f>
        <v>0</v>
      </c>
      <c r="E8" s="460">
        <f>Gen!D14</f>
        <v>41808.060000000019</v>
      </c>
      <c r="F8" s="461">
        <f>'Water-Meter'!E9</f>
        <v>0</v>
      </c>
      <c r="G8" s="462">
        <f>'Water-Meter'!AN9</f>
        <v>0</v>
      </c>
      <c r="H8" s="460">
        <f>'Utility report '!AC9</f>
        <v>0</v>
      </c>
      <c r="I8" s="459">
        <f>'Kit report'!F7</f>
        <v>0</v>
      </c>
      <c r="J8" s="460">
        <f>'Kit report'!X7</f>
        <v>0</v>
      </c>
    </row>
    <row r="9" spans="1:10" ht="17.100000000000001" customHeight="1">
      <c r="A9" s="263">
        <f>Gen!B15</f>
        <v>44079</v>
      </c>
      <c r="B9" s="464">
        <f>Gen!C15</f>
        <v>0</v>
      </c>
      <c r="C9" s="522">
        <f>Gen!AK15</f>
        <v>0</v>
      </c>
      <c r="D9" s="523">
        <f>Gen!T15</f>
        <v>0</v>
      </c>
      <c r="E9" s="460">
        <f>Gen!D15</f>
        <v>41808.060000000019</v>
      </c>
      <c r="F9" s="461">
        <f>'Water-Meter'!E10</f>
        <v>0</v>
      </c>
      <c r="G9" s="462">
        <f>'Water-Meter'!AN10</f>
        <v>0</v>
      </c>
      <c r="H9" s="460">
        <f>'Utility report '!AC10</f>
        <v>0</v>
      </c>
      <c r="I9" s="459">
        <f>'Kit report'!F8</f>
        <v>0</v>
      </c>
      <c r="J9" s="460">
        <f>'Kit report'!X8</f>
        <v>0</v>
      </c>
    </row>
    <row r="10" spans="1:10" ht="17.100000000000001" customHeight="1">
      <c r="A10" s="263">
        <f>Gen!B16</f>
        <v>44080</v>
      </c>
      <c r="B10" s="464">
        <f>Gen!C16</f>
        <v>0</v>
      </c>
      <c r="C10" s="522">
        <f>Gen!AK16</f>
        <v>0</v>
      </c>
      <c r="D10" s="523">
        <f>Gen!T16</f>
        <v>0</v>
      </c>
      <c r="E10" s="460">
        <f>Gen!D16</f>
        <v>41808.060000000019</v>
      </c>
      <c r="F10" s="461">
        <f>'Water-Meter'!E11</f>
        <v>0</v>
      </c>
      <c r="G10" s="462">
        <f>'Water-Meter'!AN11</f>
        <v>0</v>
      </c>
      <c r="H10" s="460">
        <f>'Utility report '!AC11</f>
        <v>0</v>
      </c>
      <c r="I10" s="459">
        <f>'Kit report'!F9</f>
        <v>0</v>
      </c>
      <c r="J10" s="460">
        <f>'Kit report'!X9</f>
        <v>0</v>
      </c>
    </row>
    <row r="11" spans="1:10" ht="17.100000000000001" customHeight="1">
      <c r="A11" s="263">
        <f>Gen!B17</f>
        <v>44081</v>
      </c>
      <c r="B11" s="464">
        <f>Gen!C17</f>
        <v>0</v>
      </c>
      <c r="C11" s="522">
        <f>Gen!AK17</f>
        <v>0</v>
      </c>
      <c r="D11" s="523">
        <f>Gen!T17</f>
        <v>0</v>
      </c>
      <c r="E11" s="460">
        <f>Gen!D17</f>
        <v>41808.060000000019</v>
      </c>
      <c r="F11" s="461">
        <f>'Water-Meter'!E12</f>
        <v>0</v>
      </c>
      <c r="G11" s="462">
        <f>'Water-Meter'!AN12</f>
        <v>0</v>
      </c>
      <c r="H11" s="460">
        <f>'Utility report '!AC12</f>
        <v>0</v>
      </c>
      <c r="I11" s="459">
        <f>'Kit report'!F10</f>
        <v>0</v>
      </c>
      <c r="J11" s="460">
        <f>'Kit report'!X10</f>
        <v>0</v>
      </c>
    </row>
    <row r="12" spans="1:10" ht="17.100000000000001" customHeight="1">
      <c r="A12" s="263">
        <f>Gen!B18</f>
        <v>44082</v>
      </c>
      <c r="B12" s="464">
        <f>Gen!C18</f>
        <v>0</v>
      </c>
      <c r="C12" s="522">
        <f>Gen!AK18</f>
        <v>0</v>
      </c>
      <c r="D12" s="523">
        <f>Gen!T18</f>
        <v>0</v>
      </c>
      <c r="E12" s="460">
        <f>Gen!D18</f>
        <v>41808.060000000019</v>
      </c>
      <c r="F12" s="461">
        <f>'Water-Meter'!E13</f>
        <v>0</v>
      </c>
      <c r="G12" s="462">
        <f>'Water-Meter'!AN13</f>
        <v>0</v>
      </c>
      <c r="H12" s="460">
        <f>'Utility report '!AC13</f>
        <v>0</v>
      </c>
      <c r="I12" s="459">
        <f>'Kit report'!F11</f>
        <v>0</v>
      </c>
      <c r="J12" s="460">
        <f>'Kit report'!X11</f>
        <v>0</v>
      </c>
    </row>
    <row r="13" spans="1:10" ht="17.100000000000001" customHeight="1">
      <c r="A13" s="263">
        <f>Gen!B19</f>
        <v>44083</v>
      </c>
      <c r="B13" s="464">
        <f>Gen!C19</f>
        <v>0</v>
      </c>
      <c r="C13" s="522">
        <f>Gen!AK19</f>
        <v>0</v>
      </c>
      <c r="D13" s="523">
        <f>Gen!T19</f>
        <v>0</v>
      </c>
      <c r="E13" s="460">
        <f>Gen!D19</f>
        <v>41808.060000000019</v>
      </c>
      <c r="F13" s="461">
        <f>'Water-Meter'!E14</f>
        <v>0</v>
      </c>
      <c r="G13" s="462">
        <f>'Water-Meter'!AN14</f>
        <v>0</v>
      </c>
      <c r="H13" s="460">
        <f>'Utility report '!AC14</f>
        <v>0</v>
      </c>
      <c r="I13" s="459">
        <f>'Kit report'!F12</f>
        <v>0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0</v>
      </c>
      <c r="C14" s="522">
        <f>Gen!AK20</f>
        <v>0</v>
      </c>
      <c r="D14" s="523">
        <f>Gen!T20</f>
        <v>0</v>
      </c>
      <c r="E14" s="460">
        <f>Gen!D20</f>
        <v>41808.060000000019</v>
      </c>
      <c r="F14" s="461">
        <f>'Water-Meter'!E15</f>
        <v>0</v>
      </c>
      <c r="G14" s="462">
        <f>'Water-Meter'!AN15</f>
        <v>0</v>
      </c>
      <c r="H14" s="460">
        <f>'Utility report '!AC15</f>
        <v>0</v>
      </c>
      <c r="I14" s="459">
        <f>'Kit report'!F13</f>
        <v>0</v>
      </c>
      <c r="J14" s="460">
        <f>'Kit report'!X13</f>
        <v>0</v>
      </c>
    </row>
    <row r="15" spans="1:10" ht="17.100000000000001" customHeight="1">
      <c r="A15" s="263">
        <f>Gen!B21</f>
        <v>44085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41808.060000000019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41808.060000000019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41808.060000000019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41808.060000000019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41808.060000000019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41808.060000000019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41808.060000000019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41808.060000000019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41808.060000000019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41808.060000000019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41808.060000000019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41808.060000000019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41808.060000000019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41808.060000000019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41808.060000000019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41808.060000000019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41808.060000000019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41808.060000000019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41808.060000000019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41808.060000000019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41808.060000000019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41808.060000000019</v>
      </c>
      <c r="F36" s="461">
        <f>'Water-Meter'!E37</f>
        <v>0</v>
      </c>
      <c r="G36" s="462">
        <f>'Water-Meter'!AN37</f>
        <v>168</v>
      </c>
      <c r="H36" s="460">
        <f>'Utility report '!AC37</f>
        <v>0</v>
      </c>
      <c r="I36" s="459">
        <f>'Kit report'!F35</f>
        <v>-1055364.0000000002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2020-09-03T05:23:59Z</dcterms:modified>
</cp:coreProperties>
</file>