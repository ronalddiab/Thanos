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4" l="1"/>
  <c r="Y3" i="1" l="1"/>
  <c r="T5" i="2" l="1"/>
  <c r="T6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P8" i="2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L9" i="2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R3" i="2"/>
  <c r="R5" i="2" s="1"/>
  <c r="R6" i="2" s="1"/>
  <c r="R7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N9" i="2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J9" i="2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9" i="2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D9" i="2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4"/>
  <c r="X2" i="4"/>
  <c r="Y2" i="4" s="1"/>
  <c r="Z2" i="4"/>
  <c r="P9" i="4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L9" i="4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AF9" i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9" i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5" i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Z9" i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9" i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9" i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9" i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9" i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H9" i="3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D9" i="3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V9" i="4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9" i="4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N9" i="4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J9" i="4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C9" i="4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E9" i="4" l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G9" i="4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T2" i="1"/>
  <c r="U2" i="1" s="1"/>
  <c r="G28" i="3"/>
  <c r="Q16" i="2" l="1"/>
  <c r="Q17" i="2"/>
  <c r="Q18" i="2"/>
  <c r="Q19" i="2"/>
  <c r="Q20" i="2"/>
  <c r="Q21" i="2"/>
  <c r="Q22" i="2"/>
  <c r="Q23" i="2"/>
  <c r="Q24" i="2"/>
  <c r="Q25" i="2"/>
  <c r="K9" i="9" l="1"/>
  <c r="U33" i="4" l="1"/>
  <c r="T33" i="4"/>
  <c r="Q26" i="2" l="1"/>
  <c r="C3" i="5"/>
  <c r="C5" i="5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C4" i="5" l="1"/>
  <c r="C4" i="3" l="1"/>
  <c r="C6" i="3"/>
  <c r="K18" i="9" l="1"/>
  <c r="K19" i="9"/>
  <c r="C10" i="5"/>
  <c r="B33" i="4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F33" i="4" l="1"/>
  <c r="I33" i="4" s="1"/>
  <c r="Z33" i="4"/>
  <c r="X33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3" i="4" l="1"/>
  <c r="Y33" i="4"/>
  <c r="E21" i="2"/>
  <c r="AE7" i="1"/>
  <c r="E22" i="2" l="1"/>
  <c r="AE8" i="1"/>
  <c r="AC6" i="8"/>
  <c r="E23" i="2" l="1"/>
  <c r="M3" i="2"/>
  <c r="M33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3" i="1" l="1"/>
  <c r="AC33" i="1"/>
  <c r="AG33" i="1"/>
  <c r="AE32" i="1"/>
  <c r="AE31" i="1"/>
  <c r="AE33" i="1" s="1"/>
  <c r="AA21" i="8"/>
  <c r="F3" i="8"/>
  <c r="E3" i="3"/>
  <c r="E33" i="3" s="1"/>
  <c r="Y33" i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O33" i="2"/>
  <c r="I33" i="2"/>
  <c r="G33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3" i="1" l="1"/>
  <c r="L33" i="1"/>
  <c r="I33" i="1"/>
  <c r="F33" i="1"/>
  <c r="C33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S33" i="1"/>
  <c r="D33" i="1"/>
  <c r="M33" i="1"/>
  <c r="G33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l="1"/>
  <c r="I15" i="3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S17" i="2" l="1"/>
  <c r="S33" i="2" s="1"/>
  <c r="I33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3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AE28" i="8" l="1"/>
  <c r="I28" i="9" s="1"/>
  <c r="K30" i="3"/>
  <c r="K33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C11" i="2" l="1"/>
  <c r="Z10" i="8" l="1"/>
  <c r="E10" i="9" s="1"/>
  <c r="C12" i="2"/>
  <c r="Z11" i="8" s="1"/>
  <c r="E11" i="9" s="1"/>
  <c r="C13" i="2" l="1"/>
  <c r="Z12" i="8" s="1"/>
  <c r="E12" i="9" s="1"/>
  <c r="C14" i="2" l="1"/>
  <c r="Z13" i="8" s="1"/>
  <c r="E13" i="9" s="1"/>
  <c r="C15" i="2" l="1"/>
  <c r="Z14" i="8" s="1"/>
  <c r="E14" i="9" s="1"/>
  <c r="C16" i="2" l="1"/>
  <c r="Z15" i="8" s="1"/>
  <c r="E15" i="9" s="1"/>
  <c r="C17" i="2" l="1"/>
  <c r="Z16" i="8" s="1"/>
  <c r="E16" i="9" s="1"/>
  <c r="C18" i="2" l="1"/>
  <c r="Z17" i="8" s="1"/>
  <c r="E17" i="9" s="1"/>
  <c r="C19" i="2" l="1"/>
  <c r="Z18" i="8" s="1"/>
  <c r="E18" i="9" s="1"/>
  <c r="C20" i="2" l="1"/>
  <c r="Z19" i="8" s="1"/>
  <c r="E19" i="9" s="1"/>
  <c r="C21" i="2" l="1"/>
  <c r="Z20" i="8" s="1"/>
  <c r="E20" i="9" s="1"/>
  <c r="C22" i="2" l="1"/>
  <c r="Z21" i="8" s="1"/>
  <c r="E21" i="9" s="1"/>
  <c r="C23" i="2" l="1"/>
  <c r="Z22" i="8" s="1"/>
  <c r="E22" i="9" s="1"/>
  <c r="C24" i="2" l="1"/>
  <c r="Z23" i="8" s="1"/>
  <c r="E23" i="9" s="1"/>
  <c r="C25" i="2" l="1"/>
  <c r="Z24" i="8" s="1"/>
  <c r="E24" i="9" s="1"/>
  <c r="C26" i="2" l="1"/>
  <c r="Z25" i="8" s="1"/>
  <c r="E25" i="9" s="1"/>
  <c r="C27" i="2" l="1"/>
  <c r="Z26" i="8" s="1"/>
  <c r="E26" i="9" s="1"/>
  <c r="C28" i="2" l="1"/>
  <c r="Z27" i="8" s="1"/>
  <c r="E27" i="9" s="1"/>
  <c r="C29" i="2" l="1"/>
  <c r="Z28" i="8" s="1"/>
  <c r="E28" i="9" s="1"/>
  <c r="C30" i="2" l="1"/>
  <c r="Z29" i="8" s="1"/>
  <c r="E29" i="9" s="1"/>
  <c r="C31" i="2" l="1"/>
  <c r="Z30" i="8" s="1"/>
  <c r="E30" i="9" s="1"/>
  <c r="J21" i="11" l="1"/>
  <c r="K21" i="11" s="1"/>
  <c r="C8" i="11" s="1"/>
  <c r="C32" i="2"/>
  <c r="Z31" i="8" s="1"/>
  <c r="E31" i="9" s="1"/>
  <c r="C33" i="2" l="1"/>
  <c r="D8" i="11"/>
  <c r="C7" i="11"/>
  <c r="D7" i="11" s="1"/>
</calcChain>
</file>

<file path=xl/sharedStrings.xml><?xml version="1.0" encoding="utf-8"?>
<sst xmlns="http://schemas.openxmlformats.org/spreadsheetml/2006/main" count="511" uniqueCount="151">
  <si>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</si>
  <si>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</si>
  <si>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</si>
  <si>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</si>
  <si>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</si>
  <si>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</si>
  <si>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</si>
  <si>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</si>
  <si>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</si>
  <si>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</si>
  <si>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</si>
  <si>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</si>
  <si>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</si>
  <si>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</si>
  <si>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</si>
  <si>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</si>
  <si>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</si>
  <si>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</si>
  <si>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</si>
  <si>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</si>
  <si>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</si>
  <si>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</si>
  <si>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</si>
  <si>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</si>
  <si>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</si>
  <si>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</si>
  <si>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</si>
  <si>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</si>
  <si>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</si>
  <si>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</si>
  <si>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</si>
  <si>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</si>
  <si>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</si>
  <si>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</si>
  <si>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</si>
  <si>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</si>
  <si>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</si>
  <si>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</si>
  <si>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</si>
  <si>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</si>
  <si>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</si>
  <si>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</si>
  <si>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</si>
  <si>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</si>
  <si>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</si>
  <si>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</si>
  <si>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</si>
  <si>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</si>
  <si>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</si>
  <si>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</si>
  <si>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</si>
  <si>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</si>
  <si>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</si>
  <si>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</si>
  <si>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</si>
  <si>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</si>
  <si>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</si>
  <si>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</si>
  <si>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</si>
  <si>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</si>
  <si>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</si>
  <si>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</si>
  <si>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</si>
  <si>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</si>
  <si>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</si>
  <si>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</si>
  <si>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</si>
  <si>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</si>
  <si>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</si>
  <si>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</si>
  <si>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</si>
  <si>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</si>
  <si>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</si>
  <si>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</si>
  <si>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</si>
  <si>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</si>
  <si>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</si>
  <si>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</si>
  <si>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</si>
  <si>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</si>
  <si>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</si>
  <si>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</si>
  <si>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</si>
  <si>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</si>
  <si>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</si>
  <si>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</si>
  <si>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</si>
  <si>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</si>
  <si>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</si>
  <si>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</si>
  <si>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</si>
  <si>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</si>
  <si>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</si>
  <si>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</si>
  <si>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</si>
  <si>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</si>
  <si>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</si>
  <si>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</si>
  <si>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</si>
  <si>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</si>
  <si>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</si>
  <si>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</si>
  <si>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</si>
  <si>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</si>
  <si>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</si>
  <si>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</si>
  <si>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</si>
  <si>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</si>
  <si>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</si>
  <si>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</si>
  <si>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</si>
  <si>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</si>
  <si>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</si>
  <si>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</si>
  <si>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</si>
  <si>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</si>
  <si>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</si>
  <si>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</si>
  <si>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</si>
  <si>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</si>
  <si>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</si>
  <si>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</si>
  <si>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</si>
  <si>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</si>
  <si>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</si>
  <si>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</si>
  <si>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</si>
  <si>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</si>
  <si>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</si>
  <si>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</si>
  <si>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</si>
  <si>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</si>
  <si>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</si>
  <si>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</si>
  <si>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</si>
  <si>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</si>
  <si>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</si>
  <si>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</si>
  <si>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</si>
  <si>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</si>
  <si>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</si>
  <si>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</si>
  <si>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</si>
  <si>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</si>
  <si>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</si>
  <si>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</si>
  <si>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</si>
  <si>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</si>
  <si>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</si>
  <si>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</si>
  <si>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November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</si>
</sst>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tabSelected="1" zoomScale="85" zoomScaleNormal="85" workbookViewId="0">
      <pane ySplit="1" topLeftCell="A2" activePane="bottomLeft" state="frozen"/>
      <selection pane="bottomLeft" activeCell="E7" sqref="E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11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70288.356740000003</v>
      </c>
      <c r="F2" s="126">
        <v>1.27</v>
      </c>
      <c r="G2" s="36">
        <f>Gas!C3*0.9147</f>
        <v>2505.3633</v>
      </c>
      <c r="H2" s="127">
        <v>3.65</v>
      </c>
      <c r="I2" s="128">
        <f>Submetering!H2+Submetering!AD2+Submetering!AE2</f>
        <v>626</v>
      </c>
      <c r="J2" s="129">
        <v>10.029999999999999</v>
      </c>
      <c r="K2" s="36">
        <f>ELECT.!B3</f>
        <v>277</v>
      </c>
    </row>
    <row r="3" spans="1:14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42312.757943999997</v>
      </c>
      <c r="F3" s="126">
        <v>1.27</v>
      </c>
      <c r="G3" s="36">
        <f>Gas!C4*0.9147</f>
        <v>1913.5523999999998</v>
      </c>
      <c r="H3" s="127">
        <v>3.65</v>
      </c>
      <c r="I3" s="129">
        <f>Submetering!H3+Submetering!AD3+Submetering!AE3</f>
        <v>566</v>
      </c>
      <c r="J3" s="129">
        <v>10.029999999999999</v>
      </c>
      <c r="K3" s="36">
        <f>ELECT.!B4</f>
        <v>304</v>
      </c>
    </row>
    <row r="4" spans="1:14" x14ac:dyDescent="0.2">
      <c r="A4" s="47" t="s">
        <v>53</v>
      </c>
      <c r="B4" s="52">
        <f t="shared" ref="B4:B31" si="0">B3+1</f>
        <v>3</v>
      </c>
      <c r="C4" s="52">
        <v>11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81829.023523999989</v>
      </c>
      <c r="F4" s="126">
        <v>1.27</v>
      </c>
      <c r="G4" s="36">
        <f>Gas!C5*0.9147</f>
        <v>2626.1036999999997</v>
      </c>
      <c r="H4" s="127">
        <v>3.65</v>
      </c>
      <c r="I4" s="129">
        <f>Submetering!H4+Submetering!AD4+Submetering!AE4</f>
        <v>666</v>
      </c>
      <c r="J4" s="129">
        <v>10.029999999999999</v>
      </c>
      <c r="K4" s="36">
        <f>ELECT.!B5</f>
        <v>300</v>
      </c>
    </row>
    <row r="5" spans="1:14" x14ac:dyDescent="0.2">
      <c r="A5" s="47" t="s">
        <v>53</v>
      </c>
      <c r="B5" s="52">
        <f t="shared" si="0"/>
        <v>4</v>
      </c>
      <c r="C5" s="52">
        <v>11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56677.568168000005</v>
      </c>
      <c r="F5" s="126">
        <v>1.27</v>
      </c>
      <c r="G5" s="36">
        <f>Gas!C6*0.9147</f>
        <v>1445.2259999999999</v>
      </c>
      <c r="H5" s="127">
        <v>3.65</v>
      </c>
      <c r="I5" s="129">
        <f>Submetering!H5+Submetering!AD5+Submetering!AE5</f>
        <v>516</v>
      </c>
      <c r="J5" s="129">
        <v>10.029999999999999</v>
      </c>
      <c r="K5" s="36">
        <f>ELECT.!B6</f>
        <v>300</v>
      </c>
    </row>
    <row r="6" spans="1:14" x14ac:dyDescent="0.2">
      <c r="A6" s="47" t="s">
        <v>53</v>
      </c>
      <c r="B6" s="52">
        <f t="shared" si="0"/>
        <v>5</v>
      </c>
      <c r="C6" s="52">
        <v>11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61359.503687999997</v>
      </c>
      <c r="F6" s="126">
        <v>1.27</v>
      </c>
      <c r="G6" s="36">
        <f>Gas!C7*0.9147</f>
        <v>2017.8281999999999</v>
      </c>
      <c r="H6" s="127">
        <v>3.65</v>
      </c>
      <c r="I6" s="129">
        <f>Submetering!H6+Submetering!AD6+Submetering!AE6</f>
        <v>576</v>
      </c>
      <c r="J6" s="129">
        <v>10.029999999999999</v>
      </c>
      <c r="K6" s="36">
        <f>ELECT.!B7</f>
        <v>310</v>
      </c>
    </row>
    <row r="7" spans="1:14" x14ac:dyDescent="0.2">
      <c r="A7" s="47" t="s">
        <v>53</v>
      </c>
      <c r="B7" s="52">
        <f t="shared" si="0"/>
        <v>6</v>
      </c>
      <c r="C7" s="52">
        <v>11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53580.221836000004</v>
      </c>
      <c r="F7" s="126">
        <v>1.27</v>
      </c>
      <c r="G7" s="36">
        <f>Gas!C8*0.9147</f>
        <v>1834.8881999999999</v>
      </c>
      <c r="H7" s="127">
        <v>3.65</v>
      </c>
      <c r="I7" s="129">
        <f>Submetering!H7+Submetering!AD7+Submetering!AE7</f>
        <v>636</v>
      </c>
      <c r="J7" s="129">
        <v>10.029999999999999</v>
      </c>
      <c r="K7" s="36">
        <f>ELECT.!B8</f>
        <v>348</v>
      </c>
    </row>
    <row r="8" spans="1:14" x14ac:dyDescent="0.2">
      <c r="A8" s="47" t="s">
        <v>53</v>
      </c>
      <c r="B8" s="52">
        <f t="shared" si="0"/>
        <v>7</v>
      </c>
      <c r="C8" s="52">
        <v>11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26">
        <v>1.27</v>
      </c>
      <c r="G8" s="36">
        <f>Gas!C9*0.9147</f>
        <v>0</v>
      </c>
      <c r="H8" s="127">
        <v>3.65</v>
      </c>
      <c r="I8" s="129">
        <f>Submetering!H8+Submetering!AD8+Submetering!AE8</f>
        <v>-194</v>
      </c>
      <c r="J8" s="129">
        <v>10.029999999999999</v>
      </c>
      <c r="K8" s="36">
        <f>ELECT.!B9</f>
        <v>0</v>
      </c>
    </row>
    <row r="9" spans="1:14" x14ac:dyDescent="0.2">
      <c r="A9" s="47" t="s">
        <v>53</v>
      </c>
      <c r="B9" s="52">
        <f t="shared" si="0"/>
        <v>8</v>
      </c>
      <c r="C9" s="52">
        <v>11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26">
        <v>1.27</v>
      </c>
      <c r="G9" s="36">
        <f>Gas!C10*0.9147</f>
        <v>0</v>
      </c>
      <c r="H9" s="127">
        <v>3.65</v>
      </c>
      <c r="I9" s="129">
        <f>Submetering!H9+Submetering!AD9+Submetering!AE9</f>
        <v>-194</v>
      </c>
      <c r="J9" s="129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11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26">
        <v>1.27</v>
      </c>
      <c r="G10" s="36">
        <f>Gas!C11*0.9147</f>
        <v>0</v>
      </c>
      <c r="H10" s="127">
        <v>3.65</v>
      </c>
      <c r="I10" s="129">
        <f>Submetering!H10+Submetering!AD10+Submetering!AE10</f>
        <v>-194</v>
      </c>
      <c r="J10" s="129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10</v>
      </c>
      <c r="C11" s="52">
        <v>11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6">
        <v>1.27</v>
      </c>
      <c r="G11" s="36">
        <f>Gas!C12*0.9147</f>
        <v>0</v>
      </c>
      <c r="H11" s="127">
        <v>3.65</v>
      </c>
      <c r="I11" s="129">
        <f>Submetering!H11+Submetering!AD11+Submetering!AE11</f>
        <v>-194</v>
      </c>
      <c r="J11" s="129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11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6">
        <v>1.27</v>
      </c>
      <c r="G12" s="36">
        <f>Gas!C13*0.9147</f>
        <v>0</v>
      </c>
      <c r="H12" s="127">
        <v>3.65</v>
      </c>
      <c r="I12" s="129">
        <f>Submetering!H12+Submetering!AD12+Submetering!AE12</f>
        <v>-194</v>
      </c>
      <c r="J12" s="129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11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-194</v>
      </c>
      <c r="J13" s="129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11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-194</v>
      </c>
      <c r="J14" s="129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11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-194</v>
      </c>
      <c r="J15" s="129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11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-194</v>
      </c>
      <c r="J16" s="129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11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6">
        <v>1.27</v>
      </c>
      <c r="G17" s="36">
        <f>Gas!C18*0.9147</f>
        <v>0</v>
      </c>
      <c r="H17" s="127">
        <v>3.65</v>
      </c>
      <c r="I17" s="129">
        <f>Submetering!H17+Submetering!AD17+Submetering!AE17</f>
        <v>-194</v>
      </c>
      <c r="J17" s="129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11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6">
        <v>1.27</v>
      </c>
      <c r="G18" s="36">
        <f>Gas!C19*0.9147</f>
        <v>0</v>
      </c>
      <c r="H18" s="127">
        <v>3.65</v>
      </c>
      <c r="I18" s="129">
        <f>Submetering!H18+Submetering!AD18+Submetering!AE18</f>
        <v>-194</v>
      </c>
      <c r="J18" s="129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11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6">
        <v>1.27</v>
      </c>
      <c r="G19" s="36">
        <f>Gas!C20*0.9147</f>
        <v>0</v>
      </c>
      <c r="H19" s="127">
        <v>3.65</v>
      </c>
      <c r="I19" s="129">
        <f>Submetering!H19+Submetering!AD19+Submetering!AE19</f>
        <v>-194</v>
      </c>
      <c r="J19" s="129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11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6">
        <v>1.27</v>
      </c>
      <c r="G20" s="36">
        <f>Gas!C21*0.9147</f>
        <v>0</v>
      </c>
      <c r="H20" s="127">
        <v>3.65</v>
      </c>
      <c r="I20" s="129">
        <f>Submetering!H20+Submetering!AD20+Submetering!AE20</f>
        <v>-194</v>
      </c>
      <c r="J20" s="129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11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6">
        <v>1.27</v>
      </c>
      <c r="G21" s="36">
        <f>Gas!C22*0.9147</f>
        <v>0</v>
      </c>
      <c r="H21" s="127">
        <v>3.65</v>
      </c>
      <c r="I21" s="129">
        <f>Submetering!H21+Submetering!AD21+Submetering!AE21</f>
        <v>-194</v>
      </c>
      <c r="J21" s="129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11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11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11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11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11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11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11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11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11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11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E32" s="36"/>
      <c r="F32" s="127"/>
      <c r="G32" s="36"/>
      <c r="H32" s="127"/>
      <c r="I32" s="129"/>
      <c r="J32" s="129"/>
      <c r="K32" s="36"/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topLeftCell="H1" zoomScale="85" zoomScaleNormal="85" workbookViewId="0">
      <selection activeCell="E7" sqref="E7:AE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11</v>
      </c>
      <c r="D2" s="52">
        <v>2022</v>
      </c>
      <c r="E2" s="36">
        <f>Water!C3</f>
        <v>820</v>
      </c>
      <c r="F2" s="36">
        <f>Water!E3</f>
        <v>350</v>
      </c>
      <c r="G2" s="36">
        <f>Water!G3</f>
        <v>429.3</v>
      </c>
      <c r="H2" s="36">
        <f>Water!I3</f>
        <v>4.9409999999999998</v>
      </c>
      <c r="I2" s="36">
        <f>ELECT.!F3</f>
        <v>11398</v>
      </c>
      <c r="J2" s="36">
        <f>ELECT.!H3</f>
        <v>61243</v>
      </c>
      <c r="K2" s="36">
        <f>ELECT.!K3</f>
        <v>13958</v>
      </c>
      <c r="L2" s="36">
        <f>ELECT.!M3</f>
        <v>7160</v>
      </c>
      <c r="M2" s="36">
        <f>ELECT.!O3</f>
        <v>4058</v>
      </c>
      <c r="N2" s="36">
        <f>ELECT.!Q3</f>
        <v>12716</v>
      </c>
      <c r="O2" s="36">
        <f>ELECT.!S3</f>
        <v>12729</v>
      </c>
      <c r="P2" s="36">
        <f>ELECT.!W3*2</f>
        <v>26906</v>
      </c>
      <c r="Q2" s="36">
        <f>ELECT.!D3</f>
        <v>480</v>
      </c>
      <c r="R2" s="37">
        <f>BTU!C3</f>
        <v>5.1419999999998254</v>
      </c>
      <c r="S2" s="37">
        <f>BTU!F3</f>
        <v>1.7870000000002619</v>
      </c>
      <c r="T2" s="37">
        <f>BTU!I3</f>
        <v>4</v>
      </c>
      <c r="U2" s="37">
        <f>BTU!O3</f>
        <v>2.2680000000000291</v>
      </c>
      <c r="V2" s="37">
        <f>BTU!L3</f>
        <v>0.31999999999970896</v>
      </c>
      <c r="W2" s="37">
        <f>BTU!R3</f>
        <v>1.0400000000008731</v>
      </c>
      <c r="X2" s="34">
        <f>ELECT.!B3</f>
        <v>277</v>
      </c>
      <c r="Y2" s="34">
        <f>I2+J2-(K2+L2+M2+N2+O2+P2)</f>
        <v>-4886</v>
      </c>
      <c r="Z2">
        <f>'Mall, Citadel, Rotana'!C3+'Mall, Citadel, Rotana'!E3+'Mall, Citadel, Rotana'!G3+'Mall, Citadel, Rotana'!I3</f>
        <v>1179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147</v>
      </c>
      <c r="AD2" s="34">
        <f>(E2-H2-194)*0.1318</f>
        <v>81.855576200000002</v>
      </c>
      <c r="AE2" s="34">
        <f>E2-H2-AD2-194</f>
        <v>539.2034238</v>
      </c>
    </row>
    <row r="3" spans="1:31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Water!C4</f>
        <v>760</v>
      </c>
      <c r="F3" s="36">
        <f>Water!E4</f>
        <v>360</v>
      </c>
      <c r="G3" s="36">
        <f>Water!G4</f>
        <v>378</v>
      </c>
      <c r="H3" s="36">
        <f>Water!I4</f>
        <v>5.0220000000000002</v>
      </c>
      <c r="I3" s="36">
        <f>ELECT.!F4</f>
        <v>7012</v>
      </c>
      <c r="J3" s="36">
        <f>ELECT.!H4</f>
        <v>37610</v>
      </c>
      <c r="K3" s="36">
        <f>ELECT.!K4</f>
        <v>8854</v>
      </c>
      <c r="L3" s="36">
        <f>ELECT.!M4</f>
        <v>4367</v>
      </c>
      <c r="M3" s="36">
        <f>ELECT.!O4</f>
        <v>2510</v>
      </c>
      <c r="N3" s="36">
        <f>ELECT.!Q4</f>
        <v>8843</v>
      </c>
      <c r="O3" s="36">
        <f>ELECT.!S4</f>
        <v>7630</v>
      </c>
      <c r="P3" s="36">
        <f>ELECT.!W4*2</f>
        <v>16536</v>
      </c>
      <c r="Q3" s="36">
        <f>ELECT.!D4</f>
        <v>480</v>
      </c>
      <c r="R3" s="129">
        <f>BTU!C4</f>
        <v>6.5180000000000291</v>
      </c>
      <c r="S3" s="129">
        <f>BTU!F4</f>
        <v>2.2349999999996726</v>
      </c>
      <c r="T3" s="129">
        <f>BTU!I4</f>
        <v>5</v>
      </c>
      <c r="U3" s="129">
        <f>BTU!O4</f>
        <v>3.1469999999999345</v>
      </c>
      <c r="V3" s="129">
        <f>BTU!L4</f>
        <v>0.34000000000014552</v>
      </c>
      <c r="W3" s="129">
        <f>BTU!R4</f>
        <v>1.8799999999991996</v>
      </c>
      <c r="X3" s="34">
        <f>ELECT.!B4</f>
        <v>304</v>
      </c>
      <c r="Y3" s="34">
        <f t="shared" ref="Y3:Y31" si="0">I3+J3-(K3+L3+M3+N3+O3+P3)</f>
        <v>-4118</v>
      </c>
      <c r="Z3">
        <f>'Mall, Citadel, Rotana'!C4+'Mall, Citadel, Rotana'!E4+'Mall, Citadel, Rotana'!G4+'Mall, Citadel, Rotana'!I4</f>
        <v>1384</v>
      </c>
      <c r="AA3">
        <f>'Mall, Citadel, Rotana'!K4+'Mall, Citadel, Rotana'!M4</f>
        <v>420</v>
      </c>
      <c r="AB3">
        <f>'Mall, Citadel, Rotana'!O4</f>
        <v>3</v>
      </c>
      <c r="AC3">
        <f>'Mall, Citadel, Rotana'!Q4+'Mall, Citadel, Rotana'!S4</f>
        <v>118</v>
      </c>
      <c r="AD3" s="34">
        <f t="shared" ref="AD3:AD31" si="1">(E3-H3-194)*0.1318</f>
        <v>73.936900399999999</v>
      </c>
      <c r="AE3" s="34">
        <f t="shared" ref="AE3:AE31" si="2">E3-H3-AD3-194</f>
        <v>487.04109959999994</v>
      </c>
    </row>
    <row r="4" spans="1:31" x14ac:dyDescent="0.2">
      <c r="A4" s="47" t="s">
        <v>53</v>
      </c>
      <c r="B4" s="52">
        <f t="shared" ref="B4:B31" si="3">B3+1</f>
        <v>3</v>
      </c>
      <c r="C4" s="52">
        <v>11</v>
      </c>
      <c r="D4" s="52">
        <v>2022</v>
      </c>
      <c r="E4" s="36">
        <f>Water!C5</f>
        <v>860</v>
      </c>
      <c r="F4" s="36">
        <f>Water!E5</f>
        <v>370</v>
      </c>
      <c r="G4" s="36">
        <f>Water!G5</f>
        <v>434.7</v>
      </c>
      <c r="H4" s="36">
        <f>Water!I5</f>
        <v>5.13</v>
      </c>
      <c r="I4" s="36">
        <f>ELECT.!F5</f>
        <v>15712</v>
      </c>
      <c r="J4" s="36">
        <f>ELECT.!H5</f>
        <v>68851</v>
      </c>
      <c r="K4" s="36">
        <f>ELECT.!K5</f>
        <v>15092</v>
      </c>
      <c r="L4" s="36">
        <f>ELECT.!M5</f>
        <v>7930</v>
      </c>
      <c r="M4" s="36">
        <f>ELECT.!O5</f>
        <v>7542</v>
      </c>
      <c r="N4" s="36">
        <f>ELECT.!Q5</f>
        <v>14500</v>
      </c>
      <c r="O4" s="36">
        <f>ELECT.!S5</f>
        <v>14117</v>
      </c>
      <c r="P4" s="36">
        <f>ELECT.!W5*2</f>
        <v>31294</v>
      </c>
      <c r="Q4" s="36">
        <f>ELECT.!D5</f>
        <v>480</v>
      </c>
      <c r="R4" s="129">
        <f>BTU!C5</f>
        <v>5.7659999999996217</v>
      </c>
      <c r="S4" s="129">
        <f>BTU!F5</f>
        <v>1.944999999999709</v>
      </c>
      <c r="T4" s="129">
        <f>BTU!I5</f>
        <v>4</v>
      </c>
      <c r="U4" s="129">
        <f>BTU!O5</f>
        <v>2.4750000000003638</v>
      </c>
      <c r="V4" s="129">
        <f>BTU!L5</f>
        <v>0.25</v>
      </c>
      <c r="W4" s="129">
        <f>BTU!R5</f>
        <v>1.4800000000004729</v>
      </c>
      <c r="X4" s="34">
        <f>ELECT.!B5</f>
        <v>300</v>
      </c>
      <c r="Y4" s="34">
        <f t="shared" si="0"/>
        <v>-5912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365</v>
      </c>
      <c r="AB4">
        <f>'Mall, Citadel, Rotana'!O5</f>
        <v>3</v>
      </c>
      <c r="AC4">
        <f>'Mall, Citadel, Rotana'!Q5+'Mall, Citadel, Rotana'!S5</f>
        <v>115</v>
      </c>
      <c r="AD4" s="34">
        <f t="shared" si="1"/>
        <v>87.102665999999999</v>
      </c>
      <c r="AE4" s="34">
        <f t="shared" si="2"/>
        <v>573.76733400000001</v>
      </c>
    </row>
    <row r="5" spans="1:31" x14ac:dyDescent="0.2">
      <c r="A5" s="47" t="s">
        <v>53</v>
      </c>
      <c r="B5" s="52">
        <f t="shared" si="3"/>
        <v>4</v>
      </c>
      <c r="C5" s="52">
        <v>11</v>
      </c>
      <c r="D5" s="52">
        <v>2022</v>
      </c>
      <c r="E5" s="36">
        <f>Water!C6</f>
        <v>710</v>
      </c>
      <c r="F5" s="36">
        <f>Water!E6</f>
        <v>350</v>
      </c>
      <c r="G5" s="36">
        <f>Water!G6</f>
        <v>432</v>
      </c>
      <c r="H5" s="36">
        <f>Water!I6</f>
        <v>5.13</v>
      </c>
      <c r="I5" s="36">
        <f>ELECT.!F6</f>
        <v>8637</v>
      </c>
      <c r="J5" s="36">
        <f>ELECT.!H6</f>
        <v>50510</v>
      </c>
      <c r="K5" s="36">
        <f>ELECT.!K6</f>
        <v>10236</v>
      </c>
      <c r="L5" s="36">
        <f>ELECT.!M6</f>
        <v>5271</v>
      </c>
      <c r="M5" s="36">
        <f>ELECT.!O6</f>
        <v>3232</v>
      </c>
      <c r="N5" s="36">
        <f>ELECT.!Q6</f>
        <v>11381</v>
      </c>
      <c r="O5" s="36">
        <f>ELECT.!S6</f>
        <v>10230</v>
      </c>
      <c r="P5" s="36">
        <f>ELECT.!W6*2</f>
        <v>22672</v>
      </c>
      <c r="Q5" s="36">
        <f>ELECT.!D6</f>
        <v>480</v>
      </c>
      <c r="R5" s="129">
        <f>BTU!C6</f>
        <v>3.4879999999975553</v>
      </c>
      <c r="S5" s="129">
        <f>BTU!F6</f>
        <v>0.45500000000083674</v>
      </c>
      <c r="T5" s="129">
        <f>BTU!I6</f>
        <v>3</v>
      </c>
      <c r="U5" s="129">
        <f>BTU!O6</f>
        <v>1.4669999999996435</v>
      </c>
      <c r="V5" s="129">
        <f>BTU!L6</f>
        <v>0.20999999999912689</v>
      </c>
      <c r="W5" s="129">
        <f>BTU!R6</f>
        <v>0.68999999999959982</v>
      </c>
      <c r="X5" s="34">
        <f>ELECT.!B6</f>
        <v>300</v>
      </c>
      <c r="Y5" s="34">
        <f t="shared" si="0"/>
        <v>-3875</v>
      </c>
      <c r="Z5">
        <f>'Mall, Citadel, Rotana'!C6+'Mall, Citadel, Rotana'!E6+'Mall, Citadel, Rotana'!G6+'Mall, Citadel, Rotana'!I6</f>
        <v>1403</v>
      </c>
      <c r="AA5">
        <f>'Mall, Citadel, Rotana'!K6+'Mall, Citadel, Rotana'!M6</f>
        <v>368</v>
      </c>
      <c r="AB5">
        <f>'Mall, Citadel, Rotana'!O6</f>
        <v>3</v>
      </c>
      <c r="AC5">
        <f>'Mall, Citadel, Rotana'!Q6+'Mall, Citadel, Rotana'!S6</f>
        <v>117</v>
      </c>
      <c r="AD5" s="34">
        <f t="shared" si="1"/>
        <v>67.332666000000003</v>
      </c>
      <c r="AE5" s="34">
        <f t="shared" si="2"/>
        <v>443.53733399999999</v>
      </c>
    </row>
    <row r="6" spans="1:31" x14ac:dyDescent="0.2">
      <c r="A6" s="47" t="s">
        <v>53</v>
      </c>
      <c r="B6" s="52">
        <f t="shared" si="3"/>
        <v>5</v>
      </c>
      <c r="C6" s="52">
        <v>11</v>
      </c>
      <c r="D6" s="52">
        <v>2022</v>
      </c>
      <c r="E6" s="36">
        <f>Water!C7</f>
        <v>770</v>
      </c>
      <c r="F6" s="36">
        <f>Water!E7</f>
        <v>360</v>
      </c>
      <c r="G6" s="36">
        <f>Water!G7</f>
        <v>394.2</v>
      </c>
      <c r="H6" s="36">
        <f>Water!I7</f>
        <v>5.0220000000000002</v>
      </c>
      <c r="I6" s="36">
        <f>ELECT.!F7</f>
        <v>9350</v>
      </c>
      <c r="J6" s="36">
        <f>ELECT.!H7</f>
        <v>53973</v>
      </c>
      <c r="K6" s="36">
        <f>ELECT.!K7</f>
        <v>11572</v>
      </c>
      <c r="L6" s="36">
        <f>ELECT.!M7</f>
        <v>5740</v>
      </c>
      <c r="M6" s="36">
        <f>ELECT.!O7</f>
        <v>3450</v>
      </c>
      <c r="N6" s="36">
        <f>ELECT.!Q7</f>
        <v>11607</v>
      </c>
      <c r="O6" s="36">
        <f>ELECT.!S7</f>
        <v>11010</v>
      </c>
      <c r="P6" s="36">
        <f>ELECT.!W7*2</f>
        <v>24472</v>
      </c>
      <c r="Q6" s="36">
        <f>ELECT.!D7</f>
        <v>480</v>
      </c>
      <c r="R6" s="129">
        <f>BTU!C7</f>
        <v>5.1340000000018335</v>
      </c>
      <c r="S6" s="129">
        <f>BTU!F7</f>
        <v>1.1239999999997963</v>
      </c>
      <c r="T6" s="129">
        <f>BTU!I7</f>
        <v>4</v>
      </c>
      <c r="U6" s="129">
        <f>BTU!O7</f>
        <v>2.3560000000002219</v>
      </c>
      <c r="V6" s="129">
        <f>BTU!L7</f>
        <v>1.4099999999998545</v>
      </c>
      <c r="W6" s="129">
        <f>BTU!R7</f>
        <v>2.0799999999999272</v>
      </c>
      <c r="X6" s="34">
        <f>ELECT.!B7</f>
        <v>310</v>
      </c>
      <c r="Y6" s="34">
        <f t="shared" si="0"/>
        <v>-4528</v>
      </c>
      <c r="Z6">
        <f>'Mall, Citadel, Rotana'!C7+'Mall, Citadel, Rotana'!E7+'Mall, Citadel, Rotana'!G7+'Mall, Citadel, Rotana'!I7</f>
        <v>995</v>
      </c>
      <c r="AA6">
        <f>'Mall, Citadel, Rotana'!K7+'Mall, Citadel, Rotana'!M7</f>
        <v>249</v>
      </c>
      <c r="AB6">
        <f>'Mall, Citadel, Rotana'!O7</f>
        <v>4</v>
      </c>
      <c r="AC6">
        <f>'Mall, Citadel, Rotana'!Q7+'Mall, Citadel, Rotana'!S7</f>
        <v>121</v>
      </c>
      <c r="AD6" s="34">
        <f t="shared" si="1"/>
        <v>75.254900399999997</v>
      </c>
      <c r="AE6" s="34">
        <f t="shared" si="2"/>
        <v>495.72309959999995</v>
      </c>
    </row>
    <row r="7" spans="1:31" x14ac:dyDescent="0.2">
      <c r="A7" s="47" t="s">
        <v>53</v>
      </c>
      <c r="B7" s="52">
        <f t="shared" si="3"/>
        <v>6</v>
      </c>
      <c r="C7" s="52">
        <v>11</v>
      </c>
      <c r="D7" s="52">
        <v>2022</v>
      </c>
      <c r="E7" s="36">
        <f>Water!C8</f>
        <v>830</v>
      </c>
      <c r="F7" s="36">
        <f>Water!E8</f>
        <v>360</v>
      </c>
      <c r="G7" s="36">
        <f>Water!G8</f>
        <v>472.5</v>
      </c>
      <c r="H7" s="36">
        <f>Water!I8</f>
        <v>4.968</v>
      </c>
      <c r="I7" s="36">
        <f>ELECT.!F8</f>
        <v>8347</v>
      </c>
      <c r="J7" s="36">
        <f>ELECT.!H8</f>
        <v>47158</v>
      </c>
      <c r="K7" s="36">
        <f>ELECT.!K8</f>
        <v>10900</v>
      </c>
      <c r="L7" s="36">
        <f>ELECT.!M8</f>
        <v>5044</v>
      </c>
      <c r="M7" s="36">
        <f>ELECT.!O8</f>
        <v>3160</v>
      </c>
      <c r="N7" s="36">
        <f>ELECT.!Q8</f>
        <v>9990</v>
      </c>
      <c r="O7" s="36">
        <f>ELECT.!S8</f>
        <v>9475</v>
      </c>
      <c r="P7" s="36">
        <f>ELECT.!W8*2</f>
        <v>21254</v>
      </c>
      <c r="Q7" s="36">
        <f>ELECT.!D8</f>
        <v>480</v>
      </c>
      <c r="R7" s="129">
        <f>BTU!C8</f>
        <v>4.1879999999982829</v>
      </c>
      <c r="S7" s="129">
        <f>BTU!F8</f>
        <v>1.2409999999999854</v>
      </c>
      <c r="T7" s="129">
        <f>BTU!I8</f>
        <v>3</v>
      </c>
      <c r="U7" s="129">
        <f>BTU!O8</f>
        <v>1.9180000000001201</v>
      </c>
      <c r="V7" s="129">
        <f>BTU!L8</f>
        <v>1.2399999999997817</v>
      </c>
      <c r="W7" s="129">
        <f>BTU!R8</f>
        <v>0.1000000000003638</v>
      </c>
      <c r="X7" s="34">
        <f>ELECT.!B8</f>
        <v>348</v>
      </c>
      <c r="Y7" s="34">
        <f t="shared" si="0"/>
        <v>-4318</v>
      </c>
      <c r="Z7">
        <f>'Mall, Citadel, Rotana'!C8+'Mall, Citadel, Rotana'!E8+'Mall, Citadel, Rotana'!G8+'Mall, Citadel, Rotana'!I8</f>
        <v>1072</v>
      </c>
      <c r="AA7">
        <f>'Mall, Citadel, Rotana'!K8+'Mall, Citadel, Rotana'!M8</f>
        <v>354</v>
      </c>
      <c r="AB7">
        <f>'Mall, Citadel, Rotana'!O8</f>
        <v>3</v>
      </c>
      <c r="AC7">
        <f>'Mall, Citadel, Rotana'!Q8+'Mall, Citadel, Rotana'!S8</f>
        <v>0</v>
      </c>
      <c r="AD7" s="34">
        <f t="shared" si="1"/>
        <v>83.170017600000008</v>
      </c>
      <c r="AE7" s="34">
        <f t="shared" si="2"/>
        <v>547.86198239999999</v>
      </c>
    </row>
    <row r="8" spans="1:31" x14ac:dyDescent="0.2">
      <c r="A8" s="47" t="s">
        <v>53</v>
      </c>
      <c r="B8" s="52">
        <f t="shared" si="3"/>
        <v>7</v>
      </c>
      <c r="C8" s="52">
        <v>11</v>
      </c>
      <c r="D8" s="52">
        <v>2022</v>
      </c>
      <c r="E8" s="36">
        <f>Water!C9</f>
        <v>0</v>
      </c>
      <c r="F8" s="36">
        <f>Water!E9</f>
        <v>0</v>
      </c>
      <c r="G8" s="36">
        <f>Water!G9</f>
        <v>0</v>
      </c>
      <c r="H8" s="36">
        <f>Water!I9</f>
        <v>0</v>
      </c>
      <c r="I8" s="36">
        <f>ELECT.!F9</f>
        <v>0</v>
      </c>
      <c r="J8" s="36">
        <f>ELECT.!H9</f>
        <v>0</v>
      </c>
      <c r="K8" s="36">
        <f>ELECT.!K9</f>
        <v>0</v>
      </c>
      <c r="L8" s="36">
        <f>ELECT.!M9</f>
        <v>0</v>
      </c>
      <c r="M8" s="36">
        <f>ELECT.!O9</f>
        <v>0</v>
      </c>
      <c r="N8" s="36">
        <f>ELECT.!Q9</f>
        <v>0</v>
      </c>
      <c r="O8" s="36">
        <f>ELECT.!S9</f>
        <v>0</v>
      </c>
      <c r="P8" s="36">
        <f>ELECT.!W9*2</f>
        <v>0</v>
      </c>
      <c r="Q8" s="36">
        <f>ELECT.!D9</f>
        <v>0</v>
      </c>
      <c r="R8" s="129">
        <f>BTU!C9</f>
        <v>0</v>
      </c>
      <c r="S8" s="129">
        <f>BTU!F9</f>
        <v>0</v>
      </c>
      <c r="T8" s="129">
        <f>BTU!I9</f>
        <v>0</v>
      </c>
      <c r="U8" s="129">
        <f>BTU!O9</f>
        <v>0</v>
      </c>
      <c r="V8" s="129">
        <f>BTU!L9</f>
        <v>0</v>
      </c>
      <c r="W8" s="129">
        <f>BTU!R9</f>
        <v>0</v>
      </c>
      <c r="X8" s="34">
        <f>ELECT.!B9</f>
        <v>0</v>
      </c>
      <c r="Y8" s="34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4">
        <f t="shared" si="1"/>
        <v>-25.569199999999999</v>
      </c>
      <c r="AE8" s="34">
        <f t="shared" si="2"/>
        <v>-168.4308</v>
      </c>
    </row>
    <row r="9" spans="1:31" x14ac:dyDescent="0.2">
      <c r="A9" s="47" t="s">
        <v>53</v>
      </c>
      <c r="B9" s="52">
        <f t="shared" si="3"/>
        <v>8</v>
      </c>
      <c r="C9" s="52">
        <v>11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29">
        <f>BTU!C10</f>
        <v>0</v>
      </c>
      <c r="S9" s="129">
        <f>BTU!F10</f>
        <v>0</v>
      </c>
      <c r="T9" s="129">
        <f>BTU!I10</f>
        <v>0</v>
      </c>
      <c r="U9" s="129">
        <f>BTU!O10</f>
        <v>0</v>
      </c>
      <c r="V9" s="129">
        <f>BTU!L10</f>
        <v>0</v>
      </c>
      <c r="W9" s="129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11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29">
        <f>BTU!C11</f>
        <v>0</v>
      </c>
      <c r="S10" s="129">
        <f>BTU!F11</f>
        <v>0</v>
      </c>
      <c r="T10" s="129">
        <f>BTU!I11</f>
        <v>0</v>
      </c>
      <c r="U10" s="129">
        <f>BTU!O11</f>
        <v>0</v>
      </c>
      <c r="V10" s="129">
        <f>BTU!L11</f>
        <v>0</v>
      </c>
      <c r="W10" s="129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11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29">
        <f>BTU!C12</f>
        <v>0</v>
      </c>
      <c r="S11" s="129">
        <f>BTU!F12</f>
        <v>0</v>
      </c>
      <c r="T11" s="129">
        <f>BTU!I12</f>
        <v>0</v>
      </c>
      <c r="U11" s="129">
        <f>BTU!O12</f>
        <v>0</v>
      </c>
      <c r="V11" s="129">
        <f>BTU!L12</f>
        <v>0</v>
      </c>
      <c r="W11" s="129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11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29">
        <f>BTU!C13</f>
        <v>0</v>
      </c>
      <c r="S12" s="129">
        <f>BTU!F13</f>
        <v>0</v>
      </c>
      <c r="T12" s="129">
        <f>BTU!I13</f>
        <v>0</v>
      </c>
      <c r="U12" s="129">
        <f>BTU!O13</f>
        <v>0</v>
      </c>
      <c r="V12" s="129">
        <f>BTU!L13</f>
        <v>0</v>
      </c>
      <c r="W12" s="129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11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29">
        <f>BTU!C14</f>
        <v>0</v>
      </c>
      <c r="S13" s="129">
        <f>BTU!F14</f>
        <v>0</v>
      </c>
      <c r="T13" s="129">
        <f>BTU!I14</f>
        <v>0</v>
      </c>
      <c r="U13" s="129">
        <f>BTU!O14</f>
        <v>0</v>
      </c>
      <c r="V13" s="129">
        <f>BTU!L14</f>
        <v>0</v>
      </c>
      <c r="W13" s="129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11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29">
        <f>BTU!C15</f>
        <v>0</v>
      </c>
      <c r="S14" s="129">
        <f>BTU!F15</f>
        <v>0</v>
      </c>
      <c r="T14" s="129">
        <f>BTU!I15</f>
        <v>0</v>
      </c>
      <c r="U14" s="129">
        <f>BTU!O15</f>
        <v>0</v>
      </c>
      <c r="V14" s="129">
        <f>BTU!L15</f>
        <v>0</v>
      </c>
      <c r="W14" s="129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11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29">
        <f>BTU!C16</f>
        <v>0</v>
      </c>
      <c r="S15" s="129">
        <f>BTU!F16</f>
        <v>0</v>
      </c>
      <c r="T15" s="129">
        <f>BTU!I16</f>
        <v>0</v>
      </c>
      <c r="U15" s="129">
        <f>BTU!O16</f>
        <v>0</v>
      </c>
      <c r="V15" s="129">
        <f>BTU!L16</f>
        <v>0</v>
      </c>
      <c r="W15" s="129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11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29">
        <f>BTU!C17</f>
        <v>0</v>
      </c>
      <c r="S16" s="129">
        <f>BTU!F17</f>
        <v>0</v>
      </c>
      <c r="T16" s="129">
        <f>BTU!I17</f>
        <v>0</v>
      </c>
      <c r="U16" s="129">
        <f>BTU!O17</f>
        <v>0</v>
      </c>
      <c r="V16" s="129">
        <f>BTU!L17</f>
        <v>0</v>
      </c>
      <c r="W16" s="129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11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29">
        <f>BTU!C18</f>
        <v>0</v>
      </c>
      <c r="S17" s="129">
        <f>BTU!F18</f>
        <v>0</v>
      </c>
      <c r="T17" s="129">
        <f>BTU!I18</f>
        <v>0</v>
      </c>
      <c r="U17" s="129">
        <f>BTU!O18</f>
        <v>0</v>
      </c>
      <c r="V17" s="129">
        <f>BTU!L18</f>
        <v>0</v>
      </c>
      <c r="W17" s="129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11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29">
        <f>BTU!C19</f>
        <v>0</v>
      </c>
      <c r="S18" s="129">
        <f>BTU!F19</f>
        <v>0</v>
      </c>
      <c r="T18" s="129">
        <f>BTU!I19</f>
        <v>0</v>
      </c>
      <c r="U18" s="129">
        <f>BTU!O19</f>
        <v>0</v>
      </c>
      <c r="V18" s="129">
        <f>BTU!L19</f>
        <v>0</v>
      </c>
      <c r="W18" s="129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11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29">
        <f>BTU!C20</f>
        <v>0</v>
      </c>
      <c r="S19" s="129">
        <f>BTU!F20</f>
        <v>0</v>
      </c>
      <c r="T19" s="129">
        <f>BTU!I20</f>
        <v>0</v>
      </c>
      <c r="U19" s="129">
        <f>BTU!O20</f>
        <v>0</v>
      </c>
      <c r="V19" s="129">
        <f>BTU!L20</f>
        <v>0</v>
      </c>
      <c r="W19" s="129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11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29">
        <f>BTU!C21</f>
        <v>0</v>
      </c>
      <c r="S20" s="129">
        <f>BTU!F21</f>
        <v>0</v>
      </c>
      <c r="T20" s="129">
        <f>BTU!I21</f>
        <v>0</v>
      </c>
      <c r="U20" s="129">
        <f>BTU!O21</f>
        <v>0</v>
      </c>
      <c r="V20" s="129">
        <f>BTU!L21</f>
        <v>0</v>
      </c>
      <c r="W20" s="129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11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29">
        <f>BTU!C22</f>
        <v>0</v>
      </c>
      <c r="S21" s="129">
        <f>BTU!F22</f>
        <v>0</v>
      </c>
      <c r="T21" s="129">
        <f>BTU!I22</f>
        <v>0</v>
      </c>
      <c r="U21" s="129">
        <f>BTU!O22</f>
        <v>0</v>
      </c>
      <c r="V21" s="129">
        <f>BTU!L22</f>
        <v>0</v>
      </c>
      <c r="W21" s="129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11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11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11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11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11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11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11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11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11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11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4"/>
  <sheetViews>
    <sheetView zoomScale="110" zoomScaleNormal="110" workbookViewId="0">
      <pane ySplit="1" topLeftCell="A2" activePane="bottomLeft" state="frozen"/>
      <selection pane="bottomLeft" activeCell="V8" sqref="V8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44865</v>
      </c>
      <c r="B2" s="32">
        <v>47793</v>
      </c>
      <c r="C2" s="14"/>
      <c r="D2" s="32">
        <v>41101</v>
      </c>
      <c r="E2" s="14"/>
      <c r="F2" s="32">
        <v>22236</v>
      </c>
      <c r="G2" s="14"/>
      <c r="H2" s="32">
        <v>259850</v>
      </c>
      <c r="I2" s="14"/>
      <c r="J2" s="32">
        <v>340309</v>
      </c>
      <c r="K2" s="14"/>
      <c r="L2" s="32">
        <v>26637</v>
      </c>
      <c r="M2" s="14"/>
      <c r="N2" s="32">
        <v>226525</v>
      </c>
      <c r="O2" s="14"/>
      <c r="P2" s="32">
        <v>176961</v>
      </c>
      <c r="Q2" s="14"/>
      <c r="R2" s="1">
        <v>55047</v>
      </c>
      <c r="S2" s="14"/>
      <c r="T2" s="32">
        <v>4084</v>
      </c>
      <c r="U2" s="14"/>
    </row>
    <row r="3" spans="1:24" ht="13.5" thickBot="1" x14ac:dyDescent="0.25">
      <c r="A3" s="9">
        <v>44866</v>
      </c>
      <c r="B3" s="32">
        <v>47797</v>
      </c>
      <c r="C3" s="14">
        <f t="shared" ref="C3" si="0">(B3-B2)*800/5</f>
        <v>640</v>
      </c>
      <c r="D3" s="32">
        <v>41104</v>
      </c>
      <c r="E3" s="14">
        <f t="shared" ref="E3" si="1">(D3-D2)*800/5</f>
        <v>480</v>
      </c>
      <c r="F3" s="32">
        <v>22238</v>
      </c>
      <c r="G3" s="14">
        <f>(F3-F2)*100/5</f>
        <v>40</v>
      </c>
      <c r="H3" s="32">
        <v>259869</v>
      </c>
      <c r="I3" s="14">
        <f>(H3-H2)</f>
        <v>19</v>
      </c>
      <c r="J3" s="32">
        <v>340476</v>
      </c>
      <c r="K3" s="14">
        <f>(J3-J2)</f>
        <v>167</v>
      </c>
      <c r="L3" s="32">
        <v>26640</v>
      </c>
      <c r="M3" s="14">
        <f>(L3-L2)*300/5</f>
        <v>180</v>
      </c>
      <c r="N3" s="32">
        <v>226528</v>
      </c>
      <c r="O3" s="14">
        <f>N3-N2</f>
        <v>3</v>
      </c>
      <c r="P3" s="32">
        <v>177108</v>
      </c>
      <c r="Q3" s="14">
        <f t="shared" ref="Q3:Q32" si="2">P3-P2</f>
        <v>147</v>
      </c>
      <c r="R3" s="1">
        <f>R2</f>
        <v>55047</v>
      </c>
      <c r="S3" s="14">
        <v>0</v>
      </c>
      <c r="T3" s="32">
        <v>4084</v>
      </c>
      <c r="U3" s="14">
        <f>(T3-T2)*800/5</f>
        <v>0</v>
      </c>
    </row>
    <row r="4" spans="1:24" ht="13.5" thickBot="1" x14ac:dyDescent="0.25">
      <c r="A4" s="9">
        <v>44867</v>
      </c>
      <c r="B4" s="32">
        <v>47802</v>
      </c>
      <c r="C4" s="14">
        <f t="shared" ref="C4:C32" si="3">(B4-B3)*800/5</f>
        <v>800</v>
      </c>
      <c r="D4" s="32">
        <v>41107</v>
      </c>
      <c r="E4" s="14">
        <f t="shared" ref="E4:E32" si="4">(D4-D3)*800/5</f>
        <v>480</v>
      </c>
      <c r="F4" s="32">
        <v>22242</v>
      </c>
      <c r="G4" s="14">
        <f t="shared" ref="G4:G32" si="5">(F4-F3)*100/5</f>
        <v>80</v>
      </c>
      <c r="H4" s="32">
        <v>259893</v>
      </c>
      <c r="I4" s="14">
        <f t="shared" ref="I4:I32" si="6">(H4-H3)</f>
        <v>24</v>
      </c>
      <c r="J4" s="32">
        <v>340656</v>
      </c>
      <c r="K4" s="14">
        <f t="shared" ref="K4:K32" si="7">(J4-J3)</f>
        <v>180</v>
      </c>
      <c r="L4" s="32">
        <v>26644</v>
      </c>
      <c r="M4" s="14">
        <f t="shared" ref="M4:M32" si="8">(L4-L3)*300/5</f>
        <v>240</v>
      </c>
      <c r="N4" s="32">
        <v>226531</v>
      </c>
      <c r="O4" s="14">
        <f t="shared" ref="O4:O32" si="9">N4-N3</f>
        <v>3</v>
      </c>
      <c r="P4" s="32">
        <v>177226</v>
      </c>
      <c r="Q4" s="14">
        <f t="shared" si="2"/>
        <v>118</v>
      </c>
      <c r="R4" s="1">
        <v>55047</v>
      </c>
      <c r="S4" s="14">
        <v>0</v>
      </c>
      <c r="T4" s="32">
        <v>4084</v>
      </c>
      <c r="U4" s="14">
        <f t="shared" ref="U4:U32" si="10">(T4-T3)*800/5</f>
        <v>0</v>
      </c>
    </row>
    <row r="5" spans="1:24" ht="13.5" thickBot="1" x14ac:dyDescent="0.25">
      <c r="A5" s="9">
        <v>44868</v>
      </c>
      <c r="B5" s="32">
        <v>47807</v>
      </c>
      <c r="C5" s="14">
        <f t="shared" si="3"/>
        <v>800</v>
      </c>
      <c r="D5" s="32">
        <v>41110</v>
      </c>
      <c r="E5" s="14">
        <f t="shared" si="4"/>
        <v>480</v>
      </c>
      <c r="F5" s="32">
        <v>22246</v>
      </c>
      <c r="G5" s="14">
        <f t="shared" si="5"/>
        <v>80</v>
      </c>
      <c r="H5" s="32">
        <v>259915</v>
      </c>
      <c r="I5" s="14">
        <f t="shared" si="6"/>
        <v>22</v>
      </c>
      <c r="J5" s="32">
        <v>340781</v>
      </c>
      <c r="K5" s="14">
        <f t="shared" si="7"/>
        <v>125</v>
      </c>
      <c r="L5" s="32">
        <v>26648</v>
      </c>
      <c r="M5" s="14">
        <f t="shared" si="8"/>
        <v>240</v>
      </c>
      <c r="N5" s="32">
        <v>226534</v>
      </c>
      <c r="O5" s="14">
        <f t="shared" si="9"/>
        <v>3</v>
      </c>
      <c r="P5" s="32">
        <v>177341</v>
      </c>
      <c r="Q5" s="14">
        <f t="shared" si="2"/>
        <v>115</v>
      </c>
      <c r="R5" s="1">
        <f t="shared" ref="R5:R32" si="11">R4</f>
        <v>55047</v>
      </c>
      <c r="S5" s="14">
        <f t="shared" ref="S5:S32" si="12">R5-R4</f>
        <v>0</v>
      </c>
      <c r="T5" s="32">
        <f t="shared" ref="T5:T32" si="13">T4</f>
        <v>4084</v>
      </c>
      <c r="U5" s="14">
        <f t="shared" si="10"/>
        <v>0</v>
      </c>
    </row>
    <row r="6" spans="1:24" ht="13.5" thickBot="1" x14ac:dyDescent="0.25">
      <c r="A6" s="9">
        <v>44869</v>
      </c>
      <c r="B6" s="32">
        <v>47812</v>
      </c>
      <c r="C6" s="14">
        <f t="shared" si="3"/>
        <v>800</v>
      </c>
      <c r="D6" s="32">
        <v>41113</v>
      </c>
      <c r="E6" s="14">
        <f t="shared" si="4"/>
        <v>480</v>
      </c>
      <c r="F6" s="32">
        <v>22251</v>
      </c>
      <c r="G6" s="14">
        <f t="shared" si="5"/>
        <v>100</v>
      </c>
      <c r="H6" s="32">
        <v>259938</v>
      </c>
      <c r="I6" s="14">
        <f t="shared" si="6"/>
        <v>23</v>
      </c>
      <c r="J6" s="32">
        <v>340909</v>
      </c>
      <c r="K6" s="14">
        <f t="shared" si="7"/>
        <v>128</v>
      </c>
      <c r="L6" s="32">
        <v>26652</v>
      </c>
      <c r="M6" s="14">
        <f t="shared" si="8"/>
        <v>240</v>
      </c>
      <c r="N6" s="32">
        <v>226537</v>
      </c>
      <c r="O6" s="14">
        <f t="shared" si="9"/>
        <v>3</v>
      </c>
      <c r="P6" s="32">
        <v>177458</v>
      </c>
      <c r="Q6" s="14">
        <f t="shared" si="2"/>
        <v>117</v>
      </c>
      <c r="R6" s="1">
        <f t="shared" si="11"/>
        <v>55047</v>
      </c>
      <c r="S6" s="14">
        <v>0</v>
      </c>
      <c r="T6" s="32">
        <f t="shared" si="13"/>
        <v>4084</v>
      </c>
      <c r="U6" s="14">
        <f t="shared" si="10"/>
        <v>0</v>
      </c>
    </row>
    <row r="7" spans="1:24" ht="13.5" thickBot="1" x14ac:dyDescent="0.25">
      <c r="A7" s="9">
        <v>44870</v>
      </c>
      <c r="B7" s="32">
        <v>47815</v>
      </c>
      <c r="C7" s="14">
        <f t="shared" si="3"/>
        <v>480</v>
      </c>
      <c r="D7" s="32">
        <v>41116</v>
      </c>
      <c r="E7" s="14">
        <f t="shared" si="4"/>
        <v>480</v>
      </c>
      <c r="F7" s="32">
        <v>22252</v>
      </c>
      <c r="G7" s="14">
        <f t="shared" si="5"/>
        <v>20</v>
      </c>
      <c r="H7" s="32">
        <v>259953</v>
      </c>
      <c r="I7" s="14">
        <f t="shared" si="6"/>
        <v>15</v>
      </c>
      <c r="J7" s="32">
        <v>341098</v>
      </c>
      <c r="K7" s="14">
        <f t="shared" si="7"/>
        <v>189</v>
      </c>
      <c r="L7" s="32">
        <v>26653</v>
      </c>
      <c r="M7" s="14">
        <f t="shared" si="8"/>
        <v>60</v>
      </c>
      <c r="N7" s="32">
        <v>226541</v>
      </c>
      <c r="O7" s="14">
        <f t="shared" si="9"/>
        <v>4</v>
      </c>
      <c r="P7" s="32">
        <v>177579</v>
      </c>
      <c r="Q7" s="14">
        <f t="shared" si="2"/>
        <v>121</v>
      </c>
      <c r="R7" s="1">
        <f t="shared" si="11"/>
        <v>55047</v>
      </c>
      <c r="S7" s="14">
        <v>0</v>
      </c>
      <c r="T7" s="32">
        <v>4087</v>
      </c>
      <c r="U7" s="14">
        <f t="shared" si="10"/>
        <v>480</v>
      </c>
    </row>
    <row r="8" spans="1:24" ht="13.5" thickBot="1" x14ac:dyDescent="0.25">
      <c r="A8" s="9">
        <v>44871</v>
      </c>
      <c r="B8" s="32">
        <v>47819</v>
      </c>
      <c r="C8" s="14">
        <f t="shared" si="3"/>
        <v>640</v>
      </c>
      <c r="D8" s="32">
        <v>41118</v>
      </c>
      <c r="E8" s="14">
        <f t="shared" si="4"/>
        <v>320</v>
      </c>
      <c r="F8" s="32">
        <v>22256</v>
      </c>
      <c r="G8" s="14">
        <f t="shared" si="5"/>
        <v>80</v>
      </c>
      <c r="H8" s="32">
        <v>259985</v>
      </c>
      <c r="I8" s="14">
        <f t="shared" si="6"/>
        <v>32</v>
      </c>
      <c r="J8" s="32">
        <v>341272</v>
      </c>
      <c r="K8" s="14">
        <f t="shared" si="7"/>
        <v>174</v>
      </c>
      <c r="L8" s="32">
        <v>26656</v>
      </c>
      <c r="M8" s="14">
        <f t="shared" si="8"/>
        <v>180</v>
      </c>
      <c r="N8" s="32">
        <v>226544</v>
      </c>
      <c r="O8" s="14">
        <f t="shared" si="9"/>
        <v>3</v>
      </c>
      <c r="P8" s="32">
        <f t="shared" ref="P8:P32" si="14">P7</f>
        <v>177579</v>
      </c>
      <c r="Q8" s="14">
        <f t="shared" si="2"/>
        <v>0</v>
      </c>
      <c r="R8" s="1">
        <v>55047</v>
      </c>
      <c r="S8" s="14">
        <f>R8-R7</f>
        <v>0</v>
      </c>
      <c r="T8" s="32">
        <v>4088</v>
      </c>
      <c r="U8" s="14">
        <f t="shared" si="10"/>
        <v>160</v>
      </c>
    </row>
    <row r="9" spans="1:24" ht="13.5" thickBot="1" x14ac:dyDescent="0.25">
      <c r="A9" s="9">
        <v>44872</v>
      </c>
      <c r="B9" s="32">
        <f t="shared" ref="B8:B32" si="15">B8</f>
        <v>47819</v>
      </c>
      <c r="C9" s="14">
        <f t="shared" si="3"/>
        <v>0</v>
      </c>
      <c r="D9" s="32">
        <f t="shared" ref="D8:D32" si="16">D8</f>
        <v>41118</v>
      </c>
      <c r="E9" s="14">
        <f t="shared" si="4"/>
        <v>0</v>
      </c>
      <c r="F9" s="32">
        <f t="shared" ref="F8:F32" si="17">F8</f>
        <v>22256</v>
      </c>
      <c r="G9" s="14">
        <f t="shared" si="5"/>
        <v>0</v>
      </c>
      <c r="H9" s="32">
        <f t="shared" ref="H8:H32" si="18">H8</f>
        <v>259985</v>
      </c>
      <c r="I9" s="14">
        <f t="shared" si="6"/>
        <v>0</v>
      </c>
      <c r="J9" s="32">
        <f t="shared" ref="J8:J32" si="19">J8</f>
        <v>341272</v>
      </c>
      <c r="K9" s="14">
        <f t="shared" si="7"/>
        <v>0</v>
      </c>
      <c r="L9" s="32">
        <f t="shared" ref="L8:L32" si="20">L8</f>
        <v>26656</v>
      </c>
      <c r="M9" s="14">
        <f t="shared" si="8"/>
        <v>0</v>
      </c>
      <c r="N9" s="32">
        <f t="shared" ref="N8:N32" si="21">N8</f>
        <v>226544</v>
      </c>
      <c r="O9" s="14">
        <f t="shared" si="9"/>
        <v>0</v>
      </c>
      <c r="P9" s="32">
        <f t="shared" si="14"/>
        <v>177579</v>
      </c>
      <c r="Q9" s="14">
        <f t="shared" si="2"/>
        <v>0</v>
      </c>
      <c r="R9" s="1">
        <f t="shared" si="11"/>
        <v>55047</v>
      </c>
      <c r="S9" s="14">
        <f>R9-R8</f>
        <v>0</v>
      </c>
      <c r="T9" s="32">
        <f t="shared" si="13"/>
        <v>4088</v>
      </c>
      <c r="U9" s="14">
        <f t="shared" si="10"/>
        <v>0</v>
      </c>
    </row>
    <row r="10" spans="1:24" ht="13.5" thickBot="1" x14ac:dyDescent="0.25">
      <c r="A10" s="9">
        <v>44873</v>
      </c>
      <c r="B10" s="32">
        <f t="shared" si="15"/>
        <v>47819</v>
      </c>
      <c r="C10" s="14">
        <f t="shared" si="3"/>
        <v>0</v>
      </c>
      <c r="D10" s="32">
        <f t="shared" si="16"/>
        <v>41118</v>
      </c>
      <c r="E10" s="14">
        <f t="shared" si="4"/>
        <v>0</v>
      </c>
      <c r="F10" s="32">
        <f t="shared" si="17"/>
        <v>22256</v>
      </c>
      <c r="G10" s="14">
        <f t="shared" si="5"/>
        <v>0</v>
      </c>
      <c r="H10" s="32">
        <f t="shared" si="18"/>
        <v>259985</v>
      </c>
      <c r="I10" s="14">
        <f t="shared" si="6"/>
        <v>0</v>
      </c>
      <c r="J10" s="32">
        <f t="shared" si="19"/>
        <v>341272</v>
      </c>
      <c r="K10" s="14">
        <f t="shared" si="7"/>
        <v>0</v>
      </c>
      <c r="L10" s="32">
        <f t="shared" si="20"/>
        <v>26656</v>
      </c>
      <c r="M10" s="14">
        <f t="shared" si="8"/>
        <v>0</v>
      </c>
      <c r="N10" s="32">
        <f t="shared" si="21"/>
        <v>226544</v>
      </c>
      <c r="O10" s="14">
        <f t="shared" si="9"/>
        <v>0</v>
      </c>
      <c r="P10" s="32">
        <f t="shared" si="14"/>
        <v>177579</v>
      </c>
      <c r="Q10" s="14">
        <f t="shared" si="2"/>
        <v>0</v>
      </c>
      <c r="R10" s="1">
        <f t="shared" si="11"/>
        <v>55047</v>
      </c>
      <c r="S10" s="14">
        <f>R10-R9</f>
        <v>0</v>
      </c>
      <c r="T10" s="32">
        <f t="shared" si="13"/>
        <v>4088</v>
      </c>
      <c r="U10" s="14">
        <f t="shared" si="10"/>
        <v>0</v>
      </c>
    </row>
    <row r="11" spans="1:24" ht="13.5" thickBot="1" x14ac:dyDescent="0.25">
      <c r="A11" s="9">
        <v>44874</v>
      </c>
      <c r="B11" s="32">
        <f t="shared" si="15"/>
        <v>47819</v>
      </c>
      <c r="C11" s="14">
        <f t="shared" si="3"/>
        <v>0</v>
      </c>
      <c r="D11" s="32">
        <f t="shared" si="16"/>
        <v>41118</v>
      </c>
      <c r="E11" s="14">
        <f t="shared" si="4"/>
        <v>0</v>
      </c>
      <c r="F11" s="32">
        <f t="shared" si="17"/>
        <v>22256</v>
      </c>
      <c r="G11" s="14">
        <f t="shared" si="5"/>
        <v>0</v>
      </c>
      <c r="H11" s="32">
        <f t="shared" si="18"/>
        <v>259985</v>
      </c>
      <c r="I11" s="14">
        <f t="shared" si="6"/>
        <v>0</v>
      </c>
      <c r="J11" s="32">
        <f t="shared" si="19"/>
        <v>341272</v>
      </c>
      <c r="K11" s="14">
        <f t="shared" si="7"/>
        <v>0</v>
      </c>
      <c r="L11" s="32">
        <f t="shared" si="20"/>
        <v>26656</v>
      </c>
      <c r="M11" s="14">
        <f t="shared" si="8"/>
        <v>0</v>
      </c>
      <c r="N11" s="32">
        <f t="shared" si="21"/>
        <v>226544</v>
      </c>
      <c r="O11" s="14">
        <f t="shared" si="9"/>
        <v>0</v>
      </c>
      <c r="P11" s="32">
        <f t="shared" si="14"/>
        <v>177579</v>
      </c>
      <c r="Q11" s="14">
        <f t="shared" si="2"/>
        <v>0</v>
      </c>
      <c r="R11" s="1">
        <f t="shared" si="11"/>
        <v>55047</v>
      </c>
      <c r="S11" s="14">
        <f t="shared" si="12"/>
        <v>0</v>
      </c>
      <c r="T11" s="32">
        <f t="shared" si="13"/>
        <v>4088</v>
      </c>
      <c r="U11" s="14">
        <f t="shared" si="10"/>
        <v>0</v>
      </c>
    </row>
    <row r="12" spans="1:24" ht="13.5" thickBot="1" x14ac:dyDescent="0.25">
      <c r="A12" s="9">
        <v>44875</v>
      </c>
      <c r="B12" s="32">
        <f t="shared" si="15"/>
        <v>47819</v>
      </c>
      <c r="C12" s="14">
        <f t="shared" si="3"/>
        <v>0</v>
      </c>
      <c r="D12" s="32">
        <f t="shared" si="16"/>
        <v>41118</v>
      </c>
      <c r="E12" s="14">
        <f t="shared" si="4"/>
        <v>0</v>
      </c>
      <c r="F12" s="32">
        <f t="shared" si="17"/>
        <v>22256</v>
      </c>
      <c r="G12" s="14">
        <f t="shared" si="5"/>
        <v>0</v>
      </c>
      <c r="H12" s="32">
        <f t="shared" si="18"/>
        <v>259985</v>
      </c>
      <c r="I12" s="14">
        <f t="shared" si="6"/>
        <v>0</v>
      </c>
      <c r="J12" s="32">
        <f t="shared" si="19"/>
        <v>341272</v>
      </c>
      <c r="K12" s="14">
        <f t="shared" si="7"/>
        <v>0</v>
      </c>
      <c r="L12" s="32">
        <f t="shared" si="20"/>
        <v>26656</v>
      </c>
      <c r="M12" s="14">
        <f t="shared" si="8"/>
        <v>0</v>
      </c>
      <c r="N12" s="32">
        <f t="shared" si="21"/>
        <v>226544</v>
      </c>
      <c r="O12" s="14">
        <f t="shared" si="9"/>
        <v>0</v>
      </c>
      <c r="P12" s="32">
        <f t="shared" si="14"/>
        <v>177579</v>
      </c>
      <c r="Q12" s="14">
        <f t="shared" si="2"/>
        <v>0</v>
      </c>
      <c r="R12" s="1">
        <f t="shared" si="11"/>
        <v>55047</v>
      </c>
      <c r="S12" s="14">
        <f t="shared" si="12"/>
        <v>0</v>
      </c>
      <c r="T12" s="32">
        <f t="shared" si="13"/>
        <v>4088</v>
      </c>
      <c r="U12" s="14">
        <f t="shared" si="10"/>
        <v>0</v>
      </c>
    </row>
    <row r="13" spans="1:24" ht="13.5" thickBot="1" x14ac:dyDescent="0.25">
      <c r="A13" s="9">
        <v>44876</v>
      </c>
      <c r="B13" s="32">
        <f t="shared" si="15"/>
        <v>47819</v>
      </c>
      <c r="C13" s="14">
        <f t="shared" si="3"/>
        <v>0</v>
      </c>
      <c r="D13" s="32">
        <f t="shared" si="16"/>
        <v>41118</v>
      </c>
      <c r="E13" s="14">
        <f t="shared" si="4"/>
        <v>0</v>
      </c>
      <c r="F13" s="32">
        <f t="shared" si="17"/>
        <v>22256</v>
      </c>
      <c r="G13" s="14">
        <f t="shared" si="5"/>
        <v>0</v>
      </c>
      <c r="H13" s="32">
        <f t="shared" si="18"/>
        <v>259985</v>
      </c>
      <c r="I13" s="14">
        <f t="shared" si="6"/>
        <v>0</v>
      </c>
      <c r="J13" s="32">
        <f t="shared" si="19"/>
        <v>341272</v>
      </c>
      <c r="K13" s="14">
        <f t="shared" si="7"/>
        <v>0</v>
      </c>
      <c r="L13" s="32">
        <f t="shared" si="20"/>
        <v>26656</v>
      </c>
      <c r="M13" s="14">
        <f t="shared" si="8"/>
        <v>0</v>
      </c>
      <c r="N13" s="32">
        <f t="shared" si="21"/>
        <v>226544</v>
      </c>
      <c r="O13" s="14">
        <f t="shared" si="9"/>
        <v>0</v>
      </c>
      <c r="P13" s="32">
        <f t="shared" si="14"/>
        <v>177579</v>
      </c>
      <c r="Q13" s="14">
        <f t="shared" si="2"/>
        <v>0</v>
      </c>
      <c r="R13" s="1">
        <f t="shared" si="11"/>
        <v>55047</v>
      </c>
      <c r="S13" s="14">
        <f t="shared" si="12"/>
        <v>0</v>
      </c>
      <c r="T13" s="32">
        <f t="shared" si="13"/>
        <v>4088</v>
      </c>
      <c r="U13" s="14">
        <f t="shared" si="10"/>
        <v>0</v>
      </c>
    </row>
    <row r="14" spans="1:24" ht="13.5" thickBot="1" x14ac:dyDescent="0.25">
      <c r="A14" s="9">
        <v>44877</v>
      </c>
      <c r="B14" s="32">
        <f t="shared" si="15"/>
        <v>47819</v>
      </c>
      <c r="C14" s="14">
        <f t="shared" si="3"/>
        <v>0</v>
      </c>
      <c r="D14" s="32">
        <f t="shared" si="16"/>
        <v>41118</v>
      </c>
      <c r="E14" s="14">
        <f t="shared" si="4"/>
        <v>0</v>
      </c>
      <c r="F14" s="32">
        <f t="shared" si="17"/>
        <v>22256</v>
      </c>
      <c r="G14" s="14">
        <f t="shared" si="5"/>
        <v>0</v>
      </c>
      <c r="H14" s="32">
        <f t="shared" si="18"/>
        <v>259985</v>
      </c>
      <c r="I14" s="14">
        <f t="shared" si="6"/>
        <v>0</v>
      </c>
      <c r="J14" s="32">
        <f t="shared" si="19"/>
        <v>341272</v>
      </c>
      <c r="K14" s="14">
        <f t="shared" si="7"/>
        <v>0</v>
      </c>
      <c r="L14" s="32">
        <f t="shared" si="20"/>
        <v>26656</v>
      </c>
      <c r="M14" s="14">
        <f t="shared" si="8"/>
        <v>0</v>
      </c>
      <c r="N14" s="32">
        <f t="shared" si="21"/>
        <v>226544</v>
      </c>
      <c r="O14" s="14">
        <f t="shared" si="9"/>
        <v>0</v>
      </c>
      <c r="P14" s="32">
        <f t="shared" si="14"/>
        <v>177579</v>
      </c>
      <c r="Q14" s="14">
        <f t="shared" si="2"/>
        <v>0</v>
      </c>
      <c r="R14" s="1">
        <f t="shared" si="11"/>
        <v>55047</v>
      </c>
      <c r="S14" s="14">
        <v>0</v>
      </c>
      <c r="T14" s="32">
        <f t="shared" si="13"/>
        <v>4088</v>
      </c>
      <c r="U14" s="14">
        <f t="shared" si="10"/>
        <v>0</v>
      </c>
    </row>
    <row r="15" spans="1:24" ht="13.5" thickBot="1" x14ac:dyDescent="0.25">
      <c r="A15" s="9">
        <v>44878</v>
      </c>
      <c r="B15" s="32">
        <f t="shared" si="15"/>
        <v>47819</v>
      </c>
      <c r="C15" s="14">
        <f t="shared" si="3"/>
        <v>0</v>
      </c>
      <c r="D15" s="32">
        <f t="shared" si="16"/>
        <v>41118</v>
      </c>
      <c r="E15" s="14">
        <f t="shared" si="4"/>
        <v>0</v>
      </c>
      <c r="F15" s="32">
        <f t="shared" si="17"/>
        <v>22256</v>
      </c>
      <c r="G15" s="14">
        <f t="shared" si="5"/>
        <v>0</v>
      </c>
      <c r="H15" s="32">
        <f t="shared" si="18"/>
        <v>259985</v>
      </c>
      <c r="I15" s="14">
        <f t="shared" si="6"/>
        <v>0</v>
      </c>
      <c r="J15" s="32">
        <f t="shared" si="19"/>
        <v>341272</v>
      </c>
      <c r="K15" s="14">
        <f t="shared" si="7"/>
        <v>0</v>
      </c>
      <c r="L15" s="32">
        <f t="shared" si="20"/>
        <v>26656</v>
      </c>
      <c r="M15" s="14">
        <f t="shared" si="8"/>
        <v>0</v>
      </c>
      <c r="N15" s="32">
        <f t="shared" si="21"/>
        <v>226544</v>
      </c>
      <c r="O15" s="14">
        <f t="shared" si="9"/>
        <v>0</v>
      </c>
      <c r="P15" s="32">
        <f t="shared" si="14"/>
        <v>177579</v>
      </c>
      <c r="Q15" s="14">
        <f t="shared" si="2"/>
        <v>0</v>
      </c>
      <c r="R15" s="1">
        <f t="shared" si="11"/>
        <v>55047</v>
      </c>
      <c r="S15" s="14">
        <v>0</v>
      </c>
      <c r="T15" s="32">
        <f t="shared" si="13"/>
        <v>4088</v>
      </c>
      <c r="U15" s="14">
        <f t="shared" si="10"/>
        <v>0</v>
      </c>
      <c r="X15" t="s">
        <v>12</v>
      </c>
    </row>
    <row r="16" spans="1:24" ht="13.5" thickBot="1" x14ac:dyDescent="0.25">
      <c r="A16" s="9">
        <v>44879</v>
      </c>
      <c r="B16" s="32">
        <f t="shared" si="15"/>
        <v>47819</v>
      </c>
      <c r="C16" s="14">
        <f t="shared" si="3"/>
        <v>0</v>
      </c>
      <c r="D16" s="32">
        <f t="shared" si="16"/>
        <v>41118</v>
      </c>
      <c r="E16" s="14">
        <f t="shared" si="4"/>
        <v>0</v>
      </c>
      <c r="F16" s="32">
        <f t="shared" si="17"/>
        <v>22256</v>
      </c>
      <c r="G16" s="14">
        <f t="shared" si="5"/>
        <v>0</v>
      </c>
      <c r="H16" s="32">
        <f t="shared" si="18"/>
        <v>259985</v>
      </c>
      <c r="I16" s="14">
        <f t="shared" si="6"/>
        <v>0</v>
      </c>
      <c r="J16" s="32">
        <f t="shared" si="19"/>
        <v>341272</v>
      </c>
      <c r="K16" s="14">
        <f t="shared" si="7"/>
        <v>0</v>
      </c>
      <c r="L16" s="32">
        <f t="shared" si="20"/>
        <v>26656</v>
      </c>
      <c r="M16" s="14">
        <f t="shared" si="8"/>
        <v>0</v>
      </c>
      <c r="N16" s="32">
        <f t="shared" si="21"/>
        <v>226544</v>
      </c>
      <c r="O16" s="14">
        <f t="shared" si="9"/>
        <v>0</v>
      </c>
      <c r="P16" s="32">
        <f t="shared" si="14"/>
        <v>177579</v>
      </c>
      <c r="Q16" s="14">
        <f t="shared" si="2"/>
        <v>0</v>
      </c>
      <c r="R16" s="1">
        <f t="shared" si="11"/>
        <v>55047</v>
      </c>
      <c r="S16" s="14">
        <f t="shared" si="12"/>
        <v>0</v>
      </c>
      <c r="T16" s="32">
        <f t="shared" si="13"/>
        <v>4088</v>
      </c>
      <c r="U16" s="14">
        <f t="shared" si="10"/>
        <v>0</v>
      </c>
      <c r="W16" t="s">
        <v>12</v>
      </c>
    </row>
    <row r="17" spans="1:23" ht="13.5" thickBot="1" x14ac:dyDescent="0.25">
      <c r="A17" s="9">
        <v>44880</v>
      </c>
      <c r="B17" s="32">
        <f t="shared" si="15"/>
        <v>47819</v>
      </c>
      <c r="C17" s="14">
        <f t="shared" si="3"/>
        <v>0</v>
      </c>
      <c r="D17" s="32">
        <f t="shared" si="16"/>
        <v>41118</v>
      </c>
      <c r="E17" s="14">
        <f t="shared" si="4"/>
        <v>0</v>
      </c>
      <c r="F17" s="32">
        <f t="shared" si="17"/>
        <v>22256</v>
      </c>
      <c r="G17" s="14">
        <f t="shared" si="5"/>
        <v>0</v>
      </c>
      <c r="H17" s="32">
        <f t="shared" si="18"/>
        <v>259985</v>
      </c>
      <c r="I17" s="14">
        <f t="shared" si="6"/>
        <v>0</v>
      </c>
      <c r="J17" s="32">
        <f t="shared" si="19"/>
        <v>341272</v>
      </c>
      <c r="K17" s="14">
        <f t="shared" si="7"/>
        <v>0</v>
      </c>
      <c r="L17" s="32">
        <f t="shared" si="20"/>
        <v>26656</v>
      </c>
      <c r="M17" s="14">
        <f t="shared" si="8"/>
        <v>0</v>
      </c>
      <c r="N17" s="32">
        <f t="shared" si="21"/>
        <v>226544</v>
      </c>
      <c r="O17" s="14">
        <f t="shared" si="9"/>
        <v>0</v>
      </c>
      <c r="P17" s="32">
        <f t="shared" si="14"/>
        <v>177579</v>
      </c>
      <c r="Q17" s="14">
        <f t="shared" si="2"/>
        <v>0</v>
      </c>
      <c r="R17" s="1">
        <f t="shared" si="11"/>
        <v>55047</v>
      </c>
      <c r="S17" s="14">
        <f>S16</f>
        <v>0</v>
      </c>
      <c r="T17" s="32">
        <f t="shared" si="13"/>
        <v>4088</v>
      </c>
      <c r="U17" s="14">
        <f t="shared" si="10"/>
        <v>0</v>
      </c>
    </row>
    <row r="18" spans="1:23" ht="13.5" thickBot="1" x14ac:dyDescent="0.25">
      <c r="A18" s="9">
        <v>44881</v>
      </c>
      <c r="B18" s="32">
        <f t="shared" si="15"/>
        <v>47819</v>
      </c>
      <c r="C18" s="14">
        <f t="shared" si="3"/>
        <v>0</v>
      </c>
      <c r="D18" s="32">
        <f t="shared" si="16"/>
        <v>41118</v>
      </c>
      <c r="E18" s="14">
        <f t="shared" si="4"/>
        <v>0</v>
      </c>
      <c r="F18" s="32">
        <f t="shared" si="17"/>
        <v>22256</v>
      </c>
      <c r="G18" s="14">
        <f t="shared" si="5"/>
        <v>0</v>
      </c>
      <c r="H18" s="32">
        <f t="shared" si="18"/>
        <v>259985</v>
      </c>
      <c r="I18" s="14">
        <f t="shared" si="6"/>
        <v>0</v>
      </c>
      <c r="J18" s="32">
        <f t="shared" si="19"/>
        <v>341272</v>
      </c>
      <c r="K18" s="14">
        <f t="shared" si="7"/>
        <v>0</v>
      </c>
      <c r="L18" s="32">
        <f t="shared" si="20"/>
        <v>26656</v>
      </c>
      <c r="M18" s="14">
        <f t="shared" si="8"/>
        <v>0</v>
      </c>
      <c r="N18" s="32">
        <f t="shared" si="21"/>
        <v>226544</v>
      </c>
      <c r="O18" s="14">
        <f t="shared" si="9"/>
        <v>0</v>
      </c>
      <c r="P18" s="32">
        <f t="shared" si="14"/>
        <v>177579</v>
      </c>
      <c r="Q18" s="14">
        <f t="shared" si="2"/>
        <v>0</v>
      </c>
      <c r="R18" s="1">
        <f t="shared" si="11"/>
        <v>55047</v>
      </c>
      <c r="S18" s="14">
        <f t="shared" si="12"/>
        <v>0</v>
      </c>
      <c r="T18" s="32">
        <f t="shared" si="13"/>
        <v>4088</v>
      </c>
      <c r="U18" s="14">
        <f t="shared" si="10"/>
        <v>0</v>
      </c>
    </row>
    <row r="19" spans="1:23" ht="13.5" thickBot="1" x14ac:dyDescent="0.25">
      <c r="A19" s="9">
        <v>44882</v>
      </c>
      <c r="B19" s="32">
        <f t="shared" si="15"/>
        <v>47819</v>
      </c>
      <c r="C19" s="14">
        <f t="shared" si="3"/>
        <v>0</v>
      </c>
      <c r="D19" s="32">
        <f t="shared" si="16"/>
        <v>41118</v>
      </c>
      <c r="E19" s="14">
        <f t="shared" si="4"/>
        <v>0</v>
      </c>
      <c r="F19" s="32">
        <f t="shared" si="17"/>
        <v>22256</v>
      </c>
      <c r="G19" s="14">
        <f t="shared" si="5"/>
        <v>0</v>
      </c>
      <c r="H19" s="32">
        <f t="shared" si="18"/>
        <v>259985</v>
      </c>
      <c r="I19" s="14">
        <f t="shared" si="6"/>
        <v>0</v>
      </c>
      <c r="J19" s="32">
        <f t="shared" si="19"/>
        <v>341272</v>
      </c>
      <c r="K19" s="14">
        <f t="shared" si="7"/>
        <v>0</v>
      </c>
      <c r="L19" s="32">
        <f t="shared" si="20"/>
        <v>26656</v>
      </c>
      <c r="M19" s="14">
        <f t="shared" si="8"/>
        <v>0</v>
      </c>
      <c r="N19" s="32">
        <f t="shared" si="21"/>
        <v>226544</v>
      </c>
      <c r="O19" s="14">
        <f t="shared" si="9"/>
        <v>0</v>
      </c>
      <c r="P19" s="32">
        <f t="shared" si="14"/>
        <v>177579</v>
      </c>
      <c r="Q19" s="14">
        <f t="shared" si="2"/>
        <v>0</v>
      </c>
      <c r="R19" s="1">
        <f t="shared" si="11"/>
        <v>55047</v>
      </c>
      <c r="S19" s="14">
        <f t="shared" si="12"/>
        <v>0</v>
      </c>
      <c r="T19" s="32">
        <f t="shared" si="13"/>
        <v>4088</v>
      </c>
      <c r="U19" s="14">
        <f t="shared" si="10"/>
        <v>0</v>
      </c>
      <c r="W19" t="s">
        <v>12</v>
      </c>
    </row>
    <row r="20" spans="1:23" ht="13.5" thickBot="1" x14ac:dyDescent="0.25">
      <c r="A20" s="9">
        <v>44883</v>
      </c>
      <c r="B20" s="32">
        <f t="shared" si="15"/>
        <v>47819</v>
      </c>
      <c r="C20" s="14">
        <f t="shared" si="3"/>
        <v>0</v>
      </c>
      <c r="D20" s="32">
        <f t="shared" si="16"/>
        <v>41118</v>
      </c>
      <c r="E20" s="14">
        <f t="shared" si="4"/>
        <v>0</v>
      </c>
      <c r="F20" s="32">
        <f t="shared" si="17"/>
        <v>22256</v>
      </c>
      <c r="G20" s="14">
        <f t="shared" si="5"/>
        <v>0</v>
      </c>
      <c r="H20" s="32">
        <f t="shared" si="18"/>
        <v>259985</v>
      </c>
      <c r="I20" s="14">
        <f t="shared" si="6"/>
        <v>0</v>
      </c>
      <c r="J20" s="32">
        <f t="shared" si="19"/>
        <v>341272</v>
      </c>
      <c r="K20" s="14">
        <f t="shared" si="7"/>
        <v>0</v>
      </c>
      <c r="L20" s="32">
        <f t="shared" si="20"/>
        <v>26656</v>
      </c>
      <c r="M20" s="14">
        <f t="shared" si="8"/>
        <v>0</v>
      </c>
      <c r="N20" s="32">
        <f t="shared" si="21"/>
        <v>226544</v>
      </c>
      <c r="O20" s="14">
        <f t="shared" si="9"/>
        <v>0</v>
      </c>
      <c r="P20" s="32">
        <f t="shared" si="14"/>
        <v>177579</v>
      </c>
      <c r="Q20" s="14">
        <f t="shared" si="2"/>
        <v>0</v>
      </c>
      <c r="R20" s="1">
        <f t="shared" si="11"/>
        <v>55047</v>
      </c>
      <c r="S20" s="14">
        <f t="shared" si="12"/>
        <v>0</v>
      </c>
      <c r="T20" s="32">
        <f t="shared" si="13"/>
        <v>4088</v>
      </c>
      <c r="U20" s="14">
        <f t="shared" si="10"/>
        <v>0</v>
      </c>
    </row>
    <row r="21" spans="1:23" ht="13.5" thickBot="1" x14ac:dyDescent="0.25">
      <c r="A21" s="9">
        <v>44884</v>
      </c>
      <c r="B21" s="32">
        <f t="shared" si="15"/>
        <v>47819</v>
      </c>
      <c r="C21" s="14">
        <f t="shared" si="3"/>
        <v>0</v>
      </c>
      <c r="D21" s="32">
        <f t="shared" si="16"/>
        <v>41118</v>
      </c>
      <c r="E21" s="14">
        <f t="shared" si="4"/>
        <v>0</v>
      </c>
      <c r="F21" s="32">
        <f t="shared" si="17"/>
        <v>22256</v>
      </c>
      <c r="G21" s="14">
        <f t="shared" si="5"/>
        <v>0</v>
      </c>
      <c r="H21" s="32">
        <f t="shared" si="18"/>
        <v>259985</v>
      </c>
      <c r="I21" s="14">
        <f t="shared" si="6"/>
        <v>0</v>
      </c>
      <c r="J21" s="32">
        <f t="shared" si="19"/>
        <v>341272</v>
      </c>
      <c r="K21" s="14">
        <f t="shared" si="7"/>
        <v>0</v>
      </c>
      <c r="L21" s="32">
        <f t="shared" si="20"/>
        <v>26656</v>
      </c>
      <c r="M21" s="14">
        <f t="shared" si="8"/>
        <v>0</v>
      </c>
      <c r="N21" s="32">
        <f t="shared" si="21"/>
        <v>226544</v>
      </c>
      <c r="O21" s="14">
        <f t="shared" si="9"/>
        <v>0</v>
      </c>
      <c r="P21" s="32">
        <f t="shared" si="14"/>
        <v>177579</v>
      </c>
      <c r="Q21" s="14">
        <f t="shared" si="2"/>
        <v>0</v>
      </c>
      <c r="R21" s="1">
        <f t="shared" si="11"/>
        <v>55047</v>
      </c>
      <c r="S21" s="14">
        <f t="shared" si="12"/>
        <v>0</v>
      </c>
      <c r="T21" s="32">
        <f t="shared" si="13"/>
        <v>4088</v>
      </c>
      <c r="U21" s="14">
        <f t="shared" si="10"/>
        <v>0</v>
      </c>
    </row>
    <row r="22" spans="1:23" ht="13.5" thickBot="1" x14ac:dyDescent="0.25">
      <c r="A22" s="9">
        <v>44885</v>
      </c>
      <c r="B22" s="32">
        <f t="shared" si="15"/>
        <v>47819</v>
      </c>
      <c r="C22" s="14">
        <f t="shared" si="3"/>
        <v>0</v>
      </c>
      <c r="D22" s="32">
        <f t="shared" si="16"/>
        <v>41118</v>
      </c>
      <c r="E22" s="14">
        <f t="shared" si="4"/>
        <v>0</v>
      </c>
      <c r="F22" s="32">
        <f t="shared" si="17"/>
        <v>22256</v>
      </c>
      <c r="G22" s="14">
        <f t="shared" si="5"/>
        <v>0</v>
      </c>
      <c r="H22" s="32">
        <f t="shared" si="18"/>
        <v>259985</v>
      </c>
      <c r="I22" s="14">
        <f t="shared" si="6"/>
        <v>0</v>
      </c>
      <c r="J22" s="32">
        <f t="shared" si="19"/>
        <v>341272</v>
      </c>
      <c r="K22" s="14">
        <f t="shared" si="7"/>
        <v>0</v>
      </c>
      <c r="L22" s="32">
        <f t="shared" si="20"/>
        <v>26656</v>
      </c>
      <c r="M22" s="14">
        <f t="shared" si="8"/>
        <v>0</v>
      </c>
      <c r="N22" s="32">
        <f t="shared" si="21"/>
        <v>226544</v>
      </c>
      <c r="O22" s="14">
        <f t="shared" si="9"/>
        <v>0</v>
      </c>
      <c r="P22" s="32">
        <f t="shared" si="14"/>
        <v>177579</v>
      </c>
      <c r="Q22" s="14">
        <f t="shared" si="2"/>
        <v>0</v>
      </c>
      <c r="R22" s="1">
        <f t="shared" si="11"/>
        <v>55047</v>
      </c>
      <c r="S22" s="14">
        <f t="shared" si="12"/>
        <v>0</v>
      </c>
      <c r="T22" s="32">
        <f t="shared" si="13"/>
        <v>4088</v>
      </c>
      <c r="U22" s="14">
        <f t="shared" si="10"/>
        <v>0</v>
      </c>
    </row>
    <row r="23" spans="1:23" ht="13.5" thickBot="1" x14ac:dyDescent="0.25">
      <c r="A23" s="9">
        <v>44886</v>
      </c>
      <c r="B23" s="32">
        <f t="shared" si="15"/>
        <v>47819</v>
      </c>
      <c r="C23" s="14">
        <f t="shared" si="3"/>
        <v>0</v>
      </c>
      <c r="D23" s="32">
        <f t="shared" si="16"/>
        <v>41118</v>
      </c>
      <c r="E23" s="14">
        <f t="shared" si="4"/>
        <v>0</v>
      </c>
      <c r="F23" s="32">
        <f t="shared" si="17"/>
        <v>22256</v>
      </c>
      <c r="G23" s="14">
        <f t="shared" si="5"/>
        <v>0</v>
      </c>
      <c r="H23" s="32">
        <f t="shared" si="18"/>
        <v>259985</v>
      </c>
      <c r="I23" s="14">
        <f t="shared" si="6"/>
        <v>0</v>
      </c>
      <c r="J23" s="32">
        <f t="shared" si="19"/>
        <v>341272</v>
      </c>
      <c r="K23" s="14">
        <f t="shared" si="7"/>
        <v>0</v>
      </c>
      <c r="L23" s="32">
        <f t="shared" si="20"/>
        <v>26656</v>
      </c>
      <c r="M23" s="14">
        <f t="shared" si="8"/>
        <v>0</v>
      </c>
      <c r="N23" s="32">
        <f t="shared" si="21"/>
        <v>226544</v>
      </c>
      <c r="O23" s="14">
        <f t="shared" si="9"/>
        <v>0</v>
      </c>
      <c r="P23" s="32">
        <f t="shared" si="14"/>
        <v>177579</v>
      </c>
      <c r="Q23" s="14">
        <f t="shared" si="2"/>
        <v>0</v>
      </c>
      <c r="R23" s="1">
        <f t="shared" si="11"/>
        <v>55047</v>
      </c>
      <c r="S23" s="14">
        <f t="shared" si="12"/>
        <v>0</v>
      </c>
      <c r="T23" s="32">
        <f t="shared" si="13"/>
        <v>4088</v>
      </c>
      <c r="U23" s="14">
        <f t="shared" si="10"/>
        <v>0</v>
      </c>
    </row>
    <row r="24" spans="1:23" s="119" customFormat="1" ht="13.5" thickBot="1" x14ac:dyDescent="0.25">
      <c r="A24" s="9">
        <v>44887</v>
      </c>
      <c r="B24" s="32">
        <f t="shared" si="15"/>
        <v>47819</v>
      </c>
      <c r="C24" s="14">
        <f t="shared" si="3"/>
        <v>0</v>
      </c>
      <c r="D24" s="32">
        <f t="shared" si="16"/>
        <v>41118</v>
      </c>
      <c r="E24" s="14">
        <f t="shared" si="4"/>
        <v>0</v>
      </c>
      <c r="F24" s="32">
        <f t="shared" si="17"/>
        <v>22256</v>
      </c>
      <c r="G24" s="14">
        <f t="shared" si="5"/>
        <v>0</v>
      </c>
      <c r="H24" s="32">
        <f t="shared" si="18"/>
        <v>259985</v>
      </c>
      <c r="I24" s="14">
        <f t="shared" si="6"/>
        <v>0</v>
      </c>
      <c r="J24" s="32">
        <f t="shared" si="19"/>
        <v>341272</v>
      </c>
      <c r="K24" s="14">
        <f t="shared" si="7"/>
        <v>0</v>
      </c>
      <c r="L24" s="32">
        <f t="shared" si="20"/>
        <v>26656</v>
      </c>
      <c r="M24" s="14">
        <f t="shared" si="8"/>
        <v>0</v>
      </c>
      <c r="N24" s="32">
        <f t="shared" si="21"/>
        <v>226544</v>
      </c>
      <c r="O24" s="14">
        <f t="shared" si="9"/>
        <v>0</v>
      </c>
      <c r="P24" s="32">
        <f t="shared" si="14"/>
        <v>177579</v>
      </c>
      <c r="Q24" s="14">
        <f t="shared" si="2"/>
        <v>0</v>
      </c>
      <c r="R24" s="1">
        <f t="shared" si="11"/>
        <v>55047</v>
      </c>
      <c r="S24" s="14">
        <f t="shared" si="12"/>
        <v>0</v>
      </c>
      <c r="T24" s="32">
        <f t="shared" si="13"/>
        <v>4088</v>
      </c>
      <c r="U24" s="14">
        <f t="shared" si="10"/>
        <v>0</v>
      </c>
    </row>
    <row r="25" spans="1:23" ht="13.5" thickBot="1" x14ac:dyDescent="0.25">
      <c r="A25" s="9">
        <v>44888</v>
      </c>
      <c r="B25" s="32">
        <f t="shared" si="15"/>
        <v>47819</v>
      </c>
      <c r="C25" s="14">
        <f t="shared" si="3"/>
        <v>0</v>
      </c>
      <c r="D25" s="32">
        <f t="shared" si="16"/>
        <v>41118</v>
      </c>
      <c r="E25" s="14">
        <f t="shared" si="4"/>
        <v>0</v>
      </c>
      <c r="F25" s="32">
        <f t="shared" si="17"/>
        <v>22256</v>
      </c>
      <c r="G25" s="14">
        <f t="shared" si="5"/>
        <v>0</v>
      </c>
      <c r="H25" s="32">
        <f t="shared" si="18"/>
        <v>259985</v>
      </c>
      <c r="I25" s="14">
        <f t="shared" si="6"/>
        <v>0</v>
      </c>
      <c r="J25" s="32">
        <f t="shared" si="19"/>
        <v>341272</v>
      </c>
      <c r="K25" s="14">
        <f t="shared" si="7"/>
        <v>0</v>
      </c>
      <c r="L25" s="32">
        <f t="shared" si="20"/>
        <v>26656</v>
      </c>
      <c r="M25" s="14">
        <f t="shared" si="8"/>
        <v>0</v>
      </c>
      <c r="N25" s="32">
        <f t="shared" si="21"/>
        <v>226544</v>
      </c>
      <c r="O25" s="14">
        <f t="shared" si="9"/>
        <v>0</v>
      </c>
      <c r="P25" s="32">
        <f t="shared" si="14"/>
        <v>177579</v>
      </c>
      <c r="Q25" s="14">
        <f t="shared" si="2"/>
        <v>0</v>
      </c>
      <c r="R25" s="1">
        <f t="shared" si="11"/>
        <v>55047</v>
      </c>
      <c r="S25" s="14">
        <f t="shared" si="12"/>
        <v>0</v>
      </c>
      <c r="T25" s="32">
        <f t="shared" si="13"/>
        <v>4088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44889</v>
      </c>
      <c r="B26" s="32">
        <f t="shared" si="15"/>
        <v>47819</v>
      </c>
      <c r="C26" s="14">
        <f t="shared" si="3"/>
        <v>0</v>
      </c>
      <c r="D26" s="32">
        <f t="shared" si="16"/>
        <v>41118</v>
      </c>
      <c r="E26" s="14">
        <f t="shared" si="4"/>
        <v>0</v>
      </c>
      <c r="F26" s="32">
        <f t="shared" si="17"/>
        <v>22256</v>
      </c>
      <c r="G26" s="14">
        <f t="shared" si="5"/>
        <v>0</v>
      </c>
      <c r="H26" s="32">
        <f t="shared" si="18"/>
        <v>259985</v>
      </c>
      <c r="I26" s="14">
        <f t="shared" si="6"/>
        <v>0</v>
      </c>
      <c r="J26" s="32">
        <f t="shared" si="19"/>
        <v>341272</v>
      </c>
      <c r="K26" s="14">
        <f t="shared" si="7"/>
        <v>0</v>
      </c>
      <c r="L26" s="32">
        <f t="shared" si="20"/>
        <v>26656</v>
      </c>
      <c r="M26" s="14">
        <f t="shared" si="8"/>
        <v>0</v>
      </c>
      <c r="N26" s="32">
        <f t="shared" si="21"/>
        <v>226544</v>
      </c>
      <c r="O26" s="14">
        <f t="shared" si="9"/>
        <v>0</v>
      </c>
      <c r="P26" s="32">
        <f t="shared" si="14"/>
        <v>177579</v>
      </c>
      <c r="Q26" s="14">
        <f t="shared" si="2"/>
        <v>0</v>
      </c>
      <c r="R26" s="1">
        <f t="shared" si="11"/>
        <v>55047</v>
      </c>
      <c r="S26" s="14">
        <f t="shared" si="12"/>
        <v>0</v>
      </c>
      <c r="T26" s="32">
        <f t="shared" si="13"/>
        <v>4088</v>
      </c>
      <c r="U26" s="14">
        <f t="shared" si="10"/>
        <v>0</v>
      </c>
      <c r="W26" t="s">
        <v>12</v>
      </c>
    </row>
    <row r="27" spans="1:23" ht="13.5" thickBot="1" x14ac:dyDescent="0.25">
      <c r="A27" s="9">
        <v>44890</v>
      </c>
      <c r="B27" s="32">
        <f t="shared" si="15"/>
        <v>47819</v>
      </c>
      <c r="C27" s="14">
        <f t="shared" si="3"/>
        <v>0</v>
      </c>
      <c r="D27" s="32">
        <f t="shared" si="16"/>
        <v>41118</v>
      </c>
      <c r="E27" s="14">
        <f t="shared" si="4"/>
        <v>0</v>
      </c>
      <c r="F27" s="32">
        <f t="shared" si="17"/>
        <v>22256</v>
      </c>
      <c r="G27" s="14">
        <f t="shared" si="5"/>
        <v>0</v>
      </c>
      <c r="H27" s="32">
        <f t="shared" si="18"/>
        <v>259985</v>
      </c>
      <c r="I27" s="14">
        <f t="shared" si="6"/>
        <v>0</v>
      </c>
      <c r="J27" s="32">
        <f t="shared" si="19"/>
        <v>341272</v>
      </c>
      <c r="K27" s="14">
        <f t="shared" si="7"/>
        <v>0</v>
      </c>
      <c r="L27" s="32">
        <f t="shared" si="20"/>
        <v>26656</v>
      </c>
      <c r="M27" s="14">
        <f t="shared" si="8"/>
        <v>0</v>
      </c>
      <c r="N27" s="32">
        <f t="shared" si="21"/>
        <v>226544</v>
      </c>
      <c r="O27" s="14">
        <f t="shared" si="9"/>
        <v>0</v>
      </c>
      <c r="P27" s="32">
        <f t="shared" si="14"/>
        <v>177579</v>
      </c>
      <c r="Q27" s="14">
        <f t="shared" si="2"/>
        <v>0</v>
      </c>
      <c r="R27" s="1">
        <f t="shared" si="11"/>
        <v>55047</v>
      </c>
      <c r="S27" s="14">
        <f t="shared" si="12"/>
        <v>0</v>
      </c>
      <c r="T27" s="32">
        <f t="shared" si="13"/>
        <v>4088</v>
      </c>
      <c r="U27" s="14">
        <f t="shared" si="10"/>
        <v>0</v>
      </c>
    </row>
    <row r="28" spans="1:23" ht="13.5" thickBot="1" x14ac:dyDescent="0.25">
      <c r="A28" s="9">
        <v>44891</v>
      </c>
      <c r="B28" s="32">
        <f t="shared" si="15"/>
        <v>47819</v>
      </c>
      <c r="C28" s="14">
        <f t="shared" si="3"/>
        <v>0</v>
      </c>
      <c r="D28" s="32">
        <f t="shared" si="16"/>
        <v>41118</v>
      </c>
      <c r="E28" s="14">
        <f t="shared" si="4"/>
        <v>0</v>
      </c>
      <c r="F28" s="32">
        <f t="shared" si="17"/>
        <v>22256</v>
      </c>
      <c r="G28" s="14">
        <f t="shared" si="5"/>
        <v>0</v>
      </c>
      <c r="H28" s="32">
        <f t="shared" si="18"/>
        <v>259985</v>
      </c>
      <c r="I28" s="14">
        <f t="shared" si="6"/>
        <v>0</v>
      </c>
      <c r="J28" s="32">
        <f t="shared" si="19"/>
        <v>341272</v>
      </c>
      <c r="K28" s="14">
        <f t="shared" si="7"/>
        <v>0</v>
      </c>
      <c r="L28" s="32">
        <f t="shared" si="20"/>
        <v>26656</v>
      </c>
      <c r="M28" s="14">
        <f t="shared" si="8"/>
        <v>0</v>
      </c>
      <c r="N28" s="32">
        <f t="shared" si="21"/>
        <v>226544</v>
      </c>
      <c r="O28" s="14">
        <f t="shared" si="9"/>
        <v>0</v>
      </c>
      <c r="P28" s="32">
        <f t="shared" si="14"/>
        <v>177579</v>
      </c>
      <c r="Q28" s="14">
        <f t="shared" si="2"/>
        <v>0</v>
      </c>
      <c r="R28" s="1">
        <f t="shared" si="11"/>
        <v>55047</v>
      </c>
      <c r="S28" s="15">
        <f t="shared" si="12"/>
        <v>0</v>
      </c>
      <c r="T28" s="32">
        <f t="shared" si="13"/>
        <v>4088</v>
      </c>
      <c r="U28" s="14">
        <f t="shared" si="10"/>
        <v>0</v>
      </c>
    </row>
    <row r="29" spans="1:23" ht="13.5" thickBot="1" x14ac:dyDescent="0.25">
      <c r="A29" s="9">
        <v>44892</v>
      </c>
      <c r="B29" s="32">
        <f t="shared" si="15"/>
        <v>47819</v>
      </c>
      <c r="C29" s="14">
        <f t="shared" si="3"/>
        <v>0</v>
      </c>
      <c r="D29" s="32">
        <f t="shared" si="16"/>
        <v>41118</v>
      </c>
      <c r="E29" s="14">
        <f t="shared" si="4"/>
        <v>0</v>
      </c>
      <c r="F29" s="32">
        <f t="shared" si="17"/>
        <v>22256</v>
      </c>
      <c r="G29" s="14">
        <f t="shared" si="5"/>
        <v>0</v>
      </c>
      <c r="H29" s="32">
        <f t="shared" si="18"/>
        <v>259985</v>
      </c>
      <c r="I29" s="14">
        <f t="shared" si="6"/>
        <v>0</v>
      </c>
      <c r="J29" s="32">
        <f t="shared" si="19"/>
        <v>341272</v>
      </c>
      <c r="K29" s="14">
        <f t="shared" si="7"/>
        <v>0</v>
      </c>
      <c r="L29" s="32">
        <f t="shared" si="20"/>
        <v>26656</v>
      </c>
      <c r="M29" s="14">
        <f t="shared" si="8"/>
        <v>0</v>
      </c>
      <c r="N29" s="32">
        <f t="shared" si="21"/>
        <v>226544</v>
      </c>
      <c r="O29" s="14">
        <f t="shared" si="9"/>
        <v>0</v>
      </c>
      <c r="P29" s="32">
        <f t="shared" si="14"/>
        <v>177579</v>
      </c>
      <c r="Q29" s="14">
        <f t="shared" si="2"/>
        <v>0</v>
      </c>
      <c r="R29" s="1">
        <f t="shared" si="11"/>
        <v>55047</v>
      </c>
      <c r="S29" s="14">
        <f t="shared" si="12"/>
        <v>0</v>
      </c>
      <c r="T29" s="32">
        <f t="shared" si="13"/>
        <v>4088</v>
      </c>
      <c r="U29" s="14">
        <f t="shared" si="10"/>
        <v>0</v>
      </c>
    </row>
    <row r="30" spans="1:23" ht="13.5" thickBot="1" x14ac:dyDescent="0.25">
      <c r="A30" s="9">
        <v>44893</v>
      </c>
      <c r="B30" s="32">
        <f t="shared" si="15"/>
        <v>47819</v>
      </c>
      <c r="C30" s="14">
        <f t="shared" si="3"/>
        <v>0</v>
      </c>
      <c r="D30" s="32">
        <f t="shared" si="16"/>
        <v>41118</v>
      </c>
      <c r="E30" s="14">
        <f t="shared" si="4"/>
        <v>0</v>
      </c>
      <c r="F30" s="32">
        <f t="shared" si="17"/>
        <v>22256</v>
      </c>
      <c r="G30" s="14">
        <f t="shared" si="5"/>
        <v>0</v>
      </c>
      <c r="H30" s="32">
        <f t="shared" si="18"/>
        <v>259985</v>
      </c>
      <c r="I30" s="14">
        <f t="shared" si="6"/>
        <v>0</v>
      </c>
      <c r="J30" s="32">
        <f t="shared" si="19"/>
        <v>341272</v>
      </c>
      <c r="K30" s="14">
        <f t="shared" si="7"/>
        <v>0</v>
      </c>
      <c r="L30" s="32">
        <f t="shared" si="20"/>
        <v>26656</v>
      </c>
      <c r="M30" s="14">
        <f t="shared" si="8"/>
        <v>0</v>
      </c>
      <c r="N30" s="32">
        <f t="shared" si="21"/>
        <v>226544</v>
      </c>
      <c r="O30" s="14">
        <f t="shared" si="9"/>
        <v>0</v>
      </c>
      <c r="P30" s="32">
        <f t="shared" si="14"/>
        <v>177579</v>
      </c>
      <c r="Q30" s="14">
        <f t="shared" si="2"/>
        <v>0</v>
      </c>
      <c r="R30" s="1">
        <f t="shared" si="11"/>
        <v>55047</v>
      </c>
      <c r="S30" s="14">
        <f t="shared" si="12"/>
        <v>0</v>
      </c>
      <c r="T30" s="32">
        <f t="shared" si="13"/>
        <v>4088</v>
      </c>
      <c r="U30" s="14">
        <f t="shared" si="10"/>
        <v>0</v>
      </c>
    </row>
    <row r="31" spans="1:23" ht="13.5" thickBot="1" x14ac:dyDescent="0.25">
      <c r="A31" s="9">
        <v>44894</v>
      </c>
      <c r="B31" s="32">
        <f t="shared" si="15"/>
        <v>47819</v>
      </c>
      <c r="C31" s="14">
        <f t="shared" si="3"/>
        <v>0</v>
      </c>
      <c r="D31" s="32">
        <f t="shared" si="16"/>
        <v>41118</v>
      </c>
      <c r="E31" s="14">
        <f t="shared" si="4"/>
        <v>0</v>
      </c>
      <c r="F31" s="32">
        <f t="shared" si="17"/>
        <v>22256</v>
      </c>
      <c r="G31" s="14">
        <f t="shared" si="5"/>
        <v>0</v>
      </c>
      <c r="H31" s="32">
        <f t="shared" si="18"/>
        <v>259985</v>
      </c>
      <c r="I31" s="14">
        <f t="shared" si="6"/>
        <v>0</v>
      </c>
      <c r="J31" s="32">
        <f t="shared" si="19"/>
        <v>341272</v>
      </c>
      <c r="K31" s="14">
        <f t="shared" si="7"/>
        <v>0</v>
      </c>
      <c r="L31" s="32">
        <f t="shared" si="20"/>
        <v>26656</v>
      </c>
      <c r="M31" s="14">
        <f t="shared" si="8"/>
        <v>0</v>
      </c>
      <c r="N31" s="32">
        <f t="shared" si="21"/>
        <v>226544</v>
      </c>
      <c r="O31" s="14">
        <f t="shared" si="9"/>
        <v>0</v>
      </c>
      <c r="P31" s="32">
        <f t="shared" si="14"/>
        <v>177579</v>
      </c>
      <c r="Q31" s="14">
        <f t="shared" si="2"/>
        <v>0</v>
      </c>
      <c r="R31" s="1">
        <f t="shared" si="11"/>
        <v>55047</v>
      </c>
      <c r="S31" s="14">
        <v>0</v>
      </c>
      <c r="T31" s="32">
        <f t="shared" si="13"/>
        <v>4088</v>
      </c>
      <c r="U31" s="14">
        <f t="shared" si="10"/>
        <v>0</v>
      </c>
    </row>
    <row r="32" spans="1:23" ht="13.5" thickBot="1" x14ac:dyDescent="0.25">
      <c r="A32" s="9">
        <v>44895</v>
      </c>
      <c r="B32" s="32">
        <f t="shared" si="15"/>
        <v>47819</v>
      </c>
      <c r="C32" s="14">
        <f t="shared" si="3"/>
        <v>0</v>
      </c>
      <c r="D32" s="32">
        <f t="shared" si="16"/>
        <v>41118</v>
      </c>
      <c r="E32" s="14">
        <f t="shared" si="4"/>
        <v>0</v>
      </c>
      <c r="F32" s="32">
        <f t="shared" si="17"/>
        <v>22256</v>
      </c>
      <c r="G32" s="14">
        <f t="shared" si="5"/>
        <v>0</v>
      </c>
      <c r="H32" s="32">
        <f t="shared" si="18"/>
        <v>259985</v>
      </c>
      <c r="I32" s="14">
        <f t="shared" si="6"/>
        <v>0</v>
      </c>
      <c r="J32" s="32">
        <f t="shared" si="19"/>
        <v>341272</v>
      </c>
      <c r="K32" s="14">
        <f t="shared" si="7"/>
        <v>0</v>
      </c>
      <c r="L32" s="32">
        <f t="shared" si="20"/>
        <v>26656</v>
      </c>
      <c r="M32" s="14">
        <f t="shared" si="8"/>
        <v>0</v>
      </c>
      <c r="N32" s="32">
        <f t="shared" si="21"/>
        <v>226544</v>
      </c>
      <c r="O32" s="14">
        <f t="shared" si="9"/>
        <v>0</v>
      </c>
      <c r="P32" s="32">
        <f t="shared" si="14"/>
        <v>177579</v>
      </c>
      <c r="Q32" s="14">
        <f t="shared" si="2"/>
        <v>0</v>
      </c>
      <c r="R32" s="1">
        <f t="shared" si="11"/>
        <v>55047</v>
      </c>
      <c r="S32" s="14">
        <f t="shared" si="12"/>
        <v>0</v>
      </c>
      <c r="T32" s="32">
        <f t="shared" si="13"/>
        <v>4088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SUM(C3:C32)</f>
        <v>4160</v>
      </c>
      <c r="D33" s="14"/>
      <c r="E33" s="14">
        <f>SUM(E3:E32)</f>
        <v>2720</v>
      </c>
      <c r="F33" s="14"/>
      <c r="G33" s="14">
        <f>SUM(G3:G32)</f>
        <v>400</v>
      </c>
      <c r="H33" s="14"/>
      <c r="I33" s="14">
        <f>SUM(I3:I32)</f>
        <v>135</v>
      </c>
      <c r="J33" s="14"/>
      <c r="K33" s="14">
        <f>SUM(K3:K32)</f>
        <v>963</v>
      </c>
      <c r="L33" s="14"/>
      <c r="M33" s="14">
        <f>SUM(M3:M32)</f>
        <v>1140</v>
      </c>
      <c r="N33" s="14"/>
      <c r="O33" s="14">
        <f>SUM(O3:O32)</f>
        <v>19</v>
      </c>
      <c r="P33" s="14"/>
      <c r="Q33" s="14">
        <f>SUM(Q3:Q32)</f>
        <v>618</v>
      </c>
      <c r="R33" s="14"/>
      <c r="S33" s="14">
        <f>SUM(S3:S32)</f>
        <v>0</v>
      </c>
      <c r="T33" s="14"/>
      <c r="U33" s="14">
        <f>SUM(U3:U32)</f>
        <v>640</v>
      </c>
    </row>
    <row r="34" spans="1:21" x14ac:dyDescent="0.2">
      <c r="N34" s="17"/>
    </row>
    <row r="35" spans="1:21" x14ac:dyDescent="0.2">
      <c r="N35" s="17"/>
    </row>
    <row r="36" spans="1:21" x14ac:dyDescent="0.2">
      <c r="I36" s="17"/>
      <c r="N36" s="17"/>
    </row>
    <row r="37" spans="1:21" x14ac:dyDescent="0.2"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L57" s="18"/>
      <c r="M57" s="17"/>
      <c r="N57" s="18"/>
      <c r="O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N69" s="17"/>
    </row>
    <row r="70" spans="12:15" x14ac:dyDescent="0.2"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9"/>
  <sheetViews>
    <sheetView zoomScaleNormal="100" zoomScaleSheetLayoutView="110" workbookViewId="0">
      <pane ySplit="1" topLeftCell="A2" activePane="bottomLeft" state="frozen"/>
      <selection pane="bottomLeft" activeCell="O8" sqref="O8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49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44865</v>
      </c>
      <c r="B2" s="38"/>
      <c r="C2" s="131">
        <v>20283</v>
      </c>
      <c r="D2" s="38"/>
      <c r="E2" s="132">
        <v>34489833</v>
      </c>
      <c r="F2" s="38"/>
      <c r="G2" s="133">
        <v>8020796</v>
      </c>
      <c r="H2" s="38"/>
      <c r="I2" s="134">
        <f t="shared" ref="I2" si="0">F2+H2</f>
        <v>0</v>
      </c>
      <c r="J2" s="132">
        <v>778844</v>
      </c>
      <c r="K2" s="117"/>
      <c r="L2" s="135">
        <v>1090422</v>
      </c>
      <c r="M2" s="38"/>
      <c r="N2" s="132">
        <v>7829931</v>
      </c>
      <c r="O2" s="38"/>
      <c r="P2" s="135">
        <v>8663411</v>
      </c>
      <c r="Q2" s="38"/>
      <c r="R2" s="132">
        <v>22904468</v>
      </c>
      <c r="S2" s="38"/>
      <c r="T2" s="132">
        <v>0</v>
      </c>
      <c r="U2" s="55"/>
      <c r="V2" s="132">
        <v>973410</v>
      </c>
      <c r="W2" s="38"/>
      <c r="X2" s="19">
        <f t="shared" ref="X2" si="1">K2+M2+O2+Q2+S2+U2+W2</f>
        <v>0</v>
      </c>
      <c r="Y2" s="151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44866</v>
      </c>
      <c r="B3" s="38">
        <v>277</v>
      </c>
      <c r="C3" s="131">
        <v>20286</v>
      </c>
      <c r="D3" s="38">
        <f>IF((C3-C2)&lt;0,"0",(C3-C2))*160</f>
        <v>480</v>
      </c>
      <c r="E3" s="132">
        <v>34501231</v>
      </c>
      <c r="F3" s="38">
        <f>IF((E3-E2)&lt;0,"0",(E3-E2))</f>
        <v>11398</v>
      </c>
      <c r="G3" s="133">
        <v>8082039</v>
      </c>
      <c r="H3" s="38">
        <f>IF((G3-G2)&lt;0,"0",(G3-G2))</f>
        <v>61243</v>
      </c>
      <c r="I3" s="19">
        <f>F3+H3</f>
        <v>72641</v>
      </c>
      <c r="J3" s="132">
        <v>785823</v>
      </c>
      <c r="K3" s="38">
        <f>(IF((J3-J2)&lt;L85,"0",(J3-J2)))*2</f>
        <v>13958</v>
      </c>
      <c r="L3" s="135">
        <v>1097582</v>
      </c>
      <c r="M3" s="38">
        <f>IF((L3-L2)&lt;0,"0",(L3-L2))</f>
        <v>7160</v>
      </c>
      <c r="N3" s="132">
        <v>7831960</v>
      </c>
      <c r="O3" s="38">
        <f>(IF((N3-N2)&lt;P85,"0",(N3-N2)))*2</f>
        <v>4058</v>
      </c>
      <c r="P3" s="135">
        <v>8676127</v>
      </c>
      <c r="Q3" s="38">
        <f>IF((P3-P2)&lt;0,"0",(P3-P2))</f>
        <v>12716</v>
      </c>
      <c r="R3" s="132">
        <v>22917197</v>
      </c>
      <c r="S3" s="38">
        <f>IF((R3-R2)&lt;0,"0",(R3-R2))</f>
        <v>12729</v>
      </c>
      <c r="T3" s="132">
        <v>0</v>
      </c>
      <c r="U3" s="136"/>
      <c r="V3" s="132">
        <v>986863</v>
      </c>
      <c r="W3" s="38">
        <f>IF((V3-V2)&lt;0,"0",(V3-V2))</f>
        <v>13453</v>
      </c>
      <c r="X3" s="19">
        <f>K3+M3+O3+Q3+S3+U3+W3</f>
        <v>64074</v>
      </c>
      <c r="Y3" s="151">
        <f>I3-X3</f>
        <v>8567</v>
      </c>
      <c r="Z3" s="3">
        <f>(0.93352*(W3+S3)+0.5568*(Q3+O3))*0.26</f>
        <v>8783.1077984000003</v>
      </c>
      <c r="AA3" s="3">
        <f>SUM(Z1:Z3)</f>
        <v>8783.1077984000003</v>
      </c>
    </row>
    <row r="4" spans="1:27" ht="16.5" thickBot="1" x14ac:dyDescent="0.3">
      <c r="A4" s="9">
        <v>44867</v>
      </c>
      <c r="B4" s="38">
        <v>304</v>
      </c>
      <c r="C4" s="131">
        <v>20289</v>
      </c>
      <c r="D4" s="38">
        <f t="shared" ref="D4:D29" si="4">IF((C4-C3)&lt;0,"0",(C4-C3))*160</f>
        <v>480</v>
      </c>
      <c r="E4" s="132">
        <v>34508243</v>
      </c>
      <c r="F4" s="38">
        <f t="shared" ref="F4:F29" si="5">IF((E4-E3)&lt;0,"0",(E4-E3))</f>
        <v>7012</v>
      </c>
      <c r="G4" s="133">
        <v>8119649</v>
      </c>
      <c r="H4" s="38">
        <f t="shared" ref="H4:H32" si="6">IF((G4-G3)&lt;0,"0",(G4-G3))</f>
        <v>37610</v>
      </c>
      <c r="I4" s="134">
        <f t="shared" ref="I4:I30" si="7">F4+H4</f>
        <v>44622</v>
      </c>
      <c r="J4" s="132">
        <v>790250</v>
      </c>
      <c r="K4" s="38">
        <f>(IF((J4-J3)&lt;L87,"0",(J4-J3)))*2</f>
        <v>8854</v>
      </c>
      <c r="L4" s="135">
        <v>1101949</v>
      </c>
      <c r="M4" s="38">
        <f t="shared" ref="M4:M29" si="8">IF((L4-L3)&lt;0,"0",(L4-L3))</f>
        <v>4367</v>
      </c>
      <c r="N4" s="132">
        <v>7833215</v>
      </c>
      <c r="O4" s="38">
        <f>(IF((N4-N3)&lt;P87,"0",(N4-N3)))*2</f>
        <v>2510</v>
      </c>
      <c r="P4" s="135">
        <v>8684970</v>
      </c>
      <c r="Q4" s="38">
        <f t="shared" ref="Q4:Q29" si="9">IF((P4-P3)&lt;0,"0",(P4-P3))</f>
        <v>8843</v>
      </c>
      <c r="R4" s="132">
        <v>22924827</v>
      </c>
      <c r="S4" s="38">
        <f t="shared" ref="S4:S30" si="10">IF((R4-R3)&lt;0,"0",(R4-R3))</f>
        <v>7630</v>
      </c>
      <c r="T4" s="132">
        <v>0</v>
      </c>
      <c r="U4" s="136"/>
      <c r="V4" s="132">
        <v>995131</v>
      </c>
      <c r="W4" s="38">
        <f t="shared" ref="W4:W29" si="11">IF((V4-V3)&lt;0,"0",(V4-V3))</f>
        <v>8268</v>
      </c>
      <c r="X4" s="19">
        <f t="shared" ref="X4:X30" si="12">K4+M4+O4+Q4+S4+U4+W4</f>
        <v>40472</v>
      </c>
      <c r="Y4" s="151">
        <f t="shared" ref="Y4:Y30" si="13">I4-X4</f>
        <v>4150</v>
      </c>
      <c r="Z4" s="3">
        <f t="shared" ref="Z4:Z30" si="14">(0.93352*(W4+S4)+0.5568*(Q4+O4))*0.26</f>
        <v>5502.2373535999996</v>
      </c>
      <c r="AA4" s="3">
        <f>SUM(Z1:Z4)</f>
        <v>14285.345152</v>
      </c>
    </row>
    <row r="5" spans="1:27" ht="16.5" thickBot="1" x14ac:dyDescent="0.3">
      <c r="A5" s="9">
        <v>44868</v>
      </c>
      <c r="B5" s="38">
        <v>300</v>
      </c>
      <c r="C5" s="131">
        <v>20292</v>
      </c>
      <c r="D5" s="38">
        <f t="shared" si="4"/>
        <v>480</v>
      </c>
      <c r="E5" s="132">
        <v>34523955</v>
      </c>
      <c r="F5" s="38">
        <f t="shared" si="5"/>
        <v>15712</v>
      </c>
      <c r="G5" s="133">
        <v>8188500</v>
      </c>
      <c r="H5" s="38">
        <f t="shared" si="6"/>
        <v>68851</v>
      </c>
      <c r="I5" s="134">
        <f t="shared" si="7"/>
        <v>84563</v>
      </c>
      <c r="J5" s="132">
        <v>797796</v>
      </c>
      <c r="K5" s="38">
        <f t="shared" ref="K5:K32" si="15">(IF((J5-J4)&lt;0,"0",(J5-J4)))*2</f>
        <v>15092</v>
      </c>
      <c r="L5" s="135">
        <v>1109879</v>
      </c>
      <c r="M5" s="38">
        <f t="shared" si="8"/>
        <v>7930</v>
      </c>
      <c r="N5" s="132">
        <v>7836986</v>
      </c>
      <c r="O5" s="38">
        <f t="shared" ref="O5:O29" si="16">(IF((N5-N4)&lt;0,"0",(N5-N4)))*2</f>
        <v>7542</v>
      </c>
      <c r="P5" s="135">
        <v>8699470</v>
      </c>
      <c r="Q5" s="38">
        <f t="shared" si="9"/>
        <v>14500</v>
      </c>
      <c r="R5" s="132">
        <v>22938944</v>
      </c>
      <c r="S5" s="38">
        <f t="shared" si="10"/>
        <v>14117</v>
      </c>
      <c r="T5" s="132">
        <v>0</v>
      </c>
      <c r="U5" s="136"/>
      <c r="V5" s="132">
        <v>1010778</v>
      </c>
      <c r="W5" s="38">
        <f t="shared" si="11"/>
        <v>15647</v>
      </c>
      <c r="X5" s="19">
        <f t="shared" si="12"/>
        <v>74828</v>
      </c>
      <c r="Y5" s="151">
        <f t="shared" si="13"/>
        <v>9735</v>
      </c>
      <c r="Z5" s="3">
        <f t="shared" si="14"/>
        <v>10415.151468799999</v>
      </c>
      <c r="AA5" s="3">
        <f>SUM(Z1:Z5)</f>
        <v>24700.496620799997</v>
      </c>
    </row>
    <row r="6" spans="1:27" ht="16.5" thickBot="1" x14ac:dyDescent="0.3">
      <c r="A6" s="9">
        <v>44869</v>
      </c>
      <c r="B6" s="38">
        <v>300</v>
      </c>
      <c r="C6" s="131">
        <v>20295</v>
      </c>
      <c r="D6" s="38">
        <f t="shared" si="4"/>
        <v>480</v>
      </c>
      <c r="E6" s="132">
        <v>34532592</v>
      </c>
      <c r="F6" s="38">
        <f t="shared" si="5"/>
        <v>8637</v>
      </c>
      <c r="G6" s="133">
        <v>8239010</v>
      </c>
      <c r="H6" s="38">
        <f t="shared" si="6"/>
        <v>50510</v>
      </c>
      <c r="I6" s="134">
        <f t="shared" si="7"/>
        <v>59147</v>
      </c>
      <c r="J6" s="132">
        <v>802914</v>
      </c>
      <c r="K6" s="38">
        <f t="shared" si="15"/>
        <v>10236</v>
      </c>
      <c r="L6" s="135">
        <v>1115150</v>
      </c>
      <c r="M6" s="38">
        <f t="shared" si="8"/>
        <v>5271</v>
      </c>
      <c r="N6" s="132">
        <v>7838602</v>
      </c>
      <c r="O6" s="38">
        <f t="shared" si="16"/>
        <v>3232</v>
      </c>
      <c r="P6" s="135">
        <v>8710851</v>
      </c>
      <c r="Q6" s="38">
        <f t="shared" si="9"/>
        <v>11381</v>
      </c>
      <c r="R6" s="132">
        <v>22949174</v>
      </c>
      <c r="S6" s="38">
        <f t="shared" si="10"/>
        <v>10230</v>
      </c>
      <c r="T6" s="132">
        <v>0</v>
      </c>
      <c r="U6" s="136"/>
      <c r="V6" s="132">
        <v>1022114</v>
      </c>
      <c r="W6" s="38">
        <f t="shared" si="11"/>
        <v>11336</v>
      </c>
      <c r="X6" s="19">
        <f t="shared" si="12"/>
        <v>51686</v>
      </c>
      <c r="Y6" s="151">
        <f t="shared" si="13"/>
        <v>7461</v>
      </c>
      <c r="Z6" s="3">
        <f t="shared" si="14"/>
        <v>7349.8907872000009</v>
      </c>
      <c r="AA6" s="3">
        <f>SUM(Z1:Z6)</f>
        <v>32050.387407999999</v>
      </c>
    </row>
    <row r="7" spans="1:27" ht="16.5" thickBot="1" x14ac:dyDescent="0.3">
      <c r="A7" s="9">
        <v>44870</v>
      </c>
      <c r="B7" s="38">
        <v>310</v>
      </c>
      <c r="C7" s="131">
        <v>20298</v>
      </c>
      <c r="D7" s="38">
        <f t="shared" si="4"/>
        <v>480</v>
      </c>
      <c r="E7" s="132">
        <v>34541942</v>
      </c>
      <c r="F7" s="38">
        <f t="shared" si="5"/>
        <v>9350</v>
      </c>
      <c r="G7" s="133">
        <v>8292983</v>
      </c>
      <c r="H7" s="38">
        <f t="shared" si="6"/>
        <v>53973</v>
      </c>
      <c r="I7" s="134">
        <f t="shared" si="7"/>
        <v>63323</v>
      </c>
      <c r="J7" s="132">
        <v>808700</v>
      </c>
      <c r="K7" s="38">
        <f t="shared" si="15"/>
        <v>11572</v>
      </c>
      <c r="L7" s="135">
        <v>1120890</v>
      </c>
      <c r="M7" s="38">
        <f t="shared" si="8"/>
        <v>5740</v>
      </c>
      <c r="N7" s="132">
        <v>7840327</v>
      </c>
      <c r="O7" s="38">
        <f t="shared" si="16"/>
        <v>3450</v>
      </c>
      <c r="P7" s="135">
        <v>8722458</v>
      </c>
      <c r="Q7" s="38">
        <f t="shared" si="9"/>
        <v>11607</v>
      </c>
      <c r="R7" s="132">
        <v>22960184</v>
      </c>
      <c r="S7" s="38">
        <f t="shared" si="10"/>
        <v>11010</v>
      </c>
      <c r="T7" s="132">
        <v>0</v>
      </c>
      <c r="U7" s="136"/>
      <c r="V7" s="132">
        <v>1034350</v>
      </c>
      <c r="W7" s="38">
        <f t="shared" si="11"/>
        <v>12236</v>
      </c>
      <c r="X7" s="19">
        <f t="shared" si="12"/>
        <v>55615</v>
      </c>
      <c r="Y7" s="151">
        <f t="shared" si="13"/>
        <v>7708</v>
      </c>
      <c r="Z7" s="3">
        <f t="shared" si="14"/>
        <v>7821.9293152000009</v>
      </c>
      <c r="AA7" s="3">
        <f>SUM(Z1:Z7)</f>
        <v>39872.316723199998</v>
      </c>
    </row>
    <row r="8" spans="1:27" ht="16.5" thickBot="1" x14ac:dyDescent="0.3">
      <c r="A8" s="9">
        <v>44871</v>
      </c>
      <c r="B8" s="38">
        <v>348</v>
      </c>
      <c r="C8" s="131">
        <v>20301</v>
      </c>
      <c r="D8" s="38">
        <f t="shared" si="4"/>
        <v>480</v>
      </c>
      <c r="E8" s="132">
        <v>34550289</v>
      </c>
      <c r="F8" s="38">
        <f t="shared" si="5"/>
        <v>8347</v>
      </c>
      <c r="G8" s="133">
        <v>8340141</v>
      </c>
      <c r="H8" s="38">
        <f t="shared" si="6"/>
        <v>47158</v>
      </c>
      <c r="I8" s="134">
        <f t="shared" si="7"/>
        <v>55505</v>
      </c>
      <c r="J8" s="132">
        <v>814150</v>
      </c>
      <c r="K8" s="38">
        <f t="shared" si="15"/>
        <v>10900</v>
      </c>
      <c r="L8" s="135">
        <v>1125934</v>
      </c>
      <c r="M8" s="38">
        <f t="shared" si="8"/>
        <v>5044</v>
      </c>
      <c r="N8" s="132">
        <v>7841907</v>
      </c>
      <c r="O8" s="38">
        <f t="shared" si="16"/>
        <v>3160</v>
      </c>
      <c r="P8" s="135">
        <v>8732448</v>
      </c>
      <c r="Q8" s="38">
        <f t="shared" si="9"/>
        <v>9990</v>
      </c>
      <c r="R8" s="132">
        <v>22969659</v>
      </c>
      <c r="S8" s="38">
        <f t="shared" si="10"/>
        <v>9475</v>
      </c>
      <c r="T8" s="132">
        <v>0</v>
      </c>
      <c r="U8" s="136"/>
      <c r="V8" s="132">
        <v>1044977</v>
      </c>
      <c r="W8" s="38">
        <f t="shared" si="11"/>
        <v>10627</v>
      </c>
      <c r="X8" s="19">
        <f t="shared" si="12"/>
        <v>49196</v>
      </c>
      <c r="Y8" s="151">
        <f t="shared" si="13"/>
        <v>6309</v>
      </c>
      <c r="Z8" s="3">
        <f t="shared" si="14"/>
        <v>6782.7601504000004</v>
      </c>
      <c r="AA8" s="3">
        <f>SUM(Z1:Z8)</f>
        <v>46655.076873599995</v>
      </c>
    </row>
    <row r="9" spans="1:27" ht="16.5" thickBot="1" x14ac:dyDescent="0.3">
      <c r="A9" s="9">
        <v>44872</v>
      </c>
      <c r="B9" s="38"/>
      <c r="C9" s="131">
        <f t="shared" ref="C8:C32" si="17">C8</f>
        <v>20301</v>
      </c>
      <c r="D9" s="38">
        <f t="shared" si="4"/>
        <v>0</v>
      </c>
      <c r="E9" s="132">
        <f t="shared" ref="E8:E32" si="18">E8</f>
        <v>34550289</v>
      </c>
      <c r="F9" s="38">
        <f t="shared" si="5"/>
        <v>0</v>
      </c>
      <c r="G9" s="133">
        <f t="shared" ref="G8:G32" si="19">G8</f>
        <v>8340141</v>
      </c>
      <c r="H9" s="38">
        <f t="shared" si="6"/>
        <v>0</v>
      </c>
      <c r="I9" s="134">
        <f t="shared" si="7"/>
        <v>0</v>
      </c>
      <c r="J9" s="132">
        <f t="shared" ref="J8:J32" si="20">J8</f>
        <v>814150</v>
      </c>
      <c r="K9" s="38">
        <f t="shared" si="15"/>
        <v>0</v>
      </c>
      <c r="L9" s="135">
        <f t="shared" ref="L8:L32" si="21">L8</f>
        <v>1125934</v>
      </c>
      <c r="M9" s="38">
        <f t="shared" si="8"/>
        <v>0</v>
      </c>
      <c r="N9" s="132">
        <f t="shared" ref="N8:N32" si="22">N8</f>
        <v>7841907</v>
      </c>
      <c r="O9" s="38">
        <f t="shared" si="16"/>
        <v>0</v>
      </c>
      <c r="P9" s="135">
        <f t="shared" ref="P8:P32" si="23">P8</f>
        <v>8732448</v>
      </c>
      <c r="Q9" s="38">
        <f t="shared" si="9"/>
        <v>0</v>
      </c>
      <c r="R9" s="132">
        <f t="shared" ref="R8:R32" si="24">R8</f>
        <v>22969659</v>
      </c>
      <c r="S9" s="38">
        <f t="shared" si="10"/>
        <v>0</v>
      </c>
      <c r="T9" s="132">
        <v>0</v>
      </c>
      <c r="U9" s="136"/>
      <c r="V9" s="132">
        <f t="shared" ref="V8:V32" si="25">V8</f>
        <v>1044977</v>
      </c>
      <c r="W9" s="38">
        <f t="shared" si="11"/>
        <v>0</v>
      </c>
      <c r="X9" s="19">
        <f t="shared" si="12"/>
        <v>0</v>
      </c>
      <c r="Y9" s="151">
        <f t="shared" si="13"/>
        <v>0</v>
      </c>
      <c r="Z9" s="3">
        <f t="shared" si="14"/>
        <v>0</v>
      </c>
      <c r="AA9" s="3">
        <f>SUM(Z1:Z9)</f>
        <v>46655.076873599995</v>
      </c>
    </row>
    <row r="10" spans="1:27" ht="16.5" thickBot="1" x14ac:dyDescent="0.3">
      <c r="A10" s="9">
        <v>44873</v>
      </c>
      <c r="B10" s="38"/>
      <c r="C10" s="131">
        <f t="shared" si="17"/>
        <v>20301</v>
      </c>
      <c r="D10" s="38">
        <f>IF((C10-C9)&lt;0,"0",(C10-C9))*160</f>
        <v>0</v>
      </c>
      <c r="E10" s="132">
        <f t="shared" si="18"/>
        <v>34550289</v>
      </c>
      <c r="F10" s="38">
        <f t="shared" si="5"/>
        <v>0</v>
      </c>
      <c r="G10" s="133">
        <f t="shared" si="19"/>
        <v>8340141</v>
      </c>
      <c r="H10" s="38">
        <f t="shared" si="6"/>
        <v>0</v>
      </c>
      <c r="I10" s="134">
        <f t="shared" si="7"/>
        <v>0</v>
      </c>
      <c r="J10" s="132">
        <f t="shared" si="20"/>
        <v>814150</v>
      </c>
      <c r="K10" s="38">
        <f t="shared" si="15"/>
        <v>0</v>
      </c>
      <c r="L10" s="135">
        <f t="shared" si="21"/>
        <v>1125934</v>
      </c>
      <c r="M10" s="38">
        <f t="shared" si="8"/>
        <v>0</v>
      </c>
      <c r="N10" s="132">
        <f t="shared" si="22"/>
        <v>7841907</v>
      </c>
      <c r="O10" s="38">
        <f t="shared" si="16"/>
        <v>0</v>
      </c>
      <c r="P10" s="135">
        <f t="shared" si="23"/>
        <v>8732448</v>
      </c>
      <c r="Q10" s="38">
        <f t="shared" si="9"/>
        <v>0</v>
      </c>
      <c r="R10" s="132">
        <f t="shared" si="24"/>
        <v>22969659</v>
      </c>
      <c r="S10" s="38">
        <f t="shared" si="10"/>
        <v>0</v>
      </c>
      <c r="T10" s="132">
        <v>0</v>
      </c>
      <c r="U10" s="136"/>
      <c r="V10" s="132">
        <f t="shared" si="25"/>
        <v>1044977</v>
      </c>
      <c r="W10" s="38">
        <f t="shared" si="11"/>
        <v>0</v>
      </c>
      <c r="X10" s="19">
        <f t="shared" si="12"/>
        <v>0</v>
      </c>
      <c r="Y10" s="151">
        <f t="shared" si="13"/>
        <v>0</v>
      </c>
      <c r="Z10" s="3">
        <f t="shared" si="14"/>
        <v>0</v>
      </c>
      <c r="AA10" s="3">
        <f>SUM(Z1:Z10)</f>
        <v>46655.076873599995</v>
      </c>
    </row>
    <row r="11" spans="1:27" ht="15.75" customHeight="1" thickBot="1" x14ac:dyDescent="0.3">
      <c r="A11" s="9">
        <v>44874</v>
      </c>
      <c r="B11" s="38"/>
      <c r="C11" s="131">
        <f t="shared" si="17"/>
        <v>20301</v>
      </c>
      <c r="D11" s="38">
        <f>IF((C11-C10)&lt;0,"0",(C11-C10))*160</f>
        <v>0</v>
      </c>
      <c r="E11" s="132">
        <f t="shared" si="18"/>
        <v>34550289</v>
      </c>
      <c r="F11" s="38">
        <f t="shared" si="5"/>
        <v>0</v>
      </c>
      <c r="G11" s="133">
        <f t="shared" si="19"/>
        <v>8340141</v>
      </c>
      <c r="H11" s="38">
        <f t="shared" si="6"/>
        <v>0</v>
      </c>
      <c r="I11" s="134">
        <f t="shared" si="7"/>
        <v>0</v>
      </c>
      <c r="J11" s="132">
        <f t="shared" si="20"/>
        <v>814150</v>
      </c>
      <c r="K11" s="38">
        <f t="shared" si="15"/>
        <v>0</v>
      </c>
      <c r="L11" s="135">
        <f t="shared" si="21"/>
        <v>1125934</v>
      </c>
      <c r="M11" s="38">
        <f t="shared" si="8"/>
        <v>0</v>
      </c>
      <c r="N11" s="132">
        <f t="shared" si="22"/>
        <v>7841907</v>
      </c>
      <c r="O11" s="38">
        <f t="shared" si="16"/>
        <v>0</v>
      </c>
      <c r="P11" s="135">
        <f t="shared" si="23"/>
        <v>8732448</v>
      </c>
      <c r="Q11" s="38">
        <f t="shared" si="9"/>
        <v>0</v>
      </c>
      <c r="R11" s="132">
        <f t="shared" si="24"/>
        <v>22969659</v>
      </c>
      <c r="S11" s="38">
        <f t="shared" si="10"/>
        <v>0</v>
      </c>
      <c r="T11" s="132">
        <v>0</v>
      </c>
      <c r="U11" s="136"/>
      <c r="V11" s="132">
        <f t="shared" si="25"/>
        <v>1044977</v>
      </c>
      <c r="W11" s="38">
        <f t="shared" si="11"/>
        <v>0</v>
      </c>
      <c r="X11" s="19">
        <f t="shared" si="12"/>
        <v>0</v>
      </c>
      <c r="Y11" s="151">
        <f t="shared" si="13"/>
        <v>0</v>
      </c>
      <c r="Z11" s="3">
        <f t="shared" si="14"/>
        <v>0</v>
      </c>
      <c r="AA11" s="3">
        <f>SUM(Z1:Z11)</f>
        <v>46655.076873599995</v>
      </c>
    </row>
    <row r="12" spans="1:27" ht="16.5" thickBot="1" x14ac:dyDescent="0.3">
      <c r="A12" s="9">
        <v>44875</v>
      </c>
      <c r="B12" s="38"/>
      <c r="C12" s="131">
        <f t="shared" si="17"/>
        <v>20301</v>
      </c>
      <c r="D12" s="38">
        <f>IF((C12-C11)&lt;0,"0",(C12-C11))*160</f>
        <v>0</v>
      </c>
      <c r="E12" s="132">
        <f t="shared" si="18"/>
        <v>34550289</v>
      </c>
      <c r="F12" s="38">
        <f t="shared" si="5"/>
        <v>0</v>
      </c>
      <c r="G12" s="133">
        <f t="shared" si="19"/>
        <v>8340141</v>
      </c>
      <c r="H12" s="38">
        <f t="shared" si="6"/>
        <v>0</v>
      </c>
      <c r="I12" s="134">
        <f t="shared" si="7"/>
        <v>0</v>
      </c>
      <c r="J12" s="132">
        <f t="shared" si="20"/>
        <v>814150</v>
      </c>
      <c r="K12" s="38">
        <f t="shared" si="15"/>
        <v>0</v>
      </c>
      <c r="L12" s="135">
        <f t="shared" si="21"/>
        <v>1125934</v>
      </c>
      <c r="M12" s="38">
        <f t="shared" si="8"/>
        <v>0</v>
      </c>
      <c r="N12" s="132">
        <f t="shared" si="22"/>
        <v>7841907</v>
      </c>
      <c r="O12" s="38">
        <f t="shared" si="16"/>
        <v>0</v>
      </c>
      <c r="P12" s="135">
        <f t="shared" si="23"/>
        <v>8732448</v>
      </c>
      <c r="Q12" s="38">
        <f t="shared" si="9"/>
        <v>0</v>
      </c>
      <c r="R12" s="132">
        <f t="shared" si="24"/>
        <v>22969659</v>
      </c>
      <c r="S12" s="38">
        <f t="shared" si="10"/>
        <v>0</v>
      </c>
      <c r="T12" s="132">
        <v>0</v>
      </c>
      <c r="U12" s="136"/>
      <c r="V12" s="132">
        <f t="shared" si="25"/>
        <v>1044977</v>
      </c>
      <c r="W12" s="38">
        <f t="shared" si="11"/>
        <v>0</v>
      </c>
      <c r="X12" s="19">
        <f t="shared" si="12"/>
        <v>0</v>
      </c>
      <c r="Y12" s="151">
        <f t="shared" si="13"/>
        <v>0</v>
      </c>
      <c r="Z12" s="3">
        <f t="shared" si="14"/>
        <v>0</v>
      </c>
      <c r="AA12" s="3">
        <f>SUM(Z1:Z12)</f>
        <v>46655.076873599995</v>
      </c>
    </row>
    <row r="13" spans="1:27" ht="16.5" thickBot="1" x14ac:dyDescent="0.3">
      <c r="A13" s="9">
        <v>44876</v>
      </c>
      <c r="B13" s="38"/>
      <c r="C13" s="131">
        <f t="shared" si="17"/>
        <v>20301</v>
      </c>
      <c r="D13" s="38">
        <f t="shared" ref="D13" si="26">IF((C13-C12)&lt;0,"0",(C13-C12))*160</f>
        <v>0</v>
      </c>
      <c r="E13" s="132">
        <f t="shared" si="18"/>
        <v>34550289</v>
      </c>
      <c r="F13" s="38">
        <f t="shared" ref="F13" si="27">IF((E13-E12)&lt;0,"0",(E13-E12))</f>
        <v>0</v>
      </c>
      <c r="G13" s="133">
        <f t="shared" si="19"/>
        <v>8340141</v>
      </c>
      <c r="H13" s="38">
        <f t="shared" si="6"/>
        <v>0</v>
      </c>
      <c r="I13" s="134">
        <f t="shared" ref="I13" si="28">F13+H13</f>
        <v>0</v>
      </c>
      <c r="J13" s="132">
        <f t="shared" si="20"/>
        <v>814150</v>
      </c>
      <c r="K13" s="38">
        <f t="shared" ref="K13" si="29">(IF((J13-J12)&lt;0,"0",(J13-J12)))*2</f>
        <v>0</v>
      </c>
      <c r="L13" s="135">
        <f t="shared" si="21"/>
        <v>1125934</v>
      </c>
      <c r="M13" s="38">
        <f t="shared" ref="M13" si="30">IF((L13-L12)&lt;0,"0",(L13-L12))</f>
        <v>0</v>
      </c>
      <c r="N13" s="132">
        <f t="shared" si="22"/>
        <v>7841907</v>
      </c>
      <c r="O13" s="38">
        <f t="shared" ref="O13" si="31">(IF((N13-N12)&lt;0,"0",(N13-N12)))*2</f>
        <v>0</v>
      </c>
      <c r="P13" s="135">
        <f t="shared" si="23"/>
        <v>8732448</v>
      </c>
      <c r="Q13" s="38">
        <f t="shared" ref="Q13" si="32">IF((P13-P12)&lt;0,"0",(P13-P12))</f>
        <v>0</v>
      </c>
      <c r="R13" s="132">
        <f t="shared" si="24"/>
        <v>22969659</v>
      </c>
      <c r="S13" s="38">
        <f t="shared" ref="S13" si="33">IF((R13-R12)&lt;0,"0",(R13-R12))</f>
        <v>0</v>
      </c>
      <c r="T13" s="132">
        <v>0</v>
      </c>
      <c r="U13" s="136"/>
      <c r="V13" s="132">
        <f t="shared" si="25"/>
        <v>1044977</v>
      </c>
      <c r="W13" s="38">
        <f t="shared" si="11"/>
        <v>0</v>
      </c>
      <c r="X13" s="19">
        <f t="shared" ref="X13" si="34">K13+M13+O13+Q13+S13+U13+W13</f>
        <v>0</v>
      </c>
      <c r="Y13" s="151">
        <f t="shared" si="13"/>
        <v>0</v>
      </c>
      <c r="Z13" s="3">
        <f t="shared" ref="Z13" si="35">(0.93352*(W13+S13)+0.5568*(Q13+O13))*0.26</f>
        <v>0</v>
      </c>
      <c r="AA13" s="3">
        <f>SUM(Z1:Z13)</f>
        <v>46655.076873599995</v>
      </c>
    </row>
    <row r="14" spans="1:27" ht="16.5" thickBot="1" x14ac:dyDescent="0.3">
      <c r="A14" s="9">
        <v>44877</v>
      </c>
      <c r="B14" s="38"/>
      <c r="C14" s="131">
        <f t="shared" si="17"/>
        <v>20301</v>
      </c>
      <c r="D14" s="38">
        <f t="shared" si="4"/>
        <v>0</v>
      </c>
      <c r="E14" s="132">
        <f t="shared" si="18"/>
        <v>34550289</v>
      </c>
      <c r="F14" s="38">
        <f t="shared" si="5"/>
        <v>0</v>
      </c>
      <c r="G14" s="133">
        <f t="shared" si="19"/>
        <v>8340141</v>
      </c>
      <c r="H14" s="38">
        <f t="shared" si="6"/>
        <v>0</v>
      </c>
      <c r="I14" s="134">
        <f t="shared" si="7"/>
        <v>0</v>
      </c>
      <c r="J14" s="132">
        <f t="shared" si="20"/>
        <v>814150</v>
      </c>
      <c r="K14" s="38">
        <f t="shared" si="15"/>
        <v>0</v>
      </c>
      <c r="L14" s="135">
        <f t="shared" si="21"/>
        <v>1125934</v>
      </c>
      <c r="M14" s="38">
        <f t="shared" si="8"/>
        <v>0</v>
      </c>
      <c r="N14" s="132">
        <f t="shared" si="22"/>
        <v>7841907</v>
      </c>
      <c r="O14" s="38">
        <f t="shared" si="16"/>
        <v>0</v>
      </c>
      <c r="P14" s="135">
        <f t="shared" si="23"/>
        <v>8732448</v>
      </c>
      <c r="Q14" s="38">
        <f t="shared" si="9"/>
        <v>0</v>
      </c>
      <c r="R14" s="132">
        <f t="shared" si="24"/>
        <v>22969659</v>
      </c>
      <c r="S14" s="38">
        <f>IF((R14-R13)&lt;0,"0",(R14-R13))</f>
        <v>0</v>
      </c>
      <c r="T14" s="132">
        <v>0</v>
      </c>
      <c r="U14" s="136"/>
      <c r="V14" s="132">
        <f t="shared" si="25"/>
        <v>1044977</v>
      </c>
      <c r="W14" s="38">
        <f t="shared" si="11"/>
        <v>0</v>
      </c>
      <c r="X14" s="19">
        <f t="shared" si="12"/>
        <v>0</v>
      </c>
      <c r="Y14" s="151">
        <f t="shared" si="13"/>
        <v>0</v>
      </c>
      <c r="Z14" s="3">
        <f t="shared" si="14"/>
        <v>0</v>
      </c>
      <c r="AA14" s="3">
        <f>SUM(Z1:Z14)</f>
        <v>46655.076873599995</v>
      </c>
    </row>
    <row r="15" spans="1:27" ht="16.5" thickBot="1" x14ac:dyDescent="0.3">
      <c r="A15" s="9">
        <v>44878</v>
      </c>
      <c r="B15" s="38"/>
      <c r="C15" s="131">
        <f t="shared" si="17"/>
        <v>20301</v>
      </c>
      <c r="D15" s="38">
        <f t="shared" si="4"/>
        <v>0</v>
      </c>
      <c r="E15" s="132">
        <f t="shared" si="18"/>
        <v>34550289</v>
      </c>
      <c r="F15" s="38">
        <f t="shared" si="5"/>
        <v>0</v>
      </c>
      <c r="G15" s="133">
        <f t="shared" si="19"/>
        <v>8340141</v>
      </c>
      <c r="H15" s="38">
        <f t="shared" si="6"/>
        <v>0</v>
      </c>
      <c r="I15" s="134">
        <f t="shared" si="7"/>
        <v>0</v>
      </c>
      <c r="J15" s="132">
        <f t="shared" si="20"/>
        <v>814150</v>
      </c>
      <c r="K15" s="38">
        <f t="shared" si="15"/>
        <v>0</v>
      </c>
      <c r="L15" s="135">
        <f t="shared" si="21"/>
        <v>1125934</v>
      </c>
      <c r="M15" s="38">
        <f t="shared" si="8"/>
        <v>0</v>
      </c>
      <c r="N15" s="132">
        <f t="shared" si="22"/>
        <v>7841907</v>
      </c>
      <c r="O15" s="38">
        <f t="shared" si="16"/>
        <v>0</v>
      </c>
      <c r="P15" s="135">
        <f t="shared" si="23"/>
        <v>8732448</v>
      </c>
      <c r="Q15" s="38">
        <f t="shared" si="9"/>
        <v>0</v>
      </c>
      <c r="R15" s="132">
        <f t="shared" si="24"/>
        <v>22969659</v>
      </c>
      <c r="S15" s="38">
        <f>IF((R15-R14)&lt;0,"0",(R15-R14))</f>
        <v>0</v>
      </c>
      <c r="T15" s="132">
        <v>0</v>
      </c>
      <c r="U15" s="136"/>
      <c r="V15" s="132">
        <f t="shared" si="25"/>
        <v>1044977</v>
      </c>
      <c r="W15" s="38">
        <f t="shared" si="11"/>
        <v>0</v>
      </c>
      <c r="X15" s="19">
        <f t="shared" si="12"/>
        <v>0</v>
      </c>
      <c r="Y15" s="151">
        <f t="shared" si="13"/>
        <v>0</v>
      </c>
      <c r="Z15" s="3">
        <f t="shared" si="14"/>
        <v>0</v>
      </c>
      <c r="AA15" s="3">
        <f>SUM(Z1:Z15)</f>
        <v>46655.076873599995</v>
      </c>
    </row>
    <row r="16" spans="1:27" ht="16.5" thickBot="1" x14ac:dyDescent="0.3">
      <c r="A16" s="9">
        <v>44879</v>
      </c>
      <c r="B16" s="38"/>
      <c r="C16" s="131">
        <f t="shared" si="17"/>
        <v>20301</v>
      </c>
      <c r="D16" s="38">
        <f t="shared" si="4"/>
        <v>0</v>
      </c>
      <c r="E16" s="132">
        <f t="shared" si="18"/>
        <v>34550289</v>
      </c>
      <c r="F16" s="38">
        <f t="shared" si="5"/>
        <v>0</v>
      </c>
      <c r="G16" s="133">
        <f t="shared" si="19"/>
        <v>8340141</v>
      </c>
      <c r="H16" s="38">
        <f t="shared" si="6"/>
        <v>0</v>
      </c>
      <c r="I16" s="134">
        <f t="shared" si="7"/>
        <v>0</v>
      </c>
      <c r="J16" s="132">
        <f t="shared" si="20"/>
        <v>814150</v>
      </c>
      <c r="K16" s="38">
        <f t="shared" si="15"/>
        <v>0</v>
      </c>
      <c r="L16" s="135">
        <f t="shared" si="21"/>
        <v>1125934</v>
      </c>
      <c r="M16" s="38">
        <f t="shared" si="8"/>
        <v>0</v>
      </c>
      <c r="N16" s="132">
        <f t="shared" si="22"/>
        <v>7841907</v>
      </c>
      <c r="O16" s="38">
        <f t="shared" si="16"/>
        <v>0</v>
      </c>
      <c r="P16" s="135">
        <f t="shared" si="23"/>
        <v>8732448</v>
      </c>
      <c r="Q16" s="38">
        <f t="shared" si="9"/>
        <v>0</v>
      </c>
      <c r="R16" s="132">
        <f t="shared" si="24"/>
        <v>22969659</v>
      </c>
      <c r="S16" s="38">
        <f t="shared" si="10"/>
        <v>0</v>
      </c>
      <c r="T16" s="132">
        <v>0</v>
      </c>
      <c r="U16" s="136"/>
      <c r="V16" s="132">
        <f t="shared" si="25"/>
        <v>1044977</v>
      </c>
      <c r="W16" s="38">
        <f t="shared" si="11"/>
        <v>0</v>
      </c>
      <c r="X16" s="19">
        <f t="shared" si="12"/>
        <v>0</v>
      </c>
      <c r="Y16" s="151">
        <f t="shared" si="13"/>
        <v>0</v>
      </c>
      <c r="Z16" s="3">
        <f t="shared" si="14"/>
        <v>0</v>
      </c>
      <c r="AA16" s="3">
        <f>SUM(Z1:Z16)</f>
        <v>46655.076873599995</v>
      </c>
    </row>
    <row r="17" spans="1:27" s="118" customFormat="1" ht="16.5" thickBot="1" x14ac:dyDescent="0.3">
      <c r="A17" s="9">
        <v>44880</v>
      </c>
      <c r="B17" s="38"/>
      <c r="C17" s="131">
        <f t="shared" si="17"/>
        <v>20301</v>
      </c>
      <c r="D17" s="38">
        <f t="shared" si="4"/>
        <v>0</v>
      </c>
      <c r="E17" s="132">
        <f t="shared" si="18"/>
        <v>34550289</v>
      </c>
      <c r="F17" s="38">
        <f t="shared" si="5"/>
        <v>0</v>
      </c>
      <c r="G17" s="133">
        <f t="shared" si="19"/>
        <v>8340141</v>
      </c>
      <c r="H17" s="38">
        <f t="shared" si="6"/>
        <v>0</v>
      </c>
      <c r="I17" s="137">
        <f t="shared" si="7"/>
        <v>0</v>
      </c>
      <c r="J17" s="132">
        <f t="shared" si="20"/>
        <v>814150</v>
      </c>
      <c r="K17" s="117">
        <f t="shared" si="15"/>
        <v>0</v>
      </c>
      <c r="L17" s="135">
        <f t="shared" si="21"/>
        <v>1125934</v>
      </c>
      <c r="M17" s="117">
        <f t="shared" si="8"/>
        <v>0</v>
      </c>
      <c r="N17" s="132">
        <f t="shared" si="22"/>
        <v>7841907</v>
      </c>
      <c r="O17" s="117">
        <f t="shared" si="16"/>
        <v>0</v>
      </c>
      <c r="P17" s="135">
        <f t="shared" si="23"/>
        <v>8732448</v>
      </c>
      <c r="Q17" s="117">
        <f t="shared" si="9"/>
        <v>0</v>
      </c>
      <c r="R17" s="132">
        <f t="shared" si="24"/>
        <v>22969659</v>
      </c>
      <c r="S17" s="117">
        <f t="shared" si="10"/>
        <v>0</v>
      </c>
      <c r="T17" s="138">
        <v>0</v>
      </c>
      <c r="U17" s="136"/>
      <c r="V17" s="132">
        <f t="shared" si="25"/>
        <v>1044977</v>
      </c>
      <c r="W17" s="117">
        <f t="shared" si="11"/>
        <v>0</v>
      </c>
      <c r="X17" s="19">
        <f t="shared" si="12"/>
        <v>0</v>
      </c>
      <c r="Y17" s="138">
        <f t="shared" si="13"/>
        <v>0</v>
      </c>
      <c r="Z17" s="139">
        <f t="shared" si="14"/>
        <v>0</v>
      </c>
      <c r="AA17" s="3">
        <f>SUM(Z1:Z17)</f>
        <v>46655.076873599995</v>
      </c>
    </row>
    <row r="18" spans="1:27" s="118" customFormat="1" ht="16.5" thickBot="1" x14ac:dyDescent="0.3">
      <c r="A18" s="9">
        <v>44881</v>
      </c>
      <c r="B18" s="38"/>
      <c r="C18" s="131">
        <f t="shared" si="17"/>
        <v>20301</v>
      </c>
      <c r="D18" s="38">
        <f t="shared" si="4"/>
        <v>0</v>
      </c>
      <c r="E18" s="132">
        <f t="shared" si="18"/>
        <v>34550289</v>
      </c>
      <c r="F18" s="38">
        <f t="shared" si="5"/>
        <v>0</v>
      </c>
      <c r="G18" s="133">
        <f t="shared" si="19"/>
        <v>8340141</v>
      </c>
      <c r="H18" s="38">
        <f t="shared" si="6"/>
        <v>0</v>
      </c>
      <c r="I18" s="137">
        <f t="shared" si="7"/>
        <v>0</v>
      </c>
      <c r="J18" s="132">
        <f t="shared" si="20"/>
        <v>814150</v>
      </c>
      <c r="K18" s="117">
        <f t="shared" si="15"/>
        <v>0</v>
      </c>
      <c r="L18" s="135">
        <f t="shared" si="21"/>
        <v>1125934</v>
      </c>
      <c r="M18" s="117">
        <f t="shared" si="8"/>
        <v>0</v>
      </c>
      <c r="N18" s="132">
        <f t="shared" si="22"/>
        <v>7841907</v>
      </c>
      <c r="O18" s="117">
        <f t="shared" si="16"/>
        <v>0</v>
      </c>
      <c r="P18" s="135">
        <f t="shared" si="23"/>
        <v>8732448</v>
      </c>
      <c r="Q18" s="117">
        <f t="shared" si="9"/>
        <v>0</v>
      </c>
      <c r="R18" s="132">
        <f t="shared" si="24"/>
        <v>22969659</v>
      </c>
      <c r="S18" s="117">
        <f t="shared" si="10"/>
        <v>0</v>
      </c>
      <c r="T18" s="138">
        <v>0</v>
      </c>
      <c r="U18" s="136"/>
      <c r="V18" s="132">
        <f t="shared" si="25"/>
        <v>1044977</v>
      </c>
      <c r="W18" s="117">
        <f t="shared" si="11"/>
        <v>0</v>
      </c>
      <c r="X18" s="19">
        <f t="shared" si="12"/>
        <v>0</v>
      </c>
      <c r="Y18" s="138">
        <f t="shared" si="13"/>
        <v>0</v>
      </c>
      <c r="Z18" s="139">
        <f t="shared" si="14"/>
        <v>0</v>
      </c>
      <c r="AA18" s="3">
        <f>SUM(Z1:Z18)</f>
        <v>46655.076873599995</v>
      </c>
    </row>
    <row r="19" spans="1:27" s="118" customFormat="1" ht="16.5" thickBot="1" x14ac:dyDescent="0.3">
      <c r="A19" s="9">
        <v>44882</v>
      </c>
      <c r="B19" s="38"/>
      <c r="C19" s="131">
        <f t="shared" si="17"/>
        <v>20301</v>
      </c>
      <c r="D19" s="38">
        <f t="shared" si="4"/>
        <v>0</v>
      </c>
      <c r="E19" s="132">
        <f t="shared" si="18"/>
        <v>34550289</v>
      </c>
      <c r="F19" s="38">
        <f t="shared" si="5"/>
        <v>0</v>
      </c>
      <c r="G19" s="133">
        <f t="shared" si="19"/>
        <v>8340141</v>
      </c>
      <c r="H19" s="38">
        <f t="shared" si="6"/>
        <v>0</v>
      </c>
      <c r="I19" s="137">
        <f t="shared" si="7"/>
        <v>0</v>
      </c>
      <c r="J19" s="132">
        <f t="shared" si="20"/>
        <v>814150</v>
      </c>
      <c r="K19" s="117">
        <f t="shared" si="15"/>
        <v>0</v>
      </c>
      <c r="L19" s="135">
        <f t="shared" si="21"/>
        <v>1125934</v>
      </c>
      <c r="M19" s="117">
        <f t="shared" si="8"/>
        <v>0</v>
      </c>
      <c r="N19" s="132">
        <f t="shared" si="22"/>
        <v>7841907</v>
      </c>
      <c r="O19" s="117">
        <f t="shared" si="16"/>
        <v>0</v>
      </c>
      <c r="P19" s="135">
        <f t="shared" si="23"/>
        <v>8732448</v>
      </c>
      <c r="Q19" s="117">
        <f t="shared" si="9"/>
        <v>0</v>
      </c>
      <c r="R19" s="132">
        <f t="shared" si="24"/>
        <v>22969659</v>
      </c>
      <c r="S19" s="117">
        <f t="shared" si="10"/>
        <v>0</v>
      </c>
      <c r="T19" s="138">
        <v>0</v>
      </c>
      <c r="U19" s="136"/>
      <c r="V19" s="132">
        <f t="shared" si="25"/>
        <v>1044977</v>
      </c>
      <c r="W19" s="117">
        <f t="shared" si="11"/>
        <v>0</v>
      </c>
      <c r="X19" s="19">
        <f t="shared" si="12"/>
        <v>0</v>
      </c>
      <c r="Y19" s="138">
        <f t="shared" si="13"/>
        <v>0</v>
      </c>
      <c r="Z19" s="139">
        <f t="shared" si="14"/>
        <v>0</v>
      </c>
      <c r="AA19" s="3">
        <f>SUM(Z1:Z19)</f>
        <v>46655.076873599995</v>
      </c>
    </row>
    <row r="20" spans="1:27" s="118" customFormat="1" ht="16.5" thickBot="1" x14ac:dyDescent="0.3">
      <c r="A20" s="9">
        <v>44883</v>
      </c>
      <c r="B20" s="38"/>
      <c r="C20" s="131">
        <f t="shared" si="17"/>
        <v>20301</v>
      </c>
      <c r="D20" s="38">
        <f t="shared" si="4"/>
        <v>0</v>
      </c>
      <c r="E20" s="132">
        <f t="shared" si="18"/>
        <v>34550289</v>
      </c>
      <c r="F20" s="38">
        <f t="shared" si="5"/>
        <v>0</v>
      </c>
      <c r="G20" s="133">
        <f t="shared" si="19"/>
        <v>8340141</v>
      </c>
      <c r="H20" s="38">
        <f t="shared" si="6"/>
        <v>0</v>
      </c>
      <c r="I20" s="137">
        <f t="shared" si="7"/>
        <v>0</v>
      </c>
      <c r="J20" s="132">
        <f t="shared" si="20"/>
        <v>814150</v>
      </c>
      <c r="K20" s="117">
        <f t="shared" si="15"/>
        <v>0</v>
      </c>
      <c r="L20" s="135">
        <f t="shared" si="21"/>
        <v>1125934</v>
      </c>
      <c r="M20" s="117">
        <f t="shared" si="8"/>
        <v>0</v>
      </c>
      <c r="N20" s="132">
        <f t="shared" si="22"/>
        <v>7841907</v>
      </c>
      <c r="O20" s="117">
        <f t="shared" si="16"/>
        <v>0</v>
      </c>
      <c r="P20" s="135">
        <f t="shared" si="23"/>
        <v>8732448</v>
      </c>
      <c r="Q20" s="117">
        <f t="shared" si="9"/>
        <v>0</v>
      </c>
      <c r="R20" s="132">
        <f t="shared" si="24"/>
        <v>22969659</v>
      </c>
      <c r="S20" s="117">
        <f t="shared" si="10"/>
        <v>0</v>
      </c>
      <c r="T20" s="138">
        <v>0</v>
      </c>
      <c r="U20" s="136"/>
      <c r="V20" s="132">
        <f t="shared" si="25"/>
        <v>1044977</v>
      </c>
      <c r="W20" s="117">
        <f t="shared" si="11"/>
        <v>0</v>
      </c>
      <c r="X20" s="19">
        <f t="shared" si="12"/>
        <v>0</v>
      </c>
      <c r="Y20" s="138">
        <f t="shared" si="13"/>
        <v>0</v>
      </c>
      <c r="Z20" s="139">
        <f t="shared" si="14"/>
        <v>0</v>
      </c>
      <c r="AA20" s="3">
        <f>SUM(Z1:Z20)</f>
        <v>46655.076873599995</v>
      </c>
    </row>
    <row r="21" spans="1:27" s="118" customFormat="1" ht="16.5" thickBot="1" x14ac:dyDescent="0.3">
      <c r="A21" s="9">
        <v>44884</v>
      </c>
      <c r="B21" s="38"/>
      <c r="C21" s="131">
        <f t="shared" si="17"/>
        <v>20301</v>
      </c>
      <c r="D21" s="38">
        <f t="shared" si="4"/>
        <v>0</v>
      </c>
      <c r="E21" s="132">
        <f t="shared" si="18"/>
        <v>34550289</v>
      </c>
      <c r="F21" s="38">
        <f t="shared" si="5"/>
        <v>0</v>
      </c>
      <c r="G21" s="133">
        <f t="shared" si="19"/>
        <v>8340141</v>
      </c>
      <c r="H21" s="38">
        <f t="shared" si="6"/>
        <v>0</v>
      </c>
      <c r="I21" s="137">
        <f t="shared" si="7"/>
        <v>0</v>
      </c>
      <c r="J21" s="132">
        <f t="shared" si="20"/>
        <v>814150</v>
      </c>
      <c r="K21" s="117">
        <f t="shared" si="15"/>
        <v>0</v>
      </c>
      <c r="L21" s="135">
        <f t="shared" si="21"/>
        <v>1125934</v>
      </c>
      <c r="M21" s="117">
        <f t="shared" si="8"/>
        <v>0</v>
      </c>
      <c r="N21" s="132">
        <f t="shared" si="22"/>
        <v>7841907</v>
      </c>
      <c r="O21" s="117">
        <f t="shared" si="16"/>
        <v>0</v>
      </c>
      <c r="P21" s="135">
        <f t="shared" si="23"/>
        <v>8732448</v>
      </c>
      <c r="Q21" s="117">
        <f t="shared" si="9"/>
        <v>0</v>
      </c>
      <c r="R21" s="132">
        <f t="shared" si="24"/>
        <v>22969659</v>
      </c>
      <c r="S21" s="117">
        <f t="shared" si="10"/>
        <v>0</v>
      </c>
      <c r="T21" s="138">
        <v>0</v>
      </c>
      <c r="U21" s="136"/>
      <c r="V21" s="132">
        <f t="shared" si="25"/>
        <v>1044977</v>
      </c>
      <c r="W21" s="117">
        <f t="shared" si="11"/>
        <v>0</v>
      </c>
      <c r="X21" s="19">
        <f t="shared" si="12"/>
        <v>0</v>
      </c>
      <c r="Y21" s="138">
        <f t="shared" si="13"/>
        <v>0</v>
      </c>
      <c r="Z21" s="139">
        <f t="shared" si="14"/>
        <v>0</v>
      </c>
      <c r="AA21" s="3">
        <f>SUM(Z1:Z21)</f>
        <v>46655.076873599995</v>
      </c>
    </row>
    <row r="22" spans="1:27" ht="16.5" thickBot="1" x14ac:dyDescent="0.3">
      <c r="A22" s="9">
        <v>44885</v>
      </c>
      <c r="B22" s="38"/>
      <c r="C22" s="131">
        <f t="shared" si="17"/>
        <v>20301</v>
      </c>
      <c r="D22" s="38">
        <f t="shared" si="4"/>
        <v>0</v>
      </c>
      <c r="E22" s="132">
        <f t="shared" si="18"/>
        <v>34550289</v>
      </c>
      <c r="F22" s="38">
        <f t="shared" si="5"/>
        <v>0</v>
      </c>
      <c r="G22" s="133">
        <f t="shared" si="19"/>
        <v>8340141</v>
      </c>
      <c r="H22" s="38">
        <f t="shared" si="6"/>
        <v>0</v>
      </c>
      <c r="I22" s="134">
        <f t="shared" si="7"/>
        <v>0</v>
      </c>
      <c r="J22" s="132">
        <f t="shared" si="20"/>
        <v>814150</v>
      </c>
      <c r="K22" s="117">
        <f t="shared" si="15"/>
        <v>0</v>
      </c>
      <c r="L22" s="135">
        <f t="shared" si="21"/>
        <v>1125934</v>
      </c>
      <c r="M22" s="38">
        <f t="shared" si="8"/>
        <v>0</v>
      </c>
      <c r="N22" s="132">
        <f t="shared" si="22"/>
        <v>7841907</v>
      </c>
      <c r="O22" s="38">
        <f t="shared" si="16"/>
        <v>0</v>
      </c>
      <c r="P22" s="135">
        <f t="shared" si="23"/>
        <v>8732448</v>
      </c>
      <c r="Q22" s="38">
        <f t="shared" si="9"/>
        <v>0</v>
      </c>
      <c r="R22" s="132">
        <f t="shared" si="24"/>
        <v>22969659</v>
      </c>
      <c r="S22" s="38">
        <f t="shared" si="10"/>
        <v>0</v>
      </c>
      <c r="T22" s="132">
        <v>0</v>
      </c>
      <c r="U22" s="136"/>
      <c r="V22" s="132">
        <f t="shared" si="25"/>
        <v>1044977</v>
      </c>
      <c r="W22" s="38">
        <f t="shared" si="11"/>
        <v>0</v>
      </c>
      <c r="X22" s="19">
        <f t="shared" si="12"/>
        <v>0</v>
      </c>
      <c r="Y22" s="151">
        <f t="shared" si="13"/>
        <v>0</v>
      </c>
      <c r="Z22" s="3">
        <f t="shared" si="14"/>
        <v>0</v>
      </c>
      <c r="AA22" s="3">
        <f>SUM(Z1:Z22)</f>
        <v>46655.076873599995</v>
      </c>
    </row>
    <row r="23" spans="1:27" ht="16.5" thickBot="1" x14ac:dyDescent="0.3">
      <c r="A23" s="9">
        <v>44886</v>
      </c>
      <c r="B23" s="38"/>
      <c r="C23" s="131">
        <f t="shared" si="17"/>
        <v>20301</v>
      </c>
      <c r="D23" s="38">
        <f t="shared" si="4"/>
        <v>0</v>
      </c>
      <c r="E23" s="132">
        <f t="shared" si="18"/>
        <v>34550289</v>
      </c>
      <c r="F23" s="38">
        <f t="shared" si="5"/>
        <v>0</v>
      </c>
      <c r="G23" s="133">
        <f t="shared" si="19"/>
        <v>8340141</v>
      </c>
      <c r="H23" s="38">
        <f t="shared" si="6"/>
        <v>0</v>
      </c>
      <c r="I23" s="134">
        <f t="shared" si="7"/>
        <v>0</v>
      </c>
      <c r="J23" s="132">
        <f t="shared" si="20"/>
        <v>814150</v>
      </c>
      <c r="K23" s="117">
        <f t="shared" si="15"/>
        <v>0</v>
      </c>
      <c r="L23" s="135">
        <f t="shared" si="21"/>
        <v>1125934</v>
      </c>
      <c r="M23" s="38">
        <f t="shared" si="8"/>
        <v>0</v>
      </c>
      <c r="N23" s="132">
        <f t="shared" si="22"/>
        <v>7841907</v>
      </c>
      <c r="O23" s="38">
        <f t="shared" si="16"/>
        <v>0</v>
      </c>
      <c r="P23" s="135">
        <f t="shared" si="23"/>
        <v>8732448</v>
      </c>
      <c r="Q23" s="38">
        <f t="shared" si="9"/>
        <v>0</v>
      </c>
      <c r="R23" s="132">
        <f t="shared" si="24"/>
        <v>22969659</v>
      </c>
      <c r="S23" s="38">
        <f t="shared" si="10"/>
        <v>0</v>
      </c>
      <c r="T23" s="132">
        <v>0</v>
      </c>
      <c r="U23" s="136"/>
      <c r="V23" s="132">
        <f t="shared" si="25"/>
        <v>1044977</v>
      </c>
      <c r="W23" s="38">
        <f t="shared" si="11"/>
        <v>0</v>
      </c>
      <c r="X23" s="19">
        <f t="shared" si="12"/>
        <v>0</v>
      </c>
      <c r="Y23" s="151">
        <f t="shared" si="13"/>
        <v>0</v>
      </c>
      <c r="Z23" s="3">
        <f t="shared" si="14"/>
        <v>0</v>
      </c>
      <c r="AA23" s="3">
        <f>SUM(Z1:Z23)</f>
        <v>46655.076873599995</v>
      </c>
    </row>
    <row r="24" spans="1:27" ht="16.5" thickBot="1" x14ac:dyDescent="0.3">
      <c r="A24" s="9">
        <v>44887</v>
      </c>
      <c r="B24" s="38"/>
      <c r="C24" s="131">
        <f t="shared" si="17"/>
        <v>20301</v>
      </c>
      <c r="D24" s="38">
        <f t="shared" si="4"/>
        <v>0</v>
      </c>
      <c r="E24" s="132">
        <f t="shared" si="18"/>
        <v>34550289</v>
      </c>
      <c r="F24" s="38">
        <f t="shared" si="5"/>
        <v>0</v>
      </c>
      <c r="G24" s="133">
        <f t="shared" si="19"/>
        <v>8340141</v>
      </c>
      <c r="H24" s="38">
        <f t="shared" si="6"/>
        <v>0</v>
      </c>
      <c r="I24" s="134">
        <f t="shared" si="7"/>
        <v>0</v>
      </c>
      <c r="J24" s="132">
        <f t="shared" si="20"/>
        <v>814150</v>
      </c>
      <c r="K24" s="117">
        <f t="shared" si="15"/>
        <v>0</v>
      </c>
      <c r="L24" s="135">
        <f t="shared" si="21"/>
        <v>1125934</v>
      </c>
      <c r="M24" s="38">
        <f t="shared" si="8"/>
        <v>0</v>
      </c>
      <c r="N24" s="132">
        <f t="shared" si="22"/>
        <v>7841907</v>
      </c>
      <c r="O24" s="38">
        <f t="shared" si="16"/>
        <v>0</v>
      </c>
      <c r="P24" s="135">
        <f t="shared" si="23"/>
        <v>8732448</v>
      </c>
      <c r="Q24" s="38">
        <f t="shared" si="9"/>
        <v>0</v>
      </c>
      <c r="R24" s="132">
        <f t="shared" si="24"/>
        <v>22969659</v>
      </c>
      <c r="S24" s="38">
        <f t="shared" si="10"/>
        <v>0</v>
      </c>
      <c r="T24" s="132">
        <v>0</v>
      </c>
      <c r="U24" s="136"/>
      <c r="V24" s="132">
        <f t="shared" si="25"/>
        <v>1044977</v>
      </c>
      <c r="W24" s="38">
        <f t="shared" si="11"/>
        <v>0</v>
      </c>
      <c r="X24" s="19">
        <f t="shared" si="12"/>
        <v>0</v>
      </c>
      <c r="Y24" s="151">
        <f t="shared" si="13"/>
        <v>0</v>
      </c>
      <c r="Z24" s="3">
        <f t="shared" si="14"/>
        <v>0</v>
      </c>
      <c r="AA24" s="3">
        <f>SUM(Z1:Z24)</f>
        <v>46655.076873599995</v>
      </c>
    </row>
    <row r="25" spans="1:27" ht="16.5" thickBot="1" x14ac:dyDescent="0.3">
      <c r="A25" s="9">
        <v>44888</v>
      </c>
      <c r="B25" s="38"/>
      <c r="C25" s="131">
        <f t="shared" si="17"/>
        <v>20301</v>
      </c>
      <c r="D25" s="38">
        <f t="shared" si="4"/>
        <v>0</v>
      </c>
      <c r="E25" s="132">
        <f t="shared" si="18"/>
        <v>34550289</v>
      </c>
      <c r="F25" s="38">
        <f t="shared" si="5"/>
        <v>0</v>
      </c>
      <c r="G25" s="133">
        <f t="shared" si="19"/>
        <v>8340141</v>
      </c>
      <c r="H25" s="38">
        <f t="shared" si="6"/>
        <v>0</v>
      </c>
      <c r="I25" s="134">
        <f t="shared" si="7"/>
        <v>0</v>
      </c>
      <c r="J25" s="132">
        <f t="shared" si="20"/>
        <v>814150</v>
      </c>
      <c r="K25" s="117">
        <f t="shared" si="15"/>
        <v>0</v>
      </c>
      <c r="L25" s="135">
        <f t="shared" si="21"/>
        <v>1125934</v>
      </c>
      <c r="M25" s="38">
        <f t="shared" si="8"/>
        <v>0</v>
      </c>
      <c r="N25" s="132">
        <f t="shared" si="22"/>
        <v>7841907</v>
      </c>
      <c r="O25" s="38">
        <f t="shared" si="16"/>
        <v>0</v>
      </c>
      <c r="P25" s="135">
        <f t="shared" si="23"/>
        <v>8732448</v>
      </c>
      <c r="Q25" s="38">
        <f t="shared" si="9"/>
        <v>0</v>
      </c>
      <c r="R25" s="132">
        <f t="shared" si="24"/>
        <v>22969659</v>
      </c>
      <c r="S25" s="38">
        <f t="shared" si="10"/>
        <v>0</v>
      </c>
      <c r="T25" s="132">
        <v>0</v>
      </c>
      <c r="U25" s="136"/>
      <c r="V25" s="132">
        <f t="shared" si="25"/>
        <v>1044977</v>
      </c>
      <c r="W25" s="38">
        <f t="shared" si="11"/>
        <v>0</v>
      </c>
      <c r="X25" s="19">
        <f t="shared" si="12"/>
        <v>0</v>
      </c>
      <c r="Y25" s="151">
        <f t="shared" si="13"/>
        <v>0</v>
      </c>
      <c r="Z25" s="3">
        <f t="shared" si="14"/>
        <v>0</v>
      </c>
      <c r="AA25" s="3">
        <f>SUM(Z1:Z25)</f>
        <v>46655.076873599995</v>
      </c>
    </row>
    <row r="26" spans="1:27" ht="16.5" thickBot="1" x14ac:dyDescent="0.3">
      <c r="A26" s="9">
        <v>44889</v>
      </c>
      <c r="B26" s="38"/>
      <c r="C26" s="131">
        <f t="shared" si="17"/>
        <v>20301</v>
      </c>
      <c r="D26" s="38">
        <f t="shared" si="4"/>
        <v>0</v>
      </c>
      <c r="E26" s="132">
        <f t="shared" si="18"/>
        <v>34550289</v>
      </c>
      <c r="F26" s="38">
        <f t="shared" si="5"/>
        <v>0</v>
      </c>
      <c r="G26" s="133">
        <f t="shared" si="19"/>
        <v>8340141</v>
      </c>
      <c r="H26" s="38">
        <f t="shared" si="6"/>
        <v>0</v>
      </c>
      <c r="I26" s="134">
        <f t="shared" si="7"/>
        <v>0</v>
      </c>
      <c r="J26" s="132">
        <f t="shared" si="20"/>
        <v>814150</v>
      </c>
      <c r="K26" s="117">
        <f t="shared" si="15"/>
        <v>0</v>
      </c>
      <c r="L26" s="135">
        <f t="shared" si="21"/>
        <v>1125934</v>
      </c>
      <c r="M26" s="38">
        <f t="shared" si="8"/>
        <v>0</v>
      </c>
      <c r="N26" s="132">
        <f t="shared" si="22"/>
        <v>7841907</v>
      </c>
      <c r="O26" s="38">
        <f t="shared" si="16"/>
        <v>0</v>
      </c>
      <c r="P26" s="135">
        <f t="shared" si="23"/>
        <v>8732448</v>
      </c>
      <c r="Q26" s="38">
        <f t="shared" si="9"/>
        <v>0</v>
      </c>
      <c r="R26" s="132">
        <f t="shared" si="24"/>
        <v>22969659</v>
      </c>
      <c r="S26" s="38">
        <f t="shared" si="10"/>
        <v>0</v>
      </c>
      <c r="T26" s="132">
        <v>0</v>
      </c>
      <c r="U26" s="136"/>
      <c r="V26" s="132">
        <f t="shared" si="25"/>
        <v>1044977</v>
      </c>
      <c r="W26" s="38">
        <f t="shared" si="11"/>
        <v>0</v>
      </c>
      <c r="X26" s="19">
        <f t="shared" si="12"/>
        <v>0</v>
      </c>
      <c r="Y26" s="151">
        <f t="shared" si="13"/>
        <v>0</v>
      </c>
      <c r="Z26" s="3">
        <f t="shared" si="14"/>
        <v>0</v>
      </c>
      <c r="AA26" s="3">
        <f>SUM(Z1:Z26)</f>
        <v>46655.076873599995</v>
      </c>
    </row>
    <row r="27" spans="1:27" ht="16.5" thickBot="1" x14ac:dyDescent="0.3">
      <c r="A27" s="9">
        <v>44890</v>
      </c>
      <c r="B27" s="38"/>
      <c r="C27" s="131">
        <f t="shared" si="17"/>
        <v>20301</v>
      </c>
      <c r="D27" s="38">
        <f t="shared" si="4"/>
        <v>0</v>
      </c>
      <c r="E27" s="132">
        <f t="shared" si="18"/>
        <v>34550289</v>
      </c>
      <c r="F27" s="38">
        <f t="shared" si="5"/>
        <v>0</v>
      </c>
      <c r="G27" s="133">
        <f t="shared" si="19"/>
        <v>8340141</v>
      </c>
      <c r="H27" s="38">
        <f t="shared" si="6"/>
        <v>0</v>
      </c>
      <c r="I27" s="134">
        <f t="shared" si="7"/>
        <v>0</v>
      </c>
      <c r="J27" s="132">
        <f t="shared" si="20"/>
        <v>814150</v>
      </c>
      <c r="K27" s="117">
        <f t="shared" si="15"/>
        <v>0</v>
      </c>
      <c r="L27" s="135">
        <f t="shared" si="21"/>
        <v>1125934</v>
      </c>
      <c r="M27" s="38">
        <f t="shared" si="8"/>
        <v>0</v>
      </c>
      <c r="N27" s="132">
        <f t="shared" si="22"/>
        <v>7841907</v>
      </c>
      <c r="O27" s="38">
        <f t="shared" si="16"/>
        <v>0</v>
      </c>
      <c r="P27" s="135">
        <f t="shared" si="23"/>
        <v>8732448</v>
      </c>
      <c r="Q27" s="38">
        <f t="shared" si="9"/>
        <v>0</v>
      </c>
      <c r="R27" s="132">
        <f t="shared" si="24"/>
        <v>22969659</v>
      </c>
      <c r="S27" s="38">
        <f t="shared" si="10"/>
        <v>0</v>
      </c>
      <c r="T27" s="132">
        <v>0</v>
      </c>
      <c r="U27" s="136"/>
      <c r="V27" s="132">
        <f t="shared" si="25"/>
        <v>1044977</v>
      </c>
      <c r="W27" s="38">
        <f t="shared" si="11"/>
        <v>0</v>
      </c>
      <c r="X27" s="19">
        <f t="shared" si="12"/>
        <v>0</v>
      </c>
      <c r="Y27" s="151">
        <f t="shared" si="13"/>
        <v>0</v>
      </c>
      <c r="Z27" s="3">
        <f t="shared" si="14"/>
        <v>0</v>
      </c>
      <c r="AA27" s="3">
        <f>SUM(Z1:Z27)</f>
        <v>46655.076873599995</v>
      </c>
    </row>
    <row r="28" spans="1:27" ht="16.5" thickBot="1" x14ac:dyDescent="0.3">
      <c r="A28" s="9">
        <v>44891</v>
      </c>
      <c r="B28" s="38"/>
      <c r="C28" s="131">
        <f t="shared" si="17"/>
        <v>20301</v>
      </c>
      <c r="D28" s="38">
        <f t="shared" si="4"/>
        <v>0</v>
      </c>
      <c r="E28" s="132">
        <f t="shared" si="18"/>
        <v>34550289</v>
      </c>
      <c r="F28" s="38">
        <f t="shared" si="5"/>
        <v>0</v>
      </c>
      <c r="G28" s="133">
        <f t="shared" si="19"/>
        <v>8340141</v>
      </c>
      <c r="H28" s="38">
        <f t="shared" si="6"/>
        <v>0</v>
      </c>
      <c r="I28" s="134">
        <f t="shared" si="7"/>
        <v>0</v>
      </c>
      <c r="J28" s="132">
        <f t="shared" si="20"/>
        <v>814150</v>
      </c>
      <c r="K28" s="117">
        <f t="shared" si="15"/>
        <v>0</v>
      </c>
      <c r="L28" s="135">
        <f t="shared" si="21"/>
        <v>1125934</v>
      </c>
      <c r="M28" s="38">
        <f t="shared" si="8"/>
        <v>0</v>
      </c>
      <c r="N28" s="132">
        <f t="shared" si="22"/>
        <v>7841907</v>
      </c>
      <c r="O28" s="38">
        <f t="shared" si="16"/>
        <v>0</v>
      </c>
      <c r="P28" s="135">
        <f t="shared" si="23"/>
        <v>8732448</v>
      </c>
      <c r="Q28" s="38">
        <f t="shared" si="9"/>
        <v>0</v>
      </c>
      <c r="R28" s="132">
        <f t="shared" si="24"/>
        <v>22969659</v>
      </c>
      <c r="S28" s="38">
        <f t="shared" si="10"/>
        <v>0</v>
      </c>
      <c r="T28" s="132">
        <v>0</v>
      </c>
      <c r="U28" s="136"/>
      <c r="V28" s="132">
        <f t="shared" si="25"/>
        <v>1044977</v>
      </c>
      <c r="W28" s="38">
        <f t="shared" si="11"/>
        <v>0</v>
      </c>
      <c r="X28" s="19">
        <f t="shared" si="12"/>
        <v>0</v>
      </c>
      <c r="Y28" s="151">
        <f t="shared" si="13"/>
        <v>0</v>
      </c>
      <c r="Z28" s="3">
        <f t="shared" si="14"/>
        <v>0</v>
      </c>
      <c r="AA28" s="3">
        <f>SUM(Z1:Z28)</f>
        <v>46655.076873599995</v>
      </c>
    </row>
    <row r="29" spans="1:27" ht="16.5" thickBot="1" x14ac:dyDescent="0.3">
      <c r="A29" s="9">
        <v>44892</v>
      </c>
      <c r="B29" s="38"/>
      <c r="C29" s="131">
        <f t="shared" si="17"/>
        <v>20301</v>
      </c>
      <c r="D29" s="38">
        <f t="shared" si="4"/>
        <v>0</v>
      </c>
      <c r="E29" s="132">
        <f t="shared" si="18"/>
        <v>34550289</v>
      </c>
      <c r="F29" s="38">
        <f t="shared" si="5"/>
        <v>0</v>
      </c>
      <c r="G29" s="133">
        <f t="shared" si="19"/>
        <v>8340141</v>
      </c>
      <c r="H29" s="38">
        <f t="shared" si="6"/>
        <v>0</v>
      </c>
      <c r="I29" s="134">
        <f t="shared" si="7"/>
        <v>0</v>
      </c>
      <c r="J29" s="132">
        <f t="shared" si="20"/>
        <v>814150</v>
      </c>
      <c r="K29" s="117">
        <f t="shared" si="15"/>
        <v>0</v>
      </c>
      <c r="L29" s="135">
        <f t="shared" si="21"/>
        <v>1125934</v>
      </c>
      <c r="M29" s="38">
        <f t="shared" si="8"/>
        <v>0</v>
      </c>
      <c r="N29" s="132">
        <f t="shared" si="22"/>
        <v>7841907</v>
      </c>
      <c r="O29" s="38">
        <f t="shared" si="16"/>
        <v>0</v>
      </c>
      <c r="P29" s="135">
        <f t="shared" si="23"/>
        <v>8732448</v>
      </c>
      <c r="Q29" s="38">
        <f t="shared" si="9"/>
        <v>0</v>
      </c>
      <c r="R29" s="132">
        <f t="shared" si="24"/>
        <v>22969659</v>
      </c>
      <c r="S29" s="38">
        <f t="shared" si="10"/>
        <v>0</v>
      </c>
      <c r="T29" s="132">
        <v>0</v>
      </c>
      <c r="U29" s="136"/>
      <c r="V29" s="132">
        <f t="shared" si="25"/>
        <v>1044977</v>
      </c>
      <c r="W29" s="38">
        <f t="shared" si="11"/>
        <v>0</v>
      </c>
      <c r="X29" s="19">
        <f t="shared" si="12"/>
        <v>0</v>
      </c>
      <c r="Y29" s="151">
        <f t="shared" si="13"/>
        <v>0</v>
      </c>
      <c r="Z29" s="3">
        <f t="shared" si="14"/>
        <v>0</v>
      </c>
      <c r="AA29" s="3">
        <f>SUM(Z1:Z29)</f>
        <v>46655.076873599995</v>
      </c>
    </row>
    <row r="30" spans="1:27" ht="16.5" thickBot="1" x14ac:dyDescent="0.3">
      <c r="A30" s="9">
        <v>44893</v>
      </c>
      <c r="B30" s="38"/>
      <c r="C30" s="131">
        <f t="shared" si="17"/>
        <v>20301</v>
      </c>
      <c r="D30" s="38">
        <f>IF((C30-C29)&lt;0,"0",(C30-C29))*160</f>
        <v>0</v>
      </c>
      <c r="E30" s="132">
        <f t="shared" si="18"/>
        <v>34550289</v>
      </c>
      <c r="F30" s="38">
        <f>IF((E30-E29)&lt;0,"0",(E30-E29))</f>
        <v>0</v>
      </c>
      <c r="G30" s="133">
        <f t="shared" si="19"/>
        <v>8340141</v>
      </c>
      <c r="H30" s="38">
        <f t="shared" si="6"/>
        <v>0</v>
      </c>
      <c r="I30" s="134">
        <f t="shared" si="7"/>
        <v>0</v>
      </c>
      <c r="J30" s="132">
        <f t="shared" si="20"/>
        <v>814150</v>
      </c>
      <c r="K30" s="117">
        <f t="shared" si="15"/>
        <v>0</v>
      </c>
      <c r="L30" s="135">
        <f t="shared" si="21"/>
        <v>1125934</v>
      </c>
      <c r="M30" s="38">
        <f>IF((L30-L29)&lt;0,"0",(L30-L29))</f>
        <v>0</v>
      </c>
      <c r="N30" s="132">
        <f t="shared" si="22"/>
        <v>7841907</v>
      </c>
      <c r="O30" s="38">
        <f>(IF((N30-N29)&lt;0,"0",(N30-N29)))*2</f>
        <v>0</v>
      </c>
      <c r="P30" s="135">
        <f t="shared" si="23"/>
        <v>8732448</v>
      </c>
      <c r="Q30" s="38">
        <f>IF((P30-P29)&lt;0,"0",(P30-P29))</f>
        <v>0</v>
      </c>
      <c r="R30" s="132">
        <f t="shared" si="24"/>
        <v>22969659</v>
      </c>
      <c r="S30" s="38">
        <f t="shared" si="10"/>
        <v>0</v>
      </c>
      <c r="T30" s="132">
        <v>0</v>
      </c>
      <c r="U30" s="136"/>
      <c r="V30" s="132">
        <f t="shared" si="25"/>
        <v>1044977</v>
      </c>
      <c r="W30" s="38">
        <f>IF((V30-V29)&lt;0,"0",(V30-V29))</f>
        <v>0</v>
      </c>
      <c r="X30" s="19">
        <f t="shared" si="12"/>
        <v>0</v>
      </c>
      <c r="Y30" s="151">
        <f t="shared" si="13"/>
        <v>0</v>
      </c>
      <c r="Z30" s="3">
        <f t="shared" si="14"/>
        <v>0</v>
      </c>
      <c r="AA30" s="3">
        <f>SUM(Z1:Z30)</f>
        <v>46655.076873599995</v>
      </c>
    </row>
    <row r="31" spans="1:27" ht="16.5" thickBot="1" x14ac:dyDescent="0.3">
      <c r="A31" s="9">
        <v>44894</v>
      </c>
      <c r="B31" s="38"/>
      <c r="C31" s="131">
        <f t="shared" si="17"/>
        <v>20301</v>
      </c>
      <c r="D31" s="38">
        <f t="shared" ref="D31:D32" si="36">IF((C31-C30)&lt;0,"0",(C31-C30))*160</f>
        <v>0</v>
      </c>
      <c r="E31" s="132">
        <f t="shared" si="18"/>
        <v>34550289</v>
      </c>
      <c r="F31" s="38">
        <f t="shared" ref="F31:F32" si="37">IF((E31-E30)&lt;0,"0",(E31-E30))</f>
        <v>0</v>
      </c>
      <c r="G31" s="133">
        <f t="shared" si="19"/>
        <v>8340141</v>
      </c>
      <c r="H31" s="38">
        <f t="shared" si="6"/>
        <v>0</v>
      </c>
      <c r="I31" s="134">
        <f t="shared" ref="I31:I32" si="38">F31+H31</f>
        <v>0</v>
      </c>
      <c r="J31" s="132">
        <f t="shared" si="20"/>
        <v>814150</v>
      </c>
      <c r="K31" s="117">
        <f t="shared" si="15"/>
        <v>0</v>
      </c>
      <c r="L31" s="135">
        <f t="shared" si="21"/>
        <v>1125934</v>
      </c>
      <c r="M31" s="38">
        <f t="shared" ref="M31:M32" si="39">IF((L31-L30)&lt;0,"0",(L31-L30))</f>
        <v>0</v>
      </c>
      <c r="N31" s="132">
        <f t="shared" si="22"/>
        <v>7841907</v>
      </c>
      <c r="O31" s="38">
        <f t="shared" ref="O31:O32" si="40">(IF((N31-N30)&lt;0,"0",(N31-N30)))*2</f>
        <v>0</v>
      </c>
      <c r="P31" s="135">
        <f t="shared" si="23"/>
        <v>8732448</v>
      </c>
      <c r="Q31" s="38">
        <f t="shared" ref="Q31:Q32" si="41">IF((P31-P30)&lt;0,"0",(P31-P30))</f>
        <v>0</v>
      </c>
      <c r="R31" s="132">
        <f t="shared" si="24"/>
        <v>22969659</v>
      </c>
      <c r="S31" s="38">
        <f t="shared" ref="S31:S32" si="42">IF((R31-R30)&lt;0,"0",(R31-R30))</f>
        <v>0</v>
      </c>
      <c r="T31" s="132">
        <v>0</v>
      </c>
      <c r="U31" s="136"/>
      <c r="V31" s="132">
        <f t="shared" si="25"/>
        <v>1044977</v>
      </c>
      <c r="W31" s="38">
        <f t="shared" ref="W31:W32" si="43">IF((V31-V30)&lt;0,"0",(V31-V30))</f>
        <v>0</v>
      </c>
      <c r="X31" s="19">
        <f t="shared" ref="X31:X32" si="44">K31+M31+O31+Q31+S31+U31+W31</f>
        <v>0</v>
      </c>
      <c r="Y31" s="151">
        <f t="shared" ref="Y31:Y32" si="45">I31-X31</f>
        <v>0</v>
      </c>
      <c r="Z31" s="3">
        <f t="shared" ref="Z31:Z32" si="46">(0.93352*(W31+S31)+0.5568*(Q31+O31))*0.26</f>
        <v>0</v>
      </c>
      <c r="AA31" s="3">
        <f>SUM(Z1:Z31)</f>
        <v>46655.076873599995</v>
      </c>
    </row>
    <row r="32" spans="1:27" ht="16.5" thickBot="1" x14ac:dyDescent="0.3">
      <c r="A32" s="9">
        <v>44895</v>
      </c>
      <c r="B32" s="38"/>
      <c r="C32" s="131">
        <f t="shared" si="17"/>
        <v>20301</v>
      </c>
      <c r="D32" s="38">
        <f t="shared" si="36"/>
        <v>0</v>
      </c>
      <c r="E32" s="132">
        <f t="shared" si="18"/>
        <v>34550289</v>
      </c>
      <c r="F32" s="38">
        <f t="shared" si="37"/>
        <v>0</v>
      </c>
      <c r="G32" s="133">
        <f t="shared" si="19"/>
        <v>8340141</v>
      </c>
      <c r="H32" s="38">
        <f t="shared" si="6"/>
        <v>0</v>
      </c>
      <c r="I32" s="134">
        <f t="shared" si="38"/>
        <v>0</v>
      </c>
      <c r="J32" s="132">
        <f t="shared" si="20"/>
        <v>814150</v>
      </c>
      <c r="K32" s="117">
        <f t="shared" si="15"/>
        <v>0</v>
      </c>
      <c r="L32" s="135">
        <f t="shared" si="21"/>
        <v>1125934</v>
      </c>
      <c r="M32" s="38">
        <f t="shared" si="39"/>
        <v>0</v>
      </c>
      <c r="N32" s="132">
        <f t="shared" si="22"/>
        <v>7841907</v>
      </c>
      <c r="O32" s="38">
        <f t="shared" si="40"/>
        <v>0</v>
      </c>
      <c r="P32" s="135">
        <f t="shared" si="23"/>
        <v>8732448</v>
      </c>
      <c r="Q32" s="38">
        <f t="shared" si="41"/>
        <v>0</v>
      </c>
      <c r="R32" s="132">
        <f t="shared" si="24"/>
        <v>22969659</v>
      </c>
      <c r="S32" s="38">
        <f t="shared" si="42"/>
        <v>0</v>
      </c>
      <c r="T32" s="132">
        <v>0</v>
      </c>
      <c r="U32" s="136"/>
      <c r="V32" s="132">
        <f t="shared" si="25"/>
        <v>1044977</v>
      </c>
      <c r="W32" s="38">
        <f t="shared" si="43"/>
        <v>0</v>
      </c>
      <c r="X32" s="19">
        <f t="shared" si="44"/>
        <v>0</v>
      </c>
      <c r="Y32" s="151">
        <f t="shared" si="45"/>
        <v>0</v>
      </c>
      <c r="Z32" s="3">
        <f t="shared" si="46"/>
        <v>0</v>
      </c>
      <c r="AA32" s="3">
        <f>SUM(Z1:Z32)</f>
        <v>46655.076873599995</v>
      </c>
    </row>
    <row r="33" spans="1:27" ht="16.5" thickBot="1" x14ac:dyDescent="0.3">
      <c r="A33" s="124" t="s">
        <v>23</v>
      </c>
      <c r="B33" s="124">
        <f>SUM(B3:B32)</f>
        <v>1839</v>
      </c>
      <c r="C33" s="124">
        <v>0</v>
      </c>
      <c r="D33" s="124">
        <f>SUM(D3:D32)</f>
        <v>2880</v>
      </c>
      <c r="E33" s="55">
        <v>0</v>
      </c>
      <c r="F33" s="124">
        <f>SUM(F3:F32)</f>
        <v>60456</v>
      </c>
      <c r="G33" s="55">
        <v>0</v>
      </c>
      <c r="H33" s="124">
        <f>SUM(H3:H32)</f>
        <v>319345</v>
      </c>
      <c r="I33" s="124">
        <f t="shared" ref="I33" si="47">F33+H33</f>
        <v>379801</v>
      </c>
      <c r="J33" s="55">
        <v>0</v>
      </c>
      <c r="K33" s="124">
        <f>SUM(K3:K32)</f>
        <v>70612</v>
      </c>
      <c r="L33" s="55">
        <v>0</v>
      </c>
      <c r="M33" s="124">
        <f>SUM(M3:M32)</f>
        <v>35512</v>
      </c>
      <c r="N33" s="55">
        <v>0</v>
      </c>
      <c r="O33" s="124">
        <f>SUM(O3:O32)</f>
        <v>23952</v>
      </c>
      <c r="P33" s="55">
        <v>0</v>
      </c>
      <c r="Q33" s="124">
        <f>SUM(Q3:Q32)</f>
        <v>69037</v>
      </c>
      <c r="R33" s="55">
        <v>0</v>
      </c>
      <c r="S33" s="124">
        <f>SUM(S3:S32)</f>
        <v>65191</v>
      </c>
      <c r="T33" s="55">
        <f>SUM(T4:T32)</f>
        <v>0</v>
      </c>
      <c r="U33" s="55">
        <f>SUM(U4:U32)</f>
        <v>0</v>
      </c>
      <c r="V33" s="55">
        <v>0</v>
      </c>
      <c r="W33" s="124">
        <f>SUM(W3:W32)</f>
        <v>71567</v>
      </c>
      <c r="X33" s="124">
        <f>SUM(X3:X32)</f>
        <v>335871</v>
      </c>
      <c r="Y33" s="124">
        <f>SUM(Y2:Y32)</f>
        <v>43930</v>
      </c>
      <c r="Z33" s="124">
        <f>SUM(Z2:Z32)</f>
        <v>46655.076873599995</v>
      </c>
      <c r="AA33" s="124">
        <f>SUM(AA2:AA32)</f>
        <v>1286068.5755424004</v>
      </c>
    </row>
    <row r="34" spans="1:27" x14ac:dyDescent="0.25">
      <c r="E34" s="149"/>
      <c r="H34" s="149"/>
      <c r="L34" s="149"/>
    </row>
    <row r="37" spans="1:27" x14ac:dyDescent="0.25">
      <c r="J37" s="149"/>
    </row>
    <row r="39" spans="1:27" ht="15" x14ac:dyDescent="0.2">
      <c r="A39" s="22"/>
      <c r="B39" s="39"/>
      <c r="C39" s="39"/>
      <c r="D39" s="39"/>
      <c r="Z39" s="22"/>
      <c r="AA39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E10" sqref="E10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44865</v>
      </c>
      <c r="B2" s="3">
        <v>465500</v>
      </c>
      <c r="C2" s="38"/>
      <c r="D2" s="3">
        <v>15217</v>
      </c>
      <c r="E2" s="38"/>
      <c r="F2" s="3">
        <v>12472400</v>
      </c>
      <c r="G2" s="38"/>
      <c r="H2" s="3">
        <v>819002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44866</v>
      </c>
      <c r="B3" s="3">
        <v>465582</v>
      </c>
      <c r="C3" s="38">
        <f t="shared" ref="C3:E18" si="2">(IF((B3-B2)&lt;0,"0",(B3-B2)))*10</f>
        <v>820</v>
      </c>
      <c r="D3" s="3">
        <v>15252</v>
      </c>
      <c r="E3" s="38">
        <f t="shared" si="2"/>
        <v>350</v>
      </c>
      <c r="F3" s="3">
        <v>12488300</v>
      </c>
      <c r="G3" s="38">
        <f>(IF((F3-F2)&lt;0,"0",(F3-F2)))*0.027</f>
        <v>429.3</v>
      </c>
      <c r="H3" s="3">
        <v>819185</v>
      </c>
      <c r="I3" s="43">
        <f>(IF((H3-H2)&lt;0,"0",(H3-H2)))*0.027</f>
        <v>4.9409999999999998</v>
      </c>
      <c r="J3" s="19">
        <f>C3+E3+G3+I3</f>
        <v>1604.241</v>
      </c>
      <c r="K3" s="20">
        <f>J3*5.86</f>
        <v>9400.8522599999997</v>
      </c>
    </row>
    <row r="4" spans="1:14" ht="16.5" thickBot="1" x14ac:dyDescent="0.3">
      <c r="A4" s="9">
        <v>44867</v>
      </c>
      <c r="B4" s="3">
        <v>465658</v>
      </c>
      <c r="C4" s="38">
        <f t="shared" si="2"/>
        <v>760</v>
      </c>
      <c r="D4" s="3">
        <v>15288</v>
      </c>
      <c r="E4" s="38">
        <f t="shared" si="2"/>
        <v>360</v>
      </c>
      <c r="F4" s="3">
        <v>12502300</v>
      </c>
      <c r="G4" s="38">
        <f>(IF((F4-F3)&lt;0,"0",(F4-F3)))*0.027</f>
        <v>378</v>
      </c>
      <c r="H4" s="3">
        <v>819371</v>
      </c>
      <c r="I4" s="43">
        <f>(IF((H4-H3)&lt;0,"0",(H4-H3)))*0.027</f>
        <v>5.0220000000000002</v>
      </c>
      <c r="J4" s="19">
        <f t="shared" ref="J4:J32" si="3">C4+E4+G4+I4</f>
        <v>1503.0219999999999</v>
      </c>
      <c r="K4" s="20">
        <f t="shared" ref="K4:K32" si="4">J4*5.86</f>
        <v>8807.7089200000009</v>
      </c>
    </row>
    <row r="5" spans="1:14" ht="16.5" thickBot="1" x14ac:dyDescent="0.3">
      <c r="A5" s="9">
        <v>44868</v>
      </c>
      <c r="B5" s="3">
        <v>465744</v>
      </c>
      <c r="C5" s="38">
        <f t="shared" si="2"/>
        <v>860</v>
      </c>
      <c r="D5" s="3">
        <v>15325</v>
      </c>
      <c r="E5" s="38">
        <f t="shared" si="2"/>
        <v>370</v>
      </c>
      <c r="F5" s="3">
        <v>12518400</v>
      </c>
      <c r="G5" s="38">
        <f t="shared" ref="G5:G32" si="5">(IF((F5-F4)&lt;0,"0",(F5-F4)))*0.027</f>
        <v>434.7</v>
      </c>
      <c r="H5" s="3">
        <v>819561</v>
      </c>
      <c r="I5" s="43">
        <f t="shared" ref="I5:I32" si="6">(IF((H5-H4)&lt;0,"0",(H5-H4)))*0.027</f>
        <v>5.13</v>
      </c>
      <c r="J5" s="19">
        <f t="shared" si="3"/>
        <v>1669.8300000000002</v>
      </c>
      <c r="K5" s="20">
        <f t="shared" si="4"/>
        <v>9785.2038000000011</v>
      </c>
    </row>
    <row r="6" spans="1:14" ht="16.5" thickBot="1" x14ac:dyDescent="0.3">
      <c r="A6" s="9">
        <v>44869</v>
      </c>
      <c r="B6" s="3">
        <v>465815</v>
      </c>
      <c r="C6" s="38">
        <f t="shared" si="2"/>
        <v>710</v>
      </c>
      <c r="D6" s="3">
        <v>15360</v>
      </c>
      <c r="E6" s="38">
        <f t="shared" si="2"/>
        <v>350</v>
      </c>
      <c r="F6" s="3">
        <v>12534400</v>
      </c>
      <c r="G6" s="38">
        <f t="shared" si="5"/>
        <v>432</v>
      </c>
      <c r="H6" s="3">
        <v>819751</v>
      </c>
      <c r="I6" s="43">
        <f t="shared" si="6"/>
        <v>5.13</v>
      </c>
      <c r="J6" s="19">
        <f t="shared" si="3"/>
        <v>1497.13</v>
      </c>
      <c r="K6" s="20">
        <f t="shared" si="4"/>
        <v>8773.1818000000003</v>
      </c>
    </row>
    <row r="7" spans="1:14" ht="16.5" thickBot="1" x14ac:dyDescent="0.3">
      <c r="A7" s="9">
        <v>44870</v>
      </c>
      <c r="B7" s="3">
        <v>465892</v>
      </c>
      <c r="C7" s="38">
        <f t="shared" si="2"/>
        <v>770</v>
      </c>
      <c r="D7" s="3">
        <v>15396</v>
      </c>
      <c r="E7" s="38">
        <f t="shared" si="2"/>
        <v>360</v>
      </c>
      <c r="F7" s="3">
        <v>12549000</v>
      </c>
      <c r="G7" s="38">
        <f t="shared" si="5"/>
        <v>394.2</v>
      </c>
      <c r="H7" s="3">
        <v>819937</v>
      </c>
      <c r="I7" s="43">
        <f t="shared" si="6"/>
        <v>5.0220000000000002</v>
      </c>
      <c r="J7" s="19">
        <f t="shared" si="3"/>
        <v>1529.222</v>
      </c>
      <c r="K7" s="20">
        <f t="shared" si="4"/>
        <v>8961.2409200000002</v>
      </c>
      <c r="L7" t="s">
        <v>12</v>
      </c>
      <c r="N7" t="s">
        <v>12</v>
      </c>
    </row>
    <row r="8" spans="1:14" ht="16.5" thickBot="1" x14ac:dyDescent="0.3">
      <c r="A8" s="9">
        <v>44871</v>
      </c>
      <c r="B8" s="3">
        <v>465975</v>
      </c>
      <c r="C8" s="38">
        <f t="shared" si="2"/>
        <v>830</v>
      </c>
      <c r="D8" s="3">
        <v>15432</v>
      </c>
      <c r="E8" s="38">
        <f t="shared" si="2"/>
        <v>360</v>
      </c>
      <c r="F8" s="3">
        <v>12566500</v>
      </c>
      <c r="G8" s="38">
        <f t="shared" si="5"/>
        <v>472.5</v>
      </c>
      <c r="H8" s="3">
        <v>820121</v>
      </c>
      <c r="I8" s="43">
        <f t="shared" si="6"/>
        <v>4.968</v>
      </c>
      <c r="J8" s="19">
        <f t="shared" si="3"/>
        <v>1667.4680000000001</v>
      </c>
      <c r="K8" s="20">
        <f t="shared" si="4"/>
        <v>9771.3624800000016</v>
      </c>
    </row>
    <row r="9" spans="1:14" ht="16.5" thickBot="1" x14ac:dyDescent="0.3">
      <c r="A9" s="9">
        <v>44872</v>
      </c>
      <c r="B9" s="3">
        <f t="shared" ref="B8:B32" si="7">B8</f>
        <v>465975</v>
      </c>
      <c r="C9" s="38">
        <f t="shared" ref="C9:C32" si="8">(IF((B9-B8)&lt;0,"0",(B9-B8)))*10</f>
        <v>0</v>
      </c>
      <c r="D9" s="3">
        <f t="shared" ref="D8:D32" si="9">D8</f>
        <v>15432</v>
      </c>
      <c r="E9" s="38">
        <f t="shared" si="2"/>
        <v>0</v>
      </c>
      <c r="F9" s="3">
        <f t="shared" ref="F8:F32" si="10">F8</f>
        <v>12566500</v>
      </c>
      <c r="G9" s="38">
        <f t="shared" si="5"/>
        <v>0</v>
      </c>
      <c r="H9" s="3">
        <f t="shared" ref="H8:H32" si="11">H8</f>
        <v>820121</v>
      </c>
      <c r="I9" s="43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44873</v>
      </c>
      <c r="B10" s="3">
        <f t="shared" si="7"/>
        <v>465975</v>
      </c>
      <c r="C10" s="38">
        <f>(IF((B10-B9)&lt;0,"0",(B10-B9)))*10</f>
        <v>0</v>
      </c>
      <c r="D10" s="3">
        <f t="shared" si="9"/>
        <v>15432</v>
      </c>
      <c r="E10" s="38">
        <f t="shared" si="2"/>
        <v>0</v>
      </c>
      <c r="F10" s="3">
        <f t="shared" si="10"/>
        <v>12566500</v>
      </c>
      <c r="G10" s="38">
        <f t="shared" si="5"/>
        <v>0</v>
      </c>
      <c r="H10" s="3">
        <f t="shared" si="11"/>
        <v>820121</v>
      </c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44874</v>
      </c>
      <c r="B11" s="3">
        <f t="shared" si="7"/>
        <v>465975</v>
      </c>
      <c r="C11" s="38">
        <f t="shared" si="8"/>
        <v>0</v>
      </c>
      <c r="D11" s="3">
        <f t="shared" si="9"/>
        <v>15432</v>
      </c>
      <c r="E11" s="38">
        <f t="shared" si="2"/>
        <v>0</v>
      </c>
      <c r="F11" s="3">
        <f t="shared" si="10"/>
        <v>12566500</v>
      </c>
      <c r="G11" s="38">
        <f t="shared" si="5"/>
        <v>0</v>
      </c>
      <c r="H11" s="3">
        <f t="shared" si="11"/>
        <v>820121</v>
      </c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44875</v>
      </c>
      <c r="B12" s="3">
        <f t="shared" si="7"/>
        <v>465975</v>
      </c>
      <c r="C12" s="38">
        <f t="shared" si="8"/>
        <v>0</v>
      </c>
      <c r="D12" s="3">
        <f t="shared" si="9"/>
        <v>15432</v>
      </c>
      <c r="E12" s="38">
        <f t="shared" si="2"/>
        <v>0</v>
      </c>
      <c r="F12" s="3">
        <f t="shared" si="10"/>
        <v>12566500</v>
      </c>
      <c r="G12" s="38">
        <f t="shared" si="5"/>
        <v>0</v>
      </c>
      <c r="H12" s="3">
        <f t="shared" si="11"/>
        <v>820121</v>
      </c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44876</v>
      </c>
      <c r="B13" s="3">
        <f t="shared" si="7"/>
        <v>465975</v>
      </c>
      <c r="C13" s="38">
        <f t="shared" si="8"/>
        <v>0</v>
      </c>
      <c r="D13" s="3">
        <f t="shared" si="9"/>
        <v>15432</v>
      </c>
      <c r="E13" s="38">
        <f t="shared" si="2"/>
        <v>0</v>
      </c>
      <c r="F13" s="3">
        <f t="shared" si="10"/>
        <v>12566500</v>
      </c>
      <c r="G13" s="38">
        <f t="shared" si="5"/>
        <v>0</v>
      </c>
      <c r="H13" s="3">
        <f t="shared" si="11"/>
        <v>820121</v>
      </c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44877</v>
      </c>
      <c r="B14" s="3">
        <f t="shared" si="7"/>
        <v>465975</v>
      </c>
      <c r="C14" s="38">
        <f t="shared" si="8"/>
        <v>0</v>
      </c>
      <c r="D14" s="3">
        <f t="shared" si="9"/>
        <v>15432</v>
      </c>
      <c r="E14" s="38">
        <f t="shared" si="2"/>
        <v>0</v>
      </c>
      <c r="F14" s="3">
        <f t="shared" si="10"/>
        <v>12566500</v>
      </c>
      <c r="G14" s="38">
        <f t="shared" si="5"/>
        <v>0</v>
      </c>
      <c r="H14" s="3">
        <f t="shared" si="11"/>
        <v>820121</v>
      </c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44878</v>
      </c>
      <c r="B15" s="3">
        <f t="shared" si="7"/>
        <v>465975</v>
      </c>
      <c r="C15" s="38">
        <f t="shared" si="8"/>
        <v>0</v>
      </c>
      <c r="D15" s="3">
        <f t="shared" si="9"/>
        <v>15432</v>
      </c>
      <c r="E15" s="38">
        <f t="shared" si="2"/>
        <v>0</v>
      </c>
      <c r="F15" s="3">
        <f t="shared" si="10"/>
        <v>12566500</v>
      </c>
      <c r="G15" s="38">
        <f t="shared" si="5"/>
        <v>0</v>
      </c>
      <c r="H15" s="3">
        <f t="shared" si="11"/>
        <v>820121</v>
      </c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44879</v>
      </c>
      <c r="B16" s="3">
        <f t="shared" si="7"/>
        <v>465975</v>
      </c>
      <c r="C16" s="38">
        <f t="shared" si="8"/>
        <v>0</v>
      </c>
      <c r="D16" s="3">
        <f t="shared" si="9"/>
        <v>15432</v>
      </c>
      <c r="E16" s="38">
        <f t="shared" si="2"/>
        <v>0</v>
      </c>
      <c r="F16" s="3">
        <f t="shared" si="10"/>
        <v>12566500</v>
      </c>
      <c r="G16" s="38">
        <f t="shared" si="5"/>
        <v>0</v>
      </c>
      <c r="H16" s="3">
        <f t="shared" si="11"/>
        <v>820121</v>
      </c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44880</v>
      </c>
      <c r="B17" s="3">
        <f t="shared" si="7"/>
        <v>465975</v>
      </c>
      <c r="C17" s="38">
        <f t="shared" si="8"/>
        <v>0</v>
      </c>
      <c r="D17" s="3">
        <f t="shared" si="9"/>
        <v>15432</v>
      </c>
      <c r="E17" s="38">
        <f t="shared" si="2"/>
        <v>0</v>
      </c>
      <c r="F17" s="3">
        <f t="shared" si="10"/>
        <v>12566500</v>
      </c>
      <c r="G17" s="38">
        <f t="shared" si="5"/>
        <v>0</v>
      </c>
      <c r="H17" s="3">
        <f t="shared" si="11"/>
        <v>820121</v>
      </c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44881</v>
      </c>
      <c r="B18" s="3">
        <f t="shared" si="7"/>
        <v>465975</v>
      </c>
      <c r="C18" s="38">
        <f t="shared" si="8"/>
        <v>0</v>
      </c>
      <c r="D18" s="3">
        <f t="shared" si="9"/>
        <v>15432</v>
      </c>
      <c r="E18" s="38">
        <f t="shared" si="2"/>
        <v>0</v>
      </c>
      <c r="F18" s="3">
        <f t="shared" si="10"/>
        <v>12566500</v>
      </c>
      <c r="G18" s="38">
        <f t="shared" si="5"/>
        <v>0</v>
      </c>
      <c r="H18" s="3">
        <f t="shared" si="11"/>
        <v>820121</v>
      </c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44882</v>
      </c>
      <c r="B19" s="3">
        <f t="shared" si="7"/>
        <v>465975</v>
      </c>
      <c r="C19" s="38">
        <f t="shared" si="8"/>
        <v>0</v>
      </c>
      <c r="D19" s="3">
        <f t="shared" si="9"/>
        <v>15432</v>
      </c>
      <c r="E19" s="38">
        <f t="shared" ref="E19:E32" si="12">(IF((D19-D18)&lt;0,"0",(D19-D18)))*10</f>
        <v>0</v>
      </c>
      <c r="F19" s="3">
        <f t="shared" si="10"/>
        <v>12566500</v>
      </c>
      <c r="G19" s="38">
        <f t="shared" si="5"/>
        <v>0</v>
      </c>
      <c r="H19" s="3">
        <f t="shared" si="11"/>
        <v>820121</v>
      </c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44883</v>
      </c>
      <c r="B20" s="3">
        <f t="shared" si="7"/>
        <v>465975</v>
      </c>
      <c r="C20" s="38">
        <f t="shared" si="8"/>
        <v>0</v>
      </c>
      <c r="D20" s="3">
        <f t="shared" si="9"/>
        <v>15432</v>
      </c>
      <c r="E20" s="38">
        <f t="shared" si="12"/>
        <v>0</v>
      </c>
      <c r="F20" s="3">
        <f t="shared" si="10"/>
        <v>12566500</v>
      </c>
      <c r="G20" s="38">
        <f t="shared" si="5"/>
        <v>0</v>
      </c>
      <c r="H20" s="3">
        <f t="shared" si="11"/>
        <v>820121</v>
      </c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44884</v>
      </c>
      <c r="B21" s="3">
        <f t="shared" si="7"/>
        <v>465975</v>
      </c>
      <c r="C21" s="38">
        <f t="shared" si="8"/>
        <v>0</v>
      </c>
      <c r="D21" s="3">
        <f t="shared" si="9"/>
        <v>15432</v>
      </c>
      <c r="E21" s="38">
        <f t="shared" si="12"/>
        <v>0</v>
      </c>
      <c r="F21" s="3">
        <f t="shared" si="10"/>
        <v>12566500</v>
      </c>
      <c r="G21" s="38">
        <f t="shared" si="5"/>
        <v>0</v>
      </c>
      <c r="H21" s="3">
        <f t="shared" si="11"/>
        <v>820121</v>
      </c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44885</v>
      </c>
      <c r="B22" s="3">
        <f t="shared" si="7"/>
        <v>465975</v>
      </c>
      <c r="C22" s="38">
        <f t="shared" si="8"/>
        <v>0</v>
      </c>
      <c r="D22" s="3">
        <f t="shared" si="9"/>
        <v>15432</v>
      </c>
      <c r="E22" s="38">
        <f t="shared" si="12"/>
        <v>0</v>
      </c>
      <c r="F22" s="3">
        <f t="shared" si="10"/>
        <v>12566500</v>
      </c>
      <c r="G22" s="38">
        <f t="shared" si="5"/>
        <v>0</v>
      </c>
      <c r="H22" s="3">
        <f t="shared" si="11"/>
        <v>820121</v>
      </c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44886</v>
      </c>
      <c r="B23" s="3">
        <f t="shared" si="7"/>
        <v>465975</v>
      </c>
      <c r="C23" s="38">
        <f t="shared" si="8"/>
        <v>0</v>
      </c>
      <c r="D23" s="3">
        <f t="shared" si="9"/>
        <v>15432</v>
      </c>
      <c r="E23" s="38">
        <f t="shared" si="12"/>
        <v>0</v>
      </c>
      <c r="F23" s="3">
        <f t="shared" si="10"/>
        <v>12566500</v>
      </c>
      <c r="G23" s="38">
        <f t="shared" si="5"/>
        <v>0</v>
      </c>
      <c r="H23" s="3">
        <f t="shared" si="11"/>
        <v>820121</v>
      </c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44887</v>
      </c>
      <c r="B24" s="3">
        <f t="shared" si="7"/>
        <v>465975</v>
      </c>
      <c r="C24" s="38">
        <f t="shared" si="8"/>
        <v>0</v>
      </c>
      <c r="D24" s="3">
        <f t="shared" si="9"/>
        <v>15432</v>
      </c>
      <c r="E24" s="38">
        <f t="shared" si="12"/>
        <v>0</v>
      </c>
      <c r="F24" s="3">
        <f t="shared" si="10"/>
        <v>12566500</v>
      </c>
      <c r="G24" s="38">
        <f t="shared" si="5"/>
        <v>0</v>
      </c>
      <c r="H24" s="3">
        <f t="shared" si="11"/>
        <v>820121</v>
      </c>
      <c r="I24" s="43">
        <f t="shared" si="6"/>
        <v>0</v>
      </c>
      <c r="J24" s="19">
        <f t="shared" si="3"/>
        <v>0</v>
      </c>
      <c r="K24" s="20">
        <f t="shared" si="4"/>
        <v>0</v>
      </c>
      <c r="N24" s="152"/>
    </row>
    <row r="25" spans="1:25" ht="17.25" customHeight="1" thickBot="1" x14ac:dyDescent="0.4">
      <c r="A25" s="9">
        <v>44888</v>
      </c>
      <c r="B25" s="3">
        <f t="shared" si="7"/>
        <v>465975</v>
      </c>
      <c r="C25" s="38">
        <f t="shared" si="8"/>
        <v>0</v>
      </c>
      <c r="D25" s="3">
        <f t="shared" si="9"/>
        <v>15432</v>
      </c>
      <c r="E25" s="38">
        <f t="shared" si="12"/>
        <v>0</v>
      </c>
      <c r="F25" s="3">
        <f t="shared" si="10"/>
        <v>12566500</v>
      </c>
      <c r="G25" s="38">
        <f t="shared" si="5"/>
        <v>0</v>
      </c>
      <c r="H25" s="3">
        <f t="shared" si="11"/>
        <v>820121</v>
      </c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44889</v>
      </c>
      <c r="B26" s="3">
        <f t="shared" si="7"/>
        <v>465975</v>
      </c>
      <c r="C26" s="38">
        <f t="shared" si="8"/>
        <v>0</v>
      </c>
      <c r="D26" s="3">
        <f t="shared" si="9"/>
        <v>15432</v>
      </c>
      <c r="E26" s="38">
        <f t="shared" si="12"/>
        <v>0</v>
      </c>
      <c r="F26" s="3">
        <f t="shared" si="10"/>
        <v>12566500</v>
      </c>
      <c r="G26" s="38">
        <f t="shared" si="5"/>
        <v>0</v>
      </c>
      <c r="H26" s="3">
        <f t="shared" si="11"/>
        <v>820121</v>
      </c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44890</v>
      </c>
      <c r="B27" s="3">
        <f t="shared" si="7"/>
        <v>465975</v>
      </c>
      <c r="C27" s="38">
        <f t="shared" si="8"/>
        <v>0</v>
      </c>
      <c r="D27" s="3">
        <f t="shared" si="9"/>
        <v>15432</v>
      </c>
      <c r="E27" s="38">
        <f t="shared" si="12"/>
        <v>0</v>
      </c>
      <c r="F27" s="3">
        <f t="shared" si="10"/>
        <v>12566500</v>
      </c>
      <c r="G27" s="38">
        <f t="shared" si="5"/>
        <v>0</v>
      </c>
      <c r="H27" s="3">
        <f t="shared" si="11"/>
        <v>820121</v>
      </c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44891</v>
      </c>
      <c r="B28" s="3">
        <f t="shared" si="7"/>
        <v>465975</v>
      </c>
      <c r="C28" s="38">
        <f t="shared" si="8"/>
        <v>0</v>
      </c>
      <c r="D28" s="3">
        <f t="shared" si="9"/>
        <v>15432</v>
      </c>
      <c r="E28" s="38">
        <f t="shared" si="12"/>
        <v>0</v>
      </c>
      <c r="F28" s="3">
        <f t="shared" si="10"/>
        <v>12566500</v>
      </c>
      <c r="G28" s="38">
        <f t="shared" si="5"/>
        <v>0</v>
      </c>
      <c r="H28" s="3">
        <f t="shared" si="11"/>
        <v>820121</v>
      </c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44892</v>
      </c>
      <c r="B29" s="3">
        <f t="shared" si="7"/>
        <v>465975</v>
      </c>
      <c r="C29" s="38">
        <f t="shared" si="8"/>
        <v>0</v>
      </c>
      <c r="D29" s="3">
        <f t="shared" si="9"/>
        <v>15432</v>
      </c>
      <c r="E29" s="38">
        <f t="shared" si="12"/>
        <v>0</v>
      </c>
      <c r="F29" s="3">
        <f t="shared" si="10"/>
        <v>12566500</v>
      </c>
      <c r="G29" s="38">
        <f t="shared" si="5"/>
        <v>0</v>
      </c>
      <c r="H29" s="3">
        <f t="shared" si="11"/>
        <v>820121</v>
      </c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44893</v>
      </c>
      <c r="B30" s="3">
        <f t="shared" si="7"/>
        <v>465975</v>
      </c>
      <c r="C30" s="38">
        <f t="shared" si="8"/>
        <v>0</v>
      </c>
      <c r="D30" s="3">
        <f t="shared" si="9"/>
        <v>15432</v>
      </c>
      <c r="E30" s="38">
        <f t="shared" si="12"/>
        <v>0</v>
      </c>
      <c r="F30" s="3">
        <f t="shared" si="10"/>
        <v>12566500</v>
      </c>
      <c r="G30" s="38">
        <f t="shared" si="5"/>
        <v>0</v>
      </c>
      <c r="H30" s="3">
        <f t="shared" si="11"/>
        <v>820121</v>
      </c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44894</v>
      </c>
      <c r="B31" s="3">
        <f t="shared" si="7"/>
        <v>465975</v>
      </c>
      <c r="C31" s="38">
        <f t="shared" si="8"/>
        <v>0</v>
      </c>
      <c r="D31" s="3">
        <f t="shared" si="9"/>
        <v>15432</v>
      </c>
      <c r="E31" s="38">
        <f t="shared" si="12"/>
        <v>0</v>
      </c>
      <c r="F31" s="3">
        <f t="shared" si="10"/>
        <v>12566500</v>
      </c>
      <c r="G31" s="38">
        <f t="shared" si="5"/>
        <v>0</v>
      </c>
      <c r="H31" s="3">
        <f t="shared" si="11"/>
        <v>820121</v>
      </c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44895</v>
      </c>
      <c r="B32" s="3">
        <f t="shared" si="7"/>
        <v>465975</v>
      </c>
      <c r="C32" s="38">
        <f t="shared" si="8"/>
        <v>0</v>
      </c>
      <c r="D32" s="3">
        <f t="shared" si="9"/>
        <v>15432</v>
      </c>
      <c r="E32" s="38">
        <f t="shared" si="12"/>
        <v>0</v>
      </c>
      <c r="F32" s="3">
        <f t="shared" si="10"/>
        <v>12566500</v>
      </c>
      <c r="G32" s="38">
        <f t="shared" si="5"/>
        <v>0</v>
      </c>
      <c r="H32" s="3">
        <f t="shared" si="11"/>
        <v>820121</v>
      </c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SUM(C3:C32)</f>
        <v>4750</v>
      </c>
      <c r="D33" s="55"/>
      <c r="E33" s="55">
        <f>SUM(E3:E32)</f>
        <v>2150</v>
      </c>
      <c r="F33" s="55"/>
      <c r="G33" s="55">
        <f>SUM(G3:G32)</f>
        <v>2540.6999999999998</v>
      </c>
      <c r="H33" s="55"/>
      <c r="I33" s="55">
        <f>SUM(I3:I32)</f>
        <v>30.212999999999997</v>
      </c>
      <c r="J33" s="55">
        <v>0</v>
      </c>
      <c r="K33" s="55">
        <f>SUM(K4:K32)</f>
        <v>46098.697919999999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D8" sqref="D8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44865</v>
      </c>
      <c r="B2" s="120">
        <v>18556220</v>
      </c>
      <c r="C2" s="44"/>
    </row>
    <row r="3" spans="1:9" ht="24" thickBot="1" x14ac:dyDescent="0.4">
      <c r="A3" s="9">
        <v>44866</v>
      </c>
      <c r="B3" s="120">
        <v>18558959</v>
      </c>
      <c r="C3" s="44">
        <f>B3-B2</f>
        <v>2739</v>
      </c>
    </row>
    <row r="4" spans="1:9" ht="24" thickBot="1" x14ac:dyDescent="0.4">
      <c r="A4" s="9">
        <v>44867</v>
      </c>
      <c r="B4" s="120">
        <v>18561051</v>
      </c>
      <c r="C4" s="44">
        <f t="shared" ref="C4:C32" si="0">IF((B4-B3)&lt;0,"0",(B4-B3))</f>
        <v>2092</v>
      </c>
    </row>
    <row r="5" spans="1:9" ht="24" thickBot="1" x14ac:dyDescent="0.4">
      <c r="A5" s="9">
        <v>44868</v>
      </c>
      <c r="B5" s="120">
        <v>18563922</v>
      </c>
      <c r="C5" s="44">
        <f t="shared" si="0"/>
        <v>2871</v>
      </c>
      <c r="E5" s="162"/>
      <c r="F5" s="34"/>
    </row>
    <row r="6" spans="1:9" ht="24" thickBot="1" x14ac:dyDescent="0.4">
      <c r="A6" s="9">
        <v>44869</v>
      </c>
      <c r="B6" s="120">
        <v>18565502</v>
      </c>
      <c r="C6" s="44">
        <f>IF((B6-B5)&lt;0,"0",(B6-B5))</f>
        <v>1580</v>
      </c>
      <c r="F6" s="34"/>
    </row>
    <row r="7" spans="1:9" ht="24" thickBot="1" x14ac:dyDescent="0.4">
      <c r="A7" s="9">
        <v>44870</v>
      </c>
      <c r="B7" s="120">
        <v>18567708</v>
      </c>
      <c r="C7" s="44">
        <f t="shared" si="0"/>
        <v>2206</v>
      </c>
    </row>
    <row r="8" spans="1:9" ht="24" thickBot="1" x14ac:dyDescent="0.4">
      <c r="A8" s="9">
        <v>44871</v>
      </c>
      <c r="B8" s="120">
        <v>18569714</v>
      </c>
      <c r="C8" s="44">
        <f t="shared" si="0"/>
        <v>2006</v>
      </c>
    </row>
    <row r="9" spans="1:9" ht="24" thickBot="1" x14ac:dyDescent="0.4">
      <c r="A9" s="9">
        <v>44872</v>
      </c>
      <c r="B9" s="120">
        <f t="shared" ref="B8:B32" si="1">B8</f>
        <v>18569714</v>
      </c>
      <c r="C9" s="44">
        <f t="shared" si="0"/>
        <v>0</v>
      </c>
    </row>
    <row r="10" spans="1:9" ht="24" thickBot="1" x14ac:dyDescent="0.4">
      <c r="A10" s="9">
        <v>44873</v>
      </c>
      <c r="B10" s="120">
        <f t="shared" si="1"/>
        <v>18569714</v>
      </c>
      <c r="C10" s="44">
        <f t="shared" si="0"/>
        <v>0</v>
      </c>
    </row>
    <row r="11" spans="1:9" ht="24" thickBot="1" x14ac:dyDescent="0.4">
      <c r="A11" s="9">
        <v>44874</v>
      </c>
      <c r="B11" s="120">
        <f t="shared" si="1"/>
        <v>18569714</v>
      </c>
      <c r="C11" s="44">
        <f t="shared" si="0"/>
        <v>0</v>
      </c>
    </row>
    <row r="12" spans="1:9" ht="24" thickBot="1" x14ac:dyDescent="0.4">
      <c r="A12" s="9">
        <v>44875</v>
      </c>
      <c r="B12" s="120">
        <f t="shared" si="1"/>
        <v>18569714</v>
      </c>
      <c r="C12" s="44">
        <f t="shared" si="0"/>
        <v>0</v>
      </c>
    </row>
    <row r="13" spans="1:9" ht="24" thickBot="1" x14ac:dyDescent="0.4">
      <c r="A13" s="9">
        <v>44876</v>
      </c>
      <c r="B13" s="120">
        <f t="shared" si="1"/>
        <v>18569714</v>
      </c>
      <c r="C13" s="44">
        <f t="shared" si="0"/>
        <v>0</v>
      </c>
    </row>
    <row r="14" spans="1:9" ht="24" thickBot="1" x14ac:dyDescent="0.4">
      <c r="A14" s="9">
        <v>44877</v>
      </c>
      <c r="B14" s="120">
        <f t="shared" si="1"/>
        <v>18569714</v>
      </c>
      <c r="C14" s="44">
        <f t="shared" si="0"/>
        <v>0</v>
      </c>
      <c r="I14" s="34"/>
    </row>
    <row r="15" spans="1:9" ht="24" thickBot="1" x14ac:dyDescent="0.4">
      <c r="A15" s="9">
        <v>44878</v>
      </c>
      <c r="B15" s="120">
        <f t="shared" si="1"/>
        <v>18569714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44879</v>
      </c>
      <c r="B16" s="120">
        <f t="shared" si="1"/>
        <v>18569714</v>
      </c>
      <c r="C16" s="44">
        <f t="shared" si="0"/>
        <v>0</v>
      </c>
      <c r="F16" s="140"/>
    </row>
    <row r="17" spans="1:9" ht="25.5" customHeight="1" thickBot="1" x14ac:dyDescent="0.4">
      <c r="A17" s="9">
        <v>44880</v>
      </c>
      <c r="B17" s="120">
        <f t="shared" si="1"/>
        <v>18569714</v>
      </c>
      <c r="C17" s="44">
        <f t="shared" si="0"/>
        <v>0</v>
      </c>
    </row>
    <row r="18" spans="1:9" ht="24" thickBot="1" x14ac:dyDescent="0.4">
      <c r="A18" s="9">
        <v>44881</v>
      </c>
      <c r="B18" s="120">
        <f t="shared" si="1"/>
        <v>18569714</v>
      </c>
      <c r="C18" s="44">
        <f t="shared" si="0"/>
        <v>0</v>
      </c>
      <c r="I18" s="34"/>
    </row>
    <row r="19" spans="1:9" ht="24" thickBot="1" x14ac:dyDescent="0.4">
      <c r="A19" s="9">
        <v>44882</v>
      </c>
      <c r="B19" s="120">
        <f t="shared" si="1"/>
        <v>18569714</v>
      </c>
      <c r="C19" s="44">
        <f t="shared" si="0"/>
        <v>0</v>
      </c>
    </row>
    <row r="20" spans="1:9" ht="24" thickBot="1" x14ac:dyDescent="0.4">
      <c r="A20" s="9">
        <v>44883</v>
      </c>
      <c r="B20" s="120">
        <f t="shared" si="1"/>
        <v>18569714</v>
      </c>
      <c r="C20" s="44">
        <f t="shared" si="0"/>
        <v>0</v>
      </c>
      <c r="I20" s="34"/>
    </row>
    <row r="21" spans="1:9" ht="24" thickBot="1" x14ac:dyDescent="0.4">
      <c r="A21" s="9">
        <v>44884</v>
      </c>
      <c r="B21" s="120">
        <f t="shared" si="1"/>
        <v>18569714</v>
      </c>
      <c r="C21" s="44">
        <f t="shared" si="0"/>
        <v>0</v>
      </c>
    </row>
    <row r="22" spans="1:9" ht="24" thickBot="1" x14ac:dyDescent="0.4">
      <c r="A22" s="9">
        <v>44885</v>
      </c>
      <c r="B22" s="120">
        <f t="shared" si="1"/>
        <v>18569714</v>
      </c>
      <c r="C22" s="44">
        <f t="shared" si="0"/>
        <v>0</v>
      </c>
    </row>
    <row r="23" spans="1:9" ht="24" thickBot="1" x14ac:dyDescent="0.4">
      <c r="A23" s="9">
        <v>44886</v>
      </c>
      <c r="B23" s="120">
        <f t="shared" si="1"/>
        <v>18569714</v>
      </c>
      <c r="C23" s="44">
        <f t="shared" si="0"/>
        <v>0</v>
      </c>
      <c r="F23" t="s">
        <v>12</v>
      </c>
    </row>
    <row r="24" spans="1:9" ht="24" thickBot="1" x14ac:dyDescent="0.4">
      <c r="A24" s="9">
        <v>44887</v>
      </c>
      <c r="B24" s="120">
        <f t="shared" si="1"/>
        <v>18569714</v>
      </c>
      <c r="C24" s="44">
        <f t="shared" si="0"/>
        <v>0</v>
      </c>
      <c r="E24" t="s">
        <v>12</v>
      </c>
    </row>
    <row r="25" spans="1:9" ht="24" thickBot="1" x14ac:dyDescent="0.4">
      <c r="A25" s="9">
        <v>44888</v>
      </c>
      <c r="B25" s="120">
        <f t="shared" si="1"/>
        <v>18569714</v>
      </c>
      <c r="C25" s="44">
        <f t="shared" si="0"/>
        <v>0</v>
      </c>
    </row>
    <row r="26" spans="1:9" ht="24" thickBot="1" x14ac:dyDescent="0.4">
      <c r="A26" s="9">
        <v>44889</v>
      </c>
      <c r="B26" s="120">
        <f t="shared" si="1"/>
        <v>18569714</v>
      </c>
      <c r="C26" s="44">
        <f t="shared" si="0"/>
        <v>0</v>
      </c>
    </row>
    <row r="27" spans="1:9" ht="24" thickBot="1" x14ac:dyDescent="0.4">
      <c r="A27" s="9">
        <v>44890</v>
      </c>
      <c r="B27" s="120">
        <f t="shared" si="1"/>
        <v>18569714</v>
      </c>
      <c r="C27" s="44">
        <f t="shared" si="0"/>
        <v>0</v>
      </c>
    </row>
    <row r="28" spans="1:9" ht="24" thickBot="1" x14ac:dyDescent="0.4">
      <c r="A28" s="9">
        <v>44891</v>
      </c>
      <c r="B28" s="120">
        <f t="shared" si="1"/>
        <v>18569714</v>
      </c>
      <c r="C28" s="44">
        <f t="shared" si="0"/>
        <v>0</v>
      </c>
      <c r="I28" t="s">
        <v>12</v>
      </c>
    </row>
    <row r="29" spans="1:9" ht="24" thickBot="1" x14ac:dyDescent="0.4">
      <c r="A29" s="9">
        <v>44892</v>
      </c>
      <c r="B29" s="120">
        <f t="shared" si="1"/>
        <v>18569714</v>
      </c>
      <c r="C29" s="44">
        <f t="shared" si="0"/>
        <v>0</v>
      </c>
    </row>
    <row r="30" spans="1:9" ht="24" thickBot="1" x14ac:dyDescent="0.4">
      <c r="A30" s="9">
        <v>44893</v>
      </c>
      <c r="B30" s="120">
        <f t="shared" si="1"/>
        <v>18569714</v>
      </c>
      <c r="C30" s="44">
        <f t="shared" si="0"/>
        <v>0</v>
      </c>
    </row>
    <row r="31" spans="1:9" ht="24" thickBot="1" x14ac:dyDescent="0.4">
      <c r="A31" s="9">
        <v>44894</v>
      </c>
      <c r="B31" s="120">
        <f t="shared" si="1"/>
        <v>18569714</v>
      </c>
      <c r="C31" s="44">
        <f t="shared" si="0"/>
        <v>0</v>
      </c>
    </row>
    <row r="32" spans="1:9" ht="24" thickBot="1" x14ac:dyDescent="0.4">
      <c r="A32" s="9">
        <v>44895</v>
      </c>
      <c r="B32" s="120">
        <f t="shared" si="1"/>
        <v>18569714</v>
      </c>
      <c r="C32" s="44">
        <f t="shared" si="0"/>
        <v>0</v>
      </c>
    </row>
    <row r="33" spans="1:3" ht="24" thickBot="1" x14ac:dyDescent="0.4">
      <c r="A33" s="122" t="s">
        <v>138</v>
      </c>
      <c r="B33" s="122"/>
      <c r="C33" s="122">
        <f>SUM(C3:C32)</f>
        <v>13494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opLeftCell="L1" zoomScale="110" zoomScaleNormal="110" workbookViewId="0">
      <pane ySplit="1" topLeftCell="A2" activePane="bottomLeft" state="frozen"/>
      <selection pane="bottomLeft" activeCell="AF9" sqref="AF9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3" t="s">
        <v>140</v>
      </c>
      <c r="X1" s="164"/>
      <c r="Y1" s="164"/>
      <c r="Z1" s="164"/>
      <c r="AA1" s="165"/>
      <c r="AB1" s="166" t="s">
        <v>142</v>
      </c>
      <c r="AC1" s="164"/>
      <c r="AD1" s="166" t="s">
        <v>143</v>
      </c>
      <c r="AE1" s="164"/>
      <c r="AF1" s="163" t="s">
        <v>144</v>
      </c>
      <c r="AG1" s="164"/>
    </row>
    <row r="2" spans="1:33" s="22" customFormat="1" ht="16.5" thickBot="1" x14ac:dyDescent="0.25">
      <c r="A2" s="9">
        <v>44865</v>
      </c>
      <c r="B2" s="144">
        <v>25350.864000000001</v>
      </c>
      <c r="C2" s="43"/>
      <c r="D2" s="28">
        <f t="shared" ref="D2" si="0">C2*1.9*1000</f>
        <v>0</v>
      </c>
      <c r="E2" s="1">
        <v>4639.0129999999999</v>
      </c>
      <c r="F2" s="43"/>
      <c r="G2" s="28">
        <f t="shared" ref="G2" si="1">F2*1.9*1000</f>
        <v>0</v>
      </c>
      <c r="H2" s="1">
        <v>6444</v>
      </c>
      <c r="I2" s="43"/>
      <c r="J2" s="28">
        <f t="shared" ref="J2" si="2">I2*1.9*1000</f>
        <v>0</v>
      </c>
      <c r="K2" s="7">
        <v>14294.87</v>
      </c>
      <c r="L2" s="43"/>
      <c r="M2" s="28">
        <f t="shared" ref="M2" si="3">L2*1.9*1000</f>
        <v>0</v>
      </c>
      <c r="N2" s="7">
        <v>3851.6889999999999</v>
      </c>
      <c r="O2" s="43"/>
      <c r="P2" s="28">
        <f t="shared" ref="P2" si="4">O2*1.9*1000</f>
        <v>0</v>
      </c>
      <c r="Q2" s="7">
        <v>5641.23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V2"/>
      <c r="W2" s="141">
        <v>44865</v>
      </c>
      <c r="X2" s="142">
        <v>220200</v>
      </c>
      <c r="Y2" s="147"/>
      <c r="Z2" s="142">
        <v>10183</v>
      </c>
      <c r="AA2" s="147"/>
      <c r="AB2" s="142">
        <v>40.799999999999997</v>
      </c>
      <c r="AC2" s="147"/>
      <c r="AD2" s="142">
        <v>760</v>
      </c>
      <c r="AE2" s="147"/>
      <c r="AF2" s="142">
        <v>9638</v>
      </c>
      <c r="AG2" s="147"/>
    </row>
    <row r="3" spans="1:33" ht="16.5" thickBot="1" x14ac:dyDescent="0.25">
      <c r="A3" s="9">
        <v>44866</v>
      </c>
      <c r="B3" s="144">
        <v>25356.006000000001</v>
      </c>
      <c r="C3" s="43">
        <f t="shared" ref="C3" si="8">IF((B3-B2)&lt;0,"0",(B3-B2))</f>
        <v>5.1419999999998254</v>
      </c>
      <c r="D3" s="28">
        <f t="shared" ref="D3" si="9">C3*1.9*1000</f>
        <v>9769.7999999996682</v>
      </c>
      <c r="E3" s="1">
        <v>4640.8</v>
      </c>
      <c r="F3" s="43">
        <f t="shared" ref="F3" si="10">IF((E3-E2)&lt;0,"0",(E3-E2))</f>
        <v>1.7870000000002619</v>
      </c>
      <c r="G3" s="28">
        <f t="shared" ref="G3" si="11">F3*1.9*1000</f>
        <v>3395.3000000004977</v>
      </c>
      <c r="H3" s="1">
        <v>6448</v>
      </c>
      <c r="I3" s="43">
        <f t="shared" ref="I3" si="12">IF((H3-H2)&lt;0,"0",(H3-H2))</f>
        <v>4</v>
      </c>
      <c r="J3" s="28">
        <f t="shared" ref="J3" si="13">I3*1.9*1000</f>
        <v>7600</v>
      </c>
      <c r="K3" s="7">
        <v>14295.19</v>
      </c>
      <c r="L3" s="43">
        <f t="shared" ref="L3" si="14">IF((K3-K2)&lt;0,"0",(K3-K2))</f>
        <v>0.31999999999970896</v>
      </c>
      <c r="M3" s="28">
        <f t="shared" ref="M3" si="15">L3*1.9*1000</f>
        <v>607.99999999944703</v>
      </c>
      <c r="N3" s="7">
        <v>3853.9569999999999</v>
      </c>
      <c r="O3" s="43">
        <f t="shared" ref="O3" si="16">IF((N3-N2)&lt;0,"0",(N3-N2))</f>
        <v>2.2680000000000291</v>
      </c>
      <c r="P3" s="28">
        <f t="shared" ref="P3" si="17">O3*1.9*1000</f>
        <v>4309.2000000000544</v>
      </c>
      <c r="Q3" s="7">
        <v>5642.27</v>
      </c>
      <c r="R3" s="43">
        <f t="shared" ref="R3" si="18">IF((Q3-Q2)&lt;0,"0",(Q3-Q2))</f>
        <v>1.0400000000008731</v>
      </c>
      <c r="S3" s="28">
        <f t="shared" ref="S3" si="19">R3*1.9*1000</f>
        <v>1976.0000000016589</v>
      </c>
      <c r="T3" s="8">
        <f>C3+F3+I3+L3+O3+R3</f>
        <v>14.557000000000698</v>
      </c>
      <c r="U3" s="30">
        <f t="shared" ref="U3" si="20">T3*1.9*1000</f>
        <v>27658.300000001327</v>
      </c>
      <c r="W3" s="141">
        <v>44866</v>
      </c>
      <c r="X3" s="142">
        <v>220304</v>
      </c>
      <c r="Y3" s="147">
        <f t="shared" ref="Y3:AG31" si="21">IF((X3-X2)&lt;0,"0",(X3-X2))</f>
        <v>104</v>
      </c>
      <c r="Z3" s="142">
        <v>10188</v>
      </c>
      <c r="AA3" s="147">
        <f t="shared" si="21"/>
        <v>5</v>
      </c>
      <c r="AB3" s="142">
        <v>41</v>
      </c>
      <c r="AC3" s="147">
        <f t="shared" si="21"/>
        <v>0.20000000000000284</v>
      </c>
      <c r="AD3" s="142">
        <v>763</v>
      </c>
      <c r="AE3" s="147">
        <f t="shared" si="21"/>
        <v>3</v>
      </c>
      <c r="AF3" s="142">
        <v>9645</v>
      </c>
      <c r="AG3" s="147">
        <f t="shared" si="21"/>
        <v>7</v>
      </c>
    </row>
    <row r="4" spans="1:33" ht="16.5" thickBot="1" x14ac:dyDescent="0.25">
      <c r="A4" s="9">
        <v>44867</v>
      </c>
      <c r="B4" s="144">
        <v>25362.524000000001</v>
      </c>
      <c r="C4" s="43">
        <f t="shared" ref="C4:C32" si="22">IF((B4-B3)&lt;0,"0",(B4-B3))</f>
        <v>6.5180000000000291</v>
      </c>
      <c r="D4" s="28">
        <f t="shared" ref="D4:D32" si="23">C4*1.9*1000</f>
        <v>12384.200000000055</v>
      </c>
      <c r="E4" s="1">
        <v>4643.0349999999999</v>
      </c>
      <c r="F4" s="43">
        <f t="shared" ref="F4:F32" si="24">IF((E4-E3)&lt;0,"0",(E4-E3))</f>
        <v>2.2349999999996726</v>
      </c>
      <c r="G4" s="28">
        <f t="shared" ref="G4:G32" si="25">F4*1.9*1000</f>
        <v>4246.4999999993779</v>
      </c>
      <c r="H4" s="1">
        <v>6453</v>
      </c>
      <c r="I4" s="43">
        <f t="shared" ref="I4:I32" si="26">IF((H4-H3)&lt;0,"0",(H4-H3))</f>
        <v>5</v>
      </c>
      <c r="J4" s="28">
        <f t="shared" ref="J4:J32" si="27">I4*1.9*1000</f>
        <v>9500</v>
      </c>
      <c r="K4" s="7">
        <v>14295.53</v>
      </c>
      <c r="L4" s="43">
        <f t="shared" ref="L4:L32" si="28">IF((K4-K3)&lt;0,"0",(K4-K3))</f>
        <v>0.34000000000014552</v>
      </c>
      <c r="M4" s="28">
        <f t="shared" ref="M4:M32" si="29">L4*1.9*1000</f>
        <v>646.00000000027649</v>
      </c>
      <c r="N4" s="7">
        <v>3857.1039999999998</v>
      </c>
      <c r="O4" s="43">
        <f t="shared" ref="O4:O32" si="30">IF((N4-N3)&lt;0,"0",(N4-N3))</f>
        <v>3.1469999999999345</v>
      </c>
      <c r="P4" s="28">
        <f t="shared" ref="P4:P32" si="31">O4*1.9*1000</f>
        <v>5979.2999999998747</v>
      </c>
      <c r="Q4" s="7">
        <v>5644.15</v>
      </c>
      <c r="R4" s="43">
        <f t="shared" ref="R4:R32" si="32">IF((Q4-Q3)&lt;0,"0",(Q4-Q3))</f>
        <v>1.8799999999991996</v>
      </c>
      <c r="S4" s="28">
        <f t="shared" ref="S4:S32" si="33">R4*1.9*1000</f>
        <v>3571.9999999984789</v>
      </c>
      <c r="T4" s="8">
        <f>C4+F4+I4+L4+O4+R4</f>
        <v>19.119999999998981</v>
      </c>
      <c r="U4" s="30">
        <f t="shared" ref="U4:U32" si="34">T4*1.9*1000</f>
        <v>36327.999999998065</v>
      </c>
      <c r="W4" s="141">
        <v>44867</v>
      </c>
      <c r="X4" s="142">
        <v>220469</v>
      </c>
      <c r="Y4" s="147">
        <f t="shared" si="21"/>
        <v>165</v>
      </c>
      <c r="Z4" s="142">
        <v>10191</v>
      </c>
      <c r="AA4" s="147">
        <f t="shared" si="21"/>
        <v>3</v>
      </c>
      <c r="AB4" s="142">
        <v>41</v>
      </c>
      <c r="AC4" s="147">
        <f t="shared" si="21"/>
        <v>0</v>
      </c>
      <c r="AD4" s="142">
        <v>765</v>
      </c>
      <c r="AE4" s="147">
        <f t="shared" si="21"/>
        <v>2</v>
      </c>
      <c r="AF4" s="142">
        <v>9657</v>
      </c>
      <c r="AG4" s="147">
        <f t="shared" si="21"/>
        <v>12</v>
      </c>
    </row>
    <row r="5" spans="1:33" ht="16.5" thickBot="1" x14ac:dyDescent="0.25">
      <c r="A5" s="9">
        <v>44868</v>
      </c>
      <c r="B5" s="144">
        <v>25368.29</v>
      </c>
      <c r="C5" s="43">
        <f t="shared" si="22"/>
        <v>5.7659999999996217</v>
      </c>
      <c r="D5" s="28">
        <f t="shared" si="23"/>
        <v>10955.399999999281</v>
      </c>
      <c r="E5" s="1">
        <v>4644.9799999999996</v>
      </c>
      <c r="F5" s="43">
        <f t="shared" si="24"/>
        <v>1.944999999999709</v>
      </c>
      <c r="G5" s="28">
        <f t="shared" si="25"/>
        <v>3695.4999999994466</v>
      </c>
      <c r="H5" s="1">
        <v>6457</v>
      </c>
      <c r="I5" s="43">
        <f t="shared" si="26"/>
        <v>4</v>
      </c>
      <c r="J5" s="28">
        <f t="shared" si="27"/>
        <v>7600</v>
      </c>
      <c r="K5" s="7">
        <v>14295.78</v>
      </c>
      <c r="L5" s="43">
        <f t="shared" si="28"/>
        <v>0.25</v>
      </c>
      <c r="M5" s="28">
        <f t="shared" si="29"/>
        <v>475</v>
      </c>
      <c r="N5" s="7">
        <v>3859.5790000000002</v>
      </c>
      <c r="O5" s="43">
        <f t="shared" si="30"/>
        <v>2.4750000000003638</v>
      </c>
      <c r="P5" s="28">
        <f t="shared" si="31"/>
        <v>4702.5000000006903</v>
      </c>
      <c r="Q5" s="7">
        <v>5645.63</v>
      </c>
      <c r="R5" s="43">
        <f t="shared" si="32"/>
        <v>1.4800000000004729</v>
      </c>
      <c r="S5" s="28">
        <f t="shared" si="33"/>
        <v>2812.0000000008986</v>
      </c>
      <c r="T5" s="8">
        <f>C5+F5+I5+L5+O5+R5</f>
        <v>15.916000000000167</v>
      </c>
      <c r="U5" s="30">
        <f t="shared" si="34"/>
        <v>30240.400000000318</v>
      </c>
      <c r="W5" s="141">
        <v>44868</v>
      </c>
      <c r="X5" s="142">
        <v>220598</v>
      </c>
      <c r="Y5" s="147">
        <f t="shared" si="21"/>
        <v>129</v>
      </c>
      <c r="Z5" s="142">
        <v>10196</v>
      </c>
      <c r="AA5" s="147">
        <f t="shared" si="21"/>
        <v>5</v>
      </c>
      <c r="AB5" s="142">
        <f t="shared" ref="AB5:AB32" si="35">AB4</f>
        <v>41</v>
      </c>
      <c r="AC5" s="147">
        <f t="shared" si="21"/>
        <v>0</v>
      </c>
      <c r="AD5" s="142">
        <v>766</v>
      </c>
      <c r="AE5" s="147">
        <f t="shared" si="21"/>
        <v>1</v>
      </c>
      <c r="AF5" s="142">
        <v>9666</v>
      </c>
      <c r="AG5" s="147">
        <f t="shared" si="21"/>
        <v>9</v>
      </c>
    </row>
    <row r="6" spans="1:33" ht="16.5" thickBot="1" x14ac:dyDescent="0.25">
      <c r="A6" s="9">
        <v>44869</v>
      </c>
      <c r="B6" s="144">
        <v>25371.777999999998</v>
      </c>
      <c r="C6" s="43">
        <f t="shared" si="22"/>
        <v>3.4879999999975553</v>
      </c>
      <c r="D6" s="28">
        <f t="shared" si="23"/>
        <v>6627.199999995355</v>
      </c>
      <c r="E6" s="1">
        <v>4645.4350000000004</v>
      </c>
      <c r="F6" s="43">
        <f t="shared" si="24"/>
        <v>0.45500000000083674</v>
      </c>
      <c r="G6" s="28">
        <f t="shared" si="25"/>
        <v>864.5000000015898</v>
      </c>
      <c r="H6" s="1">
        <v>6460</v>
      </c>
      <c r="I6" s="43">
        <f t="shared" si="26"/>
        <v>3</v>
      </c>
      <c r="J6" s="28">
        <f t="shared" si="27"/>
        <v>5699.9999999999991</v>
      </c>
      <c r="K6" s="7">
        <v>14295.99</v>
      </c>
      <c r="L6" s="43">
        <f t="shared" si="28"/>
        <v>0.20999999999912689</v>
      </c>
      <c r="M6" s="28">
        <f t="shared" si="29"/>
        <v>398.99999999834108</v>
      </c>
      <c r="N6" s="7">
        <v>3861.0459999999998</v>
      </c>
      <c r="O6" s="43">
        <f t="shared" si="30"/>
        <v>1.4669999999996435</v>
      </c>
      <c r="P6" s="28">
        <f t="shared" si="31"/>
        <v>2787.2999999993226</v>
      </c>
      <c r="Q6" s="7">
        <v>5646.32</v>
      </c>
      <c r="R6" s="43">
        <f t="shared" si="32"/>
        <v>0.68999999999959982</v>
      </c>
      <c r="S6" s="28">
        <f t="shared" si="33"/>
        <v>1310.9999999992397</v>
      </c>
      <c r="T6" s="8">
        <f t="shared" ref="T6:T32" si="36">C6+F6+I6+L6+O6+R6</f>
        <v>9.3099999999967622</v>
      </c>
      <c r="U6" s="30">
        <f t="shared" si="34"/>
        <v>17688.999999993848</v>
      </c>
      <c r="W6" s="141">
        <v>44869</v>
      </c>
      <c r="X6" s="142">
        <v>220668</v>
      </c>
      <c r="Y6" s="147">
        <f t="shared" si="21"/>
        <v>70</v>
      </c>
      <c r="Z6" s="142">
        <v>10198</v>
      </c>
      <c r="AA6" s="147">
        <f t="shared" si="21"/>
        <v>2</v>
      </c>
      <c r="AB6" s="142">
        <v>41</v>
      </c>
      <c r="AC6" s="147">
        <f t="shared" si="21"/>
        <v>0</v>
      </c>
      <c r="AD6" s="142">
        <v>769</v>
      </c>
      <c r="AE6" s="147">
        <f t="shared" si="21"/>
        <v>3</v>
      </c>
      <c r="AF6" s="142">
        <v>9672</v>
      </c>
      <c r="AG6" s="147">
        <f t="shared" si="21"/>
        <v>6</v>
      </c>
    </row>
    <row r="7" spans="1:33" ht="16.5" thickBot="1" x14ac:dyDescent="0.25">
      <c r="A7" s="9">
        <v>44870</v>
      </c>
      <c r="B7" s="144">
        <v>25376.912</v>
      </c>
      <c r="C7" s="43">
        <f t="shared" si="22"/>
        <v>5.1340000000018335</v>
      </c>
      <c r="D7" s="28">
        <f t="shared" si="23"/>
        <v>9754.6000000034837</v>
      </c>
      <c r="E7" s="1">
        <v>4646.5590000000002</v>
      </c>
      <c r="F7" s="43">
        <f t="shared" si="24"/>
        <v>1.1239999999997963</v>
      </c>
      <c r="G7" s="28">
        <f t="shared" si="25"/>
        <v>2135.5999999996129</v>
      </c>
      <c r="H7" s="1">
        <v>6464</v>
      </c>
      <c r="I7" s="43">
        <f t="shared" si="26"/>
        <v>4</v>
      </c>
      <c r="J7" s="28">
        <f t="shared" si="27"/>
        <v>7600</v>
      </c>
      <c r="K7" s="7">
        <v>14297.4</v>
      </c>
      <c r="L7" s="43">
        <f t="shared" si="28"/>
        <v>1.4099999999998545</v>
      </c>
      <c r="M7" s="28">
        <f t="shared" si="29"/>
        <v>2678.9999999997235</v>
      </c>
      <c r="N7" s="7">
        <v>3863.402</v>
      </c>
      <c r="O7" s="43">
        <f t="shared" si="30"/>
        <v>2.3560000000002219</v>
      </c>
      <c r="P7" s="28">
        <f t="shared" si="31"/>
        <v>4476.4000000004216</v>
      </c>
      <c r="Q7" s="7">
        <v>5648.4</v>
      </c>
      <c r="R7" s="43">
        <f t="shared" si="32"/>
        <v>2.0799999999999272</v>
      </c>
      <c r="S7" s="28">
        <f t="shared" si="33"/>
        <v>3951.9999999998613</v>
      </c>
      <c r="T7" s="8">
        <f t="shared" si="36"/>
        <v>16.104000000001633</v>
      </c>
      <c r="U7" s="30">
        <f t="shared" si="34"/>
        <v>30597.600000003102</v>
      </c>
      <c r="W7" s="141">
        <v>44870</v>
      </c>
      <c r="X7" s="142">
        <v>220798</v>
      </c>
      <c r="Y7" s="147">
        <f t="shared" si="21"/>
        <v>130</v>
      </c>
      <c r="Z7" s="142">
        <v>10202</v>
      </c>
      <c r="AA7" s="147">
        <f t="shared" si="21"/>
        <v>4</v>
      </c>
      <c r="AB7" s="142">
        <f t="shared" si="35"/>
        <v>41</v>
      </c>
      <c r="AC7" s="147">
        <f t="shared" si="21"/>
        <v>0</v>
      </c>
      <c r="AD7" s="142">
        <v>772</v>
      </c>
      <c r="AE7" s="147">
        <f t="shared" si="21"/>
        <v>3</v>
      </c>
      <c r="AF7" s="142">
        <v>9679</v>
      </c>
      <c r="AG7" s="147">
        <f t="shared" si="21"/>
        <v>7</v>
      </c>
    </row>
    <row r="8" spans="1:33" ht="16.5" thickBot="1" x14ac:dyDescent="0.25">
      <c r="A8" s="9">
        <v>44871</v>
      </c>
      <c r="B8" s="144">
        <v>25381.1</v>
      </c>
      <c r="C8" s="43">
        <f t="shared" si="22"/>
        <v>4.1879999999982829</v>
      </c>
      <c r="D8" s="28">
        <f t="shared" si="23"/>
        <v>7957.1999999967375</v>
      </c>
      <c r="E8" s="1">
        <v>4647.8</v>
      </c>
      <c r="F8" s="43">
        <f t="shared" si="24"/>
        <v>1.2409999999999854</v>
      </c>
      <c r="G8" s="28">
        <f t="shared" si="25"/>
        <v>2357.8999999999724</v>
      </c>
      <c r="H8" s="1">
        <v>6467</v>
      </c>
      <c r="I8" s="43">
        <f t="shared" si="26"/>
        <v>3</v>
      </c>
      <c r="J8" s="28">
        <f t="shared" si="27"/>
        <v>5699.9999999999991</v>
      </c>
      <c r="K8" s="7">
        <v>14298.64</v>
      </c>
      <c r="L8" s="43">
        <f t="shared" si="28"/>
        <v>1.2399999999997817</v>
      </c>
      <c r="M8" s="28">
        <f t="shared" si="29"/>
        <v>2355.9999999995853</v>
      </c>
      <c r="N8" s="7">
        <v>3865.32</v>
      </c>
      <c r="O8" s="43">
        <f t="shared" si="30"/>
        <v>1.9180000000001201</v>
      </c>
      <c r="P8" s="28">
        <f t="shared" si="31"/>
        <v>3644.2000000002281</v>
      </c>
      <c r="Q8" s="7">
        <v>5648.5</v>
      </c>
      <c r="R8" s="43">
        <f t="shared" si="32"/>
        <v>0.1000000000003638</v>
      </c>
      <c r="S8" s="28">
        <f t="shared" si="33"/>
        <v>190.00000000069119</v>
      </c>
      <c r="T8" s="8">
        <f t="shared" si="36"/>
        <v>11.686999999998534</v>
      </c>
      <c r="U8" s="30">
        <f t="shared" si="34"/>
        <v>22205.299999997213</v>
      </c>
      <c r="W8" s="141">
        <v>44871</v>
      </c>
      <c r="X8" s="142">
        <v>220900</v>
      </c>
      <c r="Y8" s="147">
        <f t="shared" si="21"/>
        <v>102</v>
      </c>
      <c r="Z8" s="142">
        <v>10205</v>
      </c>
      <c r="AA8" s="147">
        <f t="shared" si="21"/>
        <v>3</v>
      </c>
      <c r="AB8" s="142">
        <f t="shared" si="35"/>
        <v>41</v>
      </c>
      <c r="AC8" s="147">
        <f t="shared" si="21"/>
        <v>0</v>
      </c>
      <c r="AD8" s="142">
        <v>774</v>
      </c>
      <c r="AE8" s="147">
        <f t="shared" si="21"/>
        <v>2</v>
      </c>
      <c r="AF8" s="142">
        <v>9685</v>
      </c>
      <c r="AG8" s="147">
        <f t="shared" si="21"/>
        <v>6</v>
      </c>
    </row>
    <row r="9" spans="1:33" ht="16.5" thickBot="1" x14ac:dyDescent="0.25">
      <c r="A9" s="9">
        <v>44872</v>
      </c>
      <c r="B9" s="144">
        <f t="shared" ref="B8:B32" si="37">B8</f>
        <v>25381.1</v>
      </c>
      <c r="C9" s="43">
        <f t="shared" si="22"/>
        <v>0</v>
      </c>
      <c r="D9" s="28">
        <f t="shared" si="23"/>
        <v>0</v>
      </c>
      <c r="E9" s="1">
        <f t="shared" ref="E8:E32" si="38">E8</f>
        <v>4647.8</v>
      </c>
      <c r="F9" s="43">
        <f t="shared" si="24"/>
        <v>0</v>
      </c>
      <c r="G9" s="28">
        <f t="shared" si="25"/>
        <v>0</v>
      </c>
      <c r="H9" s="1">
        <f t="shared" ref="H8:H32" si="39">H8</f>
        <v>6467</v>
      </c>
      <c r="I9" s="43">
        <f t="shared" si="26"/>
        <v>0</v>
      </c>
      <c r="J9" s="28">
        <f t="shared" si="27"/>
        <v>0</v>
      </c>
      <c r="K9" s="7">
        <f t="shared" ref="K8:K32" si="40">K8</f>
        <v>14298.64</v>
      </c>
      <c r="L9" s="43">
        <f t="shared" si="28"/>
        <v>0</v>
      </c>
      <c r="M9" s="28">
        <f t="shared" si="29"/>
        <v>0</v>
      </c>
      <c r="N9" s="7">
        <f t="shared" ref="N8:N32" si="41">N8</f>
        <v>3865.32</v>
      </c>
      <c r="O9" s="43">
        <f t="shared" si="30"/>
        <v>0</v>
      </c>
      <c r="P9" s="28">
        <f t="shared" si="31"/>
        <v>0</v>
      </c>
      <c r="Q9" s="7">
        <f t="shared" ref="Q8:Q32" si="42">Q8</f>
        <v>5648.5</v>
      </c>
      <c r="R9" s="43">
        <f t="shared" si="32"/>
        <v>0</v>
      </c>
      <c r="S9" s="28">
        <f t="shared" si="33"/>
        <v>0</v>
      </c>
      <c r="T9" s="8">
        <f t="shared" si="36"/>
        <v>0</v>
      </c>
      <c r="U9" s="30">
        <f t="shared" si="34"/>
        <v>0</v>
      </c>
      <c r="W9" s="141">
        <v>44872</v>
      </c>
      <c r="X9" s="142">
        <f t="shared" ref="X8:X32" si="43">X8</f>
        <v>220900</v>
      </c>
      <c r="Y9" s="147">
        <f t="shared" si="21"/>
        <v>0</v>
      </c>
      <c r="Z9" s="142">
        <f t="shared" ref="Z8:Z32" si="44">Z8</f>
        <v>10205</v>
      </c>
      <c r="AA9" s="147">
        <f t="shared" si="21"/>
        <v>0</v>
      </c>
      <c r="AB9" s="142">
        <f t="shared" si="35"/>
        <v>41</v>
      </c>
      <c r="AC9" s="147">
        <f t="shared" si="21"/>
        <v>0</v>
      </c>
      <c r="AD9" s="142">
        <f t="shared" ref="AD8:AD32" si="45">AD8</f>
        <v>774</v>
      </c>
      <c r="AE9" s="147">
        <f t="shared" si="21"/>
        <v>0</v>
      </c>
      <c r="AF9" s="142">
        <f t="shared" ref="AF8:AF32" si="46">AF8</f>
        <v>9685</v>
      </c>
      <c r="AG9" s="147">
        <f t="shared" si="21"/>
        <v>0</v>
      </c>
    </row>
    <row r="10" spans="1:33" ht="16.5" thickBot="1" x14ac:dyDescent="0.25">
      <c r="A10" s="9">
        <v>44873</v>
      </c>
      <c r="B10" s="144">
        <f t="shared" si="37"/>
        <v>25381.1</v>
      </c>
      <c r="C10" s="43">
        <f t="shared" si="22"/>
        <v>0</v>
      </c>
      <c r="D10" s="28">
        <f t="shared" si="23"/>
        <v>0</v>
      </c>
      <c r="E10" s="1">
        <f t="shared" si="38"/>
        <v>4647.8</v>
      </c>
      <c r="F10" s="43">
        <f t="shared" si="24"/>
        <v>0</v>
      </c>
      <c r="G10" s="28">
        <f t="shared" si="25"/>
        <v>0</v>
      </c>
      <c r="H10" s="1">
        <f t="shared" si="39"/>
        <v>6467</v>
      </c>
      <c r="I10" s="43">
        <f t="shared" si="26"/>
        <v>0</v>
      </c>
      <c r="J10" s="28">
        <f t="shared" si="27"/>
        <v>0</v>
      </c>
      <c r="K10" s="7">
        <f t="shared" si="40"/>
        <v>14298.64</v>
      </c>
      <c r="L10" s="43">
        <f t="shared" si="28"/>
        <v>0</v>
      </c>
      <c r="M10" s="28">
        <f t="shared" si="29"/>
        <v>0</v>
      </c>
      <c r="N10" s="7">
        <f t="shared" si="41"/>
        <v>3865.32</v>
      </c>
      <c r="O10" s="43">
        <f>IF((N10-N9)&lt;0,"0",(N10-N9))</f>
        <v>0</v>
      </c>
      <c r="P10" s="28">
        <f t="shared" si="31"/>
        <v>0</v>
      </c>
      <c r="Q10" s="7">
        <f t="shared" si="42"/>
        <v>5648.5</v>
      </c>
      <c r="R10" s="43">
        <f t="shared" si="32"/>
        <v>0</v>
      </c>
      <c r="S10" s="28">
        <f t="shared" si="33"/>
        <v>0</v>
      </c>
      <c r="T10" s="8">
        <f t="shared" si="36"/>
        <v>0</v>
      </c>
      <c r="U10" s="30">
        <f t="shared" si="34"/>
        <v>0</v>
      </c>
      <c r="W10" s="141">
        <v>44873</v>
      </c>
      <c r="X10" s="142">
        <f t="shared" si="43"/>
        <v>220900</v>
      </c>
      <c r="Y10" s="147">
        <f t="shared" si="21"/>
        <v>0</v>
      </c>
      <c r="Z10" s="142">
        <f t="shared" si="44"/>
        <v>10205</v>
      </c>
      <c r="AA10" s="147">
        <f t="shared" si="21"/>
        <v>0</v>
      </c>
      <c r="AB10" s="142">
        <f t="shared" si="35"/>
        <v>41</v>
      </c>
      <c r="AC10" s="147">
        <f t="shared" si="21"/>
        <v>0</v>
      </c>
      <c r="AD10" s="142">
        <f t="shared" si="45"/>
        <v>774</v>
      </c>
      <c r="AE10" s="147">
        <f t="shared" si="21"/>
        <v>0</v>
      </c>
      <c r="AF10" s="142">
        <f t="shared" si="46"/>
        <v>9685</v>
      </c>
      <c r="AG10" s="147">
        <f t="shared" si="21"/>
        <v>0</v>
      </c>
    </row>
    <row r="11" spans="1:33" ht="16.5" thickBot="1" x14ac:dyDescent="0.25">
      <c r="A11" s="9">
        <v>44874</v>
      </c>
      <c r="B11" s="144">
        <f t="shared" si="37"/>
        <v>25381.1</v>
      </c>
      <c r="C11" s="43">
        <f t="shared" si="22"/>
        <v>0</v>
      </c>
      <c r="D11" s="28">
        <f t="shared" si="23"/>
        <v>0</v>
      </c>
      <c r="E11" s="1">
        <f t="shared" si="38"/>
        <v>4647.8</v>
      </c>
      <c r="F11" s="43">
        <f t="shared" si="24"/>
        <v>0</v>
      </c>
      <c r="G11" s="28">
        <f t="shared" si="25"/>
        <v>0</v>
      </c>
      <c r="H11" s="1">
        <f t="shared" si="39"/>
        <v>6467</v>
      </c>
      <c r="I11" s="43">
        <f t="shared" si="26"/>
        <v>0</v>
      </c>
      <c r="J11" s="28">
        <f t="shared" si="27"/>
        <v>0</v>
      </c>
      <c r="K11" s="7">
        <f t="shared" si="40"/>
        <v>14298.64</v>
      </c>
      <c r="L11" s="43">
        <f t="shared" si="28"/>
        <v>0</v>
      </c>
      <c r="M11" s="28">
        <f t="shared" si="29"/>
        <v>0</v>
      </c>
      <c r="N11" s="7">
        <f t="shared" si="41"/>
        <v>3865.32</v>
      </c>
      <c r="O11" s="43">
        <f t="shared" si="30"/>
        <v>0</v>
      </c>
      <c r="P11" s="28">
        <f t="shared" si="31"/>
        <v>0</v>
      </c>
      <c r="Q11" s="7">
        <f t="shared" si="42"/>
        <v>5648.5</v>
      </c>
      <c r="R11" s="43">
        <f t="shared" si="32"/>
        <v>0</v>
      </c>
      <c r="S11" s="28">
        <f t="shared" si="33"/>
        <v>0</v>
      </c>
      <c r="T11" s="8">
        <f t="shared" si="36"/>
        <v>0</v>
      </c>
      <c r="U11" s="30">
        <f t="shared" si="34"/>
        <v>0</v>
      </c>
      <c r="W11" s="141">
        <v>44874</v>
      </c>
      <c r="X11" s="142">
        <f t="shared" si="43"/>
        <v>220900</v>
      </c>
      <c r="Y11" s="147">
        <f t="shared" si="21"/>
        <v>0</v>
      </c>
      <c r="Z11" s="142">
        <f t="shared" si="44"/>
        <v>10205</v>
      </c>
      <c r="AA11" s="147">
        <f t="shared" si="21"/>
        <v>0</v>
      </c>
      <c r="AB11" s="142">
        <f t="shared" si="35"/>
        <v>41</v>
      </c>
      <c r="AC11" s="147">
        <f t="shared" si="21"/>
        <v>0</v>
      </c>
      <c r="AD11" s="142">
        <f t="shared" si="45"/>
        <v>774</v>
      </c>
      <c r="AE11" s="147">
        <f t="shared" si="21"/>
        <v>0</v>
      </c>
      <c r="AF11" s="142">
        <f t="shared" si="46"/>
        <v>9685</v>
      </c>
      <c r="AG11" s="147">
        <f t="shared" si="21"/>
        <v>0</v>
      </c>
    </row>
    <row r="12" spans="1:33" ht="16.5" thickBot="1" x14ac:dyDescent="0.25">
      <c r="A12" s="9">
        <v>44875</v>
      </c>
      <c r="B12" s="144">
        <f t="shared" si="37"/>
        <v>25381.1</v>
      </c>
      <c r="C12" s="43">
        <f t="shared" si="22"/>
        <v>0</v>
      </c>
      <c r="D12" s="28">
        <f t="shared" si="23"/>
        <v>0</v>
      </c>
      <c r="E12" s="1">
        <f t="shared" si="38"/>
        <v>4647.8</v>
      </c>
      <c r="F12" s="43">
        <f t="shared" si="24"/>
        <v>0</v>
      </c>
      <c r="G12" s="28">
        <f t="shared" si="25"/>
        <v>0</v>
      </c>
      <c r="H12" s="1">
        <f t="shared" si="39"/>
        <v>6467</v>
      </c>
      <c r="I12" s="43">
        <f t="shared" si="26"/>
        <v>0</v>
      </c>
      <c r="J12" s="28">
        <f t="shared" si="27"/>
        <v>0</v>
      </c>
      <c r="K12" s="7">
        <f t="shared" si="40"/>
        <v>14298.64</v>
      </c>
      <c r="L12" s="43">
        <f t="shared" si="28"/>
        <v>0</v>
      </c>
      <c r="M12" s="28">
        <f t="shared" si="29"/>
        <v>0</v>
      </c>
      <c r="N12" s="7">
        <f t="shared" si="41"/>
        <v>3865.32</v>
      </c>
      <c r="O12" s="43">
        <f t="shared" si="30"/>
        <v>0</v>
      </c>
      <c r="P12" s="28">
        <f t="shared" si="31"/>
        <v>0</v>
      </c>
      <c r="Q12" s="7">
        <f t="shared" si="42"/>
        <v>5648.5</v>
      </c>
      <c r="R12" s="43">
        <f t="shared" si="32"/>
        <v>0</v>
      </c>
      <c r="S12" s="28">
        <f t="shared" si="33"/>
        <v>0</v>
      </c>
      <c r="T12" s="8">
        <f t="shared" si="36"/>
        <v>0</v>
      </c>
      <c r="U12" s="30">
        <f t="shared" si="34"/>
        <v>0</v>
      </c>
      <c r="W12" s="141">
        <v>44875</v>
      </c>
      <c r="X12" s="142">
        <f t="shared" si="43"/>
        <v>220900</v>
      </c>
      <c r="Y12" s="147">
        <f t="shared" si="21"/>
        <v>0</v>
      </c>
      <c r="Z12" s="142">
        <f t="shared" si="44"/>
        <v>10205</v>
      </c>
      <c r="AA12" s="147">
        <f t="shared" si="21"/>
        <v>0</v>
      </c>
      <c r="AB12" s="142">
        <f t="shared" si="35"/>
        <v>41</v>
      </c>
      <c r="AC12" s="147">
        <f t="shared" si="21"/>
        <v>0</v>
      </c>
      <c r="AD12" s="142">
        <f t="shared" si="45"/>
        <v>774</v>
      </c>
      <c r="AE12" s="147">
        <f t="shared" si="21"/>
        <v>0</v>
      </c>
      <c r="AF12" s="142">
        <f t="shared" si="46"/>
        <v>9685</v>
      </c>
      <c r="AG12" s="147">
        <f t="shared" si="21"/>
        <v>0</v>
      </c>
    </row>
    <row r="13" spans="1:33" ht="16.5" thickBot="1" x14ac:dyDescent="0.25">
      <c r="A13" s="9">
        <v>44876</v>
      </c>
      <c r="B13" s="144">
        <f t="shared" si="37"/>
        <v>25381.1</v>
      </c>
      <c r="C13" s="43">
        <f t="shared" si="22"/>
        <v>0</v>
      </c>
      <c r="D13" s="28">
        <f t="shared" si="23"/>
        <v>0</v>
      </c>
      <c r="E13" s="1">
        <f t="shared" si="38"/>
        <v>4647.8</v>
      </c>
      <c r="F13" s="43">
        <f t="shared" si="24"/>
        <v>0</v>
      </c>
      <c r="G13" s="28">
        <f t="shared" si="25"/>
        <v>0</v>
      </c>
      <c r="H13" s="1">
        <f t="shared" si="39"/>
        <v>6467</v>
      </c>
      <c r="I13" s="43">
        <f t="shared" si="26"/>
        <v>0</v>
      </c>
      <c r="J13" s="28">
        <f t="shared" si="27"/>
        <v>0</v>
      </c>
      <c r="K13" s="7">
        <f t="shared" si="40"/>
        <v>14298.64</v>
      </c>
      <c r="L13" s="43">
        <f t="shared" si="28"/>
        <v>0</v>
      </c>
      <c r="M13" s="28">
        <f t="shared" si="29"/>
        <v>0</v>
      </c>
      <c r="N13" s="7">
        <f t="shared" si="41"/>
        <v>3865.32</v>
      </c>
      <c r="O13" s="43">
        <f t="shared" si="30"/>
        <v>0</v>
      </c>
      <c r="P13" s="28">
        <f t="shared" si="31"/>
        <v>0</v>
      </c>
      <c r="Q13" s="7">
        <f t="shared" si="42"/>
        <v>5648.5</v>
      </c>
      <c r="R13" s="43">
        <f t="shared" si="32"/>
        <v>0</v>
      </c>
      <c r="S13" s="28">
        <f t="shared" si="33"/>
        <v>0</v>
      </c>
      <c r="T13" s="8">
        <f t="shared" si="36"/>
        <v>0</v>
      </c>
      <c r="U13" s="30">
        <f t="shared" si="34"/>
        <v>0</v>
      </c>
      <c r="W13" s="141">
        <v>44876</v>
      </c>
      <c r="X13" s="142">
        <f t="shared" si="43"/>
        <v>220900</v>
      </c>
      <c r="Y13" s="147">
        <f t="shared" si="21"/>
        <v>0</v>
      </c>
      <c r="Z13" s="142">
        <f t="shared" si="44"/>
        <v>10205</v>
      </c>
      <c r="AA13" s="147">
        <f t="shared" si="21"/>
        <v>0</v>
      </c>
      <c r="AB13" s="142">
        <f t="shared" si="35"/>
        <v>41</v>
      </c>
      <c r="AC13" s="147">
        <f t="shared" si="21"/>
        <v>0</v>
      </c>
      <c r="AD13" s="142">
        <f t="shared" si="45"/>
        <v>774</v>
      </c>
      <c r="AE13" s="147">
        <f t="shared" si="21"/>
        <v>0</v>
      </c>
      <c r="AF13" s="142">
        <f t="shared" si="46"/>
        <v>9685</v>
      </c>
      <c r="AG13" s="147">
        <f t="shared" si="21"/>
        <v>0</v>
      </c>
    </row>
    <row r="14" spans="1:33" ht="16.5" thickBot="1" x14ac:dyDescent="0.25">
      <c r="A14" s="9">
        <v>44877</v>
      </c>
      <c r="B14" s="144">
        <f t="shared" si="37"/>
        <v>25381.1</v>
      </c>
      <c r="C14" s="43">
        <f t="shared" si="22"/>
        <v>0</v>
      </c>
      <c r="D14" s="28">
        <f t="shared" si="23"/>
        <v>0</v>
      </c>
      <c r="E14" s="1">
        <f t="shared" si="38"/>
        <v>4647.8</v>
      </c>
      <c r="F14" s="43">
        <f t="shared" si="24"/>
        <v>0</v>
      </c>
      <c r="G14" s="28">
        <f t="shared" si="25"/>
        <v>0</v>
      </c>
      <c r="H14" s="1">
        <f t="shared" si="39"/>
        <v>6467</v>
      </c>
      <c r="I14" s="43">
        <f t="shared" si="26"/>
        <v>0</v>
      </c>
      <c r="J14" s="28">
        <f t="shared" si="27"/>
        <v>0</v>
      </c>
      <c r="K14" s="7">
        <f t="shared" si="40"/>
        <v>14298.64</v>
      </c>
      <c r="L14" s="43">
        <f t="shared" si="28"/>
        <v>0</v>
      </c>
      <c r="M14" s="28">
        <f t="shared" si="29"/>
        <v>0</v>
      </c>
      <c r="N14" s="7">
        <f t="shared" si="41"/>
        <v>3865.32</v>
      </c>
      <c r="O14" s="43">
        <f>IF((N14-N13)&lt;0,"0",(N14-N13))</f>
        <v>0</v>
      </c>
      <c r="P14" s="28">
        <f t="shared" si="31"/>
        <v>0</v>
      </c>
      <c r="Q14" s="7">
        <f t="shared" si="42"/>
        <v>5648.5</v>
      </c>
      <c r="R14" s="43">
        <f t="shared" si="32"/>
        <v>0</v>
      </c>
      <c r="S14" s="28">
        <f t="shared" si="33"/>
        <v>0</v>
      </c>
      <c r="T14" s="8">
        <f t="shared" si="36"/>
        <v>0</v>
      </c>
      <c r="U14" s="30">
        <f t="shared" si="34"/>
        <v>0</v>
      </c>
      <c r="W14" s="141">
        <v>44877</v>
      </c>
      <c r="X14" s="142">
        <f t="shared" si="43"/>
        <v>220900</v>
      </c>
      <c r="Y14" s="147">
        <f t="shared" si="21"/>
        <v>0</v>
      </c>
      <c r="Z14" s="142">
        <f t="shared" si="44"/>
        <v>10205</v>
      </c>
      <c r="AA14" s="147">
        <f t="shared" si="21"/>
        <v>0</v>
      </c>
      <c r="AB14" s="142">
        <f t="shared" si="35"/>
        <v>41</v>
      </c>
      <c r="AC14" s="147">
        <f t="shared" si="21"/>
        <v>0</v>
      </c>
      <c r="AD14" s="142">
        <f t="shared" si="45"/>
        <v>774</v>
      </c>
      <c r="AE14" s="147">
        <f t="shared" si="21"/>
        <v>0</v>
      </c>
      <c r="AF14" s="142">
        <f t="shared" si="46"/>
        <v>9685</v>
      </c>
      <c r="AG14" s="147">
        <f t="shared" si="21"/>
        <v>0</v>
      </c>
    </row>
    <row r="15" spans="1:33" ht="16.5" thickBot="1" x14ac:dyDescent="0.25">
      <c r="A15" s="9">
        <v>44878</v>
      </c>
      <c r="B15" s="144">
        <f t="shared" si="37"/>
        <v>25381.1</v>
      </c>
      <c r="C15" s="43">
        <f t="shared" ref="C15" si="47">IF((B15-B14)&lt;0,"0",(B15-B14))</f>
        <v>0</v>
      </c>
      <c r="D15" s="28">
        <f t="shared" ref="D15" si="48">C15*1.9*1000</f>
        <v>0</v>
      </c>
      <c r="E15" s="1">
        <f t="shared" si="38"/>
        <v>4647.8</v>
      </c>
      <c r="F15" s="43">
        <f t="shared" ref="F15" si="49">IF((E15-E14)&lt;0,"0",(E15-E14))</f>
        <v>0</v>
      </c>
      <c r="G15" s="28">
        <f t="shared" ref="G15" si="50">F15*1.9*1000</f>
        <v>0</v>
      </c>
      <c r="H15" s="1">
        <f t="shared" si="39"/>
        <v>6467</v>
      </c>
      <c r="I15" s="43">
        <f t="shared" ref="I15" si="51">IF((H15-H14)&lt;0,"0",(H15-H14))</f>
        <v>0</v>
      </c>
      <c r="J15" s="28">
        <f t="shared" ref="J15" si="52">I15*1.9*1000</f>
        <v>0</v>
      </c>
      <c r="K15" s="7">
        <f t="shared" si="40"/>
        <v>14298.64</v>
      </c>
      <c r="L15" s="43">
        <f t="shared" ref="L15" si="53">IF((K15-K14)&lt;0,"0",(K15-K14))</f>
        <v>0</v>
      </c>
      <c r="M15" s="28">
        <f t="shared" ref="M15" si="54">L15*1.9*1000</f>
        <v>0</v>
      </c>
      <c r="N15" s="7">
        <f t="shared" si="41"/>
        <v>3865.32</v>
      </c>
      <c r="O15" s="43">
        <f>IF((N15-N14)&lt;0,"0",(N15-N14))</f>
        <v>0</v>
      </c>
      <c r="P15" s="28">
        <f t="shared" ref="P15" si="55">O15*1.9*1000</f>
        <v>0</v>
      </c>
      <c r="Q15" s="7">
        <f t="shared" si="42"/>
        <v>5648.5</v>
      </c>
      <c r="R15" s="43">
        <f t="shared" ref="R15" si="56">IF((Q15-Q14)&lt;0,"0",(Q15-Q14))</f>
        <v>0</v>
      </c>
      <c r="S15" s="28">
        <f t="shared" ref="S15" si="57">R15*1.9*1000</f>
        <v>0</v>
      </c>
      <c r="T15" s="8">
        <f t="shared" ref="T15" si="58">C15+F15+I15+L15+O15+R15</f>
        <v>0</v>
      </c>
      <c r="U15" s="30">
        <f t="shared" ref="U15" si="59">T15*1.9*1000</f>
        <v>0</v>
      </c>
      <c r="W15" s="141">
        <v>44878</v>
      </c>
      <c r="X15" s="142">
        <f t="shared" si="43"/>
        <v>220900</v>
      </c>
      <c r="Y15" s="147">
        <f t="shared" si="21"/>
        <v>0</v>
      </c>
      <c r="Z15" s="142">
        <f t="shared" si="44"/>
        <v>10205</v>
      </c>
      <c r="AA15" s="147">
        <f t="shared" si="21"/>
        <v>0</v>
      </c>
      <c r="AB15" s="142">
        <f t="shared" si="35"/>
        <v>41</v>
      </c>
      <c r="AC15" s="147">
        <f t="shared" si="21"/>
        <v>0</v>
      </c>
      <c r="AD15" s="142">
        <f t="shared" si="45"/>
        <v>774</v>
      </c>
      <c r="AE15" s="147">
        <f t="shared" si="21"/>
        <v>0</v>
      </c>
      <c r="AF15" s="142">
        <f t="shared" si="46"/>
        <v>9685</v>
      </c>
      <c r="AG15" s="147">
        <f t="shared" si="21"/>
        <v>0</v>
      </c>
    </row>
    <row r="16" spans="1:33" ht="16.5" thickBot="1" x14ac:dyDescent="0.25">
      <c r="A16" s="9">
        <v>44879</v>
      </c>
      <c r="B16" s="144">
        <f t="shared" si="37"/>
        <v>25381.1</v>
      </c>
      <c r="C16" s="43">
        <f t="shared" si="22"/>
        <v>0</v>
      </c>
      <c r="D16" s="28">
        <f t="shared" si="23"/>
        <v>0</v>
      </c>
      <c r="E16" s="1">
        <f t="shared" si="38"/>
        <v>4647.8</v>
      </c>
      <c r="F16" s="43">
        <f t="shared" si="24"/>
        <v>0</v>
      </c>
      <c r="G16" s="28">
        <f t="shared" si="25"/>
        <v>0</v>
      </c>
      <c r="H16" s="1">
        <f t="shared" si="39"/>
        <v>6467</v>
      </c>
      <c r="I16" s="43">
        <f t="shared" si="26"/>
        <v>0</v>
      </c>
      <c r="J16" s="28">
        <f t="shared" si="27"/>
        <v>0</v>
      </c>
      <c r="K16" s="7">
        <f t="shared" si="40"/>
        <v>14298.64</v>
      </c>
      <c r="L16" s="43">
        <f t="shared" si="28"/>
        <v>0</v>
      </c>
      <c r="M16" s="28">
        <f t="shared" si="29"/>
        <v>0</v>
      </c>
      <c r="N16" s="7">
        <f t="shared" si="41"/>
        <v>3865.32</v>
      </c>
      <c r="O16" s="43">
        <f t="shared" si="30"/>
        <v>0</v>
      </c>
      <c r="P16" s="28">
        <f t="shared" si="31"/>
        <v>0</v>
      </c>
      <c r="Q16" s="7">
        <f t="shared" si="42"/>
        <v>5648.5</v>
      </c>
      <c r="R16" s="43">
        <f t="shared" si="32"/>
        <v>0</v>
      </c>
      <c r="S16" s="28">
        <f t="shared" si="33"/>
        <v>0</v>
      </c>
      <c r="T16" s="8">
        <f t="shared" si="36"/>
        <v>0</v>
      </c>
      <c r="U16" s="30">
        <f t="shared" si="34"/>
        <v>0</v>
      </c>
      <c r="W16" s="141">
        <v>44879</v>
      </c>
      <c r="X16" s="142">
        <f t="shared" si="43"/>
        <v>220900</v>
      </c>
      <c r="Y16" s="147">
        <f t="shared" si="21"/>
        <v>0</v>
      </c>
      <c r="Z16" s="142">
        <f t="shared" si="44"/>
        <v>10205</v>
      </c>
      <c r="AA16" s="147">
        <f t="shared" si="21"/>
        <v>0</v>
      </c>
      <c r="AB16" s="142">
        <f t="shared" si="35"/>
        <v>41</v>
      </c>
      <c r="AC16" s="147">
        <f t="shared" si="21"/>
        <v>0</v>
      </c>
      <c r="AD16" s="142">
        <f t="shared" si="45"/>
        <v>774</v>
      </c>
      <c r="AE16" s="147">
        <f t="shared" si="21"/>
        <v>0</v>
      </c>
      <c r="AF16" s="142">
        <f t="shared" si="46"/>
        <v>9685</v>
      </c>
      <c r="AG16" s="147">
        <f t="shared" si="21"/>
        <v>0</v>
      </c>
    </row>
    <row r="17" spans="1:33" ht="16.5" thickBot="1" x14ac:dyDescent="0.25">
      <c r="A17" s="9">
        <v>44880</v>
      </c>
      <c r="B17" s="144">
        <f t="shared" si="37"/>
        <v>25381.1</v>
      </c>
      <c r="C17" s="43">
        <f t="shared" si="22"/>
        <v>0</v>
      </c>
      <c r="D17" s="28">
        <f t="shared" si="23"/>
        <v>0</v>
      </c>
      <c r="E17" s="1">
        <f t="shared" si="38"/>
        <v>4647.8</v>
      </c>
      <c r="F17" s="43">
        <f t="shared" si="24"/>
        <v>0</v>
      </c>
      <c r="G17" s="28">
        <f t="shared" si="25"/>
        <v>0</v>
      </c>
      <c r="H17" s="1">
        <f t="shared" si="39"/>
        <v>6467</v>
      </c>
      <c r="I17" s="43">
        <f t="shared" si="26"/>
        <v>0</v>
      </c>
      <c r="J17" s="28">
        <f t="shared" si="27"/>
        <v>0</v>
      </c>
      <c r="K17" s="7">
        <f t="shared" si="40"/>
        <v>14298.64</v>
      </c>
      <c r="L17" s="43">
        <f t="shared" si="28"/>
        <v>0</v>
      </c>
      <c r="M17" s="28">
        <f t="shared" si="29"/>
        <v>0</v>
      </c>
      <c r="N17" s="7">
        <f t="shared" si="41"/>
        <v>3865.32</v>
      </c>
      <c r="O17" s="43">
        <f t="shared" si="30"/>
        <v>0</v>
      </c>
      <c r="P17" s="28">
        <f t="shared" si="31"/>
        <v>0</v>
      </c>
      <c r="Q17" s="7">
        <f t="shared" si="42"/>
        <v>5648.5</v>
      </c>
      <c r="R17" s="43">
        <f t="shared" si="32"/>
        <v>0</v>
      </c>
      <c r="S17" s="28">
        <f t="shared" si="33"/>
        <v>0</v>
      </c>
      <c r="T17" s="8">
        <f t="shared" si="36"/>
        <v>0</v>
      </c>
      <c r="U17" s="30">
        <f t="shared" si="34"/>
        <v>0</v>
      </c>
      <c r="W17" s="141">
        <v>44880</v>
      </c>
      <c r="X17" s="142">
        <f t="shared" si="43"/>
        <v>220900</v>
      </c>
      <c r="Y17" s="147">
        <f t="shared" si="21"/>
        <v>0</v>
      </c>
      <c r="Z17" s="142">
        <f t="shared" si="44"/>
        <v>10205</v>
      </c>
      <c r="AA17" s="147">
        <f t="shared" si="21"/>
        <v>0</v>
      </c>
      <c r="AB17" s="142">
        <f t="shared" si="35"/>
        <v>41</v>
      </c>
      <c r="AC17" s="147">
        <f t="shared" si="21"/>
        <v>0</v>
      </c>
      <c r="AD17" s="142">
        <f t="shared" si="45"/>
        <v>774</v>
      </c>
      <c r="AE17" s="147">
        <f t="shared" si="21"/>
        <v>0</v>
      </c>
      <c r="AF17" s="142">
        <f t="shared" si="46"/>
        <v>9685</v>
      </c>
      <c r="AG17" s="147">
        <f t="shared" si="21"/>
        <v>0</v>
      </c>
    </row>
    <row r="18" spans="1:33" ht="16.5" thickBot="1" x14ac:dyDescent="0.25">
      <c r="A18" s="9">
        <v>44881</v>
      </c>
      <c r="B18" s="144">
        <f t="shared" si="37"/>
        <v>25381.1</v>
      </c>
      <c r="C18" s="43">
        <f t="shared" si="22"/>
        <v>0</v>
      </c>
      <c r="D18" s="28">
        <f t="shared" si="23"/>
        <v>0</v>
      </c>
      <c r="E18" s="1">
        <f t="shared" si="38"/>
        <v>4647.8</v>
      </c>
      <c r="F18" s="43">
        <f t="shared" si="24"/>
        <v>0</v>
      </c>
      <c r="G18" s="28">
        <f t="shared" si="25"/>
        <v>0</v>
      </c>
      <c r="H18" s="1">
        <f t="shared" si="39"/>
        <v>6467</v>
      </c>
      <c r="I18" s="43">
        <f t="shared" si="26"/>
        <v>0</v>
      </c>
      <c r="J18" s="28">
        <f t="shared" si="27"/>
        <v>0</v>
      </c>
      <c r="K18" s="7">
        <f t="shared" si="40"/>
        <v>14298.64</v>
      </c>
      <c r="L18" s="43">
        <f t="shared" si="28"/>
        <v>0</v>
      </c>
      <c r="M18" s="28">
        <f t="shared" si="29"/>
        <v>0</v>
      </c>
      <c r="N18" s="7">
        <f t="shared" si="41"/>
        <v>3865.32</v>
      </c>
      <c r="O18" s="43">
        <f t="shared" si="30"/>
        <v>0</v>
      </c>
      <c r="P18" s="28">
        <f t="shared" si="31"/>
        <v>0</v>
      </c>
      <c r="Q18" s="7">
        <f t="shared" si="42"/>
        <v>5648.5</v>
      </c>
      <c r="R18" s="43">
        <f t="shared" si="32"/>
        <v>0</v>
      </c>
      <c r="S18" s="28">
        <f t="shared" si="33"/>
        <v>0</v>
      </c>
      <c r="T18" s="8">
        <f t="shared" si="36"/>
        <v>0</v>
      </c>
      <c r="U18" s="30">
        <f t="shared" si="34"/>
        <v>0</v>
      </c>
      <c r="W18" s="141">
        <v>44881</v>
      </c>
      <c r="X18" s="142">
        <f t="shared" si="43"/>
        <v>220900</v>
      </c>
      <c r="Y18" s="147">
        <f t="shared" si="21"/>
        <v>0</v>
      </c>
      <c r="Z18" s="142">
        <f t="shared" si="44"/>
        <v>10205</v>
      </c>
      <c r="AA18" s="147">
        <f t="shared" si="21"/>
        <v>0</v>
      </c>
      <c r="AB18" s="142">
        <f t="shared" si="35"/>
        <v>41</v>
      </c>
      <c r="AC18" s="147">
        <f t="shared" si="21"/>
        <v>0</v>
      </c>
      <c r="AD18" s="142">
        <f t="shared" si="45"/>
        <v>774</v>
      </c>
      <c r="AE18" s="147">
        <f t="shared" si="21"/>
        <v>0</v>
      </c>
      <c r="AF18" s="142">
        <f t="shared" si="46"/>
        <v>9685</v>
      </c>
      <c r="AG18" s="147">
        <f t="shared" si="21"/>
        <v>0</v>
      </c>
    </row>
    <row r="19" spans="1:33" ht="16.5" thickBot="1" x14ac:dyDescent="0.25">
      <c r="A19" s="9">
        <v>44882</v>
      </c>
      <c r="B19" s="144">
        <f t="shared" si="37"/>
        <v>25381.1</v>
      </c>
      <c r="C19" s="43">
        <f t="shared" si="22"/>
        <v>0</v>
      </c>
      <c r="D19" s="28">
        <f t="shared" si="23"/>
        <v>0</v>
      </c>
      <c r="E19" s="1">
        <f t="shared" si="38"/>
        <v>4647.8</v>
      </c>
      <c r="F19" s="43">
        <f t="shared" si="24"/>
        <v>0</v>
      </c>
      <c r="G19" s="28">
        <f t="shared" si="25"/>
        <v>0</v>
      </c>
      <c r="H19" s="1">
        <f t="shared" si="39"/>
        <v>6467</v>
      </c>
      <c r="I19" s="43">
        <f t="shared" si="26"/>
        <v>0</v>
      </c>
      <c r="J19" s="28">
        <f t="shared" si="27"/>
        <v>0</v>
      </c>
      <c r="K19" s="7">
        <f t="shared" si="40"/>
        <v>14298.64</v>
      </c>
      <c r="L19" s="43">
        <f t="shared" si="28"/>
        <v>0</v>
      </c>
      <c r="M19" s="28">
        <f t="shared" si="29"/>
        <v>0</v>
      </c>
      <c r="N19" s="7">
        <f t="shared" si="41"/>
        <v>3865.32</v>
      </c>
      <c r="O19" s="43">
        <f t="shared" si="30"/>
        <v>0</v>
      </c>
      <c r="P19" s="28">
        <f t="shared" si="31"/>
        <v>0</v>
      </c>
      <c r="Q19" s="7">
        <f t="shared" si="42"/>
        <v>5648.5</v>
      </c>
      <c r="R19" s="43">
        <f t="shared" si="32"/>
        <v>0</v>
      </c>
      <c r="S19" s="28">
        <f t="shared" si="33"/>
        <v>0</v>
      </c>
      <c r="T19" s="8">
        <f t="shared" si="36"/>
        <v>0</v>
      </c>
      <c r="U19" s="30">
        <f t="shared" si="34"/>
        <v>0</v>
      </c>
      <c r="W19" s="141">
        <v>44882</v>
      </c>
      <c r="X19" s="142">
        <f t="shared" si="43"/>
        <v>220900</v>
      </c>
      <c r="Y19" s="147">
        <f t="shared" si="21"/>
        <v>0</v>
      </c>
      <c r="Z19" s="142">
        <f t="shared" si="44"/>
        <v>10205</v>
      </c>
      <c r="AA19" s="147">
        <f t="shared" si="21"/>
        <v>0</v>
      </c>
      <c r="AB19" s="142">
        <f t="shared" si="35"/>
        <v>41</v>
      </c>
      <c r="AC19" s="147">
        <f t="shared" si="21"/>
        <v>0</v>
      </c>
      <c r="AD19" s="142">
        <f t="shared" si="45"/>
        <v>774</v>
      </c>
      <c r="AE19" s="147">
        <f t="shared" si="21"/>
        <v>0</v>
      </c>
      <c r="AF19" s="142">
        <f t="shared" si="46"/>
        <v>9685</v>
      </c>
      <c r="AG19" s="147">
        <f t="shared" si="21"/>
        <v>0</v>
      </c>
    </row>
    <row r="20" spans="1:33" ht="16.5" thickBot="1" x14ac:dyDescent="0.25">
      <c r="A20" s="9">
        <v>44883</v>
      </c>
      <c r="B20" s="144">
        <f t="shared" si="37"/>
        <v>25381.1</v>
      </c>
      <c r="C20" s="43">
        <f t="shared" si="22"/>
        <v>0</v>
      </c>
      <c r="D20" s="28">
        <f t="shared" si="23"/>
        <v>0</v>
      </c>
      <c r="E20" s="1">
        <f t="shared" si="38"/>
        <v>4647.8</v>
      </c>
      <c r="F20" s="43">
        <f t="shared" si="24"/>
        <v>0</v>
      </c>
      <c r="G20" s="28">
        <f t="shared" si="25"/>
        <v>0</v>
      </c>
      <c r="H20" s="1">
        <f t="shared" si="39"/>
        <v>6467</v>
      </c>
      <c r="I20" s="43">
        <f t="shared" si="26"/>
        <v>0</v>
      </c>
      <c r="J20" s="28">
        <f t="shared" si="27"/>
        <v>0</v>
      </c>
      <c r="K20" s="7">
        <f t="shared" si="40"/>
        <v>14298.64</v>
      </c>
      <c r="L20" s="43">
        <f t="shared" si="28"/>
        <v>0</v>
      </c>
      <c r="M20" s="28">
        <f t="shared" si="29"/>
        <v>0</v>
      </c>
      <c r="N20" s="7">
        <f t="shared" si="41"/>
        <v>3865.32</v>
      </c>
      <c r="O20" s="43">
        <f t="shared" si="30"/>
        <v>0</v>
      </c>
      <c r="P20" s="28">
        <f t="shared" si="31"/>
        <v>0</v>
      </c>
      <c r="Q20" s="7">
        <f t="shared" si="42"/>
        <v>5648.5</v>
      </c>
      <c r="R20" s="43">
        <f t="shared" si="32"/>
        <v>0</v>
      </c>
      <c r="S20" s="28">
        <f t="shared" si="33"/>
        <v>0</v>
      </c>
      <c r="T20" s="8">
        <f t="shared" si="36"/>
        <v>0</v>
      </c>
      <c r="U20" s="30">
        <f t="shared" si="34"/>
        <v>0</v>
      </c>
      <c r="W20" s="141">
        <v>44883</v>
      </c>
      <c r="X20" s="142">
        <f t="shared" si="43"/>
        <v>220900</v>
      </c>
      <c r="Y20" s="147">
        <f t="shared" si="21"/>
        <v>0</v>
      </c>
      <c r="Z20" s="142">
        <f t="shared" si="44"/>
        <v>10205</v>
      </c>
      <c r="AA20" s="147">
        <f t="shared" si="21"/>
        <v>0</v>
      </c>
      <c r="AB20" s="142">
        <f t="shared" si="35"/>
        <v>41</v>
      </c>
      <c r="AC20" s="147">
        <f t="shared" si="21"/>
        <v>0</v>
      </c>
      <c r="AD20" s="142">
        <f t="shared" si="45"/>
        <v>774</v>
      </c>
      <c r="AE20" s="147">
        <f t="shared" si="21"/>
        <v>0</v>
      </c>
      <c r="AF20" s="142">
        <f t="shared" si="46"/>
        <v>9685</v>
      </c>
      <c r="AG20" s="147">
        <f t="shared" si="21"/>
        <v>0</v>
      </c>
    </row>
    <row r="21" spans="1:33" ht="16.5" thickBot="1" x14ac:dyDescent="0.25">
      <c r="A21" s="9">
        <v>44884</v>
      </c>
      <c r="B21" s="144">
        <f t="shared" si="37"/>
        <v>25381.1</v>
      </c>
      <c r="C21" s="43">
        <f t="shared" si="22"/>
        <v>0</v>
      </c>
      <c r="D21" s="28">
        <f t="shared" si="23"/>
        <v>0</v>
      </c>
      <c r="E21" s="1">
        <f t="shared" si="38"/>
        <v>4647.8</v>
      </c>
      <c r="F21" s="43">
        <f t="shared" si="24"/>
        <v>0</v>
      </c>
      <c r="G21" s="28">
        <f t="shared" si="25"/>
        <v>0</v>
      </c>
      <c r="H21" s="1">
        <f t="shared" si="39"/>
        <v>6467</v>
      </c>
      <c r="I21" s="43">
        <f t="shared" si="26"/>
        <v>0</v>
      </c>
      <c r="J21" s="28">
        <f t="shared" si="27"/>
        <v>0</v>
      </c>
      <c r="K21" s="7">
        <f t="shared" si="40"/>
        <v>14298.64</v>
      </c>
      <c r="L21" s="43">
        <f t="shared" si="28"/>
        <v>0</v>
      </c>
      <c r="M21" s="28">
        <f t="shared" si="29"/>
        <v>0</v>
      </c>
      <c r="N21" s="7">
        <f t="shared" si="41"/>
        <v>3865.32</v>
      </c>
      <c r="O21" s="43">
        <f t="shared" si="30"/>
        <v>0</v>
      </c>
      <c r="P21" s="28">
        <f t="shared" si="31"/>
        <v>0</v>
      </c>
      <c r="Q21" s="7">
        <f t="shared" si="42"/>
        <v>5648.5</v>
      </c>
      <c r="R21" s="43">
        <f t="shared" si="32"/>
        <v>0</v>
      </c>
      <c r="S21" s="28">
        <f t="shared" si="33"/>
        <v>0</v>
      </c>
      <c r="T21" s="8">
        <f t="shared" si="36"/>
        <v>0</v>
      </c>
      <c r="U21" s="30">
        <f t="shared" si="34"/>
        <v>0</v>
      </c>
      <c r="W21" s="141">
        <v>44884</v>
      </c>
      <c r="X21" s="142">
        <f t="shared" si="43"/>
        <v>220900</v>
      </c>
      <c r="Y21" s="147">
        <f t="shared" si="21"/>
        <v>0</v>
      </c>
      <c r="Z21" s="142">
        <f t="shared" si="44"/>
        <v>10205</v>
      </c>
      <c r="AA21" s="147">
        <f t="shared" si="21"/>
        <v>0</v>
      </c>
      <c r="AB21" s="142">
        <f t="shared" si="35"/>
        <v>41</v>
      </c>
      <c r="AC21" s="147">
        <f t="shared" si="21"/>
        <v>0</v>
      </c>
      <c r="AD21" s="142">
        <f t="shared" si="45"/>
        <v>774</v>
      </c>
      <c r="AE21" s="147">
        <f t="shared" si="21"/>
        <v>0</v>
      </c>
      <c r="AF21" s="142">
        <f t="shared" si="46"/>
        <v>9685</v>
      </c>
      <c r="AG21" s="147">
        <f t="shared" si="21"/>
        <v>0</v>
      </c>
    </row>
    <row r="22" spans="1:33" ht="16.5" thickBot="1" x14ac:dyDescent="0.25">
      <c r="A22" s="9">
        <v>44885</v>
      </c>
      <c r="B22" s="144">
        <f t="shared" si="37"/>
        <v>25381.1</v>
      </c>
      <c r="C22" s="43">
        <f t="shared" si="22"/>
        <v>0</v>
      </c>
      <c r="D22" s="28">
        <f t="shared" si="23"/>
        <v>0</v>
      </c>
      <c r="E22" s="1">
        <f t="shared" si="38"/>
        <v>4647.8</v>
      </c>
      <c r="F22" s="43">
        <f t="shared" si="24"/>
        <v>0</v>
      </c>
      <c r="G22" s="28">
        <f t="shared" si="25"/>
        <v>0</v>
      </c>
      <c r="H22" s="1">
        <f t="shared" si="39"/>
        <v>6467</v>
      </c>
      <c r="I22" s="43">
        <f t="shared" si="26"/>
        <v>0</v>
      </c>
      <c r="J22" s="28">
        <f t="shared" si="27"/>
        <v>0</v>
      </c>
      <c r="K22" s="7">
        <f t="shared" si="40"/>
        <v>14298.64</v>
      </c>
      <c r="L22" s="43">
        <f t="shared" si="28"/>
        <v>0</v>
      </c>
      <c r="M22" s="28">
        <f t="shared" si="29"/>
        <v>0</v>
      </c>
      <c r="N22" s="7">
        <f t="shared" si="41"/>
        <v>3865.32</v>
      </c>
      <c r="O22" s="43">
        <f t="shared" si="30"/>
        <v>0</v>
      </c>
      <c r="P22" s="28">
        <f t="shared" si="31"/>
        <v>0</v>
      </c>
      <c r="Q22" s="7">
        <f t="shared" si="42"/>
        <v>5648.5</v>
      </c>
      <c r="R22" s="43">
        <f t="shared" si="32"/>
        <v>0</v>
      </c>
      <c r="S22" s="28">
        <f t="shared" si="33"/>
        <v>0</v>
      </c>
      <c r="T22" s="8">
        <f t="shared" si="36"/>
        <v>0</v>
      </c>
      <c r="U22" s="30">
        <f t="shared" si="34"/>
        <v>0</v>
      </c>
      <c r="W22" s="141">
        <v>44885</v>
      </c>
      <c r="X22" s="142">
        <f t="shared" si="43"/>
        <v>220900</v>
      </c>
      <c r="Y22" s="147">
        <f t="shared" si="21"/>
        <v>0</v>
      </c>
      <c r="Z22" s="142">
        <f t="shared" si="44"/>
        <v>10205</v>
      </c>
      <c r="AA22" s="147">
        <f t="shared" si="21"/>
        <v>0</v>
      </c>
      <c r="AB22" s="142">
        <f t="shared" si="35"/>
        <v>41</v>
      </c>
      <c r="AC22" s="147">
        <f t="shared" si="21"/>
        <v>0</v>
      </c>
      <c r="AD22" s="142">
        <f t="shared" si="45"/>
        <v>774</v>
      </c>
      <c r="AE22" s="147">
        <f t="shared" si="21"/>
        <v>0</v>
      </c>
      <c r="AF22" s="142">
        <f t="shared" si="46"/>
        <v>9685</v>
      </c>
      <c r="AG22" s="147">
        <f t="shared" si="21"/>
        <v>0</v>
      </c>
    </row>
    <row r="23" spans="1:33" ht="16.5" thickBot="1" x14ac:dyDescent="0.25">
      <c r="A23" s="9">
        <v>44886</v>
      </c>
      <c r="B23" s="144">
        <f t="shared" si="37"/>
        <v>25381.1</v>
      </c>
      <c r="C23" s="43">
        <f t="shared" si="22"/>
        <v>0</v>
      </c>
      <c r="D23" s="28">
        <f t="shared" si="23"/>
        <v>0</v>
      </c>
      <c r="E23" s="1">
        <f t="shared" si="38"/>
        <v>4647.8</v>
      </c>
      <c r="F23" s="43">
        <f t="shared" si="24"/>
        <v>0</v>
      </c>
      <c r="G23" s="28">
        <f t="shared" si="25"/>
        <v>0</v>
      </c>
      <c r="H23" s="1">
        <f t="shared" si="39"/>
        <v>6467</v>
      </c>
      <c r="I23" s="43">
        <f t="shared" si="26"/>
        <v>0</v>
      </c>
      <c r="J23" s="28">
        <f t="shared" si="27"/>
        <v>0</v>
      </c>
      <c r="K23" s="7">
        <f t="shared" si="40"/>
        <v>14298.64</v>
      </c>
      <c r="L23" s="43">
        <f t="shared" si="28"/>
        <v>0</v>
      </c>
      <c r="M23" s="28">
        <f t="shared" si="29"/>
        <v>0</v>
      </c>
      <c r="N23" s="7">
        <f t="shared" si="41"/>
        <v>3865.32</v>
      </c>
      <c r="O23" s="43">
        <f t="shared" si="30"/>
        <v>0</v>
      </c>
      <c r="P23" s="28">
        <f t="shared" si="31"/>
        <v>0</v>
      </c>
      <c r="Q23" s="7">
        <f t="shared" si="42"/>
        <v>5648.5</v>
      </c>
      <c r="R23" s="43">
        <f t="shared" si="32"/>
        <v>0</v>
      </c>
      <c r="S23" s="28">
        <f t="shared" si="33"/>
        <v>0</v>
      </c>
      <c r="T23" s="8">
        <f t="shared" si="36"/>
        <v>0</v>
      </c>
      <c r="U23" s="30">
        <f t="shared" si="34"/>
        <v>0</v>
      </c>
      <c r="W23" s="141">
        <v>44886</v>
      </c>
      <c r="X23" s="142">
        <f t="shared" si="43"/>
        <v>220900</v>
      </c>
      <c r="Y23" s="147">
        <f t="shared" si="21"/>
        <v>0</v>
      </c>
      <c r="Z23" s="142">
        <f t="shared" si="44"/>
        <v>10205</v>
      </c>
      <c r="AA23" s="147">
        <f t="shared" si="21"/>
        <v>0</v>
      </c>
      <c r="AB23" s="142">
        <f t="shared" si="35"/>
        <v>41</v>
      </c>
      <c r="AC23" s="147">
        <f t="shared" si="21"/>
        <v>0</v>
      </c>
      <c r="AD23" s="142">
        <f t="shared" si="45"/>
        <v>774</v>
      </c>
      <c r="AE23" s="147">
        <f t="shared" si="21"/>
        <v>0</v>
      </c>
      <c r="AF23" s="142">
        <f t="shared" si="46"/>
        <v>9685</v>
      </c>
      <c r="AG23" s="147">
        <f t="shared" si="21"/>
        <v>0</v>
      </c>
    </row>
    <row r="24" spans="1:33" ht="16.5" thickBot="1" x14ac:dyDescent="0.25">
      <c r="A24" s="9">
        <v>44887</v>
      </c>
      <c r="B24" s="144">
        <f t="shared" si="37"/>
        <v>25381.1</v>
      </c>
      <c r="C24" s="43">
        <f t="shared" si="22"/>
        <v>0</v>
      </c>
      <c r="D24" s="28">
        <f t="shared" si="23"/>
        <v>0</v>
      </c>
      <c r="E24" s="1">
        <f t="shared" si="38"/>
        <v>4647.8</v>
      </c>
      <c r="F24" s="43">
        <f t="shared" si="24"/>
        <v>0</v>
      </c>
      <c r="G24" s="28">
        <f t="shared" si="25"/>
        <v>0</v>
      </c>
      <c r="H24" s="1">
        <f t="shared" si="39"/>
        <v>6467</v>
      </c>
      <c r="I24" s="43">
        <f t="shared" si="26"/>
        <v>0</v>
      </c>
      <c r="J24" s="28">
        <f t="shared" si="27"/>
        <v>0</v>
      </c>
      <c r="K24" s="7">
        <f t="shared" si="40"/>
        <v>14298.64</v>
      </c>
      <c r="L24" s="43">
        <f t="shared" si="28"/>
        <v>0</v>
      </c>
      <c r="M24" s="28">
        <f t="shared" si="29"/>
        <v>0</v>
      </c>
      <c r="N24" s="7">
        <f t="shared" si="41"/>
        <v>3865.32</v>
      </c>
      <c r="O24" s="43">
        <f t="shared" si="30"/>
        <v>0</v>
      </c>
      <c r="P24" s="28">
        <f t="shared" si="31"/>
        <v>0</v>
      </c>
      <c r="Q24" s="7">
        <f t="shared" si="42"/>
        <v>5648.5</v>
      </c>
      <c r="R24" s="43">
        <f t="shared" si="32"/>
        <v>0</v>
      </c>
      <c r="S24" s="28">
        <f t="shared" si="33"/>
        <v>0</v>
      </c>
      <c r="T24" s="8">
        <f t="shared" si="36"/>
        <v>0</v>
      </c>
      <c r="U24" s="30">
        <f t="shared" si="34"/>
        <v>0</v>
      </c>
      <c r="W24" s="141">
        <v>44887</v>
      </c>
      <c r="X24" s="142">
        <f t="shared" si="43"/>
        <v>220900</v>
      </c>
      <c r="Y24" s="147">
        <f t="shared" si="21"/>
        <v>0</v>
      </c>
      <c r="Z24" s="142">
        <f t="shared" si="44"/>
        <v>10205</v>
      </c>
      <c r="AA24" s="147">
        <f t="shared" si="21"/>
        <v>0</v>
      </c>
      <c r="AB24" s="142">
        <f t="shared" si="35"/>
        <v>41</v>
      </c>
      <c r="AC24" s="147">
        <f t="shared" si="21"/>
        <v>0</v>
      </c>
      <c r="AD24" s="142">
        <f t="shared" si="45"/>
        <v>774</v>
      </c>
      <c r="AE24" s="147">
        <f t="shared" si="21"/>
        <v>0</v>
      </c>
      <c r="AF24" s="142">
        <f t="shared" si="46"/>
        <v>9685</v>
      </c>
      <c r="AG24" s="147">
        <f t="shared" si="21"/>
        <v>0</v>
      </c>
    </row>
    <row r="25" spans="1:33" ht="16.5" thickBot="1" x14ac:dyDescent="0.25">
      <c r="A25" s="9">
        <v>44888</v>
      </c>
      <c r="B25" s="144">
        <f t="shared" si="37"/>
        <v>25381.1</v>
      </c>
      <c r="C25" s="43">
        <f t="shared" si="22"/>
        <v>0</v>
      </c>
      <c r="D25" s="28">
        <f t="shared" si="23"/>
        <v>0</v>
      </c>
      <c r="E25" s="1">
        <f t="shared" si="38"/>
        <v>4647.8</v>
      </c>
      <c r="F25" s="43">
        <f t="shared" si="24"/>
        <v>0</v>
      </c>
      <c r="G25" s="28">
        <f t="shared" si="25"/>
        <v>0</v>
      </c>
      <c r="H25" s="1">
        <f t="shared" si="39"/>
        <v>6467</v>
      </c>
      <c r="I25" s="43">
        <f t="shared" si="26"/>
        <v>0</v>
      </c>
      <c r="J25" s="28">
        <f t="shared" si="27"/>
        <v>0</v>
      </c>
      <c r="K25" s="7">
        <f t="shared" si="40"/>
        <v>14298.64</v>
      </c>
      <c r="L25" s="43">
        <f t="shared" si="28"/>
        <v>0</v>
      </c>
      <c r="M25" s="28">
        <f t="shared" si="29"/>
        <v>0</v>
      </c>
      <c r="N25" s="7">
        <f t="shared" si="41"/>
        <v>3865.32</v>
      </c>
      <c r="O25" s="43">
        <f t="shared" si="30"/>
        <v>0</v>
      </c>
      <c r="P25" s="28">
        <f t="shared" si="31"/>
        <v>0</v>
      </c>
      <c r="Q25" s="7">
        <f t="shared" si="42"/>
        <v>5648.5</v>
      </c>
      <c r="R25" s="43">
        <f t="shared" si="32"/>
        <v>0</v>
      </c>
      <c r="S25" s="28">
        <f t="shared" si="33"/>
        <v>0</v>
      </c>
      <c r="T25" s="8">
        <f t="shared" si="36"/>
        <v>0</v>
      </c>
      <c r="U25" s="30">
        <f t="shared" si="34"/>
        <v>0</v>
      </c>
      <c r="W25" s="141">
        <v>44888</v>
      </c>
      <c r="X25" s="142">
        <f t="shared" si="43"/>
        <v>220900</v>
      </c>
      <c r="Y25" s="147">
        <f t="shared" si="21"/>
        <v>0</v>
      </c>
      <c r="Z25" s="142">
        <f t="shared" si="44"/>
        <v>10205</v>
      </c>
      <c r="AA25" s="147">
        <f t="shared" si="21"/>
        <v>0</v>
      </c>
      <c r="AB25" s="142">
        <f t="shared" si="35"/>
        <v>41</v>
      </c>
      <c r="AC25" s="147">
        <f t="shared" si="21"/>
        <v>0</v>
      </c>
      <c r="AD25" s="142">
        <f t="shared" si="45"/>
        <v>774</v>
      </c>
      <c r="AE25" s="147">
        <f t="shared" si="21"/>
        <v>0</v>
      </c>
      <c r="AF25" s="142">
        <f t="shared" si="46"/>
        <v>9685</v>
      </c>
      <c r="AG25" s="147">
        <f t="shared" si="21"/>
        <v>0</v>
      </c>
    </row>
    <row r="26" spans="1:33" ht="16.5" thickBot="1" x14ac:dyDescent="0.25">
      <c r="A26" s="9">
        <v>44889</v>
      </c>
      <c r="B26" s="144">
        <f t="shared" si="37"/>
        <v>25381.1</v>
      </c>
      <c r="C26" s="43">
        <f t="shared" si="22"/>
        <v>0</v>
      </c>
      <c r="D26" s="28">
        <f t="shared" si="23"/>
        <v>0</v>
      </c>
      <c r="E26" s="1">
        <f t="shared" si="38"/>
        <v>4647.8</v>
      </c>
      <c r="F26" s="43">
        <f t="shared" si="24"/>
        <v>0</v>
      </c>
      <c r="G26" s="28">
        <f t="shared" si="25"/>
        <v>0</v>
      </c>
      <c r="H26" s="1">
        <f t="shared" si="39"/>
        <v>6467</v>
      </c>
      <c r="I26" s="43">
        <f t="shared" si="26"/>
        <v>0</v>
      </c>
      <c r="J26" s="28">
        <f t="shared" si="27"/>
        <v>0</v>
      </c>
      <c r="K26" s="7">
        <f t="shared" si="40"/>
        <v>14298.64</v>
      </c>
      <c r="L26" s="43">
        <f>IF((K26-K25)&lt;0,"0",(K26-K25))</f>
        <v>0</v>
      </c>
      <c r="M26" s="28">
        <f t="shared" si="29"/>
        <v>0</v>
      </c>
      <c r="N26" s="7">
        <f t="shared" si="41"/>
        <v>3865.32</v>
      </c>
      <c r="O26" s="43">
        <f t="shared" si="30"/>
        <v>0</v>
      </c>
      <c r="P26" s="28">
        <f t="shared" si="31"/>
        <v>0</v>
      </c>
      <c r="Q26" s="7">
        <f t="shared" si="42"/>
        <v>5648.5</v>
      </c>
      <c r="R26" s="43">
        <f t="shared" si="32"/>
        <v>0</v>
      </c>
      <c r="S26" s="28">
        <f t="shared" si="33"/>
        <v>0</v>
      </c>
      <c r="T26" s="8">
        <f t="shared" si="36"/>
        <v>0</v>
      </c>
      <c r="U26" s="30">
        <f t="shared" si="34"/>
        <v>0</v>
      </c>
      <c r="V26" t="s">
        <v>12</v>
      </c>
      <c r="W26" s="141">
        <v>44889</v>
      </c>
      <c r="X26" s="142">
        <f t="shared" si="43"/>
        <v>220900</v>
      </c>
      <c r="Y26" s="147">
        <f t="shared" si="21"/>
        <v>0</v>
      </c>
      <c r="Z26" s="142">
        <f t="shared" si="44"/>
        <v>10205</v>
      </c>
      <c r="AA26" s="147">
        <f t="shared" si="21"/>
        <v>0</v>
      </c>
      <c r="AB26" s="142">
        <f t="shared" si="35"/>
        <v>41</v>
      </c>
      <c r="AC26" s="147">
        <f t="shared" si="21"/>
        <v>0</v>
      </c>
      <c r="AD26" s="142">
        <f t="shared" si="45"/>
        <v>774</v>
      </c>
      <c r="AE26" s="147">
        <f t="shared" si="21"/>
        <v>0</v>
      </c>
      <c r="AF26" s="142">
        <f t="shared" si="46"/>
        <v>9685</v>
      </c>
      <c r="AG26" s="147">
        <f t="shared" si="21"/>
        <v>0</v>
      </c>
    </row>
    <row r="27" spans="1:33" ht="16.5" thickBot="1" x14ac:dyDescent="0.25">
      <c r="A27" s="9">
        <v>44890</v>
      </c>
      <c r="B27" s="144">
        <f t="shared" si="37"/>
        <v>25381.1</v>
      </c>
      <c r="C27" s="43">
        <f t="shared" si="22"/>
        <v>0</v>
      </c>
      <c r="D27" s="28">
        <f t="shared" si="23"/>
        <v>0</v>
      </c>
      <c r="E27" s="1">
        <f t="shared" si="38"/>
        <v>4647.8</v>
      </c>
      <c r="F27" s="43">
        <f t="shared" si="24"/>
        <v>0</v>
      </c>
      <c r="G27" s="28">
        <f t="shared" si="25"/>
        <v>0</v>
      </c>
      <c r="H27" s="1">
        <f t="shared" si="39"/>
        <v>6467</v>
      </c>
      <c r="I27" s="43">
        <f t="shared" si="26"/>
        <v>0</v>
      </c>
      <c r="J27" s="28">
        <f t="shared" si="27"/>
        <v>0</v>
      </c>
      <c r="K27" s="7">
        <f t="shared" si="40"/>
        <v>14298.64</v>
      </c>
      <c r="L27" s="43">
        <f t="shared" si="28"/>
        <v>0</v>
      </c>
      <c r="M27" s="28">
        <f t="shared" si="29"/>
        <v>0</v>
      </c>
      <c r="N27" s="7">
        <f t="shared" si="41"/>
        <v>3865.32</v>
      </c>
      <c r="O27" s="43">
        <f t="shared" si="30"/>
        <v>0</v>
      </c>
      <c r="P27" s="28">
        <f t="shared" si="31"/>
        <v>0</v>
      </c>
      <c r="Q27" s="7">
        <f t="shared" si="42"/>
        <v>5648.5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44890</v>
      </c>
      <c r="X27" s="142">
        <f t="shared" si="43"/>
        <v>220900</v>
      </c>
      <c r="Y27" s="147">
        <f t="shared" si="21"/>
        <v>0</v>
      </c>
      <c r="Z27" s="142">
        <f t="shared" si="44"/>
        <v>10205</v>
      </c>
      <c r="AA27" s="147">
        <f t="shared" si="21"/>
        <v>0</v>
      </c>
      <c r="AB27" s="142">
        <f t="shared" si="35"/>
        <v>41</v>
      </c>
      <c r="AC27" s="147">
        <f t="shared" si="21"/>
        <v>0</v>
      </c>
      <c r="AD27" s="142">
        <f t="shared" si="45"/>
        <v>774</v>
      </c>
      <c r="AE27" s="147">
        <f t="shared" si="21"/>
        <v>0</v>
      </c>
      <c r="AF27" s="142">
        <f t="shared" si="46"/>
        <v>9685</v>
      </c>
      <c r="AG27" s="147">
        <f t="shared" si="21"/>
        <v>0</v>
      </c>
    </row>
    <row r="28" spans="1:33" ht="16.5" thickBot="1" x14ac:dyDescent="0.25">
      <c r="A28" s="9">
        <v>44891</v>
      </c>
      <c r="B28" s="144">
        <f t="shared" si="37"/>
        <v>25381.1</v>
      </c>
      <c r="C28" s="43">
        <f t="shared" si="22"/>
        <v>0</v>
      </c>
      <c r="D28" s="28">
        <f t="shared" si="23"/>
        <v>0</v>
      </c>
      <c r="E28" s="1">
        <f t="shared" si="38"/>
        <v>4647.8</v>
      </c>
      <c r="F28" s="43">
        <f t="shared" si="24"/>
        <v>0</v>
      </c>
      <c r="G28" s="28">
        <f t="shared" si="25"/>
        <v>0</v>
      </c>
      <c r="H28" s="1">
        <f t="shared" si="39"/>
        <v>6467</v>
      </c>
      <c r="I28" s="43">
        <f t="shared" si="26"/>
        <v>0</v>
      </c>
      <c r="J28" s="28">
        <f t="shared" si="27"/>
        <v>0</v>
      </c>
      <c r="K28" s="7">
        <f t="shared" si="40"/>
        <v>14298.64</v>
      </c>
      <c r="L28" s="43">
        <f t="shared" si="28"/>
        <v>0</v>
      </c>
      <c r="M28" s="28">
        <f t="shared" si="29"/>
        <v>0</v>
      </c>
      <c r="N28" s="7">
        <f t="shared" si="41"/>
        <v>3865.32</v>
      </c>
      <c r="O28" s="43">
        <f t="shared" si="30"/>
        <v>0</v>
      </c>
      <c r="P28" s="28">
        <f t="shared" si="31"/>
        <v>0</v>
      </c>
      <c r="Q28" s="7">
        <f t="shared" si="42"/>
        <v>5648.5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44891</v>
      </c>
      <c r="X28" s="142">
        <f t="shared" si="43"/>
        <v>220900</v>
      </c>
      <c r="Y28" s="147">
        <f t="shared" si="21"/>
        <v>0</v>
      </c>
      <c r="Z28" s="142">
        <f t="shared" si="44"/>
        <v>10205</v>
      </c>
      <c r="AA28" s="147">
        <f t="shared" si="21"/>
        <v>0</v>
      </c>
      <c r="AB28" s="142">
        <f t="shared" si="35"/>
        <v>41</v>
      </c>
      <c r="AC28" s="147">
        <f t="shared" si="21"/>
        <v>0</v>
      </c>
      <c r="AD28" s="142">
        <f t="shared" si="45"/>
        <v>774</v>
      </c>
      <c r="AE28" s="147">
        <f t="shared" si="21"/>
        <v>0</v>
      </c>
      <c r="AF28" s="142">
        <f t="shared" si="46"/>
        <v>9685</v>
      </c>
      <c r="AG28" s="147">
        <f t="shared" si="21"/>
        <v>0</v>
      </c>
    </row>
    <row r="29" spans="1:33" ht="16.5" thickBot="1" x14ac:dyDescent="0.25">
      <c r="A29" s="9">
        <v>44892</v>
      </c>
      <c r="B29" s="144">
        <f t="shared" si="37"/>
        <v>25381.1</v>
      </c>
      <c r="C29" s="43">
        <f t="shared" si="22"/>
        <v>0</v>
      </c>
      <c r="D29" s="28">
        <f t="shared" si="23"/>
        <v>0</v>
      </c>
      <c r="E29" s="1">
        <f t="shared" si="38"/>
        <v>4647.8</v>
      </c>
      <c r="F29" s="43">
        <f t="shared" si="24"/>
        <v>0</v>
      </c>
      <c r="G29" s="28">
        <f t="shared" si="25"/>
        <v>0</v>
      </c>
      <c r="H29" s="1">
        <f t="shared" si="39"/>
        <v>6467</v>
      </c>
      <c r="I29" s="43">
        <f t="shared" si="26"/>
        <v>0</v>
      </c>
      <c r="J29" s="28">
        <f t="shared" si="27"/>
        <v>0</v>
      </c>
      <c r="K29" s="7">
        <f t="shared" si="40"/>
        <v>14298.64</v>
      </c>
      <c r="L29" s="43">
        <f t="shared" si="28"/>
        <v>0</v>
      </c>
      <c r="M29" s="28">
        <f t="shared" si="29"/>
        <v>0</v>
      </c>
      <c r="N29" s="7">
        <f t="shared" si="41"/>
        <v>3865.32</v>
      </c>
      <c r="O29" s="43">
        <f t="shared" si="30"/>
        <v>0</v>
      </c>
      <c r="P29" s="28">
        <f t="shared" si="31"/>
        <v>0</v>
      </c>
      <c r="Q29" s="7">
        <f t="shared" si="42"/>
        <v>5648.5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44892</v>
      </c>
      <c r="X29" s="142">
        <f t="shared" si="43"/>
        <v>220900</v>
      </c>
      <c r="Y29" s="147">
        <f t="shared" si="21"/>
        <v>0</v>
      </c>
      <c r="Z29" s="142">
        <f t="shared" si="44"/>
        <v>10205</v>
      </c>
      <c r="AA29" s="147">
        <f t="shared" si="21"/>
        <v>0</v>
      </c>
      <c r="AB29" s="142">
        <f t="shared" si="35"/>
        <v>41</v>
      </c>
      <c r="AC29" s="147">
        <f t="shared" si="21"/>
        <v>0</v>
      </c>
      <c r="AD29" s="142">
        <f t="shared" si="45"/>
        <v>774</v>
      </c>
      <c r="AE29" s="147">
        <f t="shared" si="21"/>
        <v>0</v>
      </c>
      <c r="AF29" s="142">
        <f t="shared" si="46"/>
        <v>9685</v>
      </c>
      <c r="AG29" s="147">
        <f t="shared" si="21"/>
        <v>0</v>
      </c>
    </row>
    <row r="30" spans="1:33" ht="16.5" thickBot="1" x14ac:dyDescent="0.25">
      <c r="A30" s="9">
        <v>44893</v>
      </c>
      <c r="B30" s="144">
        <f t="shared" si="37"/>
        <v>25381.1</v>
      </c>
      <c r="C30" s="43">
        <f t="shared" si="22"/>
        <v>0</v>
      </c>
      <c r="D30" s="28">
        <f t="shared" si="23"/>
        <v>0</v>
      </c>
      <c r="E30" s="1">
        <f t="shared" si="38"/>
        <v>4647.8</v>
      </c>
      <c r="F30" s="43">
        <f t="shared" si="24"/>
        <v>0</v>
      </c>
      <c r="G30" s="28">
        <f t="shared" si="25"/>
        <v>0</v>
      </c>
      <c r="H30" s="1">
        <f t="shared" si="39"/>
        <v>6467</v>
      </c>
      <c r="I30" s="43">
        <f t="shared" si="26"/>
        <v>0</v>
      </c>
      <c r="J30" s="28">
        <f t="shared" si="27"/>
        <v>0</v>
      </c>
      <c r="K30" s="7">
        <f t="shared" si="40"/>
        <v>14298.64</v>
      </c>
      <c r="L30" s="43">
        <f t="shared" si="28"/>
        <v>0</v>
      </c>
      <c r="M30" s="28">
        <f t="shared" si="29"/>
        <v>0</v>
      </c>
      <c r="N30" s="7">
        <f t="shared" si="41"/>
        <v>3865.32</v>
      </c>
      <c r="O30" s="43">
        <f t="shared" si="30"/>
        <v>0</v>
      </c>
      <c r="P30" s="28">
        <f t="shared" si="31"/>
        <v>0</v>
      </c>
      <c r="Q30" s="7">
        <f t="shared" si="42"/>
        <v>5648.5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44893</v>
      </c>
      <c r="X30" s="142">
        <f t="shared" si="43"/>
        <v>220900</v>
      </c>
      <c r="Y30" s="147">
        <f t="shared" si="21"/>
        <v>0</v>
      </c>
      <c r="Z30" s="142">
        <f t="shared" si="44"/>
        <v>10205</v>
      </c>
      <c r="AA30" s="147">
        <f t="shared" si="21"/>
        <v>0</v>
      </c>
      <c r="AB30" s="142">
        <f t="shared" si="35"/>
        <v>41</v>
      </c>
      <c r="AC30" s="147">
        <f t="shared" si="21"/>
        <v>0</v>
      </c>
      <c r="AD30" s="142">
        <f t="shared" si="45"/>
        <v>774</v>
      </c>
      <c r="AE30" s="147">
        <f t="shared" si="21"/>
        <v>0</v>
      </c>
      <c r="AF30" s="142">
        <f t="shared" si="46"/>
        <v>9685</v>
      </c>
      <c r="AG30" s="147">
        <f t="shared" si="21"/>
        <v>0</v>
      </c>
    </row>
    <row r="31" spans="1:33" ht="16.5" thickBot="1" x14ac:dyDescent="0.25">
      <c r="A31" s="9">
        <v>44894</v>
      </c>
      <c r="B31" s="144">
        <f t="shared" si="37"/>
        <v>25381.1</v>
      </c>
      <c r="C31" s="43">
        <f t="shared" si="22"/>
        <v>0</v>
      </c>
      <c r="D31" s="28">
        <f t="shared" si="23"/>
        <v>0</v>
      </c>
      <c r="E31" s="1">
        <f t="shared" si="38"/>
        <v>4647.8</v>
      </c>
      <c r="F31" s="43">
        <f t="shared" si="24"/>
        <v>0</v>
      </c>
      <c r="G31" s="28">
        <f t="shared" si="25"/>
        <v>0</v>
      </c>
      <c r="H31" s="1">
        <f t="shared" si="39"/>
        <v>6467</v>
      </c>
      <c r="I31" s="43">
        <f t="shared" si="26"/>
        <v>0</v>
      </c>
      <c r="J31" s="28">
        <f t="shared" si="27"/>
        <v>0</v>
      </c>
      <c r="K31" s="7">
        <f t="shared" si="40"/>
        <v>14298.64</v>
      </c>
      <c r="L31" s="43">
        <f t="shared" si="28"/>
        <v>0</v>
      </c>
      <c r="M31" s="28">
        <f t="shared" si="29"/>
        <v>0</v>
      </c>
      <c r="N31" s="7">
        <f t="shared" si="41"/>
        <v>3865.32</v>
      </c>
      <c r="O31" s="43">
        <f t="shared" si="30"/>
        <v>0</v>
      </c>
      <c r="P31" s="28">
        <f t="shared" si="31"/>
        <v>0</v>
      </c>
      <c r="Q31" s="7">
        <f t="shared" si="42"/>
        <v>5648.5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44894</v>
      </c>
      <c r="X31" s="142">
        <f t="shared" si="43"/>
        <v>220900</v>
      </c>
      <c r="Y31" s="147">
        <f t="shared" si="21"/>
        <v>0</v>
      </c>
      <c r="Z31" s="142">
        <f t="shared" si="44"/>
        <v>10205</v>
      </c>
      <c r="AA31" s="147">
        <f t="shared" si="21"/>
        <v>0</v>
      </c>
      <c r="AB31" s="142">
        <f t="shared" si="35"/>
        <v>41</v>
      </c>
      <c r="AC31" s="147">
        <f t="shared" si="21"/>
        <v>0</v>
      </c>
      <c r="AD31" s="142">
        <f t="shared" si="45"/>
        <v>774</v>
      </c>
      <c r="AE31" s="147">
        <f t="shared" si="21"/>
        <v>0</v>
      </c>
      <c r="AF31" s="142">
        <f t="shared" si="46"/>
        <v>9685</v>
      </c>
      <c r="AG31" s="147">
        <f t="shared" si="21"/>
        <v>0</v>
      </c>
    </row>
    <row r="32" spans="1:33" ht="16.5" thickBot="1" x14ac:dyDescent="0.25">
      <c r="A32" s="9">
        <v>44895</v>
      </c>
      <c r="B32" s="144">
        <f t="shared" si="37"/>
        <v>25381.1</v>
      </c>
      <c r="C32" s="43">
        <f t="shared" si="22"/>
        <v>0</v>
      </c>
      <c r="D32" s="28">
        <f t="shared" si="23"/>
        <v>0</v>
      </c>
      <c r="E32" s="1">
        <f t="shared" si="38"/>
        <v>4647.8</v>
      </c>
      <c r="F32" s="43">
        <f t="shared" si="24"/>
        <v>0</v>
      </c>
      <c r="G32" s="28">
        <f t="shared" si="25"/>
        <v>0</v>
      </c>
      <c r="H32" s="1">
        <f t="shared" si="39"/>
        <v>6467</v>
      </c>
      <c r="I32" s="43">
        <f t="shared" si="26"/>
        <v>0</v>
      </c>
      <c r="J32" s="28">
        <f t="shared" si="27"/>
        <v>0</v>
      </c>
      <c r="K32" s="7">
        <f t="shared" si="40"/>
        <v>14298.64</v>
      </c>
      <c r="L32" s="43">
        <f t="shared" si="28"/>
        <v>0</v>
      </c>
      <c r="M32" s="28">
        <f t="shared" si="29"/>
        <v>0</v>
      </c>
      <c r="N32" s="7">
        <f t="shared" si="41"/>
        <v>3865.32</v>
      </c>
      <c r="O32" s="43">
        <f t="shared" si="30"/>
        <v>0</v>
      </c>
      <c r="P32" s="28">
        <f t="shared" si="31"/>
        <v>0</v>
      </c>
      <c r="Q32" s="7">
        <f t="shared" si="42"/>
        <v>5648.5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44895</v>
      </c>
      <c r="X32" s="142">
        <f t="shared" si="43"/>
        <v>220900</v>
      </c>
      <c r="Y32" s="147">
        <f t="shared" ref="Y32" si="60">IF((X32-X31)&lt;0,"0",(X32-X31))</f>
        <v>0</v>
      </c>
      <c r="Z32" s="142">
        <f t="shared" si="44"/>
        <v>10205</v>
      </c>
      <c r="AA32" s="147">
        <f t="shared" ref="AA32" si="61">IF((Z32-Z31)&lt;0,"0",(Z32-Z31))</f>
        <v>0</v>
      </c>
      <c r="AB32" s="142">
        <f t="shared" si="35"/>
        <v>41</v>
      </c>
      <c r="AC32" s="147">
        <f t="shared" ref="AC32" si="62">IF((AB32-AB31)&lt;0,"0",(AB32-AB31))</f>
        <v>0</v>
      </c>
      <c r="AD32" s="142">
        <f t="shared" si="45"/>
        <v>774</v>
      </c>
      <c r="AE32" s="147">
        <f t="shared" ref="AE32" si="63">IF((AD32-AD31)&lt;0,"0",(AD32-AD31))</f>
        <v>0</v>
      </c>
      <c r="AF32" s="142">
        <f t="shared" si="46"/>
        <v>9685</v>
      </c>
      <c r="AG32" s="147">
        <f t="shared" ref="AG32" si="64">IF((AF32-AF31)&lt;0,"0",(AF32-AF31))</f>
        <v>0</v>
      </c>
    </row>
    <row r="33" spans="1:33" s="22" customFormat="1" ht="15.75" thickBot="1" x14ac:dyDescent="0.25">
      <c r="A33" s="145" t="s">
        <v>23</v>
      </c>
      <c r="B33" s="145"/>
      <c r="C33" s="124">
        <f>SUM(C3:C32)</f>
        <v>30.235999999997148</v>
      </c>
      <c r="D33" s="124">
        <f>SUM(D4:D32)</f>
        <v>47678.599999994913</v>
      </c>
      <c r="E33" s="124"/>
      <c r="F33" s="124">
        <f>SUM(F3:F32)</f>
        <v>8.7870000000002619</v>
      </c>
      <c r="G33" s="124">
        <f>SUM(G4:G32)</f>
        <v>13300</v>
      </c>
      <c r="H33" s="124"/>
      <c r="I33" s="124">
        <f>SUM(I3:I32)</f>
        <v>23</v>
      </c>
      <c r="J33" s="124">
        <f>SUM(J4:J32)</f>
        <v>36100</v>
      </c>
      <c r="K33" s="124"/>
      <c r="L33" s="124">
        <f>SUM(L3:L32)</f>
        <v>3.7699999999986176</v>
      </c>
      <c r="M33" s="124">
        <f>SUM(M4:M32)</f>
        <v>6554.9999999979264</v>
      </c>
      <c r="N33" s="124"/>
      <c r="O33" s="124">
        <f>SUM(O3:O32)</f>
        <v>13.631000000000313</v>
      </c>
      <c r="P33" s="124">
        <f>SUM(P4:P32)</f>
        <v>21589.700000000536</v>
      </c>
      <c r="Q33" s="124"/>
      <c r="R33" s="124">
        <v>2.21</v>
      </c>
      <c r="S33" s="124">
        <f>SUM(S4:S32)</f>
        <v>11836.999999999171</v>
      </c>
      <c r="T33" s="124">
        <v>22.454999999999998</v>
      </c>
      <c r="U33" s="124">
        <f>SUM(U4:U32)</f>
        <v>137060.29999999254</v>
      </c>
      <c r="V33"/>
      <c r="W33" s="124" t="s">
        <v>141</v>
      </c>
      <c r="X33" s="124"/>
      <c r="Y33" s="124">
        <f>SUM(Y3:Y32)</f>
        <v>700</v>
      </c>
      <c r="Z33" s="124"/>
      <c r="AA33" s="124">
        <f>SUM(AA3:AA32)</f>
        <v>22</v>
      </c>
      <c r="AB33" s="124"/>
      <c r="AC33" s="124">
        <f>SUM(AC3:AC32)</f>
        <v>0.20000000000000284</v>
      </c>
      <c r="AD33" s="124"/>
      <c r="AE33" s="124">
        <f>SUM(AE3:AE32)</f>
        <v>14</v>
      </c>
      <c r="AF33" s="124">
        <v>0</v>
      </c>
      <c r="AG33" s="124">
        <f>SUM(AG3:AG32)</f>
        <v>47</v>
      </c>
    </row>
    <row r="35" spans="1:33" x14ac:dyDescent="0.2">
      <c r="AA35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2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3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3"/>
      <c r="B2" s="172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2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2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3"/>
      <c r="B3" s="173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73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73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3"/>
      <c r="B4" s="174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4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4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3"/>
      <c r="B5" s="172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2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2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3"/>
      <c r="B6" s="173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73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73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3"/>
      <c r="B7" s="174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4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4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3"/>
      <c r="B8" s="172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2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2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3"/>
      <c r="B9" s="173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73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73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3"/>
      <c r="B10" s="174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4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4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3"/>
      <c r="B11" s="172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2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2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3"/>
      <c r="B12" s="173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73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73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3"/>
      <c r="B13" s="174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4"/>
      <c r="I13" s="174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4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3"/>
      <c r="B14" s="172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5"/>
      <c r="I14" s="172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2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3"/>
      <c r="B15" s="173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5"/>
      <c r="I15" s="173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73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3"/>
      <c r="B16" s="174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5"/>
      <c r="I16" s="174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4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3"/>
      <c r="B17" s="172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5"/>
      <c r="I17" s="172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2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3"/>
      <c r="B18" s="173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5"/>
      <c r="I18" s="173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73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3"/>
      <c r="B19" s="174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5"/>
      <c r="I19" s="174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4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3"/>
      <c r="B20" s="172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5"/>
      <c r="I20" s="172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2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3"/>
      <c r="B21" s="173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6" t="s">
        <v>12</v>
      </c>
      <c r="I21" s="173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73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3"/>
      <c r="B22" s="174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5"/>
      <c r="I22" s="174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4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3"/>
      <c r="B23" s="172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5"/>
      <c r="I23" s="172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2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3"/>
      <c r="B24" s="173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5"/>
      <c r="I24" s="173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73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3"/>
      <c r="B25" s="174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5"/>
      <c r="I25" s="174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4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3"/>
      <c r="B26" s="172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6" t="s">
        <v>12</v>
      </c>
      <c r="I26" s="172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2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3"/>
      <c r="B27" s="173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6" t="s">
        <v>12</v>
      </c>
      <c r="I27" s="173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73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3"/>
      <c r="B28" s="174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5"/>
      <c r="I28" s="174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4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3"/>
      <c r="B29" s="172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5"/>
      <c r="I29" s="172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2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3"/>
      <c r="B30" s="173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5"/>
      <c r="I30" s="173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73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3"/>
      <c r="B31" s="174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5"/>
      <c r="I31" s="174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4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3"/>
      <c r="B32" s="172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5"/>
      <c r="I32" s="172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2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3"/>
      <c r="B33" s="173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5"/>
      <c r="I33" s="173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73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3"/>
      <c r="B34" s="174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5"/>
      <c r="I34" s="174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4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3"/>
      <c r="B35" s="172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5"/>
      <c r="I35" s="172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2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3"/>
      <c r="B36" s="173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5"/>
      <c r="I36" s="173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8"/>
      <c r="P36" s="173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3"/>
      <c r="B37" s="174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5"/>
      <c r="I37" s="174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4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3"/>
      <c r="B38" s="172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5"/>
      <c r="I38" s="172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2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3"/>
      <c r="B39" s="173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5"/>
      <c r="I39" s="173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73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3"/>
      <c r="B40" s="174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5"/>
      <c r="I40" s="174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4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3"/>
      <c r="B41" s="172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5"/>
      <c r="I41" s="172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2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3"/>
      <c r="B42" s="173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73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73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3"/>
      <c r="B43" s="174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4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4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3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3"/>
      <c r="B45" s="172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2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2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3"/>
      <c r="B46" s="173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73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73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3"/>
      <c r="B47" s="172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2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2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3"/>
      <c r="B48" s="173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73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73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3"/>
      <c r="B49" s="172">
        <v>23</v>
      </c>
      <c r="C49" s="59" t="s">
        <v>83</v>
      </c>
      <c r="D49" s="60"/>
      <c r="E49" s="60"/>
      <c r="F49" s="61">
        <f t="shared" si="6"/>
        <v>0</v>
      </c>
      <c r="G49" s="62"/>
      <c r="I49" s="172">
        <v>23</v>
      </c>
      <c r="J49" s="59" t="s">
        <v>83</v>
      </c>
      <c r="K49" s="60"/>
      <c r="L49" s="60"/>
      <c r="M49" s="61">
        <f t="shared" si="7"/>
        <v>0</v>
      </c>
      <c r="N49" s="62"/>
      <c r="P49" s="172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3"/>
      <c r="B50" s="173"/>
      <c r="C50" s="59" t="s">
        <v>82</v>
      </c>
      <c r="D50" s="60"/>
      <c r="E50" s="60"/>
      <c r="F50" s="61">
        <f t="shared" si="6"/>
        <v>0</v>
      </c>
      <c r="G50" s="62"/>
      <c r="I50" s="173"/>
      <c r="J50" s="59" t="s">
        <v>82</v>
      </c>
      <c r="K50" s="60"/>
      <c r="L50" s="60"/>
      <c r="M50" s="61">
        <f t="shared" si="7"/>
        <v>0</v>
      </c>
      <c r="N50" s="62"/>
      <c r="P50" s="173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3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3"/>
      <c r="B52" s="175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75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75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3"/>
      <c r="B53" s="176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76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76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3"/>
      <c r="B54" s="177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77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77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3"/>
      <c r="B55" s="172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2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2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3"/>
      <c r="B56" s="174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4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4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3"/>
      <c r="B57" s="172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2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2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3"/>
      <c r="B58" s="174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5"/>
      <c r="I58" s="174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4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3"/>
      <c r="B59" s="172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5"/>
      <c r="I59" s="172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2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3"/>
      <c r="B60" s="174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5"/>
      <c r="I60" s="174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4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3"/>
      <c r="B61" s="65"/>
      <c r="C61" s="66"/>
      <c r="D61" s="66"/>
      <c r="E61" s="66"/>
      <c r="F61" s="66">
        <f t="shared" si="6"/>
        <v>0</v>
      </c>
      <c r="G61" s="68"/>
      <c r="H61" s="155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3"/>
      <c r="B62" s="172">
        <v>28</v>
      </c>
      <c r="C62" s="167" t="s">
        <v>86</v>
      </c>
      <c r="D62" s="60"/>
      <c r="E62" s="60"/>
      <c r="F62" s="61">
        <f t="shared" si="6"/>
        <v>0</v>
      </c>
      <c r="G62" s="169" t="s">
        <v>87</v>
      </c>
      <c r="H62" s="155"/>
      <c r="I62" s="172">
        <v>28</v>
      </c>
      <c r="J62" s="167" t="s">
        <v>86</v>
      </c>
      <c r="K62" s="60"/>
      <c r="L62" s="60"/>
      <c r="M62" s="61">
        <f t="shared" si="7"/>
        <v>0</v>
      </c>
      <c r="N62" s="169" t="s">
        <v>87</v>
      </c>
      <c r="P62" s="172">
        <v>28</v>
      </c>
      <c r="Q62" s="167" t="s">
        <v>86</v>
      </c>
      <c r="R62" s="60"/>
      <c r="S62" s="60"/>
      <c r="T62" s="61">
        <f t="shared" si="5"/>
        <v>0</v>
      </c>
      <c r="U62" s="169" t="s">
        <v>87</v>
      </c>
    </row>
    <row r="63" spans="1:21" ht="15" x14ac:dyDescent="0.2">
      <c r="A63" s="153"/>
      <c r="B63" s="174"/>
      <c r="C63" s="168"/>
      <c r="D63" s="60"/>
      <c r="E63" s="60"/>
      <c r="F63" s="61">
        <f t="shared" si="6"/>
        <v>0</v>
      </c>
      <c r="G63" s="170"/>
      <c r="H63" s="155"/>
      <c r="I63" s="174"/>
      <c r="J63" s="168"/>
      <c r="K63" s="60"/>
      <c r="L63" s="60"/>
      <c r="M63" s="61">
        <f t="shared" si="7"/>
        <v>0</v>
      </c>
      <c r="N63" s="170"/>
      <c r="P63" s="174"/>
      <c r="Q63" s="168"/>
      <c r="R63" s="60"/>
      <c r="S63" s="60"/>
      <c r="T63" s="61">
        <f t="shared" si="5"/>
        <v>0</v>
      </c>
      <c r="U63" s="170"/>
    </row>
    <row r="64" spans="1:21" x14ac:dyDescent="0.2">
      <c r="A64" s="153"/>
      <c r="B64" s="171" t="s">
        <v>88</v>
      </c>
      <c r="C64" s="171"/>
      <c r="D64" s="171"/>
      <c r="E64" s="171"/>
      <c r="F64" s="73">
        <f>SUM(F2:F63)</f>
        <v>29502</v>
      </c>
      <c r="G64" s="74"/>
      <c r="H64" s="155"/>
      <c r="I64" s="171" t="s">
        <v>88</v>
      </c>
      <c r="J64" s="171"/>
      <c r="K64" s="171"/>
      <c r="L64" s="171"/>
      <c r="M64" s="73">
        <f>SUM(M2:M63)</f>
        <v>22105</v>
      </c>
      <c r="N64" s="74"/>
      <c r="P64" s="171" t="s">
        <v>88</v>
      </c>
      <c r="Q64" s="171"/>
      <c r="R64" s="171"/>
      <c r="S64" s="171"/>
      <c r="T64" s="73">
        <f>SUM(T2:T63)</f>
        <v>38228</v>
      </c>
      <c r="U64" s="74"/>
    </row>
    <row r="68" spans="1:14" ht="13.5" thickBot="1" x14ac:dyDescent="0.25">
      <c r="A68" s="157"/>
      <c r="B68" s="157"/>
      <c r="C68" s="158" t="s">
        <v>12</v>
      </c>
      <c r="D68" s="157"/>
      <c r="E68" s="157"/>
      <c r="F68" s="157"/>
      <c r="G68" s="157"/>
    </row>
    <row r="69" spans="1:14" ht="13.5" thickBot="1" x14ac:dyDescent="0.25">
      <c r="A69" s="178">
        <v>44774</v>
      </c>
      <c r="B69" s="179"/>
      <c r="C69" s="179"/>
      <c r="D69" s="180"/>
      <c r="E69" s="159"/>
      <c r="F69" s="178">
        <v>44805</v>
      </c>
      <c r="G69" s="179"/>
      <c r="H69" s="179"/>
      <c r="I69" s="180"/>
      <c r="J69" s="159"/>
      <c r="K69" s="181" t="s">
        <v>25</v>
      </c>
      <c r="L69" s="182"/>
      <c r="M69" s="182"/>
      <c r="N69" s="183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7"/>
      <c r="F70" s="130" t="s">
        <v>139</v>
      </c>
      <c r="G70" s="130">
        <v>30</v>
      </c>
      <c r="H70" s="130" t="s">
        <v>89</v>
      </c>
      <c r="I70" s="130" t="s">
        <v>90</v>
      </c>
      <c r="J70" s="157"/>
      <c r="K70" s="160" t="s">
        <v>77</v>
      </c>
      <c r="L70" s="160">
        <v>30</v>
      </c>
      <c r="M70" s="160" t="s">
        <v>89</v>
      </c>
      <c r="N70" s="160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7"/>
      <c r="F71" s="75">
        <v>6</v>
      </c>
      <c r="G71" s="76">
        <v>100923</v>
      </c>
      <c r="H71" s="77">
        <v>61931</v>
      </c>
      <c r="I71" s="78">
        <v>78973</v>
      </c>
      <c r="J71" s="157"/>
      <c r="K71" s="160">
        <v>6</v>
      </c>
      <c r="L71" s="161">
        <f>G71-B71</f>
        <v>643</v>
      </c>
      <c r="M71" s="161">
        <f>H71-C71</f>
        <v>569</v>
      </c>
      <c r="N71" s="161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7"/>
      <c r="F72" s="75">
        <v>7</v>
      </c>
      <c r="G72" s="76">
        <v>102943</v>
      </c>
      <c r="H72" s="77">
        <v>107004</v>
      </c>
      <c r="I72" s="78">
        <v>68426</v>
      </c>
      <c r="J72" s="157"/>
      <c r="K72" s="160">
        <v>7</v>
      </c>
      <c r="L72" s="161">
        <f t="shared" ref="L72:N92" si="8">G72-B72</f>
        <v>256</v>
      </c>
      <c r="M72" s="161">
        <f t="shared" si="8"/>
        <v>385</v>
      </c>
      <c r="N72" s="161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7"/>
      <c r="F73" s="75">
        <v>8</v>
      </c>
      <c r="G73" s="76">
        <v>124578</v>
      </c>
      <c r="H73" s="77">
        <v>274450</v>
      </c>
      <c r="I73" s="78">
        <v>114657</v>
      </c>
      <c r="J73" s="157"/>
      <c r="K73" s="160">
        <v>8</v>
      </c>
      <c r="L73" s="161">
        <f t="shared" si="8"/>
        <v>1122</v>
      </c>
      <c r="M73" s="161">
        <f t="shared" si="8"/>
        <v>2311</v>
      </c>
      <c r="N73" s="161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7"/>
      <c r="F74" s="75">
        <v>9</v>
      </c>
      <c r="G74" s="76">
        <v>70009</v>
      </c>
      <c r="H74" s="77">
        <v>157904</v>
      </c>
      <c r="I74" s="78">
        <v>171070</v>
      </c>
      <c r="J74" s="157"/>
      <c r="K74" s="160">
        <v>9</v>
      </c>
      <c r="L74" s="161">
        <f t="shared" si="8"/>
        <v>148</v>
      </c>
      <c r="M74" s="161">
        <f t="shared" si="8"/>
        <v>289</v>
      </c>
      <c r="N74" s="161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7"/>
      <c r="F75" s="75">
        <v>10</v>
      </c>
      <c r="G75" s="76">
        <v>78503</v>
      </c>
      <c r="H75" s="77">
        <v>131120</v>
      </c>
      <c r="I75" s="78">
        <v>163137</v>
      </c>
      <c r="J75" s="157"/>
      <c r="K75" s="160">
        <v>10</v>
      </c>
      <c r="L75" s="161">
        <f t="shared" si="8"/>
        <v>400</v>
      </c>
      <c r="M75" s="161">
        <f t="shared" si="8"/>
        <v>1776</v>
      </c>
      <c r="N75" s="161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7"/>
      <c r="F76" s="75">
        <v>11</v>
      </c>
      <c r="G76" s="76">
        <v>165811</v>
      </c>
      <c r="H76" s="77">
        <v>191733</v>
      </c>
      <c r="I76" s="78">
        <v>216113</v>
      </c>
      <c r="J76" s="157"/>
      <c r="K76" s="160">
        <v>11</v>
      </c>
      <c r="L76" s="161">
        <f>G76-B76</f>
        <v>1100</v>
      </c>
      <c r="M76" s="161">
        <f t="shared" si="8"/>
        <v>601</v>
      </c>
      <c r="N76" s="161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7"/>
      <c r="F77" s="75">
        <v>12</v>
      </c>
      <c r="G77" s="76">
        <v>159061</v>
      </c>
      <c r="H77" s="77">
        <v>103019</v>
      </c>
      <c r="I77" s="78">
        <v>103708</v>
      </c>
      <c r="J77" s="157"/>
      <c r="K77" s="160">
        <v>12</v>
      </c>
      <c r="L77" s="161">
        <f t="shared" si="8"/>
        <v>713</v>
      </c>
      <c r="M77" s="161">
        <f>H77-C77</f>
        <v>1108</v>
      </c>
      <c r="N77" s="161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7"/>
      <c r="F78" s="75">
        <v>14</v>
      </c>
      <c r="G78" s="76">
        <v>124679</v>
      </c>
      <c r="H78" s="77">
        <v>49938</v>
      </c>
      <c r="I78" s="78">
        <v>52433</v>
      </c>
      <c r="J78" s="157"/>
      <c r="K78" s="160">
        <v>14</v>
      </c>
      <c r="L78" s="161">
        <f t="shared" si="8"/>
        <v>399</v>
      </c>
      <c r="M78" s="161">
        <f t="shared" si="8"/>
        <v>62</v>
      </c>
      <c r="N78" s="161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7"/>
      <c r="F79" s="75">
        <v>15</v>
      </c>
      <c r="G79" s="76">
        <v>179567</v>
      </c>
      <c r="H79" s="77">
        <v>160504</v>
      </c>
      <c r="I79" s="78">
        <v>167265</v>
      </c>
      <c r="J79" s="157"/>
      <c r="K79" s="160">
        <v>15</v>
      </c>
      <c r="L79" s="161">
        <f t="shared" si="8"/>
        <v>601</v>
      </c>
      <c r="M79" s="161">
        <f t="shared" si="8"/>
        <v>1382</v>
      </c>
      <c r="N79" s="161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7"/>
      <c r="F80" s="75">
        <v>16</v>
      </c>
      <c r="G80" s="76">
        <v>133482</v>
      </c>
      <c r="H80" s="77">
        <v>160560</v>
      </c>
      <c r="I80" s="78">
        <v>221589</v>
      </c>
      <c r="J80" s="157"/>
      <c r="K80" s="160">
        <v>16</v>
      </c>
      <c r="L80" s="161">
        <f t="shared" si="8"/>
        <v>1560</v>
      </c>
      <c r="M80" s="161">
        <f t="shared" si="8"/>
        <v>739</v>
      </c>
      <c r="N80" s="161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7"/>
      <c r="F81" s="75">
        <v>17</v>
      </c>
      <c r="G81" s="76">
        <v>38476</v>
      </c>
      <c r="H81" s="77">
        <v>89739</v>
      </c>
      <c r="I81" s="78">
        <v>204707</v>
      </c>
      <c r="J81" s="157"/>
      <c r="K81" s="160">
        <v>17</v>
      </c>
      <c r="L81" s="161">
        <f t="shared" si="8"/>
        <v>0</v>
      </c>
      <c r="M81" s="161">
        <f t="shared" si="8"/>
        <v>466</v>
      </c>
      <c r="N81" s="161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7"/>
      <c r="F82" s="75">
        <v>18</v>
      </c>
      <c r="G82" s="76">
        <v>142800</v>
      </c>
      <c r="H82" s="77">
        <v>76162</v>
      </c>
      <c r="I82" s="78">
        <v>168502</v>
      </c>
      <c r="J82" s="157"/>
      <c r="K82" s="160">
        <v>18</v>
      </c>
      <c r="L82" s="161">
        <f t="shared" si="8"/>
        <v>456</v>
      </c>
      <c r="M82" s="161">
        <f t="shared" si="8"/>
        <v>279</v>
      </c>
      <c r="N82" s="161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7"/>
      <c r="F83" s="75">
        <v>19</v>
      </c>
      <c r="G83" s="76">
        <v>78910</v>
      </c>
      <c r="H83" s="77">
        <v>178832</v>
      </c>
      <c r="I83" s="78">
        <v>132423</v>
      </c>
      <c r="J83" s="157"/>
      <c r="K83" s="160">
        <v>19</v>
      </c>
      <c r="L83" s="161">
        <f t="shared" si="8"/>
        <v>69</v>
      </c>
      <c r="M83" s="161">
        <f t="shared" si="8"/>
        <v>794</v>
      </c>
      <c r="N83" s="161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7"/>
      <c r="F84" s="75">
        <v>20</v>
      </c>
      <c r="G84" s="76">
        <v>149416</v>
      </c>
      <c r="H84" s="77">
        <v>183874</v>
      </c>
      <c r="I84" s="78">
        <v>92780</v>
      </c>
      <c r="J84" s="157"/>
      <c r="K84" s="160">
        <v>20</v>
      </c>
      <c r="L84" s="161">
        <f>G84-B84</f>
        <v>533</v>
      </c>
      <c r="M84" s="161">
        <f t="shared" si="8"/>
        <v>1052</v>
      </c>
      <c r="N84" s="161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7"/>
      <c r="F85" s="75">
        <v>21</v>
      </c>
      <c r="G85" s="76">
        <v>195004</v>
      </c>
      <c r="H85" s="77">
        <v>94677</v>
      </c>
      <c r="I85" s="78">
        <v>120440</v>
      </c>
      <c r="J85" s="157"/>
      <c r="K85" s="160">
        <v>21</v>
      </c>
      <c r="L85" s="161">
        <f t="shared" si="8"/>
        <v>197</v>
      </c>
      <c r="M85" s="161">
        <f t="shared" si="8"/>
        <v>500</v>
      </c>
      <c r="N85" s="161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7"/>
      <c r="F86" s="75">
        <v>22</v>
      </c>
      <c r="G86" s="76">
        <v>147505</v>
      </c>
      <c r="H86" s="77">
        <v>107055</v>
      </c>
      <c r="I86" s="78">
        <v>123209</v>
      </c>
      <c r="J86" s="157"/>
      <c r="K86" s="160">
        <v>22</v>
      </c>
      <c r="L86" s="161">
        <f t="shared" si="8"/>
        <v>1428</v>
      </c>
      <c r="M86" s="161">
        <f t="shared" si="8"/>
        <v>1817</v>
      </c>
      <c r="N86" s="161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7"/>
      <c r="F87" s="75">
        <v>23</v>
      </c>
      <c r="G87" s="76">
        <v>132195</v>
      </c>
      <c r="H87" s="77">
        <v>160723</v>
      </c>
      <c r="I87" s="78">
        <v>304876</v>
      </c>
      <c r="J87" s="157"/>
      <c r="K87" s="160">
        <v>23</v>
      </c>
      <c r="L87" s="161">
        <f t="shared" si="8"/>
        <v>333</v>
      </c>
      <c r="M87" s="161">
        <f t="shared" si="8"/>
        <v>269</v>
      </c>
      <c r="N87" s="161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7"/>
      <c r="F88" s="75">
        <v>24</v>
      </c>
      <c r="G88" s="76">
        <v>81914</v>
      </c>
      <c r="H88" s="77">
        <v>157399</v>
      </c>
      <c r="I88" s="78">
        <v>102900</v>
      </c>
      <c r="J88" s="157"/>
      <c r="K88" s="160">
        <v>24</v>
      </c>
      <c r="L88" s="161">
        <f t="shared" si="8"/>
        <v>163</v>
      </c>
      <c r="M88" s="161">
        <f t="shared" si="8"/>
        <v>565</v>
      </c>
      <c r="N88" s="161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7"/>
      <c r="F89" s="75">
        <v>25</v>
      </c>
      <c r="G89" s="76">
        <v>130363</v>
      </c>
      <c r="H89" s="77">
        <v>182719</v>
      </c>
      <c r="I89" s="78">
        <v>174330</v>
      </c>
      <c r="J89" s="157"/>
      <c r="K89" s="160">
        <v>25</v>
      </c>
      <c r="L89" s="161">
        <f>G89-B89</f>
        <v>1363</v>
      </c>
      <c r="M89" s="161">
        <f t="shared" si="8"/>
        <v>222</v>
      </c>
      <c r="N89" s="161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7"/>
      <c r="F90" s="75">
        <v>26</v>
      </c>
      <c r="G90" s="76">
        <v>128669</v>
      </c>
      <c r="H90" s="77">
        <v>61157</v>
      </c>
      <c r="I90" s="78">
        <v>64800</v>
      </c>
      <c r="J90" s="157"/>
      <c r="K90" s="160">
        <v>26</v>
      </c>
      <c r="L90" s="161">
        <f t="shared" si="8"/>
        <v>1755</v>
      </c>
      <c r="M90" s="161">
        <f t="shared" si="8"/>
        <v>679</v>
      </c>
      <c r="N90" s="161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7"/>
      <c r="F91" s="75">
        <v>27</v>
      </c>
      <c r="G91" s="76">
        <v>105011</v>
      </c>
      <c r="H91" s="77">
        <v>116177</v>
      </c>
      <c r="I91" s="78">
        <v>129074</v>
      </c>
      <c r="J91" s="157"/>
      <c r="K91" s="160">
        <v>27</v>
      </c>
      <c r="L91" s="161">
        <f t="shared" si="8"/>
        <v>269</v>
      </c>
      <c r="M91" s="161">
        <f t="shared" si="8"/>
        <v>513</v>
      </c>
      <c r="N91" s="161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7"/>
      <c r="F92" s="75">
        <v>28</v>
      </c>
      <c r="G92" s="76">
        <v>204746</v>
      </c>
      <c r="H92" s="77">
        <v>103708</v>
      </c>
      <c r="I92" s="78">
        <v>116500</v>
      </c>
      <c r="J92" s="157"/>
      <c r="K92" s="160">
        <v>28</v>
      </c>
      <c r="L92" s="161">
        <f t="shared" si="8"/>
        <v>208</v>
      </c>
      <c r="M92" s="161">
        <f t="shared" si="8"/>
        <v>48</v>
      </c>
      <c r="N92" s="161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7"/>
      <c r="F93" s="75">
        <v>29</v>
      </c>
      <c r="G93" s="76"/>
      <c r="H93" s="77">
        <v>0</v>
      </c>
      <c r="I93" s="78"/>
      <c r="J93" s="157"/>
      <c r="K93" s="160">
        <v>29</v>
      </c>
      <c r="L93" s="161">
        <f>G93-B93</f>
        <v>0</v>
      </c>
      <c r="M93" s="161">
        <v>0</v>
      </c>
      <c r="N93" s="161"/>
    </row>
    <row r="94" spans="1:14" ht="15.75" thickBot="1" x14ac:dyDescent="0.25">
      <c r="A94" s="75">
        <v>30</v>
      </c>
      <c r="B94" s="76"/>
      <c r="C94" s="77">
        <v>0</v>
      </c>
      <c r="D94" s="78"/>
      <c r="E94" s="157"/>
      <c r="F94" s="75">
        <v>30</v>
      </c>
      <c r="G94" s="76"/>
      <c r="H94" s="77">
        <v>0</v>
      </c>
      <c r="I94" s="78"/>
      <c r="J94" s="157"/>
      <c r="K94" s="160">
        <v>30</v>
      </c>
      <c r="L94" s="161">
        <f>G94-B94</f>
        <v>0</v>
      </c>
      <c r="M94" s="161">
        <v>0</v>
      </c>
      <c r="N94" s="157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26" sqref="F2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150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2"/>
      <c r="B2" s="83" t="s">
        <v>92</v>
      </c>
      <c r="C2" s="84">
        <f>K8+K9+K14</f>
        <v>100658</v>
      </c>
      <c r="D2" s="84">
        <f>C2*1.27</f>
        <v>127835.66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34489833</v>
      </c>
      <c r="J3" s="121">
        <f>ELECT.!E32</f>
        <v>34550289</v>
      </c>
      <c r="K3" s="150">
        <f>J3-I3</f>
        <v>60456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8020796</v>
      </c>
      <c r="J4" s="121">
        <f>ELECT.!G32</f>
        <v>8340141</v>
      </c>
      <c r="K4" s="150">
        <f>J4-I4</f>
        <v>319345</v>
      </c>
    </row>
    <row r="5" spans="1:13" ht="13.5" thickBot="1" x14ac:dyDescent="0.25">
      <c r="A5" s="82"/>
      <c r="B5" s="88" t="s">
        <v>27</v>
      </c>
      <c r="C5" s="92">
        <f>(K10+K12)*0.842284+K26</f>
        <v>178348.8143</v>
      </c>
      <c r="D5" s="92">
        <f t="shared" ref="D5:D11" si="0">C5*1.27</f>
        <v>226502.99416100001</v>
      </c>
      <c r="E5" s="93"/>
      <c r="F5" s="82"/>
      <c r="G5" s="82"/>
      <c r="H5" s="88" t="s">
        <v>23</v>
      </c>
      <c r="I5" s="94"/>
      <c r="J5" s="94"/>
      <c r="K5" s="114">
        <f>K3+K4</f>
        <v>379801</v>
      </c>
    </row>
    <row r="6" spans="1:13" ht="13.5" thickBot="1" x14ac:dyDescent="0.25">
      <c r="A6" s="82"/>
      <c r="B6" s="88" t="s">
        <v>99</v>
      </c>
      <c r="C6" s="92">
        <f>(K10+K12+K26)*0.1488</f>
        <v>31427.303999999996</v>
      </c>
      <c r="D6" s="92">
        <f t="shared" si="0"/>
        <v>39912.676079999997</v>
      </c>
      <c r="E6" s="93"/>
      <c r="F6" s="82"/>
      <c r="G6" s="82"/>
      <c r="H6" s="88" t="s">
        <v>100</v>
      </c>
      <c r="I6" s="125">
        <f>ELECT.!J2</f>
        <v>778844</v>
      </c>
      <c r="J6" s="121">
        <f>ELECT.!J32</f>
        <v>814150</v>
      </c>
      <c r="K6" s="150">
        <f>J6-I6</f>
        <v>35306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56283</v>
      </c>
      <c r="D7" s="92">
        <f t="shared" si="0"/>
        <v>71479.41</v>
      </c>
      <c r="E7" s="93"/>
      <c r="F7" s="82"/>
      <c r="G7" s="82"/>
      <c r="H7" s="88" t="s">
        <v>102</v>
      </c>
      <c r="I7" s="125">
        <f>ELECT.!L2</f>
        <v>1090422</v>
      </c>
      <c r="J7" s="121">
        <f>ELECT.!L32</f>
        <v>1125934</v>
      </c>
      <c r="K7" s="150">
        <f>J7-I7</f>
        <v>35512</v>
      </c>
    </row>
    <row r="8" spans="1:13" ht="13.5" thickBot="1" x14ac:dyDescent="0.25">
      <c r="A8" s="82"/>
      <c r="B8" s="88" t="s">
        <v>103</v>
      </c>
      <c r="C8" s="92">
        <f>K21+K22+K23+K24</f>
        <v>6375</v>
      </c>
      <c r="D8" s="92">
        <f t="shared" si="0"/>
        <v>8096.25</v>
      </c>
      <c r="E8" s="93"/>
      <c r="F8" s="82"/>
      <c r="G8" s="82"/>
      <c r="H8" s="88" t="s">
        <v>104</v>
      </c>
      <c r="I8" s="125">
        <f>ELECT.!N2</f>
        <v>7829931</v>
      </c>
      <c r="J8" s="121">
        <f>ELECT.!N32</f>
        <v>7841907</v>
      </c>
      <c r="K8" s="79">
        <f>(J8-I8)*2</f>
        <v>23952</v>
      </c>
    </row>
    <row r="9" spans="1:13" ht="13.5" thickBot="1" x14ac:dyDescent="0.25">
      <c r="A9" s="82"/>
      <c r="B9" s="88" t="s">
        <v>137</v>
      </c>
      <c r="C9" s="92">
        <f>K25+K16+K17</f>
        <v>1622</v>
      </c>
      <c r="D9" s="92">
        <f t="shared" si="0"/>
        <v>2059.94</v>
      </c>
      <c r="E9" s="93"/>
      <c r="F9" s="82"/>
      <c r="G9" s="82"/>
      <c r="H9" s="88" t="s">
        <v>105</v>
      </c>
      <c r="I9" s="125">
        <f>ELECT.!P2</f>
        <v>8663411</v>
      </c>
      <c r="J9" s="121">
        <f>ELECT.!P32</f>
        <v>8732448</v>
      </c>
      <c r="K9" s="79">
        <f>J9-I9</f>
        <v>69037</v>
      </c>
    </row>
    <row r="10" spans="1:13" ht="13.5" thickBot="1" x14ac:dyDescent="0.25">
      <c r="A10" s="82"/>
      <c r="B10" s="88" t="s">
        <v>106</v>
      </c>
      <c r="C10" s="92">
        <f>K18</f>
        <v>3040</v>
      </c>
      <c r="D10" s="92">
        <f t="shared" si="0"/>
        <v>3860.8</v>
      </c>
      <c r="E10" s="93"/>
      <c r="F10" s="82"/>
      <c r="G10" s="82"/>
      <c r="H10" s="88" t="s">
        <v>107</v>
      </c>
      <c r="I10" s="125">
        <f>ELECT.!R2</f>
        <v>22904468</v>
      </c>
      <c r="J10" s="121">
        <f>ELECT.!R32</f>
        <v>22969659</v>
      </c>
      <c r="K10" s="79">
        <f>J10-I10</f>
        <v>65191</v>
      </c>
    </row>
    <row r="11" spans="1:13" ht="13.5" thickBot="1" x14ac:dyDescent="0.25">
      <c r="A11" s="82"/>
      <c r="B11" s="88" t="s">
        <v>108</v>
      </c>
      <c r="C11" s="92">
        <f>K19+K20</f>
        <v>618</v>
      </c>
      <c r="D11" s="92">
        <f t="shared" si="0"/>
        <v>784.86</v>
      </c>
      <c r="E11" s="93"/>
      <c r="F11" s="82"/>
      <c r="G11" s="82"/>
      <c r="H11" s="88" t="s">
        <v>109</v>
      </c>
      <c r="I11" s="95">
        <v>0</v>
      </c>
      <c r="J11" s="121">
        <f>ELECT.!G35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973410</v>
      </c>
      <c r="J12" s="121">
        <f>ELECT.!V32</f>
        <v>1044977</v>
      </c>
      <c r="K12" s="79">
        <f>(J12-I12)*2</f>
        <v>143134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372132</v>
      </c>
    </row>
    <row r="14" spans="1:13" ht="13.5" thickBot="1" x14ac:dyDescent="0.25">
      <c r="A14" s="82"/>
      <c r="B14" s="88" t="s">
        <v>42</v>
      </c>
      <c r="C14" s="92">
        <f>K29</f>
        <v>4750</v>
      </c>
      <c r="D14" s="100">
        <f t="shared" ref="D14:D22" si="1">C14*10.03</f>
        <v>47642.5</v>
      </c>
      <c r="E14" s="101"/>
      <c r="F14" s="82"/>
      <c r="G14" s="82"/>
      <c r="H14" s="88" t="s">
        <v>114</v>
      </c>
      <c r="I14" s="97"/>
      <c r="J14" s="98"/>
      <c r="K14" s="80">
        <f>K5-K13</f>
        <v>7669</v>
      </c>
    </row>
    <row r="15" spans="1:13" ht="13.5" thickBot="1" x14ac:dyDescent="0.25">
      <c r="A15" s="82"/>
      <c r="B15" s="88" t="s">
        <v>115</v>
      </c>
      <c r="C15" s="102">
        <f>K30</f>
        <v>30.213000000000001</v>
      </c>
      <c r="D15" s="100">
        <f t="shared" si="1"/>
        <v>303.03638999999998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-145.00807339999997</v>
      </c>
      <c r="D16" s="100">
        <f t="shared" si="1"/>
        <v>-1454.4309762019996</v>
      </c>
      <c r="E16" s="101"/>
      <c r="F16" s="82"/>
      <c r="G16" s="82"/>
      <c r="H16" s="103" t="s">
        <v>136</v>
      </c>
      <c r="I16" s="104">
        <f>'Mall, Citadel, Rotana'!T2</f>
        <v>4084</v>
      </c>
      <c r="J16" s="104">
        <f>'Mall, Citadel, Rotana'!T32</f>
        <v>4088</v>
      </c>
      <c r="K16" s="81">
        <f>(J16-I16)*160</f>
        <v>640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340309</v>
      </c>
      <c r="J17" s="104">
        <f>'Mall, Citadel, Rotana'!J32</f>
        <v>341272</v>
      </c>
      <c r="K17" s="81">
        <f>(J17-I17)</f>
        <v>963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26637</v>
      </c>
      <c r="J18" s="104">
        <f>'Mall, Citadel, Rotana'!L32</f>
        <v>26656</v>
      </c>
      <c r="K18" s="81">
        <f>(J18-I18)*160</f>
        <v>3040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5" t="s">
        <v>116</v>
      </c>
      <c r="F19" s="186"/>
      <c r="G19" s="82"/>
      <c r="H19" s="103" t="s">
        <v>117</v>
      </c>
      <c r="I19" s="104">
        <f>'Mall, Citadel, Rotana'!P2</f>
        <v>176961</v>
      </c>
      <c r="J19" s="104">
        <f>'Mall, Citadel, Rotana'!P32</f>
        <v>177579</v>
      </c>
      <c r="K19" s="81">
        <f>J19-I19</f>
        <v>618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47793</v>
      </c>
      <c r="J21" s="104">
        <f>'Mall, Citadel, Rotana'!B32</f>
        <v>47819</v>
      </c>
      <c r="K21" s="81">
        <f>(J21-I21)*120</f>
        <v>3120</v>
      </c>
    </row>
    <row r="22" spans="1:11" ht="13.5" thickBot="1" x14ac:dyDescent="0.25">
      <c r="A22" s="82"/>
      <c r="B22" s="88" t="s">
        <v>119</v>
      </c>
      <c r="C22" s="100">
        <f>C14-(C15+C16+C17+C18+C19+C20+C21)</f>
        <v>-955.20492659999945</v>
      </c>
      <c r="D22" s="100">
        <f t="shared" si="1"/>
        <v>-9580.705413797994</v>
      </c>
      <c r="E22" s="101"/>
      <c r="F22" s="82"/>
      <c r="G22" s="82"/>
      <c r="H22" s="103" t="s">
        <v>15</v>
      </c>
      <c r="I22" s="104">
        <f>'Mall, Citadel, Rotana'!D2</f>
        <v>41101</v>
      </c>
      <c r="J22" s="104">
        <f>'Mall, Citadel, Rotana'!D32</f>
        <v>41118</v>
      </c>
      <c r="K22" s="81">
        <f>(J22-I22)*160</f>
        <v>2720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22236</v>
      </c>
      <c r="J23" s="104">
        <f>'Mall, Citadel, Rotana'!F32</f>
        <v>22256</v>
      </c>
      <c r="K23" s="81">
        <f>(J23-I23)*20</f>
        <v>400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259850</v>
      </c>
      <c r="J24" s="104">
        <f>'Mall, Citadel, Rotana'!H32</f>
        <v>259985</v>
      </c>
      <c r="K24" s="81">
        <f>J24-I24</f>
        <v>135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226525</v>
      </c>
      <c r="J25" s="104">
        <f>'Mall, Citadel, Rotana'!N32</f>
        <v>226544</v>
      </c>
      <c r="K25" s="81">
        <f>J25-I25</f>
        <v>19</v>
      </c>
    </row>
    <row r="26" spans="1:11" ht="13.5" thickBot="1" x14ac:dyDescent="0.25">
      <c r="A26" s="82"/>
      <c r="B26" s="88" t="s">
        <v>42</v>
      </c>
      <c r="C26" s="106">
        <f>K35</f>
        <v>13494</v>
      </c>
      <c r="D26" s="92">
        <f>C26*3.65</f>
        <v>49253.1</v>
      </c>
      <c r="E26" s="93"/>
      <c r="F26" s="82"/>
      <c r="G26" s="82"/>
      <c r="H26" s="103" t="s">
        <v>123</v>
      </c>
      <c r="I26" s="113">
        <f>ELECT.!C2</f>
        <v>20283</v>
      </c>
      <c r="J26" s="113">
        <f>ELECT.!C32</f>
        <v>20301</v>
      </c>
      <c r="K26" s="81">
        <f>(J26-I26)*160</f>
        <v>2880</v>
      </c>
    </row>
    <row r="27" spans="1:11" ht="13.5" thickBot="1" x14ac:dyDescent="0.25">
      <c r="A27" s="82"/>
      <c r="B27" s="83" t="s">
        <v>124</v>
      </c>
      <c r="C27" s="106">
        <f>C26</f>
        <v>13494</v>
      </c>
      <c r="D27" s="92">
        <f>C27*3.65</f>
        <v>49253.1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465500</v>
      </c>
      <c r="J29" s="104">
        <f>Water!B32</f>
        <v>465975</v>
      </c>
      <c r="K29" s="81">
        <f>(J29-I29)*10</f>
        <v>4750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819002</v>
      </c>
      <c r="J30" s="104">
        <f>Water!H32</f>
        <v>820121</v>
      </c>
      <c r="K30" s="81">
        <f>(J30-I30)*0.027</f>
        <v>30.213000000000001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15217</v>
      </c>
      <c r="J31" s="104">
        <f>Water!D32</f>
        <v>15432</v>
      </c>
      <c r="K31" s="81">
        <f>(J31-I31)*0.027</f>
        <v>5.8049999999999997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12472400</v>
      </c>
      <c r="J32" s="104">
        <f>Water!F32</f>
        <v>12566500</v>
      </c>
      <c r="K32" s="81">
        <f>(J32-I32)*0.027</f>
        <v>2540.6999999999998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18556220</v>
      </c>
      <c r="J35" s="123">
        <f>Gas!B32</f>
        <v>18569714</v>
      </c>
      <c r="K35" s="112">
        <f>J35-I35</f>
        <v>13494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2022-11-06T22:48:40Z</dcterms:modified>
</cp:coreProperties>
</file>