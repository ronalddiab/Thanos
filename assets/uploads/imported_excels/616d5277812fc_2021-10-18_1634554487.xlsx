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256" documentId="8_{5B502D95-7A37-4D5A-8B6B-374537CC2F26}" xr6:coauthVersionLast="47" xr6:coauthVersionMax="47" xr10:uidLastSave="{BCDF2EF2-4C27-46AD-A8E0-EBE70E88402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2" l="1"/>
  <c r="V25" i="2"/>
  <c r="V26" i="2"/>
  <c r="N25" i="2"/>
  <c r="N26" i="2"/>
  <c r="N27" i="2"/>
  <c r="M25" i="2"/>
  <c r="M26" i="2"/>
  <c r="M27" i="2"/>
  <c r="L25" i="2"/>
  <c r="L26" i="2"/>
  <c r="L27" i="2"/>
  <c r="F25" i="2"/>
  <c r="F26" i="2"/>
  <c r="F27" i="2"/>
  <c r="K26" i="6"/>
  <c r="I26" i="6"/>
  <c r="G26" i="6"/>
  <c r="E26" i="6"/>
  <c r="K25" i="6"/>
  <c r="I25" i="6"/>
  <c r="G25" i="6"/>
  <c r="E25" i="6"/>
  <c r="K24" i="6"/>
  <c r="I24" i="6"/>
  <c r="G24" i="6"/>
  <c r="E24" i="6"/>
  <c r="V23" i="2"/>
  <c r="N24" i="2"/>
  <c r="M24" i="2"/>
  <c r="L24" i="2"/>
  <c r="F24" i="2"/>
  <c r="K23" i="6"/>
  <c r="I23" i="6"/>
  <c r="G23" i="6"/>
  <c r="E23" i="6"/>
  <c r="V22" i="2"/>
  <c r="N23" i="2"/>
  <c r="M23" i="2"/>
  <c r="L23" i="2"/>
  <c r="F23" i="2"/>
  <c r="G17" i="4"/>
  <c r="K22" i="6"/>
  <c r="I22" i="6"/>
  <c r="G22" i="6"/>
  <c r="E22" i="6"/>
  <c r="V21" i="2"/>
  <c r="N22" i="2"/>
  <c r="M22" i="2"/>
  <c r="L22" i="2"/>
  <c r="F22" i="2"/>
  <c r="K21" i="6"/>
  <c r="I21" i="6"/>
  <c r="G21" i="6"/>
  <c r="E21" i="6"/>
  <c r="V20" i="2"/>
  <c r="N21" i="2"/>
  <c r="M21" i="2"/>
  <c r="L21" i="2"/>
  <c r="F21" i="2"/>
  <c r="K20" i="6"/>
  <c r="I20" i="6"/>
  <c r="G20" i="6"/>
  <c r="E20" i="6"/>
  <c r="V17" i="2"/>
  <c r="V18" i="2"/>
  <c r="V19" i="2"/>
  <c r="N18" i="2"/>
  <c r="N19" i="2"/>
  <c r="N20" i="2"/>
  <c r="M18" i="2"/>
  <c r="M19" i="2"/>
  <c r="M20" i="2"/>
  <c r="L18" i="2"/>
  <c r="L19" i="2"/>
  <c r="L20" i="2"/>
  <c r="F18" i="2"/>
  <c r="F19" i="2"/>
  <c r="F20" i="2"/>
  <c r="K19" i="6"/>
  <c r="I19" i="6"/>
  <c r="G19" i="6"/>
  <c r="E19" i="6"/>
  <c r="K18" i="6"/>
  <c r="I18" i="6"/>
  <c r="G18" i="6"/>
  <c r="E18" i="6"/>
  <c r="K17" i="6"/>
  <c r="I17" i="6"/>
  <c r="G17" i="6"/>
  <c r="E17" i="6"/>
  <c r="F17" i="2"/>
  <c r="E16" i="6"/>
  <c r="V16" i="2"/>
  <c r="N17" i="2"/>
  <c r="M17" i="2"/>
  <c r="L17" i="2"/>
  <c r="K16" i="6"/>
  <c r="I16" i="6"/>
  <c r="G16" i="6"/>
  <c r="V15" i="2"/>
  <c r="N16" i="2"/>
  <c r="M16" i="2"/>
  <c r="L16" i="2"/>
  <c r="F16" i="2"/>
  <c r="K15" i="6"/>
  <c r="I15" i="6"/>
  <c r="G15" i="6"/>
  <c r="E15" i="6"/>
  <c r="V14" i="2"/>
  <c r="N15" i="2"/>
  <c r="M15" i="2"/>
  <c r="L15" i="2"/>
  <c r="F15" i="2"/>
  <c r="E14" i="6"/>
  <c r="G14" i="6"/>
  <c r="I14" i="6"/>
  <c r="K14" i="6"/>
  <c r="V11" i="2"/>
  <c r="V12" i="2"/>
  <c r="V13" i="2"/>
  <c r="V10" i="2"/>
  <c r="K13" i="6"/>
  <c r="N14" i="2" s="1"/>
  <c r="I13" i="6"/>
  <c r="M14" i="2" s="1"/>
  <c r="G13" i="6"/>
  <c r="L14" i="2" s="1"/>
  <c r="E13" i="6"/>
  <c r="F14" i="2" s="1"/>
  <c r="K11" i="6"/>
  <c r="N12" i="2" s="1"/>
  <c r="K12" i="6"/>
  <c r="N13" i="2" s="1"/>
  <c r="I11" i="6"/>
  <c r="M12" i="2" s="1"/>
  <c r="I12" i="6"/>
  <c r="M13" i="2" s="1"/>
  <c r="G11" i="6"/>
  <c r="L12" i="2" s="1"/>
  <c r="G12" i="6"/>
  <c r="L13" i="2" s="1"/>
  <c r="E11" i="6"/>
  <c r="F12" i="2" s="1"/>
  <c r="E12" i="6"/>
  <c r="F13" i="2" s="1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K39" i="6"/>
  <c r="I39" i="6"/>
  <c r="G39" i="6"/>
  <c r="E39" i="6"/>
  <c r="E40" i="6"/>
  <c r="C39" i="6"/>
  <c r="H39" i="2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K40" i="6"/>
  <c r="I40" i="6"/>
  <c r="G40" i="6"/>
  <c r="C40" i="6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K34" i="6"/>
  <c r="I34" i="6"/>
  <c r="G34" i="6"/>
  <c r="E27" i="21" s="1"/>
  <c r="E34" i="6"/>
  <c r="I27" i="22" s="1"/>
  <c r="C34" i="6"/>
  <c r="E26" i="21"/>
  <c r="I26" i="22"/>
  <c r="I25" i="22"/>
  <c r="I24" i="22"/>
  <c r="I23" i="22"/>
  <c r="I22" i="22"/>
  <c r="K28" i="6"/>
  <c r="I28" i="6"/>
  <c r="G28" i="6"/>
  <c r="E28" i="6"/>
  <c r="I21" i="22" s="1"/>
  <c r="C28" i="6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H40" i="2" l="1"/>
  <c r="G25" i="4"/>
  <c r="E25" i="4"/>
  <c r="C25" i="4"/>
  <c r="G7" i="4"/>
  <c r="E7" i="4"/>
  <c r="C7" i="4"/>
  <c r="G29" i="22"/>
  <c r="G27" i="22"/>
  <c r="G28" i="22"/>
  <c r="Q40" i="2"/>
  <c r="O40" i="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30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<sst xmlns="http://schemas.openxmlformats.org/spreadsheetml/2006/main" count="478" uniqueCount="186">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</sst>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5">
                  <c:v>130.80000000000291</c:v>
                </c:pt>
                <c:pt idx="6">
                  <c:v>134.39999999999418</c:v>
                </c:pt>
                <c:pt idx="7">
                  <c:v>126.5</c:v>
                </c:pt>
                <c:pt idx="8">
                  <c:v>108.60000000000582</c:v>
                </c:pt>
                <c:pt idx="9">
                  <c:v>147</c:v>
                </c:pt>
                <c:pt idx="10">
                  <c:v>97</c:v>
                </c:pt>
                <c:pt idx="11">
                  <c:v>85.80000000000291</c:v>
                </c:pt>
                <c:pt idx="12">
                  <c:v>95.30000000000291</c:v>
                </c:pt>
                <c:pt idx="13">
                  <c:v>108.59999999999127</c:v>
                </c:pt>
                <c:pt idx="14">
                  <c:v>108.10000000000582</c:v>
                </c:pt>
                <c:pt idx="15">
                  <c:v>88.5</c:v>
                </c:pt>
                <c:pt idx="16">
                  <c:v>110.69999999999709</c:v>
                </c:pt>
                <c:pt idx="17">
                  <c:v>118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5">
                  <c:v>4169</c:v>
                </c:pt>
                <c:pt idx="6">
                  <c:v>4218</c:v>
                </c:pt>
                <c:pt idx="7">
                  <c:v>4533</c:v>
                </c:pt>
                <c:pt idx="8">
                  <c:v>4108</c:v>
                </c:pt>
                <c:pt idx="9">
                  <c:v>4360</c:v>
                </c:pt>
                <c:pt idx="10">
                  <c:v>4131</c:v>
                </c:pt>
                <c:pt idx="11">
                  <c:v>4247</c:v>
                </c:pt>
                <c:pt idx="12">
                  <c:v>4560</c:v>
                </c:pt>
                <c:pt idx="13">
                  <c:v>4211</c:v>
                </c:pt>
                <c:pt idx="14">
                  <c:v>4677</c:v>
                </c:pt>
                <c:pt idx="15">
                  <c:v>4101</c:v>
                </c:pt>
                <c:pt idx="16">
                  <c:v>4279</c:v>
                </c:pt>
                <c:pt idx="17">
                  <c:v>4208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5">
                  <c:v>8044</c:v>
                </c:pt>
                <c:pt idx="6">
                  <c:v>8066</c:v>
                </c:pt>
                <c:pt idx="7">
                  <c:v>7295</c:v>
                </c:pt>
                <c:pt idx="8">
                  <c:v>7379</c:v>
                </c:pt>
                <c:pt idx="9">
                  <c:v>8527</c:v>
                </c:pt>
                <c:pt idx="10">
                  <c:v>6943</c:v>
                </c:pt>
                <c:pt idx="11">
                  <c:v>6997</c:v>
                </c:pt>
                <c:pt idx="12">
                  <c:v>8313</c:v>
                </c:pt>
                <c:pt idx="13">
                  <c:v>7254</c:v>
                </c:pt>
                <c:pt idx="14">
                  <c:v>7127</c:v>
                </c:pt>
                <c:pt idx="15">
                  <c:v>7224</c:v>
                </c:pt>
                <c:pt idx="16">
                  <c:v>6805</c:v>
                </c:pt>
                <c:pt idx="17">
                  <c:v>6809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5">
                  <c:v>3287</c:v>
                </c:pt>
                <c:pt idx="6">
                  <c:v>3493</c:v>
                </c:pt>
                <c:pt idx="7">
                  <c:v>3175</c:v>
                </c:pt>
                <c:pt idx="8">
                  <c:v>3533</c:v>
                </c:pt>
                <c:pt idx="9">
                  <c:v>3683</c:v>
                </c:pt>
                <c:pt idx="10">
                  <c:v>2788</c:v>
                </c:pt>
                <c:pt idx="11">
                  <c:v>3041</c:v>
                </c:pt>
                <c:pt idx="12">
                  <c:v>3242</c:v>
                </c:pt>
                <c:pt idx="13">
                  <c:v>3010</c:v>
                </c:pt>
                <c:pt idx="14">
                  <c:v>3246</c:v>
                </c:pt>
                <c:pt idx="15">
                  <c:v>3170</c:v>
                </c:pt>
                <c:pt idx="16">
                  <c:v>3501</c:v>
                </c:pt>
                <c:pt idx="17">
                  <c:v>2913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333.27000000000004</c:v>
                </c:pt>
                <c:pt idx="2">
                  <c:v>444.36</c:v>
                </c:pt>
                <c:pt idx="3">
                  <c:v>556.5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191.99526</c:v>
                </c:pt>
                <c:pt idx="7">
                  <c:v>351.99131</c:v>
                </c:pt>
                <c:pt idx="8">
                  <c:v>191.99526</c:v>
                </c:pt>
                <c:pt idx="9">
                  <c:v>415.98973000000001</c:v>
                </c:pt>
                <c:pt idx="10">
                  <c:v>287.99288999999999</c:v>
                </c:pt>
                <c:pt idx="11">
                  <c:v>287.99288999999999</c:v>
                </c:pt>
                <c:pt idx="12">
                  <c:v>351.99131</c:v>
                </c:pt>
                <c:pt idx="13">
                  <c:v>63.998420000000003</c:v>
                </c:pt>
                <c:pt idx="14">
                  <c:v>479.98815000000002</c:v>
                </c:pt>
                <c:pt idx="15">
                  <c:v>479.98815000000002</c:v>
                </c:pt>
                <c:pt idx="16">
                  <c:v>543.98657000000003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0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15612</v>
      </c>
      <c r="F3" s="134">
        <v>1.05</v>
      </c>
      <c r="G3" s="134">
        <f>'Consommation mensuel énergie'!V11</f>
        <v>333.27000000000004</v>
      </c>
      <c r="H3" s="134">
        <v>9.9649999999999999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1.05</v>
      </c>
      <c r="G4" s="134">
        <f>'Consommation mensuel énergie'!V12</f>
        <v>444.36</v>
      </c>
      <c r="H4" s="134">
        <v>9.9649999999999999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1.05</v>
      </c>
      <c r="G5" s="134">
        <f>'Consommation mensuel énergie'!V13</f>
        <v>556.5</v>
      </c>
      <c r="H5" s="134">
        <v>9.9649999999999999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97.5</v>
      </c>
      <c r="J6" s="134">
        <v>11.4</v>
      </c>
      <c r="K6" s="137">
        <f>'Consommation mensuel énergie'!D14</f>
        <v>94</v>
      </c>
      <c r="L6" s="137">
        <f>'Consommation mensuel énergie'!E14</f>
        <v>123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15500</v>
      </c>
      <c r="F7" s="134">
        <v>1.05</v>
      </c>
      <c r="G7" s="134">
        <f>'Consommation mensuel énergie'!V15</f>
        <v>159.99605</v>
      </c>
      <c r="H7" s="134">
        <v>9.9649999999999999</v>
      </c>
      <c r="I7" s="134">
        <f>'Consommation mensuel énergie'!F15</f>
        <v>130.80000000000291</v>
      </c>
      <c r="J7" s="134">
        <v>11.4</v>
      </c>
      <c r="K7" s="137">
        <f>'Consommation mensuel énergie'!D15</f>
        <v>96</v>
      </c>
      <c r="L7" s="137">
        <f>'Consommation mensuel énergie'!E15</f>
        <v>124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15777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134.39999999999418</v>
      </c>
      <c r="J8" s="134">
        <v>11.4</v>
      </c>
      <c r="K8" s="137">
        <f>'Consommation mensuel énergie'!D16</f>
        <v>80</v>
      </c>
      <c r="L8" s="137">
        <f>'Consommation mensuel énergie'!E16</f>
        <v>103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15003</v>
      </c>
      <c r="F9" s="134">
        <v>1.05</v>
      </c>
      <c r="G9" s="134">
        <f>'Consommation mensuel énergie'!V17</f>
        <v>351.99131</v>
      </c>
      <c r="H9" s="134">
        <v>9.9649999999999999</v>
      </c>
      <c r="I9" s="134">
        <f>'Consommation mensuel énergie'!F17</f>
        <v>126.5</v>
      </c>
      <c r="J9" s="134">
        <v>11.4</v>
      </c>
      <c r="K9" s="137">
        <f>'Consommation mensuel énergie'!D17</f>
        <v>138</v>
      </c>
      <c r="L9" s="137">
        <f>'Consommation mensuel énergie'!E17</f>
        <v>184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15020</v>
      </c>
      <c r="F10" s="134">
        <v>1.05</v>
      </c>
      <c r="G10" s="134">
        <f>'Consommation mensuel énergie'!V19</f>
        <v>415.98973000000001</v>
      </c>
      <c r="H10" s="134">
        <v>9.9649999999999999</v>
      </c>
      <c r="I10" s="134">
        <f>'Consommation mensuel énergie'!F18</f>
        <v>108.60000000000582</v>
      </c>
      <c r="J10" s="134">
        <v>11.4</v>
      </c>
      <c r="K10" s="137">
        <f>'Consommation mensuel énergie'!D18</f>
        <v>133</v>
      </c>
      <c r="L10" s="137">
        <f>'Consommation mensuel énergie'!E18</f>
        <v>112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16570</v>
      </c>
      <c r="F11" s="134">
        <v>1.05</v>
      </c>
      <c r="G11" s="134">
        <f>'Consommation mensuel énergie'!V20</f>
        <v>287.99288999999999</v>
      </c>
      <c r="H11" s="134">
        <v>9.9649999999999999</v>
      </c>
      <c r="I11" s="134">
        <f>'Consommation mensuel énergie'!F19</f>
        <v>147</v>
      </c>
      <c r="J11" s="134">
        <v>11.4</v>
      </c>
      <c r="K11" s="137">
        <f>'Consommation mensuel énergie'!D19</f>
        <v>59</v>
      </c>
      <c r="L11" s="137">
        <f>'Consommation mensuel énergie'!E19</f>
        <v>80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13862</v>
      </c>
      <c r="F12" s="134">
        <v>1.05</v>
      </c>
      <c r="G12" s="134">
        <f>'Consommation mensuel énergie'!V21</f>
        <v>287.99288999999999</v>
      </c>
      <c r="H12" s="134">
        <v>9.9649999999999999</v>
      </c>
      <c r="I12" s="134">
        <f>'Consommation mensuel énergie'!F20</f>
        <v>97</v>
      </c>
      <c r="J12" s="134">
        <v>11.4</v>
      </c>
      <c r="K12" s="137">
        <f>'Consommation mensuel énergie'!D20</f>
        <v>69</v>
      </c>
      <c r="L12" s="137">
        <f>'Consommation mensuel énergie'!E20</f>
        <v>87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14285</v>
      </c>
      <c r="F13" s="134">
        <v>1.05</v>
      </c>
      <c r="G13" s="134">
        <f>'Consommation mensuel énergie'!V22</f>
        <v>351.99131</v>
      </c>
      <c r="H13" s="134">
        <v>9.9649999999999999</v>
      </c>
      <c r="I13" s="134">
        <f>'Consommation mensuel énergie'!F21</f>
        <v>85.80000000000291</v>
      </c>
      <c r="J13" s="134">
        <v>11.4</v>
      </c>
      <c r="K13" s="137">
        <f>'Consommation mensuel énergie'!D21</f>
        <v>77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16115</v>
      </c>
      <c r="F14" s="134">
        <v>1.05</v>
      </c>
      <c r="G14" s="134">
        <f>'Consommation mensuel énergie'!V23</f>
        <v>63.998420000000003</v>
      </c>
      <c r="H14" s="134">
        <v>9.9649999999999999</v>
      </c>
      <c r="I14" s="134">
        <f>'Consommation mensuel énergie'!F22</f>
        <v>95.30000000000291</v>
      </c>
      <c r="J14" s="134">
        <v>11.4</v>
      </c>
      <c r="K14" s="137">
        <f>'Consommation mensuel énergie'!D22</f>
        <v>68</v>
      </c>
      <c r="L14" s="137">
        <f>'Consommation mensuel énergie'!E22</f>
        <v>80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14475</v>
      </c>
      <c r="F15" s="134">
        <v>1.05</v>
      </c>
      <c r="G15" s="134">
        <f>'Consommation mensuel énergie'!V24</f>
        <v>479.98815000000002</v>
      </c>
      <c r="H15" s="134">
        <v>9.9649999999999999</v>
      </c>
      <c r="I15" s="134">
        <f>'Consommation mensuel énergie'!F23</f>
        <v>108.59999999999127</v>
      </c>
      <c r="J15" s="134">
        <v>11.4</v>
      </c>
      <c r="K15" s="137">
        <f>'Consommation mensuel énergie'!D23</f>
        <v>70</v>
      </c>
      <c r="L15" s="137">
        <f>'Consommation mensuel énergie'!E23</f>
        <v>95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15050</v>
      </c>
      <c r="F16" s="134">
        <v>1.05</v>
      </c>
      <c r="G16" s="134">
        <f>'Consommation mensuel énergie'!V25</f>
        <v>479.98815000000002</v>
      </c>
      <c r="H16" s="134">
        <v>9.9649999999999999</v>
      </c>
      <c r="I16" s="134">
        <f>'Consommation mensuel énergie'!F24</f>
        <v>108.10000000000582</v>
      </c>
      <c r="J16" s="134">
        <v>11.4</v>
      </c>
      <c r="K16" s="137">
        <f>'Consommation mensuel énergie'!D24</f>
        <v>69</v>
      </c>
      <c r="L16" s="137">
        <f>'Consommation mensuel énergie'!E24</f>
        <v>104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14495</v>
      </c>
      <c r="F17" s="134">
        <v>1.05</v>
      </c>
      <c r="G17" s="134">
        <f>'Consommation mensuel énergie'!V26</f>
        <v>543.98657000000003</v>
      </c>
      <c r="H17" s="134">
        <v>9.9649999999999999</v>
      </c>
      <c r="I17" s="134">
        <f>'Consommation mensuel énergie'!F25</f>
        <v>88.5</v>
      </c>
      <c r="J17" s="134">
        <v>11.4</v>
      </c>
      <c r="K17" s="137">
        <f>'Consommation mensuel énergie'!D25</f>
        <v>89</v>
      </c>
      <c r="L17" s="137">
        <f>'Consommation mensuel énergie'!E25</f>
        <v>146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14585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110.69999999999709</v>
      </c>
      <c r="J18" s="134">
        <v>11.4</v>
      </c>
      <c r="K18" s="137">
        <f>'Consommation mensuel énergie'!D26</f>
        <v>77</v>
      </c>
      <c r="L18" s="137">
        <f>'Consommation mensuel énergie'!E26</f>
        <v>107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13930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118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5948.4488800000008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27"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énergie'!N14</f>
        <v>3340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94</v>
      </c>
      <c r="I6" s="137">
        <f>'Consommation mensuel énergie'!E14</f>
        <v>123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4169</v>
      </c>
      <c r="F7" s="137">
        <f>'Consommation mensuel énergie'!M15</f>
        <v>8044</v>
      </c>
      <c r="G7" s="137">
        <f>'Consommation mensuel énergie'!N15</f>
        <v>3287</v>
      </c>
      <c r="H7" s="137">
        <f>'Consommation mensuel énergie'!D15</f>
        <v>96</v>
      </c>
      <c r="I7" s="137">
        <f>'Consommation mensuel énergie'!E15</f>
        <v>124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4218</v>
      </c>
      <c r="F8" s="137">
        <f>'Consommation mensuel énergie'!M16</f>
        <v>8066</v>
      </c>
      <c r="G8" s="137">
        <f>'Consommation mensuel énergie'!N16</f>
        <v>3493</v>
      </c>
      <c r="H8" s="137">
        <f>'Consommation mensuel énergie'!D16</f>
        <v>80</v>
      </c>
      <c r="I8" s="137">
        <f>'Consommation mensuel énergie'!E16</f>
        <v>103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4533</v>
      </c>
      <c r="F9" s="137">
        <f>'Consommation mensuel énergie'!M17</f>
        <v>7295</v>
      </c>
      <c r="G9" s="137">
        <f>'Consommation mensuel énergie'!N17</f>
        <v>3175</v>
      </c>
      <c r="H9" s="137">
        <f>'Consommation mensuel énergie'!D17</f>
        <v>138</v>
      </c>
      <c r="I9" s="137">
        <f>'Consommation mensuel énergie'!E17</f>
        <v>184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4108</v>
      </c>
      <c r="F10" s="137">
        <f>'Consommation mensuel énergie'!M18</f>
        <v>7379</v>
      </c>
      <c r="G10" s="137">
        <f>'Consommation mensuel énergie'!N18</f>
        <v>3533</v>
      </c>
      <c r="H10" s="137">
        <f>'Consommation mensuel énergie'!D18</f>
        <v>133</v>
      </c>
      <c r="I10" s="137">
        <f>'Consommation mensuel énergie'!E18</f>
        <v>112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4360</v>
      </c>
      <c r="F11" s="137">
        <f>'Consommation mensuel énergie'!M19</f>
        <v>8527</v>
      </c>
      <c r="G11" s="137">
        <f>'Consommation mensuel énergie'!N19</f>
        <v>3683</v>
      </c>
      <c r="H11" s="137">
        <f>'Consommation mensuel énergie'!D19</f>
        <v>59</v>
      </c>
      <c r="I11" s="137">
        <f>'Consommation mensuel énergie'!E19</f>
        <v>80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4131</v>
      </c>
      <c r="F12" s="137">
        <f>'Consommation mensuel énergie'!M20</f>
        <v>6943</v>
      </c>
      <c r="G12" s="137">
        <f>'Consommation mensuel énergie'!N20</f>
        <v>2788</v>
      </c>
      <c r="H12" s="137">
        <f>'Consommation mensuel énergie'!D20</f>
        <v>69</v>
      </c>
      <c r="I12" s="137">
        <f>'Consommation mensuel énergie'!E20</f>
        <v>87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4247</v>
      </c>
      <c r="F13" s="137">
        <f>'Consommation mensuel énergie'!M21</f>
        <v>6997</v>
      </c>
      <c r="G13" s="137">
        <f>'Consommation mensuel énergie'!N21</f>
        <v>3041</v>
      </c>
      <c r="H13" s="137">
        <f>'Consommation mensuel énergie'!D21</f>
        <v>77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4560</v>
      </c>
      <c r="F14" s="137">
        <f>'Consommation mensuel énergie'!M22</f>
        <v>8313</v>
      </c>
      <c r="G14" s="137">
        <f>'Consommation mensuel énergie'!N22</f>
        <v>3242</v>
      </c>
      <c r="H14" s="137">
        <f>'Consommation mensuel énergie'!D22</f>
        <v>68</v>
      </c>
      <c r="I14" s="137">
        <f>'Consommation mensuel énergie'!E22</f>
        <v>80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4211</v>
      </c>
      <c r="F15" s="137">
        <f>'Consommation mensuel énergie'!M23</f>
        <v>7254</v>
      </c>
      <c r="G15" s="137">
        <f>'Consommation mensuel énergie'!N23</f>
        <v>3010</v>
      </c>
      <c r="H15" s="137">
        <f>'Consommation mensuel énergie'!D23</f>
        <v>70</v>
      </c>
      <c r="I15" s="137">
        <f>'Consommation mensuel énergie'!E23</f>
        <v>95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4677</v>
      </c>
      <c r="F16" s="137">
        <f>'Consommation mensuel énergie'!M24</f>
        <v>7127</v>
      </c>
      <c r="G16" s="137">
        <f>'Consommation mensuel énergie'!N24</f>
        <v>3246</v>
      </c>
      <c r="H16" s="137">
        <f>'Consommation mensuel énergie'!D24</f>
        <v>69</v>
      </c>
      <c r="I16" s="137">
        <f>'Consommation mensuel énergie'!E24</f>
        <v>104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4101</v>
      </c>
      <c r="F17" s="137">
        <f>'Consommation mensuel énergie'!M25</f>
        <v>7224</v>
      </c>
      <c r="G17" s="137">
        <f>'Consommation mensuel énergie'!N25</f>
        <v>3170</v>
      </c>
      <c r="H17" s="137">
        <f>'Consommation mensuel énergie'!D25</f>
        <v>89</v>
      </c>
      <c r="I17" s="137">
        <f>'Consommation mensuel énergie'!E25</f>
        <v>146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4279</v>
      </c>
      <c r="F18" s="137">
        <f>'Consommation mensuel énergie'!M26</f>
        <v>6805</v>
      </c>
      <c r="G18" s="137">
        <f>'Consommation mensuel énergie'!N26</f>
        <v>3501</v>
      </c>
      <c r="H18" s="137">
        <f>'Consommation mensuel énergie'!D26</f>
        <v>77</v>
      </c>
      <c r="I18" s="137">
        <f>'Consommation mensuel énergie'!E26</f>
        <v>107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4208</v>
      </c>
      <c r="F19" s="137">
        <f>'Consommation mensuel énergie'!M27</f>
        <v>6809</v>
      </c>
      <c r="G19" s="137">
        <f>'Consommation mensuel énergie'!N27</f>
        <v>2913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2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66">
        <f>F10*8.79</f>
        <v>975.68999999999994</v>
      </c>
      <c r="I10" s="167"/>
      <c r="J10" s="167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V10*9.965</f>
        <v>5166.0553000000009</v>
      </c>
    </row>
    <row r="11" spans="1:24" ht="32.25" customHeight="1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66">
        <f t="shared" ref="H11:H21" si="0">F11*8.79</f>
        <v>879.87900000005106</v>
      </c>
      <c r="I11" s="167"/>
      <c r="J11" s="167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>L11+M11+N11</f>
        <v>15786</v>
      </c>
      <c r="P11" s="11"/>
      <c r="Q11" s="34">
        <f>L11*0.6985+M11*0.9514+N14*1.3304</f>
        <v>14931.7513</v>
      </c>
      <c r="R11" s="11"/>
      <c r="S11" s="28"/>
      <c r="T11" s="11"/>
      <c r="U11" s="28"/>
      <c r="V11" s="146">
        <f>'Suvi Gaz'!O5</f>
        <v>333.27000000000004</v>
      </c>
      <c r="W11" s="11"/>
      <c r="X11" s="34">
        <f t="shared" ref="X11:X40" si="1">V11*9.965</f>
        <v>3321.0355500000005</v>
      </c>
    </row>
    <row r="12" spans="1:24" ht="32.25" customHeight="1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66">
        <f t="shared" si="0"/>
        <v>798.13200000002553</v>
      </c>
      <c r="I12" s="167"/>
      <c r="J12" s="167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>L12+M12+N12</f>
        <v>15165</v>
      </c>
      <c r="P12" s="11"/>
      <c r="Q12" s="34">
        <f>L12*0.6985+M12*0.9514+N12*1.3304</f>
        <v>14599.787899999999</v>
      </c>
      <c r="R12" s="11"/>
      <c r="S12" s="28"/>
      <c r="T12" s="11"/>
      <c r="U12" s="28"/>
      <c r="V12" s="146">
        <f>'Suvi Gaz'!O6</f>
        <v>444.36</v>
      </c>
      <c r="W12" s="11"/>
      <c r="X12" s="34">
        <f t="shared" si="1"/>
        <v>4428.0474000000004</v>
      </c>
    </row>
    <row r="13" spans="1:24" ht="32.25" customHeight="1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66">
        <f t="shared" si="0"/>
        <v>835.92899999992312</v>
      </c>
      <c r="I13" s="167"/>
      <c r="J13" s="167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ref="O13:O40" si="2">L13+M13+N13</f>
        <v>14387</v>
      </c>
      <c r="P13" s="11"/>
      <c r="Q13" s="34">
        <f t="shared" ref="Q13:Q40" si="3">L13*0.6985+M13*0.9514+N13*1.3304</f>
        <v>13966.1985</v>
      </c>
      <c r="R13" s="11"/>
      <c r="S13" s="28"/>
      <c r="T13" s="11"/>
      <c r="U13" s="28"/>
      <c r="V13" s="146">
        <f>'Suvi Gaz'!O7</f>
        <v>556.5</v>
      </c>
      <c r="W13" s="11"/>
      <c r="X13" s="34">
        <f t="shared" si="1"/>
        <v>5545.5225</v>
      </c>
    </row>
    <row r="14" spans="1:24" ht="32.25" customHeight="1">
      <c r="A14" s="2"/>
      <c r="B14" s="6">
        <v>44474</v>
      </c>
      <c r="C14" s="7"/>
      <c r="D14" s="143">
        <v>94</v>
      </c>
      <c r="E14" s="143">
        <v>123</v>
      </c>
      <c r="F14" s="13">
        <f>'Suivi EAU-ELEC'!E13</f>
        <v>97.5</v>
      </c>
      <c r="G14" s="12"/>
      <c r="H14" s="166">
        <f t="shared" si="0"/>
        <v>857.02499999999986</v>
      </c>
      <c r="I14" s="167"/>
      <c r="J14" s="167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2"/>
        <v>15188</v>
      </c>
      <c r="P14" s="12"/>
      <c r="Q14" s="34">
        <f t="shared" si="3"/>
        <v>14667.705600000001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2869.8491488499999</v>
      </c>
    </row>
    <row r="15" spans="1:24" ht="32.25" customHeight="1">
      <c r="A15" s="5"/>
      <c r="B15" s="6">
        <v>44475</v>
      </c>
      <c r="C15" s="7"/>
      <c r="D15" s="143">
        <v>96</v>
      </c>
      <c r="E15" s="143">
        <v>124</v>
      </c>
      <c r="F15" s="13">
        <f>'Suivi EAU-ELEC'!E14</f>
        <v>130.80000000000291</v>
      </c>
      <c r="G15" s="11"/>
      <c r="H15" s="166">
        <f t="shared" si="0"/>
        <v>1149.7320000000254</v>
      </c>
      <c r="I15" s="167"/>
      <c r="J15" s="167"/>
      <c r="K15" s="60">
        <v>42283</v>
      </c>
      <c r="L15" s="90">
        <f>'Suivi EAU-ELEC'!G14</f>
        <v>4169</v>
      </c>
      <c r="M15" s="91">
        <f>'Suivi EAU-ELEC'!I14</f>
        <v>8044</v>
      </c>
      <c r="N15" s="91">
        <f>'Suivi EAU-ELEC'!K14</f>
        <v>3287</v>
      </c>
      <c r="O15" s="91">
        <f t="shared" si="2"/>
        <v>15500</v>
      </c>
      <c r="P15" s="12"/>
      <c r="Q15" s="34">
        <f>L15*0.6985+M15*0.9514+N15*1.3304</f>
        <v>14938.132900000001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1594.36063825</v>
      </c>
    </row>
    <row r="16" spans="1:24" ht="32.25" customHeight="1">
      <c r="A16" s="5"/>
      <c r="B16" s="6">
        <v>44476</v>
      </c>
      <c r="C16" s="7"/>
      <c r="D16" s="143">
        <v>80</v>
      </c>
      <c r="E16" s="143">
        <v>103</v>
      </c>
      <c r="F16" s="13">
        <f>'Suivi EAU-ELEC'!E15</f>
        <v>134.39999999999418</v>
      </c>
      <c r="G16" s="11"/>
      <c r="H16" s="166">
        <f t="shared" si="0"/>
        <v>1181.3759999999488</v>
      </c>
      <c r="I16" s="167"/>
      <c r="J16" s="167"/>
      <c r="K16" s="60">
        <v>42284</v>
      </c>
      <c r="L16" s="90">
        <f>'Suivi EAU-ELEC'!G15</f>
        <v>4218</v>
      </c>
      <c r="M16" s="91">
        <f>'Suivi EAU-ELEC'!I15</f>
        <v>8066</v>
      </c>
      <c r="N16" s="91">
        <f>'Suivi EAU-ELEC'!K15</f>
        <v>3493</v>
      </c>
      <c r="O16" s="91">
        <f t="shared" si="2"/>
        <v>15777</v>
      </c>
      <c r="P16" s="11"/>
      <c r="Q16" s="34">
        <f t="shared" si="3"/>
        <v>15267.3526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1913.2327659</v>
      </c>
    </row>
    <row r="17" spans="1:24" s="5" customFormat="1" ht="32.25" customHeight="1">
      <c r="A17" s="2"/>
      <c r="B17" s="6">
        <v>44477</v>
      </c>
      <c r="C17" s="7"/>
      <c r="D17" s="143">
        <v>138</v>
      </c>
      <c r="E17" s="143">
        <v>184</v>
      </c>
      <c r="F17" s="13">
        <f>'Suivi EAU-ELEC'!E16</f>
        <v>126.5</v>
      </c>
      <c r="G17" s="11"/>
      <c r="H17" s="166">
        <f t="shared" si="0"/>
        <v>1111.9349999999999</v>
      </c>
      <c r="I17" s="167"/>
      <c r="J17" s="167"/>
      <c r="K17" s="60">
        <v>42285</v>
      </c>
      <c r="L17" s="90">
        <f>'Suivi EAU-ELEC'!G16</f>
        <v>4533</v>
      </c>
      <c r="M17" s="91">
        <f>'Suivi EAU-ELEC'!I16</f>
        <v>7295</v>
      </c>
      <c r="N17" s="91">
        <f>'Suivi EAU-ELEC'!K16</f>
        <v>3175</v>
      </c>
      <c r="O17" s="91">
        <f t="shared" si="2"/>
        <v>15003</v>
      </c>
      <c r="P17" s="12"/>
      <c r="Q17" s="34">
        <f t="shared" si="3"/>
        <v>14330.7835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3507.59340415</v>
      </c>
    </row>
    <row r="18" spans="1:24" ht="32.25" customHeight="1">
      <c r="A18" s="2"/>
      <c r="B18" s="6">
        <v>44478</v>
      </c>
      <c r="C18" s="7"/>
      <c r="D18" s="143">
        <v>133</v>
      </c>
      <c r="E18" s="143">
        <v>112</v>
      </c>
      <c r="F18" s="13">
        <f>'Suivi EAU-ELEC'!E17</f>
        <v>108.60000000000582</v>
      </c>
      <c r="G18" s="11"/>
      <c r="H18" s="166">
        <f t="shared" si="0"/>
        <v>954.5940000000511</v>
      </c>
      <c r="I18" s="167"/>
      <c r="J18" s="167"/>
      <c r="K18" s="60">
        <v>42286</v>
      </c>
      <c r="L18" s="90">
        <f>'Suivi EAU-ELEC'!G17</f>
        <v>4108</v>
      </c>
      <c r="M18" s="91">
        <f>'Suivi EAU-ELEC'!I17</f>
        <v>7379</v>
      </c>
      <c r="N18" s="91">
        <f>'Suivi EAU-ELEC'!K17</f>
        <v>3533</v>
      </c>
      <c r="O18" s="91">
        <f t="shared" si="2"/>
        <v>15020</v>
      </c>
      <c r="P18" s="12"/>
      <c r="Q18" s="34">
        <f t="shared" si="3"/>
        <v>14590.121800000001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1913.2327659</v>
      </c>
    </row>
    <row r="19" spans="1:24" ht="32.25" customHeight="1">
      <c r="A19" s="2"/>
      <c r="B19" s="6">
        <v>44479</v>
      </c>
      <c r="C19" s="7"/>
      <c r="D19" s="143">
        <v>59</v>
      </c>
      <c r="E19" s="143">
        <v>80</v>
      </c>
      <c r="F19" s="13">
        <f>'Suivi EAU-ELEC'!E18</f>
        <v>147</v>
      </c>
      <c r="G19" s="12"/>
      <c r="H19" s="166">
        <f t="shared" si="0"/>
        <v>1292.1299999999999</v>
      </c>
      <c r="I19" s="167"/>
      <c r="J19" s="167"/>
      <c r="K19" s="60">
        <v>42287</v>
      </c>
      <c r="L19" s="90">
        <f>'Suivi EAU-ELEC'!G18</f>
        <v>4360</v>
      </c>
      <c r="M19" s="91">
        <f>'Suivi EAU-ELEC'!I18</f>
        <v>8527</v>
      </c>
      <c r="N19" s="91">
        <f>'Suivi EAU-ELEC'!K18</f>
        <v>3683</v>
      </c>
      <c r="O19" s="91">
        <f t="shared" si="2"/>
        <v>16570</v>
      </c>
      <c r="P19" s="12"/>
      <c r="Q19" s="34">
        <f t="shared" si="3"/>
        <v>16057.911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4145.3376594499996</v>
      </c>
    </row>
    <row r="20" spans="1:24" ht="32.25" customHeight="1">
      <c r="A20" s="2"/>
      <c r="B20" s="6">
        <v>44480</v>
      </c>
      <c r="C20" s="7"/>
      <c r="D20" s="143">
        <v>69</v>
      </c>
      <c r="E20" s="143">
        <v>87</v>
      </c>
      <c r="F20" s="13">
        <f>'Suivi EAU-ELEC'!E19</f>
        <v>97</v>
      </c>
      <c r="G20" s="12"/>
      <c r="H20" s="166">
        <f t="shared" si="0"/>
        <v>852.62999999999988</v>
      </c>
      <c r="I20" s="167"/>
      <c r="J20" s="167"/>
      <c r="K20" s="60">
        <v>42288</v>
      </c>
      <c r="L20" s="90">
        <f>'Suivi EAU-ELEC'!G19</f>
        <v>4131</v>
      </c>
      <c r="M20" s="91">
        <f>'Suivi EAU-ELEC'!I19</f>
        <v>6943</v>
      </c>
      <c r="N20" s="91">
        <f>'Suivi EAU-ELEC'!K19</f>
        <v>2788</v>
      </c>
      <c r="O20" s="91">
        <f t="shared" si="2"/>
        <v>13862</v>
      </c>
      <c r="P20" s="12"/>
      <c r="Q20" s="34">
        <f t="shared" si="3"/>
        <v>13200.228900000002</v>
      </c>
      <c r="R20" s="12"/>
      <c r="S20" s="28"/>
      <c r="T20" s="12"/>
      <c r="U20" s="28"/>
      <c r="V20" s="146">
        <f>'Suvi Gaz'!O14</f>
        <v>287.99288999999999</v>
      </c>
      <c r="W20" s="11"/>
      <c r="X20" s="34">
        <f t="shared" si="1"/>
        <v>2869.8491488499999</v>
      </c>
    </row>
    <row r="21" spans="1:24" ht="32.25" customHeight="1">
      <c r="A21" s="2"/>
      <c r="B21" s="6">
        <v>44481</v>
      </c>
      <c r="C21" s="7"/>
      <c r="D21" s="143">
        <v>77</v>
      </c>
      <c r="E21" s="143">
        <v>96</v>
      </c>
      <c r="F21" s="13">
        <f>'Suivi EAU-ELEC'!E20</f>
        <v>85.80000000000291</v>
      </c>
      <c r="G21" s="12"/>
      <c r="H21" s="166">
        <f t="shared" si="0"/>
        <v>754.18200000002548</v>
      </c>
      <c r="I21" s="167"/>
      <c r="J21" s="167"/>
      <c r="K21" s="60">
        <v>42289</v>
      </c>
      <c r="L21" s="90">
        <f>'Suivi EAU-ELEC'!G20</f>
        <v>4247</v>
      </c>
      <c r="M21" s="91">
        <f>'Suivi EAU-ELEC'!I20</f>
        <v>6997</v>
      </c>
      <c r="N21" s="91">
        <f>'Suivi EAU-ELEC'!K20</f>
        <v>3041</v>
      </c>
      <c r="O21" s="91">
        <f>L21+M21+N21</f>
        <v>14285</v>
      </c>
      <c r="P21" s="12"/>
      <c r="Q21" s="34">
        <f t="shared" si="3"/>
        <v>13669.2217</v>
      </c>
      <c r="R21" s="12"/>
      <c r="S21" s="28"/>
      <c r="T21" s="12"/>
      <c r="U21" s="28"/>
      <c r="V21" s="146">
        <f>'Suvi Gaz'!O15</f>
        <v>287.99288999999999</v>
      </c>
      <c r="W21" s="11"/>
      <c r="X21" s="34">
        <f t="shared" si="1"/>
        <v>2869.8491488499999</v>
      </c>
    </row>
    <row r="22" spans="1:24" ht="32.25" customHeight="1">
      <c r="A22" s="2"/>
      <c r="B22" s="6">
        <v>44482</v>
      </c>
      <c r="C22" s="7"/>
      <c r="D22" s="143">
        <v>68</v>
      </c>
      <c r="E22" s="143">
        <v>80</v>
      </c>
      <c r="F22" s="13">
        <f>'Suivi EAU-ELEC'!E21</f>
        <v>95.30000000000291</v>
      </c>
      <c r="G22" s="12"/>
      <c r="H22" s="166">
        <f t="shared" ref="H22:H35" si="4">F22*8.79</f>
        <v>837.68700000002548</v>
      </c>
      <c r="I22" s="167"/>
      <c r="J22" s="167"/>
      <c r="K22" s="60">
        <v>42290</v>
      </c>
      <c r="L22" s="90">
        <f>'Suivi EAU-ELEC'!G21</f>
        <v>4560</v>
      </c>
      <c r="M22" s="91">
        <f>'Suivi EAU-ELEC'!I21</f>
        <v>8313</v>
      </c>
      <c r="N22" s="91">
        <f>'Suivi EAU-ELEC'!K21</f>
        <v>3242</v>
      </c>
      <c r="O22" s="91">
        <f t="shared" si="2"/>
        <v>16115</v>
      </c>
      <c r="P22" s="12"/>
      <c r="Q22" s="34">
        <f t="shared" si="3"/>
        <v>15407.305</v>
      </c>
      <c r="R22" s="12"/>
      <c r="S22" s="28"/>
      <c r="T22" s="12"/>
      <c r="U22" s="28"/>
      <c r="V22" s="146">
        <f>'Suvi Gaz'!O16</f>
        <v>351.99131</v>
      </c>
      <c r="W22" s="11"/>
      <c r="X22" s="34">
        <f t="shared" si="1"/>
        <v>3507.59340415</v>
      </c>
    </row>
    <row r="23" spans="1:24" ht="32.25" customHeight="1">
      <c r="A23" s="2"/>
      <c r="B23" s="6">
        <v>44483</v>
      </c>
      <c r="C23" s="7"/>
      <c r="D23" s="143">
        <v>70</v>
      </c>
      <c r="E23" s="143">
        <v>95</v>
      </c>
      <c r="F23" s="13">
        <f>'Suivi EAU-ELEC'!E22</f>
        <v>108.59999999999127</v>
      </c>
      <c r="G23" s="14"/>
      <c r="H23" s="166">
        <f t="shared" si="4"/>
        <v>954.5939999999232</v>
      </c>
      <c r="I23" s="167"/>
      <c r="J23" s="167"/>
      <c r="K23" s="60">
        <v>42291</v>
      </c>
      <c r="L23" s="90">
        <f>'Suivi EAU-ELEC'!G22</f>
        <v>4211</v>
      </c>
      <c r="M23" s="91">
        <f>'Suivi EAU-ELEC'!I22</f>
        <v>7254</v>
      </c>
      <c r="N23" s="91">
        <f>'Suivi EAU-ELEC'!K22</f>
        <v>3010</v>
      </c>
      <c r="O23" s="91">
        <f>L23+M23+N23</f>
        <v>14475</v>
      </c>
      <c r="P23" s="12"/>
      <c r="Q23" s="34">
        <f>L23*0.6985+M23*0.9514+N23*1.3304</f>
        <v>13847.343100000002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637.74425530000008</v>
      </c>
    </row>
    <row r="24" spans="1:24" ht="32.25" customHeight="1">
      <c r="A24" s="2"/>
      <c r="B24" s="6">
        <v>44484</v>
      </c>
      <c r="C24" s="7"/>
      <c r="D24" s="143">
        <v>69</v>
      </c>
      <c r="E24" s="143">
        <v>104</v>
      </c>
      <c r="F24" s="13">
        <f>'Suivi EAU-ELEC'!E23</f>
        <v>108.10000000000582</v>
      </c>
      <c r="G24" s="14"/>
      <c r="H24" s="166">
        <f t="shared" si="4"/>
        <v>950.19900000005111</v>
      </c>
      <c r="I24" s="167"/>
      <c r="J24" s="167"/>
      <c r="K24" s="60">
        <v>42292</v>
      </c>
      <c r="L24" s="90">
        <f>'Suivi EAU-ELEC'!G23</f>
        <v>4677</v>
      </c>
      <c r="M24" s="91">
        <f>'Suivi EAU-ELEC'!I23</f>
        <v>7127</v>
      </c>
      <c r="N24" s="91">
        <f>'Suivi EAU-ELEC'!K23</f>
        <v>3246</v>
      </c>
      <c r="O24" s="91">
        <f>L24+M24+N24</f>
        <v>15050</v>
      </c>
      <c r="P24" s="12"/>
      <c r="Q24" s="34">
        <f>L24*0.6985+M24*0.9514+N24*1.3304</f>
        <v>14365.9907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1"/>
        <v>4783.0819147499997</v>
      </c>
    </row>
    <row r="25" spans="1:24" ht="32.25" customHeight="1">
      <c r="A25" s="2"/>
      <c r="B25" s="6">
        <v>44485</v>
      </c>
      <c r="C25" s="7"/>
      <c r="D25" s="143">
        <v>89</v>
      </c>
      <c r="E25" s="143">
        <v>146</v>
      </c>
      <c r="F25" s="13">
        <f>'Suivi EAU-ELEC'!E24</f>
        <v>88.5</v>
      </c>
      <c r="G25" s="14"/>
      <c r="H25" s="166">
        <f t="shared" si="4"/>
        <v>777.91499999999996</v>
      </c>
      <c r="I25" s="167"/>
      <c r="J25" s="167"/>
      <c r="K25" s="60">
        <v>42293</v>
      </c>
      <c r="L25" s="90">
        <f>'Suivi EAU-ELEC'!G24</f>
        <v>4101</v>
      </c>
      <c r="M25" s="91">
        <f>'Suivi EAU-ELEC'!I24</f>
        <v>7224</v>
      </c>
      <c r="N25" s="91">
        <f>'Suivi EAU-ELEC'!K24</f>
        <v>3170</v>
      </c>
      <c r="O25" s="91">
        <f t="shared" si="2"/>
        <v>14495</v>
      </c>
      <c r="P25" s="12"/>
      <c r="Q25" s="34">
        <f t="shared" si="3"/>
        <v>13954.830100000001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1"/>
        <v>4783.0819147499997</v>
      </c>
    </row>
    <row r="26" spans="1:24" ht="32.25" customHeight="1">
      <c r="A26" s="2"/>
      <c r="B26" s="6">
        <v>44486</v>
      </c>
      <c r="C26" s="7"/>
      <c r="D26" s="143">
        <v>77</v>
      </c>
      <c r="E26" s="143">
        <v>107</v>
      </c>
      <c r="F26" s="13">
        <f>'Suivi EAU-ELEC'!E25</f>
        <v>110.69999999999709</v>
      </c>
      <c r="G26" s="14"/>
      <c r="H26" s="166">
        <f t="shared" si="4"/>
        <v>973.0529999999743</v>
      </c>
      <c r="I26" s="167"/>
      <c r="J26" s="167"/>
      <c r="K26" s="60">
        <v>42294</v>
      </c>
      <c r="L26" s="90">
        <f>'Suivi EAU-ELEC'!G25</f>
        <v>4279</v>
      </c>
      <c r="M26" s="91">
        <f>'Suivi EAU-ELEC'!I25</f>
        <v>6805</v>
      </c>
      <c r="N26" s="91">
        <f>'Suivi EAU-ELEC'!K25</f>
        <v>3501</v>
      </c>
      <c r="O26" s="91">
        <f t="shared" si="2"/>
        <v>14585</v>
      </c>
      <c r="P26" s="14"/>
      <c r="Q26" s="34">
        <f t="shared" si="3"/>
        <v>14120.8889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1"/>
        <v>5420.8261700500007</v>
      </c>
    </row>
    <row r="27" spans="1:24" ht="32.25" customHeight="1">
      <c r="A27" s="2"/>
      <c r="B27" s="6">
        <v>44487</v>
      </c>
      <c r="C27" s="7"/>
      <c r="D27" s="143"/>
      <c r="E27" s="143"/>
      <c r="F27" s="13">
        <f>'Suivi EAU-ELEC'!E26</f>
        <v>118</v>
      </c>
      <c r="G27" s="14"/>
      <c r="H27" s="166">
        <f t="shared" si="4"/>
        <v>1037.2199999999998</v>
      </c>
      <c r="I27" s="167"/>
      <c r="J27" s="167"/>
      <c r="K27" s="60">
        <v>42295</v>
      </c>
      <c r="L27" s="90">
        <f>'Suivi EAU-ELEC'!G26</f>
        <v>4208</v>
      </c>
      <c r="M27" s="91">
        <f>'Suivi EAU-ELEC'!I26</f>
        <v>6809</v>
      </c>
      <c r="N27" s="91">
        <f>'Suivi EAU-ELEC'!K26</f>
        <v>2913</v>
      </c>
      <c r="O27" s="91">
        <f t="shared" si="2"/>
        <v>13930</v>
      </c>
      <c r="P27" s="14"/>
      <c r="Q27" s="34">
        <f t="shared" si="3"/>
        <v>13292.825800000001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44488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44489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44490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44491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44492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44493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44494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44495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44496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44497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44498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44499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/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44500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1434</v>
      </c>
      <c r="E41" s="8">
        <f>SUM(E10:E40)</f>
        <v>1899</v>
      </c>
      <c r="F41" s="152">
        <f>SUM(F10:F40)</f>
        <v>1953.8000000000029</v>
      </c>
      <c r="G41" s="1"/>
      <c r="H41" s="204">
        <f>SUM(H10:H40)</f>
        <v>17173.902000000024</v>
      </c>
      <c r="I41" s="205"/>
      <c r="J41" s="206"/>
      <c r="K41" s="1"/>
      <c r="L41" s="53">
        <f>SUM(L10:L40)</f>
        <v>76835</v>
      </c>
      <c r="M41" s="53">
        <f>SUM(M10:M40)</f>
        <v>134757</v>
      </c>
      <c r="N41" s="54">
        <f>SUM(N10:N40)</f>
        <v>58993</v>
      </c>
      <c r="O41" s="55">
        <f>SUM(O10:O40)</f>
        <v>270585</v>
      </c>
      <c r="P41" s="31"/>
      <c r="Q41" s="32">
        <f>SUM(Q10:Q40)</f>
        <v>260129.85489999995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5948.4488800000008</v>
      </c>
      <c r="W41" s="31"/>
      <c r="X41" s="32">
        <f>SUM(X10:X40)</f>
        <v>59276.2930892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76835</v>
      </c>
      <c r="J44" s="219"/>
      <c r="K44" s="220"/>
      <c r="L44" s="202">
        <f>I44*H44</f>
        <v>53669.247499999998</v>
      </c>
      <c r="M44" s="203"/>
      <c r="N44" s="175">
        <f>L44+L45+L46</f>
        <v>260361.34450000001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134757</v>
      </c>
      <c r="J45" s="219"/>
      <c r="K45" s="220"/>
      <c r="L45" s="202">
        <f>I45*H45</f>
        <v>128207.8098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58993</v>
      </c>
      <c r="J46" s="194"/>
      <c r="K46" s="195"/>
      <c r="L46" s="202">
        <f>I46*H46</f>
        <v>78484.287200000006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338469.74785000004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1953.8000000000029</v>
      </c>
      <c r="J48" s="214"/>
      <c r="K48" s="215"/>
      <c r="L48" s="216">
        <f>I48*H48</f>
        <v>17173.902000000024</v>
      </c>
      <c r="M48" s="217"/>
      <c r="N48" s="172">
        <f>L48</f>
        <v>17173.902000000024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>
      <c r="A49" s="187" t="s">
        <v>40</v>
      </c>
      <c r="B49" s="188"/>
      <c r="C49" s="188"/>
      <c r="D49" s="188"/>
      <c r="E49" s="188"/>
      <c r="F49" s="189"/>
      <c r="G49" s="24"/>
      <c r="H49" s="25">
        <v>9.9649999999999999</v>
      </c>
      <c r="I49" s="190">
        <f>V41</f>
        <v>5948.4488800000008</v>
      </c>
      <c r="J49" s="191"/>
      <c r="K49" s="192"/>
      <c r="L49" s="190">
        <f>I49*H49</f>
        <v>59276.293089200008</v>
      </c>
      <c r="M49" s="192"/>
      <c r="N49" s="169">
        <f>L49</f>
        <v>59276.293089200008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3" activePane="bottomRight" state="frozen"/>
      <selection pane="bottomRight" activeCell="K25" sqref="K25:K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12" si="0">D11-D10</f>
        <v>90.80000000000291</v>
      </c>
      <c r="F11" s="51">
        <v>11049454</v>
      </c>
      <c r="G11" s="50">
        <f t="shared" ref="G11:G26" si="1">F11-F10</f>
        <v>4359</v>
      </c>
      <c r="H11" s="51">
        <v>18827121</v>
      </c>
      <c r="I11" s="50">
        <f t="shared" ref="I11:I26" si="2">H11-H10</f>
        <v>7444</v>
      </c>
      <c r="J11" s="51">
        <v>8260005</v>
      </c>
      <c r="K11" s="50">
        <f t="shared" ref="K11:K26" si="3">J11-J10</f>
        <v>3362</v>
      </c>
    </row>
    <row r="12" spans="1:12" ht="19.5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>
      <c r="A13" s="59">
        <v>44474</v>
      </c>
      <c r="B13" s="116">
        <v>2560</v>
      </c>
      <c r="C13" s="115">
        <v>0</v>
      </c>
      <c r="D13" s="57">
        <v>124728.7</v>
      </c>
      <c r="E13" s="50">
        <f>D13-D12</f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>
      <c r="A14" s="59">
        <v>44475</v>
      </c>
      <c r="B14" s="116">
        <v>2560</v>
      </c>
      <c r="C14" s="115">
        <v>0</v>
      </c>
      <c r="D14" s="57">
        <v>124859.5</v>
      </c>
      <c r="E14" s="50">
        <f>D14-D13</f>
        <v>130.80000000000291</v>
      </c>
      <c r="F14" s="51">
        <v>11061694</v>
      </c>
      <c r="G14" s="50">
        <f t="shared" si="1"/>
        <v>4169</v>
      </c>
      <c r="H14" s="51">
        <v>18849974</v>
      </c>
      <c r="I14" s="50">
        <f t="shared" si="2"/>
        <v>8044</v>
      </c>
      <c r="J14" s="51">
        <v>8269987</v>
      </c>
      <c r="K14" s="50">
        <f t="shared" si="3"/>
        <v>3287</v>
      </c>
    </row>
    <row r="15" spans="1:12" ht="19.5">
      <c r="A15" s="59">
        <v>44476</v>
      </c>
      <c r="B15" s="116">
        <v>2560</v>
      </c>
      <c r="C15" s="115">
        <v>0</v>
      </c>
      <c r="D15" s="57">
        <v>124993.9</v>
      </c>
      <c r="E15" s="50">
        <f>D15-D14</f>
        <v>134.39999999999418</v>
      </c>
      <c r="F15" s="51">
        <v>11065912</v>
      </c>
      <c r="G15" s="50">
        <f t="shared" si="1"/>
        <v>4218</v>
      </c>
      <c r="H15" s="51">
        <v>18858040</v>
      </c>
      <c r="I15" s="50">
        <f t="shared" si="2"/>
        <v>8066</v>
      </c>
      <c r="J15" s="51">
        <v>8273480</v>
      </c>
      <c r="K15" s="50">
        <f t="shared" si="3"/>
        <v>3493</v>
      </c>
    </row>
    <row r="16" spans="1:12" ht="19.5">
      <c r="A16" s="59">
        <v>44477</v>
      </c>
      <c r="B16" s="116">
        <v>2560</v>
      </c>
      <c r="C16" s="115">
        <v>0</v>
      </c>
      <c r="D16" s="57">
        <v>125120.4</v>
      </c>
      <c r="E16" s="50">
        <f>D16-D15</f>
        <v>126.5</v>
      </c>
      <c r="F16" s="51">
        <v>11070445</v>
      </c>
      <c r="G16" s="50">
        <f t="shared" si="1"/>
        <v>4533</v>
      </c>
      <c r="H16" s="51">
        <v>18865335</v>
      </c>
      <c r="I16" s="50">
        <f t="shared" si="2"/>
        <v>7295</v>
      </c>
      <c r="J16" s="51">
        <v>8276655</v>
      </c>
      <c r="K16" s="50">
        <f t="shared" si="3"/>
        <v>3175</v>
      </c>
    </row>
    <row r="17" spans="1:29" ht="19.5">
      <c r="A17" s="59">
        <v>44478</v>
      </c>
      <c r="B17" s="116">
        <v>2560</v>
      </c>
      <c r="C17" s="115">
        <v>0</v>
      </c>
      <c r="D17" s="57">
        <v>125229</v>
      </c>
      <c r="E17" s="50">
        <f>D17-D16</f>
        <v>108.60000000000582</v>
      </c>
      <c r="F17" s="51">
        <v>11074553</v>
      </c>
      <c r="G17" s="50">
        <f t="shared" si="1"/>
        <v>4108</v>
      </c>
      <c r="H17" s="51">
        <v>18872714</v>
      </c>
      <c r="I17" s="50">
        <f t="shared" si="2"/>
        <v>7379</v>
      </c>
      <c r="J17" s="51">
        <v>8280188</v>
      </c>
      <c r="K17" s="50">
        <f t="shared" si="3"/>
        <v>3533</v>
      </c>
    </row>
    <row r="18" spans="1:29" ht="19.5">
      <c r="A18" s="59">
        <v>44479</v>
      </c>
      <c r="B18" s="116">
        <v>2560</v>
      </c>
      <c r="C18" s="115">
        <v>0</v>
      </c>
      <c r="D18" s="57">
        <v>125376</v>
      </c>
      <c r="E18" s="50">
        <f>D18-D17</f>
        <v>147</v>
      </c>
      <c r="F18" s="51">
        <v>11078913</v>
      </c>
      <c r="G18" s="50">
        <f t="shared" si="1"/>
        <v>4360</v>
      </c>
      <c r="H18" s="51">
        <v>18881241</v>
      </c>
      <c r="I18" s="50">
        <f t="shared" si="2"/>
        <v>8527</v>
      </c>
      <c r="J18" s="51">
        <v>8283871</v>
      </c>
      <c r="K18" s="50">
        <f t="shared" si="3"/>
        <v>3683</v>
      </c>
    </row>
    <row r="19" spans="1:29" ht="19.5">
      <c r="A19" s="59">
        <v>44480</v>
      </c>
      <c r="B19" s="116">
        <v>2560</v>
      </c>
      <c r="C19" s="115">
        <v>0</v>
      </c>
      <c r="D19" s="57">
        <v>125473</v>
      </c>
      <c r="E19" s="50">
        <f>D19-D18</f>
        <v>97</v>
      </c>
      <c r="F19" s="51">
        <v>11083044</v>
      </c>
      <c r="G19" s="50">
        <f t="shared" si="1"/>
        <v>4131</v>
      </c>
      <c r="H19" s="51">
        <v>18888184</v>
      </c>
      <c r="I19" s="50">
        <f t="shared" si="2"/>
        <v>6943</v>
      </c>
      <c r="J19" s="51">
        <v>8286659</v>
      </c>
      <c r="K19" s="50">
        <f t="shared" si="3"/>
        <v>2788</v>
      </c>
    </row>
    <row r="20" spans="1:29" ht="25.5">
      <c r="A20" s="59">
        <v>44481</v>
      </c>
      <c r="B20" s="116">
        <v>2560</v>
      </c>
      <c r="C20" s="115">
        <v>0</v>
      </c>
      <c r="D20" s="57">
        <v>125558.8</v>
      </c>
      <c r="E20" s="50">
        <f>D20-D19</f>
        <v>85.80000000000291</v>
      </c>
      <c r="F20" s="51">
        <v>11087291</v>
      </c>
      <c r="G20" s="50">
        <f t="shared" si="1"/>
        <v>4247</v>
      </c>
      <c r="H20" s="51">
        <v>18895181</v>
      </c>
      <c r="I20" s="50">
        <f t="shared" si="2"/>
        <v>6997</v>
      </c>
      <c r="J20" s="51">
        <v>8289700</v>
      </c>
      <c r="K20" s="50">
        <f t="shared" si="3"/>
        <v>3041</v>
      </c>
      <c r="L20" s="117" t="s">
        <v>18</v>
      </c>
      <c r="AC20" t="s">
        <v>56</v>
      </c>
    </row>
    <row r="21" spans="1:29" ht="19.5">
      <c r="A21" s="59">
        <v>44482</v>
      </c>
      <c r="B21" s="116">
        <v>2560</v>
      </c>
      <c r="C21" s="115">
        <v>0</v>
      </c>
      <c r="D21" s="57">
        <v>125654.1</v>
      </c>
      <c r="E21" s="50">
        <f>D21-D20</f>
        <v>95.30000000000291</v>
      </c>
      <c r="F21" s="51">
        <v>11091851</v>
      </c>
      <c r="G21" s="50">
        <f t="shared" si="1"/>
        <v>4560</v>
      </c>
      <c r="H21" s="51">
        <v>18903494</v>
      </c>
      <c r="I21" s="50">
        <f t="shared" si="2"/>
        <v>8313</v>
      </c>
      <c r="J21" s="51">
        <v>8292942</v>
      </c>
      <c r="K21" s="50">
        <f t="shared" si="3"/>
        <v>3242</v>
      </c>
    </row>
    <row r="22" spans="1:29" ht="19.5">
      <c r="A22" s="59">
        <v>44483</v>
      </c>
      <c r="B22" s="116">
        <v>2560</v>
      </c>
      <c r="C22" s="115">
        <v>0</v>
      </c>
      <c r="D22" s="57">
        <v>125762.7</v>
      </c>
      <c r="E22" s="50">
        <f>D22-D21</f>
        <v>108.59999999999127</v>
      </c>
      <c r="F22" s="51">
        <v>11096062</v>
      </c>
      <c r="G22" s="50">
        <f t="shared" si="1"/>
        <v>4211</v>
      </c>
      <c r="H22" s="51">
        <v>18910748</v>
      </c>
      <c r="I22" s="50">
        <f t="shared" si="2"/>
        <v>7254</v>
      </c>
      <c r="J22" s="51">
        <v>8295952</v>
      </c>
      <c r="K22" s="50">
        <f t="shared" si="3"/>
        <v>3010</v>
      </c>
    </row>
    <row r="23" spans="1:29" ht="19.5">
      <c r="A23" s="59">
        <v>44484</v>
      </c>
      <c r="B23" s="116">
        <v>2560</v>
      </c>
      <c r="C23" s="115">
        <v>0</v>
      </c>
      <c r="D23" s="57">
        <v>125870.8</v>
      </c>
      <c r="E23" s="50">
        <f>D23-D22</f>
        <v>108.10000000000582</v>
      </c>
      <c r="F23" s="51">
        <v>11100739</v>
      </c>
      <c r="G23" s="50">
        <f t="shared" si="1"/>
        <v>4677</v>
      </c>
      <c r="H23" s="51">
        <v>18917875</v>
      </c>
      <c r="I23" s="50">
        <f t="shared" si="2"/>
        <v>7127</v>
      </c>
      <c r="J23" s="51">
        <v>8299198</v>
      </c>
      <c r="K23" s="50">
        <f t="shared" si="3"/>
        <v>3246</v>
      </c>
    </row>
    <row r="24" spans="1:29" ht="19.5">
      <c r="A24" s="59">
        <v>44485</v>
      </c>
      <c r="B24" s="116">
        <v>2560</v>
      </c>
      <c r="C24" s="115">
        <v>0</v>
      </c>
      <c r="D24" s="57">
        <v>125959.3</v>
      </c>
      <c r="E24" s="50">
        <f>D24-D23</f>
        <v>88.5</v>
      </c>
      <c r="F24" s="51">
        <v>11104840</v>
      </c>
      <c r="G24" s="50">
        <f t="shared" si="1"/>
        <v>4101</v>
      </c>
      <c r="H24" s="51">
        <v>18925099</v>
      </c>
      <c r="I24" s="50">
        <f t="shared" si="2"/>
        <v>7224</v>
      </c>
      <c r="J24" s="51">
        <v>8302368</v>
      </c>
      <c r="K24" s="50">
        <f t="shared" si="3"/>
        <v>3170</v>
      </c>
    </row>
    <row r="25" spans="1:29" ht="19.5">
      <c r="A25" s="59">
        <v>44486</v>
      </c>
      <c r="B25" s="116">
        <v>2560</v>
      </c>
      <c r="C25" s="115">
        <v>0</v>
      </c>
      <c r="D25" s="57">
        <v>126070</v>
      </c>
      <c r="E25" s="50">
        <f>D25-D24</f>
        <v>110.69999999999709</v>
      </c>
      <c r="F25" s="51">
        <v>11109119</v>
      </c>
      <c r="G25" s="50">
        <f t="shared" si="1"/>
        <v>4279</v>
      </c>
      <c r="H25" s="51">
        <v>18931904</v>
      </c>
      <c r="I25" s="50">
        <f t="shared" si="2"/>
        <v>6805</v>
      </c>
      <c r="J25" s="51">
        <v>8305869</v>
      </c>
      <c r="K25" s="50">
        <f t="shared" si="3"/>
        <v>3501</v>
      </c>
    </row>
    <row r="26" spans="1:29" ht="19.5">
      <c r="A26" s="59">
        <v>44487</v>
      </c>
      <c r="B26" s="116">
        <v>2560</v>
      </c>
      <c r="C26" s="115">
        <v>0</v>
      </c>
      <c r="D26" s="57">
        <v>126188</v>
      </c>
      <c r="E26" s="50">
        <f>D26-D25</f>
        <v>118</v>
      </c>
      <c r="F26" s="51">
        <v>11113327</v>
      </c>
      <c r="G26" s="50">
        <f t="shared" si="1"/>
        <v>4208</v>
      </c>
      <c r="H26" s="51">
        <v>18938713</v>
      </c>
      <c r="I26" s="50">
        <f t="shared" si="2"/>
        <v>6809</v>
      </c>
      <c r="J26" s="51">
        <v>8308782</v>
      </c>
      <c r="K26" s="50">
        <f t="shared" si="3"/>
        <v>2913</v>
      </c>
    </row>
    <row r="27" spans="1:29" ht="19.5">
      <c r="A27" s="59">
        <v>44488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44489</v>
      </c>
      <c r="B28" s="116"/>
      <c r="C28" s="115">
        <f t="shared" ref="C11:D40" si="4">B28-B27</f>
        <v>0</v>
      </c>
      <c r="D28" s="57"/>
      <c r="E28" s="50">
        <f t="shared" ref="E27:E40" si="5">D28-D27</f>
        <v>0</v>
      </c>
      <c r="F28" s="51"/>
      <c r="G28" s="50">
        <f t="shared" ref="G11:H40" si="6">F28-F27</f>
        <v>0</v>
      </c>
      <c r="H28" s="51"/>
      <c r="I28" s="50">
        <f t="shared" ref="I11:I40" si="7">H28-H27</f>
        <v>0</v>
      </c>
      <c r="J28" s="51"/>
      <c r="K28" s="50">
        <f t="shared" ref="K11:K40" si="8">J28-J27</f>
        <v>0</v>
      </c>
    </row>
    <row r="29" spans="1:29" ht="19.5">
      <c r="A29" s="59">
        <v>44490</v>
      </c>
      <c r="B29" s="116"/>
      <c r="C29" s="115">
        <f t="shared" si="4"/>
        <v>0</v>
      </c>
      <c r="D29" s="57"/>
      <c r="E29" s="50">
        <f t="shared" si="5"/>
        <v>0</v>
      </c>
      <c r="F29" s="51"/>
      <c r="G29" s="50">
        <f t="shared" si="6"/>
        <v>0</v>
      </c>
      <c r="H29" s="51"/>
      <c r="I29" s="50">
        <f t="shared" si="7"/>
        <v>0</v>
      </c>
      <c r="J29" s="51"/>
      <c r="K29" s="50">
        <f t="shared" si="8"/>
        <v>0</v>
      </c>
    </row>
    <row r="30" spans="1:29" ht="19.5">
      <c r="A30" s="59">
        <v>44491</v>
      </c>
      <c r="B30" s="116"/>
      <c r="C30" s="115">
        <f t="shared" si="4"/>
        <v>0</v>
      </c>
      <c r="D30" s="57"/>
      <c r="E30" s="50">
        <f t="shared" si="5"/>
        <v>0</v>
      </c>
      <c r="F30" s="51"/>
      <c r="G30" s="50">
        <f t="shared" si="6"/>
        <v>0</v>
      </c>
      <c r="H30" s="51"/>
      <c r="I30" s="50">
        <f t="shared" si="7"/>
        <v>0</v>
      </c>
      <c r="J30" s="51"/>
      <c r="K30" s="50">
        <f t="shared" si="8"/>
        <v>0</v>
      </c>
    </row>
    <row r="31" spans="1:29" ht="19.5">
      <c r="A31" s="59">
        <v>44492</v>
      </c>
      <c r="B31" s="116"/>
      <c r="C31" s="115">
        <f t="shared" si="4"/>
        <v>0</v>
      </c>
      <c r="D31" s="57"/>
      <c r="E31" s="50">
        <f t="shared" si="5"/>
        <v>0</v>
      </c>
      <c r="F31" s="51"/>
      <c r="G31" s="50">
        <f t="shared" si="6"/>
        <v>0</v>
      </c>
      <c r="H31" s="51"/>
      <c r="I31" s="50">
        <f t="shared" si="7"/>
        <v>0</v>
      </c>
      <c r="J31" s="51"/>
      <c r="K31" s="50">
        <f t="shared" si="8"/>
        <v>0</v>
      </c>
    </row>
    <row r="32" spans="1:29" ht="19.5">
      <c r="A32" s="59">
        <v>44493</v>
      </c>
      <c r="B32" s="116"/>
      <c r="C32" s="115">
        <f t="shared" si="4"/>
        <v>0</v>
      </c>
      <c r="D32" s="57"/>
      <c r="E32" s="50">
        <f t="shared" si="5"/>
        <v>0</v>
      </c>
      <c r="F32" s="51"/>
      <c r="G32" s="50">
        <f t="shared" si="6"/>
        <v>0</v>
      </c>
      <c r="H32" s="51"/>
      <c r="I32" s="50">
        <f t="shared" si="7"/>
        <v>0</v>
      </c>
      <c r="J32" s="51"/>
      <c r="K32" s="50">
        <f t="shared" si="8"/>
        <v>0</v>
      </c>
    </row>
    <row r="33" spans="1:11" ht="19.5">
      <c r="A33" s="59">
        <v>44494</v>
      </c>
      <c r="B33" s="116"/>
      <c r="C33" s="115">
        <f t="shared" si="4"/>
        <v>0</v>
      </c>
      <c r="D33" s="57"/>
      <c r="E33" s="50">
        <f t="shared" si="5"/>
        <v>0</v>
      </c>
      <c r="F33" s="51"/>
      <c r="G33" s="50">
        <f t="shared" si="6"/>
        <v>0</v>
      </c>
      <c r="H33" s="51"/>
      <c r="I33" s="50">
        <f t="shared" si="7"/>
        <v>0</v>
      </c>
      <c r="J33" s="51"/>
      <c r="K33" s="50">
        <f t="shared" si="8"/>
        <v>0</v>
      </c>
    </row>
    <row r="34" spans="1:11" ht="19.5">
      <c r="A34" s="59">
        <v>44495</v>
      </c>
      <c r="B34" s="116"/>
      <c r="C34" s="115">
        <f t="shared" si="4"/>
        <v>0</v>
      </c>
      <c r="D34" s="57"/>
      <c r="E34" s="50">
        <f t="shared" si="5"/>
        <v>0</v>
      </c>
      <c r="F34" s="51"/>
      <c r="G34" s="50">
        <f t="shared" si="6"/>
        <v>0</v>
      </c>
      <c r="H34" s="51"/>
      <c r="I34" s="50">
        <f t="shared" si="7"/>
        <v>0</v>
      </c>
      <c r="J34" s="51"/>
      <c r="K34" s="50">
        <f t="shared" si="8"/>
        <v>0</v>
      </c>
    </row>
    <row r="35" spans="1:11" ht="19.5">
      <c r="A35" s="59">
        <v>44496</v>
      </c>
      <c r="B35" s="116"/>
      <c r="C35" s="115">
        <f t="shared" si="4"/>
        <v>0</v>
      </c>
      <c r="D35" s="57"/>
      <c r="E35" s="50">
        <f t="shared" si="5"/>
        <v>0</v>
      </c>
      <c r="F35" s="51"/>
      <c r="G35" s="50">
        <f t="shared" si="6"/>
        <v>0</v>
      </c>
      <c r="H35" s="51"/>
      <c r="I35" s="50">
        <f t="shared" si="7"/>
        <v>0</v>
      </c>
      <c r="J35" s="51"/>
      <c r="K35" s="50">
        <f t="shared" si="8"/>
        <v>0</v>
      </c>
    </row>
    <row r="36" spans="1:11" ht="19.5">
      <c r="A36" s="59">
        <v>44497</v>
      </c>
      <c r="B36" s="116"/>
      <c r="C36" s="115">
        <f t="shared" si="4"/>
        <v>0</v>
      </c>
      <c r="D36" s="57"/>
      <c r="E36" s="50">
        <f t="shared" si="5"/>
        <v>0</v>
      </c>
      <c r="F36" s="51"/>
      <c r="G36" s="50">
        <f t="shared" si="6"/>
        <v>0</v>
      </c>
      <c r="H36" s="51"/>
      <c r="I36" s="50">
        <f t="shared" si="7"/>
        <v>0</v>
      </c>
      <c r="J36" s="51"/>
      <c r="K36" s="50">
        <f t="shared" si="8"/>
        <v>0</v>
      </c>
    </row>
    <row r="37" spans="1:11" ht="19.5">
      <c r="A37" s="59">
        <v>44498</v>
      </c>
      <c r="B37" s="116"/>
      <c r="C37" s="115">
        <f t="shared" si="4"/>
        <v>0</v>
      </c>
      <c r="D37" s="57"/>
      <c r="E37" s="50">
        <f t="shared" si="5"/>
        <v>0</v>
      </c>
      <c r="F37" s="51"/>
      <c r="G37" s="50">
        <f t="shared" si="6"/>
        <v>0</v>
      </c>
      <c r="H37" s="51"/>
      <c r="I37" s="50">
        <f t="shared" si="7"/>
        <v>0</v>
      </c>
      <c r="J37" s="51"/>
      <c r="K37" s="50">
        <f t="shared" si="8"/>
        <v>0</v>
      </c>
    </row>
    <row r="38" spans="1:11" ht="19.5">
      <c r="A38" s="59">
        <v>44499</v>
      </c>
      <c r="B38" s="116"/>
      <c r="C38" s="115">
        <f t="shared" si="4"/>
        <v>0</v>
      </c>
      <c r="D38" s="57"/>
      <c r="E38" s="50">
        <f t="shared" si="5"/>
        <v>0</v>
      </c>
      <c r="F38" s="51"/>
      <c r="G38" s="50">
        <f t="shared" si="6"/>
        <v>0</v>
      </c>
      <c r="H38" s="51"/>
      <c r="I38" s="50">
        <f t="shared" si="7"/>
        <v>0</v>
      </c>
      <c r="J38" s="51"/>
      <c r="K38" s="50">
        <f t="shared" si="8"/>
        <v>0</v>
      </c>
    </row>
    <row r="39" spans="1:11" ht="19.5">
      <c r="A39" s="59">
        <v>44500</v>
      </c>
      <c r="B39" s="116"/>
      <c r="C39" s="115">
        <f t="shared" si="4"/>
        <v>0</v>
      </c>
      <c r="D39" s="57"/>
      <c r="E39" s="50">
        <f t="shared" si="5"/>
        <v>0</v>
      </c>
      <c r="F39" s="51"/>
      <c r="G39" s="50">
        <f t="shared" si="6"/>
        <v>0</v>
      </c>
      <c r="H39" s="51"/>
      <c r="I39" s="50">
        <f t="shared" si="7"/>
        <v>0</v>
      </c>
      <c r="J39" s="51"/>
      <c r="K39" s="50">
        <f t="shared" si="8"/>
        <v>0</v>
      </c>
    </row>
    <row r="40" spans="1:11" ht="21.75" customHeight="1">
      <c r="A40" s="59">
        <v>44501</v>
      </c>
      <c r="B40" s="116"/>
      <c r="C40" s="115">
        <f t="shared" si="4"/>
        <v>0</v>
      </c>
      <c r="D40" s="57"/>
      <c r="E40" s="50">
        <f t="shared" si="5"/>
        <v>0</v>
      </c>
      <c r="F40" s="51"/>
      <c r="G40" s="50">
        <f t="shared" si="6"/>
        <v>0</v>
      </c>
      <c r="H40" s="51"/>
      <c r="I40" s="50">
        <f t="shared" si="7"/>
        <v>0</v>
      </c>
      <c r="J40" s="51"/>
      <c r="K40" s="50">
        <f t="shared" si="8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7" activePane="bottomRight" state="frozen"/>
      <selection pane="bottomRight" activeCell="I21" sqref="I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O4*9.965</f>
        <v>5166.0553000000009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44471</v>
      </c>
      <c r="B5" s="41">
        <v>65</v>
      </c>
      <c r="C5" s="39">
        <f t="shared" ref="C4:C35" si="3">IF(AC5&gt;0,((B5-R5)+(S5-B6)),IF(B6=0, ,(B5-B6)))</f>
        <v>2</v>
      </c>
      <c r="D5" s="41">
        <v>65</v>
      </c>
      <c r="E5" s="39">
        <f t="shared" ref="E4:E35" si="4">IF(AC5&gt;0,((D5-U5)+(V5-D6)),IF(D6=0, ,(D5-D6)))</f>
        <v>2</v>
      </c>
      <c r="F5" s="41">
        <v>68</v>
      </c>
      <c r="G5" s="39">
        <f t="shared" ref="G4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9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42" si="7">O5*9.965</f>
        <v>3321.0355500000005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8">IF(AC6&gt;0,((H6-AA6)+(AB6-H7)),IF(H7=0, ,(H6-H7)))</f>
        <v>4</v>
      </c>
      <c r="J6" s="39">
        <f t="shared" ref="J6:J42" si="9">B6+D6+F6+H6</f>
        <v>255</v>
      </c>
      <c r="K6" s="39">
        <f t="shared" ref="K6:K42" si="10">J6/4</f>
        <v>63.75</v>
      </c>
      <c r="L6" s="39">
        <f t="shared" ref="L6:L19" si="11">IF(AC6&gt;0,((K6-AD6)+(AE6-K7)),IF(K7=0, ,(K6-K7)))</f>
        <v>3</v>
      </c>
      <c r="M6" s="149">
        <f t="shared" si="6"/>
        <v>28000</v>
      </c>
      <c r="N6" s="39">
        <f t="shared" ref="N6:N42" si="12">L6*M6/100</f>
        <v>840</v>
      </c>
      <c r="O6" s="39">
        <f>N6*0.529</f>
        <v>444.36</v>
      </c>
      <c r="P6" s="42">
        <f t="shared" si="7"/>
        <v>4428.0474000000004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8"/>
        <v>2</v>
      </c>
      <c r="J7" s="39">
        <f t="shared" si="9"/>
        <v>243</v>
      </c>
      <c r="K7" s="39">
        <f t="shared" si="10"/>
        <v>60.75</v>
      </c>
      <c r="L7" s="39">
        <f t="shared" si="11"/>
        <v>3.75</v>
      </c>
      <c r="M7" s="149">
        <f t="shared" si="6"/>
        <v>28000</v>
      </c>
      <c r="N7" s="39">
        <f t="shared" si="12"/>
        <v>1050</v>
      </c>
      <c r="O7" s="39">
        <f>N7*0.53</f>
        <v>556.5</v>
      </c>
      <c r="P7" s="42">
        <f t="shared" si="7"/>
        <v>5545.5225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3</v>
      </c>
      <c r="F8" s="41">
        <v>59</v>
      </c>
      <c r="G8" s="39">
        <f t="shared" si="5"/>
        <v>3</v>
      </c>
      <c r="H8" s="41">
        <v>59</v>
      </c>
      <c r="I8" s="39">
        <f t="shared" si="8"/>
        <v>3</v>
      </c>
      <c r="J8" s="39">
        <f t="shared" si="9"/>
        <v>228</v>
      </c>
      <c r="K8" s="39">
        <f t="shared" si="10"/>
        <v>57</v>
      </c>
      <c r="L8" s="39">
        <f t="shared" si="11"/>
        <v>2.25</v>
      </c>
      <c r="M8" s="149">
        <f>6049*4</f>
        <v>24196</v>
      </c>
      <c r="N8" s="39">
        <f t="shared" si="12"/>
        <v>544.41</v>
      </c>
      <c r="O8" s="148">
        <f t="shared" ref="O8:O37" si="13">N8*0.529</f>
        <v>287.99288999999999</v>
      </c>
      <c r="P8" s="42">
        <f t="shared" si="7"/>
        <v>2869.8491488499999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44475</v>
      </c>
      <c r="B9" s="41">
        <v>54</v>
      </c>
      <c r="C9" s="39">
        <f t="shared" si="3"/>
        <v>1</v>
      </c>
      <c r="D9" s="41">
        <v>53</v>
      </c>
      <c r="E9" s="39">
        <f t="shared" si="4"/>
        <v>1</v>
      </c>
      <c r="F9" s="41">
        <v>56</v>
      </c>
      <c r="G9" s="39">
        <f t="shared" si="5"/>
        <v>1</v>
      </c>
      <c r="H9" s="41">
        <v>56</v>
      </c>
      <c r="I9" s="39">
        <f t="shared" si="8"/>
        <v>2</v>
      </c>
      <c r="J9" s="39">
        <f t="shared" si="9"/>
        <v>219</v>
      </c>
      <c r="K9" s="39">
        <f t="shared" si="10"/>
        <v>54.75</v>
      </c>
      <c r="L9" s="39">
        <f t="shared" si="11"/>
        <v>1.25</v>
      </c>
      <c r="M9" s="149">
        <f t="shared" ref="M9:M42" si="14">6049*4</f>
        <v>24196</v>
      </c>
      <c r="N9" s="39">
        <f t="shared" si="12"/>
        <v>302.45</v>
      </c>
      <c r="O9" s="39">
        <f t="shared" si="13"/>
        <v>159.99605</v>
      </c>
      <c r="P9" s="42">
        <f t="shared" si="7"/>
        <v>1594.36063825</v>
      </c>
      <c r="Q9" s="39">
        <v>2328</v>
      </c>
      <c r="R9" s="39">
        <v>53</v>
      </c>
      <c r="S9" s="39">
        <v>85</v>
      </c>
      <c r="T9" s="39">
        <v>2450</v>
      </c>
      <c r="U9" s="39">
        <v>52</v>
      </c>
      <c r="V9" s="39">
        <v>85</v>
      </c>
      <c r="W9" s="39">
        <v>2300</v>
      </c>
      <c r="X9" s="39">
        <v>55</v>
      </c>
      <c r="Y9" s="39">
        <v>85</v>
      </c>
      <c r="Z9" s="39">
        <v>2200</v>
      </c>
      <c r="AA9" s="39">
        <v>54</v>
      </c>
      <c r="AB9" s="39">
        <v>85</v>
      </c>
      <c r="AC9" s="39">
        <f t="shared" si="0"/>
        <v>9278</v>
      </c>
      <c r="AD9" s="38">
        <f t="shared" si="1"/>
        <v>53.5</v>
      </c>
      <c r="AE9" s="38">
        <f t="shared" si="2"/>
        <v>85</v>
      </c>
    </row>
    <row r="10" spans="1:31" ht="32.25" customHeight="1">
      <c r="A10" s="40">
        <v>44476</v>
      </c>
      <c r="B10" s="41">
        <v>85</v>
      </c>
      <c r="C10" s="39">
        <f t="shared" si="3"/>
        <v>0</v>
      </c>
      <c r="D10" s="41">
        <v>85</v>
      </c>
      <c r="E10" s="39">
        <f t="shared" si="4"/>
        <v>2</v>
      </c>
      <c r="F10" s="41">
        <v>85</v>
      </c>
      <c r="G10" s="39">
        <f t="shared" si="5"/>
        <v>1</v>
      </c>
      <c r="H10" s="41">
        <v>85</v>
      </c>
      <c r="I10" s="39">
        <f t="shared" si="8"/>
        <v>3</v>
      </c>
      <c r="J10" s="39">
        <f t="shared" si="9"/>
        <v>340</v>
      </c>
      <c r="K10" s="39">
        <f t="shared" si="10"/>
        <v>85</v>
      </c>
      <c r="L10" s="39">
        <f t="shared" si="11"/>
        <v>1.5</v>
      </c>
      <c r="M10" s="149">
        <f t="shared" si="14"/>
        <v>24196</v>
      </c>
      <c r="N10" s="39">
        <f t="shared" si="12"/>
        <v>362.94</v>
      </c>
      <c r="O10" s="148">
        <f t="shared" si="13"/>
        <v>191.99526</v>
      </c>
      <c r="P10" s="42">
        <f t="shared" si="7"/>
        <v>1913.2327659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44477</v>
      </c>
      <c r="B11" s="41">
        <v>85</v>
      </c>
      <c r="C11" s="39">
        <f t="shared" si="3"/>
        <v>5</v>
      </c>
      <c r="D11" s="41">
        <v>83</v>
      </c>
      <c r="E11" s="39">
        <f t="shared" si="4"/>
        <v>2</v>
      </c>
      <c r="F11" s="41">
        <v>84</v>
      </c>
      <c r="G11" s="39">
        <f t="shared" si="5"/>
        <v>2</v>
      </c>
      <c r="H11" s="41">
        <v>82</v>
      </c>
      <c r="I11" s="39">
        <f t="shared" si="8"/>
        <v>2</v>
      </c>
      <c r="J11" s="39">
        <f t="shared" si="9"/>
        <v>334</v>
      </c>
      <c r="K11" s="39">
        <f t="shared" si="10"/>
        <v>83.5</v>
      </c>
      <c r="L11" s="39">
        <f t="shared" si="11"/>
        <v>2.75</v>
      </c>
      <c r="M11" s="149">
        <f t="shared" si="14"/>
        <v>24196</v>
      </c>
      <c r="N11" s="39">
        <f t="shared" si="12"/>
        <v>665.39</v>
      </c>
      <c r="O11" s="39">
        <f t="shared" si="13"/>
        <v>351.99131</v>
      </c>
      <c r="P11" s="42">
        <f t="shared" si="7"/>
        <v>3507.59340415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44478</v>
      </c>
      <c r="B12" s="41">
        <v>80</v>
      </c>
      <c r="C12" s="39">
        <f t="shared" si="3"/>
        <v>1</v>
      </c>
      <c r="D12" s="41">
        <v>81</v>
      </c>
      <c r="E12" s="39">
        <f t="shared" si="4"/>
        <v>1</v>
      </c>
      <c r="F12" s="41">
        <v>82</v>
      </c>
      <c r="G12" s="39">
        <f t="shared" si="5"/>
        <v>2</v>
      </c>
      <c r="H12" s="41">
        <v>80</v>
      </c>
      <c r="I12" s="39">
        <f t="shared" si="8"/>
        <v>2</v>
      </c>
      <c r="J12" s="39">
        <f t="shared" si="9"/>
        <v>323</v>
      </c>
      <c r="K12" s="39">
        <f t="shared" si="10"/>
        <v>80.75</v>
      </c>
      <c r="L12" s="39">
        <f t="shared" si="11"/>
        <v>1.5</v>
      </c>
      <c r="M12" s="149">
        <f t="shared" si="14"/>
        <v>24196</v>
      </c>
      <c r="N12" s="39">
        <f t="shared" si="12"/>
        <v>362.94</v>
      </c>
      <c r="O12" s="39">
        <f t="shared" si="13"/>
        <v>191.99526</v>
      </c>
      <c r="P12" s="42">
        <f t="shared" si="7"/>
        <v>1913.2327659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44479</v>
      </c>
      <c r="B13" s="41">
        <v>79</v>
      </c>
      <c r="C13" s="39">
        <f t="shared" si="3"/>
        <v>4</v>
      </c>
      <c r="D13" s="41">
        <v>80</v>
      </c>
      <c r="E13" s="39">
        <f t="shared" si="4"/>
        <v>3</v>
      </c>
      <c r="F13" s="41">
        <v>80</v>
      </c>
      <c r="G13" s="39">
        <f t="shared" si="5"/>
        <v>3</v>
      </c>
      <c r="H13" s="41">
        <v>78</v>
      </c>
      <c r="I13" s="39">
        <f t="shared" si="8"/>
        <v>3</v>
      </c>
      <c r="J13" s="39">
        <f t="shared" si="9"/>
        <v>317</v>
      </c>
      <c r="K13" s="39">
        <f t="shared" si="10"/>
        <v>79.25</v>
      </c>
      <c r="L13" s="39">
        <f t="shared" si="11"/>
        <v>3.25</v>
      </c>
      <c r="M13" s="149">
        <f t="shared" si="14"/>
        <v>24196</v>
      </c>
      <c r="N13" s="39">
        <f t="shared" si="12"/>
        <v>786.37</v>
      </c>
      <c r="O13" s="39">
        <f t="shared" si="13"/>
        <v>415.98973000000001</v>
      </c>
      <c r="P13" s="42">
        <f t="shared" si="7"/>
        <v>4145.3376594499996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44480</v>
      </c>
      <c r="B14" s="41">
        <v>75</v>
      </c>
      <c r="C14" s="39">
        <f t="shared" si="3"/>
        <v>2</v>
      </c>
      <c r="D14" s="41">
        <v>77</v>
      </c>
      <c r="E14" s="39">
        <f t="shared" si="4"/>
        <v>2</v>
      </c>
      <c r="F14" s="41">
        <v>77</v>
      </c>
      <c r="G14" s="39">
        <f t="shared" si="5"/>
        <v>3</v>
      </c>
      <c r="H14" s="41">
        <v>75</v>
      </c>
      <c r="I14" s="39">
        <f>IF(AC14&gt;0,((H14-AA14)+(AB14-H15)),IF(H15=0, ,(H14-H15)))</f>
        <v>2</v>
      </c>
      <c r="J14" s="39">
        <f t="shared" si="9"/>
        <v>304</v>
      </c>
      <c r="K14" s="39">
        <f t="shared" si="10"/>
        <v>76</v>
      </c>
      <c r="L14" s="39">
        <f t="shared" si="11"/>
        <v>2.25</v>
      </c>
      <c r="M14" s="149">
        <f t="shared" si="14"/>
        <v>24196</v>
      </c>
      <c r="N14" s="39">
        <f t="shared" si="12"/>
        <v>544.41</v>
      </c>
      <c r="O14" s="39">
        <f t="shared" si="13"/>
        <v>287.99288999999999</v>
      </c>
      <c r="P14" s="42">
        <f t="shared" si="7"/>
        <v>2869.8491488499999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44481</v>
      </c>
      <c r="B15" s="41">
        <v>73</v>
      </c>
      <c r="C15" s="39">
        <f t="shared" si="3"/>
        <v>3</v>
      </c>
      <c r="D15" s="41">
        <v>75</v>
      </c>
      <c r="E15" s="39">
        <f t="shared" si="4"/>
        <v>2</v>
      </c>
      <c r="F15" s="41">
        <v>74</v>
      </c>
      <c r="G15" s="39">
        <f t="shared" si="5"/>
        <v>2</v>
      </c>
      <c r="H15" s="41">
        <v>73</v>
      </c>
      <c r="I15" s="39">
        <f>IF(AC15&gt;0,((H15-AA15)+(AB15-H16)),IF(H16=0, ,(H15-H16)))</f>
        <v>2</v>
      </c>
      <c r="J15" s="39">
        <f t="shared" si="9"/>
        <v>295</v>
      </c>
      <c r="K15" s="39">
        <f t="shared" si="10"/>
        <v>73.75</v>
      </c>
      <c r="L15" s="39">
        <f t="shared" si="11"/>
        <v>2.25</v>
      </c>
      <c r="M15" s="149">
        <f t="shared" si="14"/>
        <v>24196</v>
      </c>
      <c r="N15" s="39">
        <f t="shared" si="12"/>
        <v>544.41</v>
      </c>
      <c r="O15" s="39">
        <f t="shared" si="13"/>
        <v>287.99288999999999</v>
      </c>
      <c r="P15" s="42">
        <f t="shared" si="7"/>
        <v>2869.8491488499999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44482</v>
      </c>
      <c r="B16" s="41">
        <v>70</v>
      </c>
      <c r="C16" s="39">
        <f t="shared" si="3"/>
        <v>2</v>
      </c>
      <c r="D16" s="41">
        <v>73</v>
      </c>
      <c r="E16" s="39">
        <f t="shared" si="4"/>
        <v>3</v>
      </c>
      <c r="F16" s="41">
        <v>72</v>
      </c>
      <c r="G16" s="39">
        <f t="shared" si="5"/>
        <v>3</v>
      </c>
      <c r="H16" s="41">
        <v>71</v>
      </c>
      <c r="I16" s="39">
        <f t="shared" si="8"/>
        <v>3</v>
      </c>
      <c r="J16" s="39">
        <f t="shared" si="9"/>
        <v>286</v>
      </c>
      <c r="K16" s="39">
        <f t="shared" si="10"/>
        <v>71.5</v>
      </c>
      <c r="L16" s="39">
        <f t="shared" si="11"/>
        <v>2.75</v>
      </c>
      <c r="M16" s="149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3507.59340415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44483</v>
      </c>
      <c r="B17" s="41">
        <v>68</v>
      </c>
      <c r="C17" s="39">
        <f t="shared" si="3"/>
        <v>2</v>
      </c>
      <c r="D17" s="41">
        <v>70</v>
      </c>
      <c r="E17" s="39">
        <f t="shared" si="4"/>
        <v>0</v>
      </c>
      <c r="F17" s="41">
        <v>69</v>
      </c>
      <c r="G17" s="39">
        <f t="shared" si="5"/>
        <v>0</v>
      </c>
      <c r="H17" s="41">
        <v>68</v>
      </c>
      <c r="I17" s="39">
        <f t="shared" si="8"/>
        <v>0</v>
      </c>
      <c r="J17" s="39">
        <f t="shared" si="9"/>
        <v>275</v>
      </c>
      <c r="K17" s="39">
        <f t="shared" si="10"/>
        <v>68.75</v>
      </c>
      <c r="L17" s="39">
        <f t="shared" si="11"/>
        <v>0.5</v>
      </c>
      <c r="M17" s="149">
        <f t="shared" si="14"/>
        <v>24196</v>
      </c>
      <c r="N17" s="39">
        <f t="shared" si="12"/>
        <v>120.98</v>
      </c>
      <c r="O17" s="39">
        <f t="shared" si="13"/>
        <v>63.998420000000003</v>
      </c>
      <c r="P17" s="42">
        <f t="shared" si="7"/>
        <v>637.74425530000008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44484</v>
      </c>
      <c r="B18" s="41">
        <v>66</v>
      </c>
      <c r="C18" s="39">
        <f t="shared" si="3"/>
        <v>2</v>
      </c>
      <c r="D18" s="41">
        <v>70</v>
      </c>
      <c r="E18" s="39">
        <f t="shared" si="4"/>
        <v>5</v>
      </c>
      <c r="F18" s="41">
        <v>69</v>
      </c>
      <c r="G18" s="39">
        <f t="shared" si="5"/>
        <v>4</v>
      </c>
      <c r="H18" s="41">
        <v>68</v>
      </c>
      <c r="I18" s="39">
        <f t="shared" si="8"/>
        <v>4</v>
      </c>
      <c r="J18" s="39">
        <f t="shared" si="9"/>
        <v>273</v>
      </c>
      <c r="K18" s="39">
        <f t="shared" si="10"/>
        <v>68.25</v>
      </c>
      <c r="L18" s="39">
        <f t="shared" si="11"/>
        <v>3.75</v>
      </c>
      <c r="M18" s="149">
        <f t="shared" si="14"/>
        <v>24196</v>
      </c>
      <c r="N18" s="39">
        <f t="shared" si="12"/>
        <v>907.35</v>
      </c>
      <c r="O18" s="39">
        <f t="shared" si="13"/>
        <v>479.98815000000002</v>
      </c>
      <c r="P18" s="42">
        <f t="shared" si="7"/>
        <v>4783.0819147499997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44485</v>
      </c>
      <c r="B19" s="41">
        <v>64</v>
      </c>
      <c r="C19" s="39">
        <f t="shared" si="3"/>
        <v>4</v>
      </c>
      <c r="D19" s="41">
        <v>65</v>
      </c>
      <c r="E19" s="39">
        <f t="shared" si="4"/>
        <v>3</v>
      </c>
      <c r="F19" s="41">
        <v>65</v>
      </c>
      <c r="G19" s="39">
        <f t="shared" si="5"/>
        <v>4</v>
      </c>
      <c r="H19" s="41">
        <v>64</v>
      </c>
      <c r="I19" s="39">
        <f t="shared" si="8"/>
        <v>4</v>
      </c>
      <c r="J19" s="39">
        <f t="shared" si="9"/>
        <v>258</v>
      </c>
      <c r="K19" s="39">
        <f t="shared" si="10"/>
        <v>64.5</v>
      </c>
      <c r="L19" s="39">
        <f t="shared" si="11"/>
        <v>3.75</v>
      </c>
      <c r="M19" s="149">
        <f t="shared" si="14"/>
        <v>24196</v>
      </c>
      <c r="N19" s="39">
        <f t="shared" si="12"/>
        <v>907.35</v>
      </c>
      <c r="O19" s="39">
        <f t="shared" si="13"/>
        <v>479.98815000000002</v>
      </c>
      <c r="P19" s="42">
        <f t="shared" si="7"/>
        <v>4783.0819147499997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44486</v>
      </c>
      <c r="B20" s="41">
        <v>60</v>
      </c>
      <c r="C20" s="39">
        <f t="shared" si="3"/>
        <v>5</v>
      </c>
      <c r="D20" s="41">
        <v>62</v>
      </c>
      <c r="E20" s="39">
        <f t="shared" si="4"/>
        <v>6</v>
      </c>
      <c r="F20" s="41">
        <v>61</v>
      </c>
      <c r="G20" s="39">
        <f t="shared" si="5"/>
        <v>4</v>
      </c>
      <c r="H20" s="41">
        <v>60</v>
      </c>
      <c r="I20" s="39">
        <f t="shared" si="8"/>
        <v>2</v>
      </c>
      <c r="J20" s="39">
        <f t="shared" si="9"/>
        <v>243</v>
      </c>
      <c r="K20" s="39">
        <f t="shared" si="10"/>
        <v>60.75</v>
      </c>
      <c r="L20" s="39">
        <f t="shared" ref="L20:L42" si="15">IF(AC20&gt;0,((K20-AD20)+(AE20-K21)),IF(K21=0, ,(K20-K21)))</f>
        <v>4.25</v>
      </c>
      <c r="M20" s="149">
        <f t="shared" si="14"/>
        <v>24196</v>
      </c>
      <c r="N20" s="39">
        <f t="shared" si="12"/>
        <v>1028.33</v>
      </c>
      <c r="O20" s="39">
        <f t="shared" si="13"/>
        <v>543.98657000000003</v>
      </c>
      <c r="P20" s="42">
        <f t="shared" si="7"/>
        <v>5420.8261700500007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44487</v>
      </c>
      <c r="B21" s="41">
        <v>55</v>
      </c>
      <c r="C21" s="39">
        <f t="shared" si="3"/>
        <v>0</v>
      </c>
      <c r="D21" s="41">
        <v>56</v>
      </c>
      <c r="E21" s="39">
        <f t="shared" si="4"/>
        <v>0</v>
      </c>
      <c r="F21" s="41">
        <v>57</v>
      </c>
      <c r="G21" s="39">
        <f t="shared" si="5"/>
        <v>0</v>
      </c>
      <c r="H21" s="41">
        <v>58</v>
      </c>
      <c r="I21" s="39">
        <f t="shared" si="8"/>
        <v>0</v>
      </c>
      <c r="J21" s="39">
        <f t="shared" si="9"/>
        <v>226</v>
      </c>
      <c r="K21" s="39">
        <f t="shared" si="10"/>
        <v>56.5</v>
      </c>
      <c r="L21" s="39">
        <f>IF(AC21&gt;0,((K21-AD21)+(AE21-K22)),IF(K22=0, ,(K21-K22)))</f>
        <v>0</v>
      </c>
      <c r="M21" s="149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>
      <c r="A22" s="40">
        <v>44488</v>
      </c>
      <c r="B22" s="41"/>
      <c r="C22" s="39">
        <f t="shared" si="3"/>
        <v>0</v>
      </c>
      <c r="D22" s="41"/>
      <c r="E22" s="39">
        <f t="shared" si="4"/>
        <v>0</v>
      </c>
      <c r="F22" s="41"/>
      <c r="G22" s="39">
        <f t="shared" si="5"/>
        <v>0</v>
      </c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49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44489</v>
      </c>
      <c r="B23" s="41"/>
      <c r="C23" s="39">
        <f t="shared" si="3"/>
        <v>0</v>
      </c>
      <c r="D23" s="41"/>
      <c r="E23" s="39">
        <f t="shared" si="4"/>
        <v>0</v>
      </c>
      <c r="F23" s="41"/>
      <c r="G23" s="39">
        <f t="shared" si="5"/>
        <v>0</v>
      </c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49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>
      <c r="A24" s="40">
        <v>44490</v>
      </c>
      <c r="B24" s="41"/>
      <c r="C24" s="39">
        <f t="shared" si="3"/>
        <v>0</v>
      </c>
      <c r="D24" s="41"/>
      <c r="E24" s="39">
        <f t="shared" si="4"/>
        <v>0</v>
      </c>
      <c r="F24" s="41"/>
      <c r="G24" s="39">
        <f t="shared" si="5"/>
        <v>0</v>
      </c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49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44491</v>
      </c>
      <c r="B25" s="41"/>
      <c r="C25" s="39">
        <f t="shared" si="3"/>
        <v>0</v>
      </c>
      <c r="D25" s="41"/>
      <c r="E25" s="39">
        <f t="shared" si="4"/>
        <v>0</v>
      </c>
      <c r="F25" s="41"/>
      <c r="G25" s="39">
        <f t="shared" si="5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49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44492</v>
      </c>
      <c r="B26" s="41"/>
      <c r="C26" s="39">
        <f t="shared" si="3"/>
        <v>0</v>
      </c>
      <c r="D26" s="41"/>
      <c r="E26" s="39">
        <f t="shared" si="4"/>
        <v>0</v>
      </c>
      <c r="F26" s="41"/>
      <c r="G26" s="39">
        <f t="shared" si="5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49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44493</v>
      </c>
      <c r="B27" s="41"/>
      <c r="C27" s="39">
        <f t="shared" si="3"/>
        <v>0</v>
      </c>
      <c r="D27" s="41"/>
      <c r="E27" s="39">
        <f t="shared" si="4"/>
        <v>0</v>
      </c>
      <c r="F27" s="41"/>
      <c r="G27" s="39">
        <f t="shared" si="5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49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44494</v>
      </c>
      <c r="B28" s="41"/>
      <c r="C28" s="39">
        <f t="shared" si="3"/>
        <v>0</v>
      </c>
      <c r="D28" s="41"/>
      <c r="E28" s="39">
        <f t="shared" si="4"/>
        <v>0</v>
      </c>
      <c r="F28" s="41"/>
      <c r="G28" s="39">
        <f t="shared" si="5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49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44495</v>
      </c>
      <c r="B29" s="41"/>
      <c r="C29" s="39">
        <f t="shared" si="3"/>
        <v>0</v>
      </c>
      <c r="D29" s="41"/>
      <c r="E29" s="39">
        <f t="shared" si="4"/>
        <v>0</v>
      </c>
      <c r="F29" s="41"/>
      <c r="G29" s="39">
        <f t="shared" si="5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49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44496</v>
      </c>
      <c r="B30" s="41"/>
      <c r="C30" s="39">
        <f t="shared" si="3"/>
        <v>0</v>
      </c>
      <c r="D30" s="41"/>
      <c r="E30" s="39">
        <f t="shared" si="4"/>
        <v>0</v>
      </c>
      <c r="F30" s="41"/>
      <c r="G30" s="39">
        <f t="shared" si="5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49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44497</v>
      </c>
      <c r="B31" s="41"/>
      <c r="C31" s="39">
        <f t="shared" si="3"/>
        <v>0</v>
      </c>
      <c r="D31" s="41"/>
      <c r="E31" s="39">
        <f t="shared" si="4"/>
        <v>0</v>
      </c>
      <c r="F31" s="41"/>
      <c r="G31" s="39">
        <f t="shared" si="5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49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44498</v>
      </c>
      <c r="B32" s="41"/>
      <c r="C32" s="39">
        <f t="shared" si="3"/>
        <v>0</v>
      </c>
      <c r="D32" s="41"/>
      <c r="E32" s="39">
        <f t="shared" si="4"/>
        <v>0</v>
      </c>
      <c r="F32" s="41"/>
      <c r="G32" s="39">
        <f t="shared" si="5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49">
        <f t="shared" si="14"/>
        <v>24196</v>
      </c>
      <c r="N32" s="39">
        <f t="shared" si="12"/>
        <v>0</v>
      </c>
      <c r="O32" s="149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44499</v>
      </c>
      <c r="B33" s="41"/>
      <c r="C33" s="39">
        <f t="shared" si="3"/>
        <v>0</v>
      </c>
      <c r="D33" s="41"/>
      <c r="E33" s="39">
        <f t="shared" si="4"/>
        <v>0</v>
      </c>
      <c r="F33" s="41"/>
      <c r="G33" s="39">
        <f t="shared" si="5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49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44500</v>
      </c>
      <c r="B34" s="41"/>
      <c r="C34" s="39">
        <f t="shared" si="3"/>
        <v>0</v>
      </c>
      <c r="D34" s="41"/>
      <c r="E34" s="39">
        <f t="shared" si="4"/>
        <v>0</v>
      </c>
      <c r="F34" s="41"/>
      <c r="G34" s="39">
        <f t="shared" si="5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44501</v>
      </c>
      <c r="B35" s="41"/>
      <c r="C35" s="39">
        <f t="shared" si="3"/>
        <v>0</v>
      </c>
      <c r="D35" s="41"/>
      <c r="E35" s="39">
        <f t="shared" si="4"/>
        <v>0</v>
      </c>
      <c r="F35" s="41"/>
      <c r="G35" s="39">
        <f t="shared" si="5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49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49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49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49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49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49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49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49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11242.72</v>
      </c>
      <c r="O43" s="39">
        <f>N43*0.529</f>
        <v>5947.3988799999997</v>
      </c>
      <c r="P43" s="42">
        <f>O43*9.965</f>
        <v>59265.8298392</v>
      </c>
      <c r="Q43" s="284">
        <f>SUM(Q4:Q42)</f>
        <v>2328</v>
      </c>
      <c r="R43" s="285"/>
      <c r="S43" s="286"/>
      <c r="T43" s="287">
        <f>SUM(T4:T42)</f>
        <v>2450</v>
      </c>
      <c r="U43" s="285"/>
      <c r="V43" s="286"/>
      <c r="W43" s="287">
        <f>SUM(W4:W42)</f>
        <v>2300</v>
      </c>
      <c r="X43" s="285"/>
      <c r="Y43" s="286"/>
      <c r="Z43" s="287">
        <f>SUM(Z4:Z42)</f>
        <v>2200</v>
      </c>
      <c r="AA43" s="285"/>
      <c r="AB43" s="286"/>
      <c r="AC43" s="39">
        <f t="shared" si="17"/>
        <v>9278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9278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9278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11242.72</v>
      </c>
      <c r="L47" s="46">
        <f>O43</f>
        <v>5947.3988799999997</v>
      </c>
      <c r="M47" s="46">
        <f>P43</f>
        <v>59265.8298392</v>
      </c>
    </row>
    <row r="48" spans="1:31" ht="54.75" customHeight="1" thickBot="1">
      <c r="H48" s="280" t="s">
        <v>86</v>
      </c>
      <c r="I48" s="281"/>
      <c r="J48" s="282"/>
      <c r="K48" s="43">
        <f>AC44</f>
        <v>9278</v>
      </c>
      <c r="L48" s="44">
        <f>K48*0.529</f>
        <v>4908.0619999999999</v>
      </c>
      <c r="M48" s="44">
        <f>L48*9.965</f>
        <v>48908.837829999997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44436</v>
      </c>
      <c r="D8" s="350"/>
      <c r="E8" s="113">
        <v>44467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974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18787480</v>
      </c>
      <c r="D17" s="66">
        <v>18536102</v>
      </c>
      <c r="E17" s="67">
        <f>MIN(C17-D17)</f>
        <v>251378</v>
      </c>
      <c r="F17" s="67">
        <f>+E17</f>
        <v>251378</v>
      </c>
      <c r="G17" s="336"/>
      <c r="H17" s="337"/>
      <c r="I17" s="336">
        <f>+E17</f>
        <v>251378</v>
      </c>
      <c r="J17" s="337"/>
    </row>
    <row r="18" spans="1:10">
      <c r="A18" s="334" t="s">
        <v>111</v>
      </c>
      <c r="B18" s="335"/>
      <c r="C18" s="66">
        <v>11027578</v>
      </c>
      <c r="D18" s="66">
        <v>10909764</v>
      </c>
      <c r="E18" s="67">
        <f>MIN(C18-D18)</f>
        <v>117814</v>
      </c>
      <c r="F18" s="67">
        <f>+E18</f>
        <v>117814</v>
      </c>
      <c r="G18" s="336"/>
      <c r="H18" s="337"/>
      <c r="I18" s="336">
        <f>+E18</f>
        <v>117814</v>
      </c>
      <c r="J18" s="337"/>
    </row>
    <row r="19" spans="1:10">
      <c r="A19" s="334" t="s">
        <v>112</v>
      </c>
      <c r="B19" s="335"/>
      <c r="C19" s="66">
        <v>8243979</v>
      </c>
      <c r="D19" s="66">
        <v>8154716</v>
      </c>
      <c r="E19" s="67">
        <f>AVERAGE(C19-D19)</f>
        <v>89263</v>
      </c>
      <c r="F19" s="67">
        <f>+E19</f>
        <v>89263</v>
      </c>
      <c r="G19" s="336"/>
      <c r="H19" s="337"/>
      <c r="I19" s="336">
        <f>+E19</f>
        <v>89263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458455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251378</v>
      </c>
      <c r="E25" s="72">
        <v>0.95140000000000002</v>
      </c>
      <c r="F25" s="73">
        <f>PRODUCT(D25*E25)</f>
        <v>239161.02920000002</v>
      </c>
      <c r="G25" s="151">
        <v>14</v>
      </c>
      <c r="H25" s="65">
        <f>PRODUCT(0.14,F25)</f>
        <v>33482.544088000002</v>
      </c>
      <c r="I25" s="302">
        <f>SUM(H25,F25)</f>
        <v>272643.57328800001</v>
      </c>
      <c r="J25" s="303"/>
    </row>
    <row r="26" spans="1:10" ht="15">
      <c r="A26" s="299" t="s">
        <v>124</v>
      </c>
      <c r="B26" s="300"/>
      <c r="C26" s="301"/>
      <c r="D26" s="67">
        <f>+E18</f>
        <v>117814</v>
      </c>
      <c r="E26" s="74">
        <v>0.69850000000000001</v>
      </c>
      <c r="F26" s="73">
        <f>PRODUCT(D26*E26)</f>
        <v>82293.078999999998</v>
      </c>
      <c r="G26">
        <v>14</v>
      </c>
      <c r="H26" s="67">
        <f>PRODUCT(0.14,F26)</f>
        <v>11521.031060000001</v>
      </c>
      <c r="I26" s="302">
        <f t="shared" ref="I26:I31" si="0">SUM(H26,F26)</f>
        <v>93814.110060000006</v>
      </c>
      <c r="J26" s="303"/>
    </row>
    <row r="27" spans="1:10" ht="15">
      <c r="A27" s="299" t="s">
        <v>125</v>
      </c>
      <c r="B27" s="300"/>
      <c r="C27" s="301"/>
      <c r="D27" s="67">
        <f>+E19</f>
        <v>89263</v>
      </c>
      <c r="E27" s="74">
        <v>1.3304</v>
      </c>
      <c r="F27" s="73">
        <f>PRODUCT(D27*E27)</f>
        <v>118755.4952</v>
      </c>
      <c r="G27">
        <v>14</v>
      </c>
      <c r="H27" s="67">
        <f>PRODUCT(0.14,F27)</f>
        <v>16625.769328000002</v>
      </c>
      <c r="I27" s="302">
        <f>SUM(H27,F27)</f>
        <v>135381.264528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486424.27340000001</v>
      </c>
      <c r="G32" s="85"/>
      <c r="H32" s="86"/>
      <c r="I32" s="311">
        <f>SUM(I25:J31)</f>
        <v>554469.69167600002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8" sqref="C8:D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44296</v>
      </c>
      <c r="D8" s="350"/>
      <c r="E8" s="113">
        <v>44326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36"/>
      <c r="H17" s="337"/>
      <c r="I17" s="336">
        <f>+E17</f>
        <v>7704</v>
      </c>
      <c r="J17" s="337"/>
    </row>
    <row r="18" spans="1:10">
      <c r="A18" s="334" t="s">
        <v>111</v>
      </c>
      <c r="B18" s="335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36"/>
      <c r="H18" s="337"/>
      <c r="I18" s="336">
        <f>+E18</f>
        <v>4144</v>
      </c>
      <c r="J18" s="337"/>
    </row>
    <row r="19" spans="1:10">
      <c r="A19" s="334" t="s">
        <v>112</v>
      </c>
      <c r="B19" s="335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36"/>
      <c r="H19" s="337"/>
      <c r="I19" s="336">
        <f>+E19</f>
        <v>3340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15188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7704</v>
      </c>
      <c r="E25" s="72">
        <v>0.95140000000000002</v>
      </c>
      <c r="F25" s="73">
        <f>PRODUCT(D25*E25)</f>
        <v>7329.5856000000003</v>
      </c>
      <c r="G25" s="151">
        <v>14</v>
      </c>
      <c r="H25" s="65">
        <f>PRODUCT(0.14,F25)</f>
        <v>1026.1419840000001</v>
      </c>
      <c r="I25" s="302">
        <f>SUM(H25,F25)</f>
        <v>8355.7275840000002</v>
      </c>
      <c r="J25" s="303"/>
    </row>
    <row r="26" spans="1:10" ht="15">
      <c r="A26" s="299" t="s">
        <v>124</v>
      </c>
      <c r="B26" s="300"/>
      <c r="C26" s="301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02">
        <f t="shared" ref="I26:I31" si="0">SUM(H26,F26)</f>
        <v>3299.8257599999997</v>
      </c>
      <c r="J26" s="303"/>
    </row>
    <row r="27" spans="1:10" ht="15">
      <c r="A27" s="299" t="s">
        <v>125</v>
      </c>
      <c r="B27" s="300"/>
      <c r="C27" s="301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02">
        <f>SUM(H27,F27)</f>
        <v>5065.6310400000002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60882.375599999999</v>
      </c>
      <c r="G32" s="85"/>
      <c r="H32" s="86"/>
      <c r="I32" s="311">
        <f>SUM(I25:J31)</f>
        <v>69351.928184000004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121259</v>
      </c>
      <c r="D8" s="97">
        <v>44075</v>
      </c>
      <c r="E8" s="96">
        <v>124345.2</v>
      </c>
      <c r="F8" s="97">
        <v>44470</v>
      </c>
      <c r="G8" s="98">
        <f>E8-C8</f>
        <v>3086.1999999999971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3086.1999999999971</v>
      </c>
      <c r="C13" s="394"/>
      <c r="D13" s="394">
        <v>8.7899999999999991</v>
      </c>
      <c r="E13" s="394"/>
      <c r="F13" s="398">
        <f>PRODUCT(D13,B13)</f>
        <v>27127.697999999971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3086.1999999999971</v>
      </c>
      <c r="C19" s="394"/>
      <c r="D19" s="394">
        <v>2.61</v>
      </c>
      <c r="E19" s="394"/>
      <c r="F19" s="394">
        <f>PRODUCT(D19,B19)</f>
        <v>8054.9819999999918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35205.679999999964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2464.3975999999975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2672.6575999999977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37878.337599999963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97.5</v>
      </c>
      <c r="C13" s="394"/>
      <c r="D13" s="394">
        <v>8.5</v>
      </c>
      <c r="E13" s="394"/>
      <c r="F13" s="398">
        <f>PRODUCT(D13,B13)</f>
        <v>828.75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97.5</v>
      </c>
      <c r="C20" s="394"/>
      <c r="D20" s="394">
        <v>2.54</v>
      </c>
      <c r="E20" s="394"/>
      <c r="F20" s="394">
        <f>PRODUCT(D20,B20)</f>
        <v>247.65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1099.4000000000001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76.958000000000013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285.21800000000002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1384.6180000000002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2559</v>
      </c>
      <c r="D8" s="97">
        <v>44440</v>
      </c>
      <c r="E8" s="96">
        <v>2560</v>
      </c>
      <c r="F8" s="97">
        <v>44470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1</v>
      </c>
      <c r="C13" s="394"/>
      <c r="D13" s="394">
        <v>16.48</v>
      </c>
      <c r="E13" s="394"/>
      <c r="F13" s="398">
        <f>PRODUCT(D13,B13)</f>
        <v>16.48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1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31.48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97.54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/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/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/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2021-10-18T08:11:39Z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