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1622A02C-AE8C-4DF7-8842-CB6446D3C1F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" l="1"/>
  <c r="J14" i="2"/>
  <c r="J13" i="2"/>
  <c r="J12" i="2"/>
  <c r="H13" i="2"/>
  <c r="H12" i="2"/>
  <c r="W2" i="2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J11" i="2" s="1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J7" i="2" s="1"/>
  <c r="I12" i="2"/>
  <c r="C34" i="2"/>
  <c r="J10" i="2" l="1"/>
  <c r="J9" i="2"/>
  <c r="J8" i="2"/>
  <c r="J29" i="2"/>
  <c r="J28" i="2"/>
  <c r="J27" i="2"/>
  <c r="J26" i="2"/>
  <c r="J25" i="2"/>
  <c r="J24" i="2"/>
  <c r="J23" i="2"/>
  <c r="J22" i="2"/>
  <c r="J21" i="2"/>
  <c r="J16" i="2"/>
  <c r="J5" i="2"/>
  <c r="J18" i="2"/>
  <c r="J19" i="2"/>
  <c r="J6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<sst xmlns="http://schemas.openxmlformats.org/spreadsheetml/2006/main" count="77" uniqueCount="40">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</sst>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E9" sqref="E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IF('July 2025'!C11&lt;0,"0",'July 2025'!C11)+(IF('July 2025'!E11&lt;0,"0",'July 2025'!E11)-(IF('July 2025'!G11&lt;0,"0",'July 2025'!G11)))</f>
        <v>0</v>
      </c>
      <c r="F11" s="110" t="e">
        <f>('July 2025'!C11*0.27)/('July 2025'!C11+'July 2025'!E11)</f>
        <v>#DIV/0!</v>
      </c>
      <c r="G11" s="97" t="str">
        <f>'July 2025'!U11</f>
        <v>0</v>
      </c>
      <c r="H11" s="113">
        <v>0.62</v>
      </c>
      <c r="I11" s="98" t="str">
        <f>'July 2025'!W11</f>
        <v>0</v>
      </c>
      <c r="J11" s="99">
        <v>2.42</v>
      </c>
      <c r="K11" s="106">
        <f>'July 2025'!AB11*5.04</f>
        <v>0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0</v>
      </c>
      <c r="P11" s="100">
        <f>'July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IF('July 2025'!C12&lt;0,"0",'July 2025'!C12)+(IF('July 2025'!E12&lt;0,"0",'July 2025'!E12)-(IF('July 2025'!G12&lt;0,"0",'July 2025'!G12)))</f>
        <v>0</v>
      </c>
      <c r="F12" s="110" t="e">
        <f>('July 2025'!C12*0.27)/('July 2025'!C12+'July 2025'!E12)</f>
        <v>#DIV/0!</v>
      </c>
      <c r="G12" s="97" t="str">
        <f>'July 2025'!U12</f>
        <v>0</v>
      </c>
      <c r="H12" s="113">
        <v>0.62</v>
      </c>
      <c r="I12" s="98">
        <f>'July 2025'!W12</f>
        <v>0</v>
      </c>
      <c r="J12" s="99">
        <v>2.42</v>
      </c>
      <c r="K12" s="106">
        <f>'July 2025'!AB12*5.04</f>
        <v>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0</v>
      </c>
      <c r="P12" s="100">
        <f>'July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IF('July 2025'!C13&lt;0,"0",'July 2025'!C13)+(IF('July 2025'!E13&lt;0,"0",'July 2025'!E13)-(IF('July 2025'!G13&lt;0,"0",'July 2025'!G13)))</f>
        <v>0</v>
      </c>
      <c r="F13" s="110" t="e">
        <f>('July 2025'!C13*0.27)/('July 2025'!C13+'July 2025'!E13)</f>
        <v>#DIV/0!</v>
      </c>
      <c r="G13" s="97" t="str">
        <f>'July 2025'!U13</f>
        <v>0</v>
      </c>
      <c r="H13" s="113">
        <v>0.62</v>
      </c>
      <c r="I13" s="98">
        <f>'July 2025'!W13</f>
        <v>0</v>
      </c>
      <c r="J13" s="99">
        <v>2.42</v>
      </c>
      <c r="K13" s="106">
        <f>'July 2025'!AB13*5.04</f>
        <v>0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0</v>
      </c>
      <c r="P13" s="100">
        <f>'July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IF('July 2025'!C14&lt;0,"0",'July 2025'!C14)+(IF('July 2025'!E14&lt;0,"0",'July 2025'!E14)-(IF('July 2025'!G14&lt;0,"0",'July 2025'!G14)))</f>
        <v>0</v>
      </c>
      <c r="F14" s="110" t="e">
        <f>('July 2025'!C14*0.27)/('July 2025'!C14+'July 2025'!E14)</f>
        <v>#DIV/0!</v>
      </c>
      <c r="G14" s="97" t="str">
        <f>'July 2025'!U14</f>
        <v>0</v>
      </c>
      <c r="H14" s="113">
        <v>0.62</v>
      </c>
      <c r="I14" s="98">
        <f>'July 2025'!W14</f>
        <v>0</v>
      </c>
      <c r="J14" s="99">
        <v>2.42</v>
      </c>
      <c r="K14" s="106">
        <f>'July 2025'!AB14*5.04</f>
        <v>0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0</v>
      </c>
      <c r="P14" s="100">
        <f>'July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IF('July 2025'!C15&lt;0,"0",'July 2025'!C15)+(IF('July 2025'!E15&lt;0,"0",'July 2025'!E15)-(IF('July 2025'!G15&lt;0,"0",'July 2025'!G15)))</f>
        <v>0</v>
      </c>
      <c r="F15" s="110" t="e">
        <f>('July 2025'!C15*0.27)/('July 2025'!C15+'July 2025'!E15)</f>
        <v>#DIV/0!</v>
      </c>
      <c r="G15" s="97" t="str">
        <f>'July 2025'!U15</f>
        <v>0</v>
      </c>
      <c r="H15" s="113">
        <v>0.62</v>
      </c>
      <c r="I15" s="98">
        <f>'July 2025'!W15</f>
        <v>0</v>
      </c>
      <c r="J15" s="99">
        <v>2.42</v>
      </c>
      <c r="K15" s="106">
        <f>'July 2025'!AB15*5.04</f>
        <v>0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0</v>
      </c>
      <c r="P15" s="100">
        <f>'July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IF('July 2025'!C16&lt;0,"0",'July 2025'!C16)+(IF('July 2025'!E16&lt;0,"0",'July 2025'!E16)-(IF('July 2025'!G16&lt;0,"0",'July 2025'!G16)))</f>
        <v>0</v>
      </c>
      <c r="F16" s="110" t="e">
        <f>('July 2025'!C16*0.27)/('July 2025'!C16+'July 2025'!E16)</f>
        <v>#DIV/0!</v>
      </c>
      <c r="G16" s="97" t="str">
        <f>'July 2025'!U16</f>
        <v>0</v>
      </c>
      <c r="H16" s="113">
        <v>0.62</v>
      </c>
      <c r="I16" s="98">
        <f>'July 2025'!W16</f>
        <v>0</v>
      </c>
      <c r="J16" s="99">
        <v>2.42</v>
      </c>
      <c r="K16" s="106">
        <f>'July 2025'!AB16*5.04</f>
        <v>0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0</v>
      </c>
      <c r="P16" s="100">
        <f>'July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IF('July 2025'!C17&lt;0,"0",'July 2025'!C17)+(IF('July 2025'!E17&lt;0,"0",'July 2025'!E17)-(IF('July 2025'!G17&lt;0,"0",'July 2025'!G17)))</f>
        <v>0</v>
      </c>
      <c r="F17" s="110" t="e">
        <f>('July 2025'!C17*0.27)/('July 2025'!C17+'July 2025'!E17)</f>
        <v>#DIV/0!</v>
      </c>
      <c r="G17" s="97" t="str">
        <f>'July 2025'!U17</f>
        <v>0</v>
      </c>
      <c r="H17" s="113">
        <v>0.62</v>
      </c>
      <c r="I17" s="98">
        <f>'July 2025'!W17</f>
        <v>0</v>
      </c>
      <c r="J17" s="99">
        <v>2.42</v>
      </c>
      <c r="K17" s="106">
        <f>'July 2025'!AB17*5.04</f>
        <v>0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0</v>
      </c>
      <c r="P17" s="100">
        <f>'July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IF('July 2025'!C18&lt;0,"0",'July 2025'!C18)+(IF('July 2025'!E18&lt;0,"0",'July 2025'!E18)-(IF('July 2025'!G18&lt;0,"0",'July 2025'!G18)))</f>
        <v>0</v>
      </c>
      <c r="F18" s="110" t="e">
        <f>('July 2025'!C18*0.27)/('July 2025'!C18+'July 2025'!E18)</f>
        <v>#DIV/0!</v>
      </c>
      <c r="G18" s="97" t="str">
        <f>'July 2025'!U18</f>
        <v>0</v>
      </c>
      <c r="H18" s="113">
        <v>0.62</v>
      </c>
      <c r="I18" s="98">
        <f>'July 2025'!W18</f>
        <v>0</v>
      </c>
      <c r="J18" s="99">
        <v>2.42</v>
      </c>
      <c r="K18" s="106">
        <f>'July 2025'!AB18*5.04</f>
        <v>0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0</v>
      </c>
      <c r="P18" s="100">
        <f>'July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IF('July 2025'!C19&lt;0,"0",'July 2025'!C19)+(IF('July 2025'!E19&lt;0,"0",'July 2025'!E19)-(IF('July 2025'!G19&lt;0,"0",'July 2025'!G19)))</f>
        <v>0</v>
      </c>
      <c r="F19" s="110" t="e">
        <f>('July 2025'!C19*0.27)/('July 2025'!C19+'July 2025'!E19)</f>
        <v>#DIV/0!</v>
      </c>
      <c r="G19" s="97" t="str">
        <f>'July 2025'!U19</f>
        <v>0</v>
      </c>
      <c r="H19" s="113">
        <v>0.62</v>
      </c>
      <c r="I19" s="98">
        <f>'July 2025'!W19</f>
        <v>0</v>
      </c>
      <c r="J19" s="99">
        <v>2.42</v>
      </c>
      <c r="K19" s="106">
        <f>'July 2025'!AB19*5.04</f>
        <v>0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0</v>
      </c>
      <c r="P19" s="100">
        <f>'July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IF('July 2025'!C20&lt;0,"0",'July 2025'!C20)+(IF('July 2025'!E20&lt;0,"0",'July 2025'!E20)-(IF('July 2025'!G20&lt;0,"0",'July 2025'!G20)))</f>
        <v>0</v>
      </c>
      <c r="F20" s="110" t="e">
        <f>('July 2025'!C20*0.27)/('July 2025'!C20+'July 2025'!E20)</f>
        <v>#DIV/0!</v>
      </c>
      <c r="G20" s="97" t="str">
        <f>'July 2025'!U20</f>
        <v>0</v>
      </c>
      <c r="H20" s="113">
        <v>0.62</v>
      </c>
      <c r="I20" s="98">
        <f>'July 2025'!W20</f>
        <v>0</v>
      </c>
      <c r="J20" s="99">
        <v>2.42</v>
      </c>
      <c r="K20" s="106">
        <f>'July 2025'!AB20*5.04</f>
        <v>0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0</v>
      </c>
      <c r="P20" s="100">
        <f>'July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IF('July 2025'!C21&lt;0,"0",'July 2025'!C21)+(IF('July 2025'!E21&lt;0,"0",'July 2025'!E21)-(IF('July 2025'!G21&lt;0,"0",'July 2025'!G21)))</f>
        <v>0</v>
      </c>
      <c r="F21" s="110" t="e">
        <f>('July 2025'!C21*0.27)/('July 2025'!C21+'July 2025'!E21)</f>
        <v>#DIV/0!</v>
      </c>
      <c r="G21" s="97" t="str">
        <f>'July 2025'!U21</f>
        <v>0</v>
      </c>
      <c r="H21" s="113">
        <v>0.62</v>
      </c>
      <c r="I21" s="98">
        <f>'July 2025'!W21</f>
        <v>0</v>
      </c>
      <c r="J21" s="99">
        <v>2.42</v>
      </c>
      <c r="K21" s="106">
        <f>'July 2025'!AB21*5.04</f>
        <v>0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0</v>
      </c>
      <c r="P21" s="100">
        <f>'July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IF('July 2025'!C22&lt;0,"0",'July 2025'!C22)+(IF('July 2025'!E22&lt;0,"0",'July 2025'!E22)-(IF('July 2025'!G22&lt;0,"0",'July 2025'!G22)))</f>
        <v>0</v>
      </c>
      <c r="F22" s="110" t="e">
        <f>('July 2025'!C22*0.27)/('July 2025'!C22+'July 2025'!E22)</f>
        <v>#DIV/0!</v>
      </c>
      <c r="G22" s="97" t="str">
        <f>'July 2025'!U22</f>
        <v>0</v>
      </c>
      <c r="H22" s="113">
        <v>0.62</v>
      </c>
      <c r="I22" s="98">
        <f>'July 2025'!W22</f>
        <v>0</v>
      </c>
      <c r="J22" s="99">
        <v>2.42</v>
      </c>
      <c r="K22" s="106">
        <f>'July 2025'!AB22*5.04</f>
        <v>0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0</v>
      </c>
      <c r="P22" s="100">
        <f>'July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IF('July 2025'!C23&lt;0,"0",'July 2025'!C23)+(IF('July 2025'!E23&lt;0,"0",'July 2025'!E23)-(IF('July 2025'!G23&lt;0,"0",'July 2025'!G23)))</f>
        <v>0</v>
      </c>
      <c r="F23" s="110" t="e">
        <f>('July 2025'!C23*0.27)/('July 2025'!C23+'July 2025'!E23)</f>
        <v>#DIV/0!</v>
      </c>
      <c r="G23" s="97" t="str">
        <f>'July 2025'!U23</f>
        <v>0</v>
      </c>
      <c r="H23" s="113">
        <v>0.62</v>
      </c>
      <c r="I23" s="98">
        <f>'July 2025'!W23</f>
        <v>0</v>
      </c>
      <c r="J23" s="99">
        <v>2.42</v>
      </c>
      <c r="K23" s="106">
        <f>'July 2025'!AB23*5.04</f>
        <v>0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0</v>
      </c>
      <c r="P23" s="100">
        <f>'July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IF('July 2025'!C24&lt;0,"0",'July 2025'!C24)+(IF('July 2025'!E24&lt;0,"0",'July 2025'!E24)-(IF('July 2025'!G24&lt;0,"0",'July 2025'!G24)))</f>
        <v>0</v>
      </c>
      <c r="F24" s="110" t="e">
        <f>('July 2025'!C24*0.27)/('July 2025'!C24+'July 2025'!E24)</f>
        <v>#DIV/0!</v>
      </c>
      <c r="G24" s="97" t="str">
        <f>'July 2025'!U24</f>
        <v>0</v>
      </c>
      <c r="H24" s="113">
        <v>0.62</v>
      </c>
      <c r="I24" s="98">
        <f>'July 2025'!W24</f>
        <v>0</v>
      </c>
      <c r="J24" s="99">
        <v>2.42</v>
      </c>
      <c r="K24" s="106">
        <f>'July 2025'!AB24*5.04</f>
        <v>0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0</v>
      </c>
      <c r="P24" s="100">
        <f>'July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IF('July 2025'!C25&lt;0,"0",'July 2025'!C25)+(IF('July 2025'!E25&lt;0,"0",'July 2025'!E25)-(IF('July 2025'!G25&lt;0,"0",'July 2025'!G25)))</f>
        <v>0</v>
      </c>
      <c r="F25" s="110" t="e">
        <f>('July 2025'!C25*0.27)/('July 2025'!C25+'July 2025'!E25)</f>
        <v>#DIV/0!</v>
      </c>
      <c r="G25" s="97" t="str">
        <f>'July 2025'!U25</f>
        <v>0</v>
      </c>
      <c r="H25" s="113">
        <v>0.62</v>
      </c>
      <c r="I25" s="98">
        <f>'July 2025'!W25</f>
        <v>0</v>
      </c>
      <c r="J25" s="99">
        <v>2.42</v>
      </c>
      <c r="K25" s="106">
        <f>'July 2025'!AB25*5.04</f>
        <v>0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0</v>
      </c>
      <c r="P25" s="100">
        <f>'July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IF('July 2025'!C26&lt;0,"0",'July 2025'!C26)+(IF('July 2025'!E26&lt;0,"0",'July 2025'!E26)-(IF('July 2025'!G26&lt;0,"0",'July 2025'!G26)))</f>
        <v>0</v>
      </c>
      <c r="F26" s="110" t="e">
        <f>('July 2025'!C26*0.27)/('July 2025'!C26+'July 2025'!E26)</f>
        <v>#DIV/0!</v>
      </c>
      <c r="G26" s="97" t="str">
        <f>'July 2025'!U26</f>
        <v>0</v>
      </c>
      <c r="H26" s="113">
        <v>0.62</v>
      </c>
      <c r="I26" s="98">
        <f>'July 2025'!W26</f>
        <v>0</v>
      </c>
      <c r="J26" s="99">
        <v>2.42</v>
      </c>
      <c r="K26" s="106">
        <f>'July 2025'!AB26*5.04</f>
        <v>0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0</v>
      </c>
      <c r="P26" s="100">
        <f>'July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IF('July 2025'!C27&lt;0,"0",'July 2025'!C27)+(IF('July 2025'!E27&lt;0,"0",'July 2025'!E27)-(IF('July 2025'!G27&lt;0,"0",'July 2025'!G27)))</f>
        <v>0</v>
      </c>
      <c r="F27" s="110" t="e">
        <f>('July 2025'!C27*0.27)/('July 2025'!C27+'July 2025'!E27)</f>
        <v>#DIV/0!</v>
      </c>
      <c r="G27" s="97" t="str">
        <f>'July 2025'!U27</f>
        <v>0</v>
      </c>
      <c r="H27" s="113">
        <v>0.62</v>
      </c>
      <c r="I27" s="98">
        <f>'July 2025'!W27</f>
        <v>0</v>
      </c>
      <c r="J27" s="99">
        <v>2.42</v>
      </c>
      <c r="K27" s="106">
        <f>'July 2025'!AB27*5.04</f>
        <v>0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0</v>
      </c>
      <c r="P27" s="100">
        <f>'July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IF('July 2025'!C28&lt;0,"0",'July 2025'!C28)+(IF('July 2025'!E28&lt;0,"0",'July 2025'!E28)-(IF('July 2025'!G28&lt;0,"0",'July 2025'!G28)))</f>
        <v>0</v>
      </c>
      <c r="F28" s="110" t="e">
        <f>('July 2025'!C28*0.27)/('July 2025'!C28+'July 2025'!E28)</f>
        <v>#DIV/0!</v>
      </c>
      <c r="G28" s="97" t="str">
        <f>'July 2025'!U28</f>
        <v>0</v>
      </c>
      <c r="H28" s="113">
        <v>0.62</v>
      </c>
      <c r="I28" s="98">
        <f>'July 2025'!W28</f>
        <v>0</v>
      </c>
      <c r="J28" s="99">
        <v>2.42</v>
      </c>
      <c r="K28" s="106">
        <f>'July 2025'!AB28*5.04</f>
        <v>0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0</v>
      </c>
      <c r="P28" s="100">
        <f>'July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0</v>
      </c>
      <c r="P29" s="100">
        <f>'July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D11" sqref="AD1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-10011.990000000005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 t="str">
        <f t="shared" si="2"/>
        <v>0</v>
      </c>
      <c r="D11" s="11">
        <v>835934</v>
      </c>
      <c r="E11" s="14" t="str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-45849.54</v>
      </c>
      <c r="J11" s="32">
        <f t="shared" si="0"/>
        <v>0.54000000000087311</v>
      </c>
      <c r="K11" s="20">
        <f t="shared" si="7"/>
        <v>45848</v>
      </c>
      <c r="L11" s="33">
        <v>7935</v>
      </c>
      <c r="M11" s="31">
        <v>0</v>
      </c>
      <c r="N11" s="32" t="str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 t="str">
        <f t="shared" si="10"/>
        <v>0</v>
      </c>
      <c r="V11" s="41">
        <v>20955</v>
      </c>
      <c r="W11" s="32" t="str">
        <f t="shared" si="1"/>
        <v>0</v>
      </c>
      <c r="X11" s="43">
        <v>61265</v>
      </c>
      <c r="Y11" s="14" t="str">
        <f t="shared" si="11"/>
        <v>0</v>
      </c>
      <c r="Z11" s="47">
        <v>1915</v>
      </c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45849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-45849</v>
      </c>
      <c r="J12" s="32">
        <f t="shared" si="0"/>
        <v>-1</v>
      </c>
      <c r="K12" s="20">
        <f t="shared" si="7"/>
        <v>45849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45850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-45850</v>
      </c>
      <c r="J13" s="32">
        <f t="shared" si="0"/>
        <v>-1</v>
      </c>
      <c r="K13" s="20">
        <f t="shared" si="7"/>
        <v>45850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45851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-45851</v>
      </c>
      <c r="J14" s="32">
        <f t="shared" si="0"/>
        <v>-1</v>
      </c>
      <c r="K14" s="20">
        <f t="shared" si="7"/>
        <v>45851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45852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-45852</v>
      </c>
      <c r="J15" s="32">
        <f t="shared" si="0"/>
        <v>-1</v>
      </c>
      <c r="K15" s="20">
        <f t="shared" si="7"/>
        <v>45852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45853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-45853</v>
      </c>
      <c r="J16" s="32">
        <f t="shared" si="0"/>
        <v>-1</v>
      </c>
      <c r="K16" s="20">
        <f t="shared" si="7"/>
        <v>45853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45854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-45854</v>
      </c>
      <c r="J17" s="32">
        <f t="shared" si="0"/>
        <v>-1</v>
      </c>
      <c r="K17" s="20">
        <f t="shared" si="7"/>
        <v>45854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45855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-45855</v>
      </c>
      <c r="J18" s="32">
        <f t="shared" si="0"/>
        <v>-1</v>
      </c>
      <c r="K18" s="20">
        <f t="shared" si="7"/>
        <v>45855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45856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-45856</v>
      </c>
      <c r="J19" s="32">
        <f t="shared" si="0"/>
        <v>-1</v>
      </c>
      <c r="K19" s="20">
        <f t="shared" si="7"/>
        <v>45856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45857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-45857</v>
      </c>
      <c r="J20" s="32">
        <f t="shared" si="0"/>
        <v>-1</v>
      </c>
      <c r="K20" s="20">
        <f t="shared" si="7"/>
        <v>45857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45858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-45858</v>
      </c>
      <c r="J21" s="32">
        <f t="shared" si="0"/>
        <v>-1</v>
      </c>
      <c r="K21" s="20">
        <f t="shared" si="7"/>
        <v>45858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45859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-45859</v>
      </c>
      <c r="J22" s="32">
        <f t="shared" si="0"/>
        <v>-1</v>
      </c>
      <c r="K22" s="20">
        <f t="shared" si="7"/>
        <v>45859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45860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-45860</v>
      </c>
      <c r="J23" s="32">
        <f t="shared" si="0"/>
        <v>-1</v>
      </c>
      <c r="K23" s="20">
        <f t="shared" si="7"/>
        <v>45860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45861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-45861</v>
      </c>
      <c r="J24" s="32">
        <f t="shared" si="0"/>
        <v>-1</v>
      </c>
      <c r="K24" s="20">
        <f t="shared" si="7"/>
        <v>45861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45862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-45862</v>
      </c>
      <c r="J25" s="32">
        <f t="shared" si="0"/>
        <v>-1</v>
      </c>
      <c r="K25" s="20">
        <f t="shared" si="7"/>
        <v>45862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45863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-45863</v>
      </c>
      <c r="J26" s="32">
        <f t="shared" si="0"/>
        <v>-1</v>
      </c>
      <c r="K26" s="20">
        <f t="shared" si="7"/>
        <v>45863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45864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-45864</v>
      </c>
      <c r="J27" s="32">
        <f t="shared" si="0"/>
        <v>-1</v>
      </c>
      <c r="K27" s="20">
        <f t="shared" si="7"/>
        <v>45864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45865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-45865</v>
      </c>
      <c r="J28" s="32">
        <f t="shared" si="0"/>
        <v>-1</v>
      </c>
      <c r="K28" s="20">
        <f t="shared" si="7"/>
        <v>45865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45866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-45866</v>
      </c>
      <c r="J29" s="32">
        <f t="shared" si="0"/>
        <v>-1</v>
      </c>
      <c r="K29" s="20">
        <f t="shared" si="7"/>
        <v>45866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73964</v>
      </c>
      <c r="D34" s="77"/>
      <c r="E34" s="76">
        <f>SUM(E2:E33)</f>
        <v>14175</v>
      </c>
      <c r="F34" s="78"/>
      <c r="G34" s="76">
        <f>SUM(G2:G33)</f>
        <v>0</v>
      </c>
      <c r="H34" s="77">
        <f>SUM(H2:H33)</f>
        <v>88139</v>
      </c>
      <c r="I34" s="76">
        <f>SUM(I2:I32)</f>
        <v>-1333349.8500000001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821</v>
      </c>
      <c r="U34" s="76">
        <f>SUM(U2:U33)</f>
        <v>1041</v>
      </c>
      <c r="V34" s="75"/>
      <c r="W34" s="76">
        <f>SUM(W2:W33)</f>
        <v>1008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3335</v>
      </c>
      <c r="AC34" s="79">
        <f>SUM(AC2:AC33)</f>
        <v>1730</v>
      </c>
      <c r="AD34" s="80">
        <f>SUM(AD2:AD33)</f>
        <v>3502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2025-07-10T05:08:47Z</dcterms:modified>
  <cp:category/>
  <cp:contentStatus/>
</cp:coreProperties>
</file>