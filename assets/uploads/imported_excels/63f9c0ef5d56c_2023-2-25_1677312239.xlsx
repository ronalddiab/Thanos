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1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Q33" i="3" l="1"/>
  <c r="L32" i="2" s="1"/>
  <c r="I32" i="1" s="1"/>
  <c r="O33" i="3"/>
  <c r="K32" i="2" s="1"/>
  <c r="M33" i="3"/>
  <c r="J32" i="2" s="1"/>
  <c r="K33" i="3"/>
  <c r="I32" i="2" s="1"/>
  <c r="I33" i="3"/>
  <c r="H32" i="2" s="1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<sst xmlns="http://schemas.openxmlformats.org/spreadsheetml/2006/main" count="113" uniqueCount="34">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</sst>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3" sqref="L33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13</v>
      </c>
      <c r="B1" s="28" t="s">
        <v>33</v>
      </c>
      <c r="C1" s="28" t="s">
        <v>14</v>
      </c>
      <c r="D1" s="28" t="s">
        <v>15</v>
      </c>
      <c r="E1" s="29" t="s">
        <v>25</v>
      </c>
      <c r="F1" s="29" t="s">
        <v>26</v>
      </c>
      <c r="G1" s="29" t="s">
        <v>27</v>
      </c>
      <c r="H1" s="30" t="s">
        <v>28</v>
      </c>
      <c r="I1" s="29" t="s">
        <v>29</v>
      </c>
      <c r="J1" s="29" t="s">
        <v>30</v>
      </c>
      <c r="K1" s="29" t="s">
        <v>31</v>
      </c>
      <c r="L1" s="29" t="s">
        <v>32</v>
      </c>
    </row>
    <row r="2" spans="1:12" x14ac:dyDescent="0.25">
      <c r="A2" t="s">
        <v>24</v>
      </c>
      <c r="B2">
        <v>1</v>
      </c>
      <c r="C2" s="23">
        <v>8</v>
      </c>
      <c r="D2" s="23">
        <v>2021</v>
      </c>
      <c r="E2" s="24">
        <f>Submetering!E2+Submetering!F2+Submetering!G2+Submetering!H2</f>
        <v>18404</v>
      </c>
      <c r="F2" s="31">
        <v>0.36499999999999999</v>
      </c>
      <c r="G2" s="24">
        <f>Submetering!I2+Submetering!J2+Submetering!K2</f>
        <v>19</v>
      </c>
      <c r="H2" s="26">
        <f>(1/22.25)*38.46</f>
        <v>1.7285393258426967</v>
      </c>
      <c r="I2" s="25">
        <f>Submetering!L2</f>
        <v>236</v>
      </c>
      <c r="J2" s="25">
        <v>2.2799999999999998</v>
      </c>
      <c r="K2" s="32">
        <v>16</v>
      </c>
      <c r="L2" s="32">
        <v>26</v>
      </c>
    </row>
    <row r="3" spans="1:12" x14ac:dyDescent="0.25">
      <c r="A3" t="s">
        <v>24</v>
      </c>
      <c r="B3">
        <v>2</v>
      </c>
      <c r="C3" s="23">
        <v>8</v>
      </c>
      <c r="D3" s="23">
        <v>2021</v>
      </c>
      <c r="E3" s="24">
        <f>Submetering!E3+Submetering!F3+Submetering!G3+Submetering!H3</f>
        <v>18407</v>
      </c>
      <c r="F3" s="31">
        <v>0.36499999999999999</v>
      </c>
      <c r="G3" s="24">
        <f>Submetering!I3+Submetering!J3+Submetering!K3</f>
        <v>20</v>
      </c>
      <c r="H3" s="26">
        <f t="shared" ref="H3:H32" si="0">(1/22.25)*38.46</f>
        <v>1.7285393258426967</v>
      </c>
      <c r="I3" s="25">
        <f>Submetering!L3</f>
        <v>236</v>
      </c>
      <c r="J3" s="25">
        <v>2.2799999999999998</v>
      </c>
      <c r="K3" s="32">
        <v>16</v>
      </c>
      <c r="L3" s="32">
        <v>24</v>
      </c>
    </row>
    <row r="4" spans="1:12" x14ac:dyDescent="0.25">
      <c r="A4" t="s">
        <v>24</v>
      </c>
      <c r="B4">
        <v>3</v>
      </c>
      <c r="C4" s="23">
        <v>8</v>
      </c>
      <c r="D4" s="23">
        <v>2021</v>
      </c>
      <c r="E4" s="24">
        <f>Submetering!E4+Submetering!F4+Submetering!G4+Submetering!H4</f>
        <v>19118</v>
      </c>
      <c r="F4" s="31">
        <v>0.36499999999999999</v>
      </c>
      <c r="G4" s="24">
        <f>Submetering!I4+Submetering!J4+Submetering!K4</f>
        <v>14</v>
      </c>
      <c r="H4" s="26">
        <f t="shared" si="0"/>
        <v>1.7285393258426967</v>
      </c>
      <c r="I4" s="25">
        <f>Submetering!L4</f>
        <v>239</v>
      </c>
      <c r="J4" s="25">
        <v>2.2799999999999998</v>
      </c>
      <c r="K4" s="32">
        <v>15</v>
      </c>
      <c r="L4" s="32">
        <v>22</v>
      </c>
    </row>
    <row r="5" spans="1:12" x14ac:dyDescent="0.25">
      <c r="A5" t="s">
        <v>24</v>
      </c>
      <c r="B5">
        <v>4</v>
      </c>
      <c r="C5" s="23">
        <v>8</v>
      </c>
      <c r="D5" s="23">
        <v>2021</v>
      </c>
      <c r="E5" s="24">
        <f>Submetering!E5+Submetering!F5+Submetering!G5+Submetering!H5</f>
        <v>18957</v>
      </c>
      <c r="F5" s="31">
        <v>0.36499999999999999</v>
      </c>
      <c r="G5" s="24">
        <f>Submetering!I5+Submetering!J5+Submetering!K5</f>
        <v>21</v>
      </c>
      <c r="H5" s="26">
        <f t="shared" si="0"/>
        <v>1.7285393258426967</v>
      </c>
      <c r="I5" s="25">
        <f>Submetering!L5</f>
        <v>200</v>
      </c>
      <c r="J5" s="25">
        <v>2.2799999999999998</v>
      </c>
      <c r="K5" s="32">
        <v>21</v>
      </c>
      <c r="L5" s="32">
        <v>34</v>
      </c>
    </row>
    <row r="6" spans="1:12" x14ac:dyDescent="0.25">
      <c r="A6" t="s">
        <v>24</v>
      </c>
      <c r="B6">
        <v>5</v>
      </c>
      <c r="C6" s="23">
        <v>8</v>
      </c>
      <c r="D6" s="23">
        <v>2021</v>
      </c>
      <c r="E6" s="24">
        <f>Submetering!E6+Submetering!F6+Submetering!G6+Submetering!H6</f>
        <v>17875</v>
      </c>
      <c r="F6" s="31">
        <v>0.36499999999999999</v>
      </c>
      <c r="G6" s="24">
        <f>Submetering!I6+Submetering!J6+Submetering!K6</f>
        <v>20</v>
      </c>
      <c r="H6" s="26">
        <f t="shared" si="0"/>
        <v>1.7285393258426967</v>
      </c>
      <c r="I6" s="25">
        <f>Submetering!L6</f>
        <v>168</v>
      </c>
      <c r="J6" s="25">
        <v>2.2799999999999998</v>
      </c>
      <c r="K6" s="32">
        <v>21</v>
      </c>
      <c r="L6" s="32">
        <v>34</v>
      </c>
    </row>
    <row r="7" spans="1:12" x14ac:dyDescent="0.25">
      <c r="A7" t="s">
        <v>24</v>
      </c>
      <c r="B7">
        <v>6</v>
      </c>
      <c r="C7" s="23">
        <v>8</v>
      </c>
      <c r="D7" s="23">
        <v>2021</v>
      </c>
      <c r="E7" s="24">
        <f>Submetering!E7+Submetering!F7+Submetering!G7+Submetering!H7</f>
        <v>20283</v>
      </c>
      <c r="F7" s="31">
        <v>0.36499999999999999</v>
      </c>
      <c r="G7" s="24">
        <f>Submetering!I7+Submetering!J7+Submetering!K7</f>
        <v>24</v>
      </c>
      <c r="H7" s="26">
        <f t="shared" si="0"/>
        <v>1.7285393258426967</v>
      </c>
      <c r="I7" s="25">
        <f>Submetering!L7</f>
        <v>141</v>
      </c>
      <c r="J7" s="25">
        <v>2.2799999999999998</v>
      </c>
      <c r="K7" s="32">
        <v>21</v>
      </c>
      <c r="L7" s="32">
        <v>37</v>
      </c>
    </row>
    <row r="8" spans="1:12" x14ac:dyDescent="0.25">
      <c r="A8" t="s">
        <v>24</v>
      </c>
      <c r="B8">
        <v>7</v>
      </c>
      <c r="C8" s="23">
        <v>8</v>
      </c>
      <c r="D8" s="23">
        <v>2021</v>
      </c>
      <c r="E8" s="24">
        <f>Submetering!E8+Submetering!F8+Submetering!G8+Submetering!H8</f>
        <v>21077</v>
      </c>
      <c r="F8" s="31">
        <v>0.36499999999999999</v>
      </c>
      <c r="G8" s="24">
        <f>Submetering!I8+Submetering!J8+Submetering!K8</f>
        <v>51</v>
      </c>
      <c r="H8" s="26">
        <f t="shared" si="0"/>
        <v>1.7285393258426967</v>
      </c>
      <c r="I8" s="25">
        <f>Submetering!L8</f>
        <v>285</v>
      </c>
      <c r="J8" s="25">
        <v>2.2799999999999998</v>
      </c>
      <c r="K8" s="32">
        <v>22</v>
      </c>
      <c r="L8" s="32">
        <v>39</v>
      </c>
    </row>
    <row r="9" spans="1:12" x14ac:dyDescent="0.25">
      <c r="A9" t="s">
        <v>24</v>
      </c>
      <c r="B9">
        <v>8</v>
      </c>
      <c r="C9" s="23">
        <v>8</v>
      </c>
      <c r="D9" s="23">
        <v>2021</v>
      </c>
      <c r="E9" s="24">
        <f>Submetering!E9+Submetering!F9+Submetering!G9+Submetering!H9</f>
        <v>19527</v>
      </c>
      <c r="F9" s="31">
        <v>0.36499999999999999</v>
      </c>
      <c r="G9" s="24">
        <f>Submetering!I9+Submetering!J9+Submetering!K9</f>
        <v>20</v>
      </c>
      <c r="H9" s="26">
        <f t="shared" si="0"/>
        <v>1.7285393258426967</v>
      </c>
      <c r="I9" s="25">
        <f>Submetering!L9</f>
        <v>309</v>
      </c>
      <c r="J9" s="25">
        <v>2.2799999999999998</v>
      </c>
      <c r="K9" s="32">
        <v>21</v>
      </c>
      <c r="L9" s="32">
        <v>37</v>
      </c>
    </row>
    <row r="10" spans="1:12" x14ac:dyDescent="0.25">
      <c r="A10" t="s">
        <v>24</v>
      </c>
      <c r="B10">
        <v>9</v>
      </c>
      <c r="C10" s="23">
        <v>8</v>
      </c>
      <c r="D10" s="23">
        <v>2021</v>
      </c>
      <c r="E10" s="24">
        <f>Submetering!E10+Submetering!F10+Submetering!G10+Submetering!H10</f>
        <v>20582</v>
      </c>
      <c r="F10" s="31">
        <v>0.36499999999999999</v>
      </c>
      <c r="G10" s="24">
        <f>Submetering!I10+Submetering!J10+Submetering!K10</f>
        <v>32</v>
      </c>
      <c r="H10" s="26">
        <f t="shared" si="0"/>
        <v>1.7285393258426967</v>
      </c>
      <c r="I10" s="25">
        <f>Submetering!L10</f>
        <v>113</v>
      </c>
      <c r="J10" s="25">
        <v>2.2799999999999998</v>
      </c>
      <c r="K10" s="32">
        <v>21</v>
      </c>
      <c r="L10" s="32">
        <v>37</v>
      </c>
    </row>
    <row r="11" spans="1:12" x14ac:dyDescent="0.25">
      <c r="A11" t="s">
        <v>24</v>
      </c>
      <c r="B11">
        <v>10</v>
      </c>
      <c r="C11" s="23">
        <v>8</v>
      </c>
      <c r="D11" s="23">
        <v>2021</v>
      </c>
      <c r="E11" s="24">
        <f>Submetering!E11+Submetering!F11+Submetering!G11+Submetering!H11</f>
        <v>20554</v>
      </c>
      <c r="F11" s="31">
        <v>0.36499999999999999</v>
      </c>
      <c r="G11" s="24">
        <f>Submetering!I11+Submetering!J11+Submetering!K11</f>
        <v>32</v>
      </c>
      <c r="H11" s="26">
        <f t="shared" si="0"/>
        <v>1.7285393258426967</v>
      </c>
      <c r="I11" s="25">
        <f>Submetering!L11</f>
        <v>209</v>
      </c>
      <c r="J11" s="25">
        <v>2.2799999999999998</v>
      </c>
      <c r="K11" s="32">
        <v>18</v>
      </c>
      <c r="L11" s="32">
        <v>29</v>
      </c>
    </row>
    <row r="12" spans="1:12" x14ac:dyDescent="0.25">
      <c r="A12" t="s">
        <v>24</v>
      </c>
      <c r="B12">
        <v>11</v>
      </c>
      <c r="C12" s="23">
        <v>8</v>
      </c>
      <c r="D12" s="23">
        <v>2021</v>
      </c>
      <c r="E12" s="24">
        <f>Submetering!E12+Submetering!F12+Submetering!G12+Submetering!H12</f>
        <v>20963</v>
      </c>
      <c r="F12" s="31">
        <v>0.36499999999999999</v>
      </c>
      <c r="G12" s="24">
        <f>Submetering!I12+Submetering!J12+Submetering!K12</f>
        <v>32</v>
      </c>
      <c r="H12" s="26">
        <f t="shared" si="0"/>
        <v>1.7285393258426967</v>
      </c>
      <c r="I12" s="25">
        <f>Submetering!L12</f>
        <v>227</v>
      </c>
      <c r="J12" s="25">
        <v>2.2799999999999998</v>
      </c>
      <c r="K12" s="32">
        <v>19</v>
      </c>
      <c r="L12" s="32">
        <v>31</v>
      </c>
    </row>
    <row r="13" spans="1:12" x14ac:dyDescent="0.25">
      <c r="A13" t="s">
        <v>24</v>
      </c>
      <c r="B13">
        <v>12</v>
      </c>
      <c r="C13" s="23">
        <v>8</v>
      </c>
      <c r="D13" s="23">
        <v>2021</v>
      </c>
      <c r="E13" s="24">
        <f>Submetering!E13+Submetering!F13+Submetering!G13+Submetering!H13</f>
        <v>20803</v>
      </c>
      <c r="F13" s="31">
        <v>0.36499999999999999</v>
      </c>
      <c r="G13" s="24">
        <f>Submetering!I13+Submetering!J13+Submetering!K13</f>
        <v>31</v>
      </c>
      <c r="H13" s="26">
        <f t="shared" si="0"/>
        <v>1.7285393258426967</v>
      </c>
      <c r="I13" s="25">
        <f>Submetering!L13</f>
        <v>227</v>
      </c>
      <c r="J13" s="25">
        <v>2.2799999999999998</v>
      </c>
      <c r="K13" s="32">
        <v>20</v>
      </c>
      <c r="L13" s="32">
        <v>33</v>
      </c>
    </row>
    <row r="14" spans="1:12" x14ac:dyDescent="0.25">
      <c r="A14" t="s">
        <v>24</v>
      </c>
      <c r="B14">
        <v>13</v>
      </c>
      <c r="C14" s="23">
        <v>8</v>
      </c>
      <c r="D14" s="23">
        <v>2021</v>
      </c>
      <c r="E14" s="24">
        <f>Submetering!E14+Submetering!F14+Submetering!G14+Submetering!H14</f>
        <v>20135</v>
      </c>
      <c r="F14" s="31">
        <v>0.36499999999999999</v>
      </c>
      <c r="G14" s="24">
        <f>Submetering!I14+Submetering!J14+Submetering!K14</f>
        <v>10</v>
      </c>
      <c r="H14" s="26">
        <f t="shared" si="0"/>
        <v>1.7285393258426967</v>
      </c>
      <c r="I14" s="25">
        <f>Submetering!L14</f>
        <v>268</v>
      </c>
      <c r="J14" s="25">
        <v>2.2799999999999998</v>
      </c>
      <c r="K14" s="32">
        <v>18</v>
      </c>
      <c r="L14" s="32">
        <v>29</v>
      </c>
    </row>
    <row r="15" spans="1:12" x14ac:dyDescent="0.25">
      <c r="A15" t="s">
        <v>24</v>
      </c>
      <c r="B15">
        <v>14</v>
      </c>
      <c r="C15" s="23">
        <v>8</v>
      </c>
      <c r="D15" s="23">
        <v>2021</v>
      </c>
      <c r="E15" s="24">
        <f>Submetering!E15+Submetering!F15+Submetering!G15+Submetering!H15</f>
        <v>22081</v>
      </c>
      <c r="F15" s="31">
        <v>0.36499999999999999</v>
      </c>
      <c r="G15" s="24">
        <f>Submetering!I15+Submetering!J15+Submetering!K15</f>
        <v>17</v>
      </c>
      <c r="H15" s="26">
        <f t="shared" si="0"/>
        <v>1.7285393258426967</v>
      </c>
      <c r="I15" s="25">
        <f>Submetering!L15</f>
        <v>217</v>
      </c>
      <c r="J15" s="25">
        <v>2.2799999999999998</v>
      </c>
      <c r="K15" s="32">
        <v>17</v>
      </c>
      <c r="L15" s="32">
        <v>25</v>
      </c>
    </row>
    <row r="16" spans="1:12" x14ac:dyDescent="0.25">
      <c r="A16" t="s">
        <v>24</v>
      </c>
      <c r="B16">
        <v>15</v>
      </c>
      <c r="C16" s="23">
        <v>8</v>
      </c>
      <c r="D16" s="23">
        <v>2021</v>
      </c>
      <c r="E16" s="24">
        <f>Submetering!E16+Submetering!F16+Submetering!G16+Submetering!H16</f>
        <v>20417</v>
      </c>
      <c r="F16" s="31">
        <v>0.36499999999999999</v>
      </c>
      <c r="G16" s="24">
        <f>Submetering!I16+Submetering!J16+Submetering!K16</f>
        <v>21</v>
      </c>
      <c r="H16" s="26">
        <f t="shared" si="0"/>
        <v>1.7285393258426967</v>
      </c>
      <c r="I16" s="25">
        <f>Submetering!L16</f>
        <v>283</v>
      </c>
      <c r="J16" s="25">
        <v>2.2799999999999998</v>
      </c>
      <c r="K16" s="32">
        <v>16</v>
      </c>
      <c r="L16" s="32">
        <v>24</v>
      </c>
    </row>
    <row r="17" spans="1:12" x14ac:dyDescent="0.25">
      <c r="A17" t="s">
        <v>24</v>
      </c>
      <c r="B17">
        <v>16</v>
      </c>
      <c r="C17" s="23">
        <v>8</v>
      </c>
      <c r="D17" s="23">
        <v>2021</v>
      </c>
      <c r="E17" s="24">
        <f>Submetering!E17+Submetering!F17+Submetering!G17+Submetering!H17</f>
        <v>20920</v>
      </c>
      <c r="F17" s="31">
        <v>0.36499999999999999</v>
      </c>
      <c r="G17" s="24">
        <f>Submetering!I17+Submetering!J17+Submetering!K17</f>
        <v>19</v>
      </c>
      <c r="H17" s="26">
        <f t="shared" si="0"/>
        <v>1.7285393258426967</v>
      </c>
      <c r="I17" s="25">
        <f>Submetering!L17</f>
        <v>190</v>
      </c>
      <c r="J17" s="25">
        <v>2.2799999999999998</v>
      </c>
      <c r="K17" s="32">
        <v>17</v>
      </c>
      <c r="L17" s="32">
        <v>26</v>
      </c>
    </row>
    <row r="18" spans="1:12" x14ac:dyDescent="0.25">
      <c r="A18" t="s">
        <v>24</v>
      </c>
      <c r="B18">
        <v>17</v>
      </c>
      <c r="C18" s="23">
        <v>8</v>
      </c>
      <c r="D18" s="23">
        <v>2021</v>
      </c>
      <c r="E18" s="24">
        <f>Submetering!E18+Submetering!F18+Submetering!G18+Submetering!H18</f>
        <v>21786</v>
      </c>
      <c r="F18" s="31">
        <v>0.36499999999999999</v>
      </c>
      <c r="G18" s="24">
        <f>Submetering!I18+Submetering!J18+Submetering!K18</f>
        <v>44</v>
      </c>
      <c r="H18" s="26">
        <f t="shared" si="0"/>
        <v>1.7285393258426967</v>
      </c>
      <c r="I18" s="25">
        <f>Submetering!L18</f>
        <v>331</v>
      </c>
      <c r="J18" s="25">
        <v>2.2799999999999998</v>
      </c>
      <c r="K18" s="32">
        <v>16</v>
      </c>
      <c r="L18" s="32">
        <v>24</v>
      </c>
    </row>
    <row r="19" spans="1:12" x14ac:dyDescent="0.25">
      <c r="A19" t="s">
        <v>24</v>
      </c>
      <c r="B19">
        <v>18</v>
      </c>
      <c r="C19" s="23">
        <v>8</v>
      </c>
      <c r="D19" s="23">
        <v>2021</v>
      </c>
      <c r="E19" s="24">
        <f>Submetering!E19+Submetering!F19+Submetering!G19+Submetering!H19</f>
        <v>19559</v>
      </c>
      <c r="F19" s="31">
        <v>0.36499999999999999</v>
      </c>
      <c r="G19" s="24">
        <f>Submetering!I19+Submetering!J19+Submetering!K19</f>
        <v>41</v>
      </c>
      <c r="H19" s="26">
        <f t="shared" si="0"/>
        <v>1.7285393258426967</v>
      </c>
      <c r="I19" s="25">
        <f>Submetering!L19</f>
        <v>157</v>
      </c>
      <c r="J19" s="25">
        <v>2.2799999999999998</v>
      </c>
      <c r="K19" s="32">
        <v>16</v>
      </c>
      <c r="L19" s="32">
        <v>25</v>
      </c>
    </row>
    <row r="20" spans="1:12" x14ac:dyDescent="0.25">
      <c r="A20" t="s">
        <v>24</v>
      </c>
      <c r="B20">
        <v>19</v>
      </c>
      <c r="C20" s="23">
        <v>8</v>
      </c>
      <c r="D20" s="23">
        <v>2021</v>
      </c>
      <c r="E20" s="24">
        <f>Submetering!E20+Submetering!F20+Submetering!G20+Submetering!H20</f>
        <v>20753</v>
      </c>
      <c r="F20" s="31">
        <v>0.36499999999999999</v>
      </c>
      <c r="G20" s="24">
        <f>Submetering!I20+Submetering!J20+Submetering!K20</f>
        <v>20</v>
      </c>
      <c r="H20" s="26">
        <f t="shared" si="0"/>
        <v>1.7285393258426967</v>
      </c>
      <c r="I20" s="25">
        <f>Submetering!L20</f>
        <v>165</v>
      </c>
      <c r="J20" s="25">
        <v>2.2799999999999998</v>
      </c>
      <c r="K20" s="32">
        <v>22</v>
      </c>
      <c r="L20" s="32">
        <v>30</v>
      </c>
    </row>
    <row r="21" spans="1:12" x14ac:dyDescent="0.25">
      <c r="A21" t="s">
        <v>24</v>
      </c>
      <c r="B21">
        <v>20</v>
      </c>
      <c r="C21" s="23">
        <v>8</v>
      </c>
      <c r="D21" s="23">
        <v>2021</v>
      </c>
      <c r="E21" s="24">
        <f>Submetering!E21+Submetering!F21+Submetering!G21+Submetering!H21</f>
        <v>21527</v>
      </c>
      <c r="F21" s="31">
        <v>0.36499999999999999</v>
      </c>
      <c r="G21" s="24">
        <f>Submetering!I21+Submetering!J21+Submetering!K21</f>
        <v>61</v>
      </c>
      <c r="H21" s="26">
        <f t="shared" si="0"/>
        <v>1.7285393258426967</v>
      </c>
      <c r="I21" s="25">
        <f>Submetering!L21</f>
        <v>209</v>
      </c>
      <c r="J21" s="25">
        <v>2.2799999999999998</v>
      </c>
      <c r="K21" s="32">
        <v>23</v>
      </c>
      <c r="L21" s="32">
        <v>31</v>
      </c>
    </row>
    <row r="22" spans="1:12" x14ac:dyDescent="0.25">
      <c r="A22" t="s">
        <v>24</v>
      </c>
      <c r="B22">
        <v>21</v>
      </c>
      <c r="C22" s="23">
        <v>8</v>
      </c>
      <c r="D22" s="23">
        <v>2021</v>
      </c>
      <c r="E22" s="24">
        <f>Submetering!E22+Submetering!F22+Submetering!G22+Submetering!H22</f>
        <v>22632</v>
      </c>
      <c r="F22" s="31">
        <v>0.36499999999999999</v>
      </c>
      <c r="G22" s="24">
        <f>Submetering!I22+Submetering!J22+Submetering!K22</f>
        <v>62</v>
      </c>
      <c r="H22" s="26">
        <f t="shared" si="0"/>
        <v>1.7285393258426967</v>
      </c>
      <c r="I22" s="25">
        <f>Submetering!L22</f>
        <v>215</v>
      </c>
      <c r="J22" s="25">
        <v>2.2799999999999998</v>
      </c>
      <c r="K22" s="32">
        <v>33</v>
      </c>
      <c r="L22" s="32">
        <v>52</v>
      </c>
    </row>
    <row r="23" spans="1:12" x14ac:dyDescent="0.25">
      <c r="A23" t="s">
        <v>24</v>
      </c>
      <c r="B23">
        <v>22</v>
      </c>
      <c r="C23" s="23">
        <v>8</v>
      </c>
      <c r="D23" s="23">
        <v>2021</v>
      </c>
      <c r="E23" s="24">
        <f>Submetering!E23+Submetering!F23+Submetering!G23+Submetering!H23</f>
        <v>22410</v>
      </c>
      <c r="F23" s="31">
        <v>0.36499999999999999</v>
      </c>
      <c r="G23" s="24">
        <f>Submetering!I23+Submetering!J23+Submetering!K23</f>
        <v>57</v>
      </c>
      <c r="H23" s="26">
        <f t="shared" si="0"/>
        <v>1.7285393258426967</v>
      </c>
      <c r="I23" s="25">
        <f>Submetering!L23</f>
        <v>288</v>
      </c>
      <c r="J23" s="25">
        <v>2.2799999999999998</v>
      </c>
      <c r="K23" s="32">
        <v>22</v>
      </c>
      <c r="L23" s="32">
        <v>31</v>
      </c>
    </row>
    <row r="24" spans="1:12" x14ac:dyDescent="0.25">
      <c r="A24" t="s">
        <v>24</v>
      </c>
      <c r="B24">
        <v>23</v>
      </c>
      <c r="C24" s="23">
        <v>8</v>
      </c>
      <c r="D24" s="23">
        <v>2021</v>
      </c>
      <c r="E24" s="24">
        <f>Submetering!E24+Submetering!F24+Submetering!G24+Submetering!H24</f>
        <v>20908</v>
      </c>
      <c r="F24" s="31">
        <v>0.36499999999999999</v>
      </c>
      <c r="G24" s="24">
        <f>Submetering!I24+Submetering!J24+Submetering!K24</f>
        <v>71</v>
      </c>
      <c r="H24" s="26">
        <f t="shared" si="0"/>
        <v>1.7285393258426967</v>
      </c>
      <c r="I24" s="25">
        <f>Submetering!L24</f>
        <v>220</v>
      </c>
      <c r="J24" s="25">
        <v>2.2799999999999998</v>
      </c>
      <c r="K24" s="32">
        <v>23</v>
      </c>
      <c r="L24" s="32">
        <v>31</v>
      </c>
    </row>
    <row r="25" spans="1:12" x14ac:dyDescent="0.25">
      <c r="A25" t="s">
        <v>24</v>
      </c>
      <c r="B25">
        <v>24</v>
      </c>
      <c r="C25" s="23">
        <v>8</v>
      </c>
      <c r="D25" s="23">
        <v>2021</v>
      </c>
      <c r="E25" s="24">
        <f>Submetering!E25+Submetering!F25+Submetering!G25+Submetering!H25</f>
        <v>22657</v>
      </c>
      <c r="F25" s="31">
        <v>0.36499999999999999</v>
      </c>
      <c r="G25" s="24">
        <f>Submetering!I25+Submetering!J25+Submetering!K25</f>
        <v>94</v>
      </c>
      <c r="H25" s="26">
        <f t="shared" si="0"/>
        <v>1.7285393258426967</v>
      </c>
      <c r="I25" s="25">
        <f>Submetering!L25</f>
        <v>173</v>
      </c>
      <c r="J25" s="25">
        <v>2.2799999999999998</v>
      </c>
      <c r="K25" s="32">
        <v>21</v>
      </c>
      <c r="L25" s="32">
        <v>29</v>
      </c>
    </row>
    <row r="26" spans="1:12" x14ac:dyDescent="0.25">
      <c r="A26" t="s">
        <v>24</v>
      </c>
      <c r="B26">
        <v>25</v>
      </c>
      <c r="C26" s="23">
        <v>8</v>
      </c>
      <c r="D26" s="23">
        <v>2021</v>
      </c>
      <c r="E26" s="24">
        <f>Submetering!E26+Submetering!F26+Submetering!G26+Submetering!H26</f>
        <v>24010</v>
      </c>
      <c r="F26" s="31">
        <v>0.36499999999999999</v>
      </c>
      <c r="G26" s="24">
        <f>Submetering!I26+Submetering!J26+Submetering!K26</f>
        <v>89</v>
      </c>
      <c r="H26" s="26">
        <f t="shared" si="0"/>
        <v>1.7285393258426967</v>
      </c>
      <c r="I26" s="25">
        <f>Submetering!L26</f>
        <v>262</v>
      </c>
      <c r="J26" s="25">
        <v>2.2799999999999998</v>
      </c>
      <c r="K26" s="32">
        <v>21</v>
      </c>
      <c r="L26" s="32">
        <v>31</v>
      </c>
    </row>
    <row r="27" spans="1:12" x14ac:dyDescent="0.25">
      <c r="A27" t="s">
        <v>24</v>
      </c>
      <c r="B27">
        <v>26</v>
      </c>
      <c r="C27" s="23">
        <v>8</v>
      </c>
      <c r="D27" s="23">
        <v>2021</v>
      </c>
      <c r="E27" s="24">
        <f>Submetering!E27+Submetering!F27+Submetering!G27+Submetering!H27</f>
        <v>23276</v>
      </c>
      <c r="F27" s="31">
        <v>0.36499999999999999</v>
      </c>
      <c r="G27" s="24">
        <f>Submetering!I27+Submetering!J27+Submetering!K27</f>
        <v>85</v>
      </c>
      <c r="H27" s="26">
        <f t="shared" si="0"/>
        <v>1.7285393258426967</v>
      </c>
      <c r="I27" s="25">
        <f>Submetering!L27</f>
        <v>275</v>
      </c>
      <c r="J27" s="25">
        <v>2.2799999999999998</v>
      </c>
      <c r="K27" s="32">
        <v>19</v>
      </c>
      <c r="L27" s="32">
        <v>32</v>
      </c>
    </row>
    <row r="28" spans="1:12" x14ac:dyDescent="0.25">
      <c r="A28" t="s">
        <v>24</v>
      </c>
      <c r="B28">
        <v>27</v>
      </c>
      <c r="C28" s="23">
        <v>8</v>
      </c>
      <c r="D28" s="23">
        <v>2021</v>
      </c>
      <c r="E28" s="24">
        <f>Submetering!E28+Submetering!F28+Submetering!G28+Submetering!H28</f>
        <v>22718</v>
      </c>
      <c r="F28" s="31">
        <v>0.36499999999999999</v>
      </c>
      <c r="G28" s="24">
        <f>Submetering!I28+Submetering!J28+Submetering!K28</f>
        <v>82</v>
      </c>
      <c r="H28" s="26">
        <f t="shared" si="0"/>
        <v>1.7285393258426967</v>
      </c>
      <c r="I28" s="25">
        <f>Submetering!L28</f>
        <v>225</v>
      </c>
      <c r="J28" s="25">
        <v>2.2799999999999998</v>
      </c>
      <c r="K28" s="32">
        <v>21</v>
      </c>
      <c r="L28" s="32">
        <v>36</v>
      </c>
    </row>
    <row r="29" spans="1:12" x14ac:dyDescent="0.25">
      <c r="A29" t="s">
        <v>24</v>
      </c>
      <c r="B29">
        <v>28</v>
      </c>
      <c r="C29" s="23">
        <v>8</v>
      </c>
      <c r="D29" s="23">
        <v>2021</v>
      </c>
      <c r="E29" s="24">
        <f>Submetering!E29+Submetering!F29+Submetering!G29+Submetering!H29</f>
        <v>23651</v>
      </c>
      <c r="F29" s="31">
        <v>0.36499999999999999</v>
      </c>
      <c r="G29" s="24">
        <f>Submetering!I29+Submetering!J29+Submetering!K29</f>
        <v>125</v>
      </c>
      <c r="H29" s="26">
        <f t="shared" si="0"/>
        <v>1.7285393258426967</v>
      </c>
      <c r="I29" s="25">
        <f>Submetering!L29</f>
        <v>212</v>
      </c>
      <c r="J29" s="25">
        <v>2.2799999999999998</v>
      </c>
      <c r="K29" s="32">
        <v>26</v>
      </c>
      <c r="L29" s="32">
        <v>41</v>
      </c>
    </row>
    <row r="30" spans="1:12" x14ac:dyDescent="0.25">
      <c r="A30" t="s">
        <v>24</v>
      </c>
      <c r="B30">
        <v>29</v>
      </c>
      <c r="C30" s="23">
        <v>8</v>
      </c>
      <c r="D30" s="23">
        <v>2021</v>
      </c>
      <c r="E30" s="24">
        <f>Submetering!E30+Submetering!F30+Submetering!G30+Submetering!H30</f>
        <v>24829</v>
      </c>
      <c r="F30" s="31">
        <v>0.36499999999999999</v>
      </c>
      <c r="G30" s="24">
        <f>Submetering!I30+Submetering!J30+Submetering!K30</f>
        <v>123</v>
      </c>
      <c r="H30" s="26">
        <f t="shared" si="0"/>
        <v>1.7285393258426967</v>
      </c>
      <c r="I30" s="25">
        <f>Submetering!L30</f>
        <v>242</v>
      </c>
      <c r="J30" s="25">
        <v>2.2799999999999998</v>
      </c>
      <c r="K30" s="32">
        <v>18</v>
      </c>
      <c r="L30" s="32">
        <v>31</v>
      </c>
    </row>
    <row r="31" spans="1:12" x14ac:dyDescent="0.25">
      <c r="A31" t="s">
        <v>24</v>
      </c>
      <c r="B31">
        <v>30</v>
      </c>
      <c r="C31" s="23">
        <v>8</v>
      </c>
      <c r="D31" s="23">
        <v>2021</v>
      </c>
      <c r="E31" s="24">
        <f>Submetering!E31+Submetering!F31+Submetering!G31+Submetering!H31</f>
        <v>20276</v>
      </c>
      <c r="F31" s="31">
        <v>0.36499999999999999</v>
      </c>
      <c r="G31" s="24">
        <f>Submetering!I31+Submetering!J31+Submetering!K31</f>
        <v>113</v>
      </c>
      <c r="H31" s="26">
        <f t="shared" si="0"/>
        <v>1.7285393258426967</v>
      </c>
      <c r="I31" s="25">
        <f>Submetering!L31</f>
        <v>158</v>
      </c>
      <c r="J31" s="25">
        <v>2.2799999999999998</v>
      </c>
      <c r="K31" s="32">
        <v>17</v>
      </c>
      <c r="L31" s="32">
        <v>30</v>
      </c>
    </row>
    <row r="32" spans="1:12" x14ac:dyDescent="0.25">
      <c r="A32" t="s">
        <v>24</v>
      </c>
      <c r="B32">
        <v>31</v>
      </c>
      <c r="C32" s="23">
        <v>8</v>
      </c>
      <c r="D32" s="23">
        <v>2021</v>
      </c>
      <c r="E32" s="24">
        <f>Submetering!E32+Submetering!F32+Submetering!G32+Submetering!H32</f>
        <v>25526</v>
      </c>
      <c r="F32" s="31">
        <v>0.36499999999999999</v>
      </c>
      <c r="G32" s="24">
        <f>Submetering!I32+Submetering!J32+Submetering!K32</f>
        <v>115</v>
      </c>
      <c r="H32" s="26">
        <f t="shared" si="0"/>
        <v>1.7285393258426967</v>
      </c>
      <c r="I32" s="25">
        <f>Submetering!L32</f>
        <v>294</v>
      </c>
      <c r="J32" s="25">
        <v>2.2799999999999998</v>
      </c>
      <c r="K32" s="32">
        <v>18</v>
      </c>
      <c r="L32" s="32">
        <v>32</v>
      </c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13</v>
      </c>
      <c r="B1" s="20" t="s">
        <v>33</v>
      </c>
      <c r="C1" s="20" t="s">
        <v>14</v>
      </c>
      <c r="D1" s="20" t="s">
        <v>15</v>
      </c>
      <c r="E1" s="21" t="s">
        <v>16</v>
      </c>
      <c r="F1" s="21" t="s">
        <v>17</v>
      </c>
      <c r="G1" s="21" t="s">
        <v>18</v>
      </c>
      <c r="H1" s="22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9" t="s">
        <v>31</v>
      </c>
    </row>
    <row r="2" spans="1:13" ht="13.5" customHeight="1" x14ac:dyDescent="0.25">
      <c r="A2" t="s">
        <v>24</v>
      </c>
      <c r="B2">
        <v>1</v>
      </c>
      <c r="C2" s="23">
        <v>8</v>
      </c>
      <c r="D2" s="23">
        <v>2021</v>
      </c>
      <c r="E2" s="24">
        <f>'Daily Meter Reading'!C3</f>
        <v>8246</v>
      </c>
      <c r="F2" s="25">
        <f>'Daily Meter Reading'!E3</f>
        <v>3154</v>
      </c>
      <c r="G2" s="24">
        <f>'Daily Meter Reading'!G3</f>
        <v>10</v>
      </c>
      <c r="H2" s="26">
        <f>'Daily Meter Reading'!I3</f>
        <v>6994</v>
      </c>
      <c r="I2" s="25">
        <f>'Daily Meter Reading'!K3</f>
        <v>19</v>
      </c>
      <c r="J2" s="25">
        <f>'Daily Meter Reading'!M3</f>
        <v>0</v>
      </c>
      <c r="K2" s="25">
        <f>'Daily Meter Reading'!O3</f>
        <v>0</v>
      </c>
      <c r="L2" s="25">
        <f>'Daily Meter Reading'!Q3</f>
        <v>236</v>
      </c>
      <c r="M2" s="32">
        <v>16</v>
      </c>
    </row>
    <row r="3" spans="1:13" ht="13.5" customHeight="1" x14ac:dyDescent="0.25">
      <c r="A3" t="s">
        <v>24</v>
      </c>
      <c r="B3">
        <v>2</v>
      </c>
      <c r="C3" s="23">
        <v>8</v>
      </c>
      <c r="D3" s="23">
        <v>2021</v>
      </c>
      <c r="E3" s="24">
        <f>'Daily Meter Reading'!C4</f>
        <v>8246</v>
      </c>
      <c r="F3" s="25">
        <f>'Daily Meter Reading'!E4</f>
        <v>3155</v>
      </c>
      <c r="G3" s="24">
        <f>'Daily Meter Reading'!G4</f>
        <v>11</v>
      </c>
      <c r="H3" s="26">
        <f>'Daily Meter Reading'!I4</f>
        <v>6995</v>
      </c>
      <c r="I3" s="25">
        <f>'Daily Meter Reading'!K4</f>
        <v>20</v>
      </c>
      <c r="J3" s="25">
        <f>'Daily Meter Reading'!M4</f>
        <v>0</v>
      </c>
      <c r="K3" s="25">
        <f>'Daily Meter Reading'!O4</f>
        <v>0</v>
      </c>
      <c r="L3" s="25">
        <f>'Daily Meter Reading'!Q4</f>
        <v>236</v>
      </c>
      <c r="M3" s="32">
        <v>16</v>
      </c>
    </row>
    <row r="4" spans="1:13" ht="13.5" customHeight="1" x14ac:dyDescent="0.25">
      <c r="A4" t="s">
        <v>24</v>
      </c>
      <c r="B4">
        <v>3</v>
      </c>
      <c r="C4" s="23">
        <v>8</v>
      </c>
      <c r="D4" s="23">
        <v>2021</v>
      </c>
      <c r="E4" s="24">
        <f>'Daily Meter Reading'!C5</f>
        <v>8553</v>
      </c>
      <c r="F4" s="25">
        <f>'Daily Meter Reading'!E5</f>
        <v>3582</v>
      </c>
      <c r="G4" s="24">
        <f>'Daily Meter Reading'!G5</f>
        <v>23</v>
      </c>
      <c r="H4" s="26">
        <f>'Daily Meter Reading'!I5</f>
        <v>6960</v>
      </c>
      <c r="I4" s="25">
        <f>'Daily Meter Reading'!K5</f>
        <v>14</v>
      </c>
      <c r="J4" s="25">
        <f>'Daily Meter Reading'!M5</f>
        <v>0</v>
      </c>
      <c r="K4" s="25">
        <f>'Daily Meter Reading'!O5</f>
        <v>0</v>
      </c>
      <c r="L4" s="25">
        <f>'Daily Meter Reading'!Q5</f>
        <v>239</v>
      </c>
      <c r="M4" s="32">
        <v>15</v>
      </c>
    </row>
    <row r="5" spans="1:13" ht="12.75" customHeight="1" x14ac:dyDescent="0.25">
      <c r="A5" t="s">
        <v>24</v>
      </c>
      <c r="B5">
        <v>4</v>
      </c>
      <c r="C5" s="23">
        <v>8</v>
      </c>
      <c r="D5" s="23">
        <v>2021</v>
      </c>
      <c r="E5" s="24">
        <f>'Daily Meter Reading'!C6</f>
        <v>8631</v>
      </c>
      <c r="F5" s="25">
        <f>'Daily Meter Reading'!E6</f>
        <v>3181</v>
      </c>
      <c r="G5" s="24">
        <f>'Daily Meter Reading'!G6</f>
        <v>2919</v>
      </c>
      <c r="H5" s="26">
        <f>'Daily Meter Reading'!I6</f>
        <v>4226</v>
      </c>
      <c r="I5" s="25">
        <f>'Daily Meter Reading'!K6</f>
        <v>21</v>
      </c>
      <c r="J5" s="25">
        <f>'Daily Meter Reading'!M6</f>
        <v>0</v>
      </c>
      <c r="K5" s="25">
        <f>'Daily Meter Reading'!O6</f>
        <v>0</v>
      </c>
      <c r="L5" s="25">
        <f>'Daily Meter Reading'!Q6</f>
        <v>200</v>
      </c>
      <c r="M5" s="32">
        <v>21</v>
      </c>
    </row>
    <row r="6" spans="1:13" x14ac:dyDescent="0.25">
      <c r="A6" t="s">
        <v>24</v>
      </c>
      <c r="B6">
        <v>5</v>
      </c>
      <c r="C6" s="23">
        <v>8</v>
      </c>
      <c r="D6" s="23">
        <v>2021</v>
      </c>
      <c r="E6" s="24">
        <f>'Daily Meter Reading'!C7</f>
        <v>7892</v>
      </c>
      <c r="F6" s="25">
        <f>'Daily Meter Reading'!E7</f>
        <v>2978</v>
      </c>
      <c r="G6" s="24">
        <f>'Daily Meter Reading'!G7</f>
        <v>5783</v>
      </c>
      <c r="H6" s="26">
        <f>'Daily Meter Reading'!I7</f>
        <v>1222</v>
      </c>
      <c r="I6" s="25">
        <f>'Daily Meter Reading'!K7</f>
        <v>20</v>
      </c>
      <c r="J6" s="25">
        <f>'Daily Meter Reading'!M7</f>
        <v>0</v>
      </c>
      <c r="K6" s="25">
        <f>'Daily Meter Reading'!O7</f>
        <v>0</v>
      </c>
      <c r="L6" s="25">
        <f>'Daily Meter Reading'!Q7</f>
        <v>168</v>
      </c>
      <c r="M6" s="32">
        <v>21</v>
      </c>
    </row>
    <row r="7" spans="1:13" x14ac:dyDescent="0.25">
      <c r="A7" t="s">
        <v>24</v>
      </c>
      <c r="B7">
        <v>6</v>
      </c>
      <c r="C7" s="23">
        <v>8</v>
      </c>
      <c r="D7" s="23">
        <v>2021</v>
      </c>
      <c r="E7" s="24">
        <f>'Daily Meter Reading'!C8</f>
        <v>8922</v>
      </c>
      <c r="F7" s="25">
        <f>'Daily Meter Reading'!E8</f>
        <v>3298</v>
      </c>
      <c r="G7" s="24">
        <f>'Daily Meter Reading'!G8</f>
        <v>6694</v>
      </c>
      <c r="H7" s="26">
        <f>'Daily Meter Reading'!I8</f>
        <v>1369</v>
      </c>
      <c r="I7" s="25">
        <f>'Daily Meter Reading'!K8</f>
        <v>24</v>
      </c>
      <c r="J7" s="25">
        <f>'Daily Meter Reading'!M8</f>
        <v>0</v>
      </c>
      <c r="K7" s="25">
        <f>'Daily Meter Reading'!O8</f>
        <v>0</v>
      </c>
      <c r="L7" s="25">
        <f>'Daily Meter Reading'!Q8</f>
        <v>141</v>
      </c>
      <c r="M7" s="32">
        <v>21</v>
      </c>
    </row>
    <row r="8" spans="1:13" x14ac:dyDescent="0.25">
      <c r="A8" t="s">
        <v>24</v>
      </c>
      <c r="B8">
        <v>7</v>
      </c>
      <c r="C8" s="23">
        <v>8</v>
      </c>
      <c r="D8" s="23">
        <v>2021</v>
      </c>
      <c r="E8" s="24">
        <f>'Daily Meter Reading'!C9</f>
        <v>8797</v>
      </c>
      <c r="F8" s="25">
        <f>'Daily Meter Reading'!E9</f>
        <v>3893</v>
      </c>
      <c r="G8" s="24">
        <f>'Daily Meter Reading'!G9</f>
        <v>3231</v>
      </c>
      <c r="H8" s="26">
        <f>'Daily Meter Reading'!I9</f>
        <v>5156</v>
      </c>
      <c r="I8" s="25">
        <f>'Daily Meter Reading'!K9</f>
        <v>51</v>
      </c>
      <c r="J8" s="25">
        <f>'Daily Meter Reading'!M9</f>
        <v>0</v>
      </c>
      <c r="K8" s="25">
        <f>'Daily Meter Reading'!O9</f>
        <v>0</v>
      </c>
      <c r="L8" s="25">
        <f>'Daily Meter Reading'!Q9</f>
        <v>285</v>
      </c>
      <c r="M8" s="32">
        <v>22</v>
      </c>
    </row>
    <row r="9" spans="1:13" x14ac:dyDescent="0.25">
      <c r="A9" t="s">
        <v>24</v>
      </c>
      <c r="B9">
        <v>8</v>
      </c>
      <c r="C9" s="23">
        <v>8</v>
      </c>
      <c r="D9" s="23">
        <v>2021</v>
      </c>
      <c r="E9" s="24">
        <f>'Daily Meter Reading'!C10</f>
        <v>8462</v>
      </c>
      <c r="F9" s="25">
        <f>'Daily Meter Reading'!E10</f>
        <v>2859</v>
      </c>
      <c r="G9" s="24">
        <f>'Daily Meter Reading'!G10</f>
        <v>2136</v>
      </c>
      <c r="H9" s="26">
        <f>'Daily Meter Reading'!I10</f>
        <v>6070</v>
      </c>
      <c r="I9" s="25">
        <f>'Daily Meter Reading'!K10</f>
        <v>20</v>
      </c>
      <c r="J9" s="25">
        <f>'Daily Meter Reading'!M10</f>
        <v>0</v>
      </c>
      <c r="K9" s="25">
        <f>'Daily Meter Reading'!O10</f>
        <v>0</v>
      </c>
      <c r="L9" s="25">
        <f>'Daily Meter Reading'!Q10</f>
        <v>309</v>
      </c>
      <c r="M9" s="32">
        <v>21</v>
      </c>
    </row>
    <row r="10" spans="1:13" x14ac:dyDescent="0.25">
      <c r="A10" t="s">
        <v>24</v>
      </c>
      <c r="B10">
        <v>9</v>
      </c>
      <c r="C10" s="23">
        <v>8</v>
      </c>
      <c r="D10" s="23">
        <v>2021</v>
      </c>
      <c r="E10" s="24">
        <f>'Daily Meter Reading'!C11</f>
        <v>8537</v>
      </c>
      <c r="F10" s="25">
        <f>'Daily Meter Reading'!E11</f>
        <v>3097</v>
      </c>
      <c r="G10" s="24">
        <f>'Daily Meter Reading'!G11</f>
        <v>2364</v>
      </c>
      <c r="H10" s="26">
        <f>'Daily Meter Reading'!I11</f>
        <v>6584</v>
      </c>
      <c r="I10" s="25">
        <f>'Daily Meter Reading'!K11</f>
        <v>32</v>
      </c>
      <c r="J10" s="25">
        <f>'Daily Meter Reading'!M11</f>
        <v>0</v>
      </c>
      <c r="K10" s="25">
        <f>'Daily Meter Reading'!O11</f>
        <v>0</v>
      </c>
      <c r="L10" s="25">
        <f>'Daily Meter Reading'!Q11</f>
        <v>113</v>
      </c>
      <c r="M10" s="32">
        <v>21</v>
      </c>
    </row>
    <row r="11" spans="1:13" x14ac:dyDescent="0.25">
      <c r="A11" t="s">
        <v>24</v>
      </c>
      <c r="B11">
        <v>10</v>
      </c>
      <c r="C11" s="23">
        <v>8</v>
      </c>
      <c r="D11" s="23">
        <v>2021</v>
      </c>
      <c r="E11" s="24">
        <f>'Daily Meter Reading'!C12</f>
        <v>8528</v>
      </c>
      <c r="F11" s="25">
        <f>'Daily Meter Reading'!E12</f>
        <v>3271</v>
      </c>
      <c r="G11" s="24">
        <f>'Daily Meter Reading'!G12</f>
        <v>2302</v>
      </c>
      <c r="H11" s="26">
        <f>'Daily Meter Reading'!I12</f>
        <v>6453</v>
      </c>
      <c r="I11" s="25">
        <f>'Daily Meter Reading'!K12</f>
        <v>32</v>
      </c>
      <c r="J11" s="25">
        <f>'Daily Meter Reading'!M12</f>
        <v>0</v>
      </c>
      <c r="K11" s="25">
        <f>'Daily Meter Reading'!O12</f>
        <v>0</v>
      </c>
      <c r="L11" s="25">
        <f>'Daily Meter Reading'!Q12</f>
        <v>209</v>
      </c>
      <c r="M11" s="32">
        <v>18</v>
      </c>
    </row>
    <row r="12" spans="1:13" x14ac:dyDescent="0.25">
      <c r="A12" t="s">
        <v>24</v>
      </c>
      <c r="B12">
        <v>11</v>
      </c>
      <c r="C12" s="23">
        <v>8</v>
      </c>
      <c r="D12" s="23">
        <v>2021</v>
      </c>
      <c r="E12" s="24">
        <f>'Daily Meter Reading'!C13</f>
        <v>8717</v>
      </c>
      <c r="F12" s="25">
        <f>'Daily Meter Reading'!E13</f>
        <v>3188</v>
      </c>
      <c r="G12" s="24">
        <f>'Daily Meter Reading'!G13</f>
        <v>2490</v>
      </c>
      <c r="H12" s="26">
        <f>'Daily Meter Reading'!I13</f>
        <v>6568</v>
      </c>
      <c r="I12" s="25">
        <f>'Daily Meter Reading'!K13</f>
        <v>32</v>
      </c>
      <c r="J12" s="25">
        <f>'Daily Meter Reading'!M13</f>
        <v>0</v>
      </c>
      <c r="K12" s="25">
        <f>'Daily Meter Reading'!O13</f>
        <v>0</v>
      </c>
      <c r="L12" s="25">
        <f>'Daily Meter Reading'!Q13</f>
        <v>227</v>
      </c>
      <c r="M12" s="32">
        <v>19</v>
      </c>
    </row>
    <row r="13" spans="1:13" x14ac:dyDescent="0.25">
      <c r="A13" t="s">
        <v>24</v>
      </c>
      <c r="B13">
        <v>12</v>
      </c>
      <c r="C13" s="23">
        <v>8</v>
      </c>
      <c r="D13" s="23">
        <v>2021</v>
      </c>
      <c r="E13" s="24">
        <f>'Daily Meter Reading'!C14</f>
        <v>8825</v>
      </c>
      <c r="F13" s="25">
        <f>'Daily Meter Reading'!E14</f>
        <v>3366</v>
      </c>
      <c r="G13" s="24">
        <f>'Daily Meter Reading'!G14</f>
        <v>2264</v>
      </c>
      <c r="H13" s="26">
        <f>'Daily Meter Reading'!I14</f>
        <v>6348</v>
      </c>
      <c r="I13" s="25">
        <f>'Daily Meter Reading'!K14</f>
        <v>31</v>
      </c>
      <c r="J13" s="25">
        <f>'Daily Meter Reading'!M14</f>
        <v>0</v>
      </c>
      <c r="K13" s="25">
        <f>'Daily Meter Reading'!O14</f>
        <v>0</v>
      </c>
      <c r="L13" s="25">
        <f>'Daily Meter Reading'!Q14</f>
        <v>227</v>
      </c>
      <c r="M13" s="32">
        <v>20</v>
      </c>
    </row>
    <row r="14" spans="1:13" x14ac:dyDescent="0.25">
      <c r="A14" t="s">
        <v>24</v>
      </c>
      <c r="B14">
        <v>13</v>
      </c>
      <c r="C14" s="23">
        <v>8</v>
      </c>
      <c r="D14" s="23">
        <v>2021</v>
      </c>
      <c r="E14" s="24">
        <f>'Daily Meter Reading'!C15</f>
        <v>8910</v>
      </c>
      <c r="F14" s="25">
        <f>'Daily Meter Reading'!E15</f>
        <v>3075</v>
      </c>
      <c r="G14" s="24">
        <f>'Daily Meter Reading'!G15</f>
        <v>2161</v>
      </c>
      <c r="H14" s="26">
        <f>'Daily Meter Reading'!I15</f>
        <v>5989</v>
      </c>
      <c r="I14" s="25">
        <f>'Daily Meter Reading'!K15</f>
        <v>10</v>
      </c>
      <c r="J14" s="25">
        <f>'Daily Meter Reading'!M15</f>
        <v>0</v>
      </c>
      <c r="K14" s="25">
        <f>'Daily Meter Reading'!O15</f>
        <v>0</v>
      </c>
      <c r="L14" s="25">
        <f>'Daily Meter Reading'!Q15</f>
        <v>268</v>
      </c>
      <c r="M14" s="32">
        <v>18</v>
      </c>
    </row>
    <row r="15" spans="1:13" x14ac:dyDescent="0.25">
      <c r="A15" t="s">
        <v>24</v>
      </c>
      <c r="B15">
        <v>14</v>
      </c>
      <c r="C15" s="23">
        <v>8</v>
      </c>
      <c r="D15" s="23">
        <v>2021</v>
      </c>
      <c r="E15" s="24">
        <f>'Daily Meter Reading'!C16</f>
        <v>8984</v>
      </c>
      <c r="F15" s="25">
        <f>'Daily Meter Reading'!E16</f>
        <v>4174</v>
      </c>
      <c r="G15" s="24">
        <f>'Daily Meter Reading'!G16</f>
        <v>2319</v>
      </c>
      <c r="H15" s="26">
        <f>'Daily Meter Reading'!I16</f>
        <v>6604</v>
      </c>
      <c r="I15" s="25">
        <f>'Daily Meter Reading'!K16</f>
        <v>17</v>
      </c>
      <c r="J15" s="25">
        <f>'Daily Meter Reading'!M16</f>
        <v>0</v>
      </c>
      <c r="K15" s="25">
        <f>'Daily Meter Reading'!O16</f>
        <v>0</v>
      </c>
      <c r="L15" s="25">
        <f>'Daily Meter Reading'!Q16</f>
        <v>217</v>
      </c>
      <c r="M15" s="32">
        <v>17</v>
      </c>
    </row>
    <row r="16" spans="1:13" x14ac:dyDescent="0.25">
      <c r="A16" t="s">
        <v>24</v>
      </c>
      <c r="B16">
        <v>15</v>
      </c>
      <c r="C16" s="23">
        <v>8</v>
      </c>
      <c r="D16" s="23">
        <v>2021</v>
      </c>
      <c r="E16" s="24">
        <f>'Daily Meter Reading'!C17</f>
        <v>9137</v>
      </c>
      <c r="F16" s="25">
        <f>'Daily Meter Reading'!E17</f>
        <v>3019</v>
      </c>
      <c r="G16" s="24">
        <f>'Daily Meter Reading'!G17</f>
        <v>2150</v>
      </c>
      <c r="H16" s="26">
        <f>'Daily Meter Reading'!I17</f>
        <v>6111</v>
      </c>
      <c r="I16" s="25">
        <f>'Daily Meter Reading'!K17</f>
        <v>21</v>
      </c>
      <c r="J16" s="25">
        <f>'Daily Meter Reading'!M17</f>
        <v>0</v>
      </c>
      <c r="K16" s="25">
        <f>'Daily Meter Reading'!O17</f>
        <v>0</v>
      </c>
      <c r="L16" s="25">
        <f>'Daily Meter Reading'!Q17</f>
        <v>283</v>
      </c>
      <c r="M16" s="32">
        <v>16</v>
      </c>
    </row>
    <row r="17" spans="1:13" x14ac:dyDescent="0.25">
      <c r="A17" t="s">
        <v>24</v>
      </c>
      <c r="B17">
        <v>16</v>
      </c>
      <c r="C17" s="23">
        <v>8</v>
      </c>
      <c r="D17" s="23">
        <v>2021</v>
      </c>
      <c r="E17" s="24">
        <f>'Daily Meter Reading'!C18</f>
        <v>9089</v>
      </c>
      <c r="F17" s="25">
        <f>'Daily Meter Reading'!E18</f>
        <v>3270</v>
      </c>
      <c r="G17" s="24">
        <f>'Daily Meter Reading'!G18</f>
        <v>1667</v>
      </c>
      <c r="H17" s="26">
        <f>'Daily Meter Reading'!I18</f>
        <v>6894</v>
      </c>
      <c r="I17" s="25">
        <f>'Daily Meter Reading'!K18</f>
        <v>19</v>
      </c>
      <c r="J17" s="25">
        <f>'Daily Meter Reading'!M18</f>
        <v>0</v>
      </c>
      <c r="K17" s="25">
        <f>'Daily Meter Reading'!O18</f>
        <v>0</v>
      </c>
      <c r="L17" s="25">
        <f>'Daily Meter Reading'!Q18</f>
        <v>190</v>
      </c>
      <c r="M17" s="32">
        <v>17</v>
      </c>
    </row>
    <row r="18" spans="1:13" x14ac:dyDescent="0.25">
      <c r="A18" t="s">
        <v>24</v>
      </c>
      <c r="B18">
        <v>17</v>
      </c>
      <c r="C18" s="23">
        <v>8</v>
      </c>
      <c r="D18" s="23">
        <v>2021</v>
      </c>
      <c r="E18" s="24">
        <f>'Daily Meter Reading'!C19</f>
        <v>9274</v>
      </c>
      <c r="F18" s="25">
        <f>'Daily Meter Reading'!E19</f>
        <v>3777</v>
      </c>
      <c r="G18" s="24">
        <f>'Daily Meter Reading'!G19</f>
        <v>1684</v>
      </c>
      <c r="H18" s="26">
        <f>'Daily Meter Reading'!I19</f>
        <v>7051</v>
      </c>
      <c r="I18" s="25">
        <f>'Daily Meter Reading'!K19</f>
        <v>44</v>
      </c>
      <c r="J18" s="25">
        <f>'Daily Meter Reading'!M19</f>
        <v>0</v>
      </c>
      <c r="K18" s="25">
        <f>'Daily Meter Reading'!O19</f>
        <v>0</v>
      </c>
      <c r="L18" s="25">
        <f>'Daily Meter Reading'!Q19</f>
        <v>331</v>
      </c>
      <c r="M18" s="32">
        <v>16</v>
      </c>
    </row>
    <row r="19" spans="1:13" x14ac:dyDescent="0.25">
      <c r="A19" t="s">
        <v>24</v>
      </c>
      <c r="B19">
        <v>18</v>
      </c>
      <c r="C19" s="23">
        <v>8</v>
      </c>
      <c r="D19" s="23">
        <v>2021</v>
      </c>
      <c r="E19" s="24">
        <f>'Daily Meter Reading'!C20</f>
        <v>8687</v>
      </c>
      <c r="F19" s="25">
        <f>'Daily Meter Reading'!E20</f>
        <v>3059</v>
      </c>
      <c r="G19" s="24">
        <f>'Daily Meter Reading'!G20</f>
        <v>1601</v>
      </c>
      <c r="H19" s="26">
        <f>'Daily Meter Reading'!I20</f>
        <v>6212</v>
      </c>
      <c r="I19" s="25">
        <f>'Daily Meter Reading'!K20</f>
        <v>41</v>
      </c>
      <c r="J19" s="25">
        <f>'Daily Meter Reading'!M20</f>
        <v>0</v>
      </c>
      <c r="K19" s="25">
        <f>'Daily Meter Reading'!O20</f>
        <v>0</v>
      </c>
      <c r="L19" s="25">
        <f>'Daily Meter Reading'!Q20</f>
        <v>157</v>
      </c>
      <c r="M19" s="32">
        <v>16</v>
      </c>
    </row>
    <row r="20" spans="1:13" x14ac:dyDescent="0.25">
      <c r="A20" t="s">
        <v>24</v>
      </c>
      <c r="B20">
        <v>19</v>
      </c>
      <c r="C20" s="23">
        <v>8</v>
      </c>
      <c r="D20" s="23">
        <v>2021</v>
      </c>
      <c r="E20" s="24">
        <f>'Daily Meter Reading'!C21</f>
        <v>8800</v>
      </c>
      <c r="F20" s="25">
        <f>'Daily Meter Reading'!E21</f>
        <v>3880</v>
      </c>
      <c r="G20" s="24">
        <f>'Daily Meter Reading'!G21</f>
        <v>1644</v>
      </c>
      <c r="H20" s="26">
        <f>'Daily Meter Reading'!I21</f>
        <v>6429</v>
      </c>
      <c r="I20" s="25">
        <f>'Daily Meter Reading'!K21</f>
        <v>20</v>
      </c>
      <c r="J20" s="25">
        <f>'Daily Meter Reading'!M21</f>
        <v>0</v>
      </c>
      <c r="K20" s="25">
        <f>'Daily Meter Reading'!O21</f>
        <v>0</v>
      </c>
      <c r="L20" s="25">
        <f>'Daily Meter Reading'!Q21</f>
        <v>165</v>
      </c>
      <c r="M20" s="32">
        <v>22</v>
      </c>
    </row>
    <row r="21" spans="1:13" x14ac:dyDescent="0.25">
      <c r="A21" t="s">
        <v>24</v>
      </c>
      <c r="B21">
        <v>20</v>
      </c>
      <c r="C21" s="23">
        <v>8</v>
      </c>
      <c r="D21" s="23">
        <v>2021</v>
      </c>
      <c r="E21" s="24">
        <f>'Daily Meter Reading'!C22</f>
        <v>9410</v>
      </c>
      <c r="F21" s="25">
        <f>'Daily Meter Reading'!E22</f>
        <v>4118</v>
      </c>
      <c r="G21" s="24">
        <f>'Daily Meter Reading'!G22</f>
        <v>1621</v>
      </c>
      <c r="H21" s="26">
        <f>'Daily Meter Reading'!I22</f>
        <v>6378</v>
      </c>
      <c r="I21" s="25">
        <f>'Daily Meter Reading'!K22</f>
        <v>61</v>
      </c>
      <c r="J21" s="25">
        <f>'Daily Meter Reading'!M22</f>
        <v>0</v>
      </c>
      <c r="K21" s="25">
        <f>'Daily Meter Reading'!O22</f>
        <v>0</v>
      </c>
      <c r="L21" s="25">
        <f>'Daily Meter Reading'!Q22</f>
        <v>209</v>
      </c>
      <c r="M21" s="32">
        <v>23</v>
      </c>
    </row>
    <row r="22" spans="1:13" x14ac:dyDescent="0.25">
      <c r="A22" t="s">
        <v>24</v>
      </c>
      <c r="B22">
        <v>21</v>
      </c>
      <c r="C22" s="23">
        <v>8</v>
      </c>
      <c r="D22" s="23">
        <v>2021</v>
      </c>
      <c r="E22" s="24">
        <f>'Daily Meter Reading'!C23</f>
        <v>8874</v>
      </c>
      <c r="F22" s="25">
        <f>'Daily Meter Reading'!E23</f>
        <v>5087</v>
      </c>
      <c r="G22" s="24">
        <f>'Daily Meter Reading'!G23</f>
        <v>1631</v>
      </c>
      <c r="H22" s="26">
        <f>'Daily Meter Reading'!I23</f>
        <v>7040</v>
      </c>
      <c r="I22" s="25">
        <f>'Daily Meter Reading'!K23</f>
        <v>62</v>
      </c>
      <c r="J22" s="25">
        <f>'Daily Meter Reading'!M23</f>
        <v>0</v>
      </c>
      <c r="K22" s="25">
        <f>'Daily Meter Reading'!O23</f>
        <v>0</v>
      </c>
      <c r="L22" s="25">
        <f>'Daily Meter Reading'!Q23</f>
        <v>215</v>
      </c>
      <c r="M22" s="32">
        <v>33</v>
      </c>
    </row>
    <row r="23" spans="1:13" x14ac:dyDescent="0.25">
      <c r="A23" t="s">
        <v>24</v>
      </c>
      <c r="B23">
        <v>22</v>
      </c>
      <c r="C23" s="23">
        <v>8</v>
      </c>
      <c r="D23" s="23">
        <v>2021</v>
      </c>
      <c r="E23" s="24">
        <f>'Daily Meter Reading'!C24</f>
        <v>9131</v>
      </c>
      <c r="F23" s="25">
        <f>'Daily Meter Reading'!E24</f>
        <v>4899</v>
      </c>
      <c r="G23" s="24">
        <f>'Daily Meter Reading'!G24</f>
        <v>1244</v>
      </c>
      <c r="H23" s="26">
        <f>'Daily Meter Reading'!I24</f>
        <v>7136</v>
      </c>
      <c r="I23" s="25">
        <f>'Daily Meter Reading'!K24</f>
        <v>57</v>
      </c>
      <c r="J23" s="25">
        <f>'Daily Meter Reading'!M24</f>
        <v>0</v>
      </c>
      <c r="K23" s="25">
        <f>'Daily Meter Reading'!O24</f>
        <v>0</v>
      </c>
      <c r="L23" s="25">
        <f>'Daily Meter Reading'!Q24</f>
        <v>288</v>
      </c>
      <c r="M23" s="32">
        <v>22</v>
      </c>
    </row>
    <row r="24" spans="1:13" x14ac:dyDescent="0.25">
      <c r="A24" t="s">
        <v>24</v>
      </c>
      <c r="B24">
        <v>23</v>
      </c>
      <c r="C24" s="23">
        <v>8</v>
      </c>
      <c r="D24" s="23">
        <v>2021</v>
      </c>
      <c r="E24" s="24">
        <f>'Daily Meter Reading'!C25</f>
        <v>8667</v>
      </c>
      <c r="F24" s="25">
        <f>'Daily Meter Reading'!E25</f>
        <v>4442</v>
      </c>
      <c r="G24" s="24">
        <f>'Daily Meter Reading'!G25</f>
        <v>24</v>
      </c>
      <c r="H24" s="26">
        <f>'Daily Meter Reading'!I25</f>
        <v>7775</v>
      </c>
      <c r="I24" s="25">
        <f>'Daily Meter Reading'!K25</f>
        <v>71</v>
      </c>
      <c r="J24" s="25">
        <f>'Daily Meter Reading'!M25</f>
        <v>0</v>
      </c>
      <c r="K24" s="25">
        <f>'Daily Meter Reading'!O25</f>
        <v>0</v>
      </c>
      <c r="L24" s="25">
        <f>'Daily Meter Reading'!Q25</f>
        <v>220</v>
      </c>
      <c r="M24" s="32">
        <v>23</v>
      </c>
    </row>
    <row r="25" spans="1:13" x14ac:dyDescent="0.25">
      <c r="A25" t="s">
        <v>24</v>
      </c>
      <c r="B25">
        <v>24</v>
      </c>
      <c r="C25" s="23">
        <v>8</v>
      </c>
      <c r="D25" s="23">
        <v>2021</v>
      </c>
      <c r="E25" s="24">
        <f>'Daily Meter Reading'!C26</f>
        <v>9552</v>
      </c>
      <c r="F25" s="25">
        <f>'Daily Meter Reading'!E26</f>
        <v>4868</v>
      </c>
      <c r="G25" s="24">
        <f>'Daily Meter Reading'!G26</f>
        <v>25</v>
      </c>
      <c r="H25" s="26">
        <f>'Daily Meter Reading'!I26</f>
        <v>8212</v>
      </c>
      <c r="I25" s="25">
        <f>'Daily Meter Reading'!K26</f>
        <v>94</v>
      </c>
      <c r="J25" s="25">
        <f>'Daily Meter Reading'!M26</f>
        <v>0</v>
      </c>
      <c r="K25" s="25">
        <f>'Daily Meter Reading'!O26</f>
        <v>0</v>
      </c>
      <c r="L25" s="25">
        <f>'Daily Meter Reading'!Q26</f>
        <v>173</v>
      </c>
      <c r="M25" s="32">
        <v>21</v>
      </c>
    </row>
    <row r="26" spans="1:13" x14ac:dyDescent="0.25">
      <c r="A26" t="s">
        <v>24</v>
      </c>
      <c r="B26">
        <v>25</v>
      </c>
      <c r="C26" s="23">
        <v>8</v>
      </c>
      <c r="D26" s="23">
        <v>2021</v>
      </c>
      <c r="E26" s="24">
        <f>'Daily Meter Reading'!C27</f>
        <v>9915</v>
      </c>
      <c r="F26" s="25">
        <f>'Daily Meter Reading'!E27</f>
        <v>5330</v>
      </c>
      <c r="G26" s="24">
        <f>'Daily Meter Reading'!G27</f>
        <v>22</v>
      </c>
      <c r="H26" s="26">
        <f>'Daily Meter Reading'!I27</f>
        <v>8743</v>
      </c>
      <c r="I26" s="25">
        <f>'Daily Meter Reading'!K27</f>
        <v>89</v>
      </c>
      <c r="J26" s="25">
        <f>'Daily Meter Reading'!M27</f>
        <v>0</v>
      </c>
      <c r="K26" s="25">
        <f>'Daily Meter Reading'!O27</f>
        <v>0</v>
      </c>
      <c r="L26" s="25">
        <f>'Daily Meter Reading'!Q27</f>
        <v>262</v>
      </c>
      <c r="M26" s="32">
        <v>21</v>
      </c>
    </row>
    <row r="27" spans="1:13" x14ac:dyDescent="0.25">
      <c r="A27" t="s">
        <v>24</v>
      </c>
      <c r="B27">
        <v>26</v>
      </c>
      <c r="C27" s="23">
        <v>8</v>
      </c>
      <c r="D27" s="23">
        <v>2021</v>
      </c>
      <c r="E27" s="24">
        <f>'Daily Meter Reading'!C28</f>
        <v>9930</v>
      </c>
      <c r="F27" s="25">
        <f>'Daily Meter Reading'!E28</f>
        <v>5126</v>
      </c>
      <c r="G27" s="24">
        <f>'Daily Meter Reading'!G28</f>
        <v>24</v>
      </c>
      <c r="H27" s="26">
        <f>'Daily Meter Reading'!I28</f>
        <v>8196</v>
      </c>
      <c r="I27" s="25">
        <f>'Daily Meter Reading'!K28</f>
        <v>85</v>
      </c>
      <c r="J27" s="25">
        <f>'Daily Meter Reading'!M28</f>
        <v>0</v>
      </c>
      <c r="K27" s="25">
        <f>'Daily Meter Reading'!O28</f>
        <v>0</v>
      </c>
      <c r="L27" s="25">
        <f>'Daily Meter Reading'!Q28</f>
        <v>275</v>
      </c>
      <c r="M27" s="32">
        <v>19</v>
      </c>
    </row>
    <row r="28" spans="1:13" x14ac:dyDescent="0.25">
      <c r="A28" t="s">
        <v>24</v>
      </c>
      <c r="B28">
        <v>27</v>
      </c>
      <c r="C28" s="23">
        <v>8</v>
      </c>
      <c r="D28" s="23">
        <v>2021</v>
      </c>
      <c r="E28" s="24">
        <f>'Daily Meter Reading'!C29</f>
        <v>9543</v>
      </c>
      <c r="F28" s="25">
        <f>'Daily Meter Reading'!E29</f>
        <v>5102</v>
      </c>
      <c r="G28" s="24">
        <f>'Daily Meter Reading'!G29</f>
        <v>21</v>
      </c>
      <c r="H28" s="26">
        <f>'Daily Meter Reading'!I29</f>
        <v>8052</v>
      </c>
      <c r="I28" s="25">
        <f>'Daily Meter Reading'!K29</f>
        <v>82</v>
      </c>
      <c r="J28" s="25">
        <f>'Daily Meter Reading'!M29</f>
        <v>0</v>
      </c>
      <c r="K28" s="25">
        <f>'Daily Meter Reading'!O29</f>
        <v>0</v>
      </c>
      <c r="L28" s="25">
        <f>'Daily Meter Reading'!Q29</f>
        <v>225</v>
      </c>
      <c r="M28" s="32">
        <v>21</v>
      </c>
    </row>
    <row r="29" spans="1:13" x14ac:dyDescent="0.25">
      <c r="A29" t="s">
        <v>24</v>
      </c>
      <c r="B29">
        <v>28</v>
      </c>
      <c r="C29" s="23">
        <v>8</v>
      </c>
      <c r="D29" s="23">
        <v>2021</v>
      </c>
      <c r="E29" s="24">
        <f>'Daily Meter Reading'!C30</f>
        <v>9583</v>
      </c>
      <c r="F29" s="25">
        <f>'Daily Meter Reading'!E30</f>
        <v>5683</v>
      </c>
      <c r="G29" s="24">
        <f>'Daily Meter Reading'!G30</f>
        <v>21</v>
      </c>
      <c r="H29" s="26">
        <f>'Daily Meter Reading'!I30</f>
        <v>8364</v>
      </c>
      <c r="I29" s="25">
        <f>'Daily Meter Reading'!K30</f>
        <v>125</v>
      </c>
      <c r="J29" s="25">
        <f>'Daily Meter Reading'!M30</f>
        <v>0</v>
      </c>
      <c r="K29" s="25">
        <f>'Daily Meter Reading'!O30</f>
        <v>0</v>
      </c>
      <c r="L29" s="25">
        <f>'Daily Meter Reading'!Q30</f>
        <v>212</v>
      </c>
      <c r="M29" s="32">
        <v>26</v>
      </c>
    </row>
    <row r="30" spans="1:13" x14ac:dyDescent="0.25">
      <c r="A30" t="s">
        <v>24</v>
      </c>
      <c r="B30">
        <v>29</v>
      </c>
      <c r="C30" s="23">
        <v>8</v>
      </c>
      <c r="D30" s="23">
        <v>2021</v>
      </c>
      <c r="E30" s="24">
        <f>'Daily Meter Reading'!C31</f>
        <v>10122</v>
      </c>
      <c r="F30" s="25">
        <f>'Daily Meter Reading'!E31</f>
        <v>5910</v>
      </c>
      <c r="G30" s="24">
        <f>'Daily Meter Reading'!G31</f>
        <v>737</v>
      </c>
      <c r="H30" s="26">
        <f>'Daily Meter Reading'!I31</f>
        <v>8060</v>
      </c>
      <c r="I30" s="25">
        <f>'Daily Meter Reading'!K31</f>
        <v>123</v>
      </c>
      <c r="J30" s="25">
        <f>'Daily Meter Reading'!M31</f>
        <v>0</v>
      </c>
      <c r="K30" s="25">
        <f>'Daily Meter Reading'!O31</f>
        <v>0</v>
      </c>
      <c r="L30" s="25">
        <f>'Daily Meter Reading'!Q31</f>
        <v>242</v>
      </c>
      <c r="M30" s="32">
        <v>18</v>
      </c>
    </row>
    <row r="31" spans="1:13" x14ac:dyDescent="0.25">
      <c r="A31" t="s">
        <v>24</v>
      </c>
      <c r="B31">
        <v>30</v>
      </c>
      <c r="C31" s="23">
        <v>8</v>
      </c>
      <c r="D31" s="23">
        <v>2021</v>
      </c>
      <c r="E31" s="24">
        <f>'Daily Meter Reading'!C32</f>
        <v>8449</v>
      </c>
      <c r="F31" s="25">
        <f>'Daily Meter Reading'!E32</f>
        <v>4543</v>
      </c>
      <c r="G31" s="24">
        <f>'Daily Meter Reading'!G32</f>
        <v>1932</v>
      </c>
      <c r="H31" s="26">
        <f>'Daily Meter Reading'!I32</f>
        <v>5352</v>
      </c>
      <c r="I31" s="25">
        <f>'Daily Meter Reading'!K32</f>
        <v>113</v>
      </c>
      <c r="J31" s="25">
        <f>'Daily Meter Reading'!M32</f>
        <v>0</v>
      </c>
      <c r="K31" s="25">
        <f>'Daily Meter Reading'!O32</f>
        <v>0</v>
      </c>
      <c r="L31" s="25">
        <f>'Daily Meter Reading'!Q32</f>
        <v>158</v>
      </c>
      <c r="M31" s="32">
        <v>17</v>
      </c>
    </row>
    <row r="32" spans="1:13" x14ac:dyDescent="0.25">
      <c r="A32" t="s">
        <v>24</v>
      </c>
      <c r="B32">
        <v>31</v>
      </c>
      <c r="C32" s="23">
        <v>8</v>
      </c>
      <c r="D32" s="23">
        <v>2021</v>
      </c>
      <c r="E32" s="24">
        <f>'Daily Meter Reading'!C33</f>
        <v>10203</v>
      </c>
      <c r="F32" s="25">
        <f>'Daily Meter Reading'!E33</f>
        <v>6206</v>
      </c>
      <c r="G32" s="24">
        <f>'Daily Meter Reading'!G33</f>
        <v>5585</v>
      </c>
      <c r="H32" s="26">
        <f>'Daily Meter Reading'!I33</f>
        <v>3532</v>
      </c>
      <c r="I32" s="25">
        <f>'Daily Meter Reading'!K33</f>
        <v>115</v>
      </c>
      <c r="J32" s="25">
        <f>'Daily Meter Reading'!M33</f>
        <v>0</v>
      </c>
      <c r="K32" s="25">
        <f>'Daily Meter Reading'!O33</f>
        <v>0</v>
      </c>
      <c r="L32" s="25">
        <f>'Daily Meter Reading'!Q33</f>
        <v>294</v>
      </c>
      <c r="M32" s="32">
        <v>18</v>
      </c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J43" sqref="J43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6" t="s">
        <v>0</v>
      </c>
      <c r="C1" s="37"/>
      <c r="D1" s="38" t="s">
        <v>1</v>
      </c>
      <c r="E1" s="39"/>
      <c r="F1" s="38" t="s">
        <v>2</v>
      </c>
      <c r="G1" s="39"/>
      <c r="H1" s="36" t="s">
        <v>3</v>
      </c>
      <c r="I1" s="37"/>
      <c r="J1" s="34" t="s">
        <v>4</v>
      </c>
      <c r="K1" s="35"/>
      <c r="L1" s="34" t="s">
        <v>5</v>
      </c>
      <c r="M1" s="35"/>
      <c r="N1" s="34" t="s">
        <v>6</v>
      </c>
      <c r="O1" s="35"/>
      <c r="P1" s="36" t="s">
        <v>7</v>
      </c>
      <c r="Q1" s="37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2">
        <v>5282185</v>
      </c>
      <c r="C3" s="10">
        <f t="shared" ref="C3:C33" si="0">B4-B3</f>
        <v>8246</v>
      </c>
      <c r="D3" s="12">
        <v>3266939</v>
      </c>
      <c r="E3" s="10">
        <f t="shared" ref="E3:E33" si="1">D4-D3</f>
        <v>3154</v>
      </c>
      <c r="F3" s="12">
        <v>1459108</v>
      </c>
      <c r="G3" s="10">
        <f t="shared" ref="G3:G33" si="2">F4-F3</f>
        <v>10</v>
      </c>
      <c r="H3" s="12">
        <v>3872327</v>
      </c>
      <c r="I3" s="10">
        <f t="shared" ref="I3:I33" si="3">H4-H3</f>
        <v>6994</v>
      </c>
      <c r="J3" s="12">
        <v>99188</v>
      </c>
      <c r="K3" s="11">
        <f>J4-J3</f>
        <v>19</v>
      </c>
      <c r="L3" s="12">
        <v>14194</v>
      </c>
      <c r="M3" s="11">
        <f>L4-L3</f>
        <v>0</v>
      </c>
      <c r="N3" s="12">
        <v>138161</v>
      </c>
      <c r="O3" s="11">
        <f>N4-N3</f>
        <v>0</v>
      </c>
      <c r="P3" s="12">
        <v>328489</v>
      </c>
      <c r="Q3" s="13">
        <f>P4-P3</f>
        <v>236</v>
      </c>
    </row>
    <row r="4" spans="1:17" ht="18" x14ac:dyDescent="0.25">
      <c r="A4" s="9">
        <v>2</v>
      </c>
      <c r="B4" s="12">
        <v>5290431</v>
      </c>
      <c r="C4" s="10">
        <f t="shared" si="0"/>
        <v>8246</v>
      </c>
      <c r="D4" s="12">
        <v>3270093</v>
      </c>
      <c r="E4" s="10">
        <f t="shared" si="1"/>
        <v>3155</v>
      </c>
      <c r="F4" s="12">
        <v>1459118</v>
      </c>
      <c r="G4" s="10">
        <f t="shared" si="2"/>
        <v>11</v>
      </c>
      <c r="H4" s="12">
        <v>3879321</v>
      </c>
      <c r="I4" s="10">
        <f t="shared" si="3"/>
        <v>6995</v>
      </c>
      <c r="J4" s="12">
        <v>99207</v>
      </c>
      <c r="K4" s="11">
        <f>J5-J4</f>
        <v>20</v>
      </c>
      <c r="L4" s="12">
        <v>14194</v>
      </c>
      <c r="M4" s="11">
        <f t="shared" ref="M4:M31" si="4">L5-L4</f>
        <v>0</v>
      </c>
      <c r="N4" s="12">
        <v>138161</v>
      </c>
      <c r="O4" s="11">
        <f t="shared" ref="O4:O31" si="5">N5-N4</f>
        <v>0</v>
      </c>
      <c r="P4" s="12">
        <v>328725</v>
      </c>
      <c r="Q4" s="13">
        <f t="shared" ref="Q4:Q31" si="6">P5-P4</f>
        <v>236</v>
      </c>
    </row>
    <row r="5" spans="1:17" ht="18" x14ac:dyDescent="0.25">
      <c r="A5" s="9">
        <v>3</v>
      </c>
      <c r="B5" s="12">
        <v>5298677</v>
      </c>
      <c r="C5" s="10">
        <f t="shared" si="0"/>
        <v>8553</v>
      </c>
      <c r="D5" s="12">
        <v>3273248</v>
      </c>
      <c r="E5" s="10">
        <f t="shared" si="1"/>
        <v>3582</v>
      </c>
      <c r="F5" s="12">
        <v>1459129</v>
      </c>
      <c r="G5" s="10">
        <f t="shared" si="2"/>
        <v>23</v>
      </c>
      <c r="H5" s="12">
        <v>3886316</v>
      </c>
      <c r="I5" s="10">
        <f t="shared" si="3"/>
        <v>6960</v>
      </c>
      <c r="J5" s="12">
        <v>99227</v>
      </c>
      <c r="K5" s="11">
        <f>J6-J5</f>
        <v>14</v>
      </c>
      <c r="L5" s="12">
        <v>14194</v>
      </c>
      <c r="M5" s="11">
        <f t="shared" si="4"/>
        <v>0</v>
      </c>
      <c r="N5" s="12">
        <v>138161</v>
      </c>
      <c r="O5" s="11">
        <f t="shared" si="5"/>
        <v>0</v>
      </c>
      <c r="P5" s="12">
        <v>328961</v>
      </c>
      <c r="Q5" s="13">
        <f t="shared" si="6"/>
        <v>239</v>
      </c>
    </row>
    <row r="6" spans="1:17" ht="18" x14ac:dyDescent="0.25">
      <c r="A6" s="9">
        <v>4</v>
      </c>
      <c r="B6" s="12">
        <v>5307230</v>
      </c>
      <c r="C6" s="10">
        <f t="shared" si="0"/>
        <v>8631</v>
      </c>
      <c r="D6" s="12">
        <v>3276830</v>
      </c>
      <c r="E6" s="10">
        <f t="shared" si="1"/>
        <v>3181</v>
      </c>
      <c r="F6" s="12">
        <v>1459152</v>
      </c>
      <c r="G6" s="10">
        <f t="shared" si="2"/>
        <v>2919</v>
      </c>
      <c r="H6" s="12">
        <v>3893276</v>
      </c>
      <c r="I6" s="10">
        <f t="shared" si="3"/>
        <v>4226</v>
      </c>
      <c r="J6" s="12">
        <v>99241</v>
      </c>
      <c r="K6" s="11">
        <f>J7-J6</f>
        <v>21</v>
      </c>
      <c r="L6" s="12">
        <v>14194</v>
      </c>
      <c r="M6" s="11">
        <f t="shared" si="4"/>
        <v>0</v>
      </c>
      <c r="N6" s="12">
        <v>138161</v>
      </c>
      <c r="O6" s="11">
        <f t="shared" si="5"/>
        <v>0</v>
      </c>
      <c r="P6" s="12">
        <v>329200</v>
      </c>
      <c r="Q6" s="13">
        <f t="shared" si="6"/>
        <v>200</v>
      </c>
    </row>
    <row r="7" spans="1:17" ht="18" x14ac:dyDescent="0.25">
      <c r="A7" s="14">
        <v>5</v>
      </c>
      <c r="B7" s="12">
        <v>5315861</v>
      </c>
      <c r="C7" s="10">
        <f t="shared" si="0"/>
        <v>7892</v>
      </c>
      <c r="D7" s="12">
        <v>3280011</v>
      </c>
      <c r="E7" s="10">
        <f t="shared" si="1"/>
        <v>2978</v>
      </c>
      <c r="F7" s="12">
        <v>1462071</v>
      </c>
      <c r="G7" s="10">
        <f t="shared" si="2"/>
        <v>5783</v>
      </c>
      <c r="H7" s="12">
        <v>3897502</v>
      </c>
      <c r="I7" s="10">
        <f t="shared" si="3"/>
        <v>1222</v>
      </c>
      <c r="J7" s="12">
        <v>99262</v>
      </c>
      <c r="K7" s="11">
        <f t="shared" ref="K7:K20" si="7">SUM(J8-J7)</f>
        <v>20</v>
      </c>
      <c r="L7" s="12">
        <v>14194</v>
      </c>
      <c r="M7" s="11">
        <f t="shared" si="4"/>
        <v>0</v>
      </c>
      <c r="N7" s="12">
        <v>138161</v>
      </c>
      <c r="O7" s="11">
        <f t="shared" si="5"/>
        <v>0</v>
      </c>
      <c r="P7" s="12">
        <v>329400</v>
      </c>
      <c r="Q7" s="13">
        <f t="shared" si="6"/>
        <v>168</v>
      </c>
    </row>
    <row r="8" spans="1:17" ht="18" x14ac:dyDescent="0.25">
      <c r="A8" s="14">
        <v>6</v>
      </c>
      <c r="B8" s="12">
        <v>5323753</v>
      </c>
      <c r="C8" s="10">
        <f t="shared" si="0"/>
        <v>8922</v>
      </c>
      <c r="D8" s="12">
        <v>3282989</v>
      </c>
      <c r="E8" s="10">
        <f t="shared" si="1"/>
        <v>3298</v>
      </c>
      <c r="F8" s="12">
        <v>1467854</v>
      </c>
      <c r="G8" s="10">
        <f t="shared" si="2"/>
        <v>6694</v>
      </c>
      <c r="H8" s="12">
        <v>3898724</v>
      </c>
      <c r="I8" s="10">
        <f t="shared" si="3"/>
        <v>1369</v>
      </c>
      <c r="J8" s="12">
        <v>99282</v>
      </c>
      <c r="K8" s="11">
        <f t="shared" si="7"/>
        <v>24</v>
      </c>
      <c r="L8" s="12">
        <v>14194</v>
      </c>
      <c r="M8" s="11">
        <f t="shared" si="4"/>
        <v>0</v>
      </c>
      <c r="N8" s="12">
        <v>138161</v>
      </c>
      <c r="O8" s="11">
        <f t="shared" si="5"/>
        <v>0</v>
      </c>
      <c r="P8" s="12">
        <v>329568</v>
      </c>
      <c r="Q8" s="13">
        <f t="shared" si="6"/>
        <v>141</v>
      </c>
    </row>
    <row r="9" spans="1:17" ht="18" x14ac:dyDescent="0.25">
      <c r="A9" s="14">
        <v>7</v>
      </c>
      <c r="B9" s="12">
        <v>5332675</v>
      </c>
      <c r="C9" s="10">
        <f t="shared" si="0"/>
        <v>8797</v>
      </c>
      <c r="D9" s="12">
        <v>3286287</v>
      </c>
      <c r="E9" s="10">
        <f t="shared" si="1"/>
        <v>3893</v>
      </c>
      <c r="F9" s="12">
        <v>1474548</v>
      </c>
      <c r="G9" s="10">
        <f t="shared" si="2"/>
        <v>3231</v>
      </c>
      <c r="H9" s="12">
        <v>3900093</v>
      </c>
      <c r="I9" s="10">
        <f t="shared" si="3"/>
        <v>5156</v>
      </c>
      <c r="J9" s="12">
        <v>99306</v>
      </c>
      <c r="K9" s="11">
        <f t="shared" si="7"/>
        <v>51</v>
      </c>
      <c r="L9" s="12">
        <v>14194</v>
      </c>
      <c r="M9" s="11">
        <f t="shared" si="4"/>
        <v>0</v>
      </c>
      <c r="N9" s="12">
        <v>138161</v>
      </c>
      <c r="O9" s="11">
        <f t="shared" si="5"/>
        <v>0</v>
      </c>
      <c r="P9" s="12">
        <v>329709</v>
      </c>
      <c r="Q9" s="13">
        <f t="shared" si="6"/>
        <v>285</v>
      </c>
    </row>
    <row r="10" spans="1:17" ht="18" x14ac:dyDescent="0.25">
      <c r="A10" s="14">
        <v>8</v>
      </c>
      <c r="B10" s="12">
        <v>5341472</v>
      </c>
      <c r="C10" s="10">
        <f t="shared" si="0"/>
        <v>8462</v>
      </c>
      <c r="D10" s="12">
        <v>3290180</v>
      </c>
      <c r="E10" s="10">
        <f t="shared" si="1"/>
        <v>2859</v>
      </c>
      <c r="F10" s="12">
        <v>1477779</v>
      </c>
      <c r="G10" s="10">
        <f t="shared" si="2"/>
        <v>2136</v>
      </c>
      <c r="H10" s="12">
        <v>3905249</v>
      </c>
      <c r="I10" s="10">
        <f t="shared" si="3"/>
        <v>6070</v>
      </c>
      <c r="J10" s="12">
        <v>99357</v>
      </c>
      <c r="K10" s="11">
        <f t="shared" si="7"/>
        <v>20</v>
      </c>
      <c r="L10" s="12">
        <v>14194</v>
      </c>
      <c r="M10" s="11">
        <f t="shared" si="4"/>
        <v>0</v>
      </c>
      <c r="N10" s="12">
        <v>138161</v>
      </c>
      <c r="O10" s="11">
        <f t="shared" si="5"/>
        <v>0</v>
      </c>
      <c r="P10" s="12">
        <v>329994</v>
      </c>
      <c r="Q10" s="13">
        <f t="shared" si="6"/>
        <v>309</v>
      </c>
    </row>
    <row r="11" spans="1:17" ht="18" x14ac:dyDescent="0.25">
      <c r="A11" s="14">
        <v>9</v>
      </c>
      <c r="B11" s="12">
        <v>5349934</v>
      </c>
      <c r="C11" s="10">
        <f t="shared" si="0"/>
        <v>8537</v>
      </c>
      <c r="D11" s="12">
        <v>3293039</v>
      </c>
      <c r="E11" s="10">
        <f t="shared" si="1"/>
        <v>3097</v>
      </c>
      <c r="F11" s="12">
        <v>1479915</v>
      </c>
      <c r="G11" s="10">
        <f t="shared" si="2"/>
        <v>2364</v>
      </c>
      <c r="H11" s="12">
        <v>3911319</v>
      </c>
      <c r="I11" s="10">
        <f t="shared" si="3"/>
        <v>6584</v>
      </c>
      <c r="J11" s="12">
        <v>99377</v>
      </c>
      <c r="K11" s="11">
        <f t="shared" si="7"/>
        <v>32</v>
      </c>
      <c r="L11" s="12">
        <v>14194</v>
      </c>
      <c r="M11" s="11">
        <f t="shared" si="4"/>
        <v>0</v>
      </c>
      <c r="N11" s="12">
        <v>138161</v>
      </c>
      <c r="O11" s="11">
        <f t="shared" si="5"/>
        <v>0</v>
      </c>
      <c r="P11" s="12">
        <v>330303</v>
      </c>
      <c r="Q11" s="13">
        <f t="shared" si="6"/>
        <v>113</v>
      </c>
    </row>
    <row r="12" spans="1:17" ht="18" x14ac:dyDescent="0.25">
      <c r="A12" s="15">
        <v>10</v>
      </c>
      <c r="B12" s="12">
        <v>5358471</v>
      </c>
      <c r="C12" s="10">
        <f t="shared" si="0"/>
        <v>8528</v>
      </c>
      <c r="D12" s="12">
        <v>3296136</v>
      </c>
      <c r="E12" s="10">
        <f t="shared" si="1"/>
        <v>3271</v>
      </c>
      <c r="F12" s="12">
        <v>1482279</v>
      </c>
      <c r="G12" s="10">
        <f t="shared" si="2"/>
        <v>2302</v>
      </c>
      <c r="H12" s="12">
        <v>3917903</v>
      </c>
      <c r="I12" s="10">
        <f t="shared" si="3"/>
        <v>6453</v>
      </c>
      <c r="J12" s="12">
        <v>99409</v>
      </c>
      <c r="K12" s="11">
        <f t="shared" si="7"/>
        <v>32</v>
      </c>
      <c r="L12" s="12">
        <v>14194</v>
      </c>
      <c r="M12" s="11">
        <f t="shared" si="4"/>
        <v>0</v>
      </c>
      <c r="N12" s="12">
        <v>138161</v>
      </c>
      <c r="O12" s="11">
        <f t="shared" si="5"/>
        <v>0</v>
      </c>
      <c r="P12" s="12">
        <v>330416</v>
      </c>
      <c r="Q12" s="13">
        <f t="shared" si="6"/>
        <v>209</v>
      </c>
    </row>
    <row r="13" spans="1:17" ht="18" x14ac:dyDescent="0.25">
      <c r="A13" s="15">
        <v>11</v>
      </c>
      <c r="B13" s="12">
        <v>5366999</v>
      </c>
      <c r="C13" s="10">
        <f t="shared" si="0"/>
        <v>8717</v>
      </c>
      <c r="D13" s="12">
        <v>3299407</v>
      </c>
      <c r="E13" s="10">
        <f t="shared" si="1"/>
        <v>3188</v>
      </c>
      <c r="F13" s="12">
        <v>1484581</v>
      </c>
      <c r="G13" s="10">
        <f t="shared" si="2"/>
        <v>2490</v>
      </c>
      <c r="H13" s="12">
        <v>3924356</v>
      </c>
      <c r="I13" s="10">
        <f t="shared" si="3"/>
        <v>6568</v>
      </c>
      <c r="J13" s="12">
        <v>99441</v>
      </c>
      <c r="K13" s="11">
        <f t="shared" si="7"/>
        <v>32</v>
      </c>
      <c r="L13" s="12">
        <v>14194</v>
      </c>
      <c r="M13" s="11">
        <f t="shared" si="4"/>
        <v>0</v>
      </c>
      <c r="N13" s="12">
        <v>138161</v>
      </c>
      <c r="O13" s="11">
        <f t="shared" si="5"/>
        <v>0</v>
      </c>
      <c r="P13" s="12">
        <v>330625</v>
      </c>
      <c r="Q13" s="13">
        <f t="shared" si="6"/>
        <v>227</v>
      </c>
    </row>
    <row r="14" spans="1:17" ht="18" x14ac:dyDescent="0.25">
      <c r="A14" s="15">
        <v>12</v>
      </c>
      <c r="B14" s="12">
        <v>5375716</v>
      </c>
      <c r="C14" s="10">
        <f t="shared" si="0"/>
        <v>8825</v>
      </c>
      <c r="D14" s="12">
        <v>3302595</v>
      </c>
      <c r="E14" s="10">
        <f t="shared" si="1"/>
        <v>3366</v>
      </c>
      <c r="F14" s="12">
        <v>1487071</v>
      </c>
      <c r="G14" s="10">
        <f t="shared" si="2"/>
        <v>2264</v>
      </c>
      <c r="H14" s="12">
        <v>3930924</v>
      </c>
      <c r="I14" s="10">
        <f t="shared" si="3"/>
        <v>6348</v>
      </c>
      <c r="J14" s="12">
        <v>99473</v>
      </c>
      <c r="K14" s="11">
        <f t="shared" si="7"/>
        <v>31</v>
      </c>
      <c r="L14" s="12">
        <v>14194</v>
      </c>
      <c r="M14" s="11">
        <f t="shared" si="4"/>
        <v>0</v>
      </c>
      <c r="N14" s="12">
        <v>138161</v>
      </c>
      <c r="O14" s="11">
        <f t="shared" si="5"/>
        <v>0</v>
      </c>
      <c r="P14" s="12">
        <v>330852</v>
      </c>
      <c r="Q14" s="13">
        <f t="shared" si="6"/>
        <v>227</v>
      </c>
    </row>
    <row r="15" spans="1:17" ht="18" x14ac:dyDescent="0.25">
      <c r="A15" s="9">
        <v>13</v>
      </c>
      <c r="B15" s="12">
        <v>5384541</v>
      </c>
      <c r="C15" s="10">
        <f t="shared" si="0"/>
        <v>8910</v>
      </c>
      <c r="D15" s="12">
        <v>3305961</v>
      </c>
      <c r="E15" s="10">
        <f t="shared" si="1"/>
        <v>3075</v>
      </c>
      <c r="F15" s="12">
        <v>1489335</v>
      </c>
      <c r="G15" s="10">
        <f t="shared" si="2"/>
        <v>2161</v>
      </c>
      <c r="H15" s="12">
        <v>3937272</v>
      </c>
      <c r="I15" s="10">
        <f t="shared" si="3"/>
        <v>5989</v>
      </c>
      <c r="J15" s="12">
        <v>99504</v>
      </c>
      <c r="K15" s="11">
        <f t="shared" si="7"/>
        <v>10</v>
      </c>
      <c r="L15" s="12">
        <v>14194</v>
      </c>
      <c r="M15" s="11">
        <f t="shared" si="4"/>
        <v>0</v>
      </c>
      <c r="N15" s="12">
        <v>138161</v>
      </c>
      <c r="O15" s="11">
        <f t="shared" si="5"/>
        <v>0</v>
      </c>
      <c r="P15" s="12">
        <v>331079</v>
      </c>
      <c r="Q15" s="13">
        <f t="shared" si="6"/>
        <v>268</v>
      </c>
    </row>
    <row r="16" spans="1:17" ht="18" x14ac:dyDescent="0.25">
      <c r="A16" s="9">
        <v>14</v>
      </c>
      <c r="B16" s="12">
        <v>5393451</v>
      </c>
      <c r="C16" s="10">
        <f t="shared" si="0"/>
        <v>8984</v>
      </c>
      <c r="D16" s="12">
        <v>3309036</v>
      </c>
      <c r="E16" s="10">
        <f t="shared" si="1"/>
        <v>4174</v>
      </c>
      <c r="F16" s="12">
        <v>1491496</v>
      </c>
      <c r="G16" s="10">
        <f t="shared" si="2"/>
        <v>2319</v>
      </c>
      <c r="H16" s="12">
        <v>3943261</v>
      </c>
      <c r="I16" s="10">
        <f t="shared" si="3"/>
        <v>6604</v>
      </c>
      <c r="J16" s="12">
        <v>99514</v>
      </c>
      <c r="K16" s="11">
        <f t="shared" si="7"/>
        <v>17</v>
      </c>
      <c r="L16" s="12">
        <v>14194</v>
      </c>
      <c r="M16" s="11">
        <f t="shared" si="4"/>
        <v>0</v>
      </c>
      <c r="N16" s="12">
        <v>138161</v>
      </c>
      <c r="O16" s="11">
        <f t="shared" si="5"/>
        <v>0</v>
      </c>
      <c r="P16" s="12">
        <v>331347</v>
      </c>
      <c r="Q16" s="13">
        <f t="shared" si="6"/>
        <v>217</v>
      </c>
    </row>
    <row r="17" spans="1:17" ht="18" x14ac:dyDescent="0.25">
      <c r="A17" s="9">
        <v>15</v>
      </c>
      <c r="B17" s="12">
        <v>5402435</v>
      </c>
      <c r="C17" s="10">
        <f t="shared" si="0"/>
        <v>9137</v>
      </c>
      <c r="D17" s="12">
        <v>3313210</v>
      </c>
      <c r="E17" s="10">
        <f t="shared" si="1"/>
        <v>3019</v>
      </c>
      <c r="F17" s="12">
        <v>1493815</v>
      </c>
      <c r="G17" s="10">
        <f t="shared" si="2"/>
        <v>2150</v>
      </c>
      <c r="H17" s="12">
        <v>3949865</v>
      </c>
      <c r="I17" s="10">
        <f t="shared" si="3"/>
        <v>6111</v>
      </c>
      <c r="J17" s="12">
        <v>99531</v>
      </c>
      <c r="K17" s="11">
        <f t="shared" si="7"/>
        <v>21</v>
      </c>
      <c r="L17" s="12">
        <v>14194</v>
      </c>
      <c r="M17" s="11">
        <f t="shared" si="4"/>
        <v>0</v>
      </c>
      <c r="N17" s="12">
        <v>138161</v>
      </c>
      <c r="O17" s="11">
        <f t="shared" si="5"/>
        <v>0</v>
      </c>
      <c r="P17" s="12">
        <v>331564</v>
      </c>
      <c r="Q17" s="13">
        <f t="shared" si="6"/>
        <v>283</v>
      </c>
    </row>
    <row r="18" spans="1:17" ht="18" x14ac:dyDescent="0.25">
      <c r="A18" s="9">
        <v>16</v>
      </c>
      <c r="B18" s="12">
        <v>5411572</v>
      </c>
      <c r="C18" s="10">
        <f t="shared" si="0"/>
        <v>9089</v>
      </c>
      <c r="D18" s="12">
        <v>3316229</v>
      </c>
      <c r="E18" s="10">
        <f t="shared" si="1"/>
        <v>3270</v>
      </c>
      <c r="F18" s="12">
        <v>1495965</v>
      </c>
      <c r="G18" s="10">
        <f t="shared" si="2"/>
        <v>1667</v>
      </c>
      <c r="H18" s="12">
        <v>3955976</v>
      </c>
      <c r="I18" s="10">
        <f t="shared" si="3"/>
        <v>6894</v>
      </c>
      <c r="J18" s="12">
        <v>99552</v>
      </c>
      <c r="K18" s="11">
        <f t="shared" si="7"/>
        <v>19</v>
      </c>
      <c r="L18" s="12">
        <v>14194</v>
      </c>
      <c r="M18" s="11">
        <f t="shared" si="4"/>
        <v>0</v>
      </c>
      <c r="N18" s="12">
        <v>138161</v>
      </c>
      <c r="O18" s="11">
        <f t="shared" si="5"/>
        <v>0</v>
      </c>
      <c r="P18" s="12">
        <v>331847</v>
      </c>
      <c r="Q18" s="13">
        <f t="shared" si="6"/>
        <v>190</v>
      </c>
    </row>
    <row r="19" spans="1:17" ht="18" x14ac:dyDescent="0.25">
      <c r="A19" s="9">
        <v>17</v>
      </c>
      <c r="B19" s="12">
        <v>5420661</v>
      </c>
      <c r="C19" s="10">
        <f t="shared" si="0"/>
        <v>9274</v>
      </c>
      <c r="D19" s="12">
        <v>3319499</v>
      </c>
      <c r="E19" s="10">
        <f t="shared" si="1"/>
        <v>3777</v>
      </c>
      <c r="F19" s="12">
        <v>1497632</v>
      </c>
      <c r="G19" s="10">
        <f t="shared" si="2"/>
        <v>1684</v>
      </c>
      <c r="H19" s="12">
        <v>3962870</v>
      </c>
      <c r="I19" s="10">
        <f t="shared" si="3"/>
        <v>7051</v>
      </c>
      <c r="J19" s="12">
        <v>99571</v>
      </c>
      <c r="K19" s="11">
        <f t="shared" si="7"/>
        <v>44</v>
      </c>
      <c r="L19" s="12">
        <v>14194</v>
      </c>
      <c r="M19" s="11">
        <f t="shared" si="4"/>
        <v>0</v>
      </c>
      <c r="N19" s="12">
        <v>138161</v>
      </c>
      <c r="O19" s="11">
        <f t="shared" si="5"/>
        <v>0</v>
      </c>
      <c r="P19" s="12">
        <v>332037</v>
      </c>
      <c r="Q19" s="13">
        <f t="shared" si="6"/>
        <v>331</v>
      </c>
    </row>
    <row r="20" spans="1:17" ht="18" x14ac:dyDescent="0.25">
      <c r="A20" s="9">
        <v>18</v>
      </c>
      <c r="B20" s="12">
        <v>5429935</v>
      </c>
      <c r="C20" s="10">
        <f t="shared" si="0"/>
        <v>8687</v>
      </c>
      <c r="D20" s="12">
        <v>3323276</v>
      </c>
      <c r="E20" s="10">
        <f t="shared" si="1"/>
        <v>3059</v>
      </c>
      <c r="F20" s="12">
        <v>1499316</v>
      </c>
      <c r="G20" s="10">
        <f t="shared" si="2"/>
        <v>1601</v>
      </c>
      <c r="H20" s="12">
        <v>3969921</v>
      </c>
      <c r="I20" s="10">
        <f t="shared" si="3"/>
        <v>6212</v>
      </c>
      <c r="J20" s="12">
        <v>99615</v>
      </c>
      <c r="K20" s="11">
        <f t="shared" si="7"/>
        <v>41</v>
      </c>
      <c r="L20" s="12">
        <v>14194</v>
      </c>
      <c r="M20" s="11">
        <f t="shared" si="4"/>
        <v>0</v>
      </c>
      <c r="N20" s="12">
        <v>138161</v>
      </c>
      <c r="O20" s="11">
        <f t="shared" si="5"/>
        <v>0</v>
      </c>
      <c r="P20" s="12">
        <v>332368</v>
      </c>
      <c r="Q20" s="13">
        <f t="shared" si="6"/>
        <v>157</v>
      </c>
    </row>
    <row r="21" spans="1:17" ht="18" x14ac:dyDescent="0.25">
      <c r="A21" s="9">
        <v>19</v>
      </c>
      <c r="B21" s="12">
        <v>5438622</v>
      </c>
      <c r="C21" s="10">
        <f t="shared" si="0"/>
        <v>8800</v>
      </c>
      <c r="D21" s="12">
        <v>3326335</v>
      </c>
      <c r="E21" s="10">
        <f t="shared" si="1"/>
        <v>3880</v>
      </c>
      <c r="F21" s="12">
        <v>1500917</v>
      </c>
      <c r="G21" s="10">
        <f t="shared" si="2"/>
        <v>1644</v>
      </c>
      <c r="H21" s="12">
        <v>3976133</v>
      </c>
      <c r="I21" s="10">
        <f t="shared" si="3"/>
        <v>6429</v>
      </c>
      <c r="J21" s="12">
        <v>99656</v>
      </c>
      <c r="K21" s="11">
        <f t="shared" ref="K21:K31" si="8">SUM(J22-J21)</f>
        <v>20</v>
      </c>
      <c r="L21" s="12">
        <v>14194</v>
      </c>
      <c r="M21" s="11">
        <f t="shared" si="4"/>
        <v>0</v>
      </c>
      <c r="N21" s="12">
        <v>138161</v>
      </c>
      <c r="O21" s="11">
        <f t="shared" si="5"/>
        <v>0</v>
      </c>
      <c r="P21" s="12">
        <v>332525</v>
      </c>
      <c r="Q21" s="13">
        <f t="shared" si="6"/>
        <v>165</v>
      </c>
    </row>
    <row r="22" spans="1:17" ht="18" x14ac:dyDescent="0.25">
      <c r="A22" s="9">
        <v>20</v>
      </c>
      <c r="B22" s="12">
        <v>5447422</v>
      </c>
      <c r="C22" s="10">
        <f t="shared" si="0"/>
        <v>9410</v>
      </c>
      <c r="D22" s="12">
        <v>3330215</v>
      </c>
      <c r="E22" s="10">
        <f t="shared" si="1"/>
        <v>4118</v>
      </c>
      <c r="F22" s="12">
        <v>1502561</v>
      </c>
      <c r="G22" s="10">
        <f t="shared" si="2"/>
        <v>1621</v>
      </c>
      <c r="H22" s="12">
        <v>3982562</v>
      </c>
      <c r="I22" s="10">
        <f t="shared" si="3"/>
        <v>6378</v>
      </c>
      <c r="J22" s="12">
        <v>99676</v>
      </c>
      <c r="K22" s="11">
        <f t="shared" si="8"/>
        <v>61</v>
      </c>
      <c r="L22" s="12">
        <v>14194</v>
      </c>
      <c r="M22" s="11">
        <f t="shared" si="4"/>
        <v>0</v>
      </c>
      <c r="N22" s="12">
        <v>138161</v>
      </c>
      <c r="O22" s="11">
        <f t="shared" si="5"/>
        <v>0</v>
      </c>
      <c r="P22" s="12">
        <v>332690</v>
      </c>
      <c r="Q22" s="16">
        <f t="shared" si="6"/>
        <v>209</v>
      </c>
    </row>
    <row r="23" spans="1:17" ht="18" x14ac:dyDescent="0.25">
      <c r="A23" s="9">
        <v>21</v>
      </c>
      <c r="B23" s="12">
        <v>5456832</v>
      </c>
      <c r="C23" s="10">
        <f t="shared" si="0"/>
        <v>8874</v>
      </c>
      <c r="D23" s="12">
        <v>3334333</v>
      </c>
      <c r="E23" s="10">
        <f t="shared" si="1"/>
        <v>5087</v>
      </c>
      <c r="F23" s="12">
        <v>1504182</v>
      </c>
      <c r="G23" s="10">
        <f t="shared" si="2"/>
        <v>1631</v>
      </c>
      <c r="H23" s="12">
        <v>3988940</v>
      </c>
      <c r="I23" s="10">
        <f t="shared" si="3"/>
        <v>7040</v>
      </c>
      <c r="J23" s="12">
        <v>99737</v>
      </c>
      <c r="K23" s="11">
        <f t="shared" si="8"/>
        <v>62</v>
      </c>
      <c r="L23" s="12">
        <v>14194</v>
      </c>
      <c r="M23" s="11">
        <f t="shared" si="4"/>
        <v>0</v>
      </c>
      <c r="N23" s="12">
        <v>138161</v>
      </c>
      <c r="O23" s="11">
        <f t="shared" si="5"/>
        <v>0</v>
      </c>
      <c r="P23" s="12">
        <v>332899</v>
      </c>
      <c r="Q23" s="13">
        <f t="shared" si="6"/>
        <v>215</v>
      </c>
    </row>
    <row r="24" spans="1:17" ht="18" x14ac:dyDescent="0.25">
      <c r="A24" s="9">
        <v>22</v>
      </c>
      <c r="B24" s="12">
        <v>5465706</v>
      </c>
      <c r="C24" s="10">
        <f t="shared" si="0"/>
        <v>9131</v>
      </c>
      <c r="D24" s="12">
        <v>3339420</v>
      </c>
      <c r="E24" s="10">
        <f t="shared" si="1"/>
        <v>4899</v>
      </c>
      <c r="F24" s="12">
        <v>1505813</v>
      </c>
      <c r="G24" s="10">
        <f t="shared" si="2"/>
        <v>1244</v>
      </c>
      <c r="H24" s="12">
        <v>3995980</v>
      </c>
      <c r="I24" s="10">
        <f t="shared" si="3"/>
        <v>7136</v>
      </c>
      <c r="J24" s="12">
        <v>99799</v>
      </c>
      <c r="K24" s="11">
        <f t="shared" si="8"/>
        <v>57</v>
      </c>
      <c r="L24" s="12">
        <v>14194</v>
      </c>
      <c r="M24" s="11">
        <f t="shared" si="4"/>
        <v>0</v>
      </c>
      <c r="N24" s="12">
        <v>138161</v>
      </c>
      <c r="O24" s="11">
        <f>N25-N24</f>
        <v>0</v>
      </c>
      <c r="P24" s="12">
        <v>333114</v>
      </c>
      <c r="Q24" s="17">
        <f t="shared" si="6"/>
        <v>288</v>
      </c>
    </row>
    <row r="25" spans="1:17" ht="18" x14ac:dyDescent="0.25">
      <c r="A25" s="9">
        <v>23</v>
      </c>
      <c r="B25" s="12">
        <v>5474837</v>
      </c>
      <c r="C25" s="10">
        <f t="shared" si="0"/>
        <v>8667</v>
      </c>
      <c r="D25" s="12">
        <v>3344319</v>
      </c>
      <c r="E25" s="10">
        <f t="shared" si="1"/>
        <v>4442</v>
      </c>
      <c r="F25" s="12">
        <v>1507057</v>
      </c>
      <c r="G25" s="10">
        <f t="shared" si="2"/>
        <v>24</v>
      </c>
      <c r="H25" s="12">
        <v>4003116</v>
      </c>
      <c r="I25" s="10">
        <f t="shared" si="3"/>
        <v>7775</v>
      </c>
      <c r="J25" s="12">
        <v>99856</v>
      </c>
      <c r="K25" s="11">
        <f t="shared" si="8"/>
        <v>71</v>
      </c>
      <c r="L25" s="12">
        <v>14194</v>
      </c>
      <c r="M25" s="11">
        <f t="shared" si="4"/>
        <v>0</v>
      </c>
      <c r="N25" s="12">
        <v>138161</v>
      </c>
      <c r="O25" s="11">
        <f t="shared" si="5"/>
        <v>0</v>
      </c>
      <c r="P25" s="12">
        <v>333402</v>
      </c>
      <c r="Q25" s="13">
        <f t="shared" si="6"/>
        <v>220</v>
      </c>
    </row>
    <row r="26" spans="1:17" ht="18" x14ac:dyDescent="0.25">
      <c r="A26" s="9">
        <v>24</v>
      </c>
      <c r="B26" s="12">
        <v>5483504</v>
      </c>
      <c r="C26" s="10">
        <f t="shared" si="0"/>
        <v>9552</v>
      </c>
      <c r="D26" s="12">
        <v>3348761</v>
      </c>
      <c r="E26" s="10">
        <f t="shared" si="1"/>
        <v>4868</v>
      </c>
      <c r="F26" s="12">
        <v>1507081</v>
      </c>
      <c r="G26" s="10">
        <f t="shared" si="2"/>
        <v>25</v>
      </c>
      <c r="H26" s="12">
        <v>4010891</v>
      </c>
      <c r="I26" s="10">
        <f t="shared" si="3"/>
        <v>8212</v>
      </c>
      <c r="J26" s="12">
        <v>99927</v>
      </c>
      <c r="K26" s="11">
        <f t="shared" si="8"/>
        <v>94</v>
      </c>
      <c r="L26" s="12">
        <v>14194</v>
      </c>
      <c r="M26" s="11">
        <f t="shared" si="4"/>
        <v>0</v>
      </c>
      <c r="N26" s="12">
        <v>138161</v>
      </c>
      <c r="O26" s="11">
        <f t="shared" si="5"/>
        <v>0</v>
      </c>
      <c r="P26" s="12">
        <v>333622</v>
      </c>
      <c r="Q26" s="13">
        <f t="shared" si="6"/>
        <v>173</v>
      </c>
    </row>
    <row r="27" spans="1:17" ht="18" x14ac:dyDescent="0.25">
      <c r="A27" s="9">
        <v>25</v>
      </c>
      <c r="B27" s="12">
        <v>5493056</v>
      </c>
      <c r="C27" s="10">
        <f t="shared" si="0"/>
        <v>9915</v>
      </c>
      <c r="D27" s="12">
        <v>3353629</v>
      </c>
      <c r="E27" s="10">
        <f t="shared" si="1"/>
        <v>5330</v>
      </c>
      <c r="F27" s="12">
        <v>1507106</v>
      </c>
      <c r="G27" s="10">
        <f t="shared" si="2"/>
        <v>22</v>
      </c>
      <c r="H27" s="12">
        <v>4019103</v>
      </c>
      <c r="I27" s="10">
        <f t="shared" si="3"/>
        <v>8743</v>
      </c>
      <c r="J27" s="12">
        <v>100021</v>
      </c>
      <c r="K27" s="11">
        <f t="shared" si="8"/>
        <v>89</v>
      </c>
      <c r="L27" s="12">
        <v>14194</v>
      </c>
      <c r="M27" s="11">
        <f t="shared" si="4"/>
        <v>0</v>
      </c>
      <c r="N27" s="12">
        <v>138161</v>
      </c>
      <c r="O27" s="11">
        <f t="shared" si="5"/>
        <v>0</v>
      </c>
      <c r="P27" s="12">
        <v>333795</v>
      </c>
      <c r="Q27" s="13">
        <f t="shared" si="6"/>
        <v>262</v>
      </c>
    </row>
    <row r="28" spans="1:17" ht="18" x14ac:dyDescent="0.25">
      <c r="A28" s="9">
        <v>26</v>
      </c>
      <c r="B28" s="12">
        <v>5502971</v>
      </c>
      <c r="C28" s="10">
        <f t="shared" si="0"/>
        <v>9930</v>
      </c>
      <c r="D28" s="12">
        <v>3358959</v>
      </c>
      <c r="E28" s="10">
        <f t="shared" si="1"/>
        <v>5126</v>
      </c>
      <c r="F28" s="12">
        <v>1507128</v>
      </c>
      <c r="G28" s="10">
        <f t="shared" si="2"/>
        <v>24</v>
      </c>
      <c r="H28" s="12">
        <v>4027846</v>
      </c>
      <c r="I28" s="10">
        <f t="shared" si="3"/>
        <v>8196</v>
      </c>
      <c r="J28" s="12">
        <v>100110</v>
      </c>
      <c r="K28" s="11">
        <f t="shared" si="8"/>
        <v>85</v>
      </c>
      <c r="L28" s="12">
        <v>14194</v>
      </c>
      <c r="M28" s="11">
        <f t="shared" si="4"/>
        <v>0</v>
      </c>
      <c r="N28" s="12">
        <v>138161</v>
      </c>
      <c r="O28" s="11">
        <f t="shared" si="5"/>
        <v>0</v>
      </c>
      <c r="P28" s="12">
        <v>334057</v>
      </c>
      <c r="Q28" s="13">
        <f t="shared" si="6"/>
        <v>275</v>
      </c>
    </row>
    <row r="29" spans="1:17" ht="18" x14ac:dyDescent="0.25">
      <c r="A29" s="9">
        <v>27</v>
      </c>
      <c r="B29" s="12">
        <v>5512901</v>
      </c>
      <c r="C29" s="10">
        <f t="shared" si="0"/>
        <v>9543</v>
      </c>
      <c r="D29" s="12">
        <v>3364085</v>
      </c>
      <c r="E29" s="10">
        <f t="shared" si="1"/>
        <v>5102</v>
      </c>
      <c r="F29" s="12">
        <v>1507152</v>
      </c>
      <c r="G29" s="10">
        <f t="shared" si="2"/>
        <v>21</v>
      </c>
      <c r="H29" s="12">
        <v>4036042</v>
      </c>
      <c r="I29" s="10">
        <f t="shared" si="3"/>
        <v>8052</v>
      </c>
      <c r="J29" s="12">
        <v>100195</v>
      </c>
      <c r="K29" s="11">
        <f t="shared" si="8"/>
        <v>82</v>
      </c>
      <c r="L29" s="12">
        <v>14194</v>
      </c>
      <c r="M29" s="11">
        <f t="shared" si="4"/>
        <v>0</v>
      </c>
      <c r="N29" s="12">
        <v>138161</v>
      </c>
      <c r="O29" s="11">
        <f t="shared" si="5"/>
        <v>0</v>
      </c>
      <c r="P29" s="12">
        <v>334332</v>
      </c>
      <c r="Q29" s="13">
        <f t="shared" si="6"/>
        <v>225</v>
      </c>
    </row>
    <row r="30" spans="1:17" ht="18" x14ac:dyDescent="0.25">
      <c r="A30" s="9">
        <v>28</v>
      </c>
      <c r="B30" s="12">
        <v>5522444</v>
      </c>
      <c r="C30" s="10">
        <f t="shared" si="0"/>
        <v>9583</v>
      </c>
      <c r="D30" s="12">
        <v>3369187</v>
      </c>
      <c r="E30" s="10">
        <f t="shared" si="1"/>
        <v>5683</v>
      </c>
      <c r="F30" s="12">
        <v>1507173</v>
      </c>
      <c r="G30" s="10">
        <f t="shared" si="2"/>
        <v>21</v>
      </c>
      <c r="H30" s="12">
        <v>4044094</v>
      </c>
      <c r="I30" s="10">
        <f t="shared" si="3"/>
        <v>8364</v>
      </c>
      <c r="J30" s="12">
        <v>100277</v>
      </c>
      <c r="K30" s="11">
        <f t="shared" si="8"/>
        <v>125</v>
      </c>
      <c r="L30" s="12">
        <v>14194</v>
      </c>
      <c r="M30" s="11">
        <f t="shared" si="4"/>
        <v>0</v>
      </c>
      <c r="N30" s="12">
        <v>138161</v>
      </c>
      <c r="O30" s="11">
        <f t="shared" si="5"/>
        <v>0</v>
      </c>
      <c r="P30" s="12">
        <v>334557</v>
      </c>
      <c r="Q30" s="13">
        <f t="shared" si="6"/>
        <v>212</v>
      </c>
    </row>
    <row r="31" spans="1:17" ht="18" x14ac:dyDescent="0.25">
      <c r="A31" s="9">
        <v>29</v>
      </c>
      <c r="B31" s="12">
        <v>5532027</v>
      </c>
      <c r="C31" s="10">
        <f t="shared" si="0"/>
        <v>10122</v>
      </c>
      <c r="D31" s="12">
        <v>3374870</v>
      </c>
      <c r="E31" s="10">
        <f t="shared" si="1"/>
        <v>5910</v>
      </c>
      <c r="F31" s="12">
        <v>1507194</v>
      </c>
      <c r="G31" s="10">
        <f t="shared" si="2"/>
        <v>737</v>
      </c>
      <c r="H31" s="12">
        <v>4052458</v>
      </c>
      <c r="I31" s="10">
        <f t="shared" si="3"/>
        <v>8060</v>
      </c>
      <c r="J31" s="12">
        <v>100402</v>
      </c>
      <c r="K31" s="11">
        <f t="shared" si="8"/>
        <v>123</v>
      </c>
      <c r="L31" s="12">
        <v>14194</v>
      </c>
      <c r="M31" s="11">
        <f t="shared" si="4"/>
        <v>0</v>
      </c>
      <c r="N31" s="12">
        <v>138161</v>
      </c>
      <c r="O31" s="11">
        <f t="shared" si="5"/>
        <v>0</v>
      </c>
      <c r="P31" s="12">
        <v>334769</v>
      </c>
      <c r="Q31" s="13">
        <f t="shared" si="6"/>
        <v>242</v>
      </c>
    </row>
    <row r="32" spans="1:17" ht="18" x14ac:dyDescent="0.25">
      <c r="A32" s="15">
        <v>30</v>
      </c>
      <c r="B32" s="12">
        <v>5542149</v>
      </c>
      <c r="C32" s="10">
        <f t="shared" si="0"/>
        <v>8449</v>
      </c>
      <c r="D32" s="12">
        <v>3380780</v>
      </c>
      <c r="E32" s="10">
        <f t="shared" si="1"/>
        <v>4543</v>
      </c>
      <c r="F32" s="12">
        <v>1507931</v>
      </c>
      <c r="G32" s="10">
        <f t="shared" si="2"/>
        <v>1932</v>
      </c>
      <c r="H32" s="12">
        <v>4060518</v>
      </c>
      <c r="I32" s="10">
        <f t="shared" si="3"/>
        <v>5352</v>
      </c>
      <c r="J32" s="12">
        <v>100525</v>
      </c>
      <c r="K32" s="11">
        <f>SUM(J33-J32)</f>
        <v>113</v>
      </c>
      <c r="L32" s="12">
        <v>14194</v>
      </c>
      <c r="M32" s="11">
        <f>L33-L32</f>
        <v>0</v>
      </c>
      <c r="N32" s="12">
        <v>138161</v>
      </c>
      <c r="O32" s="11">
        <f>N33-N32</f>
        <v>0</v>
      </c>
      <c r="P32" s="12">
        <v>335011</v>
      </c>
      <c r="Q32" s="13">
        <f>P33-P32</f>
        <v>158</v>
      </c>
    </row>
    <row r="33" spans="1:17" ht="18" x14ac:dyDescent="0.25">
      <c r="A33" s="15">
        <v>31</v>
      </c>
      <c r="B33" s="12">
        <v>5550598</v>
      </c>
      <c r="C33" s="10">
        <f t="shared" si="0"/>
        <v>10203</v>
      </c>
      <c r="D33" s="12">
        <v>3385323</v>
      </c>
      <c r="E33" s="10">
        <f t="shared" si="1"/>
        <v>6206</v>
      </c>
      <c r="F33" s="12">
        <v>1509863</v>
      </c>
      <c r="G33" s="10">
        <f t="shared" si="2"/>
        <v>5585</v>
      </c>
      <c r="H33" s="12">
        <v>4065870</v>
      </c>
      <c r="I33" s="10">
        <f t="shared" si="3"/>
        <v>3532</v>
      </c>
      <c r="J33" s="12">
        <v>100638</v>
      </c>
      <c r="K33" s="11">
        <f>SUM(J34-J33)</f>
        <v>115</v>
      </c>
      <c r="L33" s="12">
        <v>14194</v>
      </c>
      <c r="M33" s="11">
        <f>L34-L33</f>
        <v>0</v>
      </c>
      <c r="N33" s="12">
        <v>138161</v>
      </c>
      <c r="O33" s="11">
        <f>N34-N33</f>
        <v>0</v>
      </c>
      <c r="P33" s="12">
        <v>335169</v>
      </c>
      <c r="Q33" s="13">
        <f>P34-P33</f>
        <v>294</v>
      </c>
    </row>
    <row r="34" spans="1:17" ht="18" x14ac:dyDescent="0.25">
      <c r="A34" s="15">
        <v>1</v>
      </c>
      <c r="B34" s="12">
        <v>5560801</v>
      </c>
      <c r="C34" s="11"/>
      <c r="D34" s="12">
        <v>3391529</v>
      </c>
      <c r="E34" s="11"/>
      <c r="F34" s="12">
        <v>1515448</v>
      </c>
      <c r="G34" s="11"/>
      <c r="H34" s="12">
        <v>4069402</v>
      </c>
      <c r="I34" s="11"/>
      <c r="J34" s="12">
        <v>100753</v>
      </c>
      <c r="K34" s="10"/>
      <c r="L34" s="12">
        <v>14194</v>
      </c>
      <c r="M34" s="18"/>
      <c r="N34" s="12">
        <v>138161</v>
      </c>
      <c r="O34" s="10"/>
      <c r="P34" s="12">
        <v>335463</v>
      </c>
      <c r="Q34" s="13"/>
    </row>
    <row r="35" spans="1:17" ht="18" x14ac:dyDescent="0.25">
      <c r="A35" s="19"/>
      <c r="B35" s="19"/>
      <c r="C35" s="19"/>
      <c r="D35" s="19"/>
      <c r="E35" s="19"/>
      <c r="F35" s="19"/>
      <c r="G35" s="19"/>
      <c r="H35" s="33"/>
      <c r="I35" s="19"/>
      <c r="J35" s="19"/>
      <c r="K35" s="19"/>
      <c r="L35" s="19"/>
      <c r="M35" s="19"/>
      <c r="N35" s="19"/>
      <c r="O35" s="19"/>
      <c r="P35" s="19"/>
      <c r="Q35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2023-02-25T03:15:55Z</dcterms:modified>
</cp:coreProperties>
</file>