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1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G153" i="1" l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1" i="4" l="1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<sst xmlns="http://schemas.openxmlformats.org/spreadsheetml/2006/main" count="606" uniqueCount="76">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</sst>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130" workbookViewId="0">
      <selection activeCell="G152" sqref="G15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 t="e">
        <f>'Gas Water'!M153</f>
        <v>#VALUE!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abSelected="1" topLeftCell="A118" workbookViewId="0">
      <selection activeCell="H154" sqref="H15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4262</v>
      </c>
      <c r="O148" s="32" t="e">
        <f>SUM(M12:M155)</f>
        <v>#VALUE!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146.9655172413793</v>
      </c>
      <c r="O151" s="32" t="e">
        <f>AVERAGE(M125:M155)</f>
        <v>#VALUE!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/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 t="str">
        <f t="shared" si="10"/>
        <v/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 t="e">
        <f t="shared" si="11"/>
        <v>#VALUE!</v>
      </c>
      <c r="O153" s="20">
        <f>IF(L153="",1,0)</f>
        <v>0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3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ref="L155:L196" si="14">IF(G155="","",+(G154-G155))</f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367500</v>
      </c>
      <c r="J371" s="40">
        <f t="shared" si="29"/>
        <v>20912</v>
      </c>
      <c r="K371" s="40">
        <f t="shared" si="29"/>
        <v>19532</v>
      </c>
      <c r="L371" s="40">
        <f t="shared" si="29"/>
        <v>20428</v>
      </c>
      <c r="M371" s="40" t="e">
        <f t="shared" si="29"/>
        <v>#VALUE!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24" workbookViewId="0">
      <selection activeCell="F153" sqref="F153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4.2514977825038242E-2</v>
      </c>
      <c r="Q145" s="71">
        <f>IF(L124="",0,+SUM(L124:L154)/SUM(I124:I154))</f>
        <v>4.2514977825038242E-2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3180542.0999999954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2021-05-31T13:09:09Z</dcterms:modified>
  <cp:category/>
  <cp:contentStatus/>
</cp:coreProperties>
</file>