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3" i="9" l="1"/>
  <c r="R24" i="9"/>
  <c r="R25" i="9"/>
  <c r="R26" i="9"/>
  <c r="R27" i="9"/>
  <c r="R28" i="9"/>
  <c r="R29" i="9"/>
  <c r="R30" i="9"/>
  <c r="R31" i="9"/>
  <c r="R32" i="9"/>
  <c r="Q23" i="9"/>
  <c r="Q24" i="9"/>
  <c r="Q25" i="9"/>
  <c r="Q26" i="9"/>
  <c r="Q27" i="9"/>
  <c r="Q28" i="9"/>
  <c r="Q29" i="9"/>
  <c r="Q30" i="9"/>
  <c r="Q31" i="9"/>
  <c r="Q32" i="9"/>
  <c r="P29" i="9"/>
  <c r="P30" i="9"/>
  <c r="O23" i="9"/>
  <c r="O24" i="9"/>
  <c r="O25" i="9"/>
  <c r="O26" i="9"/>
  <c r="O27" i="9"/>
  <c r="O28" i="9"/>
  <c r="O29" i="9"/>
  <c r="O30" i="9"/>
  <c r="O31" i="9"/>
  <c r="O32" i="9"/>
  <c r="N23" i="9"/>
  <c r="N24" i="9"/>
  <c r="N25" i="9"/>
  <c r="N26" i="9"/>
  <c r="N27" i="9"/>
  <c r="N28" i="9"/>
  <c r="N29" i="9"/>
  <c r="N30" i="9"/>
  <c r="N31" i="9"/>
  <c r="M23" i="9"/>
  <c r="M24" i="9"/>
  <c r="M25" i="9"/>
  <c r="M26" i="9"/>
  <c r="M27" i="9"/>
  <c r="M28" i="9"/>
  <c r="M29" i="9"/>
  <c r="M30" i="9"/>
  <c r="M31" i="9"/>
  <c r="M32" i="9"/>
  <c r="L23" i="9"/>
  <c r="L24" i="9"/>
  <c r="L25" i="9"/>
  <c r="L26" i="9"/>
  <c r="L27" i="9"/>
  <c r="L28" i="9"/>
  <c r="L29" i="9"/>
  <c r="L30" i="9"/>
  <c r="L31" i="9"/>
  <c r="L32" i="9"/>
  <c r="K23" i="9"/>
  <c r="K24" i="9"/>
  <c r="K25" i="9"/>
  <c r="K26" i="9"/>
  <c r="K27" i="9"/>
  <c r="K28" i="9"/>
  <c r="K29" i="9"/>
  <c r="K30" i="9"/>
  <c r="K31" i="9"/>
  <c r="K32" i="9"/>
  <c r="J23" i="9"/>
  <c r="J24" i="9"/>
  <c r="J25" i="9"/>
  <c r="J26" i="9"/>
  <c r="J27" i="9"/>
  <c r="J28" i="9"/>
  <c r="J29" i="9"/>
  <c r="J30" i="9"/>
  <c r="J31" i="9"/>
  <c r="J32" i="9"/>
  <c r="I23" i="9"/>
  <c r="I24" i="9"/>
  <c r="I25" i="9"/>
  <c r="I26" i="9"/>
  <c r="I27" i="9"/>
  <c r="I28" i="9"/>
  <c r="I29" i="9"/>
  <c r="I30" i="9"/>
  <c r="I31" i="9"/>
  <c r="I32" i="9"/>
  <c r="H23" i="9"/>
  <c r="H24" i="9"/>
  <c r="H25" i="9"/>
  <c r="H26" i="9"/>
  <c r="H27" i="9"/>
  <c r="H28" i="9"/>
  <c r="H29" i="9"/>
  <c r="H30" i="9"/>
  <c r="H31" i="9"/>
  <c r="H32" i="9"/>
  <c r="G23" i="9"/>
  <c r="G24" i="9"/>
  <c r="G25" i="9"/>
  <c r="G26" i="9"/>
  <c r="G27" i="9"/>
  <c r="G28" i="9"/>
  <c r="G29" i="9"/>
  <c r="G30" i="9"/>
  <c r="G31" i="9"/>
  <c r="G32" i="9"/>
  <c r="F23" i="9"/>
  <c r="F24" i="9"/>
  <c r="F25" i="9"/>
  <c r="F26" i="9"/>
  <c r="F27" i="9"/>
  <c r="F28" i="9"/>
  <c r="F29" i="9"/>
  <c r="F30" i="9"/>
  <c r="F31" i="9"/>
  <c r="F3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7" i="7" l="1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<sst xmlns="http://schemas.openxmlformats.org/spreadsheetml/2006/main" count="128" uniqueCount="49">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</sst>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63000</v>
      </c>
      <c r="F14" s="11">
        <v>5.0000000000000001E-3</v>
      </c>
      <c r="G14" s="12">
        <f>Submetering!R14</f>
        <v>898.27779299999997</v>
      </c>
      <c r="H14" s="11">
        <v>0.52800000000000002</v>
      </c>
      <c r="I14" s="12">
        <f>Hotel!B19</f>
        <v>89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63060</v>
      </c>
      <c r="F15" s="11">
        <v>5.0000000000000001E-3</v>
      </c>
      <c r="G15" s="12">
        <f>Submetering!R15</f>
        <v>1008.054683</v>
      </c>
      <c r="H15" s="11">
        <v>0.52800000000000002</v>
      </c>
      <c r="I15" s="12">
        <f>Hotel!B20</f>
        <v>84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55040</v>
      </c>
      <c r="F16" s="11">
        <v>5.0000000000000001E-3</v>
      </c>
      <c r="G16" s="12">
        <f>Submetering!R16</f>
        <v>874.42970999999989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60050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105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65860</v>
      </c>
      <c r="F18" s="11">
        <v>5.0000000000000001E-3</v>
      </c>
      <c r="G18" s="12">
        <f>Submetering!R18</f>
        <v>828.24770799999999</v>
      </c>
      <c r="H18" s="11">
        <v>0.52800000000000002</v>
      </c>
      <c r="I18" s="12">
        <f>Hotel!B23</f>
        <v>181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55940</v>
      </c>
      <c r="F19" s="11">
        <v>5.0000000000000001E-3</v>
      </c>
      <c r="G19" s="12">
        <f>Submetering!R19</f>
        <v>901.68466199999989</v>
      </c>
      <c r="H19" s="11">
        <v>0.52800000000000002</v>
      </c>
      <c r="I19" s="12">
        <f>Hotel!B24</f>
        <v>187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61960</v>
      </c>
      <c r="F20" s="11">
        <v>5.0000000000000001E-3</v>
      </c>
      <c r="G20" s="12">
        <f>Submetering!R20</f>
        <v>874.05116899999996</v>
      </c>
      <c r="H20" s="11">
        <v>0.52800000000000002</v>
      </c>
      <c r="I20" s="12">
        <f>Hotel!B25</f>
        <v>115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54250</v>
      </c>
      <c r="F21" s="11">
        <v>5.0000000000000001E-3</v>
      </c>
      <c r="G21" s="12">
        <f>Submetering!R21</f>
        <v>883.13615300000004</v>
      </c>
      <c r="H21" s="11">
        <v>0.52800000000000002</v>
      </c>
      <c r="I21" s="12">
        <f>Hotel!B26</f>
        <v>176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1050</v>
      </c>
      <c r="F14" s="4">
        <f>Hotel!R19</f>
        <v>14500</v>
      </c>
      <c r="G14" s="4">
        <f>Hotel!S19</f>
        <v>3710</v>
      </c>
      <c r="H14" s="4">
        <f>Hotel!T19</f>
        <v>1670</v>
      </c>
      <c r="I14" s="4">
        <f>Hotel!U19</f>
        <v>4780</v>
      </c>
      <c r="J14" s="4">
        <f>Hotel!V19</f>
        <v>3300</v>
      </c>
      <c r="K14" s="4">
        <f>Hotel!W19</f>
        <v>2470</v>
      </c>
      <c r="L14" s="4">
        <f>Hotel!X19</f>
        <v>3350</v>
      </c>
      <c r="M14" s="4">
        <f>Hotel!Y19</f>
        <v>4710</v>
      </c>
      <c r="N14" s="4">
        <f>Hotel!Z19</f>
        <v>2720</v>
      </c>
      <c r="O14" s="4">
        <f>Hotel!AA19</f>
        <v>3390</v>
      </c>
      <c r="P14" s="4">
        <f>Hotel!AB19</f>
        <v>8090</v>
      </c>
      <c r="Q14" s="4">
        <f>Hotel!AC19</f>
        <v>9260</v>
      </c>
      <c r="R14" s="4">
        <f>Hotel!AV19*0.00378541*100</f>
        <v>898.27779299999997</v>
      </c>
      <c r="S14" s="4">
        <f>Hotel!B19</f>
        <v>89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960</v>
      </c>
      <c r="F15" s="4">
        <f>Hotel!R20</f>
        <v>13050</v>
      </c>
      <c r="G15" s="4">
        <f>Hotel!S20</f>
        <v>3310</v>
      </c>
      <c r="H15" s="4">
        <f>Hotel!T20</f>
        <v>1530</v>
      </c>
      <c r="I15" s="4">
        <f>Hotel!U20</f>
        <v>4320</v>
      </c>
      <c r="J15" s="4">
        <f>Hotel!V20</f>
        <v>3090</v>
      </c>
      <c r="K15" s="4">
        <f>Hotel!W20</f>
        <v>2310</v>
      </c>
      <c r="L15" s="4">
        <f>Hotel!X20</f>
        <v>3340</v>
      </c>
      <c r="M15" s="4">
        <f>Hotel!Y20</f>
        <v>6440</v>
      </c>
      <c r="N15" s="4">
        <f>Hotel!Z20</f>
        <v>2490</v>
      </c>
      <c r="O15" s="4">
        <f>Hotel!AA20</f>
        <v>3090</v>
      </c>
      <c r="P15" s="4">
        <f>Hotel!AB20</f>
        <v>10260</v>
      </c>
      <c r="Q15" s="4">
        <f>Hotel!AC20</f>
        <v>8870</v>
      </c>
      <c r="R15" s="4">
        <f>Hotel!AV20*0.00378541*100</f>
        <v>1008.054683</v>
      </c>
      <c r="S15" s="4">
        <f>Hotel!B20</f>
        <v>84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1020</v>
      </c>
      <c r="F16" s="4">
        <f>Hotel!R21</f>
        <v>13900</v>
      </c>
      <c r="G16" s="4">
        <f>Hotel!S21</f>
        <v>3530</v>
      </c>
      <c r="H16" s="4">
        <f>Hotel!T21</f>
        <v>1620</v>
      </c>
      <c r="I16" s="4">
        <f>Hotel!U21</f>
        <v>4460</v>
      </c>
      <c r="J16" s="4">
        <f>Hotel!V21</f>
        <v>3230</v>
      </c>
      <c r="K16" s="4">
        <f>Hotel!W21</f>
        <v>2400</v>
      </c>
      <c r="L16" s="4">
        <f>Hotel!X21</f>
        <v>3660</v>
      </c>
      <c r="M16" s="4">
        <f>Hotel!Y21</f>
        <v>2530</v>
      </c>
      <c r="N16" s="4">
        <f>Hotel!Z21</f>
        <v>2760</v>
      </c>
      <c r="O16" s="4">
        <f>Hotel!AA21</f>
        <v>3020</v>
      </c>
      <c r="P16" s="4">
        <f>Hotel!AB21</f>
        <v>3720</v>
      </c>
      <c r="Q16" s="4">
        <f>Hotel!AC21</f>
        <v>9190</v>
      </c>
      <c r="R16" s="4">
        <f>Hotel!AV21*0.00378541*100</f>
        <v>874.42970999999989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970</v>
      </c>
      <c r="F17" s="4">
        <f>Hotel!R22</f>
        <v>15060</v>
      </c>
      <c r="G17" s="4">
        <f>Hotel!S22</f>
        <v>4000</v>
      </c>
      <c r="H17" s="4">
        <f>Hotel!T22</f>
        <v>1570</v>
      </c>
      <c r="I17" s="4">
        <f>Hotel!U22</f>
        <v>4560</v>
      </c>
      <c r="J17" s="4">
        <f>Hotel!V22</f>
        <v>3100</v>
      </c>
      <c r="K17" s="4">
        <f>Hotel!W22</f>
        <v>2350</v>
      </c>
      <c r="L17" s="4">
        <f>Hotel!X22</f>
        <v>3770</v>
      </c>
      <c r="M17" s="4">
        <f>Hotel!Y22</f>
        <v>4540</v>
      </c>
      <c r="N17" s="4">
        <f>Hotel!Z22</f>
        <v>2810</v>
      </c>
      <c r="O17" s="4">
        <f>Hotel!AA22</f>
        <v>2960</v>
      </c>
      <c r="P17" s="4">
        <f>Hotel!AB22</f>
        <v>6680</v>
      </c>
      <c r="Q17" s="4">
        <f>Hotel!AC22</f>
        <v>7680</v>
      </c>
      <c r="R17" s="4">
        <f>Hotel!AV22*0.00378541*100</f>
        <v>830.14041299999997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1070</v>
      </c>
      <c r="F18" s="4">
        <f>Hotel!R23</f>
        <v>15840</v>
      </c>
      <c r="G18" s="4">
        <f>Hotel!S23</f>
        <v>4120</v>
      </c>
      <c r="H18" s="4">
        <f>Hotel!T23</f>
        <v>1710</v>
      </c>
      <c r="I18" s="4">
        <f>Hotel!U23</f>
        <v>4840</v>
      </c>
      <c r="J18" s="4">
        <f>Hotel!V23</f>
        <v>3500</v>
      </c>
      <c r="K18" s="4">
        <f>Hotel!W23</f>
        <v>2620</v>
      </c>
      <c r="L18" s="4">
        <f>Hotel!X23</f>
        <v>4110</v>
      </c>
      <c r="M18" s="4">
        <f>Hotel!Y23</f>
        <v>5080</v>
      </c>
      <c r="N18" s="4">
        <f>Hotel!Z23</f>
        <v>3120</v>
      </c>
      <c r="O18" s="4">
        <f>Hotel!AA23</f>
        <v>3640</v>
      </c>
      <c r="P18" s="4">
        <f>Hotel!AB23</f>
        <v>7400</v>
      </c>
      <c r="Q18" s="4">
        <f>Hotel!AC23</f>
        <v>8810</v>
      </c>
      <c r="R18" s="4">
        <f>Hotel!AV23*0.00378541*100</f>
        <v>828.24770799999999</v>
      </c>
      <c r="S18" s="4">
        <f>Hotel!B23</f>
        <v>181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930</v>
      </c>
      <c r="F19" s="4">
        <f>Hotel!R24</f>
        <v>12470</v>
      </c>
      <c r="G19" s="4">
        <f>Hotel!S24</f>
        <v>3170</v>
      </c>
      <c r="H19" s="4">
        <f>Hotel!T24</f>
        <v>1460</v>
      </c>
      <c r="I19" s="4">
        <f>Hotel!U24</f>
        <v>4570</v>
      </c>
      <c r="J19" s="4">
        <f>Hotel!V24</f>
        <v>2980</v>
      </c>
      <c r="K19" s="4">
        <f>Hotel!W24</f>
        <v>2180</v>
      </c>
      <c r="L19" s="4">
        <f>Hotel!X24</f>
        <v>3460</v>
      </c>
      <c r="M19" s="4">
        <f>Hotel!Y24</f>
        <v>4520</v>
      </c>
      <c r="N19" s="4">
        <f>Hotel!Z24</f>
        <v>2840</v>
      </c>
      <c r="O19" s="4">
        <f>Hotel!AA24</f>
        <v>3390</v>
      </c>
      <c r="P19" s="4">
        <f>Hotel!AB24</f>
        <v>6410</v>
      </c>
      <c r="Q19" s="4">
        <f>Hotel!AC24</f>
        <v>7560</v>
      </c>
      <c r="R19" s="4">
        <f>Hotel!AV24*0.00378541*100</f>
        <v>901.68466199999989</v>
      </c>
      <c r="S19" s="4">
        <f>Hotel!B24</f>
        <v>187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1020</v>
      </c>
      <c r="F20" s="4">
        <f>Hotel!R25</f>
        <v>13590</v>
      </c>
      <c r="G20" s="4">
        <f>Hotel!S25</f>
        <v>3410</v>
      </c>
      <c r="H20" s="4">
        <f>Hotel!T25</f>
        <v>1610</v>
      </c>
      <c r="I20" s="4">
        <f>Hotel!U25</f>
        <v>5060</v>
      </c>
      <c r="J20" s="4">
        <f>Hotel!V25</f>
        <v>3320</v>
      </c>
      <c r="K20" s="4">
        <f>Hotel!W25</f>
        <v>2430</v>
      </c>
      <c r="L20" s="4">
        <f>Hotel!X25</f>
        <v>3880</v>
      </c>
      <c r="M20" s="4">
        <f>Hotel!Y25</f>
        <v>5020</v>
      </c>
      <c r="N20" s="4">
        <f>Hotel!Z25</f>
        <v>2880</v>
      </c>
      <c r="O20" s="4">
        <f>Hotel!AA25</f>
        <v>3590</v>
      </c>
      <c r="P20" s="4">
        <f>Hotel!AB25</f>
        <v>7040</v>
      </c>
      <c r="Q20" s="4">
        <f>Hotel!AC25</f>
        <v>9110</v>
      </c>
      <c r="R20" s="4">
        <f>Hotel!AV25*0.00378541*100</f>
        <v>874.05116899999996</v>
      </c>
      <c r="S20" s="4">
        <f>Hotel!B25</f>
        <v>115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980</v>
      </c>
      <c r="F21" s="4">
        <f>Hotel!R26</f>
        <v>13210</v>
      </c>
      <c r="G21" s="4">
        <f>Hotel!S26</f>
        <v>3340</v>
      </c>
      <c r="H21" s="4">
        <f>Hotel!T26</f>
        <v>1530</v>
      </c>
      <c r="I21" s="4">
        <f>Hotel!U26</f>
        <v>4390</v>
      </c>
      <c r="J21" s="4">
        <f>Hotel!V26</f>
        <v>3080</v>
      </c>
      <c r="K21" s="4">
        <f>Hotel!W26</f>
        <v>2280</v>
      </c>
      <c r="L21" s="4">
        <f>Hotel!X26</f>
        <v>3280</v>
      </c>
      <c r="M21" s="4" t="str">
        <f>Hotel!Y26</f>
        <v>0</v>
      </c>
      <c r="N21" s="4">
        <f>Hotel!Z26</f>
        <v>2610</v>
      </c>
      <c r="O21" s="4">
        <f>Hotel!AA26</f>
        <v>3070</v>
      </c>
      <c r="P21" s="4">
        <f>Hotel!AB26</f>
        <v>6560</v>
      </c>
      <c r="Q21" s="4">
        <f>Hotel!AC26</f>
        <v>9920</v>
      </c>
      <c r="R21" s="4">
        <f>Hotel!AV26*0.00378541*100</f>
        <v>883.13615300000004</v>
      </c>
      <c r="S21" s="4">
        <f>Hotel!B26</f>
        <v>176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B32" sqref="AB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>
        <v>89</v>
      </c>
      <c r="C19" s="24">
        <v>6355990</v>
      </c>
      <c r="D19" s="24">
        <v>14098210</v>
      </c>
      <c r="E19" s="24">
        <v>2019650</v>
      </c>
      <c r="F19" s="24">
        <v>3020500</v>
      </c>
      <c r="G19" s="24">
        <v>9165110</v>
      </c>
      <c r="H19" s="24">
        <v>4650750</v>
      </c>
      <c r="I19" s="24">
        <v>4448510</v>
      </c>
      <c r="J19" s="24">
        <v>4977450</v>
      </c>
      <c r="K19" s="24">
        <v>7831680</v>
      </c>
      <c r="L19" s="24">
        <v>3154010</v>
      </c>
      <c r="M19" s="24">
        <v>7017720</v>
      </c>
      <c r="N19" s="24">
        <v>10202180</v>
      </c>
      <c r="O19" s="24">
        <v>13788760</v>
      </c>
      <c r="Q19" s="37">
        <f t="shared" si="16"/>
        <v>1050</v>
      </c>
      <c r="R19" s="37">
        <f t="shared" si="17"/>
        <v>14500</v>
      </c>
      <c r="S19" s="37">
        <f t="shared" si="15"/>
        <v>3710</v>
      </c>
      <c r="T19" s="37">
        <f t="shared" si="18"/>
        <v>1670</v>
      </c>
      <c r="U19" s="37">
        <f t="shared" si="19"/>
        <v>4780</v>
      </c>
      <c r="V19" s="37">
        <f t="shared" si="20"/>
        <v>3300</v>
      </c>
      <c r="W19" s="37">
        <f t="shared" si="21"/>
        <v>2470</v>
      </c>
      <c r="X19" s="37">
        <f t="shared" si="22"/>
        <v>3350</v>
      </c>
      <c r="Y19" s="37">
        <f t="shared" si="23"/>
        <v>4710</v>
      </c>
      <c r="Z19" s="37">
        <f t="shared" si="24"/>
        <v>2720</v>
      </c>
      <c r="AA19" s="37">
        <f t="shared" si="25"/>
        <v>3390</v>
      </c>
      <c r="AB19" s="37">
        <f t="shared" si="26"/>
        <v>8090</v>
      </c>
      <c r="AC19" s="37">
        <f t="shared" si="27"/>
        <v>9260</v>
      </c>
      <c r="AD19" s="35">
        <f t="shared" si="28"/>
        <v>63000</v>
      </c>
      <c r="AF19" s="20">
        <f t="shared" si="1"/>
        <v>5.25</v>
      </c>
      <c r="AG19" s="20">
        <f t="shared" si="2"/>
        <v>72.5</v>
      </c>
      <c r="AH19" s="20">
        <f t="shared" si="3"/>
        <v>18.55</v>
      </c>
      <c r="AI19" s="20">
        <f t="shared" si="4"/>
        <v>8.35</v>
      </c>
      <c r="AJ19" s="20">
        <f t="shared" si="5"/>
        <v>23.900000000000002</v>
      </c>
      <c r="AK19" s="20">
        <f t="shared" si="6"/>
        <v>16.5</v>
      </c>
      <c r="AL19" s="20">
        <f t="shared" si="7"/>
        <v>12.35</v>
      </c>
      <c r="AM19" s="20">
        <f t="shared" si="8"/>
        <v>16.75</v>
      </c>
      <c r="AN19" s="20">
        <f t="shared" si="9"/>
        <v>23.55</v>
      </c>
      <c r="AO19" s="20">
        <f t="shared" si="10"/>
        <v>13.6</v>
      </c>
      <c r="AP19" s="20">
        <f t="shared" si="11"/>
        <v>16.95</v>
      </c>
      <c r="AQ19" s="20">
        <f t="shared" si="12"/>
        <v>40.450000000000003</v>
      </c>
      <c r="AR19" s="20">
        <f t="shared" si="13"/>
        <v>46.300000000000004</v>
      </c>
      <c r="AS19" s="35">
        <f t="shared" si="29"/>
        <v>315</v>
      </c>
      <c r="AU19" s="47">
        <v>169330</v>
      </c>
      <c r="AV19" s="37">
        <f t="shared" si="31"/>
        <v>2373</v>
      </c>
      <c r="AW19" s="35">
        <f t="shared" si="30"/>
        <v>4.7460000000000004</v>
      </c>
    </row>
    <row r="20" spans="1:49" x14ac:dyDescent="0.25">
      <c r="A20" s="23">
        <v>44088</v>
      </c>
      <c r="B20" s="40">
        <v>84</v>
      </c>
      <c r="C20" s="24">
        <v>6356950</v>
      </c>
      <c r="D20" s="24">
        <v>14111260</v>
      </c>
      <c r="E20" s="24">
        <v>2022960</v>
      </c>
      <c r="F20" s="24">
        <v>3022030</v>
      </c>
      <c r="G20" s="24">
        <v>9169430</v>
      </c>
      <c r="H20" s="24">
        <v>4653840</v>
      </c>
      <c r="I20" s="24">
        <v>4450820</v>
      </c>
      <c r="J20" s="24">
        <v>4980790</v>
      </c>
      <c r="K20" s="24">
        <v>7838120</v>
      </c>
      <c r="L20" s="24">
        <v>3156500</v>
      </c>
      <c r="M20" s="24">
        <v>7020810</v>
      </c>
      <c r="N20" s="24">
        <v>10212440</v>
      </c>
      <c r="O20" s="24">
        <v>13797630</v>
      </c>
      <c r="Q20" s="37">
        <f t="shared" si="16"/>
        <v>960</v>
      </c>
      <c r="R20" s="37">
        <f t="shared" si="17"/>
        <v>13050</v>
      </c>
      <c r="S20" s="37">
        <f t="shared" si="15"/>
        <v>3310</v>
      </c>
      <c r="T20" s="37">
        <f t="shared" si="18"/>
        <v>1530</v>
      </c>
      <c r="U20" s="37">
        <f t="shared" si="19"/>
        <v>4320</v>
      </c>
      <c r="V20" s="37">
        <f t="shared" si="20"/>
        <v>3090</v>
      </c>
      <c r="W20" s="37">
        <f t="shared" si="21"/>
        <v>2310</v>
      </c>
      <c r="X20" s="37">
        <f t="shared" si="22"/>
        <v>3340</v>
      </c>
      <c r="Y20" s="37">
        <f t="shared" si="23"/>
        <v>6440</v>
      </c>
      <c r="Z20" s="37">
        <f t="shared" si="24"/>
        <v>2490</v>
      </c>
      <c r="AA20" s="37">
        <f t="shared" si="25"/>
        <v>3090</v>
      </c>
      <c r="AB20" s="37">
        <f t="shared" si="26"/>
        <v>10260</v>
      </c>
      <c r="AC20" s="37">
        <f t="shared" si="27"/>
        <v>8870</v>
      </c>
      <c r="AD20" s="35">
        <f t="shared" si="28"/>
        <v>63060</v>
      </c>
      <c r="AF20" s="20">
        <f t="shared" si="1"/>
        <v>4.8</v>
      </c>
      <c r="AG20" s="20">
        <f t="shared" si="2"/>
        <v>65.25</v>
      </c>
      <c r="AH20" s="20">
        <f t="shared" si="3"/>
        <v>16.55</v>
      </c>
      <c r="AI20" s="20">
        <f t="shared" si="4"/>
        <v>7.65</v>
      </c>
      <c r="AJ20" s="20">
        <f t="shared" si="5"/>
        <v>21.6</v>
      </c>
      <c r="AK20" s="20">
        <f t="shared" si="6"/>
        <v>15.450000000000001</v>
      </c>
      <c r="AL20" s="20">
        <f t="shared" si="7"/>
        <v>11.55</v>
      </c>
      <c r="AM20" s="20">
        <f t="shared" si="8"/>
        <v>16.7</v>
      </c>
      <c r="AN20" s="20">
        <f t="shared" si="9"/>
        <v>32.200000000000003</v>
      </c>
      <c r="AO20" s="20">
        <f t="shared" si="10"/>
        <v>12.450000000000001</v>
      </c>
      <c r="AP20" s="20">
        <f t="shared" si="11"/>
        <v>15.450000000000001</v>
      </c>
      <c r="AQ20" s="20">
        <f t="shared" si="12"/>
        <v>51.300000000000004</v>
      </c>
      <c r="AR20" s="20">
        <f t="shared" si="13"/>
        <v>44.35</v>
      </c>
      <c r="AS20" s="35">
        <f t="shared" si="29"/>
        <v>315.3</v>
      </c>
      <c r="AU20" s="47">
        <v>171993</v>
      </c>
      <c r="AV20" s="37">
        <f t="shared" si="31"/>
        <v>2663</v>
      </c>
      <c r="AW20" s="35">
        <f t="shared" si="30"/>
        <v>5.3260000000000005</v>
      </c>
    </row>
    <row r="21" spans="1:49" x14ac:dyDescent="0.25">
      <c r="A21" s="23">
        <v>44089</v>
      </c>
      <c r="B21" s="40">
        <v>109</v>
      </c>
      <c r="C21" s="24">
        <v>6357970</v>
      </c>
      <c r="D21" s="24">
        <v>14125160</v>
      </c>
      <c r="E21" s="24">
        <v>2026490</v>
      </c>
      <c r="F21" s="24">
        <v>3023650</v>
      </c>
      <c r="G21" s="24">
        <v>9173890</v>
      </c>
      <c r="H21" s="24">
        <v>4657070</v>
      </c>
      <c r="I21" s="24">
        <v>4453220</v>
      </c>
      <c r="J21" s="24">
        <v>4984450</v>
      </c>
      <c r="K21" s="24">
        <v>7840650</v>
      </c>
      <c r="L21" s="24">
        <v>3159260</v>
      </c>
      <c r="M21" s="24">
        <v>7023830</v>
      </c>
      <c r="N21" s="24">
        <v>10216160</v>
      </c>
      <c r="O21" s="24">
        <v>13806820</v>
      </c>
      <c r="Q21" s="37">
        <f t="shared" si="16"/>
        <v>1020</v>
      </c>
      <c r="R21" s="37">
        <f t="shared" si="17"/>
        <v>13900</v>
      </c>
      <c r="S21" s="37">
        <f t="shared" si="15"/>
        <v>3530</v>
      </c>
      <c r="T21" s="37">
        <f t="shared" si="18"/>
        <v>1620</v>
      </c>
      <c r="U21" s="37">
        <f t="shared" si="19"/>
        <v>4460</v>
      </c>
      <c r="V21" s="37">
        <f t="shared" si="20"/>
        <v>3230</v>
      </c>
      <c r="W21" s="37">
        <f t="shared" si="21"/>
        <v>2400</v>
      </c>
      <c r="X21" s="37">
        <f t="shared" si="22"/>
        <v>3660</v>
      </c>
      <c r="Y21" s="37">
        <f t="shared" si="23"/>
        <v>2530</v>
      </c>
      <c r="Z21" s="37">
        <f t="shared" si="24"/>
        <v>2760</v>
      </c>
      <c r="AA21" s="37">
        <f t="shared" si="25"/>
        <v>3020</v>
      </c>
      <c r="AB21" s="37">
        <f t="shared" si="26"/>
        <v>3720</v>
      </c>
      <c r="AC21" s="37">
        <f t="shared" si="27"/>
        <v>9190</v>
      </c>
      <c r="AD21" s="35">
        <f t="shared" si="28"/>
        <v>55040</v>
      </c>
      <c r="AF21" s="20">
        <f t="shared" si="1"/>
        <v>5.1000000000000005</v>
      </c>
      <c r="AG21" s="20">
        <f t="shared" si="2"/>
        <v>69.5</v>
      </c>
      <c r="AH21" s="20">
        <f t="shared" si="3"/>
        <v>17.650000000000002</v>
      </c>
      <c r="AI21" s="20">
        <f t="shared" si="4"/>
        <v>8.1</v>
      </c>
      <c r="AJ21" s="20">
        <f t="shared" si="5"/>
        <v>22.3</v>
      </c>
      <c r="AK21" s="20">
        <f t="shared" si="6"/>
        <v>16.149999999999999</v>
      </c>
      <c r="AL21" s="20">
        <f t="shared" si="7"/>
        <v>12</v>
      </c>
      <c r="AM21" s="20">
        <f t="shared" si="8"/>
        <v>18.3</v>
      </c>
      <c r="AN21" s="20">
        <f t="shared" si="9"/>
        <v>12.65</v>
      </c>
      <c r="AO21" s="20">
        <f t="shared" si="10"/>
        <v>13.8</v>
      </c>
      <c r="AP21" s="20">
        <f t="shared" si="11"/>
        <v>15.1</v>
      </c>
      <c r="AQ21" s="20">
        <f t="shared" si="12"/>
        <v>18.600000000000001</v>
      </c>
      <c r="AR21" s="20">
        <f t="shared" si="13"/>
        <v>45.95</v>
      </c>
      <c r="AS21" s="35">
        <f t="shared" si="29"/>
        <v>275.2</v>
      </c>
      <c r="AU21" s="47">
        <v>174303</v>
      </c>
      <c r="AV21" s="37">
        <f t="shared" si="31"/>
        <v>2310</v>
      </c>
      <c r="AW21" s="35">
        <f t="shared" si="30"/>
        <v>4.62</v>
      </c>
    </row>
    <row r="22" spans="1:49" x14ac:dyDescent="0.25">
      <c r="A22" s="23">
        <v>44090</v>
      </c>
      <c r="B22" s="40">
        <v>105</v>
      </c>
      <c r="C22" s="24">
        <v>6358940</v>
      </c>
      <c r="D22" s="24">
        <v>14140220</v>
      </c>
      <c r="E22" s="24">
        <v>2030490</v>
      </c>
      <c r="F22" s="24">
        <v>3025220</v>
      </c>
      <c r="G22" s="24">
        <v>9178450</v>
      </c>
      <c r="H22" s="24">
        <v>4660170</v>
      </c>
      <c r="I22" s="24">
        <v>4455570</v>
      </c>
      <c r="J22" s="44">
        <v>4988220</v>
      </c>
      <c r="K22" s="24">
        <v>7845190</v>
      </c>
      <c r="L22" s="24">
        <v>3162070</v>
      </c>
      <c r="M22" s="24">
        <v>7026790</v>
      </c>
      <c r="N22" s="24">
        <v>10222840</v>
      </c>
      <c r="O22" s="44">
        <v>13814500</v>
      </c>
      <c r="Q22" s="37">
        <f t="shared" si="16"/>
        <v>970</v>
      </c>
      <c r="R22" s="37">
        <f t="shared" si="17"/>
        <v>15060</v>
      </c>
      <c r="S22" s="37">
        <f t="shared" si="15"/>
        <v>4000</v>
      </c>
      <c r="T22" s="37">
        <f t="shared" si="18"/>
        <v>1570</v>
      </c>
      <c r="U22" s="37">
        <f t="shared" si="19"/>
        <v>4560</v>
      </c>
      <c r="V22" s="37">
        <f t="shared" si="20"/>
        <v>3100</v>
      </c>
      <c r="W22" s="37">
        <f t="shared" si="21"/>
        <v>2350</v>
      </c>
      <c r="X22" s="37">
        <f t="shared" si="22"/>
        <v>3770</v>
      </c>
      <c r="Y22" s="37">
        <f t="shared" si="23"/>
        <v>4540</v>
      </c>
      <c r="Z22" s="37">
        <f t="shared" si="24"/>
        <v>2810</v>
      </c>
      <c r="AA22" s="37">
        <f t="shared" si="25"/>
        <v>2960</v>
      </c>
      <c r="AB22" s="37">
        <f t="shared" si="26"/>
        <v>6680</v>
      </c>
      <c r="AC22" s="37">
        <f t="shared" si="27"/>
        <v>7680</v>
      </c>
      <c r="AD22" s="35">
        <f t="shared" si="28"/>
        <v>60050</v>
      </c>
      <c r="AF22" s="20">
        <f t="shared" si="1"/>
        <v>4.8500000000000005</v>
      </c>
      <c r="AG22" s="20">
        <f t="shared" si="2"/>
        <v>75.3</v>
      </c>
      <c r="AH22" s="20">
        <f t="shared" si="3"/>
        <v>20</v>
      </c>
      <c r="AI22" s="20">
        <f t="shared" si="4"/>
        <v>7.8500000000000005</v>
      </c>
      <c r="AJ22" s="20">
        <f t="shared" si="5"/>
        <v>22.8</v>
      </c>
      <c r="AK22" s="20">
        <f t="shared" si="6"/>
        <v>15.5</v>
      </c>
      <c r="AL22" s="20">
        <f t="shared" si="7"/>
        <v>11.75</v>
      </c>
      <c r="AM22" s="20">
        <f t="shared" si="8"/>
        <v>18.850000000000001</v>
      </c>
      <c r="AN22" s="20">
        <f t="shared" si="9"/>
        <v>22.7</v>
      </c>
      <c r="AO22" s="20">
        <f t="shared" si="10"/>
        <v>14.05</v>
      </c>
      <c r="AP22" s="20">
        <f t="shared" si="11"/>
        <v>14.8</v>
      </c>
      <c r="AQ22" s="20">
        <f t="shared" si="12"/>
        <v>33.4</v>
      </c>
      <c r="AR22" s="20">
        <f t="shared" si="13"/>
        <v>38.4</v>
      </c>
      <c r="AS22" s="35">
        <f t="shared" si="29"/>
        <v>300.24999999999994</v>
      </c>
      <c r="AU22" s="47">
        <v>176496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44091</v>
      </c>
      <c r="B23" s="40">
        <v>181</v>
      </c>
      <c r="C23" s="24">
        <v>6360010</v>
      </c>
      <c r="D23" s="24">
        <v>14156060</v>
      </c>
      <c r="E23" s="24">
        <v>2034610</v>
      </c>
      <c r="F23" s="24">
        <v>3026930</v>
      </c>
      <c r="G23" s="24">
        <v>9183290</v>
      </c>
      <c r="H23" s="24">
        <v>4663670</v>
      </c>
      <c r="I23" s="24">
        <v>4458190</v>
      </c>
      <c r="J23" s="24">
        <v>4992330</v>
      </c>
      <c r="K23" s="24">
        <v>7850270</v>
      </c>
      <c r="L23" s="24">
        <v>3165190</v>
      </c>
      <c r="M23" s="24">
        <v>7030430</v>
      </c>
      <c r="N23" s="24">
        <v>10230240</v>
      </c>
      <c r="O23" s="24">
        <v>13823310</v>
      </c>
      <c r="Q23" s="37">
        <f t="shared" si="16"/>
        <v>1070</v>
      </c>
      <c r="R23" s="37">
        <f t="shared" si="17"/>
        <v>15840</v>
      </c>
      <c r="S23" s="37">
        <f t="shared" si="15"/>
        <v>4120</v>
      </c>
      <c r="T23" s="37">
        <f t="shared" si="18"/>
        <v>1710</v>
      </c>
      <c r="U23" s="37">
        <f t="shared" si="19"/>
        <v>4840</v>
      </c>
      <c r="V23" s="37">
        <f t="shared" si="20"/>
        <v>3500</v>
      </c>
      <c r="W23" s="37">
        <f t="shared" si="21"/>
        <v>2620</v>
      </c>
      <c r="X23" s="37">
        <f t="shared" si="22"/>
        <v>4110</v>
      </c>
      <c r="Y23" s="37">
        <f t="shared" si="23"/>
        <v>5080</v>
      </c>
      <c r="Z23" s="37">
        <f t="shared" si="24"/>
        <v>3120</v>
      </c>
      <c r="AA23" s="37">
        <f t="shared" si="25"/>
        <v>3640</v>
      </c>
      <c r="AB23" s="37">
        <f t="shared" si="26"/>
        <v>7400</v>
      </c>
      <c r="AC23" s="37">
        <f t="shared" si="27"/>
        <v>8810</v>
      </c>
      <c r="AD23" s="35">
        <f t="shared" si="28"/>
        <v>65860</v>
      </c>
      <c r="AF23" s="20">
        <f t="shared" si="1"/>
        <v>5.3500000000000005</v>
      </c>
      <c r="AG23" s="20">
        <f t="shared" si="2"/>
        <v>79.2</v>
      </c>
      <c r="AH23" s="20">
        <f t="shared" si="3"/>
        <v>20.6</v>
      </c>
      <c r="AI23" s="20">
        <f t="shared" si="4"/>
        <v>8.5500000000000007</v>
      </c>
      <c r="AJ23" s="20">
        <f t="shared" si="5"/>
        <v>24.2</v>
      </c>
      <c r="AK23" s="20">
        <f t="shared" si="6"/>
        <v>17.5</v>
      </c>
      <c r="AL23" s="20">
        <f t="shared" si="7"/>
        <v>13.1</v>
      </c>
      <c r="AM23" s="20">
        <f t="shared" si="8"/>
        <v>20.55</v>
      </c>
      <c r="AN23" s="20">
        <f t="shared" si="9"/>
        <v>25.400000000000002</v>
      </c>
      <c r="AO23" s="20">
        <f t="shared" si="10"/>
        <v>15.6</v>
      </c>
      <c r="AP23" s="20">
        <f t="shared" si="11"/>
        <v>18.2</v>
      </c>
      <c r="AQ23" s="20">
        <f t="shared" si="12"/>
        <v>37</v>
      </c>
      <c r="AR23" s="20">
        <f t="shared" si="13"/>
        <v>44.050000000000004</v>
      </c>
      <c r="AS23" s="35">
        <f t="shared" si="29"/>
        <v>329.3</v>
      </c>
      <c r="AU23" s="47">
        <v>178684</v>
      </c>
      <c r="AV23" s="37">
        <f t="shared" si="31"/>
        <v>2188</v>
      </c>
      <c r="AW23" s="35">
        <f t="shared" si="30"/>
        <v>4.3760000000000003</v>
      </c>
    </row>
    <row r="24" spans="1:49" x14ac:dyDescent="0.25">
      <c r="A24" s="23">
        <v>44092</v>
      </c>
      <c r="B24" s="40">
        <v>187</v>
      </c>
      <c r="C24" s="24">
        <v>6360940</v>
      </c>
      <c r="D24" s="24">
        <v>14168530</v>
      </c>
      <c r="E24" s="24">
        <v>2037780</v>
      </c>
      <c r="F24" s="24">
        <v>3028390</v>
      </c>
      <c r="G24" s="24">
        <v>9187860</v>
      </c>
      <c r="H24" s="24">
        <v>4666650</v>
      </c>
      <c r="I24" s="24">
        <v>4460370</v>
      </c>
      <c r="J24" s="24">
        <v>4995790</v>
      </c>
      <c r="K24" s="24">
        <v>7854790</v>
      </c>
      <c r="L24" s="24">
        <v>3168030</v>
      </c>
      <c r="M24" s="24">
        <v>7033820</v>
      </c>
      <c r="N24" s="24">
        <v>10236650</v>
      </c>
      <c r="O24" s="24">
        <v>13830870</v>
      </c>
      <c r="Q24" s="37">
        <f t="shared" si="16"/>
        <v>930</v>
      </c>
      <c r="R24" s="37">
        <f t="shared" si="17"/>
        <v>12470</v>
      </c>
      <c r="S24" s="37">
        <f t="shared" si="15"/>
        <v>3170</v>
      </c>
      <c r="T24" s="37">
        <f t="shared" si="18"/>
        <v>1460</v>
      </c>
      <c r="U24" s="37">
        <f t="shared" si="19"/>
        <v>4570</v>
      </c>
      <c r="V24" s="37">
        <f t="shared" si="20"/>
        <v>2980</v>
      </c>
      <c r="W24" s="37">
        <f t="shared" si="21"/>
        <v>2180</v>
      </c>
      <c r="X24" s="37">
        <f t="shared" si="22"/>
        <v>3460</v>
      </c>
      <c r="Y24" s="37">
        <f t="shared" si="23"/>
        <v>4520</v>
      </c>
      <c r="Z24" s="37">
        <f t="shared" si="24"/>
        <v>2840</v>
      </c>
      <c r="AA24" s="37">
        <f t="shared" si="25"/>
        <v>3390</v>
      </c>
      <c r="AB24" s="37">
        <f t="shared" si="26"/>
        <v>6410</v>
      </c>
      <c r="AC24" s="37">
        <f t="shared" si="27"/>
        <v>7560</v>
      </c>
      <c r="AD24" s="35">
        <f t="shared" si="28"/>
        <v>55940</v>
      </c>
      <c r="AF24" s="20">
        <f t="shared" si="1"/>
        <v>4.6500000000000004</v>
      </c>
      <c r="AG24" s="20">
        <f t="shared" si="2"/>
        <v>62.35</v>
      </c>
      <c r="AH24" s="20">
        <f t="shared" si="3"/>
        <v>15.85</v>
      </c>
      <c r="AI24" s="20">
        <f t="shared" si="4"/>
        <v>7.3</v>
      </c>
      <c r="AJ24" s="20">
        <f t="shared" si="5"/>
        <v>22.85</v>
      </c>
      <c r="AK24" s="20">
        <f t="shared" si="6"/>
        <v>14.9</v>
      </c>
      <c r="AL24" s="20">
        <f t="shared" si="7"/>
        <v>10.9</v>
      </c>
      <c r="AM24" s="20">
        <f t="shared" si="8"/>
        <v>17.3</v>
      </c>
      <c r="AN24" s="20">
        <f t="shared" si="9"/>
        <v>22.6</v>
      </c>
      <c r="AO24" s="20">
        <f t="shared" si="10"/>
        <v>14.200000000000001</v>
      </c>
      <c r="AP24" s="20">
        <f t="shared" si="11"/>
        <v>16.95</v>
      </c>
      <c r="AQ24" s="20">
        <f t="shared" si="12"/>
        <v>32.049999999999997</v>
      </c>
      <c r="AR24" s="20">
        <f t="shared" si="13"/>
        <v>37.800000000000004</v>
      </c>
      <c r="AS24" s="35">
        <f t="shared" si="29"/>
        <v>279.7</v>
      </c>
      <c r="AU24" s="47">
        <v>181066</v>
      </c>
      <c r="AV24" s="37">
        <f t="shared" si="31"/>
        <v>2382</v>
      </c>
      <c r="AW24" s="35">
        <f t="shared" si="30"/>
        <v>4.7640000000000002</v>
      </c>
    </row>
    <row r="25" spans="1:49" x14ac:dyDescent="0.25">
      <c r="A25" s="23">
        <v>44093</v>
      </c>
      <c r="B25" s="40">
        <v>115</v>
      </c>
      <c r="C25" s="24">
        <v>6361960</v>
      </c>
      <c r="D25" s="24">
        <v>14182120</v>
      </c>
      <c r="E25" s="24">
        <v>2041190</v>
      </c>
      <c r="F25" s="24">
        <v>3030000</v>
      </c>
      <c r="G25" s="24">
        <v>9192920</v>
      </c>
      <c r="H25" s="24">
        <v>4669970</v>
      </c>
      <c r="I25" s="24">
        <v>4462800</v>
      </c>
      <c r="J25" s="24">
        <v>4999670</v>
      </c>
      <c r="K25" s="24">
        <v>7859810</v>
      </c>
      <c r="L25" s="24">
        <v>3170910</v>
      </c>
      <c r="M25" s="24">
        <v>7037410</v>
      </c>
      <c r="N25" s="24">
        <v>10243690</v>
      </c>
      <c r="O25" s="24">
        <v>13839980</v>
      </c>
      <c r="Q25" s="37">
        <f t="shared" ref="Q25:AC27" si="33">IF((C25-C24&lt;0), "0",C25-C24)</f>
        <v>1020</v>
      </c>
      <c r="R25" s="37">
        <f t="shared" si="33"/>
        <v>13590</v>
      </c>
      <c r="S25" s="37">
        <f t="shared" si="33"/>
        <v>3410</v>
      </c>
      <c r="T25" s="37">
        <f t="shared" si="33"/>
        <v>1610</v>
      </c>
      <c r="U25" s="37">
        <f t="shared" si="33"/>
        <v>5060</v>
      </c>
      <c r="V25" s="37">
        <f t="shared" si="33"/>
        <v>3320</v>
      </c>
      <c r="W25" s="37">
        <f t="shared" si="33"/>
        <v>2430</v>
      </c>
      <c r="X25" s="37">
        <f t="shared" si="33"/>
        <v>3880</v>
      </c>
      <c r="Y25" s="37">
        <f t="shared" si="33"/>
        <v>5020</v>
      </c>
      <c r="Z25" s="37">
        <f t="shared" si="33"/>
        <v>2880</v>
      </c>
      <c r="AA25" s="37">
        <f t="shared" si="33"/>
        <v>3590</v>
      </c>
      <c r="AB25" s="37">
        <f t="shared" si="33"/>
        <v>7040</v>
      </c>
      <c r="AC25" s="37">
        <f t="shared" si="33"/>
        <v>9110</v>
      </c>
      <c r="AD25" s="35">
        <f t="shared" si="28"/>
        <v>61960</v>
      </c>
      <c r="AF25" s="20">
        <f t="shared" si="1"/>
        <v>5.1000000000000005</v>
      </c>
      <c r="AG25" s="20">
        <f t="shared" si="2"/>
        <v>67.95</v>
      </c>
      <c r="AH25" s="20">
        <f t="shared" si="3"/>
        <v>17.05</v>
      </c>
      <c r="AI25" s="20">
        <f t="shared" si="4"/>
        <v>8.0500000000000007</v>
      </c>
      <c r="AJ25" s="20">
        <f t="shared" si="5"/>
        <v>25.3</v>
      </c>
      <c r="AK25" s="20">
        <f t="shared" si="6"/>
        <v>16.600000000000001</v>
      </c>
      <c r="AL25" s="20">
        <f t="shared" si="7"/>
        <v>12.15</v>
      </c>
      <c r="AM25" s="20">
        <f t="shared" si="8"/>
        <v>19.400000000000002</v>
      </c>
      <c r="AN25" s="20">
        <f t="shared" si="9"/>
        <v>25.1</v>
      </c>
      <c r="AO25" s="20">
        <f t="shared" si="10"/>
        <v>14.4</v>
      </c>
      <c r="AP25" s="20">
        <f t="shared" si="11"/>
        <v>17.95</v>
      </c>
      <c r="AQ25" s="20">
        <f t="shared" si="12"/>
        <v>35.200000000000003</v>
      </c>
      <c r="AR25" s="20">
        <f t="shared" si="13"/>
        <v>45.550000000000004</v>
      </c>
      <c r="AS25" s="35">
        <f t="shared" si="29"/>
        <v>309.8</v>
      </c>
      <c r="AU25" s="47">
        <v>183375</v>
      </c>
      <c r="AV25" s="37">
        <f t="shared" si="31"/>
        <v>2309</v>
      </c>
      <c r="AW25" s="35">
        <f t="shared" si="30"/>
        <v>4.6180000000000003</v>
      </c>
    </row>
    <row r="26" spans="1:49" x14ac:dyDescent="0.25">
      <c r="A26" s="23">
        <v>44094</v>
      </c>
      <c r="B26" s="40">
        <v>176</v>
      </c>
      <c r="C26" s="24">
        <v>6362940</v>
      </c>
      <c r="D26" s="24">
        <v>14195330</v>
      </c>
      <c r="E26" s="24">
        <v>2044530</v>
      </c>
      <c r="F26" s="24">
        <v>3031530</v>
      </c>
      <c r="G26" s="24">
        <v>9197310</v>
      </c>
      <c r="H26" s="24">
        <v>4673050</v>
      </c>
      <c r="I26" s="24">
        <v>4465080</v>
      </c>
      <c r="J26" s="24">
        <v>5002950</v>
      </c>
      <c r="K26" s="24">
        <v>7564270</v>
      </c>
      <c r="L26" s="24">
        <v>3173520</v>
      </c>
      <c r="M26" s="24">
        <v>7040480</v>
      </c>
      <c r="N26" s="24">
        <v>10250250</v>
      </c>
      <c r="O26" s="24">
        <v>13849900</v>
      </c>
      <c r="Q26" s="37">
        <f t="shared" si="33"/>
        <v>980</v>
      </c>
      <c r="R26" s="37">
        <f t="shared" si="33"/>
        <v>13210</v>
      </c>
      <c r="S26" s="37">
        <f t="shared" si="33"/>
        <v>3340</v>
      </c>
      <c r="T26" s="37">
        <f t="shared" si="33"/>
        <v>1530</v>
      </c>
      <c r="U26" s="37">
        <f t="shared" si="33"/>
        <v>4390</v>
      </c>
      <c r="V26" s="37">
        <f t="shared" si="33"/>
        <v>3080</v>
      </c>
      <c r="W26" s="37">
        <f t="shared" si="33"/>
        <v>2280</v>
      </c>
      <c r="X26" s="37">
        <f t="shared" si="33"/>
        <v>3280</v>
      </c>
      <c r="Y26" s="37" t="str">
        <f t="shared" si="33"/>
        <v>0</v>
      </c>
      <c r="Z26" s="37">
        <f t="shared" si="33"/>
        <v>2610</v>
      </c>
      <c r="AA26" s="37">
        <f t="shared" si="33"/>
        <v>3070</v>
      </c>
      <c r="AB26" s="37">
        <f t="shared" si="33"/>
        <v>6560</v>
      </c>
      <c r="AC26" s="37">
        <f t="shared" si="33"/>
        <v>9920</v>
      </c>
      <c r="AD26" s="35">
        <f t="shared" si="28"/>
        <v>54250</v>
      </c>
      <c r="AF26" s="20">
        <f t="shared" si="1"/>
        <v>4.9000000000000004</v>
      </c>
      <c r="AG26" s="20">
        <f t="shared" si="2"/>
        <v>66.05</v>
      </c>
      <c r="AH26" s="20">
        <f t="shared" si="3"/>
        <v>16.7</v>
      </c>
      <c r="AI26" s="20">
        <f t="shared" si="4"/>
        <v>7.65</v>
      </c>
      <c r="AJ26" s="20">
        <f t="shared" si="5"/>
        <v>21.95</v>
      </c>
      <c r="AK26" s="20">
        <f t="shared" si="6"/>
        <v>15.4</v>
      </c>
      <c r="AL26" s="20">
        <f t="shared" si="7"/>
        <v>11.4</v>
      </c>
      <c r="AM26" s="20">
        <f t="shared" si="8"/>
        <v>16.399999999999999</v>
      </c>
      <c r="AN26" s="20">
        <f t="shared" si="9"/>
        <v>0</v>
      </c>
      <c r="AO26" s="20">
        <f t="shared" si="10"/>
        <v>13.05</v>
      </c>
      <c r="AP26" s="20">
        <f t="shared" si="11"/>
        <v>15.35</v>
      </c>
      <c r="AQ26" s="20">
        <f t="shared" si="12"/>
        <v>32.799999999999997</v>
      </c>
      <c r="AR26" s="20">
        <f t="shared" si="13"/>
        <v>49.6</v>
      </c>
      <c r="AS26" s="35">
        <f t="shared" si="29"/>
        <v>271.25000000000006</v>
      </c>
      <c r="AU26" s="47">
        <v>185708</v>
      </c>
      <c r="AV26" s="37">
        <f t="shared" si="31"/>
        <v>2333</v>
      </c>
      <c r="AW26" s="35">
        <f t="shared" si="30"/>
        <v>4.6660000000000004</v>
      </c>
    </row>
    <row r="27" spans="1:49" x14ac:dyDescent="0.25">
      <c r="A27" s="23">
        <v>44095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19920</v>
      </c>
      <c r="R38" s="30">
        <f t="shared" si="62"/>
        <v>284720</v>
      </c>
      <c r="S38" s="30">
        <f t="shared" si="62"/>
        <v>73630</v>
      </c>
      <c r="T38" s="30">
        <f t="shared" si="62"/>
        <v>31890</v>
      </c>
      <c r="U38" s="30">
        <f t="shared" si="62"/>
        <v>95300</v>
      </c>
      <c r="V38" s="30">
        <f t="shared" si="62"/>
        <v>64580</v>
      </c>
      <c r="W38" s="30">
        <f t="shared" si="62"/>
        <v>47090</v>
      </c>
      <c r="X38" s="30">
        <f t="shared" si="62"/>
        <v>68870</v>
      </c>
      <c r="Y38" s="30">
        <f t="shared" si="62"/>
        <v>90130</v>
      </c>
      <c r="Z38" s="30">
        <f t="shared" si="62"/>
        <v>56530</v>
      </c>
      <c r="AA38" s="30">
        <f t="shared" si="62"/>
        <v>66120</v>
      </c>
      <c r="AB38" s="30">
        <f t="shared" si="62"/>
        <v>136700</v>
      </c>
      <c r="AC38" s="30">
        <f t="shared" si="62"/>
        <v>174820</v>
      </c>
      <c r="AD38" s="35">
        <f t="shared" si="62"/>
        <v>1210300</v>
      </c>
      <c r="AF38" s="35">
        <f t="shared" ref="AF38:AS38" si="63">SUM(AF7:AF34)</f>
        <v>99.59999999999998</v>
      </c>
      <c r="AG38" s="35">
        <f t="shared" si="63"/>
        <v>1423.6</v>
      </c>
      <c r="AH38" s="35">
        <f t="shared" si="63"/>
        <v>368.15000000000003</v>
      </c>
      <c r="AI38" s="35">
        <f t="shared" si="63"/>
        <v>159.45000000000002</v>
      </c>
      <c r="AJ38" s="35">
        <f t="shared" si="63"/>
        <v>476.5</v>
      </c>
      <c r="AK38" s="35">
        <f t="shared" si="63"/>
        <v>322.89999999999998</v>
      </c>
      <c r="AL38" s="35">
        <f t="shared" si="63"/>
        <v>235.45000000000002</v>
      </c>
      <c r="AM38" s="35">
        <f t="shared" si="63"/>
        <v>344.34999999999997</v>
      </c>
      <c r="AN38" s="35">
        <f t="shared" si="63"/>
        <v>450.65000000000003</v>
      </c>
      <c r="AO38" s="35">
        <f t="shared" si="63"/>
        <v>282.64999999999998</v>
      </c>
      <c r="AP38" s="35">
        <f t="shared" si="63"/>
        <v>330.59999999999997</v>
      </c>
      <c r="AQ38" s="35">
        <f t="shared" si="63"/>
        <v>683.5</v>
      </c>
      <c r="AR38" s="35">
        <f t="shared" si="63"/>
        <v>874.09999999999991</v>
      </c>
      <c r="AS38" s="35">
        <f t="shared" si="63"/>
        <v>6051.5000000000009</v>
      </c>
      <c r="AU38" s="48"/>
      <c r="AV38" s="35">
        <f>SUM(AV7:AV34)</f>
        <v>50521</v>
      </c>
      <c r="AW38" s="35">
        <f>SUM(AW7:AW34)</f>
        <v>89.433999999999997</v>
      </c>
    </row>
    <row r="39" spans="1:49" x14ac:dyDescent="0.25">
      <c r="D39">
        <v>5.0000000000000001E-3</v>
      </c>
      <c r="AV39" s="36">
        <f>AV38*0.00378541*1000</f>
        <v>191242.69860999999</v>
      </c>
    </row>
    <row r="40" spans="1:49" x14ac:dyDescent="0.25">
      <c r="D40">
        <v>2E-3</v>
      </c>
      <c r="AV40">
        <f>AV39/31</f>
        <v>6169.11931</v>
      </c>
    </row>
    <row r="41" spans="1:49" x14ac:dyDescent="0.25">
      <c r="AV41">
        <f>AV38*0.00378541</f>
        <v>191.24269860999999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2020-09-21T05:27:57Z</dcterms:modified>
</cp:coreProperties>
</file>