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440" documentId="8_{A61DAC58-60B6-4A85-A856-410E2D059BAD}" xr6:coauthVersionLast="47" xr6:coauthVersionMax="47" xr10:uidLastSave="{B79D448E-6CDA-4E2F-A535-81D5D4FCCC0D}"/>
  <bookViews>
    <workbookView xWindow="-120" yWindow="-120" windowWidth="16440" windowHeight="28440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2" i="1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C47" i="5"/>
  <c r="C48" i="5"/>
  <c r="C45" i="5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F46" i="6"/>
  <c r="BF48" i="6"/>
  <c r="BF49" i="6"/>
  <c r="BF50" i="6"/>
  <c r="BF51" i="6"/>
  <c r="AZ43" i="3"/>
  <c r="BD46" i="6"/>
  <c r="BD48" i="6"/>
  <c r="BD49" i="6"/>
  <c r="BD50" i="6"/>
  <c r="BD51" i="6"/>
  <c r="AY43" i="3"/>
  <c r="BB46" i="6"/>
  <c r="BB48" i="6"/>
  <c r="BB49" i="6"/>
  <c r="BB50" i="6"/>
  <c r="BB51" i="6"/>
  <c r="AW43" i="3"/>
  <c r="AY46" i="6"/>
  <c r="AY48" i="6"/>
  <c r="AY49" i="6"/>
  <c r="AY50" i="6"/>
  <c r="AY51" i="6"/>
  <c r="AV43" i="3"/>
  <c r="AW46" i="6"/>
  <c r="AW48" i="6"/>
  <c r="AW49" i="6"/>
  <c r="AW50" i="6"/>
  <c r="AW51" i="6"/>
  <c r="AU43" i="3"/>
  <c r="AT46" i="6"/>
  <c r="AT48" i="6"/>
  <c r="AT49" i="6"/>
  <c r="AT50" i="6"/>
  <c r="AT51" i="6"/>
  <c r="AT43" i="3"/>
  <c r="AP46" i="6"/>
  <c r="AP48" i="6"/>
  <c r="AP49" i="6"/>
  <c r="AP50" i="6"/>
  <c r="AP51" i="6"/>
  <c r="AS43" i="3"/>
  <c r="AN46" i="6"/>
  <c r="AN48" i="6"/>
  <c r="AN49" i="6"/>
  <c r="AN50" i="6"/>
  <c r="AN51" i="6"/>
  <c r="AR43" i="3"/>
  <c r="AL46" i="6"/>
  <c r="AL48" i="6"/>
  <c r="AL49" i="6"/>
  <c r="AL50" i="6"/>
  <c r="AL51" i="6"/>
  <c r="AQ43" i="3"/>
  <c r="AJ46" i="6"/>
  <c r="AJ48" i="6"/>
  <c r="AJ49" i="6"/>
  <c r="AJ50" i="6"/>
  <c r="AJ51" i="6"/>
  <c r="AP43" i="3"/>
  <c r="AH46" i="6"/>
  <c r="AH48" i="6"/>
  <c r="AH49" i="6"/>
  <c r="AH50" i="6"/>
  <c r="AH51" i="6"/>
  <c r="AO43" i="3"/>
  <c r="AF46" i="6"/>
  <c r="AF48" i="6"/>
  <c r="AF49" i="6"/>
  <c r="AF50" i="6"/>
  <c r="AF51" i="6"/>
  <c r="AN43" i="3"/>
  <c r="AD46" i="6"/>
  <c r="AD48" i="6"/>
  <c r="AD49" i="6"/>
  <c r="AD50" i="6"/>
  <c r="AD51" i="6"/>
  <c r="AM43" i="3"/>
  <c r="AB46" i="6"/>
  <c r="AB48" i="6"/>
  <c r="AB49" i="6"/>
  <c r="AB50" i="6"/>
  <c r="AB51" i="6"/>
  <c r="AL43" i="3"/>
  <c r="X46" i="6"/>
  <c r="X48" i="6"/>
  <c r="X49" i="6"/>
  <c r="X50" i="6"/>
  <c r="X51" i="6"/>
  <c r="AK43" i="3"/>
  <c r="U46" i="6"/>
  <c r="U48" i="6"/>
  <c r="U49" i="6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J43" i="3"/>
  <c r="Q46" i="6"/>
  <c r="Q48" i="6"/>
  <c r="Q49" i="6"/>
  <c r="Q50" i="6"/>
  <c r="Q51" i="6"/>
  <c r="AI43" i="3"/>
  <c r="N46" i="6"/>
  <c r="N48" i="6"/>
  <c r="N49" i="6"/>
  <c r="N50" i="6"/>
  <c r="N51" i="6"/>
  <c r="AH43" i="3"/>
  <c r="K46" i="6"/>
  <c r="K48" i="6"/>
  <c r="K49" i="6"/>
  <c r="K50" i="6"/>
  <c r="K51" i="6"/>
  <c r="AG43" i="3"/>
  <c r="H46" i="6"/>
  <c r="H48" i="6"/>
  <c r="H49" i="6"/>
  <c r="H50" i="6"/>
  <c r="H51" i="6"/>
  <c r="AF43" i="3"/>
  <c r="E46" i="6"/>
  <c r="E48" i="6"/>
  <c r="E49" i="6"/>
  <c r="E50" i="6"/>
  <c r="E51" i="6"/>
  <c r="AE43" i="3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D43" i="3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B43" i="3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C43" i="3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Z43" i="3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X43" i="3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V43" i="3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N43" i="3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T43" i="3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P43" i="3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R43" i="3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F43" i="3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H43" i="3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Y9" i="6" l="1"/>
  <c r="Y37" i="6"/>
  <c r="G14" i="1"/>
  <c r="Y22" i="6"/>
  <c r="Y16" i="6"/>
  <c r="Y34" i="6"/>
  <c r="AL30" i="3"/>
  <c r="G29" i="1" s="1"/>
  <c r="Y21" i="6"/>
  <c r="G13" i="1"/>
  <c r="Y27" i="6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6" i="6"/>
  <c r="G8" i="1"/>
  <c r="AX43" i="3"/>
  <c r="AX42" i="3"/>
  <c r="I3" i="1"/>
  <c r="J3" i="1" s="1"/>
  <c r="J44" i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J42" i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J43" i="1"/>
  <c r="E55" i="1"/>
  <c r="F55" i="1" s="1"/>
  <c r="E49" i="1"/>
  <c r="F49" i="1" s="1"/>
  <c r="J47" i="1"/>
  <c r="G40" i="1"/>
  <c r="G31" i="1"/>
  <c r="J46" i="1"/>
  <c r="E56" i="1"/>
  <c r="F56" i="1" s="1"/>
  <c r="G35" i="1"/>
  <c r="J51" i="1"/>
  <c r="E51" i="1"/>
  <c r="F51" i="1" s="1"/>
  <c r="J49" i="1"/>
  <c r="J45" i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J60" i="1"/>
  <c r="J57" i="1"/>
  <c r="J56" i="1"/>
  <c r="AX41" i="3"/>
  <c r="I40" i="1"/>
  <c r="J40" i="1" s="1"/>
  <c r="AX37" i="3"/>
  <c r="I32" i="1"/>
  <c r="J32" i="1" s="1"/>
  <c r="AX33" i="3"/>
  <c r="AX36" i="3"/>
  <c r="I35" i="1"/>
  <c r="J35" i="1" s="1"/>
  <c r="J59" i="1"/>
  <c r="E59" i="1"/>
  <c r="F59" i="1" s="1"/>
  <c r="E57" i="1"/>
  <c r="F57" i="1" s="1"/>
  <c r="J55" i="1"/>
  <c r="J53" i="1"/>
  <c r="E53" i="1"/>
  <c r="F53" i="1" s="1"/>
  <c r="J52" i="1"/>
  <c r="Y49" i="6"/>
  <c r="J48" i="1"/>
  <c r="AO48" i="5"/>
  <c r="AO51" i="5"/>
  <c r="AP51" i="5"/>
  <c r="AO47" i="5"/>
  <c r="E44" i="1"/>
  <c r="F44" i="1" s="1"/>
  <c r="AP47" i="5"/>
  <c r="AP46" i="5"/>
  <c r="BD51" i="5"/>
  <c r="BD47" i="5"/>
  <c r="Y46" i="6"/>
  <c r="J58" i="1"/>
  <c r="J54" i="1"/>
  <c r="J50" i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BD49" i="5"/>
  <c r="BD45" i="5"/>
  <c r="Y45" i="6"/>
  <c r="AZ49" i="6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<sst xmlns="http://schemas.openxmlformats.org/spreadsheetml/2006/main" count="2628" uniqueCount="469">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</sst>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5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tabSelected="1" workbookViewId="0">
      <selection activeCell="F35" sqref="F35:F36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9" t="s">
        <v>1</v>
      </c>
      <c r="C1" s="269" t="s">
        <v>2</v>
      </c>
      <c r="D1" s="26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70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70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70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70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70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70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70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70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 t="e">
        <f>((Submetering!#REF!+Submetering!#REF!)*0.8868+(1712.96+1070.52)/30+(Submetering!#REF!+Submetering!#REF!+Submetering!#REF!+Submetering!#REF!)*1.1251+(2076.11+129.67+207.57+207.57)/30+(11680.53+56.61)/30)/I42</f>
        <v>#REF!</v>
      </c>
      <c r="K42" s="4">
        <f>Elect!C45</f>
        <v>1269</v>
      </c>
      <c r="L42" s="270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((Submetering!AG43+Submetering!BA43)*0.8868+(1712.96+1070.52)/30+(Submetering!AF43+Submetering!AY43+Submetering!AV43+Submetering!AZ43)*1.1251+(2076.11+129.67+207.57+207.57)/30+(11680.53+56.61)/30)/I43</f>
        <v>#DIV/0!</v>
      </c>
      <c r="K43" s="4">
        <f>Elect!C46</f>
        <v>1100</v>
      </c>
      <c r="L43" s="270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1715</v>
      </c>
      <c r="L44" s="270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1027</v>
      </c>
      <c r="L45" s="270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70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70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70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2"/>
    <col min="39" max="40" width="11.5703125" style="207"/>
    <col min="47" max="47" width="11.5703125" style="207"/>
    <col min="49" max="49" width="11.5703125" style="207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7" t="s">
        <v>12</v>
      </c>
      <c r="F1" s="47" t="s">
        <v>13</v>
      </c>
      <c r="G1" s="47" t="s">
        <v>14</v>
      </c>
      <c r="H1" s="47" t="s">
        <v>15</v>
      </c>
      <c r="I1" s="47" t="s">
        <v>16</v>
      </c>
      <c r="J1" s="47" t="s">
        <v>17</v>
      </c>
      <c r="K1" s="47" t="s">
        <v>18</v>
      </c>
      <c r="L1" s="47" t="s">
        <v>19</v>
      </c>
      <c r="M1" s="47" t="s">
        <v>20</v>
      </c>
      <c r="N1" s="47" t="s">
        <v>21</v>
      </c>
      <c r="O1" s="47" t="s">
        <v>22</v>
      </c>
      <c r="P1" s="47" t="s">
        <v>23</v>
      </c>
      <c r="Q1" s="47" t="s">
        <v>24</v>
      </c>
      <c r="R1" s="47" t="s">
        <v>25</v>
      </c>
      <c r="S1" s="47" t="s">
        <v>26</v>
      </c>
      <c r="T1" s="47" t="s">
        <v>27</v>
      </c>
      <c r="U1" s="47" t="s">
        <v>28</v>
      </c>
      <c r="V1" s="47" t="s">
        <v>29</v>
      </c>
      <c r="W1" s="47" t="s">
        <v>30</v>
      </c>
      <c r="X1" s="47" t="s">
        <v>31</v>
      </c>
      <c r="Y1" s="47" t="s">
        <v>32</v>
      </c>
      <c r="Z1" s="47" t="s">
        <v>33</v>
      </c>
      <c r="AA1" s="47" t="s">
        <v>34</v>
      </c>
      <c r="AB1" s="47" t="s">
        <v>35</v>
      </c>
      <c r="AC1" s="47" t="s">
        <v>36</v>
      </c>
      <c r="AD1" s="47" t="s">
        <v>37</v>
      </c>
      <c r="AE1" s="47" t="s">
        <v>38</v>
      </c>
      <c r="AF1" s="49" t="s">
        <v>39</v>
      </c>
      <c r="AG1" s="49" t="s">
        <v>40</v>
      </c>
      <c r="AH1" s="49" t="s">
        <v>41</v>
      </c>
      <c r="AI1" s="49" t="s">
        <v>42</v>
      </c>
      <c r="AJ1" s="49" t="s">
        <v>43</v>
      </c>
      <c r="AK1" s="50" t="s">
        <v>44</v>
      </c>
      <c r="AL1" s="50" t="s">
        <v>45</v>
      </c>
      <c r="AM1" s="49" t="s">
        <v>46</v>
      </c>
      <c r="AN1" s="49" t="s">
        <v>47</v>
      </c>
      <c r="AO1" s="49" t="s">
        <v>48</v>
      </c>
      <c r="AP1" s="49" t="s">
        <v>49</v>
      </c>
      <c r="AQ1" s="49" t="s">
        <v>50</v>
      </c>
      <c r="AR1" s="49" t="s">
        <v>51</v>
      </c>
      <c r="AS1" s="49" t="s">
        <v>52</v>
      </c>
      <c r="AT1" s="49" t="s">
        <v>53</v>
      </c>
      <c r="AU1" s="50" t="s">
        <v>54</v>
      </c>
      <c r="AV1" s="49" t="s">
        <v>55</v>
      </c>
      <c r="AW1" s="49" t="s">
        <v>56</v>
      </c>
      <c r="AX1" s="49" t="s">
        <v>57</v>
      </c>
      <c r="AY1" s="49" t="s">
        <v>58</v>
      </c>
      <c r="AZ1" s="49" t="s">
        <v>59</v>
      </c>
      <c r="BA1" s="49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8">
        <f>IF(Elect!AM4&lt;0,"0",Elect!AM4)</f>
        <v>0</v>
      </c>
      <c r="F2" s="48" t="str">
        <f>IF(Elect!I4&lt;0,"0",Elect!I4)</f>
        <v xml:space="preserve"> </v>
      </c>
      <c r="G2" s="48">
        <f>Elect!H4</f>
        <v>2.2989999999999999</v>
      </c>
      <c r="H2" s="48" t="str">
        <f>IF(Elect!F4&lt;0,"0",Elect!F4)</f>
        <v xml:space="preserve"> </v>
      </c>
      <c r="I2" s="48">
        <f>Elect!E4</f>
        <v>1.99</v>
      </c>
      <c r="J2" s="48" t="str">
        <f>IF(Elect!U4&lt;0,"0",Elect!U4)</f>
        <v xml:space="preserve"> </v>
      </c>
      <c r="K2" s="48">
        <f>Elect!T4</f>
        <v>1.964</v>
      </c>
      <c r="L2" s="48" t="str">
        <f>IF(Elect!AJ4&lt;0,"0",Elect!AJ4)</f>
        <v xml:space="preserve"> </v>
      </c>
      <c r="M2" s="48">
        <f>Elect!AI4</f>
        <v>0.33100000000000002</v>
      </c>
      <c r="N2" s="48" t="str">
        <f>IF(Elect!X4&lt;0,"0",Elect!X4)</f>
        <v xml:space="preserve"> </v>
      </c>
      <c r="O2" s="48">
        <f>Elect!W4</f>
        <v>1.3759999999999999</v>
      </c>
      <c r="P2" s="48" t="str">
        <f>IF(Elect!O4&lt;0,"0",Elect!O4)</f>
        <v xml:space="preserve"> </v>
      </c>
      <c r="Q2" s="48">
        <f>Elect!N4</f>
        <v>2.48</v>
      </c>
      <c r="R2" s="48" t="str">
        <f>IF(Elect!L4&lt;0,"0",Elect!L4)</f>
        <v xml:space="preserve"> </v>
      </c>
      <c r="S2" s="48">
        <f>Elect!K4</f>
        <v>3.07</v>
      </c>
      <c r="T2" s="48" t="str">
        <f>IF(Elect!R4&lt;0,"0",Elect!R4)</f>
        <v xml:space="preserve"> </v>
      </c>
      <c r="U2" s="48">
        <f>Elect!Q4</f>
        <v>2.77</v>
      </c>
      <c r="V2" s="48" t="str">
        <f>IF(Elect!AA4&lt;0,"0",Elect!AA4)</f>
        <v xml:space="preserve"> </v>
      </c>
      <c r="W2" s="48">
        <f>Elect!Z4</f>
        <v>2.56</v>
      </c>
      <c r="X2" s="48" t="str">
        <f>IF(Elect!AD4&lt;0,"0",Elect!AD4)</f>
        <v xml:space="preserve"> </v>
      </c>
      <c r="Y2" s="48">
        <f>Elect!AC4</f>
        <v>1.73</v>
      </c>
      <c r="Z2" s="48" t="str">
        <f>IF(Elect!AG4&lt;0,"0",Elect!AG4)</f>
        <v xml:space="preserve"> </v>
      </c>
      <c r="AA2" s="48">
        <f>Elect!AF4</f>
        <v>2.1619999999999999</v>
      </c>
      <c r="AB2" s="48" t="str">
        <f>IF(Elect!AX4&lt;0,"0",Elect!AX4)</f>
        <v xml:space="preserve"> </v>
      </c>
      <c r="AC2" s="48" t="str">
        <f>IF(Elect!AV4&lt;0,"0",Elect!AV4)</f>
        <v xml:space="preserve"> </v>
      </c>
      <c r="AD2" s="48" t="str">
        <f>IF(Elect!AZ4&lt;0,"0",Elect!AZ4)</f>
        <v xml:space="preserve"> </v>
      </c>
      <c r="AE2" s="48" t="str">
        <f>IF(Elect!BB4&lt;0,"0",Elect!BB4)</f>
        <v xml:space="preserve"> </v>
      </c>
      <c r="AF2" s="230">
        <f>IF('Wtr-Gas'!E4&lt;0,"0",('Wtr-Gas'!E4)*0.0038)</f>
        <v>0</v>
      </c>
      <c r="AG2" s="230">
        <f>IF('Wtr-Gas'!H4&lt;0,"0",('Wtr-Gas'!H4)*0.0038)</f>
        <v>0</v>
      </c>
      <c r="AH2" s="230">
        <f>IF('Wtr-Gas'!K4&lt;0,"0",('Wtr-Gas'!K4)*0.0038)</f>
        <v>0</v>
      </c>
      <c r="AI2" s="230">
        <f>IF('Wtr-Gas'!N4&lt;0,"0",('Wtr-Gas'!N4)*0.0038)</f>
        <v>0</v>
      </c>
      <c r="AJ2" s="230">
        <f>IF('Wtr-Gas'!Q4&lt;0,"0",('Wtr-Gas'!Q4)*0.0038)</f>
        <v>0</v>
      </c>
      <c r="AK2" s="231">
        <f>IF('Wtr-Gas'!U4&lt;0,"0",('Wtr-Gas'!U4)*0.0038)</f>
        <v>0</v>
      </c>
      <c r="AL2" s="231">
        <f>IF('Wtr-Gas'!X4&lt;0,"0",('Wtr-Gas'!X4)*0.0038)</f>
        <v>0</v>
      </c>
      <c r="AM2" s="230">
        <f>IF('Wtr-Gas'!AB4&lt;0,"0",('Wtr-Gas'!AB4)*0.0038)</f>
        <v>0</v>
      </c>
      <c r="AN2" s="230">
        <f>IF('Wtr-Gas'!AD4&lt;0,"0",('Wtr-Gas'!AD4)*0.0038)</f>
        <v>0</v>
      </c>
      <c r="AO2" s="230">
        <f>IF('Wtr-Gas'!AF4&lt;0,"0",('Wtr-Gas'!AF4)*0.0038)</f>
        <v>0</v>
      </c>
      <c r="AP2" s="230">
        <f>IF('Wtr-Gas'!AH4&lt;0,"0",('Wtr-Gas'!AH4)*0.0038)</f>
        <v>0</v>
      </c>
      <c r="AQ2" s="230">
        <f>IF('Wtr-Gas'!AJ4&lt;0,"0",('Wtr-Gas'!AJ4)*0.0038)</f>
        <v>0</v>
      </c>
      <c r="AR2" s="230">
        <f>IF('Wtr-Gas'!AL4&lt;0,"0",('Wtr-Gas'!AL4)*0.0038)</f>
        <v>0</v>
      </c>
      <c r="AS2" s="230">
        <f>IF('Wtr-Gas'!AN4&lt;0,"0",('Wtr-Gas'!AN4)*0.0038)</f>
        <v>0</v>
      </c>
      <c r="AT2" s="230">
        <f>IF('Wtr-Gas'!AP4&lt;0,"0",('Wtr-Gas'!AP4)*0.0038)</f>
        <v>0</v>
      </c>
      <c r="AU2" s="251">
        <f>IF('Wtr-Gas'!AT4&lt;0,"0",('Wtr-Gas'!AT4)*0.0038)</f>
        <v>0</v>
      </c>
      <c r="AV2" s="230">
        <f>IF('Wtr-Gas'!AW4&lt;0,"0",('Wtr-Gas'!AW4)*0.0038)</f>
        <v>0</v>
      </c>
      <c r="AW2" s="230">
        <f>IF('Wtr-Gas'!AY4&lt;0,"0",('Wtr-Gas'!AY4)*0.0038)</f>
        <v>0</v>
      </c>
      <c r="AX2" s="230">
        <f>IF('Wtr-Gas'!AZ4&lt;0,"0",('Wtr-Gas'!AZ4)*0.0038)</f>
        <v>0</v>
      </c>
      <c r="AY2" s="230">
        <f>IF('Wtr-Gas'!BB4&lt;0,"0",('Wtr-Gas'!BB4)*0.0038)</f>
        <v>0</v>
      </c>
      <c r="AZ2" s="230">
        <f>IF('Wtr-Gas'!BD4&lt;0,"0",('Wtr-Gas'!BD4)*0.0038)</f>
        <v>0</v>
      </c>
      <c r="BA2" s="230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8">
        <f>IF(Elect!AM5&lt;0,"0",Elect!AM5)</f>
        <v>251</v>
      </c>
      <c r="F3" s="48">
        <f>IF(Elect!I5&lt;0,"0",Elect!I5)</f>
        <v>21440</v>
      </c>
      <c r="G3" s="48">
        <f>Elect!H5</f>
        <v>2.2989999999999999</v>
      </c>
      <c r="H3" s="48">
        <f>IF(Elect!F5&lt;0,"0",Elect!F5)</f>
        <v>19200</v>
      </c>
      <c r="I3" s="48">
        <f>Elect!E5</f>
        <v>1.99</v>
      </c>
      <c r="J3" s="48">
        <f>IF(Elect!U5&lt;0,"0",Elect!U5)</f>
        <v>31800</v>
      </c>
      <c r="K3" s="48">
        <f>Elect!T5</f>
        <v>2.0670000000000002</v>
      </c>
      <c r="L3" s="48" t="str">
        <f>IF(Elect!AJ5&lt;0,"0",Elect!AJ5)</f>
        <v>0</v>
      </c>
      <c r="M3" s="48">
        <f>Elect!AI5</f>
        <v>0.33100000000000002</v>
      </c>
      <c r="N3" s="48">
        <f>IF(Elect!X5&lt;0,"0",Elect!X5)</f>
        <v>18300</v>
      </c>
      <c r="O3" s="48">
        <f>Elect!W5</f>
        <v>1.373</v>
      </c>
      <c r="P3" s="48">
        <f>IF(Elect!O5&lt;0,"0",Elect!O5)</f>
        <v>4400</v>
      </c>
      <c r="Q3" s="48">
        <f>Elect!N5</f>
        <v>2.48</v>
      </c>
      <c r="R3" s="48">
        <f>IF(Elect!L5&lt;0,"0",Elect!L5)</f>
        <v>5200</v>
      </c>
      <c r="S3" s="48">
        <f>Elect!K5</f>
        <v>3.07</v>
      </c>
      <c r="T3" s="48">
        <f>IF(Elect!R5&lt;0,"0",Elect!R5)</f>
        <v>4800</v>
      </c>
      <c r="U3" s="48">
        <f>Elect!Q5</f>
        <v>2.77</v>
      </c>
      <c r="V3" s="48">
        <f>IF(Elect!AA5&lt;0,"0",Elect!AA5)</f>
        <v>2240</v>
      </c>
      <c r="W3" s="48">
        <f>Elect!Z5</f>
        <v>2.56</v>
      </c>
      <c r="X3" s="48">
        <f>IF(Elect!AD5&lt;0,"0",Elect!AD5)</f>
        <v>1280</v>
      </c>
      <c r="Y3" s="48">
        <f>Elect!AC5</f>
        <v>1.74</v>
      </c>
      <c r="Z3" s="48">
        <f>IF(Elect!AG5&lt;0,"0",Elect!AG5)</f>
        <v>21800</v>
      </c>
      <c r="AA3" s="48">
        <f>Elect!AF5</f>
        <v>2.1619999999999999</v>
      </c>
      <c r="AB3" s="48">
        <f>IF(Elect!AX5&lt;0,"0",Elect!AX5)</f>
        <v>500</v>
      </c>
      <c r="AC3" s="48">
        <f>IF(Elect!AV5&lt;0,"0",Elect!AV5)</f>
        <v>5200</v>
      </c>
      <c r="AD3" s="48">
        <f>IF(Elect!AZ5&lt;0,"0",Elect!AZ5)</f>
        <v>889</v>
      </c>
      <c r="AE3" s="48">
        <f>IF(Elect!BB5&lt;0,"0",Elect!BB5)</f>
        <v>2640</v>
      </c>
      <c r="AF3" s="230">
        <f>IF('Wtr-Gas'!E5&lt;0,"0",('Wtr-Gas'!E5)*0.0038)</f>
        <v>2003.588</v>
      </c>
      <c r="AG3" s="230">
        <f>IF('Wtr-Gas'!H5&lt;0,"0",('Wtr-Gas'!H5)*0.0038)</f>
        <v>1514.2239999999999</v>
      </c>
      <c r="AH3" s="230">
        <f>IF('Wtr-Gas'!K5&lt;0,"0",('Wtr-Gas'!K5)*0.0038)</f>
        <v>0.22800000000000001</v>
      </c>
      <c r="AI3" s="230">
        <f>IF('Wtr-Gas'!N5&lt;0,"0",('Wtr-Gas'!N5)*0.0038)</f>
        <v>1413.6</v>
      </c>
      <c r="AJ3" s="230">
        <f>IF('Wtr-Gas'!Q5&lt;0,"0",('Wtr-Gas'!Q5)*0.0038)</f>
        <v>29.64</v>
      </c>
      <c r="AK3" s="231">
        <f>IF('Wtr-Gas'!U5&lt;0,"0",('Wtr-Gas'!U5)*0.0038)</f>
        <v>424.46</v>
      </c>
      <c r="AL3" s="231">
        <f>IF('Wtr-Gas'!X5&lt;0,"0",('Wtr-Gas'!X5)*0.0038)</f>
        <v>2171.6999999999998</v>
      </c>
      <c r="AM3" s="230">
        <f>IF('Wtr-Gas'!AB5&lt;0,"0",('Wtr-Gas'!AB5)*0.0038)</f>
        <v>3116</v>
      </c>
      <c r="AN3" s="230">
        <f>IF('Wtr-Gas'!AD5&lt;0,"0",('Wtr-Gas'!AD5)*0.0038)</f>
        <v>695.67663999999991</v>
      </c>
      <c r="AO3" s="230">
        <f>IF('Wtr-Gas'!AF5&lt;0,"0",('Wtr-Gas'!AF5)*0.0038)</f>
        <v>1.9</v>
      </c>
      <c r="AP3" s="230">
        <f>IF('Wtr-Gas'!AH5&lt;0,"0",('Wtr-Gas'!AH5)*0.0038)</f>
        <v>156.33199999999999</v>
      </c>
      <c r="AQ3" s="230">
        <f>IF('Wtr-Gas'!AJ5&lt;0,"0",('Wtr-Gas'!AJ5)*0.0038)</f>
        <v>15.3596</v>
      </c>
      <c r="AR3" s="230">
        <f>IF('Wtr-Gas'!AL5&lt;0,"0",('Wtr-Gas'!AL5)*0.0038)</f>
        <v>338.2</v>
      </c>
      <c r="AS3" s="230">
        <f>IF('Wtr-Gas'!AN5&lt;0,"0",('Wtr-Gas'!AN5)*0.0038)</f>
        <v>5.3199999999999997E-2</v>
      </c>
      <c r="AT3" s="230">
        <f>IF('Wtr-Gas'!AP5&lt;0,"0",('Wtr-Gas'!AP5)*0.0038)</f>
        <v>2.2799999999999998</v>
      </c>
      <c r="AU3" s="251">
        <f>IF('Wtr-Gas'!AT5&lt;0,"0",('Wtr-Gas'!AT5)*0.0038)</f>
        <v>0.16339999999999999</v>
      </c>
      <c r="AV3" s="230">
        <f>IF('Wtr-Gas'!AW5&lt;0,"0",('Wtr-Gas'!AW5)*0.0038)</f>
        <v>83.778599999999997</v>
      </c>
      <c r="AW3" s="230">
        <f>IF('Wtr-Gas'!AY5&lt;0,"0",('Wtr-Gas'!AY5)*0.0038)</f>
        <v>64.729200000000006</v>
      </c>
      <c r="AX3" s="230">
        <f>IF('Wtr-Gas'!AZ5&lt;0,"0",('Wtr-Gas'!AZ5)*0.0038)</f>
        <v>19.047613999999999</v>
      </c>
      <c r="AY3" s="230">
        <f>IF('Wtr-Gas'!BB5&lt;0,"0",('Wtr-Gas'!BB5)*0.0038)</f>
        <v>2.2799999999999998</v>
      </c>
      <c r="AZ3" s="230">
        <f>IF('Wtr-Gas'!BD5&lt;0,"0",('Wtr-Gas'!BD5)*0.0038)</f>
        <v>7.6</v>
      </c>
      <c r="BA3" s="230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8">
        <f>IF(Elect!AM6&lt;0,"0",Elect!AM6)</f>
        <v>554</v>
      </c>
      <c r="F4" s="48">
        <f>IF(Elect!I6&lt;0,"0",Elect!I6)</f>
        <v>44320</v>
      </c>
      <c r="G4" s="48">
        <f>Elect!H6</f>
        <v>2.2989999999999999</v>
      </c>
      <c r="H4" s="48">
        <f>IF(Elect!F6&lt;0,"0",Elect!F6)</f>
        <v>40320</v>
      </c>
      <c r="I4" s="48">
        <f>Elect!E6</f>
        <v>1.99</v>
      </c>
      <c r="J4" s="48">
        <f>IF(Elect!U6&lt;0,"0",Elect!U6)</f>
        <v>24300</v>
      </c>
      <c r="K4" s="48">
        <f>Elect!T6</f>
        <v>2.0670000000000002</v>
      </c>
      <c r="L4" s="48">
        <f>IF(Elect!AJ6&lt;0,"0",Elect!AJ6)</f>
        <v>3480</v>
      </c>
      <c r="M4" s="48">
        <f>Elect!AI6</f>
        <v>0.33100000000000002</v>
      </c>
      <c r="N4" s="48">
        <f>IF(Elect!X6&lt;0,"0",Elect!X6)</f>
        <v>24600</v>
      </c>
      <c r="O4" s="48">
        <f>Elect!W6</f>
        <v>1.373</v>
      </c>
      <c r="P4" s="48">
        <f>IF(Elect!O6&lt;0,"0",Elect!O6)</f>
        <v>9200</v>
      </c>
      <c r="Q4" s="48">
        <f>Elect!N6</f>
        <v>2.48</v>
      </c>
      <c r="R4" s="48">
        <f>IF(Elect!L6&lt;0,"0",Elect!L6)</f>
        <v>10400</v>
      </c>
      <c r="S4" s="48">
        <f>Elect!K6</f>
        <v>3.07</v>
      </c>
      <c r="T4" s="48">
        <f>IF(Elect!R6&lt;0,"0",Elect!R6)</f>
        <v>9600</v>
      </c>
      <c r="U4" s="48">
        <f>Elect!Q6</f>
        <v>2.77</v>
      </c>
      <c r="V4" s="48">
        <f>IF(Elect!AA6&lt;0,"0",Elect!AA6)</f>
        <v>5120</v>
      </c>
      <c r="W4" s="48">
        <f>Elect!Z6</f>
        <v>2.72</v>
      </c>
      <c r="X4" s="48">
        <f>IF(Elect!AD6&lt;0,"0",Elect!AD6)</f>
        <v>2400</v>
      </c>
      <c r="Y4" s="48">
        <f>Elect!AC6</f>
        <v>1.74</v>
      </c>
      <c r="Z4" s="48">
        <f>IF(Elect!AG6&lt;0,"0",Elect!AG6)</f>
        <v>50400</v>
      </c>
      <c r="AA4" s="48">
        <f>Elect!AF6</f>
        <v>2.1619999999999999</v>
      </c>
      <c r="AB4" s="48">
        <f>IF(Elect!AX6&lt;0,"0",Elect!AX6)</f>
        <v>1500</v>
      </c>
      <c r="AC4" s="48">
        <f>IF(Elect!AV6&lt;0,"0",Elect!AV6)</f>
        <v>11000</v>
      </c>
      <c r="AD4" s="48">
        <f>IF(Elect!AZ6&lt;0,"0",Elect!AZ6)</f>
        <v>909</v>
      </c>
      <c r="AE4" s="48">
        <f>IF(Elect!BB6&lt;0,"0",Elect!BB6)</f>
        <v>3280</v>
      </c>
      <c r="AF4" s="230">
        <f>IF('Wtr-Gas'!E6&lt;0,"0",('Wtr-Gas'!E6)*0.0038)</f>
        <v>3158.712</v>
      </c>
      <c r="AG4" s="230">
        <f>IF('Wtr-Gas'!H6&lt;0,"0",('Wtr-Gas'!H6)*0.0038)</f>
        <v>1080.758</v>
      </c>
      <c r="AH4" s="230">
        <f>IF('Wtr-Gas'!K6&lt;0,"0",('Wtr-Gas'!K6)*0.0038)</f>
        <v>1.0640000000000001</v>
      </c>
      <c r="AI4" s="230">
        <f>IF('Wtr-Gas'!N6&lt;0,"0",('Wtr-Gas'!N6)*0.0038)</f>
        <v>1725.2</v>
      </c>
      <c r="AJ4" s="230">
        <f>IF('Wtr-Gas'!Q6&lt;0,"0",('Wtr-Gas'!Q6)*0.0038)</f>
        <v>79.8</v>
      </c>
      <c r="AK4" s="231">
        <f>IF('Wtr-Gas'!U6&lt;0,"0",('Wtr-Gas'!U6)*0.0038)</f>
        <v>755.06</v>
      </c>
      <c r="AL4" s="231">
        <f>IF('Wtr-Gas'!X6&lt;0,"0",('Wtr-Gas'!X6)*0.0038)</f>
        <v>7904.76</v>
      </c>
      <c r="AM4" s="230">
        <f>IF('Wtr-Gas'!AB6&lt;0,"0",('Wtr-Gas'!AB6)*0.0038)</f>
        <v>2432</v>
      </c>
      <c r="AN4" s="230">
        <f>IF('Wtr-Gas'!AD6&lt;0,"0",('Wtr-Gas'!AD6)*0.0038)</f>
        <v>809.48739999999998</v>
      </c>
      <c r="AO4" s="230">
        <f>IF('Wtr-Gas'!AF6&lt;0,"0",('Wtr-Gas'!AF6)*0.0038)</f>
        <v>7.258</v>
      </c>
      <c r="AP4" s="230">
        <f>IF('Wtr-Gas'!AH6&lt;0,"0",('Wtr-Gas'!AH6)*0.0038)</f>
        <v>343.52</v>
      </c>
      <c r="AQ4" s="230">
        <f>IF('Wtr-Gas'!AJ6&lt;0,"0",('Wtr-Gas'!AJ6)*0.0038)</f>
        <v>41.051400000000001</v>
      </c>
      <c r="AR4" s="230">
        <f>IF('Wtr-Gas'!AL6&lt;0,"0",('Wtr-Gas'!AL6)*0.0038)</f>
        <v>839.8</v>
      </c>
      <c r="AS4" s="230">
        <f>IF('Wtr-Gas'!AN6&lt;0,"0",('Wtr-Gas'!AN6)*0.0038)</f>
        <v>0.1178</v>
      </c>
      <c r="AT4" s="230">
        <f>IF('Wtr-Gas'!AP6&lt;0,"0",('Wtr-Gas'!AP6)*0.0038)</f>
        <v>4.5599999999999996</v>
      </c>
      <c r="AU4" s="251">
        <f>IF('Wtr-Gas'!AT6&lt;0,"0",('Wtr-Gas'!AT6)*0.0038)</f>
        <v>0.45979999999999999</v>
      </c>
      <c r="AV4" s="230">
        <f>IF('Wtr-Gas'!AW6&lt;0,"0",('Wtr-Gas'!AW6)*0.0038)</f>
        <v>188.4648</v>
      </c>
      <c r="AW4" s="230">
        <f>IF('Wtr-Gas'!AY6&lt;0,"0",('Wtr-Gas'!AY6)*0.0038)</f>
        <v>151.3426</v>
      </c>
      <c r="AX4" s="230">
        <f>IF('Wtr-Gas'!AZ6&lt;0,"0",('Wtr-Gas'!AZ6)*0.0038)</f>
        <v>37.121668</v>
      </c>
      <c r="AY4" s="230">
        <f>IF('Wtr-Gas'!BB6&lt;0,"0",('Wtr-Gas'!BB6)*0.0038)</f>
        <v>22.42</v>
      </c>
      <c r="AZ4" s="230">
        <f>IF('Wtr-Gas'!BD6&lt;0,"0",('Wtr-Gas'!BD6)*0.0038)</f>
        <v>7.98</v>
      </c>
      <c r="BA4" s="230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8">
        <f>IF(Elect!AM7&lt;0,"0",Elect!AM7)</f>
        <v>564</v>
      </c>
      <c r="F5" s="48">
        <f>IF(Elect!I7&lt;0,"0",Elect!I7)</f>
        <v>45120</v>
      </c>
      <c r="G5" s="48">
        <f>Elect!H7</f>
        <v>2.2989999999999999</v>
      </c>
      <c r="H5" s="48">
        <f>IF(Elect!F7&lt;0,"0",Elect!F7)</f>
        <v>40800</v>
      </c>
      <c r="I5" s="48">
        <f>Elect!E7</f>
        <v>1.99</v>
      </c>
      <c r="J5" s="48">
        <f>IF(Elect!U7&lt;0,"0",Elect!U7)</f>
        <v>17400</v>
      </c>
      <c r="K5" s="48">
        <f>Elect!T7</f>
        <v>2.0670000000000002</v>
      </c>
      <c r="L5" s="48">
        <f>IF(Elect!AJ7&lt;0,"0",Elect!AJ7)</f>
        <v>1440</v>
      </c>
      <c r="M5" s="48">
        <f>Elect!AI7</f>
        <v>0.34599999999999997</v>
      </c>
      <c r="N5" s="48">
        <f>IF(Elect!X7&lt;0,"0",Elect!X7)</f>
        <v>34500</v>
      </c>
      <c r="O5" s="48">
        <f>Elect!W7</f>
        <v>1.373</v>
      </c>
      <c r="P5" s="48">
        <f>IF(Elect!O7&lt;0,"0",Elect!O7)</f>
        <v>8800</v>
      </c>
      <c r="Q5" s="48">
        <f>Elect!N7</f>
        <v>2.48</v>
      </c>
      <c r="R5" s="48">
        <f>IF(Elect!L7&lt;0,"0",Elect!L7)</f>
        <v>12800</v>
      </c>
      <c r="S5" s="48">
        <f>Elect!K7</f>
        <v>3.07</v>
      </c>
      <c r="T5" s="48">
        <f>IF(Elect!R7&lt;0,"0",Elect!R7)</f>
        <v>9600</v>
      </c>
      <c r="U5" s="48">
        <f>Elect!Q7</f>
        <v>2.77</v>
      </c>
      <c r="V5" s="48">
        <f>IF(Elect!AA7&lt;0,"0",Elect!AA7)</f>
        <v>6080</v>
      </c>
      <c r="W5" s="48">
        <f>Elect!Z7</f>
        <v>3.03</v>
      </c>
      <c r="X5" s="48">
        <f>IF(Elect!AD7&lt;0,"0",Elect!AD7)</f>
        <v>3040</v>
      </c>
      <c r="Y5" s="48">
        <f>Elect!AC7</f>
        <v>1.76</v>
      </c>
      <c r="Z5" s="48">
        <f>IF(Elect!AG7&lt;0,"0",Elect!AG7)</f>
        <v>50600</v>
      </c>
      <c r="AA5" s="48">
        <f>Elect!AF7</f>
        <v>2.1619999999999999</v>
      </c>
      <c r="AB5" s="48">
        <f>IF(Elect!AX7&lt;0,"0",Elect!AX7)</f>
        <v>1400</v>
      </c>
      <c r="AC5" s="48">
        <f>IF(Elect!AV7&lt;0,"0",Elect!AV7)</f>
        <v>10900</v>
      </c>
      <c r="AD5" s="48">
        <f>IF(Elect!AZ7&lt;0,"0",Elect!AZ7)</f>
        <v>880</v>
      </c>
      <c r="AE5" s="48">
        <f>IF(Elect!BB7&lt;0,"0",Elect!BB7)</f>
        <v>43</v>
      </c>
      <c r="AF5" s="230">
        <f>IF('Wtr-Gas'!E7&lt;0,"0",('Wtr-Gas'!E7)*0.0038)</f>
        <v>3168.174</v>
      </c>
      <c r="AG5" s="230">
        <f>IF('Wtr-Gas'!H7&lt;0,"0",('Wtr-Gas'!H7)*0.0038)</f>
        <v>1035.652</v>
      </c>
      <c r="AH5" s="230">
        <f>IF('Wtr-Gas'!K7&lt;0,"0",('Wtr-Gas'!K7)*0.0038)</f>
        <v>1.1399999999999999</v>
      </c>
      <c r="AI5" s="230">
        <f>IF('Wtr-Gas'!N7&lt;0,"0",('Wtr-Gas'!N7)*0.0038)</f>
        <v>1824</v>
      </c>
      <c r="AJ5" s="230">
        <f>IF('Wtr-Gas'!Q7&lt;0,"0",('Wtr-Gas'!Q7)*0.0038)</f>
        <v>82.46</v>
      </c>
      <c r="AK5" s="231">
        <f>IF('Wtr-Gas'!U7&lt;0,"0",('Wtr-Gas'!U7)*0.0038)</f>
        <v>770.64</v>
      </c>
      <c r="AL5" s="231">
        <f>IF('Wtr-Gas'!X7&lt;0,"0",('Wtr-Gas'!X7)*0.0038)</f>
        <v>7306.64</v>
      </c>
      <c r="AM5" s="230">
        <f>IF('Wtr-Gas'!AB7&lt;0,"0",('Wtr-Gas'!AB7)*0.0038)</f>
        <v>2432</v>
      </c>
      <c r="AN5" s="230">
        <f>IF('Wtr-Gas'!AD7&lt;0,"0",('Wtr-Gas'!AD7)*0.0038)</f>
        <v>742.45008000000007</v>
      </c>
      <c r="AO5" s="230">
        <f>IF('Wtr-Gas'!AF7&lt;0,"0",('Wtr-Gas'!AF7)*0.0038)</f>
        <v>3.952</v>
      </c>
      <c r="AP5" s="230">
        <f>IF('Wtr-Gas'!AH7&lt;0,"0",('Wtr-Gas'!AH7)*0.0038)</f>
        <v>337.28800000000001</v>
      </c>
      <c r="AQ5" s="230">
        <f>IF('Wtr-Gas'!AJ7&lt;0,"0",('Wtr-Gas'!AJ7)*0.0038)</f>
        <v>34.401400000000002</v>
      </c>
      <c r="AR5" s="230">
        <f>IF('Wtr-Gas'!AL7&lt;0,"0",('Wtr-Gas'!AL7)*0.0038)</f>
        <v>786.6</v>
      </c>
      <c r="AS5" s="230">
        <f>IF('Wtr-Gas'!AN7&lt;0,"0",('Wtr-Gas'!AN7)*0.0038)</f>
        <v>0.17860000000000001</v>
      </c>
      <c r="AT5" s="230">
        <f>IF('Wtr-Gas'!AP7&lt;0,"0",('Wtr-Gas'!AP7)*0.0038)</f>
        <v>8.36</v>
      </c>
      <c r="AU5" s="251">
        <f>IF('Wtr-Gas'!AT7&lt;0,"0",('Wtr-Gas'!AT7)*0.0038)</f>
        <v>0.4788</v>
      </c>
      <c r="AV5" s="230">
        <f>IF('Wtr-Gas'!AW7&lt;0,"0",('Wtr-Gas'!AW7)*0.0038)</f>
        <v>190.0076</v>
      </c>
      <c r="AW5" s="230">
        <f>IF('Wtr-Gas'!AY7&lt;0,"0",('Wtr-Gas'!AY7)*0.0038)</f>
        <v>153.9684</v>
      </c>
      <c r="AX5" s="230">
        <f>IF('Wtr-Gas'!AZ7&lt;0,"0",('Wtr-Gas'!AZ7)*0.0038)</f>
        <v>36.037869999999998</v>
      </c>
      <c r="AY5" s="230">
        <f>IF('Wtr-Gas'!BB7&lt;0,"0",('Wtr-Gas'!BB7)*0.0038)</f>
        <v>7.98</v>
      </c>
      <c r="AZ5" s="230">
        <f>IF('Wtr-Gas'!BD7&lt;0,"0",('Wtr-Gas'!BD7)*0.0038)</f>
        <v>4.5599999999999996</v>
      </c>
      <c r="BA5" s="230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8">
        <f>IF(Elect!AM8&lt;0,"0",Elect!AM8)</f>
        <v>341</v>
      </c>
      <c r="F6" s="48">
        <f>IF(Elect!I8&lt;0,"0",Elect!I8)</f>
        <v>47680</v>
      </c>
      <c r="G6" s="48">
        <f>Elect!H8</f>
        <v>2.2610000000000001</v>
      </c>
      <c r="H6" s="48">
        <f>IF(Elect!F8&lt;0,"0",Elect!F8)</f>
        <v>42880</v>
      </c>
      <c r="I6" s="48">
        <f>Elect!E8</f>
        <v>1.9630000000000001</v>
      </c>
      <c r="J6" s="48">
        <f>IF(Elect!U8&lt;0,"0",Elect!U8)</f>
        <v>34500</v>
      </c>
      <c r="K6" s="48">
        <f>Elect!T8</f>
        <v>1.7669999999999999</v>
      </c>
      <c r="L6" s="48">
        <f>IF(Elect!AJ8&lt;0,"0",Elect!AJ8)</f>
        <v>1560</v>
      </c>
      <c r="M6" s="48">
        <f>Elect!AI8</f>
        <v>0.26700000000000002</v>
      </c>
      <c r="N6" s="48">
        <f>IF(Elect!X8&lt;0,"0",Elect!X8)</f>
        <v>38100</v>
      </c>
      <c r="O6" s="48">
        <f>Elect!W8</f>
        <v>1.7</v>
      </c>
      <c r="P6" s="48">
        <f>IF(Elect!O8&lt;0,"0",Elect!O8)</f>
        <v>9600</v>
      </c>
      <c r="Q6" s="48">
        <f>Elect!N8</f>
        <v>1.88</v>
      </c>
      <c r="R6" s="48">
        <f>IF(Elect!L8&lt;0,"0",Elect!L8)</f>
        <v>11200</v>
      </c>
      <c r="S6" s="48">
        <f>Elect!K8</f>
        <v>2.63</v>
      </c>
      <c r="T6" s="48">
        <f>IF(Elect!R8&lt;0,"0",Elect!R8)</f>
        <v>9600</v>
      </c>
      <c r="U6" s="48">
        <f>Elect!Q8</f>
        <v>2.1800000000000002</v>
      </c>
      <c r="V6" s="48">
        <f>IF(Elect!AA8&lt;0,"0",Elect!AA8)</f>
        <v>6560</v>
      </c>
      <c r="W6" s="48">
        <f>Elect!Z8</f>
        <v>3.22</v>
      </c>
      <c r="X6" s="48">
        <f>IF(Elect!AD8&lt;0,"0",Elect!AD8)</f>
        <v>4160</v>
      </c>
      <c r="Y6" s="48">
        <f>Elect!AC8</f>
        <v>2.96</v>
      </c>
      <c r="Z6" s="48">
        <f>IF(Elect!AG8&lt;0,"0",Elect!AG8)</f>
        <v>52600</v>
      </c>
      <c r="AA6" s="48">
        <f>Elect!AF8</f>
        <v>2.0129999999999999</v>
      </c>
      <c r="AB6" s="48">
        <f>IF(Elect!AX8&lt;0,"0",Elect!AX8)</f>
        <v>1900</v>
      </c>
      <c r="AC6" s="48">
        <f>IF(Elect!AV8&lt;0,"0",Elect!AV8)</f>
        <v>12800</v>
      </c>
      <c r="AD6" s="48">
        <f>IF(Elect!AZ8&lt;0,"0",Elect!AZ8)</f>
        <v>879</v>
      </c>
      <c r="AE6" s="48">
        <f>IF(Elect!BB8&lt;0,"0",Elect!BB8)</f>
        <v>1360</v>
      </c>
      <c r="AF6" s="230">
        <f>IF('Wtr-Gas'!E8&lt;0,"0",('Wtr-Gas'!E8)*0.0038)</f>
        <v>3898.9519999999998</v>
      </c>
      <c r="AG6" s="230">
        <f>IF('Wtr-Gas'!H8&lt;0,"0",('Wtr-Gas'!H8)*0.0038)</f>
        <v>1001.946</v>
      </c>
      <c r="AH6" s="230">
        <f>IF('Wtr-Gas'!K8&lt;0,"0",('Wtr-Gas'!K8)*0.0038)</f>
        <v>2.052</v>
      </c>
      <c r="AI6" s="230">
        <f>IF('Wtr-Gas'!N8&lt;0,"0",('Wtr-Gas'!N8)*0.0038)</f>
        <v>2470</v>
      </c>
      <c r="AJ6" s="230">
        <f>IF('Wtr-Gas'!Q8&lt;0,"0",('Wtr-Gas'!Q8)*0.0038)</f>
        <v>99.56</v>
      </c>
      <c r="AK6" s="231">
        <f>IF('Wtr-Gas'!U8&lt;0,"0",('Wtr-Gas'!U8)*0.0038)</f>
        <v>905.16</v>
      </c>
      <c r="AL6" s="231">
        <f>IF('Wtr-Gas'!X8&lt;0,"0",('Wtr-Gas'!X8)*0.0038)</f>
        <v>6684.2</v>
      </c>
      <c r="AM6" s="230">
        <f>IF('Wtr-Gas'!AB8&lt;0,"0",('Wtr-Gas'!AB8)*0.0038)</f>
        <v>3952</v>
      </c>
      <c r="AN6" s="230">
        <f>IF('Wtr-Gas'!AD8&lt;0,"0",('Wtr-Gas'!AD8)*0.0038)</f>
        <v>912.75391999999999</v>
      </c>
      <c r="AO6" s="230">
        <f>IF('Wtr-Gas'!AF8&lt;0,"0",('Wtr-Gas'!AF8)*0.0038)</f>
        <v>6.27</v>
      </c>
      <c r="AP6" s="230">
        <f>IF('Wtr-Gas'!AH8&lt;0,"0",('Wtr-Gas'!AH8)*0.0038)</f>
        <v>376.01</v>
      </c>
      <c r="AQ6" s="230">
        <f>IF('Wtr-Gas'!AJ8&lt;0,"0",('Wtr-Gas'!AJ8)*0.0038)</f>
        <v>48.320799999999998</v>
      </c>
      <c r="AR6" s="230">
        <f>IF('Wtr-Gas'!AL8&lt;0,"0",('Wtr-Gas'!AL8)*0.0038)</f>
        <v>805.6</v>
      </c>
      <c r="AS6" s="230">
        <f>IF('Wtr-Gas'!AN8&lt;0,"0",('Wtr-Gas'!AN8)*0.0038)</f>
        <v>0.1444</v>
      </c>
      <c r="AT6" s="230">
        <f>IF('Wtr-Gas'!AP8&lt;0,"0",('Wtr-Gas'!AP8)*0.0038)</f>
        <v>15.2</v>
      </c>
      <c r="AU6" s="251">
        <f>IF('Wtr-Gas'!AT8&lt;0,"0",('Wtr-Gas'!AT8)*0.0038)</f>
        <v>0.4446</v>
      </c>
      <c r="AV6" s="230">
        <f>IF('Wtr-Gas'!AW8&lt;0,"0",('Wtr-Gas'!AW8)*0.0038)</f>
        <v>217.90719999999999</v>
      </c>
      <c r="AW6" s="230">
        <f>IF('Wtr-Gas'!AY8&lt;0,"0",('Wtr-Gas'!AY8)*0.0038)</f>
        <v>150.404</v>
      </c>
      <c r="AX6" s="230">
        <f>IF('Wtr-Gas'!AZ8&lt;0,"0",('Wtr-Gas'!AZ8)*0.0038)</f>
        <v>67.502021999999997</v>
      </c>
      <c r="AY6" s="230">
        <f>IF('Wtr-Gas'!BB8&lt;0,"0",('Wtr-Gas'!BB8)*0.0038)</f>
        <v>19.760000000000002</v>
      </c>
      <c r="AZ6" s="230">
        <f>IF('Wtr-Gas'!BD8&lt;0,"0",('Wtr-Gas'!BD8)*0.0038)</f>
        <v>3.42</v>
      </c>
      <c r="BA6" s="230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8">
        <f>IF(Elect!AM9&lt;0,"0",Elect!AM9)</f>
        <v>601</v>
      </c>
      <c r="F7" s="48">
        <f>IF(Elect!I9&lt;0,"0",Elect!I9)</f>
        <v>44960</v>
      </c>
      <c r="G7" s="48">
        <f>Elect!H9</f>
        <v>2.2610000000000001</v>
      </c>
      <c r="H7" s="48">
        <f>IF(Elect!F9&lt;0,"0",Elect!F9)</f>
        <v>38720</v>
      </c>
      <c r="I7" s="48">
        <f>Elect!E9</f>
        <v>1.9630000000000001</v>
      </c>
      <c r="J7" s="48">
        <f>IF(Elect!U9&lt;0,"0",Elect!U9)</f>
        <v>36000</v>
      </c>
      <c r="K7" s="48">
        <f>Elect!T9</f>
        <v>1.978</v>
      </c>
      <c r="L7" s="48">
        <f>IF(Elect!AJ9&lt;0,"0",Elect!AJ9)</f>
        <v>3000</v>
      </c>
      <c r="M7" s="48">
        <f>Elect!AI9</f>
        <v>0.26700000000000002</v>
      </c>
      <c r="N7" s="48">
        <f>IF(Elect!X9&lt;0,"0",Elect!X9)</f>
        <v>38400</v>
      </c>
      <c r="O7" s="48">
        <f>Elect!W9</f>
        <v>1.7</v>
      </c>
      <c r="P7" s="48">
        <f>IF(Elect!O9&lt;0,"0",Elect!O9)</f>
        <v>8800</v>
      </c>
      <c r="Q7" s="48">
        <f>Elect!N9</f>
        <v>1.88</v>
      </c>
      <c r="R7" s="48">
        <f>IF(Elect!L9&lt;0,"0",Elect!L9)</f>
        <v>9600</v>
      </c>
      <c r="S7" s="48">
        <f>Elect!K9</f>
        <v>2.63</v>
      </c>
      <c r="T7" s="48">
        <f>IF(Elect!R9&lt;0,"0",Elect!R9)</f>
        <v>9200</v>
      </c>
      <c r="U7" s="48">
        <f>Elect!Q9</f>
        <v>2.1800000000000002</v>
      </c>
      <c r="V7" s="48">
        <f>IF(Elect!AA9&lt;0,"0",Elect!AA9)</f>
        <v>5280</v>
      </c>
      <c r="W7" s="48">
        <f>Elect!Z9</f>
        <v>3.22</v>
      </c>
      <c r="X7" s="48">
        <f>IF(Elect!AD9&lt;0,"0",Elect!AD9)</f>
        <v>2720</v>
      </c>
      <c r="Y7" s="48">
        <f>Elect!AC9</f>
        <v>2.96</v>
      </c>
      <c r="Z7" s="48">
        <f>IF(Elect!AG9&lt;0,"0",Elect!AG9)</f>
        <v>49600</v>
      </c>
      <c r="AA7" s="48">
        <f>Elect!AF9</f>
        <v>2.0129999999999999</v>
      </c>
      <c r="AB7" s="48">
        <f>IF(Elect!AX9&lt;0,"0",Elect!AX9)</f>
        <v>1400</v>
      </c>
      <c r="AC7" s="48">
        <f>IF(Elect!AV9&lt;0,"0",Elect!AV9)</f>
        <v>12000</v>
      </c>
      <c r="AD7" s="48">
        <f>IF(Elect!AZ9&lt;0,"0",Elect!AZ9)</f>
        <v>914</v>
      </c>
      <c r="AE7" s="48">
        <f>IF(Elect!BB9&lt;0,"0",Elect!BB9)</f>
        <v>2240</v>
      </c>
      <c r="AF7" s="230">
        <f>IF('Wtr-Gas'!E9&lt;0,"0",('Wtr-Gas'!E9)*0.0038)</f>
        <v>3949.9859999999999</v>
      </c>
      <c r="AG7" s="230">
        <f>IF('Wtr-Gas'!H9&lt;0,"0",('Wtr-Gas'!H9)*0.0038)</f>
        <v>770.37400000000002</v>
      </c>
      <c r="AH7" s="230">
        <f>IF('Wtr-Gas'!K9&lt;0,"0",('Wtr-Gas'!K9)*0.0038)</f>
        <v>1.216</v>
      </c>
      <c r="AI7" s="230">
        <f>IF('Wtr-Gas'!N9&lt;0,"0",('Wtr-Gas'!N9)*0.0038)</f>
        <v>2572.6</v>
      </c>
      <c r="AJ7" s="230">
        <f>IF('Wtr-Gas'!Q9&lt;0,"0",('Wtr-Gas'!Q9)*0.0038)</f>
        <v>90.82</v>
      </c>
      <c r="AK7" s="231">
        <f>IF('Wtr-Gas'!U9&lt;0,"0",('Wtr-Gas'!U9)*0.0038)</f>
        <v>773.68</v>
      </c>
      <c r="AL7" s="231">
        <f>IF('Wtr-Gas'!X9&lt;0,"0",('Wtr-Gas'!X9)*0.0038)</f>
        <v>5779.8</v>
      </c>
      <c r="AM7" s="230">
        <f>IF('Wtr-Gas'!AB9&lt;0,"0",('Wtr-Gas'!AB9)*0.0038)</f>
        <v>4408</v>
      </c>
      <c r="AN7" s="230">
        <f>IF('Wtr-Gas'!AD9&lt;0,"0",('Wtr-Gas'!AD9)*0.0038)</f>
        <v>1011.066</v>
      </c>
      <c r="AO7" s="230">
        <f>IF('Wtr-Gas'!AF9&lt;0,"0",('Wtr-Gas'!AF9)*0.0038)</f>
        <v>7.8280000000000003</v>
      </c>
      <c r="AP7" s="230">
        <f>IF('Wtr-Gas'!AH9&lt;0,"0",('Wtr-Gas'!AH9)*0.0038)</f>
        <v>372.85599999999999</v>
      </c>
      <c r="AQ7" s="230">
        <f>IF('Wtr-Gas'!AJ9&lt;0,"0",('Wtr-Gas'!AJ9)*0.0038)</f>
        <v>43.407400000000003</v>
      </c>
      <c r="AR7" s="230">
        <f>IF('Wtr-Gas'!AL9&lt;0,"0",('Wtr-Gas'!AL9)*0.0038)</f>
        <v>782.8</v>
      </c>
      <c r="AS7" s="230">
        <f>IF('Wtr-Gas'!AN9&lt;0,"0",('Wtr-Gas'!AN9)*0.0038)</f>
        <v>9.8799999999999999E-2</v>
      </c>
      <c r="AT7" s="230">
        <f>IF('Wtr-Gas'!AP9&lt;0,"0",('Wtr-Gas'!AP9)*0.0038)</f>
        <v>4.18</v>
      </c>
      <c r="AU7" s="251">
        <f>IF('Wtr-Gas'!AT9&lt;0,"0",('Wtr-Gas'!AT9)*0.0038)</f>
        <v>0.43319999999999997</v>
      </c>
      <c r="AV7" s="230">
        <f>IF('Wtr-Gas'!AW9&lt;0,"0",('Wtr-Gas'!AW9)*0.0038)</f>
        <v>184.6344</v>
      </c>
      <c r="AW7" s="230">
        <f>IF('Wtr-Gas'!AY9&lt;0,"0",('Wtr-Gas'!AY9)*0.0038)</f>
        <v>150.3698</v>
      </c>
      <c r="AX7" s="230">
        <f>IF('Wtr-Gas'!AZ9&lt;0,"0",('Wtr-Gas'!AZ9)*0.0038)</f>
        <v>34.264714000000005</v>
      </c>
      <c r="AY7" s="230">
        <f>IF('Wtr-Gas'!BB9&lt;0,"0",('Wtr-Gas'!BB9)*0.0038)</f>
        <v>9.8800000000000008</v>
      </c>
      <c r="AZ7" s="230">
        <f>IF('Wtr-Gas'!BD9&lt;0,"0",('Wtr-Gas'!BD9)*0.0038)</f>
        <v>1.52</v>
      </c>
      <c r="BA7" s="230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8">
        <f>IF(Elect!AM10&lt;0,"0",Elect!AM10)</f>
        <v>697</v>
      </c>
      <c r="F8" s="48">
        <f>IF(Elect!I10&lt;0,"0",Elect!I10)</f>
        <v>44480</v>
      </c>
      <c r="G8" s="48">
        <f>Elect!H10</f>
        <v>2.2610000000000001</v>
      </c>
      <c r="H8" s="48">
        <f>IF(Elect!F10&lt;0,"0",Elect!F10)</f>
        <v>39360</v>
      </c>
      <c r="I8" s="48">
        <f>Elect!E10</f>
        <v>1.9630000000000001</v>
      </c>
      <c r="J8" s="48">
        <f>IF(Elect!U10&lt;0,"0",Elect!U10)</f>
        <v>25800</v>
      </c>
      <c r="K8" s="48">
        <f>Elect!T10</f>
        <v>1.978</v>
      </c>
      <c r="L8" s="48" t="str">
        <f>IF(Elect!AJ10&lt;0,"0",Elect!AJ10)</f>
        <v>0</v>
      </c>
      <c r="M8" s="48">
        <f>Elect!AI10</f>
        <v>0.28100000000000003</v>
      </c>
      <c r="N8" s="48">
        <f>IF(Elect!X10&lt;0,"0",Elect!X10)</f>
        <v>34500</v>
      </c>
      <c r="O8" s="48">
        <f>Elect!W10</f>
        <v>1.7</v>
      </c>
      <c r="P8" s="48">
        <f>IF(Elect!O10&lt;0,"0",Elect!O10)</f>
        <v>9200</v>
      </c>
      <c r="Q8" s="48">
        <f>Elect!N10</f>
        <v>2.38</v>
      </c>
      <c r="R8" s="48">
        <f>IF(Elect!L10&lt;0,"0",Elect!L10)</f>
        <v>10800</v>
      </c>
      <c r="S8" s="48">
        <f>Elect!K10</f>
        <v>3.05</v>
      </c>
      <c r="T8" s="48">
        <f>IF(Elect!R10&lt;0,"0",Elect!R10)</f>
        <v>9200</v>
      </c>
      <c r="U8" s="48">
        <f>Elect!Q10</f>
        <v>2.7</v>
      </c>
      <c r="V8" s="48">
        <f>IF(Elect!AA10&lt;0,"0",Elect!AA10)</f>
        <v>5120</v>
      </c>
      <c r="W8" s="48">
        <f>Elect!Z10</f>
        <v>3.38</v>
      </c>
      <c r="X8" s="48">
        <f>IF(Elect!AD10&lt;0,"0",Elect!AD10)</f>
        <v>2400</v>
      </c>
      <c r="Y8" s="48">
        <f>Elect!AC10</f>
        <v>2.96</v>
      </c>
      <c r="Z8" s="48">
        <f>IF(Elect!AG10&lt;0,"0",Elect!AG10)</f>
        <v>48400</v>
      </c>
      <c r="AA8" s="48">
        <f>Elect!AF10</f>
        <v>2.0419999999999998</v>
      </c>
      <c r="AB8" s="48">
        <f>IF(Elect!AX10&lt;0,"0",Elect!AX10)</f>
        <v>1400</v>
      </c>
      <c r="AC8" s="48">
        <f>IF(Elect!AV10&lt;0,"0",Elect!AV10)</f>
        <v>11100</v>
      </c>
      <c r="AD8" s="48">
        <f>IF(Elect!AZ10&lt;0,"0",Elect!AZ10)</f>
        <v>891</v>
      </c>
      <c r="AE8" s="48">
        <f>IF(Elect!BB10&lt;0,"0",Elect!BB10)</f>
        <v>1920</v>
      </c>
      <c r="AF8" s="230">
        <f>IF('Wtr-Gas'!E10&lt;0,"0",('Wtr-Gas'!E10)*0.0038)</f>
        <v>3397.5419999999999</v>
      </c>
      <c r="AG8" s="230">
        <f>IF('Wtr-Gas'!H10&lt;0,"0",('Wtr-Gas'!H10)*0.0038)</f>
        <v>701.36599999999999</v>
      </c>
      <c r="AH8" s="230">
        <f>IF('Wtr-Gas'!K10&lt;0,"0",('Wtr-Gas'!K10)*0.0038)</f>
        <v>0.79800000000000004</v>
      </c>
      <c r="AI8" s="230">
        <f>IF('Wtr-Gas'!N10&lt;0,"0",('Wtr-Gas'!N10)*0.0038)</f>
        <v>2150.8000000000002</v>
      </c>
      <c r="AJ8" s="230">
        <f>IF('Wtr-Gas'!Q10&lt;0,"0",('Wtr-Gas'!Q10)*0.0038)</f>
        <v>83.98</v>
      </c>
      <c r="AK8" s="231">
        <f>IF('Wtr-Gas'!U10&lt;0,"0",('Wtr-Gas'!U10)*0.0038)</f>
        <v>797.24</v>
      </c>
      <c r="AL8" s="231">
        <f>IF('Wtr-Gas'!X10&lt;0,"0",('Wtr-Gas'!X10)*0.0038)</f>
        <v>6714.6</v>
      </c>
      <c r="AM8" s="230">
        <f>IF('Wtr-Gas'!AB10&lt;0,"0",('Wtr-Gas'!AB10)*0.0038)</f>
        <v>3192</v>
      </c>
      <c r="AN8" s="230">
        <f>IF('Wtr-Gas'!AD10&lt;0,"0",('Wtr-Gas'!AD10)*0.0038)</f>
        <v>877.91399999999999</v>
      </c>
      <c r="AO8" s="230">
        <f>IF('Wtr-Gas'!AF10&lt;0,"0",('Wtr-Gas'!AF10)*0.0038)</f>
        <v>4.5599999999999996</v>
      </c>
      <c r="AP8" s="230">
        <f>IF('Wtr-Gas'!AH10&lt;0,"0",('Wtr-Gas'!AH10)*0.0038)</f>
        <v>433.35199999999998</v>
      </c>
      <c r="AQ8" s="230">
        <f>IF('Wtr-Gas'!AJ10&lt;0,"0",('Wtr-Gas'!AJ10)*0.0038)</f>
        <v>25.783000000000001</v>
      </c>
      <c r="AR8" s="230">
        <f>IF('Wtr-Gas'!AL10&lt;0,"0",('Wtr-Gas'!AL10)*0.0038)</f>
        <v>562.4</v>
      </c>
      <c r="AS8" s="230">
        <f>IF('Wtr-Gas'!AN10&lt;0,"0",('Wtr-Gas'!AN10)*0.0038)</f>
        <v>0.35720000000000002</v>
      </c>
      <c r="AT8" s="230">
        <f>IF('Wtr-Gas'!AP10&lt;0,"0",('Wtr-Gas'!AP10)*0.0038)</f>
        <v>8.36</v>
      </c>
      <c r="AU8" s="251">
        <f>IF('Wtr-Gas'!AT10&lt;0,"0",('Wtr-Gas'!AT10)*0.0038)</f>
        <v>0.52059999999999995</v>
      </c>
      <c r="AV8" s="230">
        <f>IF('Wtr-Gas'!AW10&lt;0,"0",('Wtr-Gas'!AW10)*0.0038)</f>
        <v>186.20760000000001</v>
      </c>
      <c r="AW8" s="230">
        <f>IF('Wtr-Gas'!AY10&lt;0,"0",('Wtr-Gas'!AY10)*0.0038)</f>
        <v>151.2286</v>
      </c>
      <c r="AX8" s="230">
        <f>IF('Wtr-Gas'!AZ10&lt;0,"0",('Wtr-Gas'!AZ10)*0.0038)</f>
        <v>34.977252</v>
      </c>
      <c r="AY8" s="230">
        <f>IF('Wtr-Gas'!BB10&lt;0,"0",('Wtr-Gas'!BB10)*0.0038)</f>
        <v>6.08</v>
      </c>
      <c r="AZ8" s="230">
        <f>IF('Wtr-Gas'!BD10&lt;0,"0",('Wtr-Gas'!BD10)*0.0038)</f>
        <v>1.1399999999999999</v>
      </c>
      <c r="BA8" s="230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8">
        <f>IF(Elect!AM11&lt;0,"0",Elect!AM11)</f>
        <v>519</v>
      </c>
      <c r="F9" s="48">
        <f>IF(Elect!I11&lt;0,"0",Elect!I11)</f>
        <v>45600</v>
      </c>
      <c r="G9" s="48">
        <f>Elect!H11</f>
        <v>2.2610000000000001</v>
      </c>
      <c r="H9" s="48">
        <f>IF(Elect!F11&lt;0,"0",Elect!F11)</f>
        <v>41440</v>
      </c>
      <c r="I9" s="48">
        <f>Elect!E11</f>
        <v>1.9630000000000001</v>
      </c>
      <c r="J9" s="48">
        <f>IF(Elect!U11&lt;0,"0",Elect!U11)</f>
        <v>68700</v>
      </c>
      <c r="K9" s="48">
        <f>Elect!T11</f>
        <v>2.073</v>
      </c>
      <c r="L9" s="48">
        <f>IF(Elect!AJ11&lt;0,"0",Elect!AJ11)</f>
        <v>1440</v>
      </c>
      <c r="M9" s="48">
        <f>Elect!AI11</f>
        <v>0.29699999999999999</v>
      </c>
      <c r="N9" s="48">
        <f>IF(Elect!X11&lt;0,"0",Elect!X11)</f>
        <v>38700</v>
      </c>
      <c r="O9" s="48">
        <f>Elect!W11</f>
        <v>1.7</v>
      </c>
      <c r="P9" s="48">
        <f>IF(Elect!O11&lt;0,"0",Elect!O11)</f>
        <v>9200</v>
      </c>
      <c r="Q9" s="48">
        <f>Elect!N11</f>
        <v>2.38</v>
      </c>
      <c r="R9" s="48">
        <f>IF(Elect!L11&lt;0,"0",Elect!L11)</f>
        <v>9200</v>
      </c>
      <c r="S9" s="48">
        <f>Elect!K11</f>
        <v>3.05</v>
      </c>
      <c r="T9" s="48">
        <f>IF(Elect!R11&lt;0,"0",Elect!R11)</f>
        <v>8400</v>
      </c>
      <c r="U9" s="48">
        <f>Elect!Q11</f>
        <v>2.7</v>
      </c>
      <c r="V9" s="48">
        <f>IF(Elect!AA11&lt;0,"0",Elect!AA11)</f>
        <v>5120</v>
      </c>
      <c r="W9" s="48">
        <f>Elect!Z11</f>
        <v>3.38</v>
      </c>
      <c r="X9" s="48">
        <f>IF(Elect!AD11&lt;0,"0",Elect!AD11)</f>
        <v>2560</v>
      </c>
      <c r="Y9" s="48">
        <f>Elect!AC11</f>
        <v>2.96</v>
      </c>
      <c r="Z9" s="48">
        <f>IF(Elect!AG11&lt;0,"0",Elect!AG11)</f>
        <v>46600</v>
      </c>
      <c r="AA9" s="48">
        <f>Elect!AF11</f>
        <v>2.0419999999999998</v>
      </c>
      <c r="AB9" s="48">
        <f>IF(Elect!AX11&lt;0,"0",Elect!AX11)</f>
        <v>1700</v>
      </c>
      <c r="AC9" s="48">
        <f>IF(Elect!AV11&lt;0,"0",Elect!AV11)</f>
        <v>13200</v>
      </c>
      <c r="AD9" s="48">
        <f>IF(Elect!AZ11&lt;0,"0",Elect!AZ11)</f>
        <v>895</v>
      </c>
      <c r="AE9" s="48">
        <f>IF(Elect!BB11&lt;0,"0",Elect!BB11)</f>
        <v>2120</v>
      </c>
      <c r="AF9" s="230">
        <f>IF('Wtr-Gas'!E11&lt;0,"0",('Wtr-Gas'!E11)*0.0038)</f>
        <v>3703.8220000000001</v>
      </c>
      <c r="AG9" s="230">
        <f>IF('Wtr-Gas'!H11&lt;0,"0",('Wtr-Gas'!H11)*0.0038)</f>
        <v>939.43600000000004</v>
      </c>
      <c r="AH9" s="230">
        <f>IF('Wtr-Gas'!K11&lt;0,"0",('Wtr-Gas'!K11)*0.0038)</f>
        <v>2.698</v>
      </c>
      <c r="AI9" s="230">
        <f>IF('Wtr-Gas'!N11&lt;0,"0",('Wtr-Gas'!N11)*0.0038)</f>
        <v>2929.8</v>
      </c>
      <c r="AJ9" s="230">
        <f>IF('Wtr-Gas'!Q11&lt;0,"0",('Wtr-Gas'!Q11)*0.0038)</f>
        <v>88.92</v>
      </c>
      <c r="AK9" s="231">
        <f>IF('Wtr-Gas'!U11&lt;0,"0",('Wtr-Gas'!U11)*0.0038)</f>
        <v>824.6</v>
      </c>
      <c r="AL9" s="231">
        <f>IF('Wtr-Gas'!X11&lt;0,"0",('Wtr-Gas'!X11)*0.0038)</f>
        <v>3446.6</v>
      </c>
      <c r="AM9" s="230">
        <f>IF('Wtr-Gas'!AB11&lt;0,"0",('Wtr-Gas'!AB11)*0.0038)</f>
        <v>6840</v>
      </c>
      <c r="AN9" s="230">
        <f>IF('Wtr-Gas'!AD11&lt;0,"0",('Wtr-Gas'!AD11)*0.0038)</f>
        <v>1379.9969799999999</v>
      </c>
      <c r="AO9" s="230">
        <f>IF('Wtr-Gas'!AF11&lt;0,"0",('Wtr-Gas'!AF11)*0.0038)</f>
        <v>3.23</v>
      </c>
      <c r="AP9" s="230">
        <f>IF('Wtr-Gas'!AH11&lt;0,"0",('Wtr-Gas'!AH11)*0.0038)</f>
        <v>410.05799999999999</v>
      </c>
      <c r="AQ9" s="230">
        <f>IF('Wtr-Gas'!AJ11&lt;0,"0",('Wtr-Gas'!AJ11)*0.0038)</f>
        <v>28.0288</v>
      </c>
      <c r="AR9" s="230">
        <f>IF('Wtr-Gas'!AL11&lt;0,"0",('Wtr-Gas'!AL11)*0.0038)</f>
        <v>254.6</v>
      </c>
      <c r="AS9" s="230">
        <f>IF('Wtr-Gas'!AN11&lt;0,"0",('Wtr-Gas'!AN11)*0.0038)</f>
        <v>8.7400000000000005E-2</v>
      </c>
      <c r="AT9" s="230">
        <f>IF('Wtr-Gas'!AP11&lt;0,"0",('Wtr-Gas'!AP11)*0.0038)</f>
        <v>46.74</v>
      </c>
      <c r="AU9" s="251">
        <f>IF('Wtr-Gas'!AT11&lt;0,"0",('Wtr-Gas'!AT11)*0.0038)</f>
        <v>0.41799999999999998</v>
      </c>
      <c r="AV9" s="230">
        <f>IF('Wtr-Gas'!AW11&lt;0,"0",('Wtr-Gas'!AW11)*0.0038)</f>
        <v>187.43879999999999</v>
      </c>
      <c r="AW9" s="230">
        <f>IF('Wtr-Gas'!AY11&lt;0,"0",('Wtr-Gas'!AY11)*0.0038)</f>
        <v>152.2698</v>
      </c>
      <c r="AX9" s="230">
        <f>IF('Wtr-Gas'!AZ11&lt;0,"0",('Wtr-Gas'!AZ11)*0.0038)</f>
        <v>35.168619999999997</v>
      </c>
      <c r="AY9" s="230">
        <f>IF('Wtr-Gas'!BB11&lt;0,"0",('Wtr-Gas'!BB11)*0.0038)</f>
        <v>12.92</v>
      </c>
      <c r="AZ9" s="230">
        <f>IF('Wtr-Gas'!BD11&lt;0,"0",('Wtr-Gas'!BD11)*0.0038)</f>
        <v>1.52</v>
      </c>
      <c r="BA9" s="230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8">
        <f>IF(Elect!AM12&lt;0,"0",Elect!AM12)</f>
        <v>528</v>
      </c>
      <c r="F10" s="48">
        <f>IF(Elect!I12&lt;0,"0",Elect!I12)</f>
        <v>46880</v>
      </c>
      <c r="G10" s="48">
        <f>Elect!H12</f>
        <v>1.5860000000000001</v>
      </c>
      <c r="H10" s="48">
        <f>IF(Elect!F12&lt;0,"0",Elect!F12)</f>
        <v>40800</v>
      </c>
      <c r="I10" s="48">
        <f>Elect!E12</f>
        <v>1.2350000000000001</v>
      </c>
      <c r="J10" s="48">
        <f>IF(Elect!U12&lt;0,"0",Elect!U12)</f>
        <v>56400</v>
      </c>
      <c r="K10" s="48">
        <f>Elect!T12</f>
        <v>2.1850000000000001</v>
      </c>
      <c r="L10" s="48">
        <f>IF(Elect!AJ12&lt;0,"0",Elect!AJ12)</f>
        <v>1440</v>
      </c>
      <c r="M10" s="48">
        <f>Elect!AI12</f>
        <v>1.71</v>
      </c>
      <c r="N10" s="48">
        <f>IF(Elect!X12&lt;0,"0",Elect!X12)</f>
        <v>31200</v>
      </c>
      <c r="O10" s="48">
        <f>Elect!W12</f>
        <v>1.7</v>
      </c>
      <c r="P10" s="48">
        <f>IF(Elect!O12&lt;0,"0",Elect!O12)</f>
        <v>9200</v>
      </c>
      <c r="Q10" s="48">
        <f>Elect!N12</f>
        <v>6.8000000000000005E-2</v>
      </c>
      <c r="R10" s="48">
        <f>IF(Elect!L12&lt;0,"0",Elect!L12)</f>
        <v>10800</v>
      </c>
      <c r="S10" s="48">
        <f>Elect!K12</f>
        <v>8.5000000000000006E-2</v>
      </c>
      <c r="T10" s="48">
        <f>IF(Elect!R12&lt;0,"0",Elect!R12)</f>
        <v>9600</v>
      </c>
      <c r="U10" s="48">
        <f>Elect!Q12</f>
        <v>7.0999999999999994E-2</v>
      </c>
      <c r="V10" s="48">
        <f>IF(Elect!AA12&lt;0,"0",Elect!AA12)</f>
        <v>4960</v>
      </c>
      <c r="W10" s="48">
        <f>Elect!Z12</f>
        <v>3.38</v>
      </c>
      <c r="X10" s="48">
        <f>IF(Elect!AD12&lt;0,"0",Elect!AD12)</f>
        <v>2720</v>
      </c>
      <c r="Y10" s="48">
        <f>Elect!AC12</f>
        <v>2.96</v>
      </c>
      <c r="Z10" s="48">
        <f>IF(Elect!AG12&lt;0,"0",Elect!AG12)</f>
        <v>48000</v>
      </c>
      <c r="AA10" s="48">
        <f>Elect!AF12</f>
        <v>2.7</v>
      </c>
      <c r="AB10" s="48">
        <f>IF(Elect!AX12&lt;0,"0",Elect!AX12)</f>
        <v>1800</v>
      </c>
      <c r="AC10" s="48">
        <f>IF(Elect!AV12&lt;0,"0",Elect!AV12)</f>
        <v>14200</v>
      </c>
      <c r="AD10" s="48">
        <f>IF(Elect!AZ12&lt;0,"0",Elect!AZ12)</f>
        <v>1024</v>
      </c>
      <c r="AE10" s="48">
        <f>IF(Elect!BB12&lt;0,"0",Elect!BB12)</f>
        <v>1640</v>
      </c>
      <c r="AF10" s="230">
        <f>IF('Wtr-Gas'!E12&lt;0,"0",('Wtr-Gas'!E12)*0.0038)</f>
        <v>3505.2719999999999</v>
      </c>
      <c r="AG10" s="230">
        <f>IF('Wtr-Gas'!H12&lt;0,"0",('Wtr-Gas'!H12)*0.0038)</f>
        <v>974.13</v>
      </c>
      <c r="AH10" s="230">
        <f>IF('Wtr-Gas'!K12&lt;0,"0",('Wtr-Gas'!K12)*0.0038)</f>
        <v>0.60799999999999998</v>
      </c>
      <c r="AI10" s="230">
        <f>IF('Wtr-Gas'!N12&lt;0,"0",('Wtr-Gas'!N12)*0.0038)</f>
        <v>2413</v>
      </c>
      <c r="AJ10" s="230">
        <f>IF('Wtr-Gas'!Q12&lt;0,"0",('Wtr-Gas'!Q12)*0.0038)</f>
        <v>99.56</v>
      </c>
      <c r="AK10" s="231">
        <f>IF('Wtr-Gas'!U12&lt;0,"0",('Wtr-Gas'!U12)*0.0038)</f>
        <v>843.6</v>
      </c>
      <c r="AL10" s="231">
        <f>IF('Wtr-Gas'!X12&lt;0,"0",('Wtr-Gas'!X12)*0.0038)</f>
        <v>4799.3999999999996</v>
      </c>
      <c r="AM10" s="230">
        <f>IF('Wtr-Gas'!AB12&lt;0,"0",('Wtr-Gas'!AB12)*0.0038)</f>
        <v>5320</v>
      </c>
      <c r="AN10" s="230">
        <f>IF('Wtr-Gas'!AD12&lt;0,"0",('Wtr-Gas'!AD12)*0.0038)</f>
        <v>1185.9150200000001</v>
      </c>
      <c r="AO10" s="230">
        <f>IF('Wtr-Gas'!AF12&lt;0,"0",('Wtr-Gas'!AF12)*0.0038)</f>
        <v>6.0419999999999998</v>
      </c>
      <c r="AP10" s="230">
        <f>IF('Wtr-Gas'!AH12&lt;0,"0",('Wtr-Gas'!AH12)*0.0038)</f>
        <v>411.31200000000001</v>
      </c>
      <c r="AQ10" s="230">
        <f>IF('Wtr-Gas'!AJ12&lt;0,"0",('Wtr-Gas'!AJ12)*0.0038)</f>
        <v>35.15</v>
      </c>
      <c r="AR10" s="230">
        <f>IF('Wtr-Gas'!AL12&lt;0,"0",('Wtr-Gas'!AL12)*0.0038)</f>
        <v>345.8</v>
      </c>
      <c r="AS10" s="230">
        <f>IF('Wtr-Gas'!AN12&lt;0,"0",('Wtr-Gas'!AN12)*0.0038)</f>
        <v>0.114</v>
      </c>
      <c r="AT10" s="230">
        <f>IF('Wtr-Gas'!AP12&lt;0,"0",('Wtr-Gas'!AP12)*0.0038)</f>
        <v>3.42</v>
      </c>
      <c r="AU10" s="251">
        <f>IF('Wtr-Gas'!AT12&lt;0,"0",('Wtr-Gas'!AT12)*0.0038)</f>
        <v>0.4864</v>
      </c>
      <c r="AV10" s="230">
        <f>IF('Wtr-Gas'!AW12&lt;0,"0",('Wtr-Gas'!AW12)*0.0038)</f>
        <v>211.69800000000001</v>
      </c>
      <c r="AW10" s="230">
        <f>IF('Wtr-Gas'!AY12&lt;0,"0",('Wtr-Gas'!AY12)*0.0038)</f>
        <v>172.5694</v>
      </c>
      <c r="AX10" s="230">
        <f>IF('Wtr-Gas'!AZ12&lt;0,"0",('Wtr-Gas'!AZ12)*0.0038)</f>
        <v>39.129435999999998</v>
      </c>
      <c r="AY10" s="230">
        <f>IF('Wtr-Gas'!BB12&lt;0,"0",('Wtr-Gas'!BB12)*0.0038)</f>
        <v>14.82</v>
      </c>
      <c r="AZ10" s="230">
        <f>IF('Wtr-Gas'!BD12&lt;0,"0",('Wtr-Gas'!BD12)*0.0038)</f>
        <v>1.9</v>
      </c>
      <c r="BA10" s="230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8">
        <f>IF(Elect!AM13&lt;0,"0",Elect!AM13)</f>
        <v>506</v>
      </c>
      <c r="F11" s="48">
        <f>IF(Elect!I13&lt;0,"0",Elect!I13)</f>
        <v>47040</v>
      </c>
      <c r="G11" s="48">
        <f>Elect!H13</f>
        <v>2.1880000000000002</v>
      </c>
      <c r="H11" s="48">
        <f>IF(Elect!F13&lt;0,"0",Elect!F13)</f>
        <v>40800</v>
      </c>
      <c r="I11" s="48">
        <f>Elect!E13</f>
        <v>1.9339999999999999</v>
      </c>
      <c r="J11" s="48">
        <f>IF(Elect!U13&lt;0,"0",Elect!U13)</f>
        <v>49200</v>
      </c>
      <c r="K11" s="48">
        <f>Elect!T13</f>
        <v>2.5830000000000002</v>
      </c>
      <c r="L11" s="48">
        <f>IF(Elect!AJ13&lt;0,"0",Elect!AJ13)</f>
        <v>1440</v>
      </c>
      <c r="M11" s="48">
        <f>Elect!AI13</f>
        <v>0.30099999999999999</v>
      </c>
      <c r="N11" s="48">
        <f>IF(Elect!X13&lt;0,"0",Elect!X13)</f>
        <v>48000</v>
      </c>
      <c r="O11" s="48">
        <f>Elect!W13</f>
        <v>1.8879999999999999</v>
      </c>
      <c r="P11" s="48">
        <f>IF(Elect!O13&lt;0,"0",Elect!O13)</f>
        <v>9200</v>
      </c>
      <c r="Q11" s="48">
        <f>Elect!N13</f>
        <v>1.79</v>
      </c>
      <c r="R11" s="48">
        <f>IF(Elect!L13&lt;0,"0",Elect!L13)</f>
        <v>10000</v>
      </c>
      <c r="S11" s="48">
        <f>Elect!K13</f>
        <v>2.17</v>
      </c>
      <c r="T11" s="48">
        <f>IF(Elect!R13&lt;0,"0",Elect!R13)</f>
        <v>9200</v>
      </c>
      <c r="U11" s="48">
        <f>Elect!Q13</f>
        <v>1.87</v>
      </c>
      <c r="V11" s="48">
        <f>IF(Elect!AA13&lt;0,"0",Elect!AA13)</f>
        <v>6240</v>
      </c>
      <c r="W11" s="48">
        <f>Elect!Z13</f>
        <v>3.74</v>
      </c>
      <c r="X11" s="48">
        <f>IF(Elect!AD13&lt;0,"0",Elect!AD13)</f>
        <v>3200</v>
      </c>
      <c r="Y11" s="48">
        <f>Elect!AC13</f>
        <v>2.06</v>
      </c>
      <c r="Z11" s="48">
        <f>IF(Elect!AG13&lt;0,"0",Elect!AG13)</f>
        <v>48200</v>
      </c>
      <c r="AA11" s="48">
        <f>Elect!AF13</f>
        <v>1.8959999999999999</v>
      </c>
      <c r="AB11" s="48">
        <f>IF(Elect!AX13&lt;0,"0",Elect!AX13)</f>
        <v>1500</v>
      </c>
      <c r="AC11" s="48">
        <f>IF(Elect!AV13&lt;0,"0",Elect!AV13)</f>
        <v>11600</v>
      </c>
      <c r="AD11" s="48">
        <f>IF(Elect!AZ13&lt;0,"0",Elect!AZ13)</f>
        <v>784</v>
      </c>
      <c r="AE11" s="48">
        <f>IF(Elect!BB13&lt;0,"0",Elect!BB13)</f>
        <v>3920</v>
      </c>
      <c r="AF11" s="230">
        <f>IF('Wtr-Gas'!E13&lt;0,"0",('Wtr-Gas'!E13)*0.0038)</f>
        <v>3780.848</v>
      </c>
      <c r="AG11" s="230">
        <f>IF('Wtr-Gas'!H13&lt;0,"0",('Wtr-Gas'!H13)*0.0038)</f>
        <v>717.66800000000001</v>
      </c>
      <c r="AH11" s="230">
        <f>IF('Wtr-Gas'!K13&lt;0,"0",('Wtr-Gas'!K13)*0.0038)</f>
        <v>1.026</v>
      </c>
      <c r="AI11" s="230">
        <f>IF('Wtr-Gas'!N13&lt;0,"0",('Wtr-Gas'!N13)*0.0038)</f>
        <v>2717</v>
      </c>
      <c r="AJ11" s="230">
        <f>IF('Wtr-Gas'!Q13&lt;0,"0",('Wtr-Gas'!Q13)*0.0038)</f>
        <v>101.84</v>
      </c>
      <c r="AK11" s="231">
        <f>IF('Wtr-Gas'!U13&lt;0,"0",('Wtr-Gas'!U13)*0.0038)</f>
        <v>855.76</v>
      </c>
      <c r="AL11" s="231">
        <f>IF('Wtr-Gas'!X13&lt;0,"0",('Wtr-Gas'!X13)*0.0038)</f>
        <v>4240.8</v>
      </c>
      <c r="AM11" s="230">
        <f>IF('Wtr-Gas'!AB13&lt;0,"0",('Wtr-Gas'!AB13)*0.0038)</f>
        <v>6232</v>
      </c>
      <c r="AN11" s="230">
        <f>IF('Wtr-Gas'!AD13&lt;0,"0",('Wtr-Gas'!AD13)*0.0038)</f>
        <v>1208.5899999999999</v>
      </c>
      <c r="AO11" s="230">
        <f>IF('Wtr-Gas'!AF13&lt;0,"0",('Wtr-Gas'!AF13)*0.0038)</f>
        <v>7.22</v>
      </c>
      <c r="AP11" s="230">
        <f>IF('Wtr-Gas'!AH13&lt;0,"0",('Wtr-Gas'!AH13)*0.0038)</f>
        <v>412.71800000000002</v>
      </c>
      <c r="AQ11" s="230">
        <f>IF('Wtr-Gas'!AJ13&lt;0,"0",('Wtr-Gas'!AJ13)*0.0038)</f>
        <v>30.316400000000002</v>
      </c>
      <c r="AR11" s="230">
        <f>IF('Wtr-Gas'!AL13&lt;0,"0",('Wtr-Gas'!AL13)*0.0038)</f>
        <v>345.8</v>
      </c>
      <c r="AS11" s="230">
        <f>IF('Wtr-Gas'!AN13&lt;0,"0",('Wtr-Gas'!AN13)*0.0038)</f>
        <v>7.9799999999999996E-2</v>
      </c>
      <c r="AT11" s="230">
        <f>IF('Wtr-Gas'!AP13&lt;0,"0",('Wtr-Gas'!AP13)*0.0038)</f>
        <v>14.06</v>
      </c>
      <c r="AU11" s="251">
        <f>IF('Wtr-Gas'!AT13&lt;0,"0",('Wtr-Gas'!AT13)*0.0038)</f>
        <v>0.30780000000000002</v>
      </c>
      <c r="AV11" s="230">
        <f>IF('Wtr-Gas'!AW13&lt;0,"0",('Wtr-Gas'!AW13)*0.0038)</f>
        <v>162.62860000000001</v>
      </c>
      <c r="AW11" s="230">
        <f>IF('Wtr-Gas'!AY13&lt;0,"0",('Wtr-Gas'!AY13)*0.0038)</f>
        <v>128.20439999999999</v>
      </c>
      <c r="AX11" s="230">
        <f>IF('Wtr-Gas'!AZ13&lt;0,"0",('Wtr-Gas'!AZ13)*0.0038)</f>
        <v>34.424389999999995</v>
      </c>
      <c r="AY11" s="230">
        <f>IF('Wtr-Gas'!BB13&lt;0,"0",('Wtr-Gas'!BB13)*0.0038)</f>
        <v>18.239999999999998</v>
      </c>
      <c r="AZ11" s="230">
        <f>IF('Wtr-Gas'!BD13&lt;0,"0",('Wtr-Gas'!BD13)*0.0038)</f>
        <v>1.1399999999999999</v>
      </c>
      <c r="BA11" s="230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8">
        <f>IF(Elect!AM14&lt;0,"0",Elect!AM14)</f>
        <v>513</v>
      </c>
      <c r="F12" s="48">
        <f>IF(Elect!I14&lt;0,"0",Elect!I14)</f>
        <v>47520</v>
      </c>
      <c r="G12" s="48">
        <f>Elect!H14</f>
        <v>2.3780000000000001</v>
      </c>
      <c r="H12" s="48">
        <f>IF(Elect!F14&lt;0,"0",Elect!F14)</f>
        <v>41920</v>
      </c>
      <c r="I12" s="48">
        <f>Elect!E14</f>
        <v>1.9339999999999999</v>
      </c>
      <c r="J12" s="48">
        <f>IF(Elect!U14&lt;0,"0",Elect!U14)</f>
        <v>29700</v>
      </c>
      <c r="K12" s="48">
        <f>Elect!T14</f>
        <v>2.5830000000000002</v>
      </c>
      <c r="L12" s="48">
        <f>IF(Elect!AJ14&lt;0,"0",Elect!AJ14)</f>
        <v>1480</v>
      </c>
      <c r="M12" s="48">
        <f>Elect!AI14</f>
        <v>0.30099999999999999</v>
      </c>
      <c r="N12" s="48">
        <f>IF(Elect!X14&lt;0,"0",Elect!X14)</f>
        <v>57000</v>
      </c>
      <c r="O12" s="48">
        <f>Elect!W14</f>
        <v>1.9690000000000001</v>
      </c>
      <c r="P12" s="48">
        <f>IF(Elect!O14&lt;0,"0",Elect!O14)</f>
        <v>9600</v>
      </c>
      <c r="Q12" s="48">
        <f>Elect!N14</f>
        <v>1.95</v>
      </c>
      <c r="R12" s="48">
        <f>IF(Elect!L14&lt;0,"0",Elect!L14)</f>
        <v>9600</v>
      </c>
      <c r="S12" s="48">
        <f>Elect!K14</f>
        <v>2.2400000000000002</v>
      </c>
      <c r="T12" s="48">
        <f>IF(Elect!R14&lt;0,"0",Elect!R14)</f>
        <v>8800</v>
      </c>
      <c r="U12" s="48">
        <f>Elect!Q14</f>
        <v>1.96</v>
      </c>
      <c r="V12" s="48">
        <f>IF(Elect!AA14&lt;0,"0",Elect!AA14)</f>
        <v>6400</v>
      </c>
      <c r="W12" s="48">
        <f>Elect!Z14</f>
        <v>3.79</v>
      </c>
      <c r="X12" s="48">
        <f>IF(Elect!AD14&lt;0,"0",Elect!AD14)</f>
        <v>3040</v>
      </c>
      <c r="Y12" s="48">
        <f>Elect!AC14</f>
        <v>2.06</v>
      </c>
      <c r="Z12" s="48">
        <f>IF(Elect!AG14&lt;0,"0",Elect!AG14)</f>
        <v>49600</v>
      </c>
      <c r="AA12" s="48">
        <f>Elect!AF14</f>
        <v>1.994</v>
      </c>
      <c r="AB12" s="48">
        <f>IF(Elect!AX14&lt;0,"0",Elect!AX14)</f>
        <v>1600</v>
      </c>
      <c r="AC12" s="48">
        <f>IF(Elect!AV14&lt;0,"0",Elect!AV14)</f>
        <v>12800</v>
      </c>
      <c r="AD12" s="48">
        <f>IF(Elect!AZ14&lt;0,"0",Elect!AZ14)</f>
        <v>901</v>
      </c>
      <c r="AE12" s="48">
        <f>IF(Elect!BB14&lt;0,"0",Elect!BB14)</f>
        <v>2640</v>
      </c>
      <c r="AF12" s="230">
        <f>IF('Wtr-Gas'!E14&lt;0,"0",('Wtr-Gas'!E14)*0.0038)</f>
        <v>3679.502</v>
      </c>
      <c r="AG12" s="230">
        <f>IF('Wtr-Gas'!H14&lt;0,"0",('Wtr-Gas'!H14)*0.0038)</f>
        <v>809.21</v>
      </c>
      <c r="AH12" s="230">
        <f>IF('Wtr-Gas'!K14&lt;0,"0",('Wtr-Gas'!K14)*0.0038)</f>
        <v>3.1920000000000002</v>
      </c>
      <c r="AI12" s="230">
        <f>IF('Wtr-Gas'!N14&lt;0,"0",('Wtr-Gas'!N14)*0.0038)</f>
        <v>2527</v>
      </c>
      <c r="AJ12" s="230">
        <f>IF('Wtr-Gas'!Q14&lt;0,"0",('Wtr-Gas'!Q14)*0.0038)</f>
        <v>104.88</v>
      </c>
      <c r="AK12" s="231">
        <f>IF('Wtr-Gas'!U14&lt;0,"0",('Wtr-Gas'!U14)*0.0038)</f>
        <v>879.7</v>
      </c>
      <c r="AL12" s="231">
        <f>IF('Wtr-Gas'!X14&lt;0,"0",('Wtr-Gas'!X14)*0.0038)</f>
        <v>5149</v>
      </c>
      <c r="AM12" s="230">
        <f>IF('Wtr-Gas'!AB14&lt;0,"0",('Wtr-Gas'!AB14)*0.0038)</f>
        <v>5320</v>
      </c>
      <c r="AN12" s="230">
        <f>IF('Wtr-Gas'!AD14&lt;0,"0",('Wtr-Gas'!AD14)*0.0038)</f>
        <v>1201.2662600000001</v>
      </c>
      <c r="AO12" s="230">
        <f>IF('Wtr-Gas'!AF14&lt;0,"0",('Wtr-Gas'!AF14)*0.0038)</f>
        <v>5.51</v>
      </c>
      <c r="AP12" s="230">
        <f>IF('Wtr-Gas'!AH14&lt;0,"0",('Wtr-Gas'!AH14)*0.0038)</f>
        <v>502.702</v>
      </c>
      <c r="AQ12" s="230">
        <f>IF('Wtr-Gas'!AJ14&lt;0,"0",('Wtr-Gas'!AJ14)*0.0038)</f>
        <v>36.609200000000001</v>
      </c>
      <c r="AR12" s="230">
        <f>IF('Wtr-Gas'!AL14&lt;0,"0",('Wtr-Gas'!AL14)*0.0038)</f>
        <v>342</v>
      </c>
      <c r="AS12" s="230">
        <f>IF('Wtr-Gas'!AN14&lt;0,"0",('Wtr-Gas'!AN14)*0.0038)</f>
        <v>0.12540000000000001</v>
      </c>
      <c r="AT12" s="230">
        <f>IF('Wtr-Gas'!AP14&lt;0,"0",('Wtr-Gas'!AP14)*0.0038)</f>
        <v>3.04</v>
      </c>
      <c r="AU12" s="251">
        <f>IF('Wtr-Gas'!AT14&lt;0,"0",('Wtr-Gas'!AT14)*0.0038)</f>
        <v>0.28499999999999998</v>
      </c>
      <c r="AV12" s="230">
        <f>IF('Wtr-Gas'!AW14&lt;0,"0",('Wtr-Gas'!AW14)*0.0038)</f>
        <v>191.2388</v>
      </c>
      <c r="AW12" s="230">
        <f>IF('Wtr-Gas'!AY14&lt;0,"0",('Wtr-Gas'!AY14)*0.0038)</f>
        <v>150.4838</v>
      </c>
      <c r="AX12" s="230">
        <f>IF('Wtr-Gas'!AZ14&lt;0,"0",('Wtr-Gas'!AZ14)*0.0038)</f>
        <v>40.755341999999999</v>
      </c>
      <c r="AY12" s="230">
        <f>IF('Wtr-Gas'!BB14&lt;0,"0",('Wtr-Gas'!BB14)*0.0038)</f>
        <v>11.4</v>
      </c>
      <c r="AZ12" s="230">
        <f>IF('Wtr-Gas'!BD14&lt;0,"0",('Wtr-Gas'!BD14)*0.0038)</f>
        <v>2.2799999999999998</v>
      </c>
      <c r="BA12" s="230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8">
        <f>IF(Elect!AM15&lt;0,"0",Elect!AM15)</f>
        <v>524</v>
      </c>
      <c r="F13" s="48">
        <f>IF(Elect!I15&lt;0,"0",Elect!I15)</f>
        <v>46560</v>
      </c>
      <c r="G13" s="48">
        <f>Elect!H15</f>
        <v>2.3780000000000001</v>
      </c>
      <c r="H13" s="48">
        <f>IF(Elect!F15&lt;0,"0",Elect!F15)</f>
        <v>40960</v>
      </c>
      <c r="I13" s="48">
        <f>Elect!E15</f>
        <v>1.9470000000000001</v>
      </c>
      <c r="J13" s="48">
        <f>IF(Elect!U15&lt;0,"0",Elect!U15)</f>
        <v>32100</v>
      </c>
      <c r="K13" s="48">
        <f>Elect!T15</f>
        <v>2.5830000000000002</v>
      </c>
      <c r="L13" s="48">
        <f>IF(Elect!AJ15&lt;0,"0",Elect!AJ15)</f>
        <v>1400</v>
      </c>
      <c r="M13" s="48">
        <f>Elect!AI15</f>
        <v>0.30099999999999999</v>
      </c>
      <c r="N13" s="48">
        <f>IF(Elect!X15&lt;0,"0",Elect!X15)</f>
        <v>41400</v>
      </c>
      <c r="O13" s="48">
        <f>Elect!W15</f>
        <v>1.9690000000000001</v>
      </c>
      <c r="P13" s="48">
        <f>IF(Elect!O15&lt;0,"0",Elect!O15)</f>
        <v>9200</v>
      </c>
      <c r="Q13" s="48">
        <f>Elect!N15</f>
        <v>1.95</v>
      </c>
      <c r="R13" s="48">
        <f>IF(Elect!L15&lt;0,"0",Elect!L15)</f>
        <v>9600</v>
      </c>
      <c r="S13" s="48">
        <f>Elect!K15</f>
        <v>2.2799999999999998</v>
      </c>
      <c r="T13" s="48">
        <f>IF(Elect!R15&lt;0,"0",Elect!R15)</f>
        <v>8800</v>
      </c>
      <c r="U13" s="48">
        <f>Elect!Q15</f>
        <v>1.98</v>
      </c>
      <c r="V13" s="48">
        <f>IF(Elect!AA15&lt;0,"0",Elect!AA15)</f>
        <v>5120</v>
      </c>
      <c r="W13" s="48">
        <f>Elect!Z15</f>
        <v>3.79</v>
      </c>
      <c r="X13" s="48">
        <f>IF(Elect!AD15&lt;0,"0",Elect!AD15)</f>
        <v>2560</v>
      </c>
      <c r="Y13" s="48">
        <f>Elect!AC15</f>
        <v>2.06</v>
      </c>
      <c r="Z13" s="48">
        <f>IF(Elect!AG15&lt;0,"0",Elect!AG15)</f>
        <v>50200</v>
      </c>
      <c r="AA13" s="48">
        <f>Elect!AF15</f>
        <v>2.0449999999999999</v>
      </c>
      <c r="AB13" s="48">
        <f>IF(Elect!AX15&lt;0,"0",Elect!AX15)</f>
        <v>1600</v>
      </c>
      <c r="AC13" s="48">
        <f>IF(Elect!AV15&lt;0,"0",Elect!AV15)</f>
        <v>11700</v>
      </c>
      <c r="AD13" s="48">
        <f>IF(Elect!AZ15&lt;0,"0",Elect!AZ15)</f>
        <v>877</v>
      </c>
      <c r="AE13" s="48">
        <f>IF(Elect!BB15&lt;0,"0",Elect!BB15)</f>
        <v>4680</v>
      </c>
      <c r="AF13" s="230">
        <f>IF('Wtr-Gas'!E15&lt;0,"0",('Wtr-Gas'!E15)*0.0038)</f>
        <v>4172.9319999999998</v>
      </c>
      <c r="AG13" s="230">
        <f>IF('Wtr-Gas'!H15&lt;0,"0",('Wtr-Gas'!H15)*0.0038)</f>
        <v>805.75199999999995</v>
      </c>
      <c r="AH13" s="230">
        <f>IF('Wtr-Gas'!K15&lt;0,"0",('Wtr-Gas'!K15)*0.0038)</f>
        <v>2.85</v>
      </c>
      <c r="AI13" s="230">
        <f>IF('Wtr-Gas'!N15&lt;0,"0",('Wtr-Gas'!N15)*0.0038)</f>
        <v>2595.4</v>
      </c>
      <c r="AJ13" s="230">
        <f>IF('Wtr-Gas'!Q15&lt;0,"0",('Wtr-Gas'!Q15)*0.0038)</f>
        <v>92.34</v>
      </c>
      <c r="AK13" s="231">
        <f>IF('Wtr-Gas'!U15&lt;0,"0",('Wtr-Gas'!U15)*0.0038)</f>
        <v>825.36</v>
      </c>
      <c r="AL13" s="231">
        <f>IF('Wtr-Gas'!X15&lt;0,"0",('Wtr-Gas'!X15)*0.0038)</f>
        <v>5502.4</v>
      </c>
      <c r="AM13" s="230">
        <f>IF('Wtr-Gas'!AB15&lt;0,"0",('Wtr-Gas'!AB15)*0.0038)</f>
        <v>4826</v>
      </c>
      <c r="AN13" s="230">
        <f>IF('Wtr-Gas'!AD15&lt;0,"0",('Wtr-Gas'!AD15)*0.0038)</f>
        <v>996.76774</v>
      </c>
      <c r="AO13" s="230">
        <f>IF('Wtr-Gas'!AF15&lt;0,"0",('Wtr-Gas'!AF15)*0.0038)</f>
        <v>9.9179999999999993</v>
      </c>
      <c r="AP13" s="230">
        <f>IF('Wtr-Gas'!AH15&lt;0,"0",('Wtr-Gas'!AH15)*0.0038)</f>
        <v>395.27600000000001</v>
      </c>
      <c r="AQ13" s="230">
        <f>IF('Wtr-Gas'!AJ15&lt;0,"0",('Wtr-Gas'!AJ15)*0.0038)</f>
        <v>53.610399999999998</v>
      </c>
      <c r="AR13" s="230">
        <f>IF('Wtr-Gas'!AL15&lt;0,"0",('Wtr-Gas'!AL15)*0.0038)</f>
        <v>733.4</v>
      </c>
      <c r="AS13" s="230">
        <f>IF('Wtr-Gas'!AN15&lt;0,"0",('Wtr-Gas'!AN15)*0.0038)</f>
        <v>0.21659999999999999</v>
      </c>
      <c r="AT13" s="230">
        <f>IF('Wtr-Gas'!AP15&lt;0,"0",('Wtr-Gas'!AP15)*0.0038)</f>
        <v>3.42</v>
      </c>
      <c r="AU13" s="251">
        <f>IF('Wtr-Gas'!AT15&lt;0,"0",('Wtr-Gas'!AT15)*0.0038)</f>
        <v>0.44080000000000003</v>
      </c>
      <c r="AV13" s="230">
        <f>IF('Wtr-Gas'!AW15&lt;0,"0",('Wtr-Gas'!AW15)*0.0038)</f>
        <v>44.935000000000002</v>
      </c>
      <c r="AW13" s="230">
        <f>IF('Wtr-Gas'!AY15&lt;0,"0",('Wtr-Gas'!AY15)*0.0038)</f>
        <v>142.6634</v>
      </c>
      <c r="AX13" s="230" t="str">
        <f>IF('Wtr-Gas'!AZ15&lt;0,"0",('Wtr-Gas'!AZ15)*0.0038)</f>
        <v>0</v>
      </c>
      <c r="AY13" s="230">
        <f>IF('Wtr-Gas'!BB15&lt;0,"0",('Wtr-Gas'!BB15)*0.0038)</f>
        <v>18.62</v>
      </c>
      <c r="AZ13" s="230">
        <f>IF('Wtr-Gas'!BD15&lt;0,"0",('Wtr-Gas'!BD15)*0.0038)</f>
        <v>1.1399999999999999</v>
      </c>
      <c r="BA13" s="230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8">
        <f>IF(Elect!AM16&lt;0,"0",Elect!AM16)</f>
        <v>425</v>
      </c>
      <c r="F14" s="48">
        <f>IF(Elect!I16&lt;0,"0",Elect!I16)</f>
        <v>49120</v>
      </c>
      <c r="G14" s="48">
        <f>Elect!H16</f>
        <v>1.7769999999999999</v>
      </c>
      <c r="H14" s="48">
        <f>IF(Elect!F16&lt;0,"0",Elect!F16)</f>
        <v>43040</v>
      </c>
      <c r="I14" s="48">
        <f>Elect!E16</f>
        <v>1.587</v>
      </c>
      <c r="J14" s="48">
        <f>IF(Elect!U16&lt;0,"0",Elect!U16)</f>
        <v>64800</v>
      </c>
      <c r="K14" s="48">
        <f>Elect!T16</f>
        <v>0.85899999999999999</v>
      </c>
      <c r="L14" s="48">
        <f>IF(Elect!AJ16&lt;0,"0",Elect!AJ16)</f>
        <v>1560</v>
      </c>
      <c r="M14" s="48">
        <f>Elect!AI16</f>
        <v>0.30099999999999999</v>
      </c>
      <c r="N14" s="48">
        <f>IF(Elect!X16&lt;0,"0",Elect!X16)</f>
        <v>33900</v>
      </c>
      <c r="O14" s="48">
        <f>Elect!W16</f>
        <v>0.68200000000000005</v>
      </c>
      <c r="P14" s="48">
        <f>IF(Elect!O16&lt;0,"0",Elect!O16)</f>
        <v>10400</v>
      </c>
      <c r="Q14" s="48">
        <f>Elect!N16</f>
        <v>2.2200000000000002</v>
      </c>
      <c r="R14" s="48">
        <f>IF(Elect!L16&lt;0,"0",Elect!L16)</f>
        <v>11200</v>
      </c>
      <c r="S14" s="48">
        <f>Elect!K16</f>
        <v>2.11</v>
      </c>
      <c r="T14" s="48">
        <f>IF(Elect!R16&lt;0,"0",Elect!R16)</f>
        <v>10400</v>
      </c>
      <c r="U14" s="48">
        <f>Elect!Q16</f>
        <v>1.77</v>
      </c>
      <c r="V14" s="48">
        <f>IF(Elect!AA16&lt;0,"0",Elect!AA16)</f>
        <v>6400</v>
      </c>
      <c r="W14" s="48">
        <f>Elect!Z16</f>
        <v>2.77</v>
      </c>
      <c r="X14" s="48">
        <f>IF(Elect!AD16&lt;0,"0",Elect!AD16)</f>
        <v>3200</v>
      </c>
      <c r="Y14" s="48">
        <f>Elect!AC16</f>
        <v>1.33</v>
      </c>
      <c r="Z14" s="48">
        <f>IF(Elect!AG16&lt;0,"0",Elect!AG16)</f>
        <v>49200</v>
      </c>
      <c r="AA14" s="48">
        <f>Elect!AF16</f>
        <v>1.365</v>
      </c>
      <c r="AB14" s="48">
        <f>IF(Elect!AX16&lt;0,"0",Elect!AX16)</f>
        <v>1700</v>
      </c>
      <c r="AC14" s="48">
        <f>IF(Elect!AV16&lt;0,"0",Elect!AV16)</f>
        <v>13100</v>
      </c>
      <c r="AD14" s="48">
        <f>IF(Elect!AZ16&lt;0,"0",Elect!AZ16)</f>
        <v>841</v>
      </c>
      <c r="AE14" s="48">
        <f>IF(Elect!BB16&lt;0,"0",Elect!BB16)</f>
        <v>4960</v>
      </c>
      <c r="AF14" s="230">
        <f>IF('Wtr-Gas'!E16&lt;0,"0",('Wtr-Gas'!E16)*0.0038)</f>
        <v>4610.8059999999996</v>
      </c>
      <c r="AG14" s="230">
        <f>IF('Wtr-Gas'!H16&lt;0,"0",('Wtr-Gas'!H16)*0.0038)</f>
        <v>652.15599999999995</v>
      </c>
      <c r="AH14" s="230">
        <f>IF('Wtr-Gas'!K16&lt;0,"0",('Wtr-Gas'!K16)*0.0038)</f>
        <v>1.9</v>
      </c>
      <c r="AI14" s="230">
        <f>IF('Wtr-Gas'!N16&lt;0,"0",('Wtr-Gas'!N16)*0.0038)</f>
        <v>3078</v>
      </c>
      <c r="AJ14" s="230">
        <f>IF('Wtr-Gas'!Q16&lt;0,"0",('Wtr-Gas'!Q16)*0.0038)</f>
        <v>97.28</v>
      </c>
      <c r="AK14" s="231">
        <f>IF('Wtr-Gas'!U16&lt;0,"0",('Wtr-Gas'!U16)*0.0038)</f>
        <v>908.2</v>
      </c>
      <c r="AL14" s="231">
        <f>IF('Wtr-Gas'!X16&lt;0,"0",('Wtr-Gas'!X16)*0.0038)</f>
        <v>4529.6000000000004</v>
      </c>
      <c r="AM14" s="230">
        <f>IF('Wtr-Gas'!AB16&lt;0,"0",('Wtr-Gas'!AB16)*0.0038)</f>
        <v>6080</v>
      </c>
      <c r="AN14" s="230">
        <f>IF('Wtr-Gas'!AD16&lt;0,"0",('Wtr-Gas'!AD16)*0.0038)</f>
        <v>1141.0640000000001</v>
      </c>
      <c r="AO14" s="230">
        <f>IF('Wtr-Gas'!AF16&lt;0,"0",('Wtr-Gas'!AF16)*0.0038)</f>
        <v>11.4</v>
      </c>
      <c r="AP14" s="230">
        <f>IF('Wtr-Gas'!AH16&lt;0,"0",('Wtr-Gas'!AH16)*0.0038)</f>
        <v>409.45</v>
      </c>
      <c r="AQ14" s="230">
        <f>IF('Wtr-Gas'!AJ16&lt;0,"0",('Wtr-Gas'!AJ16)*0.0038)</f>
        <v>63.038200000000003</v>
      </c>
      <c r="AR14" s="230">
        <f>IF('Wtr-Gas'!AL16&lt;0,"0",('Wtr-Gas'!AL16)*0.0038)</f>
        <v>680.2</v>
      </c>
      <c r="AS14" s="230">
        <f>IF('Wtr-Gas'!AN16&lt;0,"0",('Wtr-Gas'!AN16)*0.0038)</f>
        <v>0.21659999999999999</v>
      </c>
      <c r="AT14" s="230">
        <f>IF('Wtr-Gas'!AP16&lt;0,"0",('Wtr-Gas'!AP16)*0.0038)</f>
        <v>3.04</v>
      </c>
      <c r="AU14" s="251">
        <f>IF('Wtr-Gas'!AT16&lt;0,"0",('Wtr-Gas'!AT16)*0.0038)</f>
        <v>0.38</v>
      </c>
      <c r="AV14" s="230">
        <f>IF('Wtr-Gas'!AW16&lt;0,"0",('Wtr-Gas'!AW16)*0.0038)</f>
        <v>189.715</v>
      </c>
      <c r="AW14" s="230">
        <f>IF('Wtr-Gas'!AY16&lt;0,"0",('Wtr-Gas'!AY16)*0.0038)</f>
        <v>149.834</v>
      </c>
      <c r="AX14" s="230">
        <f>IF('Wtr-Gas'!AZ16&lt;0,"0",('Wtr-Gas'!AZ16)*0.0038)</f>
        <v>39.882102000000003</v>
      </c>
      <c r="AY14" s="230">
        <f>IF('Wtr-Gas'!BB16&lt;0,"0",('Wtr-Gas'!BB16)*0.0038)</f>
        <v>15.96</v>
      </c>
      <c r="AZ14" s="230">
        <f>IF('Wtr-Gas'!BD16&lt;0,"0",('Wtr-Gas'!BD16)*0.0038)</f>
        <v>1.52</v>
      </c>
      <c r="BA14" s="230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8">
        <f>IF(Elect!AM17&lt;0,"0",Elect!AM17)</f>
        <v>563</v>
      </c>
      <c r="F15" s="48">
        <f>IF(Elect!I17&lt;0,"0",Elect!I17)</f>
        <v>48480</v>
      </c>
      <c r="G15" s="48">
        <f>Elect!H17</f>
        <v>2.331</v>
      </c>
      <c r="H15" s="48">
        <f>IF(Elect!F17&lt;0,"0",Elect!F17)</f>
        <v>42560</v>
      </c>
      <c r="I15" s="48">
        <f>Elect!E17</f>
        <v>2.0430000000000001</v>
      </c>
      <c r="J15" s="48">
        <f>IF(Elect!U17&lt;0,"0",Elect!U17)</f>
        <v>62700</v>
      </c>
      <c r="K15" s="48">
        <f>Elect!T17</f>
        <v>2.4350000000000001</v>
      </c>
      <c r="L15" s="48">
        <f>IF(Elect!AJ17&lt;0,"0",Elect!AJ17)</f>
        <v>1480</v>
      </c>
      <c r="M15" s="48">
        <f>Elect!AI17</f>
        <v>0.30099999999999999</v>
      </c>
      <c r="N15" s="48">
        <f>IF(Elect!X17&lt;0,"0",Elect!X17)</f>
        <v>42300</v>
      </c>
      <c r="O15" s="48">
        <f>Elect!W17</f>
        <v>1.694</v>
      </c>
      <c r="P15" s="48">
        <f>IF(Elect!O17&lt;0,"0",Elect!O17)</f>
        <v>10400</v>
      </c>
      <c r="Q15" s="48">
        <f>Elect!N17</f>
        <v>2.27</v>
      </c>
      <c r="R15" s="48">
        <f>IF(Elect!L17&lt;0,"0",Elect!L17)</f>
        <v>10000</v>
      </c>
      <c r="S15" s="48">
        <f>Elect!K17</f>
        <v>2.31</v>
      </c>
      <c r="T15" s="48">
        <f>IF(Elect!R17&lt;0,"0",Elect!R17)</f>
        <v>9600</v>
      </c>
      <c r="U15" s="48">
        <f>Elect!Q17</f>
        <v>2.33</v>
      </c>
      <c r="V15" s="48">
        <f>IF(Elect!AA17&lt;0,"0",Elect!AA17)</f>
        <v>6080</v>
      </c>
      <c r="W15" s="48">
        <f>Elect!Z17</f>
        <v>3.13</v>
      </c>
      <c r="X15" s="48">
        <f>IF(Elect!AD17&lt;0,"0",Elect!AD17)</f>
        <v>3360</v>
      </c>
      <c r="Y15" s="48">
        <f>Elect!AC17</f>
        <v>2.46</v>
      </c>
      <c r="Z15" s="48">
        <f>IF(Elect!AG17&lt;0,"0",Elect!AG17)</f>
        <v>49400</v>
      </c>
      <c r="AA15" s="48">
        <f>Elect!AF17</f>
        <v>1.9450000000000001</v>
      </c>
      <c r="AB15" s="48">
        <f>IF(Elect!AX17&lt;0,"0",Elect!AX17)</f>
        <v>1800</v>
      </c>
      <c r="AC15" s="48">
        <f>IF(Elect!AV17&lt;0,"0",Elect!AV17)</f>
        <v>13900</v>
      </c>
      <c r="AD15" s="48">
        <f>IF(Elect!AZ17&lt;0,"0",Elect!AZ17)</f>
        <v>815</v>
      </c>
      <c r="AE15" s="48">
        <f>IF(Elect!BB17&lt;0,"0",Elect!BB17)</f>
        <v>5000</v>
      </c>
      <c r="AF15" s="230">
        <f>IF('Wtr-Gas'!E17&lt;0,"0",('Wtr-Gas'!E17)*0.0038)</f>
        <v>4665.6019999999999</v>
      </c>
      <c r="AG15" s="230">
        <f>IF('Wtr-Gas'!H17&lt;0,"0",('Wtr-Gas'!H17)*0.0038)</f>
        <v>523.41200000000003</v>
      </c>
      <c r="AH15" s="230">
        <f>IF('Wtr-Gas'!K17&lt;0,"0",('Wtr-Gas'!K17)*0.0038)</f>
        <v>0.95</v>
      </c>
      <c r="AI15" s="230">
        <f>IF('Wtr-Gas'!N17&lt;0,"0",('Wtr-Gas'!N17)*0.0038)</f>
        <v>3203.4</v>
      </c>
      <c r="AJ15" s="230">
        <f>IF('Wtr-Gas'!Q17&lt;0,"0",('Wtr-Gas'!Q17)*0.0038)</f>
        <v>95.38</v>
      </c>
      <c r="AK15" s="231">
        <f>IF('Wtr-Gas'!U17&lt;0,"0",('Wtr-Gas'!U17)*0.0038)</f>
        <v>752.78</v>
      </c>
      <c r="AL15" s="231">
        <f>IF('Wtr-Gas'!X17&lt;0,"0",('Wtr-Gas'!X17)*0.0038)</f>
        <v>3423.8</v>
      </c>
      <c r="AM15" s="230">
        <f>IF('Wtr-Gas'!AB17&lt;0,"0",('Wtr-Gas'!AB17)*0.0038)</f>
        <v>7106</v>
      </c>
      <c r="AN15" s="230">
        <f>IF('Wtr-Gas'!AD17&lt;0,"0",('Wtr-Gas'!AD17)*0.0038)</f>
        <v>1906.5360000000001</v>
      </c>
      <c r="AO15" s="230">
        <f>IF('Wtr-Gas'!AF17&lt;0,"0",('Wtr-Gas'!AF17)*0.0038)</f>
        <v>9.8800000000000008</v>
      </c>
      <c r="AP15" s="230">
        <f>IF('Wtr-Gas'!AH17&lt;0,"0",('Wtr-Gas'!AH17)*0.0038)</f>
        <v>373.654</v>
      </c>
      <c r="AQ15" s="230">
        <f>IF('Wtr-Gas'!AJ17&lt;0,"0",('Wtr-Gas'!AJ17)*0.0038)</f>
        <v>43.916600000000003</v>
      </c>
      <c r="AR15" s="230">
        <f>IF('Wtr-Gas'!AL17&lt;0,"0",('Wtr-Gas'!AL17)*0.0038)</f>
        <v>668.8</v>
      </c>
      <c r="AS15" s="230">
        <f>IF('Wtr-Gas'!AN17&lt;0,"0",('Wtr-Gas'!AN17)*0.0038)</f>
        <v>8.7400000000000005E-2</v>
      </c>
      <c r="AT15" s="230">
        <f>IF('Wtr-Gas'!AP17&lt;0,"0",('Wtr-Gas'!AP17)*0.0038)</f>
        <v>8.74</v>
      </c>
      <c r="AU15" s="251">
        <f>IF('Wtr-Gas'!AT17&lt;0,"0",('Wtr-Gas'!AT17)*0.0038)</f>
        <v>0.38379999999999997</v>
      </c>
      <c r="AV15" s="230">
        <f>IF('Wtr-Gas'!AW17&lt;0,"0",('Wtr-Gas'!AW17)*0.0038)</f>
        <v>185.48560000000001</v>
      </c>
      <c r="AW15" s="230">
        <f>IF('Wtr-Gas'!AY17&lt;0,"0",('Wtr-Gas'!AY17)*0.0038)</f>
        <v>149.76560000000001</v>
      </c>
      <c r="AX15" s="230">
        <f>IF('Wtr-Gas'!AZ17&lt;0,"0",('Wtr-Gas'!AZ17)*0.0038)</f>
        <v>35.719202000000003</v>
      </c>
      <c r="AY15" s="230">
        <f>IF('Wtr-Gas'!BB17&lt;0,"0",('Wtr-Gas'!BB17)*0.0038)</f>
        <v>7.98</v>
      </c>
      <c r="AZ15" s="230">
        <f>IF('Wtr-Gas'!BD17&lt;0,"0",('Wtr-Gas'!BD17)*0.0038)</f>
        <v>1.9</v>
      </c>
      <c r="BA15" s="230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8">
        <f>IF(Elect!AM18&lt;0,"0",Elect!AM18)</f>
        <v>204</v>
      </c>
      <c r="F16" s="48">
        <f>IF(Elect!I18&lt;0,"0",Elect!I18)</f>
        <v>20480</v>
      </c>
      <c r="G16" s="48">
        <f>Elect!H18</f>
        <v>2.331</v>
      </c>
      <c r="H16" s="48">
        <f>IF(Elect!F18&lt;0,"0",Elect!F18)</f>
        <v>18560</v>
      </c>
      <c r="I16" s="48">
        <f>Elect!E18</f>
        <v>2.0430000000000001</v>
      </c>
      <c r="J16" s="48">
        <f>IF(Elect!U18&lt;0,"0",Elect!U18)</f>
        <v>22500</v>
      </c>
      <c r="K16" s="48">
        <f>Elect!T18</f>
        <v>2.496</v>
      </c>
      <c r="L16" s="48">
        <f>IF(Elect!AJ18&lt;0,"0",Elect!AJ18)</f>
        <v>600</v>
      </c>
      <c r="M16" s="48">
        <f>Elect!AI18</f>
        <v>0.32500000000000001</v>
      </c>
      <c r="N16" s="48">
        <f>IF(Elect!X18&lt;0,"0",Elect!X18)</f>
        <v>27600</v>
      </c>
      <c r="O16" s="48">
        <f>Elect!W18</f>
        <v>1.732</v>
      </c>
      <c r="P16" s="48">
        <f>IF(Elect!O18&lt;0,"0",Elect!O18)</f>
        <v>17200</v>
      </c>
      <c r="Q16" s="48">
        <f>Elect!N18</f>
        <v>2.27</v>
      </c>
      <c r="R16" s="48">
        <f>IF(Elect!L18&lt;0,"0",Elect!L18)</f>
        <v>37200</v>
      </c>
      <c r="S16" s="48">
        <f>Elect!K18</f>
        <v>2.27</v>
      </c>
      <c r="T16" s="48">
        <f>IF(Elect!R18&lt;0,"0",Elect!R18)</f>
        <v>4000</v>
      </c>
      <c r="U16" s="48">
        <f>Elect!Q18</f>
        <v>2.33</v>
      </c>
      <c r="V16" s="48">
        <f>IF(Elect!AA18&lt;0,"0",Elect!AA18)</f>
        <v>2240</v>
      </c>
      <c r="W16" s="48">
        <f>Elect!Z18</f>
        <v>2.31</v>
      </c>
      <c r="X16" s="48">
        <f>IF(Elect!AD18&lt;0,"0",Elect!AD18)</f>
        <v>1280</v>
      </c>
      <c r="Y16" s="48">
        <f>Elect!AC18</f>
        <v>2.46</v>
      </c>
      <c r="Z16" s="48">
        <f>IF(Elect!AG18&lt;0,"0",Elect!AG18)</f>
        <v>23000</v>
      </c>
      <c r="AA16" s="48">
        <f>Elect!AF18</f>
        <v>1.9450000000000001</v>
      </c>
      <c r="AB16" s="48">
        <f>IF(Elect!AX18&lt;0,"0",Elect!AX18)</f>
        <v>500</v>
      </c>
      <c r="AC16" s="48">
        <f>IF(Elect!AV18&lt;0,"0",Elect!AV18)</f>
        <v>3900</v>
      </c>
      <c r="AD16" s="48">
        <f>IF(Elect!AZ18&lt;0,"0",Elect!AZ18)</f>
        <v>224</v>
      </c>
      <c r="AE16" s="48">
        <f>IF(Elect!BB18&lt;0,"0",Elect!BB18)</f>
        <v>1280</v>
      </c>
      <c r="AF16" s="230">
        <f>IF('Wtr-Gas'!E18&lt;0,"0",('Wtr-Gas'!E18)*0.0038)</f>
        <v>1945.258</v>
      </c>
      <c r="AG16" s="230">
        <f>IF('Wtr-Gas'!H18&lt;0,"0",('Wtr-Gas'!H18)*0.0038)</f>
        <v>0.22800000000000001</v>
      </c>
      <c r="AH16" s="230">
        <f>IF('Wtr-Gas'!K18&lt;0,"0",('Wtr-Gas'!K18)*0.0038)</f>
        <v>0.152</v>
      </c>
      <c r="AI16" s="230">
        <f>IF('Wtr-Gas'!N18&lt;0,"0",('Wtr-Gas'!N18)*0.0038)</f>
        <v>1436.4</v>
      </c>
      <c r="AJ16" s="230">
        <f>IF('Wtr-Gas'!Q18&lt;0,"0",('Wtr-Gas'!Q18)*0.0038)</f>
        <v>43.32</v>
      </c>
      <c r="AK16" s="231">
        <f>IF('Wtr-Gas'!U18&lt;0,"0",('Wtr-Gas'!U18)*0.0038)</f>
        <v>324.52</v>
      </c>
      <c r="AL16" s="231">
        <f>IF('Wtr-Gas'!X18&lt;0,"0",('Wtr-Gas'!X18)*0.0038)</f>
        <v>1095.54</v>
      </c>
      <c r="AM16" s="230">
        <f>IF('Wtr-Gas'!AB18&lt;0,"0",('Wtr-Gas'!AB18)*0.0038)</f>
        <v>3686</v>
      </c>
      <c r="AN16" s="230">
        <f>IF('Wtr-Gas'!AD18&lt;0,"0",('Wtr-Gas'!AD18)*0.0038)</f>
        <v>971.22641999999996</v>
      </c>
      <c r="AO16" s="230">
        <f>IF('Wtr-Gas'!AF18&lt;0,"0",('Wtr-Gas'!AF18)*0.0038)</f>
        <v>0.60799999999999998</v>
      </c>
      <c r="AP16" s="230">
        <f>IF('Wtr-Gas'!AH18&lt;0,"0",('Wtr-Gas'!AH18)*0.0038)</f>
        <v>104.462</v>
      </c>
      <c r="AQ16" s="230">
        <f>IF('Wtr-Gas'!AJ18&lt;0,"0",('Wtr-Gas'!AJ18)*0.0038)</f>
        <v>19.5016</v>
      </c>
      <c r="AR16" s="230">
        <f>IF('Wtr-Gas'!AL18&lt;0,"0",('Wtr-Gas'!AL18)*0.0038)</f>
        <v>216.6</v>
      </c>
      <c r="AS16" s="230">
        <f>IF('Wtr-Gas'!AN18&lt;0,"0",('Wtr-Gas'!AN18)*0.0038)</f>
        <v>1.52E-2</v>
      </c>
      <c r="AT16" s="230">
        <f>IF('Wtr-Gas'!AP18&lt;0,"0",('Wtr-Gas'!AP18)*0.0038)</f>
        <v>1.9</v>
      </c>
      <c r="AU16" s="251">
        <f>IF('Wtr-Gas'!AT18&lt;0,"0",('Wtr-Gas'!AT18)*0.0038)</f>
        <v>9.5000000000000001E-2</v>
      </c>
      <c r="AV16" s="230">
        <f>IF('Wtr-Gas'!AW18&lt;0,"0",('Wtr-Gas'!AW18)*0.0038)</f>
        <v>51.934600000000003</v>
      </c>
      <c r="AW16" s="230">
        <f>IF('Wtr-Gas'!AY18&lt;0,"0",('Wtr-Gas'!AY18)*0.0038)</f>
        <v>42.978000000000002</v>
      </c>
      <c r="AX16" s="230">
        <f>IF('Wtr-Gas'!AZ18&lt;0,"0",('Wtr-Gas'!AZ18)*0.0038)</f>
        <v>8.9569039999999998</v>
      </c>
      <c r="AY16" s="230">
        <f>IF('Wtr-Gas'!BB18&lt;0,"0",('Wtr-Gas'!BB18)*0.0038)</f>
        <v>8.74</v>
      </c>
      <c r="AZ16" s="230">
        <f>IF('Wtr-Gas'!BD18&lt;0,"0",('Wtr-Gas'!BD18)*0.0038)</f>
        <v>0</v>
      </c>
      <c r="BA16" s="230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8">
        <f>IF(Elect!AM19&lt;0,"0",Elect!AM19)</f>
        <v>268</v>
      </c>
      <c r="F17" s="48">
        <f>IF(Elect!I19&lt;0,"0",Elect!I19)</f>
        <v>28640</v>
      </c>
      <c r="G17" s="48">
        <f>Elect!H19</f>
        <v>2.331</v>
      </c>
      <c r="H17" s="48">
        <f>IF(Elect!F19&lt;0,"0",Elect!F19)</f>
        <v>24640</v>
      </c>
      <c r="I17" s="48">
        <f>Elect!E19</f>
        <v>2.0430000000000001</v>
      </c>
      <c r="J17" s="48">
        <f>IF(Elect!U19&lt;0,"0",Elect!U19)</f>
        <v>22500</v>
      </c>
      <c r="K17" s="48">
        <f>Elect!T19</f>
        <v>2.4350000000000001</v>
      </c>
      <c r="L17" s="48">
        <f>IF(Elect!AJ19&lt;0,"0",Elect!AJ19)</f>
        <v>920</v>
      </c>
      <c r="M17" s="48">
        <f>Elect!AI19</f>
        <v>0.32500000000000001</v>
      </c>
      <c r="N17" s="48">
        <f>IF(Elect!X19&lt;0,"0",Elect!X19)</f>
        <v>14700</v>
      </c>
      <c r="O17" s="48">
        <f>Elect!W19</f>
        <v>1.732</v>
      </c>
      <c r="P17" s="48">
        <f>IF(Elect!O19&lt;0,"0",Elect!O19)</f>
        <v>42000</v>
      </c>
      <c r="Q17" s="48">
        <f>Elect!N19</f>
        <v>2.98</v>
      </c>
      <c r="R17" s="48">
        <f>IF(Elect!L19&lt;0,"0",Elect!L19)</f>
        <v>6800</v>
      </c>
      <c r="S17" s="48">
        <f>Elect!K19</f>
        <v>2.331</v>
      </c>
      <c r="T17" s="48">
        <f>IF(Elect!R19&lt;0,"0",Elect!R19)</f>
        <v>6400</v>
      </c>
      <c r="U17" s="48">
        <f>Elect!Q19</f>
        <v>2.54</v>
      </c>
      <c r="V17" s="48">
        <f>IF(Elect!AA19&lt;0,"0",Elect!AA19)</f>
        <v>3040</v>
      </c>
      <c r="W17" s="48">
        <f>Elect!Z19</f>
        <v>3.13</v>
      </c>
      <c r="X17" s="48">
        <f>IF(Elect!AD19&lt;0,"0",Elect!AD19)</f>
        <v>1600</v>
      </c>
      <c r="Y17" s="48">
        <f>Elect!AC19</f>
        <v>2.46</v>
      </c>
      <c r="Z17" s="48">
        <f>IF(Elect!AG19&lt;0,"0",Elect!AG19)</f>
        <v>26400</v>
      </c>
      <c r="AA17" s="48">
        <f>Elect!AF19</f>
        <v>1.9450000000000001</v>
      </c>
      <c r="AB17" s="48">
        <f>IF(Elect!AX19&lt;0,"0",Elect!AX19)</f>
        <v>1400</v>
      </c>
      <c r="AC17" s="48">
        <f>IF(Elect!AV19&lt;0,"0",Elect!AV19)</f>
        <v>10600</v>
      </c>
      <c r="AD17" s="48">
        <f>IF(Elect!AZ19&lt;0,"0",Elect!AZ19)</f>
        <v>685</v>
      </c>
      <c r="AE17" s="48">
        <f>IF(Elect!BB19&lt;0,"0",Elect!BB19)</f>
        <v>4840</v>
      </c>
      <c r="AF17" s="230">
        <f>IF('Wtr-Gas'!E19&lt;0,"0",('Wtr-Gas'!E19)*0.0038)</f>
        <v>2405.6280000000002</v>
      </c>
      <c r="AG17" s="230">
        <f>IF('Wtr-Gas'!H19&lt;0,"0",('Wtr-Gas'!H19)*0.0038)</f>
        <v>23.902000000000001</v>
      </c>
      <c r="AH17" s="230">
        <f>IF('Wtr-Gas'!K19&lt;0,"0",('Wtr-Gas'!K19)*0.0038)</f>
        <v>0.64600000000000002</v>
      </c>
      <c r="AI17" s="230">
        <f>IF('Wtr-Gas'!N19&lt;0,"0",('Wtr-Gas'!N19)*0.0038)</f>
        <v>1729</v>
      </c>
      <c r="AJ17" s="230">
        <f>IF('Wtr-Gas'!Q19&lt;0,"0",('Wtr-Gas'!Q19)*0.0038)</f>
        <v>57.76</v>
      </c>
      <c r="AK17" s="231">
        <f>IF('Wtr-Gas'!U19&lt;0,"0",('Wtr-Gas'!U19)*0.0038)</f>
        <v>435.86</v>
      </c>
      <c r="AL17" s="231">
        <f>IF('Wtr-Gas'!X19&lt;0,"0",('Wtr-Gas'!X19)*0.0038)</f>
        <v>3510.06</v>
      </c>
      <c r="AM17" s="230">
        <f>IF('Wtr-Gas'!AB19&lt;0,"0",('Wtr-Gas'!AB19)*0.0038)</f>
        <v>2356</v>
      </c>
      <c r="AN17" s="230">
        <f>IF('Wtr-Gas'!AD19&lt;0,"0",('Wtr-Gas'!AD19)*0.0038)</f>
        <v>798.35757999999998</v>
      </c>
      <c r="AO17" s="230">
        <f>IF('Wtr-Gas'!AF19&lt;0,"0",('Wtr-Gas'!AF19)*0.0038)</f>
        <v>7.03</v>
      </c>
      <c r="AP17" s="230">
        <f>IF('Wtr-Gas'!AH19&lt;0,"0",('Wtr-Gas'!AH19)*0.0038)</f>
        <v>139.232</v>
      </c>
      <c r="AQ17" s="230">
        <f>IF('Wtr-Gas'!AJ19&lt;0,"0",('Wtr-Gas'!AJ19)*0.0038)</f>
        <v>26.968599999999999</v>
      </c>
      <c r="AR17" s="230">
        <f>IF('Wtr-Gas'!AL19&lt;0,"0",('Wtr-Gas'!AL19)*0.0038)</f>
        <v>311.60000000000002</v>
      </c>
      <c r="AS17" s="230">
        <f>IF('Wtr-Gas'!AN19&lt;0,"0",('Wtr-Gas'!AN19)*0.0038)</f>
        <v>0.1482</v>
      </c>
      <c r="AT17" s="230">
        <f>IF('Wtr-Gas'!AP19&lt;0,"0",('Wtr-Gas'!AP19)*0.0038)</f>
        <v>4.18</v>
      </c>
      <c r="AU17" s="251">
        <f>IF('Wtr-Gas'!AT19&lt;0,"0",('Wtr-Gas'!AT19)*0.0038)</f>
        <v>0.2888</v>
      </c>
      <c r="AV17" s="230">
        <f>IF('Wtr-Gas'!AW19&lt;0,"0",('Wtr-Gas'!AW19)*0.0038)</f>
        <v>157.69999999999999</v>
      </c>
      <c r="AW17" s="230">
        <f>IF('Wtr-Gas'!AY19&lt;0,"0",('Wtr-Gas'!AY19)*0.0038)</f>
        <v>128.54259999999999</v>
      </c>
      <c r="AX17" s="230">
        <f>IF('Wtr-Gas'!AZ19&lt;0,"0",('Wtr-Gas'!AZ19)*0.0038)</f>
        <v>29.158426000000002</v>
      </c>
      <c r="AY17" s="230">
        <f>IF('Wtr-Gas'!BB19&lt;0,"0",('Wtr-Gas'!BB19)*0.0038)</f>
        <v>7.98</v>
      </c>
      <c r="AZ17" s="230">
        <f>IF('Wtr-Gas'!BD19&lt;0,"0",('Wtr-Gas'!BD19)*0.0038)</f>
        <v>1.52</v>
      </c>
      <c r="BA17" s="230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8">
        <f>IF(Elect!AM20&lt;0,"0",Elect!AM20)</f>
        <v>443</v>
      </c>
      <c r="F18" s="48">
        <f>IF(Elect!I20&lt;0,"0",Elect!I20)</f>
        <v>47360</v>
      </c>
      <c r="G18" s="48">
        <f>Elect!H20</f>
        <v>2.331</v>
      </c>
      <c r="H18" s="48">
        <f>IF(Elect!F20&lt;0,"0",Elect!F20)</f>
        <v>40960</v>
      </c>
      <c r="I18" s="48">
        <f>Elect!E20</f>
        <v>2.0430000000000001</v>
      </c>
      <c r="J18" s="48">
        <f>IF(Elect!U20&lt;0,"0",Elect!U20)</f>
        <v>43800</v>
      </c>
      <c r="K18" s="48">
        <f>Elect!T20</f>
        <v>2.4350000000000001</v>
      </c>
      <c r="L18" s="48">
        <f>IF(Elect!AJ20&lt;0,"0",Elect!AJ20)</f>
        <v>1360</v>
      </c>
      <c r="M18" s="48">
        <f>Elect!AI20</f>
        <v>0.32500000000000001</v>
      </c>
      <c r="N18" s="48">
        <f>IF(Elect!X20&lt;0,"0",Elect!X20)</f>
        <v>36600</v>
      </c>
      <c r="O18" s="48">
        <f>Elect!W20</f>
        <v>1.8380000000000001</v>
      </c>
      <c r="P18" s="48">
        <f>IF(Elect!O20&lt;0,"0",Elect!O20)</f>
        <v>9600</v>
      </c>
      <c r="Q18" s="48">
        <f>Elect!N20</f>
        <v>2.98</v>
      </c>
      <c r="R18" s="48">
        <f>IF(Elect!L20&lt;0,"0",Elect!L20)</f>
        <v>9600</v>
      </c>
      <c r="S18" s="48">
        <f>Elect!K20</f>
        <v>2.98</v>
      </c>
      <c r="T18" s="48">
        <f>IF(Elect!R20&lt;0,"0",Elect!R20)</f>
        <v>8800</v>
      </c>
      <c r="U18" s="48">
        <f>Elect!Q20</f>
        <v>2.54</v>
      </c>
      <c r="V18" s="48">
        <f>IF(Elect!AA20&lt;0,"0",Elect!AA20)</f>
        <v>5760</v>
      </c>
      <c r="W18" s="48">
        <f>Elect!Z20</f>
        <v>3.18</v>
      </c>
      <c r="X18" s="48">
        <f>IF(Elect!AD20&lt;0,"0",Elect!AD20)</f>
        <v>3040</v>
      </c>
      <c r="Y18" s="48">
        <f>Elect!AC20</f>
        <v>2.91</v>
      </c>
      <c r="Z18" s="48">
        <f>IF(Elect!AG20&lt;0,"0",Elect!AG20)</f>
        <v>48600</v>
      </c>
      <c r="AA18" s="48">
        <f>Elect!AF20</f>
        <v>1.9710000000000001</v>
      </c>
      <c r="AB18" s="48">
        <f>IF(Elect!AX20&lt;0,"0",Elect!AX20)</f>
        <v>1400</v>
      </c>
      <c r="AC18" s="48">
        <f>IF(Elect!AV20&lt;0,"0",Elect!AV20)</f>
        <v>10900</v>
      </c>
      <c r="AD18" s="48">
        <f>IF(Elect!AZ20&lt;0,"0",Elect!AZ20)</f>
        <v>693</v>
      </c>
      <c r="AE18" s="48">
        <f>IF(Elect!BB20&lt;0,"0",Elect!BB20)</f>
        <v>3160</v>
      </c>
      <c r="AF18" s="230">
        <f>IF('Wtr-Gas'!E20&lt;0,"0",('Wtr-Gas'!E20)*0.0038)</f>
        <v>4549.7780000000002</v>
      </c>
      <c r="AG18" s="230">
        <f>IF('Wtr-Gas'!H20&lt;0,"0",('Wtr-Gas'!H20)*0.0038)</f>
        <v>870.2</v>
      </c>
      <c r="AH18" s="230">
        <f>IF('Wtr-Gas'!K20&lt;0,"0",('Wtr-Gas'!K20)*0.0038)</f>
        <v>0.38</v>
      </c>
      <c r="AI18" s="230">
        <f>IF('Wtr-Gas'!N20&lt;0,"0",('Wtr-Gas'!N20)*0.0038)</f>
        <v>3055.2</v>
      </c>
      <c r="AJ18" s="230">
        <f>IF('Wtr-Gas'!Q20&lt;0,"0",('Wtr-Gas'!Q20)*0.0038)</f>
        <v>102.6</v>
      </c>
      <c r="AK18" s="231">
        <f>IF('Wtr-Gas'!U20&lt;0,"0",('Wtr-Gas'!U20)*0.0038)</f>
        <v>712.88</v>
      </c>
      <c r="AL18" s="231">
        <f>IF('Wtr-Gas'!X20&lt;0,"0",('Wtr-Gas'!X20)*0.0038)</f>
        <v>4031.8</v>
      </c>
      <c r="AM18" s="230">
        <f>IF('Wtr-Gas'!AB20&lt;0,"0",('Wtr-Gas'!AB20)*0.0038)</f>
        <v>5700</v>
      </c>
      <c r="AN18" s="230">
        <f>IF('Wtr-Gas'!AD20&lt;0,"0",('Wtr-Gas'!AD20)*0.0038)</f>
        <v>1579.9639999999999</v>
      </c>
      <c r="AO18" s="230">
        <f>IF('Wtr-Gas'!AF20&lt;0,"0",('Wtr-Gas'!AF20)*0.0038)</f>
        <v>7.9039999999999999</v>
      </c>
      <c r="AP18" s="230">
        <f>IF('Wtr-Gas'!AH20&lt;0,"0",('Wtr-Gas'!AH20)*0.0038)</f>
        <v>513.83600000000001</v>
      </c>
      <c r="AQ18" s="230">
        <f>IF('Wtr-Gas'!AJ20&lt;0,"0",('Wtr-Gas'!AJ20)*0.0038)</f>
        <v>38.737200000000001</v>
      </c>
      <c r="AR18" s="230">
        <f>IF('Wtr-Gas'!AL20&lt;0,"0",('Wtr-Gas'!AL20)*0.0038)</f>
        <v>615.6</v>
      </c>
      <c r="AS18" s="230">
        <f>IF('Wtr-Gas'!AN20&lt;0,"0",('Wtr-Gas'!AN20)*0.0038)</f>
        <v>0.2014</v>
      </c>
      <c r="AT18" s="230">
        <f>IF('Wtr-Gas'!AP20&lt;0,"0",('Wtr-Gas'!AP20)*0.0038)</f>
        <v>6.46</v>
      </c>
      <c r="AU18" s="251">
        <f>IF('Wtr-Gas'!AT20&lt;0,"0",('Wtr-Gas'!AT20)*0.0038)</f>
        <v>0.27360000000000001</v>
      </c>
      <c r="AV18" s="230">
        <f>IF('Wtr-Gas'!AW20&lt;0,"0",('Wtr-Gas'!AW20)*0.0038)</f>
        <v>157.04640000000001</v>
      </c>
      <c r="AW18" s="230">
        <f>IF('Wtr-Gas'!AY20&lt;0,"0",('Wtr-Gas'!AY20)*0.0038)</f>
        <v>129.38999999999999</v>
      </c>
      <c r="AX18" s="230">
        <f>IF('Wtr-Gas'!AZ20&lt;0,"0",('Wtr-Gas'!AZ20)*0.0038)</f>
        <v>27.657844000000001</v>
      </c>
      <c r="AY18" s="230">
        <f>IF('Wtr-Gas'!BB20&lt;0,"0",('Wtr-Gas'!BB20)*0.0038)</f>
        <v>11.4</v>
      </c>
      <c r="AZ18" s="230">
        <f>IF('Wtr-Gas'!BD20&lt;0,"0",('Wtr-Gas'!BD20)*0.0038)</f>
        <v>0.76</v>
      </c>
      <c r="BA18" s="230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8">
        <f>IF(Elect!AM21&lt;0,"0",Elect!AM21)</f>
        <v>390</v>
      </c>
      <c r="F19" s="48">
        <f>IF(Elect!I21&lt;0,"0",Elect!I21)</f>
        <v>47840</v>
      </c>
      <c r="G19" s="48">
        <f>Elect!H21</f>
        <v>2.331</v>
      </c>
      <c r="H19" s="48">
        <f>IF(Elect!F21&lt;0,"0",Elect!F21)</f>
        <v>40960</v>
      </c>
      <c r="I19" s="48">
        <f>Elect!E21</f>
        <v>2.0430000000000001</v>
      </c>
      <c r="J19" s="48">
        <f>IF(Elect!U21&lt;0,"0",Elect!U21)</f>
        <v>45000</v>
      </c>
      <c r="K19" s="48">
        <f>Elect!T21</f>
        <v>2.4350000000000001</v>
      </c>
      <c r="L19" s="48">
        <f>IF(Elect!AJ21&lt;0,"0",Elect!AJ21)</f>
        <v>1480</v>
      </c>
      <c r="M19" s="48">
        <f>Elect!AI21</f>
        <v>0.32500000000000001</v>
      </c>
      <c r="N19" s="48">
        <f>IF(Elect!X21&lt;0,"0",Elect!X21)</f>
        <v>65400</v>
      </c>
      <c r="O19" s="48">
        <f>Elect!W21</f>
        <v>1.8380000000000001</v>
      </c>
      <c r="P19" s="48">
        <f>IF(Elect!O21&lt;0,"0",Elect!O21)</f>
        <v>0</v>
      </c>
      <c r="Q19" s="48">
        <f>Elect!N21</f>
        <v>2.98</v>
      </c>
      <c r="R19" s="48">
        <f>IF(Elect!L21&lt;0,"0",Elect!L21)</f>
        <v>9200</v>
      </c>
      <c r="S19" s="48">
        <f>Elect!K21</f>
        <v>2.98</v>
      </c>
      <c r="T19" s="48">
        <f>IF(Elect!R21&lt;0,"0",Elect!R21)</f>
        <v>9200</v>
      </c>
      <c r="U19" s="48">
        <f>Elect!Q21</f>
        <v>2.54</v>
      </c>
      <c r="V19" s="48">
        <f>IF(Elect!AA21&lt;0,"0",Elect!AA21)</f>
        <v>5760</v>
      </c>
      <c r="W19" s="48">
        <f>Elect!Z21</f>
        <v>3.18</v>
      </c>
      <c r="X19" s="48">
        <f>IF(Elect!AD21&lt;0,"0",Elect!AD21)</f>
        <v>2880</v>
      </c>
      <c r="Y19" s="48">
        <f>Elect!AC21</f>
        <v>2.91</v>
      </c>
      <c r="Z19" s="48">
        <f>IF(Elect!AG21&lt;0,"0",Elect!AG21)</f>
        <v>49600</v>
      </c>
      <c r="AA19" s="48">
        <f>Elect!AF21</f>
        <v>1.9710000000000001</v>
      </c>
      <c r="AB19" s="48">
        <f>IF(Elect!AX21&lt;0,"0",Elect!AX21)</f>
        <v>1800</v>
      </c>
      <c r="AC19" s="48">
        <f>IF(Elect!AV21&lt;0,"0",Elect!AV21)</f>
        <v>14500</v>
      </c>
      <c r="AD19" s="48">
        <f>IF(Elect!AZ21&lt;0,"0",Elect!AZ21)</f>
        <v>811</v>
      </c>
      <c r="AE19" s="48">
        <f>IF(Elect!BB21&lt;0,"0",Elect!BB21)</f>
        <v>2800</v>
      </c>
      <c r="AF19" s="230">
        <f>IF('Wtr-Gas'!E21&lt;0,"0",('Wtr-Gas'!E21)*0.0038)</f>
        <v>4444.29</v>
      </c>
      <c r="AG19" s="230">
        <f>IF('Wtr-Gas'!H21&lt;0,"0",('Wtr-Gas'!H21)*0.0038)</f>
        <v>689.28200000000004</v>
      </c>
      <c r="AH19" s="230">
        <f>IF('Wtr-Gas'!K21&lt;0,"0",('Wtr-Gas'!K21)*0.0038)</f>
        <v>2.8119999999999998</v>
      </c>
      <c r="AI19" s="230">
        <f>IF('Wtr-Gas'!N21&lt;0,"0",('Wtr-Gas'!N21)*0.0038)</f>
        <v>3123.6</v>
      </c>
      <c r="AJ19" s="230">
        <f>IF('Wtr-Gas'!Q21&lt;0,"0",('Wtr-Gas'!Q21)*0.0038)</f>
        <v>104.12</v>
      </c>
      <c r="AK19" s="231">
        <f>IF('Wtr-Gas'!U21&lt;0,"0",('Wtr-Gas'!U21)*0.0038)</f>
        <v>834.86</v>
      </c>
      <c r="AL19" s="231">
        <f>IF('Wtr-Gas'!X21&lt;0,"0",('Wtr-Gas'!X21)*0.0038)</f>
        <v>13927</v>
      </c>
      <c r="AM19" s="230">
        <f>IF('Wtr-Gas'!AB21&lt;0,"0",('Wtr-Gas'!AB21)*0.0038)</f>
        <v>8284</v>
      </c>
      <c r="AN19" s="230">
        <f>IF('Wtr-Gas'!AD21&lt;0,"0",('Wtr-Gas'!AD21)*0.0038)</f>
        <v>2095.4720000000002</v>
      </c>
      <c r="AO19" s="230">
        <f>IF('Wtr-Gas'!AF21&lt;0,"0",('Wtr-Gas'!AF21)*0.0038)</f>
        <v>13.49</v>
      </c>
      <c r="AP19" s="230">
        <f>IF('Wtr-Gas'!AH21&lt;0,"0",('Wtr-Gas'!AH21)*0.0038)</f>
        <v>656.03200000000004</v>
      </c>
      <c r="AQ19" s="230">
        <f>IF('Wtr-Gas'!AJ21&lt;0,"0",('Wtr-Gas'!AJ21)*0.0038)</f>
        <v>29.396799999999999</v>
      </c>
      <c r="AR19" s="230">
        <f>IF('Wtr-Gas'!AL21&lt;0,"0",('Wtr-Gas'!AL21)*0.0038)</f>
        <v>452.2</v>
      </c>
      <c r="AS19" s="230">
        <f>IF('Wtr-Gas'!AN21&lt;0,"0",('Wtr-Gas'!AN21)*0.0038)</f>
        <v>9.8799999999999999E-2</v>
      </c>
      <c r="AT19" s="230">
        <f>IF('Wtr-Gas'!AP21&lt;0,"0",('Wtr-Gas'!AP21)*0.0038)</f>
        <v>12.16</v>
      </c>
      <c r="AU19" s="251">
        <f>IF('Wtr-Gas'!AT21&lt;0,"0",('Wtr-Gas'!AT21)*0.0038)</f>
        <v>0.34200000000000003</v>
      </c>
      <c r="AV19" s="230">
        <f>IF('Wtr-Gas'!AW21&lt;0,"0",('Wtr-Gas'!AW21)*0.0038)</f>
        <v>183.57040000000001</v>
      </c>
      <c r="AW19" s="230">
        <f>IF('Wtr-Gas'!AY21&lt;0,"0",('Wtr-Gas'!AY21)*0.0038)</f>
        <v>150.6738</v>
      </c>
      <c r="AX19" s="230">
        <f>IF('Wtr-Gas'!AZ21&lt;0,"0",('Wtr-Gas'!AZ21)*0.0038)</f>
        <v>32.895497999999996</v>
      </c>
      <c r="AY19" s="230">
        <f>IF('Wtr-Gas'!BB21&lt;0,"0",('Wtr-Gas'!BB21)*0.0038)</f>
        <v>11.02</v>
      </c>
      <c r="AZ19" s="230">
        <f>IF('Wtr-Gas'!BD21&lt;0,"0",('Wtr-Gas'!BD21)*0.0038)</f>
        <v>1.9</v>
      </c>
      <c r="BA19" s="230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8">
        <f>IF(Elect!AM22&lt;0,"0",Elect!AM22)</f>
        <v>568</v>
      </c>
      <c r="F20" s="48">
        <f>IF(Elect!I22&lt;0,"0",Elect!I22)</f>
        <v>45280</v>
      </c>
      <c r="G20" s="48">
        <f>Elect!H22</f>
        <v>2.1720000000000002</v>
      </c>
      <c r="H20" s="48">
        <f>IF(Elect!F22&lt;0,"0",Elect!F22)</f>
        <v>39680</v>
      </c>
      <c r="I20" s="48">
        <f>Elect!E22</f>
        <v>1.901</v>
      </c>
      <c r="J20" s="48">
        <f>IF(Elect!U22&lt;0,"0",Elect!U22)</f>
        <v>54600</v>
      </c>
      <c r="K20" s="48">
        <f>Elect!T22</f>
        <v>2.4820000000000002</v>
      </c>
      <c r="L20" s="48">
        <f>IF(Elect!AJ22&lt;0,"0",Elect!AJ22)</f>
        <v>1360</v>
      </c>
      <c r="M20" s="48">
        <f>Elect!AI22</f>
        <v>0.29299999999999998</v>
      </c>
      <c r="N20" s="48">
        <f>IF(Elect!X22&lt;0,"0",Elect!X22)</f>
        <v>49200</v>
      </c>
      <c r="O20" s="48">
        <f>Elect!W22</f>
        <v>1.931</v>
      </c>
      <c r="P20" s="48">
        <f>IF(Elect!O22&lt;0,"0",Elect!O22)</f>
        <v>18000</v>
      </c>
      <c r="Q20" s="48">
        <f>Elect!N22</f>
        <v>1.88</v>
      </c>
      <c r="R20" s="48">
        <f>IF(Elect!L22&lt;0,"0",Elect!L22)</f>
        <v>8800</v>
      </c>
      <c r="S20" s="48">
        <f>Elect!K22</f>
        <v>1.88</v>
      </c>
      <c r="T20" s="48">
        <f>IF(Elect!R22&lt;0,"0",Elect!R22)</f>
        <v>8400</v>
      </c>
      <c r="U20" s="48">
        <f>Elect!Q22</f>
        <v>1.56</v>
      </c>
      <c r="V20" s="48">
        <f>IF(Elect!AA22&lt;0,"0",Elect!AA22)</f>
        <v>5760</v>
      </c>
      <c r="W20" s="48">
        <f>Elect!Z22</f>
        <v>3.17</v>
      </c>
      <c r="X20" s="48">
        <f>IF(Elect!AD22&lt;0,"0",Elect!AD22)</f>
        <v>3040</v>
      </c>
      <c r="Y20" s="48">
        <f>Elect!AC22</f>
        <v>1.56</v>
      </c>
      <c r="Z20" s="48">
        <f>IF(Elect!AG22&lt;0,"0",Elect!AG22)</f>
        <v>44000</v>
      </c>
      <c r="AA20" s="48">
        <f>Elect!AF22</f>
        <v>1.7470000000000001</v>
      </c>
      <c r="AB20" s="48">
        <f>IF(Elect!AX22&lt;0,"0",Elect!AX22)</f>
        <v>1800</v>
      </c>
      <c r="AC20" s="48">
        <f>IF(Elect!AV22&lt;0,"0",Elect!AV22)</f>
        <v>14200</v>
      </c>
      <c r="AD20" s="48">
        <f>IF(Elect!AZ22&lt;0,"0",Elect!AZ22)</f>
        <v>863</v>
      </c>
      <c r="AE20" s="48">
        <f>IF(Elect!BB22&lt;0,"0",Elect!BB22)</f>
        <v>2560</v>
      </c>
      <c r="AF20" s="230">
        <f>IF('Wtr-Gas'!E22&lt;0,"0",('Wtr-Gas'!E22)*0.0038)</f>
        <v>4258.6980000000003</v>
      </c>
      <c r="AG20" s="230">
        <f>IF('Wtr-Gas'!H22&lt;0,"0",('Wtr-Gas'!H22)*0.0038)</f>
        <v>1101.848</v>
      </c>
      <c r="AH20" s="230">
        <f>IF('Wtr-Gas'!K22&lt;0,"0",('Wtr-Gas'!K22)*0.0038)</f>
        <v>0.79800000000000004</v>
      </c>
      <c r="AI20" s="230">
        <f>IF('Wtr-Gas'!N22&lt;0,"0",('Wtr-Gas'!N22)*0.0038)</f>
        <v>2979.2</v>
      </c>
      <c r="AJ20" s="230">
        <f>IF('Wtr-Gas'!Q22&lt;0,"0",('Wtr-Gas'!Q22)*0.0038)</f>
        <v>103.74</v>
      </c>
      <c r="AK20" s="231">
        <f>IF('Wtr-Gas'!U22&lt;0,"0",('Wtr-Gas'!U22)*0.0038)</f>
        <v>810.16</v>
      </c>
      <c r="AL20" s="231" t="str">
        <f>IF('Wtr-Gas'!X22&lt;0,"0",('Wtr-Gas'!X22)*0.0038)</f>
        <v>0</v>
      </c>
      <c r="AM20" s="230">
        <f>IF('Wtr-Gas'!AB22&lt;0,"0",('Wtr-Gas'!AB22)*0.0038)</f>
        <v>7752</v>
      </c>
      <c r="AN20" s="230">
        <f>IF('Wtr-Gas'!AD22&lt;0,"0",('Wtr-Gas'!AD22)*0.0038)</f>
        <v>2097.3719999999998</v>
      </c>
      <c r="AO20" s="230">
        <f>IF('Wtr-Gas'!AF22&lt;0,"0",('Wtr-Gas'!AF22)*0.0038)</f>
        <v>7.3339999999999996</v>
      </c>
      <c r="AP20" s="230">
        <f>IF('Wtr-Gas'!AH22&lt;0,"0",('Wtr-Gas'!AH22)*0.0038)</f>
        <v>636.88</v>
      </c>
      <c r="AQ20" s="230">
        <f>IF('Wtr-Gas'!AJ22&lt;0,"0",('Wtr-Gas'!AJ22)*0.0038)</f>
        <v>11.430400000000001</v>
      </c>
      <c r="AR20" s="230">
        <f>IF('Wtr-Gas'!AL22&lt;0,"0",('Wtr-Gas'!AL22)*0.0038)</f>
        <v>349.6</v>
      </c>
      <c r="AS20" s="230">
        <f>IF('Wtr-Gas'!AN22&lt;0,"0",('Wtr-Gas'!AN22)*0.0038)</f>
        <v>9.5000000000000001E-2</v>
      </c>
      <c r="AT20" s="230">
        <f>IF('Wtr-Gas'!AP22&lt;0,"0",('Wtr-Gas'!AP22)*0.0038)</f>
        <v>18.239999999999998</v>
      </c>
      <c r="AU20" s="251">
        <f>IF('Wtr-Gas'!AT22&lt;0,"0",('Wtr-Gas'!AT22)*0.0038)</f>
        <v>0.35720000000000002</v>
      </c>
      <c r="AV20" s="230">
        <f>IF('Wtr-Gas'!AW22&lt;0,"0",('Wtr-Gas'!AW22)*0.0038)</f>
        <v>189.77199999999999</v>
      </c>
      <c r="AW20" s="230">
        <f>IF('Wtr-Gas'!AY22&lt;0,"0",('Wtr-Gas'!AY22)*0.0038)</f>
        <v>151.9126</v>
      </c>
      <c r="AX20" s="230">
        <f>IF('Wtr-Gas'!AZ22&lt;0,"0",('Wtr-Gas'!AZ22)*0.0038)</f>
        <v>37.860996</v>
      </c>
      <c r="AY20" s="230">
        <f>IF('Wtr-Gas'!BB22&lt;0,"0",('Wtr-Gas'!BB22)*0.0038)</f>
        <v>6.08</v>
      </c>
      <c r="AZ20" s="230">
        <f>IF('Wtr-Gas'!BD22&lt;0,"0",('Wtr-Gas'!BD22)*0.0038)</f>
        <v>1.9</v>
      </c>
      <c r="BA20" s="230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8">
        <f>IF(Elect!AM23&lt;0,"0",Elect!AM23)</f>
        <v>316</v>
      </c>
      <c r="F21" s="48">
        <f>IF(Elect!I23&lt;0,"0",Elect!I23)</f>
        <v>34720</v>
      </c>
      <c r="G21" s="48">
        <f>Elect!H23</f>
        <v>2.1720000000000002</v>
      </c>
      <c r="H21" s="48">
        <f>IF(Elect!F23&lt;0,"0",Elect!F23)</f>
        <v>29440</v>
      </c>
      <c r="I21" s="48">
        <f>Elect!E23</f>
        <v>1.901</v>
      </c>
      <c r="J21" s="48">
        <f>IF(Elect!U23&lt;0,"0",Elect!U23)</f>
        <v>39900</v>
      </c>
      <c r="K21" s="48">
        <f>Elect!T23</f>
        <v>2.4820000000000002</v>
      </c>
      <c r="L21" s="48">
        <f>IF(Elect!AJ23&lt;0,"0",Elect!AJ23)</f>
        <v>1120</v>
      </c>
      <c r="M21" s="48">
        <f>Elect!AI23</f>
        <v>0.32</v>
      </c>
      <c r="N21" s="48">
        <f>IF(Elect!X23&lt;0,"0",Elect!X23)</f>
        <v>45600</v>
      </c>
      <c r="O21" s="48">
        <f>Elect!W23</f>
        <v>1.931</v>
      </c>
      <c r="P21" s="48">
        <f>IF(Elect!O23&lt;0,"0",Elect!O23)</f>
        <v>9200</v>
      </c>
      <c r="Q21" s="48">
        <f>Elect!N23</f>
        <v>1.75</v>
      </c>
      <c r="R21" s="48">
        <f>IF(Elect!L23&lt;0,"0",Elect!L23)</f>
        <v>6400</v>
      </c>
      <c r="S21" s="48">
        <f>Elect!K23</f>
        <v>1.88</v>
      </c>
      <c r="T21" s="48">
        <f>IF(Elect!R23&lt;0,"0",Elect!R23)</f>
        <v>6000</v>
      </c>
      <c r="U21" s="48">
        <f>Elect!Q23</f>
        <v>1.66</v>
      </c>
      <c r="V21" s="48">
        <f>IF(Elect!AA23&lt;0,"0",Elect!AA23)</f>
        <v>4800</v>
      </c>
      <c r="W21" s="48">
        <f>Elect!Z23</f>
        <v>3.21</v>
      </c>
      <c r="X21" s="48">
        <f>IF(Elect!AD23&lt;0,"0",Elect!AD23)</f>
        <v>2560</v>
      </c>
      <c r="Y21" s="48">
        <f>Elect!AC23</f>
        <v>2.23</v>
      </c>
      <c r="Z21" s="48">
        <f>IF(Elect!AG23&lt;0,"0",Elect!AG23)</f>
        <v>34600</v>
      </c>
      <c r="AA21" s="48">
        <f>Elect!AF23</f>
        <v>1.7529999999999999</v>
      </c>
      <c r="AB21" s="48">
        <f>IF(Elect!AX23&lt;0,"0",Elect!AX23)</f>
        <v>1400</v>
      </c>
      <c r="AC21" s="48">
        <f>IF(Elect!AV23&lt;0,"0",Elect!AV23)</f>
        <v>10600</v>
      </c>
      <c r="AD21" s="48">
        <f>IF(Elect!AZ23&lt;0,"0",Elect!AZ23)</f>
        <v>636</v>
      </c>
      <c r="AE21" s="48">
        <f>IF(Elect!BB23&lt;0,"0",Elect!BB23)</f>
        <v>2360</v>
      </c>
      <c r="AF21" s="230">
        <f>IF('Wtr-Gas'!E23&lt;0,"0",('Wtr-Gas'!E23)*0.0038)</f>
        <v>3401.3040000000001</v>
      </c>
      <c r="AG21" s="230">
        <f>IF('Wtr-Gas'!H23&lt;0,"0",('Wtr-Gas'!H23)*0.0038)</f>
        <v>809.85599999999999</v>
      </c>
      <c r="AH21" s="230">
        <f>IF('Wtr-Gas'!K23&lt;0,"0",('Wtr-Gas'!K23)*0.0038)</f>
        <v>0.68400000000000005</v>
      </c>
      <c r="AI21" s="230">
        <f>IF('Wtr-Gas'!N23&lt;0,"0",('Wtr-Gas'!N23)*0.0038)</f>
        <v>2280</v>
      </c>
      <c r="AJ21" s="230">
        <f>IF('Wtr-Gas'!Q23&lt;0,"0",('Wtr-Gas'!Q23)*0.0038)</f>
        <v>84.36</v>
      </c>
      <c r="AK21" s="231">
        <f>IF('Wtr-Gas'!U23&lt;0,"0",('Wtr-Gas'!U23)*0.0038)</f>
        <v>583.29999999999995</v>
      </c>
      <c r="AL21" s="231">
        <f>IF('Wtr-Gas'!X23&lt;0,"0",('Wtr-Gas'!X23)*0.0038)</f>
        <v>1854.4</v>
      </c>
      <c r="AM21" s="230">
        <f>IF('Wtr-Gas'!AB23&lt;0,"0",('Wtr-Gas'!AB23)*0.0038)</f>
        <v>6574</v>
      </c>
      <c r="AN21" s="230">
        <f>IF('Wtr-Gas'!AD23&lt;0,"0",('Wtr-Gas'!AD23)*0.0038)</f>
        <v>1615.4632200000001</v>
      </c>
      <c r="AO21" s="230">
        <f>IF('Wtr-Gas'!AF23&lt;0,"0",('Wtr-Gas'!AF23)*0.0038)</f>
        <v>0.98799999999999999</v>
      </c>
      <c r="AP21" s="230">
        <f>IF('Wtr-Gas'!AH23&lt;0,"0",('Wtr-Gas'!AH23)*0.0038)</f>
        <v>365.63600000000002</v>
      </c>
      <c r="AQ21" s="230">
        <f>IF('Wtr-Gas'!AJ23&lt;0,"0",('Wtr-Gas'!AJ23)*0.0038)</f>
        <v>17.400200000000002</v>
      </c>
      <c r="AR21" s="230">
        <f>IF('Wtr-Gas'!AL23&lt;0,"0",('Wtr-Gas'!AL23)*0.0038)</f>
        <v>471.2</v>
      </c>
      <c r="AS21" s="230">
        <f>IF('Wtr-Gas'!AN23&lt;0,"0",('Wtr-Gas'!AN23)*0.0038)</f>
        <v>8.7400000000000005E-2</v>
      </c>
      <c r="AT21" s="230">
        <f>IF('Wtr-Gas'!AP23&lt;0,"0",('Wtr-Gas'!AP23)*0.0038)</f>
        <v>6.84</v>
      </c>
      <c r="AU21" s="251">
        <f>IF('Wtr-Gas'!AT23&lt;0,"0",('Wtr-Gas'!AT23)*0.0038)</f>
        <v>0.22800000000000001</v>
      </c>
      <c r="AV21" s="230">
        <f>IF('Wtr-Gas'!AW23&lt;0,"0",('Wtr-Gas'!AW23)*0.0038)</f>
        <v>132.30840000000001</v>
      </c>
      <c r="AW21" s="230">
        <f>IF('Wtr-Gas'!AY23&lt;0,"0",('Wtr-Gas'!AY23)*0.0038)</f>
        <v>107.0916</v>
      </c>
      <c r="AX21" s="230">
        <f>IF('Wtr-Gas'!AZ23&lt;0,"0",('Wtr-Gas'!AZ23)*0.0038)</f>
        <v>25.216382000000003</v>
      </c>
      <c r="AY21" s="230">
        <f>IF('Wtr-Gas'!BB23&lt;0,"0",('Wtr-Gas'!BB23)*0.0038)</f>
        <v>10.64</v>
      </c>
      <c r="AZ21" s="230">
        <f>IF('Wtr-Gas'!BD23&lt;0,"0",('Wtr-Gas'!BD23)*0.0038)</f>
        <v>0.76</v>
      </c>
      <c r="BA21" s="230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8">
        <f>IF(Elect!AM24&lt;0,"0",Elect!AM24)</f>
        <v>123</v>
      </c>
      <c r="F22" s="48">
        <f>IF(Elect!I24&lt;0,"0",Elect!I24)</f>
        <v>11840</v>
      </c>
      <c r="G22" s="48">
        <f>Elect!H24</f>
        <v>2.1720000000000002</v>
      </c>
      <c r="H22" s="48">
        <f>IF(Elect!F24&lt;0,"0",Elect!F24)</f>
        <v>10080</v>
      </c>
      <c r="I22" s="48">
        <f>Elect!E24</f>
        <v>1.901</v>
      </c>
      <c r="J22" s="48">
        <f>IF(Elect!U24&lt;0,"0",Elect!U24)</f>
        <v>16800</v>
      </c>
      <c r="K22" s="48">
        <f>Elect!T24</f>
        <v>2.4820000000000002</v>
      </c>
      <c r="L22" s="48">
        <f>IF(Elect!AJ24&lt;0,"0",Elect!AJ24)</f>
        <v>400</v>
      </c>
      <c r="M22" s="48">
        <f>Elect!AI24</f>
        <v>0.32</v>
      </c>
      <c r="N22" s="48">
        <f>IF(Elect!X24&lt;0,"0",Elect!X24)</f>
        <v>17100</v>
      </c>
      <c r="O22" s="48">
        <f>Elect!W24</f>
        <v>1.998</v>
      </c>
      <c r="P22" s="48">
        <f>IF(Elect!O24&lt;0,"0",Elect!O24)</f>
        <v>2400</v>
      </c>
      <c r="Q22" s="48">
        <f>Elect!N24</f>
        <v>1.79</v>
      </c>
      <c r="R22" s="48">
        <f>IF(Elect!L24&lt;0,"0",Elect!L24)</f>
        <v>2400</v>
      </c>
      <c r="S22" s="48">
        <f>Elect!K24</f>
        <v>1.88</v>
      </c>
      <c r="T22" s="48">
        <f>IF(Elect!R24&lt;0,"0",Elect!R24)</f>
        <v>2400</v>
      </c>
      <c r="U22" s="48">
        <f>Elect!Q24</f>
        <v>1.76</v>
      </c>
      <c r="V22" s="48">
        <f>IF(Elect!AA24&lt;0,"0",Elect!AA24)</f>
        <v>1920</v>
      </c>
      <c r="W22" s="48">
        <f>Elect!Z24</f>
        <v>4.24</v>
      </c>
      <c r="X22" s="48">
        <f>IF(Elect!AD24&lt;0,"0",Elect!AD24)</f>
        <v>800</v>
      </c>
      <c r="Y22" s="48">
        <f>Elect!AC24</f>
        <v>2.23</v>
      </c>
      <c r="Z22" s="48">
        <f>IF(Elect!AG24&lt;0,"0",Elect!AG24)</f>
        <v>12000</v>
      </c>
      <c r="AA22" s="48">
        <f>Elect!AF24</f>
        <v>1.8320000000000001</v>
      </c>
      <c r="AB22" s="48">
        <f>IF(Elect!AX24&lt;0,"0",Elect!AX24)</f>
        <v>500</v>
      </c>
      <c r="AC22" s="48">
        <f>IF(Elect!AV24&lt;0,"0",Elect!AV24)</f>
        <v>4400</v>
      </c>
      <c r="AD22" s="48">
        <f>IF(Elect!AZ24&lt;0,"0",Elect!AZ24)</f>
        <v>256</v>
      </c>
      <c r="AE22" s="48">
        <f>IF(Elect!BB24&lt;0,"0",Elect!BB24)</f>
        <v>1280</v>
      </c>
      <c r="AF22" s="230">
        <f>IF('Wtr-Gas'!E24&lt;0,"0",('Wtr-Gas'!E24)*0.0038)</f>
        <v>1229.1099999999999</v>
      </c>
      <c r="AG22" s="230">
        <f>IF('Wtr-Gas'!H24&lt;0,"0",('Wtr-Gas'!H24)*0.0038)</f>
        <v>348.38400000000001</v>
      </c>
      <c r="AH22" s="230">
        <f>IF('Wtr-Gas'!K24&lt;0,"0",('Wtr-Gas'!K24)*0.0038)</f>
        <v>0.114</v>
      </c>
      <c r="AI22" s="230">
        <f>IF('Wtr-Gas'!N24&lt;0,"0",('Wtr-Gas'!N24)*0.0038)</f>
        <v>904.4</v>
      </c>
      <c r="AJ22" s="230">
        <f>IF('Wtr-Gas'!Q24&lt;0,"0",('Wtr-Gas'!Q24)*0.0038)</f>
        <v>28.88</v>
      </c>
      <c r="AK22" s="231">
        <f>IF('Wtr-Gas'!U24&lt;0,"0",('Wtr-Gas'!U24)*0.0038)</f>
        <v>227.24</v>
      </c>
      <c r="AL22" s="231">
        <f>IF('Wtr-Gas'!X24&lt;0,"0",('Wtr-Gas'!X24)*0.0038)</f>
        <v>288.8</v>
      </c>
      <c r="AM22" s="230">
        <f>IF('Wtr-Gas'!AB24&lt;0,"0",('Wtr-Gas'!AB24)*0.0038)</f>
        <v>2698</v>
      </c>
      <c r="AN22" s="230">
        <f>IF('Wtr-Gas'!AD24&lt;0,"0",('Wtr-Gas'!AD24)*0.0038)</f>
        <v>648.23478</v>
      </c>
      <c r="AO22" s="230">
        <f>IF('Wtr-Gas'!AF24&lt;0,"0",('Wtr-Gas'!AF24)*0.0038)</f>
        <v>3.42</v>
      </c>
      <c r="AP22" s="230">
        <f>IF('Wtr-Gas'!AH24&lt;0,"0",('Wtr-Gas'!AH24)*0.0038)</f>
        <v>175.10400000000001</v>
      </c>
      <c r="AQ22" s="230">
        <f>IF('Wtr-Gas'!AJ24&lt;0,"0",('Wtr-Gas'!AJ24)*0.0038)</f>
        <v>5.681</v>
      </c>
      <c r="AR22" s="230">
        <f>IF('Wtr-Gas'!AL24&lt;0,"0",('Wtr-Gas'!AL24)*0.0038)</f>
        <v>102.6</v>
      </c>
      <c r="AS22" s="230">
        <f>IF('Wtr-Gas'!AN24&lt;0,"0",('Wtr-Gas'!AN24)*0.0038)</f>
        <v>7.6E-3</v>
      </c>
      <c r="AT22" s="230">
        <f>IF('Wtr-Gas'!AP24&lt;0,"0",('Wtr-Gas'!AP24)*0.0038)</f>
        <v>1.9</v>
      </c>
      <c r="AU22" s="251">
        <f>IF('Wtr-Gas'!AT24&lt;0,"0",('Wtr-Gas'!AT24)*0.0038)</f>
        <v>8.7400000000000005E-2</v>
      </c>
      <c r="AV22" s="230">
        <f>IF('Wtr-Gas'!AW24&lt;0,"0",('Wtr-Gas'!AW24)*0.0038)</f>
        <v>54.480600000000003</v>
      </c>
      <c r="AW22" s="230">
        <f>IF('Wtr-Gas'!AY24&lt;0,"0",('Wtr-Gas'!AY24)*0.0038)</f>
        <v>42.540999999999997</v>
      </c>
      <c r="AX22" s="230">
        <f>IF('Wtr-Gas'!AZ24&lt;0,"0",('Wtr-Gas'!AZ24)*0.0038)</f>
        <v>11.940398</v>
      </c>
      <c r="AY22" s="230">
        <f>IF('Wtr-Gas'!BB24&lt;0,"0",('Wtr-Gas'!BB24)*0.0038)</f>
        <v>0.38</v>
      </c>
      <c r="AZ22" s="230">
        <f>IF('Wtr-Gas'!BD24&lt;0,"0",('Wtr-Gas'!BD24)*0.0038)</f>
        <v>0.38</v>
      </c>
      <c r="BA22" s="230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8">
        <f>IF(Elect!AM25&lt;0,"0",Elect!AM25)</f>
        <v>422</v>
      </c>
      <c r="F23" s="48">
        <f>IF(Elect!I25&lt;0,"0",Elect!I25)</f>
        <v>48480</v>
      </c>
      <c r="G23" s="48">
        <f>Elect!H25</f>
        <v>2.2650000000000001</v>
      </c>
      <c r="H23" s="48">
        <f>IF(Elect!F25&lt;0,"0",Elect!F25)</f>
        <v>40640</v>
      </c>
      <c r="I23" s="48">
        <f>Elect!E25</f>
        <v>1.901</v>
      </c>
      <c r="J23" s="48">
        <f>IF(Elect!U25&lt;0,"0",Elect!U25)</f>
        <v>75600</v>
      </c>
      <c r="K23" s="48">
        <f>Elect!T25</f>
        <v>2.6459999999999999</v>
      </c>
      <c r="L23" s="48">
        <f>IF(Elect!AJ25&lt;0,"0",Elect!AJ25)</f>
        <v>1520</v>
      </c>
      <c r="M23" s="48">
        <f>Elect!AI25</f>
        <v>0.32</v>
      </c>
      <c r="N23" s="48">
        <f>IF(Elect!X25&lt;0,"0",Elect!X25)</f>
        <v>64200</v>
      </c>
      <c r="O23" s="48">
        <f>Elect!W25</f>
        <v>2.306</v>
      </c>
      <c r="P23" s="48">
        <f>IF(Elect!O25&lt;0,"0",Elect!O25)</f>
        <v>10400</v>
      </c>
      <c r="Q23" s="48">
        <f>Elect!N25</f>
        <v>2.06</v>
      </c>
      <c r="R23" s="48">
        <f>IF(Elect!L25&lt;0,"0",Elect!L25)</f>
        <v>10400</v>
      </c>
      <c r="S23" s="48">
        <f>Elect!K25</f>
        <v>2.13</v>
      </c>
      <c r="T23" s="48">
        <f>IF(Elect!R25&lt;0,"0",Elect!R25)</f>
        <v>9600</v>
      </c>
      <c r="U23" s="48">
        <f>Elect!Q25</f>
        <v>1.99</v>
      </c>
      <c r="V23" s="48">
        <f>IF(Elect!AA25&lt;0,"0",Elect!AA25)</f>
        <v>9280</v>
      </c>
      <c r="W23" s="48">
        <f>Elect!Z25</f>
        <v>6.13</v>
      </c>
      <c r="X23" s="48">
        <f>IF(Elect!AD25&lt;0,"0",Elect!AD25)</f>
        <v>3040</v>
      </c>
      <c r="Y23" s="48">
        <f>Elect!AC25</f>
        <v>2.23</v>
      </c>
      <c r="Z23" s="48">
        <f>IF(Elect!AG25&lt;0,"0",Elect!AG25)</f>
        <v>48200</v>
      </c>
      <c r="AA23" s="48">
        <f>Elect!AF25</f>
        <v>1.87</v>
      </c>
      <c r="AB23" s="48">
        <f>IF(Elect!AX25&lt;0,"0",Elect!AX25)</f>
        <v>2200</v>
      </c>
      <c r="AC23" s="48">
        <f>IF(Elect!AV25&lt;0,"0",Elect!AV25)</f>
        <v>7900</v>
      </c>
      <c r="AD23" s="48">
        <f>IF(Elect!AZ25&lt;0,"0",Elect!AZ25)</f>
        <v>1020</v>
      </c>
      <c r="AE23" s="48">
        <f>IF(Elect!BB25&lt;0,"0",Elect!BB25)</f>
        <v>6120</v>
      </c>
      <c r="AF23" s="230">
        <f>IF('Wtr-Gas'!E25&lt;0,"0",('Wtr-Gas'!E25)*0.0038)</f>
        <v>5643.152</v>
      </c>
      <c r="AG23" s="230">
        <f>IF('Wtr-Gas'!H25&lt;0,"0",('Wtr-Gas'!H25)*0.0038)</f>
        <v>373.35</v>
      </c>
      <c r="AH23" s="230">
        <f>IF('Wtr-Gas'!K25&lt;0,"0",('Wtr-Gas'!K25)*0.0038)</f>
        <v>0.68400000000000005</v>
      </c>
      <c r="AI23" s="230">
        <f>IF('Wtr-Gas'!N25&lt;0,"0",('Wtr-Gas'!N25)*0.0038)</f>
        <v>3974.8</v>
      </c>
      <c r="AJ23" s="230">
        <f>IF('Wtr-Gas'!Q25&lt;0,"0",('Wtr-Gas'!Q25)*0.0038)</f>
        <v>108.3</v>
      </c>
      <c r="AK23" s="231">
        <f>IF('Wtr-Gas'!U25&lt;0,"0",('Wtr-Gas'!U25)*0.0038)</f>
        <v>841.32</v>
      </c>
      <c r="AL23" s="231">
        <f>IF('Wtr-Gas'!X25&lt;0,"0",('Wtr-Gas'!X25)*0.0038)</f>
        <v>1578.9</v>
      </c>
      <c r="AM23" s="230">
        <f>IF('Wtr-Gas'!AB25&lt;0,"0",('Wtr-Gas'!AB25)*0.0038)</f>
        <v>10830</v>
      </c>
      <c r="AN23" s="230">
        <f>IF('Wtr-Gas'!AD25&lt;0,"0",('Wtr-Gas'!AD25)*0.0038)</f>
        <v>2731.9720000000002</v>
      </c>
      <c r="AO23" s="230">
        <f>IF('Wtr-Gas'!AF25&lt;0,"0",('Wtr-Gas'!AF25)*0.0038)</f>
        <v>18.012</v>
      </c>
      <c r="AP23" s="230">
        <f>IF('Wtr-Gas'!AH25&lt;0,"0",('Wtr-Gas'!AH25)*0.0038)</f>
        <v>537.05399999999997</v>
      </c>
      <c r="AQ23" s="230">
        <f>IF('Wtr-Gas'!AJ25&lt;0,"0",('Wtr-Gas'!AJ25)*0.0038)</f>
        <v>74.423000000000002</v>
      </c>
      <c r="AR23" s="230">
        <f>IF('Wtr-Gas'!AL25&lt;0,"0",('Wtr-Gas'!AL25)*0.0038)</f>
        <v>266</v>
      </c>
      <c r="AS23" s="230">
        <f>IF('Wtr-Gas'!AN25&lt;0,"0",('Wtr-Gas'!AN25)*0.0038)</f>
        <v>4.9399999999999999E-2</v>
      </c>
      <c r="AT23" s="230">
        <f>IF('Wtr-Gas'!AP25&lt;0,"0",('Wtr-Gas'!AP25)*0.0038)</f>
        <v>24.32</v>
      </c>
      <c r="AU23" s="251">
        <f>IF('Wtr-Gas'!AT25&lt;0,"0",('Wtr-Gas'!AT25)*0.0038)</f>
        <v>0.3458</v>
      </c>
      <c r="AV23" s="230">
        <f>IF('Wtr-Gas'!AW25&lt;0,"0",('Wtr-Gas'!AW25)*0.0038)</f>
        <v>214.3922</v>
      </c>
      <c r="AW23" s="230">
        <f>IF('Wtr-Gas'!AY25&lt;0,"0",('Wtr-Gas'!AY25)*0.0038)</f>
        <v>170.66560000000001</v>
      </c>
      <c r="AX23" s="230">
        <f>IF('Wtr-Gas'!AZ25&lt;0,"0",('Wtr-Gas'!AZ25)*0.0038)</f>
        <v>43.727246000000001</v>
      </c>
      <c r="AY23" s="230">
        <f>IF('Wtr-Gas'!BB25&lt;0,"0",('Wtr-Gas'!BB25)*0.0038)</f>
        <v>12.16</v>
      </c>
      <c r="AZ23" s="230">
        <f>IF('Wtr-Gas'!BD25&lt;0,"0",('Wtr-Gas'!BD25)*0.0038)</f>
        <v>0.76</v>
      </c>
      <c r="BA23" s="230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8">
        <f>IF(Elect!AM26&lt;0,"0",Elect!AM26)</f>
        <v>440</v>
      </c>
      <c r="F24" s="48">
        <f>IF(Elect!I26&lt;0,"0",Elect!I26)</f>
        <v>46720</v>
      </c>
      <c r="G24" s="48">
        <f>Elect!H26</f>
        <v>2.2650000000000001</v>
      </c>
      <c r="H24" s="48">
        <f>IF(Elect!F26&lt;0,"0",Elect!F26)</f>
        <v>39040</v>
      </c>
      <c r="I24" s="48">
        <f>Elect!E26</f>
        <v>1.901</v>
      </c>
      <c r="J24" s="48">
        <f>IF(Elect!U26&lt;0,"0",Elect!U26)</f>
        <v>55800</v>
      </c>
      <c r="K24" s="48">
        <f>Elect!T26</f>
        <v>2.6459999999999999</v>
      </c>
      <c r="L24" s="48">
        <f>IF(Elect!AJ26&lt;0,"0",Elect!AJ26)</f>
        <v>1440</v>
      </c>
      <c r="M24" s="48">
        <f>Elect!AI26</f>
        <v>0.32</v>
      </c>
      <c r="N24" s="48">
        <f>IF(Elect!X26&lt;0,"0",Elect!X26)</f>
        <v>58800</v>
      </c>
      <c r="O24" s="48">
        <f>Elect!W26</f>
        <v>2.306</v>
      </c>
      <c r="P24" s="48">
        <f>IF(Elect!O26&lt;0,"0",Elect!O26)</f>
        <v>8800</v>
      </c>
      <c r="Q24" s="48">
        <f>Elect!N26</f>
        <v>2.06</v>
      </c>
      <c r="R24" s="48">
        <f>IF(Elect!L26&lt;0,"0",Elect!L26)</f>
        <v>9600</v>
      </c>
      <c r="S24" s="48">
        <f>Elect!K26</f>
        <v>2.13</v>
      </c>
      <c r="T24" s="48">
        <f>IF(Elect!R26&lt;0,"0",Elect!R26)</f>
        <v>9200</v>
      </c>
      <c r="U24" s="48">
        <f>Elect!Q26</f>
        <v>1.99</v>
      </c>
      <c r="V24" s="48">
        <f>IF(Elect!AA26&lt;0,"0",Elect!AA26)</f>
        <v>6240</v>
      </c>
      <c r="W24" s="48">
        <f>Elect!Z26</f>
        <v>6.13</v>
      </c>
      <c r="X24" s="48">
        <f>IF(Elect!AD26&lt;0,"0",Elect!AD26)</f>
        <v>3680</v>
      </c>
      <c r="Y24" s="48">
        <f>Elect!AC26</f>
        <v>2.23</v>
      </c>
      <c r="Z24" s="48">
        <f>IF(Elect!AG26&lt;0,"0",Elect!AG26)</f>
        <v>48200</v>
      </c>
      <c r="AA24" s="48">
        <f>Elect!AF26</f>
        <v>1.87</v>
      </c>
      <c r="AB24" s="48">
        <f>IF(Elect!AX26&lt;0,"0",Elect!AX26)</f>
        <v>1700</v>
      </c>
      <c r="AC24" s="48">
        <f>IF(Elect!AV26&lt;0,"0",Elect!AV26)</f>
        <v>20500</v>
      </c>
      <c r="AD24" s="48">
        <f>IF(Elect!AZ26&lt;0,"0",Elect!AZ26)</f>
        <v>758</v>
      </c>
      <c r="AE24" s="48">
        <f>IF(Elect!BB26&lt;0,"0",Elect!BB26)</f>
        <v>4880</v>
      </c>
      <c r="AF24" s="230">
        <f>IF('Wtr-Gas'!E26&lt;0,"0",('Wtr-Gas'!E26)*0.0038)</f>
        <v>4900.1379999999999</v>
      </c>
      <c r="AG24" s="230">
        <f>IF('Wtr-Gas'!H26&lt;0,"0",('Wtr-Gas'!H26)*0.0038)</f>
        <v>465.19600000000003</v>
      </c>
      <c r="AH24" s="230">
        <f>IF('Wtr-Gas'!K26&lt;0,"0",('Wtr-Gas'!K26)*0.0038)</f>
        <v>0.68400000000000005</v>
      </c>
      <c r="AI24" s="230">
        <f>IF('Wtr-Gas'!N26&lt;0,"0",('Wtr-Gas'!N26)*0.0038)</f>
        <v>3442.8</v>
      </c>
      <c r="AJ24" s="230">
        <f>IF('Wtr-Gas'!Q26&lt;0,"0",('Wtr-Gas'!Q26)*0.0038)</f>
        <v>104.12</v>
      </c>
      <c r="AK24" s="231">
        <f>IF('Wtr-Gas'!U26&lt;0,"0",('Wtr-Gas'!U26)*0.0038)</f>
        <v>775.2</v>
      </c>
      <c r="AL24" s="231">
        <f>IF('Wtr-Gas'!X26&lt;0,"0",('Wtr-Gas'!X26)*0.0038)</f>
        <v>2346.5</v>
      </c>
      <c r="AM24" s="230">
        <f>IF('Wtr-Gas'!AB26&lt;0,"0",('Wtr-Gas'!AB26)*0.0038)</f>
        <v>8702</v>
      </c>
      <c r="AN24" s="230">
        <f>IF('Wtr-Gas'!AD26&lt;0,"0",('Wtr-Gas'!AD26)*0.0038)</f>
        <v>2237.8580000000002</v>
      </c>
      <c r="AO24" s="230">
        <f>IF('Wtr-Gas'!AF26&lt;0,"0",('Wtr-Gas'!AF26)*0.0038)</f>
        <v>10.222</v>
      </c>
      <c r="AP24" s="230">
        <f>IF('Wtr-Gas'!AH26&lt;0,"0",('Wtr-Gas'!AH26)*0.0038)</f>
        <v>519.91600000000005</v>
      </c>
      <c r="AQ24" s="230">
        <f>IF('Wtr-Gas'!AJ26&lt;0,"0",('Wtr-Gas'!AJ26)*0.0038)</f>
        <v>37.673200000000001</v>
      </c>
      <c r="AR24" s="230">
        <f>IF('Wtr-Gas'!AL26&lt;0,"0",('Wtr-Gas'!AL26)*0.0038)</f>
        <v>1155.2</v>
      </c>
      <c r="AS24" s="230">
        <f>IF('Wtr-Gas'!AN26&lt;0,"0",('Wtr-Gas'!AN26)*0.0038)</f>
        <v>9.1200000000000003E-2</v>
      </c>
      <c r="AT24" s="230">
        <f>IF('Wtr-Gas'!AP26&lt;0,"0",('Wtr-Gas'!AP26)*0.0038)</f>
        <v>25.08</v>
      </c>
      <c r="AU24" s="251">
        <f>IF('Wtr-Gas'!AT26&lt;0,"0",('Wtr-Gas'!AT26)*0.0038)</f>
        <v>0.30020000000000002</v>
      </c>
      <c r="AV24" s="230">
        <f>IF('Wtr-Gas'!AW26&lt;0,"0",('Wtr-Gas'!AW26)*0.0038)</f>
        <v>152.095</v>
      </c>
      <c r="AW24" s="230">
        <f>IF('Wtr-Gas'!AY26&lt;0,"0",('Wtr-Gas'!AY26)*0.0038)</f>
        <v>128.9796</v>
      </c>
      <c r="AX24" s="230">
        <f>IF('Wtr-Gas'!AZ26&lt;0,"0",('Wtr-Gas'!AZ26)*0.0038)</f>
        <v>23.116388000000001</v>
      </c>
      <c r="AY24" s="230">
        <f>IF('Wtr-Gas'!BB26&lt;0,"0",('Wtr-Gas'!BB26)*0.0038)</f>
        <v>8.74</v>
      </c>
      <c r="AZ24" s="230">
        <f>IF('Wtr-Gas'!BD26&lt;0,"0",('Wtr-Gas'!BD26)*0.0038)</f>
        <v>1.1399999999999999</v>
      </c>
      <c r="BA24" s="230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8">
        <f>IF(Elect!AM27&lt;0,"0",Elect!AM27)</f>
        <v>394</v>
      </c>
      <c r="F25" s="48">
        <f>IF(Elect!I27&lt;0,"0",Elect!I27)</f>
        <v>47840</v>
      </c>
      <c r="G25" s="48">
        <f>Elect!H27</f>
        <v>2.1829999999999998</v>
      </c>
      <c r="H25" s="48">
        <f>IF(Elect!F27&lt;0,"0",Elect!F27)</f>
        <v>39360</v>
      </c>
      <c r="I25" s="48">
        <f>Elect!E27</f>
        <v>1.93</v>
      </c>
      <c r="J25" s="48">
        <f>IF(Elect!U27&lt;0,"0",Elect!U27)</f>
        <v>56100</v>
      </c>
      <c r="K25" s="48">
        <f>Elect!T27</f>
        <v>1.774</v>
      </c>
      <c r="L25" s="48">
        <f>IF(Elect!AJ27&lt;0,"0",Elect!AJ27)</f>
        <v>1440</v>
      </c>
      <c r="M25" s="48">
        <f>Elect!AI27</f>
        <v>0.28599999999999998</v>
      </c>
      <c r="N25" s="48">
        <f>IF(Elect!X27&lt;0,"0",Elect!X27)</f>
        <v>59700</v>
      </c>
      <c r="O25" s="48">
        <f>Elect!W27</f>
        <v>1.5109999999999999</v>
      </c>
      <c r="P25" s="48">
        <f>IF(Elect!O27&lt;0,"0",Elect!O27)</f>
        <v>10000</v>
      </c>
      <c r="Q25" s="48">
        <f>Elect!N27</f>
        <v>1.84</v>
      </c>
      <c r="R25" s="48">
        <f>IF(Elect!L27&lt;0,"0",Elect!L27)</f>
        <v>10000</v>
      </c>
      <c r="S25" s="48">
        <f>Elect!K27</f>
        <v>2.09</v>
      </c>
      <c r="T25" s="48">
        <f>IF(Elect!R27&lt;0,"0",Elect!R27)</f>
        <v>9200</v>
      </c>
      <c r="U25" s="48">
        <f>Elect!Q27</f>
        <v>1.83</v>
      </c>
      <c r="V25" s="48">
        <f>IF(Elect!AA27&lt;0,"0",Elect!AA27)</f>
        <v>6560</v>
      </c>
      <c r="W25" s="48">
        <f>Elect!Z27</f>
        <v>2.87</v>
      </c>
      <c r="X25" s="48">
        <f>IF(Elect!AD27&lt;0,"0",Elect!AD27)</f>
        <v>3040</v>
      </c>
      <c r="Y25" s="48">
        <f>Elect!AC27</f>
        <v>1.44</v>
      </c>
      <c r="Z25" s="48">
        <f>IF(Elect!AG27&lt;0,"0",Elect!AG27)</f>
        <v>50000</v>
      </c>
      <c r="AA25" s="48">
        <f>Elect!AF27</f>
        <v>1.9890000000000001</v>
      </c>
      <c r="AB25" s="48">
        <f>IF(Elect!AX27&lt;0,"0",Elect!AX27)</f>
        <v>1800</v>
      </c>
      <c r="AC25" s="48">
        <f>IF(Elect!AV27&lt;0,"0",Elect!AV27)</f>
        <v>14000</v>
      </c>
      <c r="AD25" s="48">
        <f>IF(Elect!AZ27&lt;0,"0",Elect!AZ27)</f>
        <v>893</v>
      </c>
      <c r="AE25" s="48">
        <f>IF(Elect!BB27&lt;0,"0",Elect!BB27)</f>
        <v>5840</v>
      </c>
      <c r="AF25" s="230">
        <f>IF('Wtr-Gas'!E27&lt;0,"0",('Wtr-Gas'!E27)*0.0038)</f>
        <v>5332.9960000000001</v>
      </c>
      <c r="AG25" s="230">
        <f>IF('Wtr-Gas'!H27&lt;0,"0",('Wtr-Gas'!H27)*0.0038)</f>
        <v>807.80399999999997</v>
      </c>
      <c r="AH25" s="230">
        <f>IF('Wtr-Gas'!K27&lt;0,"0",('Wtr-Gas'!K27)*0.0038)</f>
        <v>0.68400000000000005</v>
      </c>
      <c r="AI25" s="230">
        <f>IF('Wtr-Gas'!N27&lt;0,"0",('Wtr-Gas'!N27)*0.0038)</f>
        <v>3731.6</v>
      </c>
      <c r="AJ25" s="230">
        <f>IF('Wtr-Gas'!Q27&lt;0,"0",('Wtr-Gas'!Q27)*0.0038)</f>
        <v>114.38</v>
      </c>
      <c r="AK25" s="231">
        <f>IF('Wtr-Gas'!U27&lt;0,"0",('Wtr-Gas'!U27)*0.0038)</f>
        <v>859.18</v>
      </c>
      <c r="AL25" s="231">
        <f>IF('Wtr-Gas'!X27&lt;0,"0",('Wtr-Gas'!X27)*0.0038)</f>
        <v>3104.6</v>
      </c>
      <c r="AM25" s="230">
        <f>IF('Wtr-Gas'!AB27&lt;0,"0",('Wtr-Gas'!AB27)*0.0038)</f>
        <v>9272</v>
      </c>
      <c r="AN25" s="230">
        <f>IF('Wtr-Gas'!AD27&lt;0,"0",('Wtr-Gas'!AD27)*0.0038)</f>
        <v>2447.694</v>
      </c>
      <c r="AO25" s="230">
        <f>IF('Wtr-Gas'!AF27&lt;0,"0",('Wtr-Gas'!AF27)*0.0038)</f>
        <v>3.952</v>
      </c>
      <c r="AP25" s="230">
        <f>IF('Wtr-Gas'!AH27&lt;0,"0",('Wtr-Gas'!AH27)*0.0038)</f>
        <v>567.37800000000004</v>
      </c>
      <c r="AQ25" s="230">
        <f>IF('Wtr-Gas'!AJ27&lt;0,"0",('Wtr-Gas'!AJ27)*0.0038)</f>
        <v>38.934800000000003</v>
      </c>
      <c r="AR25" s="230">
        <f>IF('Wtr-Gas'!AL27&lt;0,"0",('Wtr-Gas'!AL27)*0.0038)</f>
        <v>691.6</v>
      </c>
      <c r="AS25" s="230">
        <f>IF('Wtr-Gas'!AN27&lt;0,"0",('Wtr-Gas'!AN27)*0.0038)</f>
        <v>0.15959999999999999</v>
      </c>
      <c r="AT25" s="230">
        <f>IF('Wtr-Gas'!AP27&lt;0,"0",('Wtr-Gas'!AP27)*0.0038)</f>
        <v>5.32</v>
      </c>
      <c r="AU25" s="251">
        <f>IF('Wtr-Gas'!AT27&lt;0,"0",('Wtr-Gas'!AT27)*0.0038)</f>
        <v>0.30020000000000002</v>
      </c>
      <c r="AV25" s="230">
        <f>IF('Wtr-Gas'!AW27&lt;0,"0",('Wtr-Gas'!AW27)*0.0038)</f>
        <v>184.76740000000001</v>
      </c>
      <c r="AW25" s="230">
        <f>IF('Wtr-Gas'!AY27&lt;0,"0",('Wtr-Gas'!AY27)*0.0038)</f>
        <v>149.5718</v>
      </c>
      <c r="AX25" s="230">
        <f>IF('Wtr-Gas'!AZ27&lt;0,"0",('Wtr-Gas'!AZ27)*0.0038)</f>
        <v>35.197234000000002</v>
      </c>
      <c r="AY25" s="230">
        <f>IF('Wtr-Gas'!BB27&lt;0,"0",('Wtr-Gas'!BB27)*0.0038)</f>
        <v>20.52</v>
      </c>
      <c r="AZ25" s="230">
        <f>IF('Wtr-Gas'!BD27&lt;0,"0",('Wtr-Gas'!BD27)*0.0038)</f>
        <v>1.1399999999999999</v>
      </c>
      <c r="BA25" s="230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8">
        <f>IF(Elect!AM28&lt;0,"0",Elect!AM28)</f>
        <v>417</v>
      </c>
      <c r="F26" s="48">
        <f>IF(Elect!I28&lt;0,"0",Elect!I28)</f>
        <v>46560</v>
      </c>
      <c r="G26" s="48">
        <f>Elect!H28</f>
        <v>2.1829999999999998</v>
      </c>
      <c r="H26" s="48">
        <f>IF(Elect!F28&lt;0,"0",Elect!F28)</f>
        <v>39040</v>
      </c>
      <c r="I26" s="48">
        <f>Elect!E28</f>
        <v>1.93</v>
      </c>
      <c r="J26" s="48">
        <f>IF(Elect!U28&lt;0,"0",Elect!U28)</f>
        <v>52800</v>
      </c>
      <c r="K26" s="48">
        <f>Elect!T28</f>
        <v>1.774</v>
      </c>
      <c r="L26" s="48">
        <f>IF(Elect!AJ28&lt;0,"0",Elect!AJ28)</f>
        <v>1400</v>
      </c>
      <c r="M26" s="48">
        <f>Elect!AI28</f>
        <v>0.29799999999999999</v>
      </c>
      <c r="N26" s="48">
        <f>IF(Elect!X28&lt;0,"0",Elect!X28)</f>
        <v>60000</v>
      </c>
      <c r="O26" s="48">
        <f>Elect!W28</f>
        <v>1.8560000000000001</v>
      </c>
      <c r="P26" s="48">
        <f>IF(Elect!O28&lt;0,"0",Elect!O28)</f>
        <v>8800</v>
      </c>
      <c r="Q26" s="48">
        <f>Elect!N28</f>
        <v>1.84</v>
      </c>
      <c r="R26" s="48">
        <f>IF(Elect!L28&lt;0,"0",Elect!L28)</f>
        <v>9200</v>
      </c>
      <c r="S26" s="48">
        <f>Elect!K28</f>
        <v>2.09</v>
      </c>
      <c r="T26" s="48">
        <f>IF(Elect!R28&lt;0,"0",Elect!R28)</f>
        <v>9600</v>
      </c>
      <c r="U26" s="48">
        <f>Elect!Q28</f>
        <v>1.86</v>
      </c>
      <c r="V26" s="48">
        <f>IF(Elect!AA28&lt;0,"0",Elect!AA28)</f>
        <v>5760</v>
      </c>
      <c r="W26" s="48">
        <f>Elect!Z28</f>
        <v>2.9</v>
      </c>
      <c r="X26" s="48">
        <f>IF(Elect!AD28&lt;0,"0",Elect!AD28)</f>
        <v>2720</v>
      </c>
      <c r="Y26" s="48">
        <f>Elect!AC28</f>
        <v>1.54</v>
      </c>
      <c r="Z26" s="48">
        <f>IF(Elect!AG28&lt;0,"0",Elect!AG28)</f>
        <v>48800</v>
      </c>
      <c r="AA26" s="48">
        <f>Elect!AF28</f>
        <v>1.9890000000000001</v>
      </c>
      <c r="AB26" s="48">
        <f>IF(Elect!AX28&lt;0,"0",Elect!AX28)</f>
        <v>1900</v>
      </c>
      <c r="AC26" s="48">
        <f>IF(Elect!AV28&lt;0,"0",Elect!AV28)</f>
        <v>15000</v>
      </c>
      <c r="AD26" s="48">
        <f>IF(Elect!AZ28&lt;0,"0",Elect!AZ28)</f>
        <v>891</v>
      </c>
      <c r="AE26" s="48">
        <f>IF(Elect!BB28&lt;0,"0",Elect!BB28)</f>
        <v>5960</v>
      </c>
      <c r="AF26" s="230">
        <f>IF('Wtr-Gas'!E28&lt;0,"0",('Wtr-Gas'!E28)*0.0038)</f>
        <v>4849.826</v>
      </c>
      <c r="AG26" s="230">
        <f>IF('Wtr-Gas'!H28&lt;0,"0",('Wtr-Gas'!H28)*0.0038)</f>
        <v>1001.186</v>
      </c>
      <c r="AH26" s="230">
        <f>IF('Wtr-Gas'!K28&lt;0,"0",('Wtr-Gas'!K28)*0.0038)</f>
        <v>0.68400000000000005</v>
      </c>
      <c r="AI26" s="230">
        <f>IF('Wtr-Gas'!N28&lt;0,"0",('Wtr-Gas'!N28)*0.0038)</f>
        <v>3465.6</v>
      </c>
      <c r="AJ26" s="230">
        <f>IF('Wtr-Gas'!Q28&lt;0,"0",('Wtr-Gas'!Q28)*0.0038)</f>
        <v>109.06</v>
      </c>
      <c r="AK26" s="231">
        <f>IF('Wtr-Gas'!U28&lt;0,"0",('Wtr-Gas'!U28)*0.0038)</f>
        <v>786.6</v>
      </c>
      <c r="AL26" s="231">
        <f>IF('Wtr-Gas'!X28&lt;0,"0",('Wtr-Gas'!X28)*0.0038)</f>
        <v>1447.8</v>
      </c>
      <c r="AM26" s="230">
        <f>IF('Wtr-Gas'!AB28&lt;0,"0",('Wtr-Gas'!AB28)*0.0038)</f>
        <v>9728</v>
      </c>
      <c r="AN26" s="230">
        <f>IF('Wtr-Gas'!AD28&lt;0,"0",('Wtr-Gas'!AD28)*0.0038)</f>
        <v>2533.0419999999999</v>
      </c>
      <c r="AO26" s="230">
        <f>IF('Wtr-Gas'!AF28&lt;0,"0",('Wtr-Gas'!AF28)*0.0038)</f>
        <v>205.732</v>
      </c>
      <c r="AP26" s="230">
        <f>IF('Wtr-Gas'!AH28&lt;0,"0",('Wtr-Gas'!AH28)*0.0038)</f>
        <v>586.87199999999996</v>
      </c>
      <c r="AQ26" s="230">
        <f>IF('Wtr-Gas'!AJ28&lt;0,"0",('Wtr-Gas'!AJ28)*0.0038)</f>
        <v>39.698599999999999</v>
      </c>
      <c r="AR26" s="230">
        <f>IF('Wtr-Gas'!AL28&lt;0,"0",('Wtr-Gas'!AL28)*0.0038)</f>
        <v>395.2</v>
      </c>
      <c r="AS26" s="230">
        <f>IF('Wtr-Gas'!AN28&lt;0,"0",('Wtr-Gas'!AN28)*0.0038)</f>
        <v>0.1444</v>
      </c>
      <c r="AT26" s="230">
        <f>IF('Wtr-Gas'!AP28&lt;0,"0",('Wtr-Gas'!AP28)*0.0038)</f>
        <v>14.82</v>
      </c>
      <c r="AU26" s="251">
        <f>IF('Wtr-Gas'!AT28&lt;0,"0",('Wtr-Gas'!AT28)*0.0038)</f>
        <v>0.34960000000000002</v>
      </c>
      <c r="AV26" s="230">
        <f>IF('Wtr-Gas'!AW28&lt;0,"0",('Wtr-Gas'!AW28)*0.0038)</f>
        <v>200.17259999999999</v>
      </c>
      <c r="AW26" s="230">
        <f>IF('Wtr-Gas'!AY28&lt;0,"0",('Wtr-Gas'!AY28)*0.0038)</f>
        <v>149.27539999999999</v>
      </c>
      <c r="AX26" s="230">
        <f>IF('Wtr-Gas'!AZ28&lt;0,"0",('Wtr-Gas'!AZ28)*0.0038)</f>
        <v>50.895831999999999</v>
      </c>
      <c r="AY26" s="230">
        <f>IF('Wtr-Gas'!BB28&lt;0,"0",('Wtr-Gas'!BB28)*0.0038)</f>
        <v>8.74</v>
      </c>
      <c r="AZ26" s="230">
        <f>IF('Wtr-Gas'!BD28&lt;0,"0",('Wtr-Gas'!BD28)*0.0038)</f>
        <v>1.52</v>
      </c>
      <c r="BA26" s="230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8">
        <f>IF(Elect!AM29&lt;0,"0",Elect!AM29)</f>
        <v>389</v>
      </c>
      <c r="F27" s="48">
        <f>IF(Elect!I29&lt;0,"0",Elect!I29)</f>
        <v>46880</v>
      </c>
      <c r="G27" s="48">
        <f>Elect!H29</f>
        <v>2.1909999999999998</v>
      </c>
      <c r="H27" s="48">
        <f>IF(Elect!F29&lt;0,"0",Elect!F29)</f>
        <v>39840</v>
      </c>
      <c r="I27" s="48">
        <f>Elect!E29</f>
        <v>1.9319999999999999</v>
      </c>
      <c r="J27" s="48">
        <f>IF(Elect!U29&lt;0,"0",Elect!U29)</f>
        <v>75600</v>
      </c>
      <c r="K27" s="48">
        <f>Elect!T29</f>
        <v>2.778</v>
      </c>
      <c r="L27" s="48">
        <f>IF(Elect!AJ29&lt;0,"0",Elect!AJ29)</f>
        <v>1400</v>
      </c>
      <c r="M27" s="48">
        <f>Elect!AI29</f>
        <v>0.3</v>
      </c>
      <c r="N27" s="48">
        <f>IF(Elect!X29&lt;0,"0",Elect!X29)</f>
        <v>74400</v>
      </c>
      <c r="O27" s="48">
        <f>Elect!W29</f>
        <v>2.2109999999999999</v>
      </c>
      <c r="P27" s="48">
        <f>IF(Elect!O29&lt;0,"0",Elect!O29)</f>
        <v>9200</v>
      </c>
      <c r="Q27" s="48">
        <f>Elect!N29</f>
        <v>1.84</v>
      </c>
      <c r="R27" s="48">
        <f>IF(Elect!L29&lt;0,"0",Elect!L29)</f>
        <v>10400</v>
      </c>
      <c r="S27" s="48">
        <f>Elect!K29</f>
        <v>2.09</v>
      </c>
      <c r="T27" s="48">
        <f>IF(Elect!R29&lt;0,"0",Elect!R29)</f>
        <v>9200</v>
      </c>
      <c r="U27" s="48">
        <f>Elect!Q29</f>
        <v>1.94</v>
      </c>
      <c r="V27" s="48">
        <f>IF(Elect!AA29&lt;0,"0",Elect!AA29)</f>
        <v>5920</v>
      </c>
      <c r="W27" s="48">
        <f>Elect!Z29</f>
        <v>3.28</v>
      </c>
      <c r="X27" s="48">
        <f>IF(Elect!AD29&lt;0,"0",Elect!AD29)</f>
        <v>3200</v>
      </c>
      <c r="Y27" s="48">
        <f>Elect!AC29</f>
        <v>2.4900000000000002</v>
      </c>
      <c r="Z27" s="48">
        <f>IF(Elect!AG29&lt;0,"0",Elect!AG29)</f>
        <v>49600</v>
      </c>
      <c r="AA27" s="48">
        <f>Elect!AF29</f>
        <v>2</v>
      </c>
      <c r="AB27" s="48">
        <f>IF(Elect!AX29&lt;0,"0",Elect!AX29)</f>
        <v>1900</v>
      </c>
      <c r="AC27" s="48">
        <f>IF(Elect!AV29&lt;0,"0",Elect!AV29)</f>
        <v>15500</v>
      </c>
      <c r="AD27" s="48">
        <f>IF(Elect!AZ29&lt;0,"0",Elect!AZ29)</f>
        <v>882</v>
      </c>
      <c r="AE27" s="48">
        <f>IF(Elect!BB29&lt;0,"0",Elect!BB29)</f>
        <v>3920</v>
      </c>
      <c r="AF27" s="230">
        <f>IF('Wtr-Gas'!E29&lt;0,"0",('Wtr-Gas'!E29)*0.0038)</f>
        <v>5188.558</v>
      </c>
      <c r="AG27" s="230">
        <f>IF('Wtr-Gas'!H29&lt;0,"0",('Wtr-Gas'!H29)*0.0038)</f>
        <v>904.05799999999999</v>
      </c>
      <c r="AH27" s="230">
        <f>IF('Wtr-Gas'!K29&lt;0,"0",('Wtr-Gas'!K29)*0.0038)</f>
        <v>0.83599999999999997</v>
      </c>
      <c r="AI27" s="230">
        <f>IF('Wtr-Gas'!N29&lt;0,"0",('Wtr-Gas'!N29)*0.0038)</f>
        <v>3944.4</v>
      </c>
      <c r="AJ27" s="230">
        <f>IF('Wtr-Gas'!Q29&lt;0,"0",('Wtr-Gas'!Q29)*0.0038)</f>
        <v>110.2</v>
      </c>
      <c r="AK27" s="231">
        <f>IF('Wtr-Gas'!U29&lt;0,"0",('Wtr-Gas'!U29)*0.0038)</f>
        <v>766.46</v>
      </c>
      <c r="AL27" s="231">
        <f>IF('Wtr-Gas'!X29&lt;0,"0",('Wtr-Gas'!X29)*0.0038)</f>
        <v>1026</v>
      </c>
      <c r="AM27" s="230">
        <f>IF('Wtr-Gas'!AB29&lt;0,"0",('Wtr-Gas'!AB29)*0.0038)</f>
        <v>10792</v>
      </c>
      <c r="AN27" s="230">
        <f>IF('Wtr-Gas'!AD29&lt;0,"0",('Wtr-Gas'!AD29)*0.0038)</f>
        <v>2936.64</v>
      </c>
      <c r="AO27" s="230">
        <f>IF('Wtr-Gas'!AF29&lt;0,"0",('Wtr-Gas'!AF29)*0.0038)</f>
        <v>7.6379999999999999</v>
      </c>
      <c r="AP27" s="230">
        <f>IF('Wtr-Gas'!AH29&lt;0,"0",('Wtr-Gas'!AH29)*0.0038)</f>
        <v>508.25</v>
      </c>
      <c r="AQ27" s="230">
        <f>IF('Wtr-Gas'!AJ29&lt;0,"0",('Wtr-Gas'!AJ29)*0.0038)</f>
        <v>38.2926</v>
      </c>
      <c r="AR27" s="230">
        <f>IF('Wtr-Gas'!AL29&lt;0,"0",('Wtr-Gas'!AL29)*0.0038)</f>
        <v>292.60000000000002</v>
      </c>
      <c r="AS27" s="230">
        <f>IF('Wtr-Gas'!AN29&lt;0,"0",('Wtr-Gas'!AN29)*0.0038)</f>
        <v>0.10639999999999999</v>
      </c>
      <c r="AT27" s="230">
        <f>IF('Wtr-Gas'!AP29&lt;0,"0",('Wtr-Gas'!AP29)*0.0038)</f>
        <v>15.96</v>
      </c>
      <c r="AU27" s="251">
        <f>IF('Wtr-Gas'!AT29&lt;0,"0",('Wtr-Gas'!AT29)*0.0038)</f>
        <v>0.4446</v>
      </c>
      <c r="AV27" s="230">
        <f>IF('Wtr-Gas'!AW29&lt;0,"0",('Wtr-Gas'!AW29)*0.0038)</f>
        <v>192.9298</v>
      </c>
      <c r="AW27" s="230">
        <f>IF('Wtr-Gas'!AY29&lt;0,"0",('Wtr-Gas'!AY29)*0.0038)</f>
        <v>150.95500000000001</v>
      </c>
      <c r="AX27" s="230">
        <f>IF('Wtr-Gas'!AZ29&lt;0,"0",('Wtr-Gas'!AZ29)*0.0038)</f>
        <v>41.975939999999994</v>
      </c>
      <c r="AY27" s="230">
        <f>IF('Wtr-Gas'!BB29&lt;0,"0",('Wtr-Gas'!BB29)*0.0038)</f>
        <v>6.84</v>
      </c>
      <c r="AZ27" s="230">
        <f>IF('Wtr-Gas'!BD29&lt;0,"0",('Wtr-Gas'!BD29)*0.0038)</f>
        <v>1.1399999999999999</v>
      </c>
      <c r="BA27" s="230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8">
        <f>IF(Elect!AM30&lt;0,"0",Elect!AM30)</f>
        <v>449</v>
      </c>
      <c r="F28" s="48">
        <f>IF(Elect!I30&lt;0,"0",Elect!I30)</f>
        <v>48640</v>
      </c>
      <c r="G28" s="48">
        <f>Elect!H30</f>
        <v>2.202</v>
      </c>
      <c r="H28" s="48">
        <f>IF(Elect!F30&lt;0,"0",Elect!F30)</f>
        <v>40000</v>
      </c>
      <c r="I28" s="48">
        <f>Elect!E30</f>
        <v>1.9319999999999999</v>
      </c>
      <c r="J28" s="48">
        <f>IF(Elect!U30&lt;0,"0",Elect!U30)</f>
        <v>78300</v>
      </c>
      <c r="K28" s="48">
        <f>Elect!T30</f>
        <v>2.778</v>
      </c>
      <c r="L28" s="48">
        <f>IF(Elect!AJ30&lt;0,"0",Elect!AJ30)</f>
        <v>1480</v>
      </c>
      <c r="M28" s="48">
        <f>Elect!AI30</f>
        <v>0.3</v>
      </c>
      <c r="N28" s="48">
        <f>IF(Elect!X30&lt;0,"0",Elect!X30)</f>
        <v>76800</v>
      </c>
      <c r="O28" s="48">
        <f>Elect!W30</f>
        <v>2.2109999999999999</v>
      </c>
      <c r="P28" s="48">
        <f>IF(Elect!O30&lt;0,"0",Elect!O30)</f>
        <v>10000</v>
      </c>
      <c r="Q28" s="48">
        <f>Elect!N30</f>
        <v>1.87</v>
      </c>
      <c r="R28" s="48">
        <f>IF(Elect!L30&lt;0,"0",Elect!L30)</f>
        <v>10400</v>
      </c>
      <c r="S28" s="48">
        <f>Elect!K30</f>
        <v>2.09</v>
      </c>
      <c r="T28" s="48">
        <f>IF(Elect!R30&lt;0,"0",Elect!R30)</f>
        <v>10400</v>
      </c>
      <c r="U28" s="48">
        <f>Elect!Q30</f>
        <v>1.94</v>
      </c>
      <c r="V28" s="48">
        <f>IF(Elect!AA30&lt;0,"0",Elect!AA30)</f>
        <v>6240</v>
      </c>
      <c r="W28" s="48">
        <f>Elect!Z30</f>
        <v>3.33</v>
      </c>
      <c r="X28" s="48">
        <f>IF(Elect!AD30&lt;0,"0",Elect!AD30)</f>
        <v>3520</v>
      </c>
      <c r="Y28" s="48">
        <f>Elect!AC30</f>
        <v>2.4900000000000002</v>
      </c>
      <c r="Z28" s="48">
        <f>IF(Elect!AG30&lt;0,"0",Elect!AG30)</f>
        <v>53000</v>
      </c>
      <c r="AA28" s="48">
        <f>Elect!AF30</f>
        <v>2.0009999999999999</v>
      </c>
      <c r="AB28" s="48">
        <f>IF(Elect!AX30&lt;0,"0",Elect!AX30)</f>
        <v>1200</v>
      </c>
      <c r="AC28" s="48">
        <f>IF(Elect!AV30&lt;0,"0",Elect!AV30)</f>
        <v>21400</v>
      </c>
      <c r="AD28" s="48">
        <f>IF(Elect!AZ30&lt;0,"0",Elect!AZ30)</f>
        <v>894</v>
      </c>
      <c r="AE28" s="48">
        <f>IF(Elect!BB30&lt;0,"0",Elect!BB30)</f>
        <v>3680</v>
      </c>
      <c r="AF28" s="230">
        <f>IF('Wtr-Gas'!E30&lt;0,"0",('Wtr-Gas'!E30)*0.0038)</f>
        <v>5140.5259999999998</v>
      </c>
      <c r="AG28" s="230">
        <f>IF('Wtr-Gas'!H30&lt;0,"0",('Wtr-Gas'!H30)*0.0038)</f>
        <v>1621.8019999999999</v>
      </c>
      <c r="AH28" s="230">
        <f>IF('Wtr-Gas'!K30&lt;0,"0",('Wtr-Gas'!K30)*0.0038)</f>
        <v>2.09</v>
      </c>
      <c r="AI28" s="230">
        <f>IF('Wtr-Gas'!N30&lt;0,"0",('Wtr-Gas'!N30)*0.0038)</f>
        <v>4016.6</v>
      </c>
      <c r="AJ28" s="230">
        <f>IF('Wtr-Gas'!Q30&lt;0,"0",('Wtr-Gas'!Q30)*0.0038)</f>
        <v>104.5</v>
      </c>
      <c r="AK28" s="231">
        <f>IF('Wtr-Gas'!U30&lt;0,"0",('Wtr-Gas'!U30)*0.0038)</f>
        <v>759.24</v>
      </c>
      <c r="AL28" s="231">
        <f>IF('Wtr-Gas'!X30&lt;0,"0",('Wtr-Gas'!X30)*0.0038)</f>
        <v>984.2</v>
      </c>
      <c r="AM28" s="230">
        <f>IF('Wtr-Gas'!AB30&lt;0,"0",('Wtr-Gas'!AB30)*0.0038)</f>
        <v>11780</v>
      </c>
      <c r="AN28" s="230">
        <f>IF('Wtr-Gas'!AD30&lt;0,"0",('Wtr-Gas'!AD30)*0.0038)</f>
        <v>3026.2820000000002</v>
      </c>
      <c r="AO28" s="230">
        <f>IF('Wtr-Gas'!AF30&lt;0,"0",('Wtr-Gas'!AF30)*0.0038)</f>
        <v>6.992</v>
      </c>
      <c r="AP28" s="230">
        <f>IF('Wtr-Gas'!AH30&lt;0,"0",('Wtr-Gas'!AH30)*0.0038)</f>
        <v>591.81200000000001</v>
      </c>
      <c r="AQ28" s="230">
        <f>IF('Wtr-Gas'!AJ30&lt;0,"0",('Wtr-Gas'!AJ30)*0.0038)</f>
        <v>27.113</v>
      </c>
      <c r="AR28" s="230">
        <f>IF('Wtr-Gas'!AL30&lt;0,"0",('Wtr-Gas'!AL30)*0.0038)</f>
        <v>205.2</v>
      </c>
      <c r="AS28" s="230">
        <f>IF('Wtr-Gas'!AN30&lt;0,"0",('Wtr-Gas'!AN30)*0.0038)</f>
        <v>3.7999999999999999E-2</v>
      </c>
      <c r="AT28" s="230">
        <f>IF('Wtr-Gas'!AP30&lt;0,"0",('Wtr-Gas'!AP30)*0.0038)</f>
        <v>13.68</v>
      </c>
      <c r="AU28" s="251">
        <f>IF('Wtr-Gas'!AT30&lt;0,"0",('Wtr-Gas'!AT30)*0.0038)</f>
        <v>0.38379999999999997</v>
      </c>
      <c r="AV28" s="230">
        <f>IF('Wtr-Gas'!AW30&lt;0,"0",('Wtr-Gas'!AW30)*0.0038)</f>
        <v>187.32480000000001</v>
      </c>
      <c r="AW28" s="230">
        <f>IF('Wtr-Gas'!AY30&lt;0,"0",('Wtr-Gas'!AY30)*0.0038)</f>
        <v>150.8904</v>
      </c>
      <c r="AX28" s="230">
        <f>IF('Wtr-Gas'!AZ30&lt;0,"0",('Wtr-Gas'!AZ30)*0.0038)</f>
        <v>36.435881999999999</v>
      </c>
      <c r="AY28" s="230">
        <f>IF('Wtr-Gas'!BB30&lt;0,"0",('Wtr-Gas'!BB30)*0.0038)</f>
        <v>5.32</v>
      </c>
      <c r="AZ28" s="230">
        <f>IF('Wtr-Gas'!BD30&lt;0,"0",('Wtr-Gas'!BD30)*0.0038)</f>
        <v>1.1399999999999999</v>
      </c>
      <c r="BA28" s="230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8">
        <f>IF(Elect!AM31&lt;0,"0",Elect!AM31)</f>
        <v>452</v>
      </c>
      <c r="F29" s="48">
        <f>IF(Elect!I31&lt;0,"0",Elect!I31)</f>
        <v>46720</v>
      </c>
      <c r="G29" s="48">
        <f>Elect!H31</f>
        <v>2.222</v>
      </c>
      <c r="H29" s="48">
        <f>IF(Elect!F31&lt;0,"0",Elect!F31)</f>
        <v>38560</v>
      </c>
      <c r="I29" s="48">
        <f>Elect!E31</f>
        <v>1.9319999999999999</v>
      </c>
      <c r="J29" s="48">
        <f>IF(Elect!U31&lt;0,"0",Elect!U31)</f>
        <v>73200</v>
      </c>
      <c r="K29" s="48">
        <f>Elect!T31</f>
        <v>2.778</v>
      </c>
      <c r="L29" s="48">
        <f>IF(Elect!AJ31&lt;0,"0",Elect!AJ31)</f>
        <v>1400</v>
      </c>
      <c r="M29" s="48">
        <f>Elect!AI31</f>
        <v>0.3</v>
      </c>
      <c r="N29" s="48">
        <f>IF(Elect!X31&lt;0,"0",Elect!X31)</f>
        <v>72600</v>
      </c>
      <c r="O29" s="48">
        <f>Elect!W31</f>
        <v>2.2109999999999999</v>
      </c>
      <c r="P29" s="48">
        <f>IF(Elect!O31&lt;0,"0",Elect!O31)</f>
        <v>10000</v>
      </c>
      <c r="Q29" s="48">
        <f>Elect!N31</f>
        <v>2.02</v>
      </c>
      <c r="R29" s="48">
        <f>IF(Elect!L31&lt;0,"0",Elect!L31)</f>
        <v>12400</v>
      </c>
      <c r="S29" s="48">
        <f>Elect!K31</f>
        <v>2.34</v>
      </c>
      <c r="T29" s="48">
        <f>IF(Elect!R31&lt;0,"0",Elect!R31)</f>
        <v>10400</v>
      </c>
      <c r="U29" s="48">
        <f>Elect!Q31</f>
        <v>2.14</v>
      </c>
      <c r="V29" s="48">
        <f>IF(Elect!AA31&lt;0,"0",Elect!AA31)</f>
        <v>5600</v>
      </c>
      <c r="W29" s="48">
        <f>Elect!Z31</f>
        <v>3.33</v>
      </c>
      <c r="X29" s="48">
        <f>IF(Elect!AD31&lt;0,"0",Elect!AD31)</f>
        <v>3200</v>
      </c>
      <c r="Y29" s="48">
        <f>Elect!AC31</f>
        <v>2.4900000000000002</v>
      </c>
      <c r="Z29" s="48">
        <f>IF(Elect!AG31&lt;0,"0",Elect!AG31)</f>
        <v>51200</v>
      </c>
      <c r="AA29" s="48">
        <f>Elect!AF31</f>
        <v>2.032</v>
      </c>
      <c r="AB29" s="48">
        <f>IF(Elect!AX31&lt;0,"0",Elect!AX31)</f>
        <v>3100</v>
      </c>
      <c r="AC29" s="48">
        <f>IF(Elect!AV31&lt;0,"0",Elect!AV31)</f>
        <v>12100</v>
      </c>
      <c r="AD29" s="48">
        <f>IF(Elect!AZ31&lt;0,"0",Elect!AZ31)</f>
        <v>902</v>
      </c>
      <c r="AE29" s="48">
        <f>IF(Elect!BB31&lt;0,"0",Elect!BB31)</f>
        <v>880</v>
      </c>
      <c r="AF29" s="230">
        <f>IF('Wtr-Gas'!E31&lt;0,"0",('Wtr-Gas'!E31)*0.0038)</f>
        <v>4738.1059999999998</v>
      </c>
      <c r="AG29" s="230">
        <f>IF('Wtr-Gas'!H31&lt;0,"0",('Wtr-Gas'!H31)*0.0038)</f>
        <v>608.72199999999998</v>
      </c>
      <c r="AH29" s="230">
        <f>IF('Wtr-Gas'!K31&lt;0,"0",('Wtr-Gas'!K31)*0.0038)</f>
        <v>0.60799999999999998</v>
      </c>
      <c r="AI29" s="230">
        <f>IF('Wtr-Gas'!N31&lt;0,"0",('Wtr-Gas'!N31)*0.0038)</f>
        <v>3883.6</v>
      </c>
      <c r="AJ29" s="230">
        <f>IF('Wtr-Gas'!Q31&lt;0,"0",('Wtr-Gas'!Q31)*0.0038)</f>
        <v>101.84</v>
      </c>
      <c r="AK29" s="231">
        <f>IF('Wtr-Gas'!U31&lt;0,"0",('Wtr-Gas'!U31)*0.0038)</f>
        <v>719.34</v>
      </c>
      <c r="AL29" s="231">
        <f>IF('Wtr-Gas'!X31&lt;0,"0",('Wtr-Gas'!X31)*0.0038)</f>
        <v>991.8</v>
      </c>
      <c r="AM29" s="230">
        <f>IF('Wtr-Gas'!AB31&lt;0,"0",('Wtr-Gas'!AB31)*0.0038)</f>
        <v>10716</v>
      </c>
      <c r="AN29" s="230">
        <f>IF('Wtr-Gas'!AD31&lt;0,"0",('Wtr-Gas'!AD31)*0.0038)</f>
        <v>2873.598</v>
      </c>
      <c r="AO29" s="230">
        <f>IF('Wtr-Gas'!AF31&lt;0,"0",('Wtr-Gas'!AF31)*0.0038)</f>
        <v>1.5960000000000001</v>
      </c>
      <c r="AP29" s="230">
        <f>IF('Wtr-Gas'!AH31&lt;0,"0",('Wtr-Gas'!AH31)*0.0038)</f>
        <v>429.97</v>
      </c>
      <c r="AQ29" s="230">
        <f>IF('Wtr-Gas'!AJ31&lt;0,"0",('Wtr-Gas'!AJ31)*0.0038)</f>
        <v>23.301600000000001</v>
      </c>
      <c r="AR29" s="230">
        <f>IF('Wtr-Gas'!AL31&lt;0,"0",('Wtr-Gas'!AL31)*0.0038)</f>
        <v>110.2</v>
      </c>
      <c r="AS29" s="230">
        <f>IF('Wtr-Gas'!AN31&lt;0,"0",('Wtr-Gas'!AN31)*0.0038)</f>
        <v>5.7000000000000002E-2</v>
      </c>
      <c r="AT29" s="230">
        <f>IF('Wtr-Gas'!AP31&lt;0,"0",('Wtr-Gas'!AP31)*0.0038)</f>
        <v>7.98</v>
      </c>
      <c r="AU29" s="251">
        <f>IF('Wtr-Gas'!AT31&lt;0,"0",('Wtr-Gas'!AT31)*0.0038)</f>
        <v>0.35339999999999999</v>
      </c>
      <c r="AV29" s="230">
        <f>IF('Wtr-Gas'!AW31&lt;0,"0",('Wtr-Gas'!AW31)*0.0038)</f>
        <v>187.48439999999999</v>
      </c>
      <c r="AW29" s="230">
        <f>IF('Wtr-Gas'!AY31&lt;0,"0",('Wtr-Gas'!AY31)*0.0038)</f>
        <v>151.25899999999999</v>
      </c>
      <c r="AX29" s="230">
        <f>IF('Wtr-Gas'!AZ31&lt;0,"0",('Wtr-Gas'!AZ31)*0.0038)</f>
        <v>36.223728000000001</v>
      </c>
      <c r="AY29" s="230">
        <f>IF('Wtr-Gas'!BB31&lt;0,"0",('Wtr-Gas'!BB31)*0.0038)</f>
        <v>30.02</v>
      </c>
      <c r="AZ29" s="230">
        <f>IF('Wtr-Gas'!BD31&lt;0,"0",('Wtr-Gas'!BD31)*0.0038)</f>
        <v>1.52</v>
      </c>
      <c r="BA29" s="230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8">
        <f>IF(Elect!AM32&lt;0,"0",Elect!AM32)</f>
        <v>418</v>
      </c>
      <c r="F30" s="48">
        <f>IF(Elect!I32&lt;0,"0",Elect!I32)</f>
        <v>47840</v>
      </c>
      <c r="G30" s="48">
        <f>Elect!H32</f>
        <v>2.222</v>
      </c>
      <c r="H30" s="48">
        <f>IF(Elect!F32&lt;0,"0",Elect!F32)</f>
        <v>41120</v>
      </c>
      <c r="I30" s="48">
        <f>Elect!E32</f>
        <v>1.9330000000000001</v>
      </c>
      <c r="J30" s="48">
        <f>IF(Elect!U32&lt;0,"0",Elect!U32)</f>
        <v>78000</v>
      </c>
      <c r="K30" s="48">
        <f>Elect!T32</f>
        <v>2.4910000000000001</v>
      </c>
      <c r="L30" s="48">
        <f>IF(Elect!AJ32&lt;0,"0",Elect!AJ32)</f>
        <v>1440</v>
      </c>
      <c r="M30" s="48">
        <f>Elect!AI32</f>
        <v>0.29799999999999999</v>
      </c>
      <c r="N30" s="48">
        <f>IF(Elect!X32&lt;0,"0",Elect!X32)</f>
        <v>70800</v>
      </c>
      <c r="O30" s="48">
        <f>Elect!W32</f>
        <v>2.2290000000000001</v>
      </c>
      <c r="P30" s="48">
        <f>IF(Elect!O32&lt;0,"0",Elect!O32)</f>
        <v>10400</v>
      </c>
      <c r="Q30" s="48">
        <f>Elect!N32</f>
        <v>1.99</v>
      </c>
      <c r="R30" s="48">
        <f>IF(Elect!L32&lt;0,"0",Elect!L32)</f>
        <v>12800</v>
      </c>
      <c r="S30" s="48">
        <f>Elect!K32</f>
        <v>2.67</v>
      </c>
      <c r="T30" s="48">
        <f>IF(Elect!R32&lt;0,"0",Elect!R32)</f>
        <v>10800</v>
      </c>
      <c r="U30" s="48">
        <f>Elect!Q32</f>
        <v>2.1800000000000002</v>
      </c>
      <c r="V30" s="48">
        <f>IF(Elect!AA32&lt;0,"0",Elect!AA32)</f>
        <v>5600</v>
      </c>
      <c r="W30" s="48">
        <f>Elect!Z32</f>
        <v>3.29</v>
      </c>
      <c r="X30" s="48">
        <f>IF(Elect!AD32&lt;0,"0",Elect!AD32)</f>
        <v>2880</v>
      </c>
      <c r="Y30" s="48">
        <f>Elect!AC32</f>
        <v>1.7</v>
      </c>
      <c r="Z30" s="48">
        <f>IF(Elect!AG32&lt;0,"0",Elect!AG32)</f>
        <v>53600</v>
      </c>
      <c r="AA30" s="48">
        <f>Elect!AF32</f>
        <v>2.0270000000000001</v>
      </c>
      <c r="AB30" s="48">
        <f>IF(Elect!AX32&lt;0,"0",Elect!AX32)</f>
        <v>1900</v>
      </c>
      <c r="AC30" s="48">
        <f>IF(Elect!AV32&lt;0,"0",Elect!AV32)</f>
        <v>20400</v>
      </c>
      <c r="AD30" s="48">
        <f>IF(Elect!AZ32&lt;0,"0",Elect!AZ32)</f>
        <v>883</v>
      </c>
      <c r="AE30" s="48">
        <f>IF(Elect!BB32&lt;0,"0",Elect!BB32)</f>
        <v>1640</v>
      </c>
      <c r="AF30" s="230">
        <f>IF('Wtr-Gas'!E32&lt;0,"0",('Wtr-Gas'!E32)*0.0038)</f>
        <v>4868.37</v>
      </c>
      <c r="AG30" s="230">
        <f>IF('Wtr-Gas'!H32&lt;0,"0",('Wtr-Gas'!H32)*0.0038)</f>
        <v>132.43</v>
      </c>
      <c r="AH30" s="230">
        <f>IF('Wtr-Gas'!K32&lt;0,"0",('Wtr-Gas'!K32)*0.0038)</f>
        <v>0.60799999999999998</v>
      </c>
      <c r="AI30" s="230">
        <f>IF('Wtr-Gas'!N32&lt;0,"0",('Wtr-Gas'!N32)*0.0038)</f>
        <v>4107.8</v>
      </c>
      <c r="AJ30" s="230">
        <f>IF('Wtr-Gas'!Q32&lt;0,"0",('Wtr-Gas'!Q32)*0.0038)</f>
        <v>0.49020000000000002</v>
      </c>
      <c r="AK30" s="231">
        <f>IF('Wtr-Gas'!U32&lt;0,"0",('Wtr-Gas'!U32)*0.0038)</f>
        <v>775.2</v>
      </c>
      <c r="AL30" s="231">
        <f>IF('Wtr-Gas'!X32&lt;0,"0",('Wtr-Gas'!X32)*0.0038)</f>
        <v>1147.5999999999999</v>
      </c>
      <c r="AM30" s="230">
        <f>IF('Wtr-Gas'!AB32&lt;0,"0",('Wtr-Gas'!AB32)*0.0038)</f>
        <v>10526</v>
      </c>
      <c r="AN30" s="230">
        <f>IF('Wtr-Gas'!AD32&lt;0,"0",('Wtr-Gas'!AD32)*0.0038)</f>
        <v>2679.76</v>
      </c>
      <c r="AO30" s="230">
        <f>IF('Wtr-Gas'!AF32&lt;0,"0",('Wtr-Gas'!AF32)*0.0038)</f>
        <v>2.6219999999999999</v>
      </c>
      <c r="AP30" s="230">
        <f>IF('Wtr-Gas'!AH32&lt;0,"0",('Wtr-Gas'!AH32)*0.0038)</f>
        <v>522.27200000000005</v>
      </c>
      <c r="AQ30" s="230">
        <f>IF('Wtr-Gas'!AJ32&lt;0,"0",('Wtr-Gas'!AJ32)*0.0038)</f>
        <v>12.270199999999999</v>
      </c>
      <c r="AR30" s="230">
        <f>IF('Wtr-Gas'!AL32&lt;0,"0",('Wtr-Gas'!AL32)*0.0038)</f>
        <v>11.4</v>
      </c>
      <c r="AS30" s="230">
        <f>IF('Wtr-Gas'!AN32&lt;0,"0",('Wtr-Gas'!AN32)*0.0038)</f>
        <v>6.08E-2</v>
      </c>
      <c r="AT30" s="230">
        <f>IF('Wtr-Gas'!AP32&lt;0,"0",('Wtr-Gas'!AP32)*0.0038)</f>
        <v>31.16</v>
      </c>
      <c r="AU30" s="251">
        <f>IF('Wtr-Gas'!AT32&lt;0,"0",('Wtr-Gas'!AT32)*0.0038)</f>
        <v>0.3458</v>
      </c>
      <c r="AV30" s="230">
        <f>IF('Wtr-Gas'!AW32&lt;0,"0",('Wtr-Gas'!AW32)*0.0038)</f>
        <v>218.41640000000001</v>
      </c>
      <c r="AW30" s="230">
        <f>IF('Wtr-Gas'!AY32&lt;0,"0",('Wtr-Gas'!AY32)*0.0038)</f>
        <v>170.11840000000001</v>
      </c>
      <c r="AX30" s="230">
        <f>IF('Wtr-Gas'!AZ32&lt;0,"0",('Wtr-Gas'!AZ32)*0.0038)</f>
        <v>48.298418000000005</v>
      </c>
      <c r="AY30" s="230">
        <f>IF('Wtr-Gas'!BB32&lt;0,"0",('Wtr-Gas'!BB32)*0.0038)</f>
        <v>14.44</v>
      </c>
      <c r="AZ30" s="230">
        <f>IF('Wtr-Gas'!BD32&lt;0,"0",('Wtr-Gas'!BD32)*0.0038)</f>
        <v>1.52</v>
      </c>
      <c r="BA30" s="230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8">
        <f>IF(Elect!AM33&lt;0,"0",Elect!AM33)</f>
        <v>443</v>
      </c>
      <c r="F31" s="48">
        <f>IF(Elect!I33&lt;0,"0",Elect!I33)</f>
        <v>34720</v>
      </c>
      <c r="G31" s="48">
        <f>Elect!H33</f>
        <v>2.222</v>
      </c>
      <c r="H31" s="48">
        <f>IF(Elect!F33&lt;0,"0",Elect!F33)</f>
        <v>29120</v>
      </c>
      <c r="I31" s="48">
        <f>Elect!E33</f>
        <v>1.9330000000000001</v>
      </c>
      <c r="J31" s="48">
        <f>IF(Elect!U33&lt;0,"0",Elect!U33)</f>
        <v>49200</v>
      </c>
      <c r="K31" s="48">
        <f>Elect!T33</f>
        <v>2.8530000000000002</v>
      </c>
      <c r="L31" s="48">
        <f>IF(Elect!AJ33&lt;0,"0",Elect!AJ33)</f>
        <v>1080</v>
      </c>
      <c r="M31" s="48">
        <f>Elect!AI33</f>
        <v>0.29799999999999999</v>
      </c>
      <c r="N31" s="48">
        <f>IF(Elect!X33&lt;0,"0",Elect!X33)</f>
        <v>52500</v>
      </c>
      <c r="O31" s="48">
        <f>Elect!W33</f>
        <v>2.2290000000000001</v>
      </c>
      <c r="P31" s="48">
        <f>IF(Elect!O33&lt;0,"0",Elect!O33)</f>
        <v>7600</v>
      </c>
      <c r="Q31" s="48">
        <f>Elect!N33</f>
        <v>2.0499999999999998</v>
      </c>
      <c r="R31" s="48">
        <f>IF(Elect!L33&lt;0,"0",Elect!L33)</f>
        <v>8400</v>
      </c>
      <c r="S31" s="48">
        <f>Elect!K33</f>
        <v>2.67</v>
      </c>
      <c r="T31" s="48">
        <f>IF(Elect!R33&lt;0,"0",Elect!R33)</f>
        <v>7600</v>
      </c>
      <c r="U31" s="48">
        <f>Elect!Q33</f>
        <v>2.1800000000000002</v>
      </c>
      <c r="V31" s="48">
        <f>IF(Elect!AA33&lt;0,"0",Elect!AA33)</f>
        <v>4160</v>
      </c>
      <c r="W31" s="48">
        <f>Elect!Z33</f>
        <v>3.29</v>
      </c>
      <c r="X31" s="48">
        <f>IF(Elect!AD33&lt;0,"0",Elect!AD33)</f>
        <v>2080</v>
      </c>
      <c r="Y31" s="48">
        <f>Elect!AC33</f>
        <v>1.7</v>
      </c>
      <c r="Z31" s="48">
        <f>IF(Elect!AG33&lt;0,"0",Elect!AG33)</f>
        <v>36200</v>
      </c>
      <c r="AA31" s="48">
        <f>Elect!AF33</f>
        <v>2.0270000000000001</v>
      </c>
      <c r="AB31" s="48">
        <f>IF(Elect!AX33&lt;0,"0",Elect!AX33)</f>
        <v>1200</v>
      </c>
      <c r="AC31" s="48">
        <f>IF(Elect!AV33&lt;0,"0",Elect!AV33)</f>
        <v>8600</v>
      </c>
      <c r="AD31" s="48">
        <f>IF(Elect!AZ33&lt;0,"0",Elect!AZ33)</f>
        <v>514</v>
      </c>
      <c r="AE31" s="48">
        <f>IF(Elect!BB33&lt;0,"0",Elect!BB33)</f>
        <v>600</v>
      </c>
      <c r="AF31" s="230">
        <f>IF('Wtr-Gas'!E33&lt;0,"0",('Wtr-Gas'!E33)*0.0038)</f>
        <v>1404.8979999999999</v>
      </c>
      <c r="AG31" s="230">
        <f>IF('Wtr-Gas'!H33&lt;0,"0",('Wtr-Gas'!H33)*0.0038)</f>
        <v>200.22200000000001</v>
      </c>
      <c r="AH31" s="230">
        <f>IF('Wtr-Gas'!K33&lt;0,"0",('Wtr-Gas'!K33)*0.0038)</f>
        <v>0.49399999999999999</v>
      </c>
      <c r="AI31" s="230">
        <f>IF('Wtr-Gas'!N33&lt;0,"0",('Wtr-Gas'!N33)*0.0038)</f>
        <v>1105.8</v>
      </c>
      <c r="AJ31" s="230">
        <f>IF('Wtr-Gas'!Q33&lt;0,"0",('Wtr-Gas'!Q33)*0.0038)</f>
        <v>32.68</v>
      </c>
      <c r="AK31" s="231">
        <f>IF('Wtr-Gas'!U33&lt;0,"0",('Wtr-Gas'!U33)*0.0038)</f>
        <v>210.14</v>
      </c>
      <c r="AL31" s="231">
        <f>IF('Wtr-Gas'!X33&lt;0,"0",('Wtr-Gas'!X33)*0.0038)</f>
        <v>589</v>
      </c>
      <c r="AM31" s="230">
        <f>IF('Wtr-Gas'!AB33&lt;0,"0",('Wtr-Gas'!AB33)*0.0038)</f>
        <v>3154</v>
      </c>
      <c r="AN31" s="230">
        <f>IF('Wtr-Gas'!AD33&lt;0,"0",('Wtr-Gas'!AD33)*0.0038)</f>
        <v>846.86800000000005</v>
      </c>
      <c r="AO31" s="230">
        <f>IF('Wtr-Gas'!AF33&lt;0,"0",('Wtr-Gas'!AF33)*0.0038)</f>
        <v>0.30399999999999999</v>
      </c>
      <c r="AP31" s="230">
        <f>IF('Wtr-Gas'!AH33&lt;0,"0",('Wtr-Gas'!AH33)*0.0038)</f>
        <v>311.37200000000001</v>
      </c>
      <c r="AQ31" s="230">
        <f>IF('Wtr-Gas'!AJ33&lt;0,"0",('Wtr-Gas'!AJ33)*0.0038)</f>
        <v>6.5549999999999997</v>
      </c>
      <c r="AR31" s="230">
        <f>IF('Wtr-Gas'!AL33&lt;0,"0",('Wtr-Gas'!AL33)*0.0038)</f>
        <v>30.4</v>
      </c>
      <c r="AS31" s="230">
        <f>IF('Wtr-Gas'!AN33&lt;0,"0",('Wtr-Gas'!AN33)*0.0038)</f>
        <v>4.1799999999999997E-2</v>
      </c>
      <c r="AT31" s="230">
        <f>IF('Wtr-Gas'!AP33&lt;0,"0",('Wtr-Gas'!AP33)*0.0038)</f>
        <v>1.1399999999999999</v>
      </c>
      <c r="AU31" s="251">
        <f>IF('Wtr-Gas'!AT33&lt;0,"0",('Wtr-Gas'!AT33)*0.0038)</f>
        <v>0.1444</v>
      </c>
      <c r="AV31" s="230">
        <f>IF('Wtr-Gas'!AW33&lt;0,"0",('Wtr-Gas'!AW33)*0.0038)</f>
        <v>58.823999999999998</v>
      </c>
      <c r="AW31" s="230">
        <f>IF('Wtr-Gas'!AY33&lt;0,"0",('Wtr-Gas'!AY33)*0.0038)</f>
        <v>45.567092000000002</v>
      </c>
      <c r="AX31" s="230">
        <f>IF('Wtr-Gas'!AZ33&lt;0,"0",('Wtr-Gas'!AZ33)*0.0038)</f>
        <v>13.256907999999999</v>
      </c>
      <c r="AY31" s="230">
        <f>IF('Wtr-Gas'!BB33&lt;0,"0",('Wtr-Gas'!BB33)*0.0038)</f>
        <v>8.74</v>
      </c>
      <c r="AZ31" s="230">
        <f>IF('Wtr-Gas'!BD33&lt;0,"0",('Wtr-Gas'!BD33)*0.0038)</f>
        <v>0.38</v>
      </c>
      <c r="BA31" s="230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8">
        <f>IF(Elect!AM34&lt;0,"0",Elect!AM34)</f>
        <v>0</v>
      </c>
      <c r="F32" s="48">
        <f>IF(Elect!I34&lt;0,"0",Elect!I34)</f>
        <v>34720</v>
      </c>
      <c r="G32" s="48">
        <f>Elect!H34</f>
        <v>2.222</v>
      </c>
      <c r="H32" s="48">
        <f>IF(Elect!F34&lt;0,"0",Elect!F34)</f>
        <v>29120</v>
      </c>
      <c r="I32" s="48">
        <f>Elect!E34</f>
        <v>1.9330000000000001</v>
      </c>
      <c r="J32" s="48">
        <f>IF(Elect!U34&lt;0,"0",Elect!U34)</f>
        <v>49200</v>
      </c>
      <c r="K32" s="48">
        <f>Elect!T34</f>
        <v>2.8530000000000002</v>
      </c>
      <c r="L32" s="48">
        <f>IF(Elect!AJ34&lt;0,"0",Elect!AJ34)</f>
        <v>1080</v>
      </c>
      <c r="M32" s="48">
        <f>Elect!AI34</f>
        <v>0.29799999999999999</v>
      </c>
      <c r="N32" s="48">
        <f>IF(Elect!X34&lt;0,"0",Elect!X34)</f>
        <v>52500</v>
      </c>
      <c r="O32" s="48">
        <f>Elect!W34</f>
        <v>2.2290000000000001</v>
      </c>
      <c r="P32" s="48">
        <f>IF(Elect!O34&lt;0,"0",Elect!O34)</f>
        <v>7600</v>
      </c>
      <c r="Q32" s="48">
        <f>Elect!N34</f>
        <v>2.0499999999999998</v>
      </c>
      <c r="R32" s="48">
        <f>IF(Elect!L34&lt;0,"0",Elect!L34)</f>
        <v>8400</v>
      </c>
      <c r="S32" s="48">
        <f>Elect!K34</f>
        <v>2.67</v>
      </c>
      <c r="T32" s="48">
        <f>IF(Elect!R34&lt;0,"0",Elect!R34)</f>
        <v>7600</v>
      </c>
      <c r="U32" s="48">
        <f>Elect!Q34</f>
        <v>2.1800000000000002</v>
      </c>
      <c r="V32" s="48">
        <f>IF(Elect!AA34&lt;0,"0",Elect!AA34)</f>
        <v>4160</v>
      </c>
      <c r="W32" s="48">
        <f>Elect!Z34</f>
        <v>3.29</v>
      </c>
      <c r="X32" s="48">
        <f>IF(Elect!AD34&lt;0,"0",Elect!AD34)</f>
        <v>2080</v>
      </c>
      <c r="Y32" s="48">
        <f>Elect!AC34</f>
        <v>1.7</v>
      </c>
      <c r="Z32" s="48">
        <f>IF(Elect!AG34&lt;0,"0",Elect!AG34)</f>
        <v>36200</v>
      </c>
      <c r="AA32" s="48">
        <f>Elect!AF34</f>
        <v>2.0270000000000001</v>
      </c>
      <c r="AB32" s="48">
        <f>IF(Elect!AX34&lt;0,"0",Elect!AX34)</f>
        <v>1200</v>
      </c>
      <c r="AC32" s="48">
        <f>IF(Elect!AV34&lt;0,"0",Elect!AV34)</f>
        <v>8600</v>
      </c>
      <c r="AD32" s="48">
        <f>IF(Elect!AZ34&lt;0,"0",Elect!AZ34)</f>
        <v>514</v>
      </c>
      <c r="AE32" s="48">
        <f>IF(Elect!BB34&lt;0,"0",Elect!BB34)</f>
        <v>600</v>
      </c>
      <c r="AF32" s="230">
        <f>IF('Wtr-Gas'!E34&lt;0,"0",('Wtr-Gas'!E34)*0.0038)</f>
        <v>3362.886</v>
      </c>
      <c r="AG32" s="230">
        <f>IF('Wtr-Gas'!H34&lt;0,"0",('Wtr-Gas'!H34)*0.0038)</f>
        <v>0.114</v>
      </c>
      <c r="AH32" s="230">
        <f>IF('Wtr-Gas'!K34&lt;0,"0",('Wtr-Gas'!K34)*0.0038)</f>
        <v>0.152</v>
      </c>
      <c r="AI32" s="230">
        <f>IF('Wtr-Gas'!N34&lt;0,"0",('Wtr-Gas'!N34)*0.0038)</f>
        <v>2812</v>
      </c>
      <c r="AJ32" s="230">
        <f>IF('Wtr-Gas'!Q34&lt;0,"0",('Wtr-Gas'!Q34)*0.0038)</f>
        <v>80.180000000000007</v>
      </c>
      <c r="AK32" s="231">
        <f>IF('Wtr-Gas'!U34&lt;0,"0",('Wtr-Gas'!U34)*0.0038)</f>
        <v>534.28</v>
      </c>
      <c r="AL32" s="231">
        <f>IF('Wtr-Gas'!X34&lt;0,"0",('Wtr-Gas'!X34)*0.0038)</f>
        <v>1238.8</v>
      </c>
      <c r="AM32" s="230">
        <f>IF('Wtr-Gas'!AB34&lt;0,"0",('Wtr-Gas'!AB34)*0.0038)</f>
        <v>7030</v>
      </c>
      <c r="AN32" s="230">
        <f>IF('Wtr-Gas'!AD34&lt;0,"0",('Wtr-Gas'!AD34)*0.0038)</f>
        <v>1880.126</v>
      </c>
      <c r="AO32" s="230">
        <f>IF('Wtr-Gas'!AF34&lt;0,"0",('Wtr-Gas'!AF34)*0.0038)</f>
        <v>0.22800000000000001</v>
      </c>
      <c r="AP32" s="230">
        <f>IF('Wtr-Gas'!AH34&lt;0,"0",('Wtr-Gas'!AH34)*0.0038)</f>
        <v>195.89</v>
      </c>
      <c r="AQ32" s="230">
        <f>IF('Wtr-Gas'!AJ34&lt;0,"0",('Wtr-Gas'!AJ34)*0.0038)</f>
        <v>4.8944000000000001</v>
      </c>
      <c r="AR32" s="230">
        <f>IF('Wtr-Gas'!AL34&lt;0,"0",('Wtr-Gas'!AL34)*0.0038)</f>
        <v>49.4</v>
      </c>
      <c r="AS32" s="230">
        <f>IF('Wtr-Gas'!AN34&lt;0,"0",('Wtr-Gas'!AN34)*0.0038)</f>
        <v>0.1862</v>
      </c>
      <c r="AT32" s="230">
        <f>IF('Wtr-Gas'!AP34&lt;0,"0",('Wtr-Gas'!AP34)*0.0038)</f>
        <v>18.239999999999998</v>
      </c>
      <c r="AU32" s="251">
        <f>IF('Wtr-Gas'!AT34&lt;0,"0",('Wtr-Gas'!AT34)*0.0038)</f>
        <v>0.2014</v>
      </c>
      <c r="AV32" s="230">
        <f>IF('Wtr-Gas'!AW34&lt;0,"0",('Wtr-Gas'!AW34)*0.0038)</f>
        <v>108.6344</v>
      </c>
      <c r="AW32" s="230">
        <f>IF('Wtr-Gas'!AY34&lt;0,"0",('Wtr-Gas'!AY34)*0.0038)</f>
        <v>86.776799999999994</v>
      </c>
      <c r="AX32" s="230">
        <f>IF('Wtr-Gas'!AZ34&lt;0,"0",('Wtr-Gas'!AZ34)*0.0038)</f>
        <v>21.855813999999999</v>
      </c>
      <c r="AY32" s="230">
        <f>IF('Wtr-Gas'!BB34&lt;0,"0",('Wtr-Gas'!BB34)*0.0038)</f>
        <v>1.9</v>
      </c>
      <c r="AZ32" s="230">
        <f>IF('Wtr-Gas'!BD34&lt;0,"0",('Wtr-Gas'!BD34)*0.0038)</f>
        <v>0.38</v>
      </c>
      <c r="BA32" s="230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8">
        <f>IF(Elect!AM35&lt;0,"0",Elect!AM35)</f>
        <v>439</v>
      </c>
      <c r="F33" s="48">
        <f>IF(Elect!I35&lt;0,"0",Elect!I35)</f>
        <v>47360</v>
      </c>
      <c r="G33" s="48">
        <f>Elect!H35</f>
        <v>2.222</v>
      </c>
      <c r="H33" s="48">
        <f>IF(Elect!F35&lt;0,"0",Elect!F35)</f>
        <v>40160</v>
      </c>
      <c r="I33" s="48">
        <f>Elect!E35</f>
        <v>1.9470000000000001</v>
      </c>
      <c r="J33" s="48">
        <f>IF(Elect!U35&lt;0,"0",Elect!U35)</f>
        <v>83100</v>
      </c>
      <c r="K33" s="48">
        <f>Elect!T35</f>
        <v>3.0529999999999999</v>
      </c>
      <c r="L33" s="48">
        <f>IF(Elect!AJ35&lt;0,"0",Elect!AJ35)</f>
        <v>1440</v>
      </c>
      <c r="M33" s="48">
        <f>Elect!AI35</f>
        <v>0.30399999999999999</v>
      </c>
      <c r="N33" s="48">
        <f>IF(Elect!X35&lt;0,"0",Elect!X35)</f>
        <v>78000</v>
      </c>
      <c r="O33" s="48">
        <f>Elect!W35</f>
        <v>2.298</v>
      </c>
      <c r="P33" s="48">
        <f>IF(Elect!O35&lt;0,"0",Elect!O35)</f>
        <v>10000</v>
      </c>
      <c r="Q33" s="48">
        <f>Elect!N35</f>
        <v>2.0499999999999998</v>
      </c>
      <c r="R33" s="48">
        <f>IF(Elect!L35&lt;0,"0",Elect!L35)</f>
        <v>11600</v>
      </c>
      <c r="S33" s="48">
        <f>Elect!K35</f>
        <v>2.67</v>
      </c>
      <c r="T33" s="48">
        <f>IF(Elect!R35&lt;0,"0",Elect!R35)</f>
        <v>10400</v>
      </c>
      <c r="U33" s="48">
        <f>Elect!Q35</f>
        <v>2.1800000000000002</v>
      </c>
      <c r="V33" s="48">
        <f>IF(Elect!AA35&lt;0,"0",Elect!AA35)</f>
        <v>6560</v>
      </c>
      <c r="W33" s="48">
        <f>Elect!Z35</f>
        <v>3.87</v>
      </c>
      <c r="X33" s="48">
        <f>IF(Elect!AD35&lt;0,"0",Elect!AD35)</f>
        <v>3200</v>
      </c>
      <c r="Y33" s="48">
        <f>Elect!AC35</f>
        <v>2.29</v>
      </c>
      <c r="Z33" s="48">
        <f>IF(Elect!AG35&lt;0,"0",Elect!AG35)</f>
        <v>52200</v>
      </c>
      <c r="AA33" s="48">
        <f>Elect!AF35</f>
        <v>2.0760000000000001</v>
      </c>
      <c r="AB33" s="48">
        <f>IF(Elect!AX35&lt;0,"0",Elect!AX35)</f>
        <v>2000</v>
      </c>
      <c r="AC33" s="48">
        <f>IF(Elect!AV35&lt;0,"0",Elect!AV35)</f>
        <v>15700</v>
      </c>
      <c r="AD33" s="48">
        <f>IF(Elect!AZ35&lt;0,"0",Elect!AZ35)</f>
        <v>937</v>
      </c>
      <c r="AE33" s="48">
        <f>IF(Elect!BB35&lt;0,"0",Elect!BB35)</f>
        <v>1480</v>
      </c>
      <c r="AF33" s="230">
        <f>IF('Wtr-Gas'!E35&lt;0,"0",('Wtr-Gas'!E35)*0.0038)</f>
        <v>4648.5780000000004</v>
      </c>
      <c r="AG33" s="230">
        <f>IF('Wtr-Gas'!H35&lt;0,"0",('Wtr-Gas'!H35)*0.0038)</f>
        <v>26.257999999999999</v>
      </c>
      <c r="AH33" s="230">
        <f>IF('Wtr-Gas'!K35&lt;0,"0",('Wtr-Gas'!K35)*0.0038)</f>
        <v>0.60799999999999998</v>
      </c>
      <c r="AI33" s="230">
        <f>IF('Wtr-Gas'!N35&lt;0,"0",('Wtr-Gas'!N35)*0.0038)</f>
        <v>3648</v>
      </c>
      <c r="AJ33" s="230">
        <f>IF('Wtr-Gas'!Q35&lt;0,"0",('Wtr-Gas'!Q35)*0.0038)</f>
        <v>115.52</v>
      </c>
      <c r="AK33" s="231">
        <f>IF('Wtr-Gas'!U35&lt;0,"0",('Wtr-Gas'!U35)*0.0038)</f>
        <v>773.68</v>
      </c>
      <c r="AL33" s="231">
        <f>IF('Wtr-Gas'!X35&lt;0,"0",('Wtr-Gas'!X35)*0.0038)</f>
        <v>881.6</v>
      </c>
      <c r="AM33" s="230">
        <f>IF('Wtr-Gas'!AB35&lt;0,"0",('Wtr-Gas'!AB35)*0.0038)</f>
        <v>11438</v>
      </c>
      <c r="AN33" s="230">
        <f>IF('Wtr-Gas'!AD35&lt;0,"0",('Wtr-Gas'!AD35)*0.0038)</f>
        <v>2823.7040000000002</v>
      </c>
      <c r="AO33" s="230">
        <f>IF('Wtr-Gas'!AF35&lt;0,"0",('Wtr-Gas'!AF35)*0.0038)</f>
        <v>0.60799999999999998</v>
      </c>
      <c r="AP33" s="230">
        <f>IF('Wtr-Gas'!AH35&lt;0,"0",('Wtr-Gas'!AH35)*0.0038)</f>
        <v>252.434</v>
      </c>
      <c r="AQ33" s="230">
        <f>IF('Wtr-Gas'!AJ35&lt;0,"0",('Wtr-Gas'!AJ35)*0.0038)</f>
        <v>33.679400000000001</v>
      </c>
      <c r="AR33" s="230">
        <f>IF('Wtr-Gas'!AL35&lt;0,"0",('Wtr-Gas'!AL35)*0.0038)</f>
        <v>467.4</v>
      </c>
      <c r="AS33" s="230">
        <f>IF('Wtr-Gas'!AN35&lt;0,"0",('Wtr-Gas'!AN35)*0.0038)</f>
        <v>2.6599999999999999E-2</v>
      </c>
      <c r="AT33" s="230">
        <f>IF('Wtr-Gas'!AP35&lt;0,"0",('Wtr-Gas'!AP35)*0.0038)</f>
        <v>3.42</v>
      </c>
      <c r="AU33" s="251">
        <f>IF('Wtr-Gas'!AT35&lt;0,"0",('Wtr-Gas'!AT35)*0.0038)</f>
        <v>0.31919999999999998</v>
      </c>
      <c r="AV33" s="230">
        <f>IF('Wtr-Gas'!AW35&lt;0,"0",('Wtr-Gas'!AW35)*0.0038)</f>
        <v>180.8914</v>
      </c>
      <c r="AW33" s="230">
        <f>IF('Wtr-Gas'!AY35&lt;0,"0",('Wtr-Gas'!AY35)*0.0038)</f>
        <v>150.96639999999999</v>
      </c>
      <c r="AX33" s="230">
        <f>IF('Wtr-Gas'!AZ35&lt;0,"0",('Wtr-Gas'!AZ35)*0.0038)</f>
        <v>29.923973999999998</v>
      </c>
      <c r="AY33" s="230">
        <f>IF('Wtr-Gas'!BB35&lt;0,"0",('Wtr-Gas'!BB35)*0.0038)</f>
        <v>3.8</v>
      </c>
      <c r="AZ33" s="230">
        <f>IF('Wtr-Gas'!BD35&lt;0,"0",('Wtr-Gas'!BD35)*0.0038)</f>
        <v>1.1399999999999999</v>
      </c>
      <c r="BA33" s="230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8">
        <f>IF(Elect!AM36&lt;0,"0",Elect!AM36)</f>
        <v>419</v>
      </c>
      <c r="F34" s="48">
        <f>IF(Elect!I36&lt;0,"0",Elect!I36)</f>
        <v>48640</v>
      </c>
      <c r="G34" s="48">
        <f>Elect!H36</f>
        <v>2.2320000000000002</v>
      </c>
      <c r="H34" s="48">
        <f>IF(Elect!F36&lt;0,"0",Elect!F36)</f>
        <v>40480</v>
      </c>
      <c r="I34" s="48">
        <f>Elect!E36</f>
        <v>1.9470000000000001</v>
      </c>
      <c r="J34" s="48">
        <f>IF(Elect!U36&lt;0,"0",Elect!U36)</f>
        <v>74400</v>
      </c>
      <c r="K34" s="48">
        <f>Elect!T36</f>
        <v>3.0579999999999998</v>
      </c>
      <c r="L34" s="48">
        <f>IF(Elect!AJ36&lt;0,"0",Elect!AJ36)</f>
        <v>1480</v>
      </c>
      <c r="M34" s="48">
        <f>Elect!AI36</f>
        <v>0.30399999999999999</v>
      </c>
      <c r="N34" s="48">
        <f>IF(Elect!X36&lt;0,"0",Elect!X36)</f>
        <v>75300</v>
      </c>
      <c r="O34" s="48">
        <f>Elect!W36</f>
        <v>2.298</v>
      </c>
      <c r="P34" s="48">
        <f>IF(Elect!O36&lt;0,"0",Elect!O36)</f>
        <v>10800</v>
      </c>
      <c r="Q34" s="48">
        <f>Elect!N36</f>
        <v>2.0499999999999998</v>
      </c>
      <c r="R34" s="48">
        <f>IF(Elect!L36&lt;0,"0",Elect!L36)</f>
        <v>11600</v>
      </c>
      <c r="S34" s="48">
        <f>Elect!K36</f>
        <v>2.67</v>
      </c>
      <c r="T34" s="48">
        <f>IF(Elect!R36&lt;0,"0",Elect!R36)</f>
        <v>10400</v>
      </c>
      <c r="U34" s="48">
        <f>Elect!Q36</f>
        <v>2.1800000000000002</v>
      </c>
      <c r="V34" s="48">
        <f>IF(Elect!AA36&lt;0,"0",Elect!AA36)</f>
        <v>6080</v>
      </c>
      <c r="W34" s="48">
        <f>Elect!Z36</f>
        <v>3.87</v>
      </c>
      <c r="X34" s="48">
        <f>IF(Elect!AD36&lt;0,"0",Elect!AD36)</f>
        <v>3040</v>
      </c>
      <c r="Y34" s="48">
        <f>Elect!AC36</f>
        <v>2.29</v>
      </c>
      <c r="Z34" s="48">
        <f>IF(Elect!AG36&lt;0,"0",Elect!AG36)</f>
        <v>54200</v>
      </c>
      <c r="AA34" s="48">
        <f>Elect!AF36</f>
        <v>2.0760000000000001</v>
      </c>
      <c r="AB34" s="48">
        <f>IF(Elect!AX36&lt;0,"0",Elect!AX36)</f>
        <v>2300</v>
      </c>
      <c r="AC34" s="48">
        <f>IF(Elect!AV36&lt;0,"0",Elect!AV36)</f>
        <v>17100</v>
      </c>
      <c r="AD34" s="48">
        <f>IF(Elect!AZ36&lt;0,"0",Elect!AZ36)</f>
        <v>994</v>
      </c>
      <c r="AE34" s="48">
        <f>IF(Elect!BB36&lt;0,"0",Elect!BB36)</f>
        <v>3720</v>
      </c>
      <c r="AF34" s="230">
        <f>IF('Wtr-Gas'!E36&lt;0,"0",('Wtr-Gas'!E36)*0.0038)</f>
        <v>4957.3280000000004</v>
      </c>
      <c r="AG34" s="230">
        <f>IF('Wtr-Gas'!H36&lt;0,"0",('Wtr-Gas'!H36)*0.0038)</f>
        <v>641.89599999999996</v>
      </c>
      <c r="AH34" s="230">
        <f>IF('Wtr-Gas'!K36&lt;0,"0",('Wtr-Gas'!K36)*0.0038)</f>
        <v>0.60799999999999998</v>
      </c>
      <c r="AI34" s="230">
        <f>IF('Wtr-Gas'!N36&lt;0,"0",('Wtr-Gas'!N36)*0.0038)</f>
        <v>3807.6</v>
      </c>
      <c r="AJ34" s="230">
        <f>IF('Wtr-Gas'!Q36&lt;0,"0",('Wtr-Gas'!Q36)*0.0038)</f>
        <v>113.24</v>
      </c>
      <c r="AK34" s="231">
        <f>IF('Wtr-Gas'!U36&lt;0,"0",('Wtr-Gas'!U36)*0.0038)</f>
        <v>721.62</v>
      </c>
      <c r="AL34" s="231">
        <f>IF('Wtr-Gas'!X36&lt;0,"0",('Wtr-Gas'!X36)*0.0038)</f>
        <v>912</v>
      </c>
      <c r="AM34" s="230">
        <f>IF('Wtr-Gas'!AB36&lt;0,"0",('Wtr-Gas'!AB36)*0.0038)</f>
        <v>11362</v>
      </c>
      <c r="AN34" s="230">
        <f>IF('Wtr-Gas'!AD36&lt;0,"0",('Wtr-Gas'!AD36)*0.0038)</f>
        <v>2969.13</v>
      </c>
      <c r="AO34" s="230">
        <f>IF('Wtr-Gas'!AF36&lt;0,"0",('Wtr-Gas'!AF36)*0.0038)</f>
        <v>6.3460000000000001</v>
      </c>
      <c r="AP34" s="230">
        <f>IF('Wtr-Gas'!AH36&lt;0,"0",('Wtr-Gas'!AH36)*0.0038)</f>
        <v>244.07400000000001</v>
      </c>
      <c r="AQ34" s="230">
        <f>IF('Wtr-Gas'!AJ36&lt;0,"0",('Wtr-Gas'!AJ36)*0.0038)</f>
        <v>34.754800000000003</v>
      </c>
      <c r="AR34" s="230">
        <f>IF('Wtr-Gas'!AL36&lt;0,"0",('Wtr-Gas'!AL36)*0.0038)</f>
        <v>596.6</v>
      </c>
      <c r="AS34" s="230">
        <f>IF('Wtr-Gas'!AN36&lt;0,"0",('Wtr-Gas'!AN36)*0.0038)</f>
        <v>7.5999999999999998E-2</v>
      </c>
      <c r="AT34" s="230">
        <f>IF('Wtr-Gas'!AP36&lt;0,"0",('Wtr-Gas'!AP36)*0.0038)</f>
        <v>7.98</v>
      </c>
      <c r="AU34" s="251">
        <f>IF('Wtr-Gas'!AT36&lt;0,"0",('Wtr-Gas'!AT36)*0.0038)</f>
        <v>0.34200000000000003</v>
      </c>
      <c r="AV34" s="230">
        <f>IF('Wtr-Gas'!AW36&lt;0,"0",('Wtr-Gas'!AW36)*0.0038)</f>
        <v>215.3802</v>
      </c>
      <c r="AW34" s="230">
        <f>IF('Wtr-Gas'!AY36&lt;0,"0",('Wtr-Gas'!AY36)*0.0038)</f>
        <v>171.0684</v>
      </c>
      <c r="AX34" s="230">
        <f>IF('Wtr-Gas'!AZ36&lt;0,"0",('Wtr-Gas'!AZ36)*0.0038)</f>
        <v>44.313358000000001</v>
      </c>
      <c r="AY34" s="230">
        <f>IF('Wtr-Gas'!BB36&lt;0,"0",('Wtr-Gas'!BB36)*0.0038)</f>
        <v>0</v>
      </c>
      <c r="AZ34" s="230">
        <f>IF('Wtr-Gas'!BD36&lt;0,"0",('Wtr-Gas'!BD36)*0.0038)</f>
        <v>8.36</v>
      </c>
      <c r="BA34" s="230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8">
        <f>IF(Elect!AM37&lt;0,"0",Elect!AM37)</f>
        <v>448</v>
      </c>
      <c r="F35" s="48">
        <f>IF(Elect!I37&lt;0,"0",Elect!I37)</f>
        <v>47200</v>
      </c>
      <c r="G35" s="48">
        <f>Elect!H37</f>
        <v>2.1669999999999998</v>
      </c>
      <c r="H35" s="48">
        <f>IF(Elect!F37&lt;0,"0",Elect!F37)</f>
        <v>40320</v>
      </c>
      <c r="I35" s="48">
        <f>Elect!E37</f>
        <v>1.8759999999999999</v>
      </c>
      <c r="J35" s="48">
        <f>IF(Elect!U37&lt;0,"0",Elect!U37)</f>
        <v>80400</v>
      </c>
      <c r="K35" s="48">
        <f>Elect!T37</f>
        <v>2.2160000000000002</v>
      </c>
      <c r="L35" s="48">
        <f>IF(Elect!AJ37&lt;0,"0",Elect!AJ37)</f>
        <v>1440</v>
      </c>
      <c r="M35" s="48">
        <f>Elect!AI37</f>
        <v>0.29099999999999998</v>
      </c>
      <c r="N35" s="48">
        <f>IF(Elect!X37&lt;0,"0",Elect!X37)</f>
        <v>81900</v>
      </c>
      <c r="O35" s="48">
        <f>Elect!W37</f>
        <v>2.1459999999999999</v>
      </c>
      <c r="P35" s="48">
        <f>IF(Elect!O37&lt;0,"0",Elect!O37)</f>
        <v>10800</v>
      </c>
      <c r="Q35" s="48">
        <f>Elect!N37</f>
        <v>2</v>
      </c>
      <c r="R35" s="48">
        <f>IF(Elect!L37&lt;0,"0",Elect!L37)</f>
        <v>11600</v>
      </c>
      <c r="S35" s="48">
        <f>Elect!K37</f>
        <v>2.09</v>
      </c>
      <c r="T35" s="48">
        <f>IF(Elect!R37&lt;0,"0",Elect!R37)</f>
        <v>10800</v>
      </c>
      <c r="U35" s="48">
        <f>Elect!Q37</f>
        <v>2</v>
      </c>
      <c r="V35" s="48">
        <f>IF(Elect!AA37&lt;0,"0",Elect!AA37)</f>
        <v>5600</v>
      </c>
      <c r="W35" s="48">
        <f>Elect!Z37</f>
        <v>2.93</v>
      </c>
      <c r="X35" s="48">
        <f>IF(Elect!AD37&lt;0,"0",Elect!AD37)</f>
        <v>2880</v>
      </c>
      <c r="Y35" s="48">
        <f>Elect!AC37</f>
        <v>1.49</v>
      </c>
      <c r="Z35" s="48">
        <f>IF(Elect!AG37&lt;0,"0",Elect!AG37)</f>
        <v>54000</v>
      </c>
      <c r="AA35" s="48">
        <f>Elect!AF37</f>
        <v>2.097</v>
      </c>
      <c r="AB35" s="48">
        <f>IF(Elect!AX37&lt;0,"0",Elect!AX37)</f>
        <v>2000</v>
      </c>
      <c r="AC35" s="48">
        <f>IF(Elect!AV37&lt;0,"0",Elect!AV37)</f>
        <v>16500</v>
      </c>
      <c r="AD35" s="48">
        <f>IF(Elect!AZ37&lt;0,"0",Elect!AZ37)</f>
        <v>909</v>
      </c>
      <c r="AE35" s="48">
        <f>IF(Elect!BB37&lt;0,"0",Elect!BB37)</f>
        <v>4320</v>
      </c>
      <c r="AF35" s="230">
        <f>IF('Wtr-Gas'!E37&lt;0,"0",('Wtr-Gas'!E37)*0.0038)</f>
        <v>5125.6679999999997</v>
      </c>
      <c r="AG35" s="230">
        <f>IF('Wtr-Gas'!H37&lt;0,"0",('Wtr-Gas'!H37)*0.0038)</f>
        <v>768.13199999999995</v>
      </c>
      <c r="AH35" s="230">
        <f>IF('Wtr-Gas'!K37&lt;0,"0",('Wtr-Gas'!K37)*0.0038)</f>
        <v>0.60799999999999998</v>
      </c>
      <c r="AI35" s="230">
        <f>IF('Wtr-Gas'!N37&lt;0,"0",('Wtr-Gas'!N37)*0.0038)</f>
        <v>4054.6</v>
      </c>
      <c r="AJ35" s="230">
        <f>IF('Wtr-Gas'!Q37&lt;0,"0",('Wtr-Gas'!Q37)*0.0038)</f>
        <v>107.16</v>
      </c>
      <c r="AK35" s="231">
        <f>IF('Wtr-Gas'!U37&lt;0,"0",('Wtr-Gas'!U37)*0.0038)</f>
        <v>712.12</v>
      </c>
      <c r="AL35" s="231">
        <f>IF('Wtr-Gas'!X37&lt;0,"0",('Wtr-Gas'!X37)*0.0038)</f>
        <v>585.20000000000005</v>
      </c>
      <c r="AM35" s="230">
        <f>IF('Wtr-Gas'!AB37&lt;0,"0",('Wtr-Gas'!AB37)*0.0038)</f>
        <v>11932</v>
      </c>
      <c r="AN35" s="230">
        <f>IF('Wtr-Gas'!AD37&lt;0,"0",('Wtr-Gas'!AD37)*0.0038)</f>
        <v>2979.998</v>
      </c>
      <c r="AO35" s="230">
        <f>IF('Wtr-Gas'!AF37&lt;0,"0",('Wtr-Gas'!AF37)*0.0038)</f>
        <v>12.311999999999999</v>
      </c>
      <c r="AP35" s="230">
        <f>IF('Wtr-Gas'!AH37&lt;0,"0",('Wtr-Gas'!AH37)*0.0038)</f>
        <v>233.434</v>
      </c>
      <c r="AQ35" s="230">
        <f>IF('Wtr-Gas'!AJ37&lt;0,"0",('Wtr-Gas'!AJ37)*0.0038)</f>
        <v>27.394200000000001</v>
      </c>
      <c r="AR35" s="230">
        <f>IF('Wtr-Gas'!AL37&lt;0,"0",('Wtr-Gas'!AL37)*0.0038)</f>
        <v>543.4</v>
      </c>
      <c r="AS35" s="230">
        <f>IF('Wtr-Gas'!AN37&lt;0,"0",('Wtr-Gas'!AN37)*0.0038)</f>
        <v>3.04E-2</v>
      </c>
      <c r="AT35" s="230">
        <f>IF('Wtr-Gas'!AP37&lt;0,"0",('Wtr-Gas'!AP37)*0.0038)</f>
        <v>11.02</v>
      </c>
      <c r="AU35" s="251">
        <f>IF('Wtr-Gas'!AT37&lt;0,"0",('Wtr-Gas'!AT37)*0.0038)</f>
        <v>0.30020000000000002</v>
      </c>
      <c r="AV35" s="230">
        <f>IF('Wtr-Gas'!AW37&lt;0,"0",('Wtr-Gas'!AW37)*0.0038)</f>
        <v>196.41059999999999</v>
      </c>
      <c r="AW35" s="230">
        <f>IF('Wtr-Gas'!AY37&lt;0,"0",('Wtr-Gas'!AY37)*0.0038)</f>
        <v>149.131</v>
      </c>
      <c r="AX35" s="230">
        <f>IF('Wtr-Gas'!AZ37&lt;0,"0",('Wtr-Gas'!AZ37)*0.0038)</f>
        <v>47.280093999999998</v>
      </c>
      <c r="AY35" s="230">
        <f>IF('Wtr-Gas'!BB37&lt;0,"0",('Wtr-Gas'!BB37)*0.0038)</f>
        <v>9.1199999999999992</v>
      </c>
      <c r="AZ35" s="230">
        <f>IF('Wtr-Gas'!BD37&lt;0,"0",('Wtr-Gas'!BD37)*0.0038)</f>
        <v>4.5599999999999996</v>
      </c>
      <c r="BA35" s="230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8">
        <f>IF(Elect!AM38&lt;0,"0",Elect!AM38)</f>
        <v>467</v>
      </c>
      <c r="F36" s="48">
        <f>IF(Elect!I38&lt;0,"0",Elect!I38)</f>
        <v>46560</v>
      </c>
      <c r="G36" s="48">
        <f>Elect!H38</f>
        <v>2.1669999999999998</v>
      </c>
      <c r="H36" s="48">
        <f>IF(Elect!F38&lt;0,"0",Elect!F38)</f>
        <v>38880</v>
      </c>
      <c r="I36" s="48">
        <f>Elect!E38</f>
        <v>1.8759999999999999</v>
      </c>
      <c r="J36" s="48">
        <f>IF(Elect!U38&lt;0,"0",Elect!U38)</f>
        <v>82800</v>
      </c>
      <c r="K36" s="48">
        <f>Elect!T38</f>
        <v>2.7280000000000002</v>
      </c>
      <c r="L36" s="48">
        <f>IF(Elect!AJ38&lt;0,"0",Elect!AJ38)</f>
        <v>1480</v>
      </c>
      <c r="M36" s="48">
        <f>Elect!AI38</f>
        <v>0.29599999999999999</v>
      </c>
      <c r="N36" s="48">
        <f>IF(Elect!X38&lt;0,"0",Elect!X38)</f>
        <v>80400</v>
      </c>
      <c r="O36" s="48">
        <f>Elect!W38</f>
        <v>2.2000000000000002</v>
      </c>
      <c r="P36" s="48">
        <f>IF(Elect!O38&lt;0,"0",Elect!O38)</f>
        <v>10400</v>
      </c>
      <c r="Q36" s="48">
        <f>Elect!N38</f>
        <v>2.04</v>
      </c>
      <c r="R36" s="48">
        <f>IF(Elect!L38&lt;0,"0",Elect!L38)</f>
        <v>11200</v>
      </c>
      <c r="S36" s="48">
        <f>Elect!K38</f>
        <v>2.35</v>
      </c>
      <c r="T36" s="48">
        <f>IF(Elect!R38&lt;0,"0",Elect!R38)</f>
        <v>10800</v>
      </c>
      <c r="U36" s="48">
        <f>Elect!Q38</f>
        <v>2</v>
      </c>
      <c r="V36" s="48">
        <f>IF(Elect!AA38&lt;0,"0",Elect!AA38)</f>
        <v>5760</v>
      </c>
      <c r="W36" s="48">
        <f>Elect!Z38</f>
        <v>2.99</v>
      </c>
      <c r="X36" s="48">
        <f>IF(Elect!AD38&lt;0,"0",Elect!AD38)</f>
        <v>3040</v>
      </c>
      <c r="Y36" s="48">
        <f>Elect!AC38</f>
        <v>1.65</v>
      </c>
      <c r="Z36" s="48">
        <f>IF(Elect!AG38&lt;0,"0",Elect!AG38)</f>
        <v>52800</v>
      </c>
      <c r="AA36" s="48">
        <f>Elect!AF38</f>
        <v>2.097</v>
      </c>
      <c r="AB36" s="48">
        <f>IF(Elect!AX38&lt;0,"0",Elect!AX38)</f>
        <v>1800</v>
      </c>
      <c r="AC36" s="48">
        <f>IF(Elect!AV38&lt;0,"0",Elect!AV38)</f>
        <v>15200</v>
      </c>
      <c r="AD36" s="48">
        <f>IF(Elect!AZ38&lt;0,"0",Elect!AZ38)</f>
        <v>832</v>
      </c>
      <c r="AE36" s="48">
        <f>IF(Elect!BB38&lt;0,"0",Elect!BB38)</f>
        <v>960</v>
      </c>
      <c r="AF36" s="230">
        <f>IF('Wtr-Gas'!E38&lt;0,"0",('Wtr-Gas'!E38)*0.0038)</f>
        <v>4614.53</v>
      </c>
      <c r="AG36" s="230">
        <f>IF('Wtr-Gas'!H38&lt;0,"0",('Wtr-Gas'!H38)*0.0038)</f>
        <v>951.67200000000003</v>
      </c>
      <c r="AH36" s="230">
        <f>IF('Wtr-Gas'!K38&lt;0,"0",('Wtr-Gas'!K38)*0.0038)</f>
        <v>0.68400000000000005</v>
      </c>
      <c r="AI36" s="230">
        <f>IF('Wtr-Gas'!N38&lt;0,"0",('Wtr-Gas'!N38)*0.0038)</f>
        <v>4016.6</v>
      </c>
      <c r="AJ36" s="230">
        <f>IF('Wtr-Gas'!Q38&lt;0,"0",('Wtr-Gas'!Q38)*0.0038)</f>
        <v>105.26</v>
      </c>
      <c r="AK36" s="231">
        <f>IF('Wtr-Gas'!U38&lt;0,"0",('Wtr-Gas'!U38)*0.0038)</f>
        <v>724.28</v>
      </c>
      <c r="AL36" s="231">
        <f>IF('Wtr-Gas'!X38&lt;0,"0",('Wtr-Gas'!X38)*0.0038)</f>
        <v>604.20000000000005</v>
      </c>
      <c r="AM36" s="230">
        <f>IF('Wtr-Gas'!AB38&lt;0,"0",('Wtr-Gas'!AB38)*0.0038)</f>
        <v>11666</v>
      </c>
      <c r="AN36" s="230">
        <f>IF('Wtr-Gas'!AD38&lt;0,"0",('Wtr-Gas'!AD38)*0.0038)</f>
        <v>3064.2440000000001</v>
      </c>
      <c r="AO36" s="230">
        <f>IF('Wtr-Gas'!AF38&lt;0,"0",('Wtr-Gas'!AF38)*0.0038)</f>
        <v>0.91200000000000003</v>
      </c>
      <c r="AP36" s="230">
        <f>IF('Wtr-Gas'!AH38&lt;0,"0",('Wtr-Gas'!AH38)*0.0038)</f>
        <v>63.46</v>
      </c>
      <c r="AQ36" s="230">
        <f>IF('Wtr-Gas'!AJ38&lt;0,"0",('Wtr-Gas'!AJ38)*0.0038)</f>
        <v>23.2636</v>
      </c>
      <c r="AR36" s="230">
        <f>IF('Wtr-Gas'!AL38&lt;0,"0",('Wtr-Gas'!AL38)*0.0038)</f>
        <v>311.60000000000002</v>
      </c>
      <c r="AS36" s="230">
        <f>IF('Wtr-Gas'!AN38&lt;0,"0",('Wtr-Gas'!AN38)*0.0038)</f>
        <v>1.14E-2</v>
      </c>
      <c r="AT36" s="230">
        <f>IF('Wtr-Gas'!AP38&lt;0,"0",('Wtr-Gas'!AP38)*0.0038)</f>
        <v>8.36</v>
      </c>
      <c r="AU36" s="251">
        <f>IF('Wtr-Gas'!AT38&lt;0,"0",('Wtr-Gas'!AT38)*0.0038)</f>
        <v>0.27739999999999998</v>
      </c>
      <c r="AV36" s="230">
        <f>IF('Wtr-Gas'!AW38&lt;0,"0",('Wtr-Gas'!AW38)*0.0038)</f>
        <v>163.9358</v>
      </c>
      <c r="AW36" s="230">
        <f>IF('Wtr-Gas'!AY38&lt;0,"0",('Wtr-Gas'!AY38)*0.0038)</f>
        <v>129.00239999999999</v>
      </c>
      <c r="AX36" s="230">
        <f>IF('Wtr-Gas'!AZ38&lt;0,"0",('Wtr-Gas'!AZ38)*0.0038)</f>
        <v>34.933589999999995</v>
      </c>
      <c r="AY36" s="230">
        <f>IF('Wtr-Gas'!BB38&lt;0,"0",('Wtr-Gas'!BB38)*0.0038)</f>
        <v>9.5</v>
      </c>
      <c r="AZ36" s="230">
        <f>IF('Wtr-Gas'!BD38&lt;0,"0",('Wtr-Gas'!BD38)*0.0038)</f>
        <v>5.7</v>
      </c>
      <c r="BA36" s="230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8">
        <f>IF(Elect!AM39&lt;0,"0",Elect!AM39)</f>
        <v>0</v>
      </c>
      <c r="F37" s="48">
        <f>IF(Elect!I39&lt;0,"0",Elect!I39)</f>
        <v>0</v>
      </c>
      <c r="G37" s="48">
        <f>Elect!H39</f>
        <v>2.1669999999999998</v>
      </c>
      <c r="H37" s="48">
        <f>IF(Elect!F39&lt;0,"0",Elect!F39)</f>
        <v>0</v>
      </c>
      <c r="I37" s="48">
        <f>Elect!E39</f>
        <v>1.8759999999999999</v>
      </c>
      <c r="J37" s="48">
        <f>IF(Elect!U39&lt;0,"0",Elect!U39)</f>
        <v>0</v>
      </c>
      <c r="K37" s="48">
        <f>Elect!T39</f>
        <v>2.7280000000000002</v>
      </c>
      <c r="L37" s="48">
        <f>IF(Elect!AJ39&lt;0,"0",Elect!AJ39)</f>
        <v>0</v>
      </c>
      <c r="M37" s="48">
        <f>Elect!AI39</f>
        <v>0.29599999999999999</v>
      </c>
      <c r="N37" s="48">
        <f>IF(Elect!X39&lt;0,"0",Elect!X39)</f>
        <v>0</v>
      </c>
      <c r="O37" s="48">
        <f>Elect!W39</f>
        <v>2.2000000000000002</v>
      </c>
      <c r="P37" s="48">
        <f>IF(Elect!O39&lt;0,"0",Elect!O39)</f>
        <v>0</v>
      </c>
      <c r="Q37" s="48">
        <f>Elect!N39</f>
        <v>2.04</v>
      </c>
      <c r="R37" s="48">
        <f>IF(Elect!L39&lt;0,"0",Elect!L39)</f>
        <v>0</v>
      </c>
      <c r="S37" s="48">
        <f>Elect!K39</f>
        <v>2.35</v>
      </c>
      <c r="T37" s="48">
        <f>IF(Elect!R39&lt;0,"0",Elect!R39)</f>
        <v>0</v>
      </c>
      <c r="U37" s="48">
        <f>Elect!Q39</f>
        <v>2</v>
      </c>
      <c r="V37" s="48">
        <f>IF(Elect!AA39&lt;0,"0",Elect!AA39)</f>
        <v>0</v>
      </c>
      <c r="W37" s="48">
        <f>Elect!Z39</f>
        <v>2.99</v>
      </c>
      <c r="X37" s="48">
        <f>IF(Elect!AD39&lt;0,"0",Elect!AD39)</f>
        <v>0</v>
      </c>
      <c r="Y37" s="48">
        <f>Elect!AC39</f>
        <v>1.65</v>
      </c>
      <c r="Z37" s="48">
        <f>IF(Elect!AG39&lt;0,"0",Elect!AG39)</f>
        <v>0</v>
      </c>
      <c r="AA37" s="48">
        <f>Elect!AF39</f>
        <v>2.097</v>
      </c>
      <c r="AB37" s="48">
        <f>IF(Elect!AX39&lt;0,"0",Elect!AX39)</f>
        <v>0</v>
      </c>
      <c r="AC37" s="48">
        <f>IF(Elect!AV39&lt;0,"0",Elect!AV39)</f>
        <v>0</v>
      </c>
      <c r="AD37" s="48">
        <f>IF(Elect!AZ39&lt;0,"0",Elect!AZ39)</f>
        <v>0</v>
      </c>
      <c r="AE37" s="48">
        <f>IF(Elect!BB39&lt;0,"0",Elect!BB39)</f>
        <v>0</v>
      </c>
      <c r="AF37" s="230">
        <f>IF('Wtr-Gas'!E39&lt;0,"0",('Wtr-Gas'!E39)*0.0038)</f>
        <v>0</v>
      </c>
      <c r="AG37" s="230">
        <f>IF('Wtr-Gas'!H39&lt;0,"0",('Wtr-Gas'!H39)*0.0038)</f>
        <v>0</v>
      </c>
      <c r="AH37" s="230">
        <f>IF('Wtr-Gas'!K39&lt;0,"0",('Wtr-Gas'!K39)*0.0038)</f>
        <v>0</v>
      </c>
      <c r="AI37" s="230">
        <f>IF('Wtr-Gas'!N39&lt;0,"0",('Wtr-Gas'!N39)*0.0038)</f>
        <v>0</v>
      </c>
      <c r="AJ37" s="230">
        <f>IF('Wtr-Gas'!Q39&lt;0,"0",('Wtr-Gas'!Q39)*0.0038)</f>
        <v>0</v>
      </c>
      <c r="AK37" s="231">
        <f>IF('Wtr-Gas'!U39&lt;0,"0",('Wtr-Gas'!U39)*0.0038)</f>
        <v>0</v>
      </c>
      <c r="AL37" s="231">
        <f>IF('Wtr-Gas'!X39&lt;0,"0",('Wtr-Gas'!X39)*0.0038)</f>
        <v>0</v>
      </c>
      <c r="AM37" s="230">
        <f>IF('Wtr-Gas'!AB39&lt;0,"0",('Wtr-Gas'!AB39)*0.0038)</f>
        <v>0</v>
      </c>
      <c r="AN37" s="230">
        <f>IF('Wtr-Gas'!AD39&lt;0,"0",('Wtr-Gas'!AD39)*0.0038)</f>
        <v>0</v>
      </c>
      <c r="AO37" s="230">
        <f>IF('Wtr-Gas'!AF39&lt;0,"0",('Wtr-Gas'!AF39)*0.0038)</f>
        <v>0</v>
      </c>
      <c r="AP37" s="230">
        <f>IF('Wtr-Gas'!AH39&lt;0,"0",('Wtr-Gas'!AH39)*0.0038)</f>
        <v>0</v>
      </c>
      <c r="AQ37" s="230">
        <f>IF('Wtr-Gas'!AJ39&lt;0,"0",('Wtr-Gas'!AJ39)*0.0038)</f>
        <v>0</v>
      </c>
      <c r="AR37" s="230">
        <f>IF('Wtr-Gas'!AL39&lt;0,"0",('Wtr-Gas'!AL39)*0.0038)</f>
        <v>0</v>
      </c>
      <c r="AS37" s="230">
        <f>IF('Wtr-Gas'!AN39&lt;0,"0",('Wtr-Gas'!AN39)*0.0038)</f>
        <v>0</v>
      </c>
      <c r="AT37" s="230">
        <f>IF('Wtr-Gas'!AP39&lt;0,"0",('Wtr-Gas'!AP39)*0.0038)</f>
        <v>0</v>
      </c>
      <c r="AU37" s="251">
        <f>IF('Wtr-Gas'!AT39&lt;0,"0",('Wtr-Gas'!AT39)*0.0038)</f>
        <v>0</v>
      </c>
      <c r="AV37" s="230">
        <f>IF('Wtr-Gas'!AW39&lt;0,"0",('Wtr-Gas'!AW39)*0.0038)</f>
        <v>0</v>
      </c>
      <c r="AW37" s="230">
        <f>IF('Wtr-Gas'!AY39&lt;0,"0",('Wtr-Gas'!AY39)*0.0038)</f>
        <v>0</v>
      </c>
      <c r="AX37" s="230">
        <f>IF('Wtr-Gas'!AZ39&lt;0,"0",('Wtr-Gas'!AZ39)*0.0038)</f>
        <v>0</v>
      </c>
      <c r="AY37" s="230">
        <f>IF('Wtr-Gas'!BB39&lt;0,"0",('Wtr-Gas'!BB39)*0.0038)</f>
        <v>0</v>
      </c>
      <c r="AZ37" s="230">
        <f>IF('Wtr-Gas'!BD39&lt;0,"0",('Wtr-Gas'!BD39)*0.0038)</f>
        <v>0</v>
      </c>
      <c r="BA37" s="230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8">
        <f>IF(Elect!AM40&lt;0,"0",Elect!AM40)</f>
        <v>480</v>
      </c>
      <c r="F38" s="48">
        <f>IF(Elect!I40&lt;0,"0",Elect!I40)</f>
        <v>47520</v>
      </c>
      <c r="G38" s="48">
        <f>Elect!H40</f>
        <v>2.1669999999999998</v>
      </c>
      <c r="H38" s="48">
        <f>IF(Elect!F40&lt;0,"0",Elect!F40)</f>
        <v>39040</v>
      </c>
      <c r="I38" s="48">
        <f>Elect!E40</f>
        <v>1.8759999999999999</v>
      </c>
      <c r="J38" s="48">
        <f>IF(Elect!U40&lt;0,"0",Elect!U40)</f>
        <v>78000</v>
      </c>
      <c r="K38" s="48">
        <f>Elect!T40</f>
        <v>2.7879999999999998</v>
      </c>
      <c r="L38" s="48">
        <f>IF(Elect!AJ40&lt;0,"0",Elect!AJ40)</f>
        <v>1360</v>
      </c>
      <c r="M38" s="48">
        <f>Elect!AI40</f>
        <v>0.29599999999999999</v>
      </c>
      <c r="N38" s="48">
        <f>IF(Elect!X40&lt;0,"0",Elect!X40)</f>
        <v>80700</v>
      </c>
      <c r="O38" s="48">
        <f>Elect!W40</f>
        <v>2.34</v>
      </c>
      <c r="P38" s="48">
        <f>IF(Elect!O40&lt;0,"0",Elect!O40)</f>
        <v>10800</v>
      </c>
      <c r="Q38" s="48">
        <f>Elect!N40</f>
        <v>2.04</v>
      </c>
      <c r="R38" s="48">
        <f>IF(Elect!L40&lt;0,"0",Elect!L40)</f>
        <v>12000</v>
      </c>
      <c r="S38" s="48">
        <f>Elect!K40</f>
        <v>2.35</v>
      </c>
      <c r="T38" s="48">
        <f>IF(Elect!R40&lt;0,"0",Elect!R40)</f>
        <v>11200</v>
      </c>
      <c r="U38" s="48">
        <f>Elect!Q40</f>
        <v>2.15</v>
      </c>
      <c r="V38" s="48">
        <f>IF(Elect!AA40&lt;0,"0",Elect!AA40)</f>
        <v>5280</v>
      </c>
      <c r="W38" s="48">
        <f>Elect!Z40</f>
        <v>2.99</v>
      </c>
      <c r="X38" s="48">
        <f>IF(Elect!AD40&lt;0,"0",Elect!AD40)</f>
        <v>3040</v>
      </c>
      <c r="Y38" s="48">
        <f>Elect!AC40</f>
        <v>2.17</v>
      </c>
      <c r="Z38" s="48">
        <f>IF(Elect!AG40&lt;0,"0",Elect!AG40)</f>
        <v>54000</v>
      </c>
      <c r="AA38" s="48">
        <f>Elect!AF40</f>
        <v>2.097</v>
      </c>
      <c r="AB38" s="48">
        <f>IF(Elect!AX40&lt;0,"0",Elect!AX40)</f>
        <v>1900</v>
      </c>
      <c r="AC38" s="48">
        <f>IF(Elect!AV40&lt;0,"0",Elect!AV40)</f>
        <v>15900</v>
      </c>
      <c r="AD38" s="48">
        <f>IF(Elect!AZ40&lt;0,"0",Elect!AZ40)</f>
        <v>876</v>
      </c>
      <c r="AE38" s="48">
        <f>IF(Elect!BB40&lt;0,"0",Elect!BB40)</f>
        <v>1560</v>
      </c>
      <c r="AF38" s="230">
        <f>IF('Wtr-Gas'!E40&lt;0,"0",('Wtr-Gas'!E40)*0.0038)</f>
        <v>5059.0540000000001</v>
      </c>
      <c r="AG38" s="230">
        <f>IF('Wtr-Gas'!H40&lt;0,"0",('Wtr-Gas'!H40)*0.0038)</f>
        <v>973.94</v>
      </c>
      <c r="AH38" s="230">
        <f>IF('Wtr-Gas'!K40&lt;0,"0",('Wtr-Gas'!K40)*0.0038)</f>
        <v>1.52</v>
      </c>
      <c r="AI38" s="230">
        <f>IF('Wtr-Gas'!N40&lt;0,"0",('Wtr-Gas'!N40)*0.0038)</f>
        <v>4035.6</v>
      </c>
      <c r="AJ38" s="230">
        <f>IF('Wtr-Gas'!Q40&lt;0,"0",('Wtr-Gas'!Q40)*0.0038)</f>
        <v>115.52</v>
      </c>
      <c r="AK38" s="231">
        <f>IF('Wtr-Gas'!U40&lt;0,"0",('Wtr-Gas'!U40)*0.0038)</f>
        <v>761.9</v>
      </c>
      <c r="AL38" s="231">
        <f>IF('Wtr-Gas'!X40&lt;0,"0",('Wtr-Gas'!X40)*0.0038)</f>
        <v>532</v>
      </c>
      <c r="AM38" s="230">
        <f>IF('Wtr-Gas'!AB40&lt;0,"0",('Wtr-Gas'!AB40)*0.0038)</f>
        <v>11400</v>
      </c>
      <c r="AN38" s="230">
        <f>IF('Wtr-Gas'!AD40&lt;0,"0",('Wtr-Gas'!AD40)*0.0038)</f>
        <v>3031.1840000000002</v>
      </c>
      <c r="AO38" s="230">
        <f>IF('Wtr-Gas'!AF40&lt;0,"0",('Wtr-Gas'!AF40)*0.0038)</f>
        <v>6.3079999999999998</v>
      </c>
      <c r="AP38" s="230">
        <f>IF('Wtr-Gas'!AH40&lt;0,"0",('Wtr-Gas'!AH40)*0.0038)</f>
        <v>228.64599999999999</v>
      </c>
      <c r="AQ38" s="230">
        <f>IF('Wtr-Gas'!AJ40&lt;0,"0",('Wtr-Gas'!AJ40)*0.0038)</f>
        <v>25.2624</v>
      </c>
      <c r="AR38" s="230">
        <f>IF('Wtr-Gas'!AL40&lt;0,"0",('Wtr-Gas'!AL40)*0.0038)</f>
        <v>501.6</v>
      </c>
      <c r="AS38" s="230">
        <f>IF('Wtr-Gas'!AN40&lt;0,"0",('Wtr-Gas'!AN40)*0.0038)</f>
        <v>5.3199999999999997E-2</v>
      </c>
      <c r="AT38" s="230">
        <f>IF('Wtr-Gas'!AP40&lt;0,"0",('Wtr-Gas'!AP40)*0.0038)</f>
        <v>6.84</v>
      </c>
      <c r="AU38" s="251">
        <f>IF('Wtr-Gas'!AT40&lt;0,"0",('Wtr-Gas'!AT40)*0.0038)</f>
        <v>0</v>
      </c>
      <c r="AV38" s="230">
        <f>IF('Wtr-Gas'!AW40&lt;0,"0",('Wtr-Gas'!AW40)*0.0038)</f>
        <v>187.0018</v>
      </c>
      <c r="AW38" s="230">
        <f>IF('Wtr-Gas'!AY40&lt;0,"0",('Wtr-Gas'!AY40)*0.0038)</f>
        <v>150.05439999999999</v>
      </c>
      <c r="AX38" s="230">
        <f>IF('Wtr-Gas'!AZ40&lt;0,"0",('Wtr-Gas'!AZ40)*0.0038)</f>
        <v>36.947020000000002</v>
      </c>
      <c r="AY38" s="230">
        <f>IF('Wtr-Gas'!BB40&lt;0,"0",('Wtr-Gas'!BB40)*0.0038)</f>
        <v>5.7</v>
      </c>
      <c r="AZ38" s="230">
        <f>IF('Wtr-Gas'!BD40&lt;0,"0",('Wtr-Gas'!BD40)*0.0038)</f>
        <v>4.5599999999999996</v>
      </c>
      <c r="BA38" s="230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8">
        <f>IF(Elect!AM41&lt;0,"0",Elect!AM41)</f>
        <v>472</v>
      </c>
      <c r="F39" s="48">
        <f>IF(Elect!I41&lt;0,"0",Elect!I41)</f>
        <v>46560</v>
      </c>
      <c r="G39" s="48">
        <f>Elect!H41</f>
        <v>2.1669999999999998</v>
      </c>
      <c r="H39" s="48">
        <f>IF(Elect!F41&lt;0,"0",Elect!F41)</f>
        <v>39520</v>
      </c>
      <c r="I39" s="48">
        <f>Elect!E41</f>
        <v>1.8759999999999999</v>
      </c>
      <c r="J39" s="48">
        <f>IF(Elect!U41&lt;0,"0",Elect!U41)</f>
        <v>80400</v>
      </c>
      <c r="K39" s="48">
        <f>Elect!T41</f>
        <v>2.7879999999999998</v>
      </c>
      <c r="L39" s="48">
        <f>IF(Elect!AJ41&lt;0,"0",Elect!AJ41)</f>
        <v>1480</v>
      </c>
      <c r="M39" s="48">
        <f>Elect!AI41</f>
        <v>0.30299999999999999</v>
      </c>
      <c r="N39" s="48">
        <f>IF(Elect!X41&lt;0,"0",Elect!X41)</f>
        <v>83400</v>
      </c>
      <c r="O39" s="48">
        <f>Elect!W41</f>
        <v>2.34</v>
      </c>
      <c r="P39" s="48">
        <f>IF(Elect!O41&lt;0,"0",Elect!O41)</f>
        <v>10400</v>
      </c>
      <c r="Q39" s="48">
        <f>Elect!N41</f>
        <v>2.04</v>
      </c>
      <c r="R39" s="48">
        <f>IF(Elect!L41&lt;0,"0",Elect!L41)</f>
        <v>10800</v>
      </c>
      <c r="S39" s="48">
        <f>Elect!K41</f>
        <v>2.35</v>
      </c>
      <c r="T39" s="48">
        <f>IF(Elect!R41&lt;0,"0",Elect!R41)</f>
        <v>10400</v>
      </c>
      <c r="U39" s="48">
        <f>Elect!Q41</f>
        <v>2.15</v>
      </c>
      <c r="V39" s="48">
        <f>IF(Elect!AA41&lt;0,"0",Elect!AA41)</f>
        <v>5600</v>
      </c>
      <c r="W39" s="48">
        <f>Elect!Z41</f>
        <v>2.99</v>
      </c>
      <c r="X39" s="48">
        <f>IF(Elect!AD41&lt;0,"0",Elect!AD41)</f>
        <v>3040</v>
      </c>
      <c r="Y39" s="48">
        <f>Elect!AC41</f>
        <v>2.17</v>
      </c>
      <c r="Z39" s="48">
        <f>IF(Elect!AG41&lt;0,"0",Elect!AG41)</f>
        <v>54000</v>
      </c>
      <c r="AA39" s="48">
        <f>Elect!AF41</f>
        <v>2.097</v>
      </c>
      <c r="AB39" s="48">
        <f>IF(Elect!AX41&lt;0,"0",Elect!AX41)</f>
        <v>2000</v>
      </c>
      <c r="AC39" s="48">
        <f>IF(Elect!AV41&lt;0,"0",Elect!AV41)</f>
        <v>16400</v>
      </c>
      <c r="AD39" s="48">
        <f>IF(Elect!AZ41&lt;0,"0",Elect!AZ41)</f>
        <v>904</v>
      </c>
      <c r="AE39" s="48">
        <f>IF(Elect!BB41&lt;0,"0",Elect!BB41)</f>
        <v>2360</v>
      </c>
      <c r="AF39" s="230">
        <f>IF('Wtr-Gas'!E41&lt;0,"0",('Wtr-Gas'!E41)*0.0038)</f>
        <v>5043.3980000000001</v>
      </c>
      <c r="AG39" s="230">
        <f>IF('Wtr-Gas'!H41&lt;0,"0",('Wtr-Gas'!H41)*0.0038)</f>
        <v>926.21199999999999</v>
      </c>
      <c r="AH39" s="230">
        <f>IF('Wtr-Gas'!K41&lt;0,"0",('Wtr-Gas'!K41)*0.0038)</f>
        <v>0.64600000000000002</v>
      </c>
      <c r="AI39" s="230">
        <f>IF('Wtr-Gas'!N41&lt;0,"0",('Wtr-Gas'!N41)*0.0038)</f>
        <v>3887.4</v>
      </c>
      <c r="AJ39" s="230">
        <f>IF('Wtr-Gas'!Q41&lt;0,"0",('Wtr-Gas'!Q41)*0.0038)</f>
        <v>120.84</v>
      </c>
      <c r="AK39" s="231">
        <f>IF('Wtr-Gas'!U41&lt;0,"0",('Wtr-Gas'!U41)*0.0038)</f>
        <v>771.4</v>
      </c>
      <c r="AL39" s="231">
        <f>IF('Wtr-Gas'!X41&lt;0,"0",('Wtr-Gas'!X41)*0.0038)</f>
        <v>908.2</v>
      </c>
      <c r="AM39" s="230">
        <f>IF('Wtr-Gas'!AB41&lt;0,"0",('Wtr-Gas'!AB41)*0.0038)</f>
        <v>12008</v>
      </c>
      <c r="AN39" s="230">
        <f>IF('Wtr-Gas'!AD41&lt;0,"0",('Wtr-Gas'!AD41)*0.0038)</f>
        <v>3261.16</v>
      </c>
      <c r="AO39" s="230">
        <f>IF('Wtr-Gas'!AF41&lt;0,"0",('Wtr-Gas'!AF41)*0.0038)</f>
        <v>10.602</v>
      </c>
      <c r="AP39" s="230">
        <f>IF('Wtr-Gas'!AH41&lt;0,"0",('Wtr-Gas'!AH41)*0.0038)</f>
        <v>422.82600000000002</v>
      </c>
      <c r="AQ39" s="230">
        <f>IF('Wtr-Gas'!AJ41&lt;0,"0",('Wtr-Gas'!AJ41)*0.0038)</f>
        <v>19.737200000000001</v>
      </c>
      <c r="AR39" s="230">
        <f>IF('Wtr-Gas'!AL41&lt;0,"0",('Wtr-Gas'!AL41)*0.0038)</f>
        <v>486.4</v>
      </c>
      <c r="AS39" s="230">
        <f>IF('Wtr-Gas'!AN41&lt;0,"0",('Wtr-Gas'!AN41)*0.0038)</f>
        <v>2.2800000000000001E-2</v>
      </c>
      <c r="AT39" s="230">
        <f>IF('Wtr-Gas'!AP41&lt;0,"0",('Wtr-Gas'!AP41)*0.0038)</f>
        <v>15.58</v>
      </c>
      <c r="AU39" s="251">
        <f>IF('Wtr-Gas'!AT41&lt;0,"0",('Wtr-Gas'!AT41)*0.0038)</f>
        <v>0.35339999999999999</v>
      </c>
      <c r="AV39" s="230">
        <f>IF('Wtr-Gas'!AW41&lt;0,"0",('Wtr-Gas'!AW41)*0.0038)</f>
        <v>191.7518</v>
      </c>
      <c r="AW39" s="230">
        <f>IF('Wtr-Gas'!AY41&lt;0,"0",('Wtr-Gas'!AY41)*0.0038)</f>
        <v>150.21780000000001</v>
      </c>
      <c r="AX39" s="230">
        <f>IF('Wtr-Gas'!AZ41&lt;0,"0",('Wtr-Gas'!AZ41)*0.0038)</f>
        <v>41.532556</v>
      </c>
      <c r="AY39" s="230">
        <f>IF('Wtr-Gas'!BB41&lt;0,"0",('Wtr-Gas'!BB41)*0.0038)</f>
        <v>22.8</v>
      </c>
      <c r="AZ39" s="230">
        <f>IF('Wtr-Gas'!BD41&lt;0,"0",('Wtr-Gas'!BD41)*0.0038)</f>
        <v>4.9400000000000004</v>
      </c>
      <c r="BA39" s="230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8">
        <f>IF(Elect!AM42&lt;0,"0",Elect!AM42)</f>
        <v>500</v>
      </c>
      <c r="F40" s="48">
        <f>IF(Elect!I42&lt;0,"0",Elect!I42)</f>
        <v>46240</v>
      </c>
      <c r="G40" s="48">
        <f>Elect!H42</f>
        <v>1.9930000000000001</v>
      </c>
      <c r="H40" s="48">
        <f>IF(Elect!F42&lt;0,"0",Elect!F42)</f>
        <v>40000</v>
      </c>
      <c r="I40" s="48">
        <f>Elect!E42</f>
        <v>1.75</v>
      </c>
      <c r="J40" s="48">
        <f>IF(Elect!U42&lt;0,"0",Elect!U42)</f>
        <v>81900</v>
      </c>
      <c r="K40" s="48">
        <f>Elect!T42</f>
        <v>2.09</v>
      </c>
      <c r="L40" s="48">
        <f>IF(Elect!AJ42&lt;0,"0",Elect!AJ42)</f>
        <v>1520</v>
      </c>
      <c r="M40" s="48">
        <f>Elect!AI42</f>
        <v>0.28599999999999998</v>
      </c>
      <c r="N40" s="48">
        <f>IF(Elect!X42&lt;0,"0",Elect!X42)</f>
        <v>82200</v>
      </c>
      <c r="O40" s="48">
        <f>Elect!W42</f>
        <v>1.903</v>
      </c>
      <c r="P40" s="48">
        <f>IF(Elect!O42&lt;0,"0",Elect!O42)</f>
        <v>9600</v>
      </c>
      <c r="Q40" s="48">
        <f>Elect!N42</f>
        <v>1.69</v>
      </c>
      <c r="R40" s="48">
        <f>IF(Elect!L42&lt;0,"0",Elect!L42)</f>
        <v>9600</v>
      </c>
      <c r="S40" s="48">
        <f>Elect!K42</f>
        <v>1.8</v>
      </c>
      <c r="T40" s="48">
        <f>IF(Elect!R42&lt;0,"0",Elect!R42)</f>
        <v>9200</v>
      </c>
      <c r="U40" s="48">
        <f>Elect!Q42</f>
        <v>1.77</v>
      </c>
      <c r="V40" s="48">
        <f>IF(Elect!AA42&lt;0,"0",Elect!AA42)</f>
        <v>5440</v>
      </c>
      <c r="W40" s="48">
        <f>Elect!Z42</f>
        <v>2.11</v>
      </c>
      <c r="X40" s="48">
        <f>IF(Elect!AD42&lt;0,"0",Elect!AD42)</f>
        <v>2720</v>
      </c>
      <c r="Y40" s="48">
        <f>Elect!AC42</f>
        <v>1.24</v>
      </c>
      <c r="Z40" s="48">
        <f>IF(Elect!AG42&lt;0,"0",Elect!AG42)</f>
        <v>54600</v>
      </c>
      <c r="AA40" s="48">
        <f>Elect!AF42</f>
        <v>1.98</v>
      </c>
      <c r="AB40" s="48">
        <f>IF(Elect!AX42&lt;0,"0",Elect!AX42)</f>
        <v>2500</v>
      </c>
      <c r="AC40" s="48">
        <f>IF(Elect!AV42&lt;0,"0",Elect!AV42)</f>
        <v>21000</v>
      </c>
      <c r="AD40" s="48">
        <f>IF(Elect!AZ42&lt;0,"0",Elect!AZ42)</f>
        <v>1039</v>
      </c>
      <c r="AE40" s="48">
        <f>IF(Elect!BB42&lt;0,"0",Elect!BB42)</f>
        <v>3360</v>
      </c>
      <c r="AF40" s="230">
        <f>IF('Wtr-Gas'!E42&lt;0,"0",('Wtr-Gas'!E42)*0.0038)</f>
        <v>4643.2579999999998</v>
      </c>
      <c r="AG40" s="230">
        <f>IF('Wtr-Gas'!H42&lt;0,"0",('Wtr-Gas'!H42)*0.0038)</f>
        <v>531.92399999999998</v>
      </c>
      <c r="AH40" s="230">
        <f>IF('Wtr-Gas'!K42&lt;0,"0",('Wtr-Gas'!K42)*0.0038)</f>
        <v>0.76</v>
      </c>
      <c r="AI40" s="230">
        <f>IF('Wtr-Gas'!N42&lt;0,"0",('Wtr-Gas'!N42)*0.0038)</f>
        <v>3564.4</v>
      </c>
      <c r="AJ40" s="230">
        <f>IF('Wtr-Gas'!Q42&lt;0,"0",('Wtr-Gas'!Q42)*0.0038)</f>
        <v>109.82</v>
      </c>
      <c r="AK40" s="231">
        <f>IF('Wtr-Gas'!U42&lt;0,"0",('Wtr-Gas'!U42)*0.0038)</f>
        <v>671.08</v>
      </c>
      <c r="AL40" s="231">
        <f>IF('Wtr-Gas'!X42&lt;0,"0",('Wtr-Gas'!X42)*0.0038)</f>
        <v>425.6</v>
      </c>
      <c r="AM40" s="230">
        <f>IF('Wtr-Gas'!AB42&lt;0,"0",('Wtr-Gas'!AB42)*0.0038)</f>
        <v>12502</v>
      </c>
      <c r="AN40" s="230">
        <f>IF('Wtr-Gas'!AD42&lt;0,"0",('Wtr-Gas'!AD42)*0.0038)</f>
        <v>3361.67</v>
      </c>
      <c r="AO40" s="230">
        <f>IF('Wtr-Gas'!AF42&lt;0,"0",('Wtr-Gas'!AF42)*0.0038)</f>
        <v>10.07</v>
      </c>
      <c r="AP40" s="230">
        <f>IF('Wtr-Gas'!AH42&lt;0,"0",('Wtr-Gas'!AH42)*0.0038)</f>
        <v>416.404</v>
      </c>
      <c r="AQ40" s="230">
        <f>IF('Wtr-Gas'!AJ42&lt;0,"0",('Wtr-Gas'!AJ42)*0.0038)</f>
        <v>24.996400000000001</v>
      </c>
      <c r="AR40" s="230">
        <f>IF('Wtr-Gas'!AL42&lt;0,"0",('Wtr-Gas'!AL42)*0.0038)</f>
        <v>380</v>
      </c>
      <c r="AS40" s="230">
        <f>IF('Wtr-Gas'!AN42&lt;0,"0",('Wtr-Gas'!AN42)*0.0038)</f>
        <v>1.9E-2</v>
      </c>
      <c r="AT40" s="230">
        <f>IF('Wtr-Gas'!AP42&lt;0,"0",('Wtr-Gas'!AP42)*0.0038)</f>
        <v>11.02</v>
      </c>
      <c r="AU40" s="251">
        <f>IF('Wtr-Gas'!AT42&lt;0,"0",('Wtr-Gas'!AT42)*0.0038)</f>
        <v>0.35720000000000002</v>
      </c>
      <c r="AV40" s="230">
        <f>IF('Wtr-Gas'!AW42&lt;0,"0",('Wtr-Gas'!AW42)*0.0038)</f>
        <v>212.02860000000001</v>
      </c>
      <c r="AW40" s="230">
        <f>IF('Wtr-Gas'!AY42&lt;0,"0",('Wtr-Gas'!AY42)*0.0038)</f>
        <v>171.13679999999999</v>
      </c>
      <c r="AX40" s="230">
        <f>IF('Wtr-Gas'!AZ42&lt;0,"0",('Wtr-Gas'!AZ42)*0.0038)</f>
        <v>40.893015999999996</v>
      </c>
      <c r="AY40" s="230">
        <f>IF('Wtr-Gas'!BB42&lt;0,"0",('Wtr-Gas'!BB42)*0.0038)</f>
        <v>17.86</v>
      </c>
      <c r="AZ40" s="230">
        <f>IF('Wtr-Gas'!BD42&lt;0,"0",('Wtr-Gas'!BD42)*0.0038)</f>
        <v>5.7</v>
      </c>
      <c r="BA40" s="230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8">
        <f>IF(Elect!AM43&lt;0,"0",Elect!AM43)</f>
        <v>470</v>
      </c>
      <c r="F41" s="48">
        <f>IF(Elect!I43&lt;0,"0",Elect!I43)</f>
        <v>43040</v>
      </c>
      <c r="G41" s="48">
        <f>Elect!H43</f>
        <v>2.004</v>
      </c>
      <c r="H41" s="48">
        <f>IF(Elect!F43&lt;0,"0",Elect!F43)</f>
        <v>38400</v>
      </c>
      <c r="I41" s="48">
        <f>Elect!E43</f>
        <v>1.8180000000000001</v>
      </c>
      <c r="J41" s="48">
        <f>IF(Elect!U43&lt;0,"0",Elect!U43)</f>
        <v>74100</v>
      </c>
      <c r="K41" s="48">
        <f>Elect!T43</f>
        <v>2.2909999999999999</v>
      </c>
      <c r="L41" s="48">
        <f>IF(Elect!AJ43&lt;0,"0",Elect!AJ43)</f>
        <v>1560</v>
      </c>
      <c r="M41" s="48">
        <f>Elect!AI43</f>
        <v>0.308</v>
      </c>
      <c r="N41" s="48">
        <f>IF(Elect!X43&lt;0,"0",Elect!X43)</f>
        <v>77400</v>
      </c>
      <c r="O41" s="48">
        <f>Elect!W43</f>
        <v>2.0830000000000002</v>
      </c>
      <c r="P41" s="48">
        <f>IF(Elect!O43&lt;0,"0",Elect!O43)</f>
        <v>9600</v>
      </c>
      <c r="Q41" s="48">
        <f>Elect!N43</f>
        <v>2.0499999999999998</v>
      </c>
      <c r="R41" s="48">
        <f>IF(Elect!L43&lt;0,"0",Elect!L43)</f>
        <v>9200</v>
      </c>
      <c r="S41" s="48">
        <f>Elect!K43</f>
        <v>1.9</v>
      </c>
      <c r="T41" s="48">
        <f>IF(Elect!R43&lt;0,"0",Elect!R43)</f>
        <v>8800</v>
      </c>
      <c r="U41" s="48">
        <f>Elect!Q43</f>
        <v>1.77</v>
      </c>
      <c r="V41" s="48">
        <f>IF(Elect!AA43&lt;0,"0",Elect!AA43)</f>
        <v>5280</v>
      </c>
      <c r="W41" s="48">
        <f>Elect!Z43</f>
        <v>2.86</v>
      </c>
      <c r="X41" s="48">
        <f>IF(Elect!AD43&lt;0,"0",Elect!AD43)</f>
        <v>2880</v>
      </c>
      <c r="Y41" s="48">
        <f>Elect!AC43</f>
        <v>1.84</v>
      </c>
      <c r="Z41" s="48">
        <f>IF(Elect!AG43&lt;0,"0",Elect!AG43)</f>
        <v>53000</v>
      </c>
      <c r="AA41" s="48">
        <f>Elect!AF43</f>
        <v>2.0859999999999999</v>
      </c>
      <c r="AB41" s="48">
        <f>IF(Elect!AX43&lt;0,"0",Elect!AX43)</f>
        <v>1800</v>
      </c>
      <c r="AC41" s="48">
        <f>IF(Elect!AV43&lt;0,"0",Elect!AV43)</f>
        <v>15500</v>
      </c>
      <c r="AD41" s="48">
        <f>IF(Elect!AZ43&lt;0,"0",Elect!AZ43)</f>
        <v>784</v>
      </c>
      <c r="AE41" s="48">
        <f>IF(Elect!BB43&lt;0,"0",Elect!BB43)</f>
        <v>1080</v>
      </c>
      <c r="AF41" s="230">
        <f>IF('Wtr-Gas'!E43&lt;0,"0",('Wtr-Gas'!E43)*0.0038)</f>
        <v>3872.2759999999998</v>
      </c>
      <c r="AG41" s="230">
        <f>IF('Wtr-Gas'!H43&lt;0,"0",('Wtr-Gas'!H43)*0.0038)</f>
        <v>1.0640000000000001</v>
      </c>
      <c r="AH41" s="230">
        <f>IF('Wtr-Gas'!K43&lt;0,"0",('Wtr-Gas'!K43)*0.0038)</f>
        <v>0.91200000000000003</v>
      </c>
      <c r="AI41" s="230">
        <f>IF('Wtr-Gas'!N43&lt;0,"0",('Wtr-Gas'!N43)*0.0038)</f>
        <v>2937.4</v>
      </c>
      <c r="AJ41" s="230">
        <f>IF('Wtr-Gas'!Q43&lt;0,"0",('Wtr-Gas'!Q43)*0.0038)</f>
        <v>119.7</v>
      </c>
      <c r="AK41" s="231">
        <f>IF('Wtr-Gas'!U43&lt;0,"0",('Wtr-Gas'!U43)*0.0038)</f>
        <v>639.16</v>
      </c>
      <c r="AL41" s="231">
        <f>IF('Wtr-Gas'!X43&lt;0,"0",('Wtr-Gas'!X43)*0.0038)</f>
        <v>676.4</v>
      </c>
      <c r="AM41" s="230">
        <f>IF('Wtr-Gas'!AB43&lt;0,"0",('Wtr-Gas'!AB43)*0.0038)</f>
        <v>11096</v>
      </c>
      <c r="AN41" s="230">
        <f>IF('Wtr-Gas'!AD43&lt;0,"0",('Wtr-Gas'!AD43)*0.0038)</f>
        <v>2656.6559999999999</v>
      </c>
      <c r="AO41" s="230">
        <f>IF('Wtr-Gas'!AF43&lt;0,"0",('Wtr-Gas'!AF43)*0.0038)</f>
        <v>2.6219999999999999</v>
      </c>
      <c r="AP41" s="230">
        <f>IF('Wtr-Gas'!AH43&lt;0,"0",('Wtr-Gas'!AH43)*0.0038)</f>
        <v>323.798</v>
      </c>
      <c r="AQ41" s="230">
        <f>IF('Wtr-Gas'!AJ43&lt;0,"0",('Wtr-Gas'!AJ43)*0.0038)</f>
        <v>30.130199999999999</v>
      </c>
      <c r="AR41" s="230">
        <f>IF('Wtr-Gas'!AL43&lt;0,"0",('Wtr-Gas'!AL43)*0.0038)</f>
        <v>380</v>
      </c>
      <c r="AS41" s="230">
        <f>IF('Wtr-Gas'!AN43&lt;0,"0",('Wtr-Gas'!AN43)*0.0038)</f>
        <v>0</v>
      </c>
      <c r="AT41" s="230">
        <f>IF('Wtr-Gas'!AP43&lt;0,"0",('Wtr-Gas'!AP43)*0.0038)</f>
        <v>14.44</v>
      </c>
      <c r="AU41" s="251">
        <f>IF('Wtr-Gas'!AT43&lt;0,"0",('Wtr-Gas'!AT43)*0.0038)</f>
        <v>0.27360000000000001</v>
      </c>
      <c r="AV41" s="230">
        <f>IF('Wtr-Gas'!AW43&lt;0,"0",('Wtr-Gas'!AW43)*0.0038)</f>
        <v>159.9648</v>
      </c>
      <c r="AW41" s="230">
        <f>IF('Wtr-Gas'!AY43&lt;0,"0",('Wtr-Gas'!AY43)*0.0038)</f>
        <v>130.30720600000001</v>
      </c>
      <c r="AX41" s="230">
        <f>IF('Wtr-Gas'!AZ43&lt;0,"0",('Wtr-Gas'!AZ43)*0.0038)</f>
        <v>29.657593999999989</v>
      </c>
      <c r="AY41" s="230">
        <f>IF('Wtr-Gas'!BB43&lt;0,"0",('Wtr-Gas'!BB43)*0.0038)</f>
        <v>9.8800000000000008</v>
      </c>
      <c r="AZ41" s="230">
        <f>IF('Wtr-Gas'!BD43&lt;0,"0",('Wtr-Gas'!BD43)*0.0038)</f>
        <v>4.9400000000000004</v>
      </c>
      <c r="BA41" s="230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8">
        <f>IF(Elect!AM44&lt;0,"0",Elect!AM44)</f>
        <v>500</v>
      </c>
      <c r="F42" s="48">
        <f>IF(Elect!I44&lt;0,"0",Elect!I44)</f>
        <v>87040</v>
      </c>
      <c r="G42" s="48">
        <f>Elect!H44</f>
        <v>2.0680000000000001</v>
      </c>
      <c r="H42" s="48">
        <f>IF(Elect!F44&lt;0,"0",Elect!F44)</f>
        <v>52320</v>
      </c>
      <c r="I42" s="48">
        <f>Elect!E44</f>
        <v>1.9139999999999999</v>
      </c>
      <c r="J42" s="48">
        <f>IF(Elect!U44&lt;0,"0",Elect!U44)</f>
        <v>147900</v>
      </c>
      <c r="K42" s="48">
        <f>Elect!T44</f>
        <v>2.3580000000000001</v>
      </c>
      <c r="L42" s="48">
        <f>IF(Elect!AJ44&lt;0,"0",Elect!AJ44)</f>
        <v>3080</v>
      </c>
      <c r="M42" s="48">
        <f>Elect!AI44</f>
        <v>0.308</v>
      </c>
      <c r="N42" s="48">
        <f>IF(Elect!X44&lt;0,"0",Elect!X44)</f>
        <v>154500</v>
      </c>
      <c r="O42" s="48">
        <f>Elect!W44</f>
        <v>2.0830000000000002</v>
      </c>
      <c r="P42" s="48">
        <f>IF(Elect!O44&lt;0,"0",Elect!O44)</f>
        <v>19200</v>
      </c>
      <c r="Q42" s="48">
        <f>Elect!N44</f>
        <v>2.0499999999999998</v>
      </c>
      <c r="R42" s="48">
        <f>IF(Elect!L44&lt;0,"0",Elect!L44)</f>
        <v>18400</v>
      </c>
      <c r="S42" s="48">
        <f>Elect!K44</f>
        <v>1.99</v>
      </c>
      <c r="T42" s="48">
        <f>IF(Elect!R44&lt;0,"0",Elect!R44)</f>
        <v>18400</v>
      </c>
      <c r="U42" s="48">
        <f>Elect!Q44</f>
        <v>2.14</v>
      </c>
      <c r="V42" s="48">
        <f>IF(Elect!AA44&lt;0,"0",Elect!AA44)</f>
        <v>10720</v>
      </c>
      <c r="W42" s="48">
        <f>Elect!Z44</f>
        <v>2.98</v>
      </c>
      <c r="X42" s="48">
        <f>IF(Elect!AD44&lt;0,"0",Elect!AD44)</f>
        <v>5760</v>
      </c>
      <c r="Y42" s="48">
        <f>Elect!AC44</f>
        <v>1.84</v>
      </c>
      <c r="Z42" s="48">
        <f>IF(Elect!AG44&lt;0,"0",Elect!AG44)</f>
        <v>106200</v>
      </c>
      <c r="AA42" s="48">
        <f>Elect!AF44</f>
        <v>2.0859999999999999</v>
      </c>
      <c r="AB42" s="48">
        <f>IF(Elect!AX44&lt;0,"0",Elect!AX44)</f>
        <v>3800</v>
      </c>
      <c r="AC42" s="48">
        <f>IF(Elect!AV44&lt;0,"0",Elect!AV44)</f>
        <v>1400</v>
      </c>
      <c r="AD42" s="48">
        <f>IF(Elect!AZ44&lt;0,"0",Elect!AZ44)</f>
        <v>1686</v>
      </c>
      <c r="AE42" s="48">
        <f>IF(Elect!BB44&lt;0,"0",Elect!BB44)</f>
        <v>3680</v>
      </c>
      <c r="AF42" s="230">
        <f>IF('Wtr-Gas'!E44&lt;0,"0",('Wtr-Gas'!E44)*0.0038)</f>
        <v>4503.3040000000001</v>
      </c>
      <c r="AG42" s="230">
        <f>IF('Wtr-Gas'!H44&lt;0,"0",('Wtr-Gas'!H44)*0.0038)</f>
        <v>454.93599999999998</v>
      </c>
      <c r="AH42" s="230">
        <f>IF('Wtr-Gas'!K44&lt;0,"0",('Wtr-Gas'!K44)*0.0038)</f>
        <v>0.72199999999999998</v>
      </c>
      <c r="AI42" s="230">
        <f>IF('Wtr-Gas'!N44&lt;0,"0",('Wtr-Gas'!N44)*0.0038)</f>
        <v>3431.4</v>
      </c>
      <c r="AJ42" s="230">
        <f>IF('Wtr-Gas'!Q44&lt;0,"0",('Wtr-Gas'!Q44)*0.0038)</f>
        <v>125.02</v>
      </c>
      <c r="AK42" s="231">
        <f>IF('Wtr-Gas'!U44&lt;0,"0",('Wtr-Gas'!U44)*0.0038)</f>
        <v>704.52</v>
      </c>
      <c r="AL42" s="231">
        <f>IF('Wtr-Gas'!X44&lt;0,"0",('Wtr-Gas'!X44)*0.0038)</f>
        <v>691.6</v>
      </c>
      <c r="AM42" s="230">
        <f>IF('Wtr-Gas'!AB44&lt;0,"0",('Wtr-Gas'!AB44)*0.0038)</f>
        <v>22648</v>
      </c>
      <c r="AN42" s="230">
        <f>IF('Wtr-Gas'!AD44&lt;0,"0",('Wtr-Gas'!AD44)*0.0038)</f>
        <v>5848.39</v>
      </c>
      <c r="AO42" s="230">
        <f>IF('Wtr-Gas'!AF44&lt;0,"0",('Wtr-Gas'!AF44)*0.0038)</f>
        <v>10.336</v>
      </c>
      <c r="AP42" s="230">
        <f>IF('Wtr-Gas'!AH44&lt;0,"0",('Wtr-Gas'!AH44)*0.0038)</f>
        <v>633.726</v>
      </c>
      <c r="AQ42" s="230">
        <f>IF('Wtr-Gas'!AJ44&lt;0,"0",('Wtr-Gas'!AJ44)*0.0038)</f>
        <v>59.903199999999998</v>
      </c>
      <c r="AR42" s="230">
        <f>IF('Wtr-Gas'!AL44&lt;0,"0",('Wtr-Gas'!AL44)*0.0038)</f>
        <v>817</v>
      </c>
      <c r="AS42" s="230">
        <f>IF('Wtr-Gas'!AN44&lt;0,"0",('Wtr-Gas'!AN44)*0.0038)</f>
        <v>0</v>
      </c>
      <c r="AT42" s="230">
        <f>IF('Wtr-Gas'!AP44&lt;0,"0",('Wtr-Gas'!AP44)*0.0038)</f>
        <v>19.38</v>
      </c>
      <c r="AU42" s="251">
        <f>IF('Wtr-Gas'!AT44&lt;0,"0",('Wtr-Gas'!AT44)*0.0038)</f>
        <v>0.5776</v>
      </c>
      <c r="AV42" s="230">
        <f>IF('Wtr-Gas'!AW44&lt;0,"0",('Wtr-Gas'!AW44)*0.0038)</f>
        <v>346.48020000000002</v>
      </c>
      <c r="AW42" s="230">
        <f>IF('Wtr-Gas'!AY44&lt;0,"0",('Wtr-Gas'!AY44)*0.0038)</f>
        <v>280.38543199999998</v>
      </c>
      <c r="AX42" s="230">
        <f>IF('Wtr-Gas'!AZ44&lt;0,"0",('Wtr-Gas'!AZ44)*0.0038)</f>
        <v>280385.43199999997</v>
      </c>
      <c r="AY42" s="230">
        <f>IF('Wtr-Gas'!BB44&lt;0,"0",('Wtr-Gas'!BB44)*0.0038)</f>
        <v>19.38</v>
      </c>
      <c r="AZ42" s="230">
        <f>IF('Wtr-Gas'!BD44&lt;0,"0",('Wtr-Gas'!BD44)*0.0038)</f>
        <v>11.4</v>
      </c>
      <c r="BA42" s="230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8">
        <f>IF(Elect!AM45&lt;0,"0",Elect!AM45)</f>
        <v>504</v>
      </c>
      <c r="F43" s="48">
        <f>IF(Elect!I45&lt;0,"0",Elect!I45)</f>
        <v>44000</v>
      </c>
      <c r="G43" s="48">
        <f>Elect!H45</f>
        <v>2.0680000000000001</v>
      </c>
      <c r="H43" s="48">
        <f>IF(Elect!F45&lt;0,"0",Elect!F45)</f>
        <v>64800</v>
      </c>
      <c r="I43" s="48">
        <f>Elect!E45</f>
        <v>1.9139999999999999</v>
      </c>
      <c r="J43" s="48">
        <f>IF(Elect!U45&lt;0,"0",Elect!U45)</f>
        <v>75300</v>
      </c>
      <c r="K43" s="48">
        <f>Elect!T45</f>
        <v>2.38</v>
      </c>
      <c r="L43" s="48">
        <f>IF(Elect!AJ45&lt;0,"0",Elect!AJ45)</f>
        <v>1520</v>
      </c>
      <c r="M43" s="48">
        <f>Elect!AI45</f>
        <v>0.308</v>
      </c>
      <c r="N43" s="48">
        <f>IF(Elect!X45&lt;0,"0",Elect!X45)</f>
        <v>74100</v>
      </c>
      <c r="O43" s="48">
        <f>Elect!W45</f>
        <v>2.0830000000000002</v>
      </c>
      <c r="P43" s="48">
        <f>IF(Elect!O45&lt;0,"0",Elect!O45)</f>
        <v>9200</v>
      </c>
      <c r="Q43" s="48">
        <f>Elect!N45</f>
        <v>2.0499999999999998</v>
      </c>
      <c r="R43" s="48">
        <f>IF(Elect!L45&lt;0,"0",Elect!L45)</f>
        <v>9200</v>
      </c>
      <c r="S43" s="48">
        <f>Elect!K45</f>
        <v>1.99</v>
      </c>
      <c r="T43" s="48">
        <f>IF(Elect!R45&lt;0,"0",Elect!R45)</f>
        <v>8400</v>
      </c>
      <c r="U43" s="48">
        <f>Elect!Q45</f>
        <v>2.14</v>
      </c>
      <c r="V43" s="48">
        <f>IF(Elect!AA45&lt;0,"0",Elect!AA45)</f>
        <v>5760</v>
      </c>
      <c r="W43" s="48">
        <f>Elect!Z45</f>
        <v>3.25</v>
      </c>
      <c r="X43" s="48">
        <f>IF(Elect!AD45&lt;0,"0",Elect!AD45)</f>
        <v>3040</v>
      </c>
      <c r="Y43" s="48">
        <f>Elect!AC45</f>
        <v>1.86</v>
      </c>
      <c r="Z43" s="48">
        <f>IF(Elect!AG45&lt;0,"0",Elect!AG45)</f>
        <v>53400</v>
      </c>
      <c r="AA43" s="48">
        <f>Elect!AF45</f>
        <v>2.0859999999999999</v>
      </c>
      <c r="AB43" s="48">
        <f>IF(Elect!AX45&lt;0,"0",Elect!AX45)</f>
        <v>2100</v>
      </c>
      <c r="AC43" s="48">
        <f>IF(Elect!AV45&lt;0,"0",Elect!AV45)</f>
        <v>17700</v>
      </c>
      <c r="AD43" s="48">
        <f>IF(Elect!AZ45&lt;0,"0",Elect!AZ45)</f>
        <v>950</v>
      </c>
      <c r="AE43" s="48">
        <f>IF(Elect!BB45&lt;0,"0",Elect!BB45)</f>
        <v>1440</v>
      </c>
      <c r="AF43" s="230">
        <f>IF('Wtr-Gas'!E45&lt;0,"0",('Wtr-Gas'!E45)*0.0038)</f>
        <v>4156.8580000000002</v>
      </c>
      <c r="AG43" s="230">
        <f>IF('Wtr-Gas'!H45&lt;0,"0",('Wtr-Gas'!H45)*0.0038)</f>
        <v>911.08799999999997</v>
      </c>
      <c r="AH43" s="230">
        <f>IF('Wtr-Gas'!K45&lt;0,"0",('Wtr-Gas'!K45)*0.0038)</f>
        <v>0.56999999999999995</v>
      </c>
      <c r="AI43" s="230">
        <f>IF('Wtr-Gas'!N45&lt;0,"0",('Wtr-Gas'!N45)*0.0038)</f>
        <v>3195.8</v>
      </c>
      <c r="AJ43" s="230">
        <f>IF('Wtr-Gas'!Q45&lt;0,"0",('Wtr-Gas'!Q45)*0.0038)</f>
        <v>125.02</v>
      </c>
      <c r="AK43" s="231">
        <f>IF('Wtr-Gas'!U45&lt;0,"0",('Wtr-Gas'!U45)*0.0038)</f>
        <v>707.18</v>
      </c>
      <c r="AL43" s="231">
        <f>IF('Wtr-Gas'!X45&lt;0,"0",('Wtr-Gas'!X45)*0.0038)</f>
        <v>703</v>
      </c>
      <c r="AM43" s="230">
        <f>IF('Wtr-Gas'!AB45&lt;0,"0",('Wtr-Gas'!AB45)*0.0038)</f>
        <v>11172</v>
      </c>
      <c r="AN43" s="230">
        <f>IF('Wtr-Gas'!AD45&lt;0,"0",('Wtr-Gas'!AD45)*0.0038)</f>
        <v>3206.25</v>
      </c>
      <c r="AO43" s="230">
        <f>IF('Wtr-Gas'!AF45&lt;0,"0",('Wtr-Gas'!AF45)*0.0038)</f>
        <v>3.42</v>
      </c>
      <c r="AP43" s="230">
        <f>IF('Wtr-Gas'!AH45&lt;0,"0",('Wtr-Gas'!AH45)*0.0038)</f>
        <v>418.03800000000001</v>
      </c>
      <c r="AQ43" s="230">
        <f>IF('Wtr-Gas'!AJ45&lt;0,"0",('Wtr-Gas'!AJ45)*0.0038)</f>
        <v>21.162199999999999</v>
      </c>
      <c r="AR43" s="230">
        <f>IF('Wtr-Gas'!AL45&lt;0,"0",('Wtr-Gas'!AL45)*0.0038)</f>
        <v>361</v>
      </c>
      <c r="AS43" s="230">
        <f>IF('Wtr-Gas'!AN45&lt;0,"0",('Wtr-Gas'!AN45)*0.0038)</f>
        <v>0</v>
      </c>
      <c r="AT43" s="230">
        <f>IF('Wtr-Gas'!AP45&lt;0,"0",('Wtr-Gas'!AP45)*0.0038)</f>
        <v>7.22</v>
      </c>
      <c r="AU43" s="251">
        <f>IF('Wtr-Gas'!AT45&lt;0,"0",('Wtr-Gas'!AT45)*0.0038)</f>
        <v>0.3306</v>
      </c>
      <c r="AV43" s="230">
        <f>IF('Wtr-Gas'!AW45&lt;0,"0",('Wtr-Gas'!AW45)*0.0038)</f>
        <v>190.8056</v>
      </c>
      <c r="AW43" s="230">
        <f>IF('Wtr-Gas'!AY45&lt;0,"0",('Wtr-Gas'!AY45)*0.0038)</f>
        <v>150.85239999999999</v>
      </c>
      <c r="AX43" s="230">
        <f>IF('Wtr-Gas'!AZ45&lt;0,"0",('Wtr-Gas'!AZ45)*0.0038)</f>
        <v>39.952249999999999</v>
      </c>
      <c r="AY43" s="230">
        <f>IF('Wtr-Gas'!BB45&lt;0,"0",('Wtr-Gas'!BB45)*0.0038)</f>
        <v>11.78</v>
      </c>
      <c r="AZ43" s="230">
        <f>IF('Wtr-Gas'!BD45&lt;0,"0",('Wtr-Gas'!BD45)*0.0038)</f>
        <v>7.22</v>
      </c>
      <c r="BA43" s="230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8" t="str">
        <f>IF(Elect!AM46&lt;0,"0",Elect!AM46)</f>
        <v>0</v>
      </c>
      <c r="F44" s="48" t="str">
        <f>IF(Elect!I46&lt;0,"0",Elect!I46)</f>
        <v>0</v>
      </c>
      <c r="G44" s="48">
        <f>Elect!H46</f>
        <v>0</v>
      </c>
      <c r="H44" s="48" t="str">
        <f>IF(Elect!F46&lt;0,"0",Elect!F46)</f>
        <v>0</v>
      </c>
      <c r="I44" s="48">
        <f>Elect!E46</f>
        <v>0</v>
      </c>
      <c r="J44" s="48" t="str">
        <f>IF(Elect!U46&lt;0,"0",Elect!U46)</f>
        <v>0</v>
      </c>
      <c r="K44" s="48">
        <f>Elect!T46</f>
        <v>0</v>
      </c>
      <c r="L44" s="48" t="str">
        <f>IF(Elect!AJ46&lt;0,"0",Elect!AJ46)</f>
        <v>0</v>
      </c>
      <c r="M44" s="48">
        <f>Elect!AI46</f>
        <v>0</v>
      </c>
      <c r="N44" s="48" t="str">
        <f>IF(Elect!X46&lt;0,"0",Elect!X46)</f>
        <v>0</v>
      </c>
      <c r="O44" s="48">
        <f>Elect!W46</f>
        <v>0</v>
      </c>
      <c r="P44" s="48" t="str">
        <f>IF(Elect!O46&lt;0,"0",Elect!O46)</f>
        <v>0</v>
      </c>
      <c r="Q44" s="48">
        <f>Elect!N46</f>
        <v>0</v>
      </c>
      <c r="R44" s="48" t="str">
        <f>IF(Elect!L46&lt;0,"0",Elect!L46)</f>
        <v>0</v>
      </c>
      <c r="S44" s="48">
        <f>Elect!K46</f>
        <v>0</v>
      </c>
      <c r="T44" s="48" t="str">
        <f>IF(Elect!R46&lt;0,"0",Elect!R46)</f>
        <v>0</v>
      </c>
      <c r="U44" s="48">
        <f>Elect!Q46</f>
        <v>0</v>
      </c>
      <c r="V44" s="48" t="str">
        <f>IF(Elect!AA46&lt;0,"0",Elect!AA46)</f>
        <v>0</v>
      </c>
      <c r="W44" s="48">
        <f>Elect!Z46</f>
        <v>0</v>
      </c>
      <c r="X44" s="48" t="str">
        <f>IF(Elect!AD46&lt;0,"0",Elect!AD46)</f>
        <v>0</v>
      </c>
      <c r="Y44" s="48">
        <f>Elect!AC46</f>
        <v>0</v>
      </c>
      <c r="Z44" s="48" t="str">
        <f>IF(Elect!AG46&lt;0,"0",Elect!AG46)</f>
        <v>0</v>
      </c>
      <c r="AA44" s="48">
        <f>Elect!AF46</f>
        <v>0</v>
      </c>
      <c r="AB44" s="48" t="str">
        <f>IF(Elect!AX46&lt;0,"0",Elect!AX46)</f>
        <v>0</v>
      </c>
      <c r="AC44" s="48" t="str">
        <f>IF(Elect!AV46&lt;0,"0",Elect!AV46)</f>
        <v>0</v>
      </c>
      <c r="AD44" s="48" t="str">
        <f>IF(Elect!AZ46&lt;0,"0",Elect!AZ46)</f>
        <v>0</v>
      </c>
      <c r="AE44" s="48" t="str">
        <f>IF(Elect!BB46&lt;0,"0",Elect!BB46)</f>
        <v>0</v>
      </c>
      <c r="AF44" s="230" t="str">
        <f>IF('Wtr-Gas'!E46&lt;0,"0",('Wtr-Gas'!E46)*0.0038)</f>
        <v>0</v>
      </c>
      <c r="AG44" s="230" t="str">
        <f>IF('Wtr-Gas'!H46&lt;0,"0",('Wtr-Gas'!H46)*0.0038)</f>
        <v>0</v>
      </c>
      <c r="AH44" s="230" t="str">
        <f>IF('Wtr-Gas'!K46&lt;0,"0",('Wtr-Gas'!K46)*0.0038)</f>
        <v>0</v>
      </c>
      <c r="AI44" s="230" t="str">
        <f>IF('Wtr-Gas'!N46&lt;0,"0",('Wtr-Gas'!N46)*0.0038)</f>
        <v>0</v>
      </c>
      <c r="AJ44" s="230" t="str">
        <f>IF('Wtr-Gas'!Q46&lt;0,"0",('Wtr-Gas'!Q46)*0.0038)</f>
        <v>0</v>
      </c>
      <c r="AK44" s="231" t="str">
        <f>IF('Wtr-Gas'!U46&lt;0,"0",('Wtr-Gas'!U46)*0.0038)</f>
        <v>0</v>
      </c>
      <c r="AL44" s="231" t="str">
        <f>IF('Wtr-Gas'!X46&lt;0,"0",('Wtr-Gas'!X46)*0.0038)</f>
        <v>0</v>
      </c>
      <c r="AM44" s="230" t="str">
        <f>IF('Wtr-Gas'!AB46&lt;0,"0",('Wtr-Gas'!AB46)*0.0038)</f>
        <v>0</v>
      </c>
      <c r="AN44" s="230" t="str">
        <f>IF('Wtr-Gas'!AD46&lt;0,"0",('Wtr-Gas'!AD46)*0.0038)</f>
        <v>0</v>
      </c>
      <c r="AO44" s="230" t="str">
        <f>IF('Wtr-Gas'!AF46&lt;0,"0",('Wtr-Gas'!AF46)*0.0038)</f>
        <v>0</v>
      </c>
      <c r="AP44" s="230" t="str">
        <f>IF('Wtr-Gas'!AH46&lt;0,"0",('Wtr-Gas'!AH46)*0.0038)</f>
        <v>0</v>
      </c>
      <c r="AQ44" s="230" t="str">
        <f>IF('Wtr-Gas'!AJ46&lt;0,"0",('Wtr-Gas'!AJ46)*0.0038)</f>
        <v>0</v>
      </c>
      <c r="AR44" s="230" t="str">
        <f>IF('Wtr-Gas'!AL46&lt;0,"0",('Wtr-Gas'!AL46)*0.0038)</f>
        <v>0</v>
      </c>
      <c r="AS44" s="230" t="str">
        <f>IF('Wtr-Gas'!AN46&lt;0,"0",('Wtr-Gas'!AN46)*0.0038)</f>
        <v>0</v>
      </c>
      <c r="AT44" s="230" t="str">
        <f>IF('Wtr-Gas'!AP46&lt;0,"0",('Wtr-Gas'!AP46)*0.0038)</f>
        <v>0</v>
      </c>
      <c r="AU44" s="251" t="str">
        <f>IF('Wtr-Gas'!AT46&lt;0,"0",('Wtr-Gas'!AT46)*0.0038)</f>
        <v>0</v>
      </c>
      <c r="AV44" s="230" t="str">
        <f>IF('Wtr-Gas'!AW46&lt;0,"0",('Wtr-Gas'!AW46)*0.0038)</f>
        <v>0</v>
      </c>
      <c r="AW44" s="230" t="str">
        <f>IF('Wtr-Gas'!AY46&lt;0,"0",('Wtr-Gas'!AY46)*0.0038)</f>
        <v>0</v>
      </c>
      <c r="AX44" s="230">
        <f>IF('Wtr-Gas'!AZ46&lt;0,"0",('Wtr-Gas'!AZ46)*0.0038)</f>
        <v>17406.813102</v>
      </c>
      <c r="AY44" s="230" t="str">
        <f>IF('Wtr-Gas'!BB46&lt;0,"0",('Wtr-Gas'!BB46)*0.0038)</f>
        <v>0</v>
      </c>
      <c r="AZ44" s="230" t="str">
        <f>IF('Wtr-Gas'!BD46&lt;0,"0",('Wtr-Gas'!BD46)*0.0038)</f>
        <v>0</v>
      </c>
      <c r="BA44" s="230" t="str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8">
        <f>IF(Elect!AM47&lt;0,"0",Elect!AM47)</f>
        <v>0</v>
      </c>
      <c r="F45" s="48">
        <f>IF(Elect!I47&lt;0,"0",Elect!I47)</f>
        <v>0</v>
      </c>
      <c r="G45" s="48">
        <f>Elect!H47</f>
        <v>0</v>
      </c>
      <c r="H45" s="48">
        <f>IF(Elect!F47&lt;0,"0",Elect!F47)</f>
        <v>0</v>
      </c>
      <c r="I45" s="48">
        <f>Elect!E47</f>
        <v>0</v>
      </c>
      <c r="J45" s="48">
        <f>IF(Elect!U47&lt;0,"0",Elect!U47)</f>
        <v>0</v>
      </c>
      <c r="K45" s="48">
        <f>Elect!T47</f>
        <v>0</v>
      </c>
      <c r="L45" s="48">
        <f>IF(Elect!AJ47&lt;0,"0",Elect!AJ47)</f>
        <v>0</v>
      </c>
      <c r="M45" s="48">
        <f>Elect!AI47</f>
        <v>0</v>
      </c>
      <c r="N45" s="48">
        <f>IF(Elect!X47&lt;0,"0",Elect!X47)</f>
        <v>0</v>
      </c>
      <c r="O45" s="48">
        <f>Elect!W47</f>
        <v>0</v>
      </c>
      <c r="P45" s="48">
        <f>IF(Elect!O47&lt;0,"0",Elect!O47)</f>
        <v>0</v>
      </c>
      <c r="Q45" s="48">
        <f>Elect!N47</f>
        <v>0</v>
      </c>
      <c r="R45" s="48">
        <f>IF(Elect!L47&lt;0,"0",Elect!L47)</f>
        <v>0</v>
      </c>
      <c r="S45" s="48">
        <f>Elect!K47</f>
        <v>0</v>
      </c>
      <c r="T45" s="48">
        <f>IF(Elect!R47&lt;0,"0",Elect!R47)</f>
        <v>0</v>
      </c>
      <c r="U45" s="48">
        <f>Elect!Q47</f>
        <v>0</v>
      </c>
      <c r="V45" s="48">
        <f>IF(Elect!AA47&lt;0,"0",Elect!AA47)</f>
        <v>0</v>
      </c>
      <c r="W45" s="48">
        <f>Elect!Z47</f>
        <v>0</v>
      </c>
      <c r="X45" s="48">
        <f>IF(Elect!AD47&lt;0,"0",Elect!AD47)</f>
        <v>0</v>
      </c>
      <c r="Y45" s="48">
        <f>Elect!AC47</f>
        <v>0</v>
      </c>
      <c r="Z45" s="48">
        <f>IF(Elect!AG47&lt;0,"0",Elect!AG47)</f>
        <v>0</v>
      </c>
      <c r="AA45" s="48">
        <f>Elect!AF47</f>
        <v>0</v>
      </c>
      <c r="AB45" s="48">
        <f>IF(Elect!AX47&lt;0,"0",Elect!AX47)</f>
        <v>0</v>
      </c>
      <c r="AC45" s="48">
        <f>IF(Elect!AV47&lt;0,"0",Elect!AV47)</f>
        <v>0</v>
      </c>
      <c r="AD45" s="48">
        <f>IF(Elect!AZ47&lt;0,"0",Elect!AZ47)</f>
        <v>0</v>
      </c>
      <c r="AE45" s="48">
        <f>IF(Elect!BB47&lt;0,"0",Elect!BB47)</f>
        <v>0</v>
      </c>
      <c r="AF45" s="230">
        <f>IF('Wtr-Gas'!E47&lt;0,"0",('Wtr-Gas'!E47)*0.0038)</f>
        <v>0</v>
      </c>
      <c r="AG45" s="230">
        <f>IF('Wtr-Gas'!H47&lt;0,"0",('Wtr-Gas'!H47)*0.0038)</f>
        <v>0</v>
      </c>
      <c r="AH45" s="230">
        <f>IF('Wtr-Gas'!K47&lt;0,"0",('Wtr-Gas'!K47)*0.0038)</f>
        <v>0</v>
      </c>
      <c r="AI45" s="230">
        <f>IF('Wtr-Gas'!N47&lt;0,"0",('Wtr-Gas'!N47)*0.0038)</f>
        <v>0</v>
      </c>
      <c r="AJ45" s="230">
        <f>IF('Wtr-Gas'!Q47&lt;0,"0",('Wtr-Gas'!Q47)*0.0038)</f>
        <v>0</v>
      </c>
      <c r="AK45" s="231">
        <f>IF('Wtr-Gas'!U47&lt;0,"0",('Wtr-Gas'!U47)*0.0038)</f>
        <v>0</v>
      </c>
      <c r="AL45" s="231">
        <f>IF('Wtr-Gas'!X47&lt;0,"0",('Wtr-Gas'!X47)*0.0038)</f>
        <v>0</v>
      </c>
      <c r="AM45" s="230">
        <f>IF('Wtr-Gas'!AB47&lt;0,"0",('Wtr-Gas'!AB47)*0.0038)</f>
        <v>0</v>
      </c>
      <c r="AN45" s="230">
        <f>IF('Wtr-Gas'!AD47&lt;0,"0",('Wtr-Gas'!AD47)*0.0038)</f>
        <v>0</v>
      </c>
      <c r="AO45" s="230">
        <f>IF('Wtr-Gas'!AF47&lt;0,"0",('Wtr-Gas'!AF47)*0.0038)</f>
        <v>0</v>
      </c>
      <c r="AP45" s="230">
        <f>IF('Wtr-Gas'!AH47&lt;0,"0",('Wtr-Gas'!AH47)*0.0038)</f>
        <v>0</v>
      </c>
      <c r="AQ45" s="230">
        <f>IF('Wtr-Gas'!AJ47&lt;0,"0",('Wtr-Gas'!AJ47)*0.0038)</f>
        <v>0</v>
      </c>
      <c r="AR45" s="230">
        <f>IF('Wtr-Gas'!AL47&lt;0,"0",('Wtr-Gas'!AL47)*0.0038)</f>
        <v>0</v>
      </c>
      <c r="AS45" s="230">
        <f>IF('Wtr-Gas'!AN47&lt;0,"0",('Wtr-Gas'!AN47)*0.0038)</f>
        <v>0</v>
      </c>
      <c r="AT45" s="230">
        <f>IF('Wtr-Gas'!AP47&lt;0,"0",('Wtr-Gas'!AP47)*0.0038)</f>
        <v>0</v>
      </c>
      <c r="AU45" s="251">
        <f>IF('Wtr-Gas'!AT47&lt;0,"0",('Wtr-Gas'!AT47)*0.0038)</f>
        <v>0</v>
      </c>
      <c r="AV45" s="230">
        <f>IF('Wtr-Gas'!AW47&lt;0,"0",('Wtr-Gas'!AW47)*0.0038)</f>
        <v>0</v>
      </c>
      <c r="AW45" s="230">
        <f>IF('Wtr-Gas'!AY47&lt;0,"0",('Wtr-Gas'!AY47)*0.0038)</f>
        <v>0</v>
      </c>
      <c r="AX45" s="230">
        <f>IF('Wtr-Gas'!AZ47&lt;0,"0",('Wtr-Gas'!AZ47)*0.0038)</f>
        <v>0</v>
      </c>
      <c r="AY45" s="230">
        <f>IF('Wtr-Gas'!BB47&lt;0,"0",('Wtr-Gas'!BB47)*0.0038)</f>
        <v>0</v>
      </c>
      <c r="AZ45" s="230">
        <f>IF('Wtr-Gas'!BD47&lt;0,"0",('Wtr-Gas'!BD47)*0.0038)</f>
        <v>0</v>
      </c>
      <c r="BA45" s="230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8">
        <f>IF(Elect!AM48&lt;0,"0",Elect!AM48)</f>
        <v>0</v>
      </c>
      <c r="F46" s="48">
        <f>IF(Elect!I48&lt;0,"0",Elect!I48)</f>
        <v>0</v>
      </c>
      <c r="G46" s="48">
        <f>Elect!H48</f>
        <v>0</v>
      </c>
      <c r="H46" s="48">
        <f>IF(Elect!F48&lt;0,"0",Elect!F48)</f>
        <v>0</v>
      </c>
      <c r="I46" s="48">
        <f>Elect!E48</f>
        <v>0</v>
      </c>
      <c r="J46" s="48">
        <f>IF(Elect!U48&lt;0,"0",Elect!U48)</f>
        <v>0</v>
      </c>
      <c r="K46" s="48">
        <f>Elect!T48</f>
        <v>0</v>
      </c>
      <c r="L46" s="48">
        <f>IF(Elect!AJ48&lt;0,"0",Elect!AJ48)</f>
        <v>0</v>
      </c>
      <c r="M46" s="48">
        <f>Elect!AI48</f>
        <v>0</v>
      </c>
      <c r="N46" s="48">
        <f>IF(Elect!X48&lt;0,"0",Elect!X48)</f>
        <v>0</v>
      </c>
      <c r="O46" s="48">
        <f>Elect!W48</f>
        <v>0</v>
      </c>
      <c r="P46" s="48">
        <f>IF(Elect!O48&lt;0,"0",Elect!O48)</f>
        <v>0</v>
      </c>
      <c r="Q46" s="48">
        <f>Elect!N48</f>
        <v>0</v>
      </c>
      <c r="R46" s="48">
        <f>IF(Elect!L48&lt;0,"0",Elect!L48)</f>
        <v>0</v>
      </c>
      <c r="S46" s="48">
        <f>Elect!K48</f>
        <v>0</v>
      </c>
      <c r="T46" s="48">
        <f>IF(Elect!R48&lt;0,"0",Elect!R48)</f>
        <v>0</v>
      </c>
      <c r="U46" s="48">
        <f>Elect!Q48</f>
        <v>0</v>
      </c>
      <c r="V46" s="48">
        <f>IF(Elect!AA48&lt;0,"0",Elect!AA48)</f>
        <v>0</v>
      </c>
      <c r="W46" s="48">
        <f>Elect!Z48</f>
        <v>0</v>
      </c>
      <c r="X46" s="48">
        <f>IF(Elect!AD48&lt;0,"0",Elect!AD48)</f>
        <v>0</v>
      </c>
      <c r="Y46" s="48">
        <f>Elect!AC48</f>
        <v>0</v>
      </c>
      <c r="Z46" s="48">
        <f>IF(Elect!AG48&lt;0,"0",Elect!AG48)</f>
        <v>0</v>
      </c>
      <c r="AA46" s="48">
        <f>Elect!AF48</f>
        <v>0</v>
      </c>
      <c r="AB46" s="48">
        <f>IF(Elect!AX48&lt;0,"0",Elect!AX48)</f>
        <v>0</v>
      </c>
      <c r="AC46" s="48">
        <f>IF(Elect!AV48&lt;0,"0",Elect!AV48)</f>
        <v>0</v>
      </c>
      <c r="AD46" s="48">
        <f>IF(Elect!AZ48&lt;0,"0",Elect!AZ48)</f>
        <v>0</v>
      </c>
      <c r="AE46" s="48">
        <f>IF(Elect!BB48&lt;0,"0",Elect!BB48)</f>
        <v>0</v>
      </c>
      <c r="AF46" s="230">
        <f>IF('Wtr-Gas'!E48&lt;0,"0",('Wtr-Gas'!E48)*0.0038)</f>
        <v>0</v>
      </c>
      <c r="AG46" s="230">
        <f>IF('Wtr-Gas'!H48&lt;0,"0",('Wtr-Gas'!H48)*0.0038)</f>
        <v>0</v>
      </c>
      <c r="AH46" s="230">
        <f>IF('Wtr-Gas'!K48&lt;0,"0",('Wtr-Gas'!K48)*0.0038)</f>
        <v>0</v>
      </c>
      <c r="AI46" s="230">
        <f>IF('Wtr-Gas'!N48&lt;0,"0",('Wtr-Gas'!N48)*0.0038)</f>
        <v>0</v>
      </c>
      <c r="AJ46" s="230">
        <f>IF('Wtr-Gas'!Q48&lt;0,"0",('Wtr-Gas'!Q48)*0.0038)</f>
        <v>0</v>
      </c>
      <c r="AK46" s="231">
        <f>IF('Wtr-Gas'!U48&lt;0,"0",('Wtr-Gas'!U48)*0.0038)</f>
        <v>0</v>
      </c>
      <c r="AL46" s="231">
        <f>IF('Wtr-Gas'!X48&lt;0,"0",('Wtr-Gas'!X48)*0.0038)</f>
        <v>0</v>
      </c>
      <c r="AM46" s="230">
        <f>IF('Wtr-Gas'!AB48&lt;0,"0",('Wtr-Gas'!AB48)*0.0038)</f>
        <v>0</v>
      </c>
      <c r="AN46" s="230">
        <f>IF('Wtr-Gas'!AD48&lt;0,"0",('Wtr-Gas'!AD48)*0.0038)</f>
        <v>0</v>
      </c>
      <c r="AO46" s="230">
        <f>IF('Wtr-Gas'!AF48&lt;0,"0",('Wtr-Gas'!AF48)*0.0038)</f>
        <v>0</v>
      </c>
      <c r="AP46" s="230">
        <f>IF('Wtr-Gas'!AH48&lt;0,"0",('Wtr-Gas'!AH48)*0.0038)</f>
        <v>0</v>
      </c>
      <c r="AQ46" s="230">
        <f>IF('Wtr-Gas'!AJ48&lt;0,"0",('Wtr-Gas'!AJ48)*0.0038)</f>
        <v>0</v>
      </c>
      <c r="AR46" s="230">
        <f>IF('Wtr-Gas'!AL48&lt;0,"0",('Wtr-Gas'!AL48)*0.0038)</f>
        <v>0</v>
      </c>
      <c r="AS46" s="230">
        <f>IF('Wtr-Gas'!AN48&lt;0,"0",('Wtr-Gas'!AN48)*0.0038)</f>
        <v>0</v>
      </c>
      <c r="AT46" s="230">
        <f>IF('Wtr-Gas'!AP48&lt;0,"0",('Wtr-Gas'!AP48)*0.0038)</f>
        <v>0</v>
      </c>
      <c r="AU46" s="251">
        <f>IF('Wtr-Gas'!AT48&lt;0,"0",('Wtr-Gas'!AT48)*0.0038)</f>
        <v>0</v>
      </c>
      <c r="AV46" s="230">
        <f>IF('Wtr-Gas'!AW48&lt;0,"0",('Wtr-Gas'!AW48)*0.0038)</f>
        <v>0</v>
      </c>
      <c r="AW46" s="230">
        <f>IF('Wtr-Gas'!AY48&lt;0,"0",('Wtr-Gas'!AY48)*0.0038)</f>
        <v>0</v>
      </c>
      <c r="AX46" s="230">
        <f>IF('Wtr-Gas'!AZ48&lt;0,"0",('Wtr-Gas'!AZ48)*0.0038)</f>
        <v>0</v>
      </c>
      <c r="AY46" s="230">
        <f>IF('Wtr-Gas'!BB48&lt;0,"0",('Wtr-Gas'!BB48)*0.0038)</f>
        <v>0</v>
      </c>
      <c r="AZ46" s="230">
        <f>IF('Wtr-Gas'!BD48&lt;0,"0",('Wtr-Gas'!BD48)*0.0038)</f>
        <v>0</v>
      </c>
      <c r="BA46" s="230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8">
        <f>IF(Elect!AM49&lt;0,"0",Elect!AM49)</f>
        <v>0</v>
      </c>
      <c r="F47" s="48">
        <f>IF(Elect!I49&lt;0,"0",Elect!I49)</f>
        <v>0</v>
      </c>
      <c r="G47" s="48">
        <f>Elect!H49</f>
        <v>0</v>
      </c>
      <c r="H47" s="48">
        <f>IF(Elect!F49&lt;0,"0",Elect!F49)</f>
        <v>0</v>
      </c>
      <c r="I47" s="48">
        <f>Elect!E49</f>
        <v>0</v>
      </c>
      <c r="J47" s="48">
        <f>IF(Elect!U49&lt;0,"0",Elect!U49)</f>
        <v>0</v>
      </c>
      <c r="K47" s="48">
        <f>Elect!T49</f>
        <v>0</v>
      </c>
      <c r="L47" s="48">
        <f>IF(Elect!AJ49&lt;0,"0",Elect!AJ49)</f>
        <v>0</v>
      </c>
      <c r="M47" s="48">
        <f>Elect!AI49</f>
        <v>0</v>
      </c>
      <c r="N47" s="48">
        <f>IF(Elect!X49&lt;0,"0",Elect!X49)</f>
        <v>0</v>
      </c>
      <c r="O47" s="48">
        <f>Elect!W49</f>
        <v>0</v>
      </c>
      <c r="P47" s="48">
        <f>IF(Elect!O49&lt;0,"0",Elect!O49)</f>
        <v>0</v>
      </c>
      <c r="Q47" s="48">
        <f>Elect!N49</f>
        <v>0</v>
      </c>
      <c r="R47" s="48">
        <f>IF(Elect!L49&lt;0,"0",Elect!L49)</f>
        <v>0</v>
      </c>
      <c r="S47" s="48">
        <f>Elect!K49</f>
        <v>0</v>
      </c>
      <c r="T47" s="48">
        <f>IF(Elect!R49&lt;0,"0",Elect!R49)</f>
        <v>0</v>
      </c>
      <c r="U47" s="48">
        <f>Elect!Q49</f>
        <v>0</v>
      </c>
      <c r="V47" s="48">
        <f>IF(Elect!AA49&lt;0,"0",Elect!AA49)</f>
        <v>0</v>
      </c>
      <c r="W47" s="48">
        <f>Elect!Z49</f>
        <v>0</v>
      </c>
      <c r="X47" s="48">
        <f>IF(Elect!AD49&lt;0,"0",Elect!AD49)</f>
        <v>0</v>
      </c>
      <c r="Y47" s="48">
        <f>Elect!AC49</f>
        <v>0</v>
      </c>
      <c r="Z47" s="48">
        <f>IF(Elect!AG49&lt;0,"0",Elect!AG49)</f>
        <v>0</v>
      </c>
      <c r="AA47" s="48">
        <f>Elect!AF49</f>
        <v>0</v>
      </c>
      <c r="AB47" s="48">
        <f>IF(Elect!AX49&lt;0,"0",Elect!AX49)</f>
        <v>0</v>
      </c>
      <c r="AC47" s="48">
        <f>IF(Elect!AV49&lt;0,"0",Elect!AV49)</f>
        <v>0</v>
      </c>
      <c r="AD47" s="48">
        <f>IF(Elect!AZ49&lt;0,"0",Elect!AZ49)</f>
        <v>0</v>
      </c>
      <c r="AE47" s="48">
        <f>IF(Elect!BB49&lt;0,"0",Elect!BB49)</f>
        <v>0</v>
      </c>
      <c r="AF47" s="230">
        <f>IF('Wtr-Gas'!E49&lt;0,"0",('Wtr-Gas'!E49)*0.0038)</f>
        <v>0</v>
      </c>
      <c r="AG47" s="230">
        <f>IF('Wtr-Gas'!H49&lt;0,"0",('Wtr-Gas'!H49)*0.0038)</f>
        <v>0</v>
      </c>
      <c r="AH47" s="230">
        <f>IF('Wtr-Gas'!K49&lt;0,"0",('Wtr-Gas'!K49)*0.0038)</f>
        <v>0</v>
      </c>
      <c r="AI47" s="230">
        <f>IF('Wtr-Gas'!N49&lt;0,"0",('Wtr-Gas'!N49)*0.0038)</f>
        <v>0</v>
      </c>
      <c r="AJ47" s="230">
        <f>IF('Wtr-Gas'!Q49&lt;0,"0",('Wtr-Gas'!Q49)*0.0038)</f>
        <v>0</v>
      </c>
      <c r="AK47" s="231">
        <f>IF('Wtr-Gas'!U49&lt;0,"0",('Wtr-Gas'!U49)*0.0038)</f>
        <v>0</v>
      </c>
      <c r="AL47" s="231">
        <f>IF('Wtr-Gas'!X49&lt;0,"0",('Wtr-Gas'!X49)*0.0038)</f>
        <v>0</v>
      </c>
      <c r="AM47" s="230">
        <f>IF('Wtr-Gas'!AB49&lt;0,"0",('Wtr-Gas'!AB49)*0.0038)</f>
        <v>0</v>
      </c>
      <c r="AN47" s="230">
        <f>IF('Wtr-Gas'!AD49&lt;0,"0",('Wtr-Gas'!AD49)*0.0038)</f>
        <v>0</v>
      </c>
      <c r="AO47" s="230">
        <f>IF('Wtr-Gas'!AF49&lt;0,"0",('Wtr-Gas'!AF49)*0.0038)</f>
        <v>0</v>
      </c>
      <c r="AP47" s="230">
        <f>IF('Wtr-Gas'!AH49&lt;0,"0",('Wtr-Gas'!AH49)*0.0038)</f>
        <v>0</v>
      </c>
      <c r="AQ47" s="230">
        <f>IF('Wtr-Gas'!AJ49&lt;0,"0",('Wtr-Gas'!AJ49)*0.0038)</f>
        <v>0</v>
      </c>
      <c r="AR47" s="230">
        <f>IF('Wtr-Gas'!AL49&lt;0,"0",('Wtr-Gas'!AL49)*0.0038)</f>
        <v>0</v>
      </c>
      <c r="AS47" s="230">
        <f>IF('Wtr-Gas'!AN49&lt;0,"0",('Wtr-Gas'!AN49)*0.0038)</f>
        <v>0</v>
      </c>
      <c r="AT47" s="230">
        <f>IF('Wtr-Gas'!AP49&lt;0,"0",('Wtr-Gas'!AP49)*0.0038)</f>
        <v>0</v>
      </c>
      <c r="AU47" s="251">
        <f>IF('Wtr-Gas'!AT49&lt;0,"0",('Wtr-Gas'!AT49)*0.0038)</f>
        <v>0</v>
      </c>
      <c r="AV47" s="230">
        <f>IF('Wtr-Gas'!AW49&lt;0,"0",('Wtr-Gas'!AW49)*0.0038)</f>
        <v>0</v>
      </c>
      <c r="AW47" s="230">
        <f>IF('Wtr-Gas'!AY49&lt;0,"0",('Wtr-Gas'!AY49)*0.0038)</f>
        <v>0</v>
      </c>
      <c r="AX47" s="230">
        <f>IF('Wtr-Gas'!AZ49&lt;0,"0",('Wtr-Gas'!AZ49)*0.0038)</f>
        <v>0</v>
      </c>
      <c r="AY47" s="230">
        <f>IF('Wtr-Gas'!BB49&lt;0,"0",('Wtr-Gas'!BB49)*0.0038)</f>
        <v>0</v>
      </c>
      <c r="AZ47" s="230">
        <f>IF('Wtr-Gas'!BD49&lt;0,"0",('Wtr-Gas'!BD49)*0.0038)</f>
        <v>0</v>
      </c>
      <c r="BA47" s="230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8">
        <f>IF(Elect!AM50&lt;0,"0",Elect!AM50)</f>
        <v>0</v>
      </c>
      <c r="F48" s="48">
        <f>IF(Elect!I50&lt;0,"0",Elect!I50)</f>
        <v>0</v>
      </c>
      <c r="G48" s="48">
        <f>Elect!H50</f>
        <v>0</v>
      </c>
      <c r="H48" s="48">
        <f>IF(Elect!F50&lt;0,"0",Elect!F50)</f>
        <v>0</v>
      </c>
      <c r="I48" s="48">
        <f>Elect!E50</f>
        <v>0</v>
      </c>
      <c r="J48" s="48">
        <f>IF(Elect!U50&lt;0,"0",Elect!U50)</f>
        <v>0</v>
      </c>
      <c r="K48" s="48">
        <f>Elect!T50</f>
        <v>0</v>
      </c>
      <c r="L48" s="48">
        <f>IF(Elect!AJ50&lt;0,"0",Elect!AJ50)</f>
        <v>0</v>
      </c>
      <c r="M48" s="48">
        <f>Elect!AI50</f>
        <v>0</v>
      </c>
      <c r="N48" s="48">
        <f>IF(Elect!X50&lt;0,"0",Elect!X50)</f>
        <v>0</v>
      </c>
      <c r="O48" s="48">
        <f>Elect!W50</f>
        <v>0</v>
      </c>
      <c r="P48" s="48">
        <f>IF(Elect!O50&lt;0,"0",Elect!O50)</f>
        <v>0</v>
      </c>
      <c r="Q48" s="48">
        <f>Elect!N50</f>
        <v>0</v>
      </c>
      <c r="R48" s="48">
        <f>IF(Elect!L50&lt;0,"0",Elect!L50)</f>
        <v>0</v>
      </c>
      <c r="S48" s="48">
        <f>Elect!K50</f>
        <v>0</v>
      </c>
      <c r="T48" s="48">
        <f>IF(Elect!R50&lt;0,"0",Elect!R50)</f>
        <v>0</v>
      </c>
      <c r="U48" s="48">
        <f>Elect!Q50</f>
        <v>0</v>
      </c>
      <c r="V48" s="48">
        <f>IF(Elect!AA50&lt;0,"0",Elect!AA50)</f>
        <v>0</v>
      </c>
      <c r="W48" s="48">
        <f>Elect!Z50</f>
        <v>0</v>
      </c>
      <c r="X48" s="48">
        <f>IF(Elect!AD50&lt;0,"0",Elect!AD50)</f>
        <v>0</v>
      </c>
      <c r="Y48" s="48">
        <f>Elect!AC50</f>
        <v>0</v>
      </c>
      <c r="Z48" s="48">
        <f>IF(Elect!AG50&lt;0,"0",Elect!AG50)</f>
        <v>0</v>
      </c>
      <c r="AA48" s="48">
        <f>Elect!AF50</f>
        <v>0</v>
      </c>
      <c r="AB48" s="48">
        <f>IF(Elect!AX50&lt;0,"0",Elect!AX50)</f>
        <v>0</v>
      </c>
      <c r="AC48" s="48">
        <f>IF(Elect!AV50&lt;0,"0",Elect!AV50)</f>
        <v>0</v>
      </c>
      <c r="AD48" s="48">
        <f>IF(Elect!AZ50&lt;0,"0",Elect!AZ50)</f>
        <v>0</v>
      </c>
      <c r="AE48" s="48">
        <f>IF(Elect!BB50&lt;0,"0",Elect!BB50)</f>
        <v>0</v>
      </c>
      <c r="AF48" s="230">
        <f>IF('Wtr-Gas'!E50&lt;0,"0",('Wtr-Gas'!E50)*0.0038)</f>
        <v>0</v>
      </c>
      <c r="AG48" s="230">
        <f>IF('Wtr-Gas'!H50&lt;0,"0",('Wtr-Gas'!H50)*0.0038)</f>
        <v>0</v>
      </c>
      <c r="AH48" s="230">
        <f>IF('Wtr-Gas'!K50&lt;0,"0",('Wtr-Gas'!K50)*0.0038)</f>
        <v>0</v>
      </c>
      <c r="AI48" s="230">
        <f>IF('Wtr-Gas'!N50&lt;0,"0",('Wtr-Gas'!N50)*0.0038)</f>
        <v>0</v>
      </c>
      <c r="AJ48" s="230">
        <f>IF('Wtr-Gas'!Q50&lt;0,"0",('Wtr-Gas'!Q50)*0.0038)</f>
        <v>0</v>
      </c>
      <c r="AK48" s="231">
        <f>IF('Wtr-Gas'!U50&lt;0,"0",('Wtr-Gas'!U50)*0.0038)</f>
        <v>0</v>
      </c>
      <c r="AL48" s="231">
        <f>IF('Wtr-Gas'!X50&lt;0,"0",('Wtr-Gas'!X50)*0.0038)</f>
        <v>0</v>
      </c>
      <c r="AM48" s="230">
        <f>IF('Wtr-Gas'!AB50&lt;0,"0",('Wtr-Gas'!AB50)*0.0038)</f>
        <v>0</v>
      </c>
      <c r="AN48" s="230">
        <f>IF('Wtr-Gas'!AD50&lt;0,"0",('Wtr-Gas'!AD50)*0.0038)</f>
        <v>0</v>
      </c>
      <c r="AO48" s="230">
        <f>IF('Wtr-Gas'!AF50&lt;0,"0",('Wtr-Gas'!AF50)*0.0038)</f>
        <v>0</v>
      </c>
      <c r="AP48" s="230">
        <f>IF('Wtr-Gas'!AH50&lt;0,"0",('Wtr-Gas'!AH50)*0.0038)</f>
        <v>0</v>
      </c>
      <c r="AQ48" s="230">
        <f>IF('Wtr-Gas'!AJ50&lt;0,"0",('Wtr-Gas'!AJ50)*0.0038)</f>
        <v>0</v>
      </c>
      <c r="AR48" s="230">
        <f>IF('Wtr-Gas'!AL50&lt;0,"0",('Wtr-Gas'!AL50)*0.0038)</f>
        <v>0</v>
      </c>
      <c r="AS48" s="230">
        <f>IF('Wtr-Gas'!AN50&lt;0,"0",('Wtr-Gas'!AN50)*0.0038)</f>
        <v>0</v>
      </c>
      <c r="AT48" s="230">
        <f>IF('Wtr-Gas'!AP50&lt;0,"0",('Wtr-Gas'!AP50)*0.0038)</f>
        <v>0</v>
      </c>
      <c r="AU48" s="251">
        <f>IF('Wtr-Gas'!AT50&lt;0,"0",('Wtr-Gas'!AT50)*0.0038)</f>
        <v>0</v>
      </c>
      <c r="AV48" s="230">
        <f>IF('Wtr-Gas'!AW50&lt;0,"0",('Wtr-Gas'!AW50)*0.0038)</f>
        <v>0</v>
      </c>
      <c r="AW48" s="230">
        <f>IF('Wtr-Gas'!AY50&lt;0,"0",('Wtr-Gas'!AY50)*0.0038)</f>
        <v>0</v>
      </c>
      <c r="AX48" s="230">
        <f>IF('Wtr-Gas'!AZ50&lt;0,"0",('Wtr-Gas'!AZ50)*0.0038)</f>
        <v>0</v>
      </c>
      <c r="AY48" s="230">
        <f>IF('Wtr-Gas'!BB50&lt;0,"0",('Wtr-Gas'!BB50)*0.0038)</f>
        <v>0</v>
      </c>
      <c r="AZ48" s="230">
        <f>IF('Wtr-Gas'!BD50&lt;0,"0",('Wtr-Gas'!BD50)*0.0038)</f>
        <v>0</v>
      </c>
      <c r="BA48" s="230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8">
        <f>IF(Elect!AM51&lt;0,"0",Elect!AM51)</f>
        <v>0</v>
      </c>
      <c r="F49" s="48">
        <f>IF(Elect!I51&lt;0,"0",Elect!I51)</f>
        <v>0</v>
      </c>
      <c r="G49" s="48">
        <f>Elect!H51</f>
        <v>0</v>
      </c>
      <c r="H49" s="48">
        <f>IF(Elect!F51&lt;0,"0",Elect!F51)</f>
        <v>0</v>
      </c>
      <c r="I49" s="48">
        <f>Elect!E51</f>
        <v>0</v>
      </c>
      <c r="J49" s="48">
        <f>IF(Elect!U51&lt;0,"0",Elect!U51)</f>
        <v>0</v>
      </c>
      <c r="K49" s="48">
        <f>Elect!T51</f>
        <v>0</v>
      </c>
      <c r="L49" s="48">
        <f>IF(Elect!AJ51&lt;0,"0",Elect!AJ51)</f>
        <v>0</v>
      </c>
      <c r="M49" s="48">
        <f>Elect!AI51</f>
        <v>0</v>
      </c>
      <c r="N49" s="48">
        <f>IF(Elect!X51&lt;0,"0",Elect!X51)</f>
        <v>0</v>
      </c>
      <c r="O49" s="48">
        <f>Elect!W51</f>
        <v>0</v>
      </c>
      <c r="P49" s="48">
        <f>IF(Elect!O51&lt;0,"0",Elect!O51)</f>
        <v>0</v>
      </c>
      <c r="Q49" s="48">
        <f>Elect!N51</f>
        <v>0</v>
      </c>
      <c r="R49" s="48">
        <f>IF(Elect!L51&lt;0,"0",Elect!L51)</f>
        <v>0</v>
      </c>
      <c r="S49" s="48">
        <f>Elect!K51</f>
        <v>0</v>
      </c>
      <c r="T49" s="48">
        <f>IF(Elect!R51&lt;0,"0",Elect!R51)</f>
        <v>0</v>
      </c>
      <c r="U49" s="48">
        <f>Elect!Q51</f>
        <v>0</v>
      </c>
      <c r="V49" s="48">
        <f>IF(Elect!AA51&lt;0,"0",Elect!AA51)</f>
        <v>0</v>
      </c>
      <c r="W49" s="48">
        <f>Elect!Z51</f>
        <v>0</v>
      </c>
      <c r="X49" s="48">
        <f>IF(Elect!AD51&lt;0,"0",Elect!AD51)</f>
        <v>0</v>
      </c>
      <c r="Y49" s="48">
        <f>Elect!AC51</f>
        <v>0</v>
      </c>
      <c r="Z49" s="48">
        <f>IF(Elect!AG51&lt;0,"0",Elect!AG51)</f>
        <v>0</v>
      </c>
      <c r="AA49" s="48">
        <f>Elect!AF51</f>
        <v>0</v>
      </c>
      <c r="AB49" s="48">
        <f>IF(Elect!AX51&lt;0,"0",Elect!AX51)</f>
        <v>0</v>
      </c>
      <c r="AC49" s="48">
        <f>IF(Elect!AV51&lt;0,"0",Elect!AV51)</f>
        <v>0</v>
      </c>
      <c r="AD49" s="48">
        <f>IF(Elect!AZ51&lt;0,"0",Elect!AZ51)</f>
        <v>0</v>
      </c>
      <c r="AE49" s="48">
        <f>IF(Elect!BB51&lt;0,"0",Elect!BB51)</f>
        <v>0</v>
      </c>
      <c r="AF49" s="230">
        <f>IF('Wtr-Gas'!E51&lt;0,"0",('Wtr-Gas'!E51)*0.0038)</f>
        <v>0</v>
      </c>
      <c r="AG49" s="230">
        <f>IF('Wtr-Gas'!H51&lt;0,"0",('Wtr-Gas'!H51)*0.0038)</f>
        <v>0</v>
      </c>
      <c r="AH49" s="230">
        <f>IF('Wtr-Gas'!K51&lt;0,"0",('Wtr-Gas'!K51)*0.0038)</f>
        <v>0</v>
      </c>
      <c r="AI49" s="230">
        <f>IF('Wtr-Gas'!N51&lt;0,"0",('Wtr-Gas'!N51)*0.0038)</f>
        <v>0</v>
      </c>
      <c r="AJ49" s="230">
        <f>IF('Wtr-Gas'!Q51&lt;0,"0",('Wtr-Gas'!Q51)*0.0038)</f>
        <v>0</v>
      </c>
      <c r="AK49" s="231">
        <f>IF('Wtr-Gas'!U51&lt;0,"0",('Wtr-Gas'!U51)*0.0038)</f>
        <v>0</v>
      </c>
      <c r="AL49" s="231">
        <f>IF('Wtr-Gas'!X51&lt;0,"0",('Wtr-Gas'!X51)*0.0038)</f>
        <v>0</v>
      </c>
      <c r="AM49" s="230">
        <f>IF('Wtr-Gas'!AB51&lt;0,"0",('Wtr-Gas'!AB51)*0.0038)</f>
        <v>0</v>
      </c>
      <c r="AN49" s="230">
        <f>IF('Wtr-Gas'!AD51&lt;0,"0",('Wtr-Gas'!AD51)*0.0038)</f>
        <v>0</v>
      </c>
      <c r="AO49" s="230">
        <f>IF('Wtr-Gas'!AF51&lt;0,"0",('Wtr-Gas'!AF51)*0.0038)</f>
        <v>0</v>
      </c>
      <c r="AP49" s="230">
        <f>IF('Wtr-Gas'!AH51&lt;0,"0",('Wtr-Gas'!AH51)*0.0038)</f>
        <v>0</v>
      </c>
      <c r="AQ49" s="230">
        <f>IF('Wtr-Gas'!AJ51&lt;0,"0",('Wtr-Gas'!AJ51)*0.0038)</f>
        <v>0</v>
      </c>
      <c r="AR49" s="230">
        <f>IF('Wtr-Gas'!AL51&lt;0,"0",('Wtr-Gas'!AL51)*0.0038)</f>
        <v>0</v>
      </c>
      <c r="AS49" s="230">
        <f>IF('Wtr-Gas'!AN51&lt;0,"0",('Wtr-Gas'!AN51)*0.0038)</f>
        <v>0</v>
      </c>
      <c r="AT49" s="230">
        <f>IF('Wtr-Gas'!AP51&lt;0,"0",('Wtr-Gas'!AP51)*0.0038)</f>
        <v>0</v>
      </c>
      <c r="AU49" s="251">
        <f>IF('Wtr-Gas'!AT51&lt;0,"0",('Wtr-Gas'!AT51)*0.0038)</f>
        <v>0</v>
      </c>
      <c r="AV49" s="230">
        <f>IF('Wtr-Gas'!AW51&lt;0,"0",('Wtr-Gas'!AW51)*0.0038)</f>
        <v>0</v>
      </c>
      <c r="AW49" s="230">
        <f>IF('Wtr-Gas'!AY51&lt;0,"0",('Wtr-Gas'!AY51)*0.0038)</f>
        <v>0</v>
      </c>
      <c r="AX49" s="230">
        <f>IF('Wtr-Gas'!AZ51&lt;0,"0",('Wtr-Gas'!AZ51)*0.0038)</f>
        <v>0</v>
      </c>
      <c r="AY49" s="230">
        <f>IF('Wtr-Gas'!BB51&lt;0,"0",('Wtr-Gas'!BB51)*0.0038)</f>
        <v>0</v>
      </c>
      <c r="AZ49" s="230">
        <f>IF('Wtr-Gas'!BD51&lt;0,"0",('Wtr-Gas'!BD51)*0.0038)</f>
        <v>0</v>
      </c>
      <c r="BA49" s="230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8">
        <f>IF(Elect!AM52&lt;0,"0",Elect!AM52)</f>
        <v>0</v>
      </c>
      <c r="F50" s="48">
        <f>IF(Elect!I52&lt;0,"0",Elect!I52)</f>
        <v>0</v>
      </c>
      <c r="G50" s="48">
        <f>Elect!H52</f>
        <v>0</v>
      </c>
      <c r="H50" s="48">
        <f>IF(Elect!F52&lt;0,"0",Elect!F52)</f>
        <v>0</v>
      </c>
      <c r="I50" s="48">
        <f>Elect!E52</f>
        <v>0</v>
      </c>
      <c r="J50" s="48">
        <f>IF(Elect!U52&lt;0,"0",Elect!U52)</f>
        <v>0</v>
      </c>
      <c r="K50" s="48">
        <f>Elect!T52</f>
        <v>0</v>
      </c>
      <c r="L50" s="48">
        <f>IF(Elect!AJ52&lt;0,"0",Elect!AJ52)</f>
        <v>0</v>
      </c>
      <c r="M50" s="48">
        <f>Elect!AI52</f>
        <v>0</v>
      </c>
      <c r="N50" s="48">
        <f>IF(Elect!X52&lt;0,"0",Elect!X52)</f>
        <v>0</v>
      </c>
      <c r="O50" s="48">
        <f>Elect!W52</f>
        <v>0</v>
      </c>
      <c r="P50" s="48">
        <f>IF(Elect!O52&lt;0,"0",Elect!O52)</f>
        <v>0</v>
      </c>
      <c r="Q50" s="48">
        <f>Elect!N52</f>
        <v>0</v>
      </c>
      <c r="R50" s="48">
        <f>IF(Elect!L52&lt;0,"0",Elect!L52)</f>
        <v>0</v>
      </c>
      <c r="S50" s="48">
        <f>Elect!K52</f>
        <v>0</v>
      </c>
      <c r="T50" s="48">
        <f>IF(Elect!R52&lt;0,"0",Elect!R52)</f>
        <v>0</v>
      </c>
      <c r="U50" s="48">
        <f>Elect!Q52</f>
        <v>0</v>
      </c>
      <c r="V50" s="48">
        <f>IF(Elect!AA52&lt;0,"0",Elect!AA52)</f>
        <v>0</v>
      </c>
      <c r="W50" s="48">
        <f>Elect!Z52</f>
        <v>0</v>
      </c>
      <c r="X50" s="48">
        <f>IF(Elect!AD52&lt;0,"0",Elect!AD52)</f>
        <v>0</v>
      </c>
      <c r="Y50" s="48">
        <f>Elect!AC52</f>
        <v>0</v>
      </c>
      <c r="Z50" s="48">
        <f>IF(Elect!AG52&lt;0,"0",Elect!AG52)</f>
        <v>0</v>
      </c>
      <c r="AA50" s="48">
        <f>Elect!AF52</f>
        <v>0</v>
      </c>
      <c r="AB50" s="48">
        <f>IF(Elect!AX52&lt;0,"0",Elect!AX52)</f>
        <v>0</v>
      </c>
      <c r="AC50" s="48">
        <f>IF(Elect!AV52&lt;0,"0",Elect!AV52)</f>
        <v>0</v>
      </c>
      <c r="AD50" s="48">
        <f>IF(Elect!AZ52&lt;0,"0",Elect!AZ52)</f>
        <v>0</v>
      </c>
      <c r="AE50" s="48">
        <f>IF(Elect!BB52&lt;0,"0",Elect!BB52)</f>
        <v>0</v>
      </c>
      <c r="AF50" s="230">
        <f>IF('Wtr-Gas'!E52&lt;0,"0",('Wtr-Gas'!E52)*0.0038)</f>
        <v>0</v>
      </c>
      <c r="AG50" s="230">
        <f>IF('Wtr-Gas'!H52&lt;0,"0",('Wtr-Gas'!H52)*0.0038)</f>
        <v>0</v>
      </c>
      <c r="AH50" s="230">
        <f>IF('Wtr-Gas'!K52&lt;0,"0",('Wtr-Gas'!K52)*0.0038)</f>
        <v>0</v>
      </c>
      <c r="AI50" s="230">
        <f>IF('Wtr-Gas'!N52&lt;0,"0",('Wtr-Gas'!N52)*0.0038)</f>
        <v>0</v>
      </c>
      <c r="AJ50" s="230">
        <f>IF('Wtr-Gas'!Q52&lt;0,"0",('Wtr-Gas'!Q52)*0.0038)</f>
        <v>0</v>
      </c>
      <c r="AK50" s="231">
        <f>IF('Wtr-Gas'!U52&lt;0,"0",('Wtr-Gas'!U52)*0.0038)</f>
        <v>0</v>
      </c>
      <c r="AL50" s="231">
        <f>IF('Wtr-Gas'!X52&lt;0,"0",('Wtr-Gas'!X52)*0.0038)</f>
        <v>0</v>
      </c>
      <c r="AM50" s="230">
        <f>IF('Wtr-Gas'!AB52&lt;0,"0",('Wtr-Gas'!AB52)*0.0038)</f>
        <v>0</v>
      </c>
      <c r="AN50" s="230">
        <f>IF('Wtr-Gas'!AD52&lt;0,"0",('Wtr-Gas'!AD52)*0.0038)</f>
        <v>0</v>
      </c>
      <c r="AO50" s="230">
        <f>IF('Wtr-Gas'!AF52&lt;0,"0",('Wtr-Gas'!AF52)*0.0038)</f>
        <v>0</v>
      </c>
      <c r="AP50" s="230">
        <f>IF('Wtr-Gas'!AH52&lt;0,"0",('Wtr-Gas'!AH52)*0.0038)</f>
        <v>0</v>
      </c>
      <c r="AQ50" s="230">
        <f>IF('Wtr-Gas'!AJ52&lt;0,"0",('Wtr-Gas'!AJ52)*0.0038)</f>
        <v>0</v>
      </c>
      <c r="AR50" s="230">
        <f>IF('Wtr-Gas'!AL52&lt;0,"0",('Wtr-Gas'!AL52)*0.0038)</f>
        <v>0</v>
      </c>
      <c r="AS50" s="230">
        <f>IF('Wtr-Gas'!AN52&lt;0,"0",('Wtr-Gas'!AN52)*0.0038)</f>
        <v>0</v>
      </c>
      <c r="AT50" s="230">
        <f>IF('Wtr-Gas'!AP52&lt;0,"0",('Wtr-Gas'!AP52)*0.0038)</f>
        <v>0</v>
      </c>
      <c r="AU50" s="251">
        <f>IF('Wtr-Gas'!AT52&lt;0,"0",('Wtr-Gas'!AT52)*0.0038)</f>
        <v>0</v>
      </c>
      <c r="AV50" s="230">
        <f>IF('Wtr-Gas'!AW52&lt;0,"0",('Wtr-Gas'!AW52)*0.0038)</f>
        <v>0</v>
      </c>
      <c r="AW50" s="230">
        <f>IF('Wtr-Gas'!AY52&lt;0,"0",('Wtr-Gas'!AY52)*0.0038)</f>
        <v>0</v>
      </c>
      <c r="AX50" s="230">
        <f>IF('Wtr-Gas'!AZ52&lt;0,"0",('Wtr-Gas'!AZ52)*0.0038)</f>
        <v>0</v>
      </c>
      <c r="AY50" s="230">
        <f>IF('Wtr-Gas'!BB52&lt;0,"0",('Wtr-Gas'!BB52)*0.0038)</f>
        <v>0</v>
      </c>
      <c r="AZ50" s="230">
        <f>IF('Wtr-Gas'!BD52&lt;0,"0",('Wtr-Gas'!BD52)*0.0038)</f>
        <v>0</v>
      </c>
      <c r="BA50" s="230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8">
        <f>IF(Elect!AM53&lt;0,"0",Elect!AM53)</f>
        <v>0</v>
      </c>
      <c r="F51" s="48">
        <f>IF(Elect!I53&lt;0,"0",Elect!I53)</f>
        <v>0</v>
      </c>
      <c r="G51" s="48">
        <f>Elect!H53</f>
        <v>0</v>
      </c>
      <c r="H51" s="48">
        <f>IF(Elect!F53&lt;0,"0",Elect!F53)</f>
        <v>0</v>
      </c>
      <c r="I51" s="48">
        <f>Elect!E53</f>
        <v>0</v>
      </c>
      <c r="J51" s="48">
        <f>IF(Elect!U53&lt;0,"0",Elect!U53)</f>
        <v>0</v>
      </c>
      <c r="K51" s="48">
        <f>Elect!T53</f>
        <v>0</v>
      </c>
      <c r="L51" s="48">
        <f>IF(Elect!AJ53&lt;0,"0",Elect!AJ53)</f>
        <v>0</v>
      </c>
      <c r="M51" s="48">
        <f>Elect!AI53</f>
        <v>0</v>
      </c>
      <c r="N51" s="48">
        <f>IF(Elect!X53&lt;0,"0",Elect!X53)</f>
        <v>0</v>
      </c>
      <c r="O51" s="48">
        <f>Elect!W53</f>
        <v>0</v>
      </c>
      <c r="P51" s="48">
        <f>IF(Elect!O53&lt;0,"0",Elect!O53)</f>
        <v>0</v>
      </c>
      <c r="Q51" s="48">
        <f>Elect!N53</f>
        <v>0</v>
      </c>
      <c r="R51" s="48">
        <f>IF(Elect!L53&lt;0,"0",Elect!L53)</f>
        <v>0</v>
      </c>
      <c r="S51" s="48">
        <f>Elect!K53</f>
        <v>0</v>
      </c>
      <c r="T51" s="48">
        <f>IF(Elect!R53&lt;0,"0",Elect!R53)</f>
        <v>0</v>
      </c>
      <c r="U51" s="48">
        <f>Elect!Q53</f>
        <v>0</v>
      </c>
      <c r="V51" s="48">
        <f>IF(Elect!AA53&lt;0,"0",Elect!AA53)</f>
        <v>0</v>
      </c>
      <c r="W51" s="48">
        <f>Elect!Z53</f>
        <v>0</v>
      </c>
      <c r="X51" s="48">
        <f>IF(Elect!AD53&lt;0,"0",Elect!AD53)</f>
        <v>0</v>
      </c>
      <c r="Y51" s="48">
        <f>Elect!AC53</f>
        <v>0</v>
      </c>
      <c r="Z51" s="48">
        <f>IF(Elect!AG53&lt;0,"0",Elect!AG53)</f>
        <v>0</v>
      </c>
      <c r="AA51" s="48">
        <f>Elect!AF53</f>
        <v>0</v>
      </c>
      <c r="AB51" s="48">
        <f>IF(Elect!AX53&lt;0,"0",Elect!AX53)</f>
        <v>0</v>
      </c>
      <c r="AC51" s="48">
        <f>IF(Elect!AV53&lt;0,"0",Elect!AV53)</f>
        <v>0</v>
      </c>
      <c r="AD51" s="48">
        <f>IF(Elect!AZ53&lt;0,"0",Elect!AZ53)</f>
        <v>0</v>
      </c>
      <c r="AE51" s="48">
        <f>IF(Elect!BB53&lt;0,"0",Elect!BB53)</f>
        <v>0</v>
      </c>
      <c r="AF51" s="230">
        <f>IF('Wtr-Gas'!E53&lt;0,"0",('Wtr-Gas'!E53)*0.0038)</f>
        <v>0</v>
      </c>
      <c r="AG51" s="230">
        <f>IF('Wtr-Gas'!H53&lt;0,"0",('Wtr-Gas'!H53)*0.0038)</f>
        <v>0</v>
      </c>
      <c r="AH51" s="230">
        <f>IF('Wtr-Gas'!K53&lt;0,"0",('Wtr-Gas'!K53)*0.0038)</f>
        <v>0</v>
      </c>
      <c r="AI51" s="230">
        <f>IF('Wtr-Gas'!N53&lt;0,"0",('Wtr-Gas'!N53)*0.0038)</f>
        <v>0</v>
      </c>
      <c r="AJ51" s="230">
        <f>IF('Wtr-Gas'!Q53&lt;0,"0",('Wtr-Gas'!Q53)*0.0038)</f>
        <v>0</v>
      </c>
      <c r="AK51" s="231">
        <f>IF('Wtr-Gas'!U53&lt;0,"0",('Wtr-Gas'!U53)*0.0038)</f>
        <v>0</v>
      </c>
      <c r="AL51" s="231">
        <f>IF('Wtr-Gas'!X53&lt;0,"0",('Wtr-Gas'!X53)*0.0038)</f>
        <v>0</v>
      </c>
      <c r="AM51" s="230">
        <f>IF('Wtr-Gas'!AB53&lt;0,"0",('Wtr-Gas'!AB53)*0.0038)</f>
        <v>0</v>
      </c>
      <c r="AN51" s="230">
        <f>IF('Wtr-Gas'!AD53&lt;0,"0",('Wtr-Gas'!AD53)*0.0038)</f>
        <v>0</v>
      </c>
      <c r="AO51" s="230">
        <f>IF('Wtr-Gas'!AF53&lt;0,"0",('Wtr-Gas'!AF53)*0.0038)</f>
        <v>0</v>
      </c>
      <c r="AP51" s="230">
        <f>IF('Wtr-Gas'!AH53&lt;0,"0",('Wtr-Gas'!AH53)*0.0038)</f>
        <v>0</v>
      </c>
      <c r="AQ51" s="230">
        <f>IF('Wtr-Gas'!AJ53&lt;0,"0",('Wtr-Gas'!AJ53)*0.0038)</f>
        <v>0</v>
      </c>
      <c r="AR51" s="230">
        <f>IF('Wtr-Gas'!AL53&lt;0,"0",('Wtr-Gas'!AL53)*0.0038)</f>
        <v>0</v>
      </c>
      <c r="AS51" s="230">
        <f>IF('Wtr-Gas'!AN53&lt;0,"0",('Wtr-Gas'!AN53)*0.0038)</f>
        <v>0</v>
      </c>
      <c r="AT51" s="230">
        <f>IF('Wtr-Gas'!AP53&lt;0,"0",('Wtr-Gas'!AP53)*0.0038)</f>
        <v>0</v>
      </c>
      <c r="AU51" s="251">
        <f>IF('Wtr-Gas'!AT53&lt;0,"0",('Wtr-Gas'!AT53)*0.0038)</f>
        <v>0</v>
      </c>
      <c r="AV51" s="230">
        <f>IF('Wtr-Gas'!AW53&lt;0,"0",('Wtr-Gas'!AW53)*0.0038)</f>
        <v>0</v>
      </c>
      <c r="AW51" s="230">
        <f>IF('Wtr-Gas'!AY53&lt;0,"0",('Wtr-Gas'!AY53)*0.0038)</f>
        <v>0</v>
      </c>
      <c r="AX51" s="230">
        <f>IF('Wtr-Gas'!AZ53&lt;0,"0",('Wtr-Gas'!AZ53)*0.0038)</f>
        <v>0</v>
      </c>
      <c r="AY51" s="230">
        <f>IF('Wtr-Gas'!BB53&lt;0,"0",('Wtr-Gas'!BB53)*0.0038)</f>
        <v>0</v>
      </c>
      <c r="AZ51" s="230">
        <f>IF('Wtr-Gas'!BD53&lt;0,"0",('Wtr-Gas'!BD53)*0.0038)</f>
        <v>0</v>
      </c>
      <c r="BA51" s="230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8">
        <f>IF(Elect!AM54&lt;0,"0",Elect!AM54)</f>
        <v>0</v>
      </c>
      <c r="F52" s="48">
        <f>IF(Elect!I54&lt;0,"0",Elect!I54)</f>
        <v>0</v>
      </c>
      <c r="G52" s="48">
        <f>Elect!H54</f>
        <v>0</v>
      </c>
      <c r="H52" s="48">
        <f>IF(Elect!F54&lt;0,"0",Elect!F54)</f>
        <v>0</v>
      </c>
      <c r="I52" s="48">
        <f>Elect!E54</f>
        <v>0</v>
      </c>
      <c r="J52" s="48">
        <f>IF(Elect!U54&lt;0,"0",Elect!U54)</f>
        <v>0</v>
      </c>
      <c r="K52" s="48">
        <f>Elect!T54</f>
        <v>0</v>
      </c>
      <c r="L52" s="48">
        <f>IF(Elect!AJ54&lt;0,"0",Elect!AJ54)</f>
        <v>0</v>
      </c>
      <c r="M52" s="48">
        <f>Elect!AI54</f>
        <v>0</v>
      </c>
      <c r="N52" s="48">
        <f>IF(Elect!X54&lt;0,"0",Elect!X54)</f>
        <v>0</v>
      </c>
      <c r="O52" s="48">
        <f>Elect!W54</f>
        <v>0</v>
      </c>
      <c r="P52" s="48">
        <f>IF(Elect!O54&lt;0,"0",Elect!O54)</f>
        <v>0</v>
      </c>
      <c r="Q52" s="48">
        <f>Elect!N54</f>
        <v>0</v>
      </c>
      <c r="R52" s="48">
        <f>IF(Elect!L54&lt;0,"0",Elect!L54)</f>
        <v>0</v>
      </c>
      <c r="S52" s="48">
        <f>Elect!K54</f>
        <v>0</v>
      </c>
      <c r="T52" s="48">
        <f>IF(Elect!R54&lt;0,"0",Elect!R54)</f>
        <v>0</v>
      </c>
      <c r="U52" s="48">
        <f>Elect!Q54</f>
        <v>0</v>
      </c>
      <c r="V52" s="48">
        <f>IF(Elect!AA54&lt;0,"0",Elect!AA54)</f>
        <v>0</v>
      </c>
      <c r="W52" s="48">
        <f>Elect!Z54</f>
        <v>0</v>
      </c>
      <c r="X52" s="48">
        <f>IF(Elect!AD54&lt;0,"0",Elect!AD54)</f>
        <v>0</v>
      </c>
      <c r="Y52" s="48">
        <f>Elect!AC54</f>
        <v>0</v>
      </c>
      <c r="Z52" s="48">
        <f>IF(Elect!AG54&lt;0,"0",Elect!AG54)</f>
        <v>0</v>
      </c>
      <c r="AA52" s="48">
        <f>Elect!AF54</f>
        <v>0</v>
      </c>
      <c r="AB52" s="48">
        <f>IF(Elect!AX54&lt;0,"0",Elect!AX54)</f>
        <v>0</v>
      </c>
      <c r="AC52" s="48">
        <f>IF(Elect!AV54&lt;0,"0",Elect!AV54)</f>
        <v>0</v>
      </c>
      <c r="AD52" s="48">
        <f>IF(Elect!AZ54&lt;0,"0",Elect!AZ54)</f>
        <v>0</v>
      </c>
      <c r="AE52" s="48">
        <f>IF(Elect!BB54&lt;0,"0",Elect!BB54)</f>
        <v>0</v>
      </c>
      <c r="AF52" s="230">
        <f>IF('Wtr-Gas'!E54&lt;0,"0",('Wtr-Gas'!E54)*0.0038)</f>
        <v>0</v>
      </c>
      <c r="AG52" s="230">
        <f>IF('Wtr-Gas'!H54&lt;0,"0",('Wtr-Gas'!H54)*0.0038)</f>
        <v>0</v>
      </c>
      <c r="AH52" s="230">
        <f>IF('Wtr-Gas'!K54&lt;0,"0",('Wtr-Gas'!K54)*0.0038)</f>
        <v>0</v>
      </c>
      <c r="AI52" s="230">
        <f>IF('Wtr-Gas'!N54&lt;0,"0",('Wtr-Gas'!N54)*0.0038)</f>
        <v>0</v>
      </c>
      <c r="AJ52" s="230">
        <f>IF('Wtr-Gas'!Q54&lt;0,"0",('Wtr-Gas'!Q54)*0.0038)</f>
        <v>0</v>
      </c>
      <c r="AK52" s="231">
        <f>IF('Wtr-Gas'!U54&lt;0,"0",('Wtr-Gas'!U54)*0.0038)</f>
        <v>0</v>
      </c>
      <c r="AL52" s="231">
        <f>IF('Wtr-Gas'!X54&lt;0,"0",('Wtr-Gas'!X54)*0.0038)</f>
        <v>0</v>
      </c>
      <c r="AM52" s="230">
        <f>IF('Wtr-Gas'!AB54&lt;0,"0",('Wtr-Gas'!AB54)*0.0038)</f>
        <v>0</v>
      </c>
      <c r="AN52" s="230">
        <f>IF('Wtr-Gas'!AD54&lt;0,"0",('Wtr-Gas'!AD54)*0.0038)</f>
        <v>0</v>
      </c>
      <c r="AO52" s="230">
        <f>IF('Wtr-Gas'!AF54&lt;0,"0",('Wtr-Gas'!AF54)*0.0038)</f>
        <v>0</v>
      </c>
      <c r="AP52" s="230">
        <f>IF('Wtr-Gas'!AH54&lt;0,"0",('Wtr-Gas'!AH54)*0.0038)</f>
        <v>0</v>
      </c>
      <c r="AQ52" s="230">
        <f>IF('Wtr-Gas'!AJ54&lt;0,"0",('Wtr-Gas'!AJ54)*0.0038)</f>
        <v>0</v>
      </c>
      <c r="AR52" s="230">
        <f>IF('Wtr-Gas'!AL54&lt;0,"0",('Wtr-Gas'!AL54)*0.0038)</f>
        <v>0</v>
      </c>
      <c r="AS52" s="230">
        <f>IF('Wtr-Gas'!AN54&lt;0,"0",('Wtr-Gas'!AN54)*0.0038)</f>
        <v>0</v>
      </c>
      <c r="AT52" s="230">
        <f>IF('Wtr-Gas'!AP54&lt;0,"0",('Wtr-Gas'!AP54)*0.0038)</f>
        <v>0</v>
      </c>
      <c r="AU52" s="251">
        <f>IF('Wtr-Gas'!AT54&lt;0,"0",('Wtr-Gas'!AT54)*0.0038)</f>
        <v>0</v>
      </c>
      <c r="AV52" s="230">
        <f>IF('Wtr-Gas'!AW54&lt;0,"0",('Wtr-Gas'!AW54)*0.0038)</f>
        <v>0</v>
      </c>
      <c r="AW52" s="230">
        <f>IF('Wtr-Gas'!AY54&lt;0,"0",('Wtr-Gas'!AY54)*0.0038)</f>
        <v>0</v>
      </c>
      <c r="AX52" s="230">
        <f>IF('Wtr-Gas'!AZ54&lt;0,"0",('Wtr-Gas'!AZ54)*0.0038)</f>
        <v>0</v>
      </c>
      <c r="AY52" s="230">
        <f>IF('Wtr-Gas'!BB54&lt;0,"0",('Wtr-Gas'!BB54)*0.0038)</f>
        <v>0</v>
      </c>
      <c r="AZ52" s="230">
        <f>IF('Wtr-Gas'!BD54&lt;0,"0",('Wtr-Gas'!BD54)*0.0038)</f>
        <v>0</v>
      </c>
      <c r="BA52" s="230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8">
        <f>IF(Elect!AM55&lt;0,"0",Elect!AM55)</f>
        <v>0</v>
      </c>
      <c r="F53" s="48">
        <f>IF(Elect!I55&lt;0,"0",Elect!I55)</f>
        <v>0</v>
      </c>
      <c r="G53" s="48">
        <f>Elect!H55</f>
        <v>0</v>
      </c>
      <c r="H53" s="48">
        <f>IF(Elect!F55&lt;0,"0",Elect!F55)</f>
        <v>0</v>
      </c>
      <c r="I53" s="48">
        <f>Elect!E55</f>
        <v>0</v>
      </c>
      <c r="J53" s="48">
        <f>IF(Elect!U55&lt;0,"0",Elect!U55)</f>
        <v>0</v>
      </c>
      <c r="K53" s="48">
        <f>Elect!T55</f>
        <v>0</v>
      </c>
      <c r="L53" s="48">
        <f>IF(Elect!AJ55&lt;0,"0",Elect!AJ55)</f>
        <v>0</v>
      </c>
      <c r="M53" s="48">
        <f>Elect!AI55</f>
        <v>0</v>
      </c>
      <c r="N53" s="48">
        <f>IF(Elect!X55&lt;0,"0",Elect!X55)</f>
        <v>0</v>
      </c>
      <c r="O53" s="48">
        <f>Elect!W55</f>
        <v>0</v>
      </c>
      <c r="P53" s="48">
        <f>IF(Elect!O55&lt;0,"0",Elect!O55)</f>
        <v>0</v>
      </c>
      <c r="Q53" s="48">
        <f>Elect!N55</f>
        <v>0</v>
      </c>
      <c r="R53" s="48">
        <f>IF(Elect!L55&lt;0,"0",Elect!L55)</f>
        <v>0</v>
      </c>
      <c r="S53" s="48">
        <f>Elect!K55</f>
        <v>0</v>
      </c>
      <c r="T53" s="48">
        <f>IF(Elect!R55&lt;0,"0",Elect!R55)</f>
        <v>0</v>
      </c>
      <c r="U53" s="48">
        <f>Elect!Q55</f>
        <v>0</v>
      </c>
      <c r="V53" s="48">
        <f>IF(Elect!AA55&lt;0,"0",Elect!AA55)</f>
        <v>0</v>
      </c>
      <c r="W53" s="48">
        <f>Elect!Z55</f>
        <v>0</v>
      </c>
      <c r="X53" s="48">
        <f>IF(Elect!AD55&lt;0,"0",Elect!AD55)</f>
        <v>0</v>
      </c>
      <c r="Y53" s="48">
        <f>Elect!AC55</f>
        <v>0</v>
      </c>
      <c r="Z53" s="48">
        <f>IF(Elect!AG55&lt;0,"0",Elect!AG55)</f>
        <v>0</v>
      </c>
      <c r="AA53" s="48">
        <f>Elect!AF55</f>
        <v>0</v>
      </c>
      <c r="AB53" s="48">
        <f>IF(Elect!AX55&lt;0,"0",Elect!AX55)</f>
        <v>0</v>
      </c>
      <c r="AC53" s="48">
        <f>IF(Elect!AV55&lt;0,"0",Elect!AV55)</f>
        <v>0</v>
      </c>
      <c r="AD53" s="48">
        <f>IF(Elect!AZ55&lt;0,"0",Elect!AZ55)</f>
        <v>0</v>
      </c>
      <c r="AE53" s="48">
        <f>IF(Elect!BB55&lt;0,"0",Elect!BB55)</f>
        <v>0</v>
      </c>
      <c r="AF53" s="230">
        <f>IF('Wtr-Gas'!E55&lt;0,"0",('Wtr-Gas'!E55)*0.0038)</f>
        <v>0</v>
      </c>
      <c r="AG53" s="230">
        <f>IF('Wtr-Gas'!H55&lt;0,"0",('Wtr-Gas'!H55)*0.0038)</f>
        <v>0</v>
      </c>
      <c r="AH53" s="230">
        <f>IF('Wtr-Gas'!K55&lt;0,"0",('Wtr-Gas'!K55)*0.0038)</f>
        <v>0</v>
      </c>
      <c r="AI53" s="230">
        <f>IF('Wtr-Gas'!N55&lt;0,"0",('Wtr-Gas'!N55)*0.0038)</f>
        <v>0</v>
      </c>
      <c r="AJ53" s="230">
        <f>IF('Wtr-Gas'!Q55&lt;0,"0",('Wtr-Gas'!Q55)*0.0038)</f>
        <v>0</v>
      </c>
      <c r="AK53" s="231">
        <f>IF('Wtr-Gas'!U55&lt;0,"0",('Wtr-Gas'!U55)*0.0038)</f>
        <v>0</v>
      </c>
      <c r="AL53" s="231">
        <f>IF('Wtr-Gas'!X55&lt;0,"0",('Wtr-Gas'!X55)*0.0038)</f>
        <v>0</v>
      </c>
      <c r="AM53" s="230">
        <f>IF('Wtr-Gas'!AB55&lt;0,"0",('Wtr-Gas'!AB55)*0.0038)</f>
        <v>0</v>
      </c>
      <c r="AN53" s="230">
        <f>IF('Wtr-Gas'!AD55&lt;0,"0",('Wtr-Gas'!AD55)*0.0038)</f>
        <v>0</v>
      </c>
      <c r="AO53" s="230">
        <f>IF('Wtr-Gas'!AF55&lt;0,"0",('Wtr-Gas'!AF55)*0.0038)</f>
        <v>0</v>
      </c>
      <c r="AP53" s="230">
        <f>IF('Wtr-Gas'!AH55&lt;0,"0",('Wtr-Gas'!AH55)*0.0038)</f>
        <v>0</v>
      </c>
      <c r="AQ53" s="230">
        <f>IF('Wtr-Gas'!AJ55&lt;0,"0",('Wtr-Gas'!AJ55)*0.0038)</f>
        <v>0</v>
      </c>
      <c r="AR53" s="230">
        <f>IF('Wtr-Gas'!AL55&lt;0,"0",('Wtr-Gas'!AL55)*0.0038)</f>
        <v>0</v>
      </c>
      <c r="AS53" s="230">
        <f>IF('Wtr-Gas'!AN55&lt;0,"0",('Wtr-Gas'!AN55)*0.0038)</f>
        <v>0</v>
      </c>
      <c r="AT53" s="230">
        <f>IF('Wtr-Gas'!AP55&lt;0,"0",('Wtr-Gas'!AP55)*0.0038)</f>
        <v>0</v>
      </c>
      <c r="AU53" s="251">
        <f>IF('Wtr-Gas'!AT55&lt;0,"0",('Wtr-Gas'!AT55)*0.0038)</f>
        <v>0</v>
      </c>
      <c r="AV53" s="230">
        <f>IF('Wtr-Gas'!AW55&lt;0,"0",('Wtr-Gas'!AW55)*0.0038)</f>
        <v>0</v>
      </c>
      <c r="AW53" s="230">
        <f>IF('Wtr-Gas'!AY55&lt;0,"0",('Wtr-Gas'!AY55)*0.0038)</f>
        <v>0</v>
      </c>
      <c r="AX53" s="230">
        <f>IF('Wtr-Gas'!AZ55&lt;0,"0",('Wtr-Gas'!AZ55)*0.0038)</f>
        <v>0</v>
      </c>
      <c r="AY53" s="230">
        <f>IF('Wtr-Gas'!BB55&lt;0,"0",('Wtr-Gas'!BB55)*0.0038)</f>
        <v>0</v>
      </c>
      <c r="AZ53" s="230">
        <f>IF('Wtr-Gas'!BD55&lt;0,"0",('Wtr-Gas'!BD55)*0.0038)</f>
        <v>0</v>
      </c>
      <c r="BA53" s="230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8">
        <f>IF(Elect!AM56&lt;0,"0",Elect!AM56)</f>
        <v>0</v>
      </c>
      <c r="F54" s="48">
        <f>IF(Elect!I56&lt;0,"0",Elect!I56)</f>
        <v>0</v>
      </c>
      <c r="G54" s="48">
        <f>Elect!H56</f>
        <v>0</v>
      </c>
      <c r="H54" s="48">
        <f>IF(Elect!F56&lt;0,"0",Elect!F56)</f>
        <v>0</v>
      </c>
      <c r="I54" s="48">
        <f>Elect!E56</f>
        <v>0</v>
      </c>
      <c r="J54" s="48">
        <f>IF(Elect!U56&lt;0,"0",Elect!U56)</f>
        <v>0</v>
      </c>
      <c r="K54" s="48">
        <f>Elect!T56</f>
        <v>0</v>
      </c>
      <c r="L54" s="48">
        <f>IF(Elect!AJ56&lt;0,"0",Elect!AJ56)</f>
        <v>0</v>
      </c>
      <c r="M54" s="48">
        <f>Elect!AI56</f>
        <v>0</v>
      </c>
      <c r="N54" s="48">
        <f>IF(Elect!X56&lt;0,"0",Elect!X56)</f>
        <v>0</v>
      </c>
      <c r="O54" s="48">
        <f>Elect!W56</f>
        <v>0</v>
      </c>
      <c r="P54" s="48">
        <f>IF(Elect!O56&lt;0,"0",Elect!O56)</f>
        <v>0</v>
      </c>
      <c r="Q54" s="48">
        <f>Elect!N56</f>
        <v>0</v>
      </c>
      <c r="R54" s="48">
        <f>IF(Elect!L56&lt;0,"0",Elect!L56)</f>
        <v>0</v>
      </c>
      <c r="S54" s="48">
        <f>Elect!K56</f>
        <v>0</v>
      </c>
      <c r="T54" s="48">
        <f>IF(Elect!R56&lt;0,"0",Elect!R56)</f>
        <v>0</v>
      </c>
      <c r="U54" s="48">
        <f>Elect!Q56</f>
        <v>0</v>
      </c>
      <c r="V54" s="48">
        <f>IF(Elect!AA56&lt;0,"0",Elect!AA56)</f>
        <v>0</v>
      </c>
      <c r="W54" s="48">
        <f>Elect!Z56</f>
        <v>0</v>
      </c>
      <c r="X54" s="48">
        <f>IF(Elect!AD56&lt;0,"0",Elect!AD56)</f>
        <v>0</v>
      </c>
      <c r="Y54" s="48">
        <f>Elect!AC56</f>
        <v>0</v>
      </c>
      <c r="Z54" s="48">
        <f>IF(Elect!AG56&lt;0,"0",Elect!AG56)</f>
        <v>0</v>
      </c>
      <c r="AA54" s="48">
        <f>Elect!AF56</f>
        <v>0</v>
      </c>
      <c r="AB54" s="48">
        <f>IF(Elect!AX56&lt;0,"0",Elect!AX56)</f>
        <v>0</v>
      </c>
      <c r="AC54" s="48">
        <f>IF(Elect!AV56&lt;0,"0",Elect!AV56)</f>
        <v>0</v>
      </c>
      <c r="AD54" s="48">
        <f>IF(Elect!AZ56&lt;0,"0",Elect!AZ56)</f>
        <v>0</v>
      </c>
      <c r="AE54" s="48">
        <f>IF(Elect!BB56&lt;0,"0",Elect!BB56)</f>
        <v>0</v>
      </c>
      <c r="AF54" s="230">
        <f>IF('Wtr-Gas'!E56&lt;0,"0",('Wtr-Gas'!E56)*0.0038)</f>
        <v>0</v>
      </c>
      <c r="AG54" s="230">
        <f>IF('Wtr-Gas'!H56&lt;0,"0",('Wtr-Gas'!H56)*0.0038)</f>
        <v>0</v>
      </c>
      <c r="AH54" s="230">
        <f>IF('Wtr-Gas'!K56&lt;0,"0",('Wtr-Gas'!K56)*0.0038)</f>
        <v>0</v>
      </c>
      <c r="AI54" s="230">
        <f>IF('Wtr-Gas'!N56&lt;0,"0",('Wtr-Gas'!N56)*0.0038)</f>
        <v>0</v>
      </c>
      <c r="AJ54" s="230">
        <f>IF('Wtr-Gas'!Q56&lt;0,"0",('Wtr-Gas'!Q56)*0.0038)</f>
        <v>0</v>
      </c>
      <c r="AK54" s="231">
        <f>IF('Wtr-Gas'!U56&lt;0,"0",('Wtr-Gas'!U56)*0.0038)</f>
        <v>0</v>
      </c>
      <c r="AL54" s="231">
        <f>IF('Wtr-Gas'!X56&lt;0,"0",('Wtr-Gas'!X56)*0.0038)</f>
        <v>0</v>
      </c>
      <c r="AM54" s="230">
        <f>IF('Wtr-Gas'!AB56&lt;0,"0",('Wtr-Gas'!AB56)*0.0038)</f>
        <v>0</v>
      </c>
      <c r="AN54" s="230">
        <f>IF('Wtr-Gas'!AD56&lt;0,"0",('Wtr-Gas'!AD56)*0.0038)</f>
        <v>0</v>
      </c>
      <c r="AO54" s="230">
        <f>IF('Wtr-Gas'!AF56&lt;0,"0",('Wtr-Gas'!AF56)*0.0038)</f>
        <v>0</v>
      </c>
      <c r="AP54" s="230">
        <f>IF('Wtr-Gas'!AH56&lt;0,"0",('Wtr-Gas'!AH56)*0.0038)</f>
        <v>0</v>
      </c>
      <c r="AQ54" s="230">
        <f>IF('Wtr-Gas'!AJ56&lt;0,"0",('Wtr-Gas'!AJ56)*0.0038)</f>
        <v>0</v>
      </c>
      <c r="AR54" s="230">
        <f>IF('Wtr-Gas'!AL56&lt;0,"0",('Wtr-Gas'!AL56)*0.0038)</f>
        <v>0</v>
      </c>
      <c r="AS54" s="230">
        <f>IF('Wtr-Gas'!AN56&lt;0,"0",('Wtr-Gas'!AN56)*0.0038)</f>
        <v>0</v>
      </c>
      <c r="AT54" s="230">
        <f>IF('Wtr-Gas'!AP56&lt;0,"0",('Wtr-Gas'!AP56)*0.0038)</f>
        <v>0</v>
      </c>
      <c r="AU54" s="251">
        <f>IF('Wtr-Gas'!AT56&lt;0,"0",('Wtr-Gas'!AT56)*0.0038)</f>
        <v>0</v>
      </c>
      <c r="AV54" s="230">
        <f>IF('Wtr-Gas'!AW56&lt;0,"0",('Wtr-Gas'!AW56)*0.0038)</f>
        <v>0</v>
      </c>
      <c r="AW54" s="230">
        <f>IF('Wtr-Gas'!AY56&lt;0,"0",('Wtr-Gas'!AY56)*0.0038)</f>
        <v>0</v>
      </c>
      <c r="AX54" s="230">
        <f>IF('Wtr-Gas'!AZ56&lt;0,"0",('Wtr-Gas'!AZ56)*0.0038)</f>
        <v>0</v>
      </c>
      <c r="AY54" s="230">
        <f>IF('Wtr-Gas'!BB56&lt;0,"0",('Wtr-Gas'!BB56)*0.0038)</f>
        <v>0</v>
      </c>
      <c r="AZ54" s="230">
        <f>IF('Wtr-Gas'!BD56&lt;0,"0",('Wtr-Gas'!BD56)*0.0038)</f>
        <v>0</v>
      </c>
      <c r="BA54" s="230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8">
        <f>IF(Elect!AM57&lt;0,"0",Elect!AM57)</f>
        <v>0</v>
      </c>
      <c r="F55" s="48">
        <f>IF(Elect!I57&lt;0,"0",Elect!I57)</f>
        <v>0</v>
      </c>
      <c r="G55" s="48">
        <f>Elect!H57</f>
        <v>0</v>
      </c>
      <c r="H55" s="48">
        <f>IF(Elect!F57&lt;0,"0",Elect!F57)</f>
        <v>0</v>
      </c>
      <c r="I55" s="48">
        <f>Elect!E57</f>
        <v>0</v>
      </c>
      <c r="J55" s="48">
        <f>IF(Elect!U57&lt;0,"0",Elect!U57)</f>
        <v>0</v>
      </c>
      <c r="K55" s="48">
        <f>Elect!T57</f>
        <v>0</v>
      </c>
      <c r="L55" s="48">
        <f>IF(Elect!AJ57&lt;0,"0",Elect!AJ57)</f>
        <v>0</v>
      </c>
      <c r="M55" s="48">
        <f>Elect!AI57</f>
        <v>0</v>
      </c>
      <c r="N55" s="48">
        <f>IF(Elect!X57&lt;0,"0",Elect!X57)</f>
        <v>0</v>
      </c>
      <c r="O55" s="48">
        <f>Elect!W57</f>
        <v>0</v>
      </c>
      <c r="P55" s="48">
        <f>IF(Elect!O57&lt;0,"0",Elect!O57)</f>
        <v>0</v>
      </c>
      <c r="Q55" s="48">
        <f>Elect!N57</f>
        <v>0</v>
      </c>
      <c r="R55" s="48">
        <f>IF(Elect!L57&lt;0,"0",Elect!L57)</f>
        <v>0</v>
      </c>
      <c r="S55" s="48">
        <f>Elect!K57</f>
        <v>0</v>
      </c>
      <c r="T55" s="48">
        <f>IF(Elect!R57&lt;0,"0",Elect!R57)</f>
        <v>0</v>
      </c>
      <c r="U55" s="48">
        <f>Elect!Q57</f>
        <v>0</v>
      </c>
      <c r="V55" s="48">
        <f>IF(Elect!AA57&lt;0,"0",Elect!AA57)</f>
        <v>0</v>
      </c>
      <c r="W55" s="48">
        <f>Elect!Z57</f>
        <v>0</v>
      </c>
      <c r="X55" s="48">
        <f>IF(Elect!AD57&lt;0,"0",Elect!AD57)</f>
        <v>0</v>
      </c>
      <c r="Y55" s="48">
        <f>Elect!AC57</f>
        <v>0</v>
      </c>
      <c r="Z55" s="48">
        <f>IF(Elect!AG57&lt;0,"0",Elect!AG57)</f>
        <v>0</v>
      </c>
      <c r="AA55" s="48">
        <f>Elect!AF57</f>
        <v>0</v>
      </c>
      <c r="AB55" s="48">
        <f>IF(Elect!AX57&lt;0,"0",Elect!AX57)</f>
        <v>0</v>
      </c>
      <c r="AC55" s="48">
        <f>IF(Elect!AV57&lt;0,"0",Elect!AV57)</f>
        <v>0</v>
      </c>
      <c r="AD55" s="48">
        <f>IF(Elect!AZ57&lt;0,"0",Elect!AZ57)</f>
        <v>0</v>
      </c>
      <c r="AE55" s="48">
        <f>IF(Elect!BB57&lt;0,"0",Elect!BB57)</f>
        <v>0</v>
      </c>
      <c r="AF55" s="230">
        <f>IF('Wtr-Gas'!E57&lt;0,"0",('Wtr-Gas'!E57)*0.0038)</f>
        <v>0</v>
      </c>
      <c r="AG55" s="230">
        <f>IF('Wtr-Gas'!H57&lt;0,"0",('Wtr-Gas'!H57)*0.0038)</f>
        <v>0</v>
      </c>
      <c r="AH55" s="230">
        <f>IF('Wtr-Gas'!K57&lt;0,"0",('Wtr-Gas'!K57)*0.0038)</f>
        <v>0</v>
      </c>
      <c r="AI55" s="230">
        <f>IF('Wtr-Gas'!N57&lt;0,"0",('Wtr-Gas'!N57)*0.0038)</f>
        <v>0</v>
      </c>
      <c r="AJ55" s="230">
        <f>IF('Wtr-Gas'!Q57&lt;0,"0",('Wtr-Gas'!Q57)*0.0038)</f>
        <v>0</v>
      </c>
      <c r="AK55" s="231">
        <f>IF('Wtr-Gas'!U57&lt;0,"0",('Wtr-Gas'!U57)*0.0038)</f>
        <v>0</v>
      </c>
      <c r="AL55" s="231">
        <f>IF('Wtr-Gas'!X57&lt;0,"0",('Wtr-Gas'!X57)*0.0038)</f>
        <v>0</v>
      </c>
      <c r="AM55" s="230">
        <f>IF('Wtr-Gas'!AB57&lt;0,"0",('Wtr-Gas'!AB57)*0.0038)</f>
        <v>0</v>
      </c>
      <c r="AN55" s="230">
        <f>IF('Wtr-Gas'!AD57&lt;0,"0",('Wtr-Gas'!AD57)*0.0038)</f>
        <v>0</v>
      </c>
      <c r="AO55" s="230">
        <f>IF('Wtr-Gas'!AF57&lt;0,"0",('Wtr-Gas'!AF57)*0.0038)</f>
        <v>0</v>
      </c>
      <c r="AP55" s="230">
        <f>IF('Wtr-Gas'!AH57&lt;0,"0",('Wtr-Gas'!AH57)*0.0038)</f>
        <v>0</v>
      </c>
      <c r="AQ55" s="230">
        <f>IF('Wtr-Gas'!AJ57&lt;0,"0",('Wtr-Gas'!AJ57)*0.0038)</f>
        <v>0</v>
      </c>
      <c r="AR55" s="230">
        <f>IF('Wtr-Gas'!AL57&lt;0,"0",('Wtr-Gas'!AL57)*0.0038)</f>
        <v>0</v>
      </c>
      <c r="AS55" s="230">
        <f>IF('Wtr-Gas'!AN57&lt;0,"0",('Wtr-Gas'!AN57)*0.0038)</f>
        <v>0</v>
      </c>
      <c r="AT55" s="230">
        <f>IF('Wtr-Gas'!AP57&lt;0,"0",('Wtr-Gas'!AP57)*0.0038)</f>
        <v>0</v>
      </c>
      <c r="AU55" s="251">
        <f>IF('Wtr-Gas'!AT57&lt;0,"0",('Wtr-Gas'!AT57)*0.0038)</f>
        <v>0</v>
      </c>
      <c r="AV55" s="230">
        <f>IF('Wtr-Gas'!AW57&lt;0,"0",('Wtr-Gas'!AW57)*0.0038)</f>
        <v>0</v>
      </c>
      <c r="AW55" s="230">
        <f>IF('Wtr-Gas'!AY57&lt;0,"0",('Wtr-Gas'!AY57)*0.0038)</f>
        <v>0</v>
      </c>
      <c r="AX55" s="230">
        <f>IF('Wtr-Gas'!AZ57&lt;0,"0",('Wtr-Gas'!AZ57)*0.0038)</f>
        <v>0</v>
      </c>
      <c r="AY55" s="230">
        <f>IF('Wtr-Gas'!BB57&lt;0,"0",('Wtr-Gas'!BB57)*0.0038)</f>
        <v>0</v>
      </c>
      <c r="AZ55" s="230">
        <f>IF('Wtr-Gas'!BD57&lt;0,"0",('Wtr-Gas'!BD57)*0.0038)</f>
        <v>0</v>
      </c>
      <c r="BA55" s="230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8">
        <f>IF(Elect!AM58&lt;0,"0",Elect!AM58)</f>
        <v>0</v>
      </c>
      <c r="F56" s="48">
        <f>IF(Elect!I58&lt;0,"0",Elect!I58)</f>
        <v>0</v>
      </c>
      <c r="G56" s="48">
        <f>Elect!H58</f>
        <v>0</v>
      </c>
      <c r="H56" s="48">
        <f>IF(Elect!F58&lt;0,"0",Elect!F58)</f>
        <v>0</v>
      </c>
      <c r="I56" s="48">
        <f>Elect!E58</f>
        <v>0</v>
      </c>
      <c r="J56" s="48">
        <f>IF(Elect!U58&lt;0,"0",Elect!U58)</f>
        <v>0</v>
      </c>
      <c r="K56" s="48">
        <f>Elect!T58</f>
        <v>0</v>
      </c>
      <c r="L56" s="48">
        <f>IF(Elect!AJ58&lt;0,"0",Elect!AJ58)</f>
        <v>0</v>
      </c>
      <c r="M56" s="48">
        <f>Elect!AI58</f>
        <v>0</v>
      </c>
      <c r="N56" s="48">
        <f>IF(Elect!X58&lt;0,"0",Elect!X58)</f>
        <v>0</v>
      </c>
      <c r="O56" s="48">
        <f>Elect!W58</f>
        <v>0</v>
      </c>
      <c r="P56" s="48">
        <f>IF(Elect!O58&lt;0,"0",Elect!O58)</f>
        <v>0</v>
      </c>
      <c r="Q56" s="48">
        <f>Elect!N58</f>
        <v>0</v>
      </c>
      <c r="R56" s="48">
        <f>IF(Elect!L58&lt;0,"0",Elect!L58)</f>
        <v>0</v>
      </c>
      <c r="S56" s="48">
        <f>Elect!K58</f>
        <v>0</v>
      </c>
      <c r="T56" s="48">
        <f>IF(Elect!R58&lt;0,"0",Elect!R58)</f>
        <v>0</v>
      </c>
      <c r="U56" s="48">
        <f>Elect!Q58</f>
        <v>0</v>
      </c>
      <c r="V56" s="48">
        <f>IF(Elect!AA58&lt;0,"0",Elect!AA58)</f>
        <v>0</v>
      </c>
      <c r="W56" s="48">
        <f>Elect!Z58</f>
        <v>0</v>
      </c>
      <c r="X56" s="48">
        <f>IF(Elect!AD58&lt;0,"0",Elect!AD58)</f>
        <v>0</v>
      </c>
      <c r="Y56" s="48">
        <f>Elect!AC58</f>
        <v>0</v>
      </c>
      <c r="Z56" s="48">
        <f>IF(Elect!AG58&lt;0,"0",Elect!AG58)</f>
        <v>0</v>
      </c>
      <c r="AA56" s="48">
        <f>Elect!AF58</f>
        <v>0</v>
      </c>
      <c r="AB56" s="48">
        <f>IF(Elect!AX58&lt;0,"0",Elect!AX58)</f>
        <v>0</v>
      </c>
      <c r="AC56" s="48">
        <f>IF(Elect!AV58&lt;0,"0",Elect!AV58)</f>
        <v>0</v>
      </c>
      <c r="AD56" s="48">
        <f>IF(Elect!AZ58&lt;0,"0",Elect!AZ58)</f>
        <v>0</v>
      </c>
      <c r="AE56" s="48">
        <f>IF(Elect!BB58&lt;0,"0",Elect!BB58)</f>
        <v>0</v>
      </c>
      <c r="AF56" s="230">
        <f>IF('Wtr-Gas'!E58&lt;0,"0",('Wtr-Gas'!E58)*0.0038)</f>
        <v>0</v>
      </c>
      <c r="AG56" s="230">
        <f>IF('Wtr-Gas'!H58&lt;0,"0",('Wtr-Gas'!H58)*0.0038)</f>
        <v>0</v>
      </c>
      <c r="AH56" s="230">
        <f>IF('Wtr-Gas'!K58&lt;0,"0",('Wtr-Gas'!K58)*0.0038)</f>
        <v>0</v>
      </c>
      <c r="AI56" s="230">
        <f>IF('Wtr-Gas'!N58&lt;0,"0",('Wtr-Gas'!N58)*0.0038)</f>
        <v>0</v>
      </c>
      <c r="AJ56" s="230">
        <f>IF('Wtr-Gas'!Q58&lt;0,"0",('Wtr-Gas'!Q58)*0.0038)</f>
        <v>0</v>
      </c>
      <c r="AK56" s="231">
        <f>IF('Wtr-Gas'!U58&lt;0,"0",('Wtr-Gas'!U58)*0.0038)</f>
        <v>0</v>
      </c>
      <c r="AL56" s="231">
        <f>IF('Wtr-Gas'!X58&lt;0,"0",('Wtr-Gas'!X58)*0.0038)</f>
        <v>0</v>
      </c>
      <c r="AM56" s="230">
        <f>IF('Wtr-Gas'!AB58&lt;0,"0",('Wtr-Gas'!AB58)*0.0038)</f>
        <v>0</v>
      </c>
      <c r="AN56" s="230">
        <f>IF('Wtr-Gas'!AD58&lt;0,"0",('Wtr-Gas'!AD58)*0.0038)</f>
        <v>0</v>
      </c>
      <c r="AO56" s="230">
        <f>IF('Wtr-Gas'!AF58&lt;0,"0",('Wtr-Gas'!AF58)*0.0038)</f>
        <v>0</v>
      </c>
      <c r="AP56" s="230">
        <f>IF('Wtr-Gas'!AH58&lt;0,"0",('Wtr-Gas'!AH58)*0.0038)</f>
        <v>0</v>
      </c>
      <c r="AQ56" s="230">
        <f>IF('Wtr-Gas'!AJ58&lt;0,"0",('Wtr-Gas'!AJ58)*0.0038)</f>
        <v>0</v>
      </c>
      <c r="AR56" s="230">
        <f>IF('Wtr-Gas'!AL58&lt;0,"0",('Wtr-Gas'!AL58)*0.0038)</f>
        <v>0</v>
      </c>
      <c r="AS56" s="230">
        <f>IF('Wtr-Gas'!AN58&lt;0,"0",('Wtr-Gas'!AN58)*0.0038)</f>
        <v>0</v>
      </c>
      <c r="AT56" s="230">
        <f>IF('Wtr-Gas'!AP58&lt;0,"0",('Wtr-Gas'!AP58)*0.0038)</f>
        <v>0</v>
      </c>
      <c r="AU56" s="251">
        <f>IF('Wtr-Gas'!AT58&lt;0,"0",('Wtr-Gas'!AT58)*0.0038)</f>
        <v>0</v>
      </c>
      <c r="AV56" s="230">
        <f>IF('Wtr-Gas'!AW58&lt;0,"0",('Wtr-Gas'!AW58)*0.0038)</f>
        <v>0</v>
      </c>
      <c r="AW56" s="230">
        <f>IF('Wtr-Gas'!AY58&lt;0,"0",('Wtr-Gas'!AY58)*0.0038)</f>
        <v>0</v>
      </c>
      <c r="AX56" s="230">
        <f>IF('Wtr-Gas'!AZ58&lt;0,"0",('Wtr-Gas'!AZ58)*0.0038)</f>
        <v>0</v>
      </c>
      <c r="AY56" s="230">
        <f>IF('Wtr-Gas'!BB58&lt;0,"0",('Wtr-Gas'!BB58)*0.0038)</f>
        <v>0</v>
      </c>
      <c r="AZ56" s="230">
        <f>IF('Wtr-Gas'!BD58&lt;0,"0",('Wtr-Gas'!BD58)*0.0038)</f>
        <v>0</v>
      </c>
      <c r="BA56" s="230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8">
        <f>IF(Elect!AM59&lt;0,"0",Elect!AM59)</f>
        <v>0</v>
      </c>
      <c r="F57" s="48">
        <f>IF(Elect!I59&lt;0,"0",Elect!I59)</f>
        <v>0</v>
      </c>
      <c r="G57" s="48">
        <f>Elect!H59</f>
        <v>0</v>
      </c>
      <c r="H57" s="48">
        <f>IF(Elect!F59&lt;0,"0",Elect!F59)</f>
        <v>0</v>
      </c>
      <c r="I57" s="48">
        <f>Elect!E59</f>
        <v>0</v>
      </c>
      <c r="J57" s="48">
        <f>IF(Elect!U59&lt;0,"0",Elect!U59)</f>
        <v>0</v>
      </c>
      <c r="K57" s="48">
        <f>Elect!T59</f>
        <v>0</v>
      </c>
      <c r="L57" s="48">
        <f>IF(Elect!AJ59&lt;0,"0",Elect!AJ59)</f>
        <v>0</v>
      </c>
      <c r="M57" s="48">
        <f>Elect!AI59</f>
        <v>0</v>
      </c>
      <c r="N57" s="48">
        <f>IF(Elect!X59&lt;0,"0",Elect!X59)</f>
        <v>0</v>
      </c>
      <c r="O57" s="48">
        <f>Elect!W59</f>
        <v>0</v>
      </c>
      <c r="P57" s="48">
        <f>IF(Elect!O59&lt;0,"0",Elect!O59)</f>
        <v>0</v>
      </c>
      <c r="Q57" s="48">
        <f>Elect!N59</f>
        <v>0</v>
      </c>
      <c r="R57" s="48">
        <f>IF(Elect!L59&lt;0,"0",Elect!L59)</f>
        <v>0</v>
      </c>
      <c r="S57" s="48">
        <f>Elect!K59</f>
        <v>0</v>
      </c>
      <c r="T57" s="48">
        <f>IF(Elect!R59&lt;0,"0",Elect!R59)</f>
        <v>0</v>
      </c>
      <c r="U57" s="48">
        <f>Elect!Q59</f>
        <v>0</v>
      </c>
      <c r="V57" s="48">
        <f>IF(Elect!AA59&lt;0,"0",Elect!AA59)</f>
        <v>0</v>
      </c>
      <c r="W57" s="48">
        <f>Elect!Z59</f>
        <v>0</v>
      </c>
      <c r="X57" s="48">
        <f>IF(Elect!AD59&lt;0,"0",Elect!AD59)</f>
        <v>0</v>
      </c>
      <c r="Y57" s="48">
        <f>Elect!AC59</f>
        <v>0</v>
      </c>
      <c r="Z57" s="48">
        <f>IF(Elect!AG59&lt;0,"0",Elect!AG59)</f>
        <v>0</v>
      </c>
      <c r="AA57" s="48">
        <f>Elect!AF59</f>
        <v>0</v>
      </c>
      <c r="AB57" s="48">
        <f>IF(Elect!AX59&lt;0,"0",Elect!AX59)</f>
        <v>0</v>
      </c>
      <c r="AC57" s="48">
        <f>IF(Elect!AV59&lt;0,"0",Elect!AV59)</f>
        <v>0</v>
      </c>
      <c r="AD57" s="48">
        <f>IF(Elect!AZ59&lt;0,"0",Elect!AZ59)</f>
        <v>0</v>
      </c>
      <c r="AE57" s="48">
        <f>IF(Elect!BB59&lt;0,"0",Elect!BB59)</f>
        <v>0</v>
      </c>
      <c r="AF57" s="230">
        <f>IF('Wtr-Gas'!E59&lt;0,"0",('Wtr-Gas'!E59)*0.0038)</f>
        <v>0</v>
      </c>
      <c r="AG57" s="230">
        <f>IF('Wtr-Gas'!H59&lt;0,"0",('Wtr-Gas'!H59)*0.0038)</f>
        <v>0</v>
      </c>
      <c r="AH57" s="230">
        <f>IF('Wtr-Gas'!K59&lt;0,"0",('Wtr-Gas'!K59)*0.0038)</f>
        <v>0</v>
      </c>
      <c r="AI57" s="230">
        <f>IF('Wtr-Gas'!N59&lt;0,"0",('Wtr-Gas'!N59)*0.0038)</f>
        <v>0</v>
      </c>
      <c r="AJ57" s="230">
        <f>IF('Wtr-Gas'!Q59&lt;0,"0",('Wtr-Gas'!Q59)*0.0038)</f>
        <v>0</v>
      </c>
      <c r="AK57" s="231">
        <f>IF('Wtr-Gas'!U59&lt;0,"0",('Wtr-Gas'!U59)*0.0038)</f>
        <v>0</v>
      </c>
      <c r="AL57" s="231">
        <f>IF('Wtr-Gas'!X59&lt;0,"0",('Wtr-Gas'!X59)*0.0038)</f>
        <v>0</v>
      </c>
      <c r="AM57" s="230">
        <f>IF('Wtr-Gas'!AB59&lt;0,"0",('Wtr-Gas'!AB59)*0.0038)</f>
        <v>0</v>
      </c>
      <c r="AN57" s="230">
        <f>IF('Wtr-Gas'!AD59&lt;0,"0",('Wtr-Gas'!AD59)*0.0038)</f>
        <v>0</v>
      </c>
      <c r="AO57" s="230">
        <f>IF('Wtr-Gas'!AF59&lt;0,"0",('Wtr-Gas'!AF59)*0.0038)</f>
        <v>0</v>
      </c>
      <c r="AP57" s="230">
        <f>IF('Wtr-Gas'!AH59&lt;0,"0",('Wtr-Gas'!AH59)*0.0038)</f>
        <v>0</v>
      </c>
      <c r="AQ57" s="230">
        <f>IF('Wtr-Gas'!AJ59&lt;0,"0",('Wtr-Gas'!AJ59)*0.0038)</f>
        <v>0</v>
      </c>
      <c r="AR57" s="230">
        <f>IF('Wtr-Gas'!AL59&lt;0,"0",('Wtr-Gas'!AL59)*0.0038)</f>
        <v>0</v>
      </c>
      <c r="AS57" s="230">
        <f>IF('Wtr-Gas'!AN59&lt;0,"0",('Wtr-Gas'!AN59)*0.0038)</f>
        <v>0</v>
      </c>
      <c r="AT57" s="230">
        <f>IF('Wtr-Gas'!AP59&lt;0,"0",('Wtr-Gas'!AP59)*0.0038)</f>
        <v>0</v>
      </c>
      <c r="AU57" s="251">
        <f>IF('Wtr-Gas'!AT59&lt;0,"0",('Wtr-Gas'!AT59)*0.0038)</f>
        <v>0</v>
      </c>
      <c r="AV57" s="230">
        <f>IF('Wtr-Gas'!AW59&lt;0,"0",('Wtr-Gas'!AW59)*0.0038)</f>
        <v>0</v>
      </c>
      <c r="AW57" s="230">
        <f>IF('Wtr-Gas'!AY59&lt;0,"0",('Wtr-Gas'!AY59)*0.0038)</f>
        <v>0</v>
      </c>
      <c r="AX57" s="230">
        <f>IF('Wtr-Gas'!AZ59&lt;0,"0",('Wtr-Gas'!AZ59)*0.0038)</f>
        <v>0</v>
      </c>
      <c r="AY57" s="230">
        <f>IF('Wtr-Gas'!BB59&lt;0,"0",('Wtr-Gas'!BB59)*0.0038)</f>
        <v>0</v>
      </c>
      <c r="AZ57" s="230">
        <f>IF('Wtr-Gas'!BD59&lt;0,"0",('Wtr-Gas'!BD59)*0.0038)</f>
        <v>0</v>
      </c>
      <c r="BA57" s="230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8">
        <f>IF(Elect!AM60&lt;0,"0",Elect!AM60)</f>
        <v>0</v>
      </c>
      <c r="F58" s="48">
        <f>IF(Elect!I60&lt;0,"0",Elect!I60)</f>
        <v>0</v>
      </c>
      <c r="G58" s="48">
        <f>Elect!H60</f>
        <v>0</v>
      </c>
      <c r="H58" s="48">
        <f>IF(Elect!F60&lt;0,"0",Elect!F60)</f>
        <v>0</v>
      </c>
      <c r="I58" s="48">
        <f>Elect!E60</f>
        <v>0</v>
      </c>
      <c r="J58" s="48">
        <f>IF(Elect!U60&lt;0,"0",Elect!U60)</f>
        <v>0</v>
      </c>
      <c r="K58" s="48">
        <f>Elect!T60</f>
        <v>0</v>
      </c>
      <c r="L58" s="48">
        <f>IF(Elect!AJ60&lt;0,"0",Elect!AJ60)</f>
        <v>0</v>
      </c>
      <c r="M58" s="48">
        <f>Elect!AI60</f>
        <v>0</v>
      </c>
      <c r="N58" s="48">
        <f>IF(Elect!X60&lt;0,"0",Elect!X60)</f>
        <v>0</v>
      </c>
      <c r="O58" s="48">
        <f>Elect!W60</f>
        <v>0</v>
      </c>
      <c r="P58" s="48">
        <f>IF(Elect!O60&lt;0,"0",Elect!O60)</f>
        <v>0</v>
      </c>
      <c r="Q58" s="48">
        <f>Elect!N60</f>
        <v>0</v>
      </c>
      <c r="R58" s="48">
        <f>IF(Elect!L60&lt;0,"0",Elect!L60)</f>
        <v>0</v>
      </c>
      <c r="S58" s="48">
        <f>Elect!K60</f>
        <v>0</v>
      </c>
      <c r="T58" s="48">
        <f>IF(Elect!R60&lt;0,"0",Elect!R60)</f>
        <v>0</v>
      </c>
      <c r="U58" s="48">
        <f>Elect!Q60</f>
        <v>0</v>
      </c>
      <c r="V58" s="48">
        <f>IF(Elect!AA60&lt;0,"0",Elect!AA60)</f>
        <v>0</v>
      </c>
      <c r="W58" s="48">
        <f>Elect!Z60</f>
        <v>0</v>
      </c>
      <c r="X58" s="48">
        <f>IF(Elect!AD60&lt;0,"0",Elect!AD60)</f>
        <v>0</v>
      </c>
      <c r="Y58" s="48">
        <f>Elect!AC60</f>
        <v>0</v>
      </c>
      <c r="Z58" s="48">
        <f>IF(Elect!AG60&lt;0,"0",Elect!AG60)</f>
        <v>0</v>
      </c>
      <c r="AA58" s="48">
        <f>Elect!AF60</f>
        <v>0</v>
      </c>
      <c r="AB58" s="48">
        <f>IF(Elect!AX60&lt;0,"0",Elect!AX60)</f>
        <v>0</v>
      </c>
      <c r="AC58" s="48">
        <f>IF(Elect!AV60&lt;0,"0",Elect!AV60)</f>
        <v>0</v>
      </c>
      <c r="AD58" s="48">
        <f>IF(Elect!AZ60&lt;0,"0",Elect!AZ60)</f>
        <v>0</v>
      </c>
      <c r="AE58" s="48">
        <f>IF(Elect!BB60&lt;0,"0",Elect!BB60)</f>
        <v>0</v>
      </c>
      <c r="AF58" s="230">
        <f>IF('Wtr-Gas'!E60&lt;0,"0",('Wtr-Gas'!E60)*0.0038)</f>
        <v>0</v>
      </c>
      <c r="AG58" s="230">
        <f>IF('Wtr-Gas'!H60&lt;0,"0",('Wtr-Gas'!H60)*0.0038)</f>
        <v>0</v>
      </c>
      <c r="AH58" s="230">
        <f>IF('Wtr-Gas'!K60&lt;0,"0",('Wtr-Gas'!K60)*0.0038)</f>
        <v>0</v>
      </c>
      <c r="AI58" s="230">
        <f>IF('Wtr-Gas'!N60&lt;0,"0",('Wtr-Gas'!N60)*0.0038)</f>
        <v>0</v>
      </c>
      <c r="AJ58" s="230">
        <f>IF('Wtr-Gas'!Q60&lt;0,"0",('Wtr-Gas'!Q60)*0.0038)</f>
        <v>0</v>
      </c>
      <c r="AK58" s="231">
        <f>IF('Wtr-Gas'!U60&lt;0,"0",('Wtr-Gas'!U60)*0.0038)</f>
        <v>0</v>
      </c>
      <c r="AL58" s="231">
        <f>IF('Wtr-Gas'!X60&lt;0,"0",('Wtr-Gas'!X60)*0.0038)</f>
        <v>0</v>
      </c>
      <c r="AM58" s="230">
        <f>IF('Wtr-Gas'!AB60&lt;0,"0",('Wtr-Gas'!AB60)*0.0038)</f>
        <v>0</v>
      </c>
      <c r="AN58" s="230">
        <f>IF('Wtr-Gas'!AD60&lt;0,"0",('Wtr-Gas'!AD60)*0.0038)</f>
        <v>0</v>
      </c>
      <c r="AO58" s="230">
        <f>IF('Wtr-Gas'!AF60&lt;0,"0",('Wtr-Gas'!AF60)*0.0038)</f>
        <v>0</v>
      </c>
      <c r="AP58" s="230">
        <f>IF('Wtr-Gas'!AH60&lt;0,"0",('Wtr-Gas'!AH60)*0.0038)</f>
        <v>0</v>
      </c>
      <c r="AQ58" s="230">
        <f>IF('Wtr-Gas'!AJ60&lt;0,"0",('Wtr-Gas'!AJ60)*0.0038)</f>
        <v>0</v>
      </c>
      <c r="AR58" s="230">
        <f>IF('Wtr-Gas'!AL60&lt;0,"0",('Wtr-Gas'!AL60)*0.0038)</f>
        <v>0</v>
      </c>
      <c r="AS58" s="230">
        <f>IF('Wtr-Gas'!AN60&lt;0,"0",('Wtr-Gas'!AN60)*0.0038)</f>
        <v>0</v>
      </c>
      <c r="AT58" s="230">
        <f>IF('Wtr-Gas'!AP60&lt;0,"0",('Wtr-Gas'!AP60)*0.0038)</f>
        <v>0</v>
      </c>
      <c r="AU58" s="251">
        <f>IF('Wtr-Gas'!AT60&lt;0,"0",('Wtr-Gas'!AT60)*0.0038)</f>
        <v>0</v>
      </c>
      <c r="AV58" s="230">
        <f>IF('Wtr-Gas'!AW60&lt;0,"0",('Wtr-Gas'!AW60)*0.0038)</f>
        <v>0</v>
      </c>
      <c r="AW58" s="230">
        <f>IF('Wtr-Gas'!AY60&lt;0,"0",('Wtr-Gas'!AY60)*0.0038)</f>
        <v>0</v>
      </c>
      <c r="AX58" s="230">
        <f>IF('Wtr-Gas'!AZ60&lt;0,"0",('Wtr-Gas'!AZ60)*0.0038)</f>
        <v>0</v>
      </c>
      <c r="AY58" s="230">
        <f>IF('Wtr-Gas'!BB60&lt;0,"0",('Wtr-Gas'!BB60)*0.0038)</f>
        <v>0</v>
      </c>
      <c r="AZ58" s="230">
        <f>IF('Wtr-Gas'!BD60&lt;0,"0",('Wtr-Gas'!BD60)*0.0038)</f>
        <v>0</v>
      </c>
      <c r="BA58" s="230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8">
        <f>IF(Elect!AM61&lt;0,"0",Elect!AM61)</f>
        <v>0</v>
      </c>
      <c r="F59" s="48">
        <f>IF(Elect!I61&lt;0,"0",Elect!I61)</f>
        <v>0</v>
      </c>
      <c r="G59" s="48">
        <f>Elect!H61</f>
        <v>0</v>
      </c>
      <c r="H59" s="48">
        <f>IF(Elect!F61&lt;0,"0",Elect!F61)</f>
        <v>0</v>
      </c>
      <c r="I59" s="48">
        <f>Elect!E61</f>
        <v>0</v>
      </c>
      <c r="J59" s="48">
        <f>IF(Elect!U61&lt;0,"0",Elect!U61)</f>
        <v>0</v>
      </c>
      <c r="K59" s="48">
        <f>Elect!T61</f>
        <v>0</v>
      </c>
      <c r="L59" s="48">
        <f>IF(Elect!AJ61&lt;0,"0",Elect!AJ61)</f>
        <v>0</v>
      </c>
      <c r="M59" s="48">
        <f>Elect!AI61</f>
        <v>0</v>
      </c>
      <c r="N59" s="48">
        <f>IF(Elect!X61&lt;0,"0",Elect!X61)</f>
        <v>0</v>
      </c>
      <c r="O59" s="48">
        <f>Elect!W61</f>
        <v>0</v>
      </c>
      <c r="P59" s="48">
        <f>IF(Elect!O61&lt;0,"0",Elect!O61)</f>
        <v>0</v>
      </c>
      <c r="Q59" s="48">
        <f>Elect!N61</f>
        <v>0</v>
      </c>
      <c r="R59" s="48">
        <f>IF(Elect!L61&lt;0,"0",Elect!L61)</f>
        <v>0</v>
      </c>
      <c r="S59" s="48">
        <f>Elect!K61</f>
        <v>0</v>
      </c>
      <c r="T59" s="48">
        <f>IF(Elect!R61&lt;0,"0",Elect!R61)</f>
        <v>0</v>
      </c>
      <c r="U59" s="48">
        <f>Elect!Q61</f>
        <v>0</v>
      </c>
      <c r="V59" s="48">
        <f>IF(Elect!AA61&lt;0,"0",Elect!AA61)</f>
        <v>0</v>
      </c>
      <c r="W59" s="48">
        <f>Elect!Z61</f>
        <v>0</v>
      </c>
      <c r="X59" s="48">
        <f>IF(Elect!AD61&lt;0,"0",Elect!AD61)</f>
        <v>0</v>
      </c>
      <c r="Y59" s="48">
        <f>Elect!AC61</f>
        <v>0</v>
      </c>
      <c r="Z59" s="48">
        <f>IF(Elect!AG61&lt;0,"0",Elect!AG61)</f>
        <v>0</v>
      </c>
      <c r="AA59" s="48">
        <f>Elect!AF61</f>
        <v>0</v>
      </c>
      <c r="AB59" s="48">
        <f>IF(Elect!AX61&lt;0,"0",Elect!AX61)</f>
        <v>0</v>
      </c>
      <c r="AC59" s="48">
        <f>IF(Elect!AV61&lt;0,"0",Elect!AV61)</f>
        <v>0</v>
      </c>
      <c r="AD59" s="48">
        <f>IF(Elect!AZ61&lt;0,"0",Elect!AZ61)</f>
        <v>0</v>
      </c>
      <c r="AE59" s="48">
        <f>IF(Elect!BB61&lt;0,"0",Elect!BB61)</f>
        <v>0</v>
      </c>
      <c r="AF59" s="230">
        <f>IF('Wtr-Gas'!E61&lt;0,"0",('Wtr-Gas'!E61)*0.0038)</f>
        <v>0</v>
      </c>
      <c r="AG59" s="230">
        <f>IF('Wtr-Gas'!H61&lt;0,"0",('Wtr-Gas'!H61)*0.0038)</f>
        <v>0</v>
      </c>
      <c r="AH59" s="230">
        <f>IF('Wtr-Gas'!K61&lt;0,"0",('Wtr-Gas'!K61)*0.0038)</f>
        <v>0</v>
      </c>
      <c r="AI59" s="230">
        <f>IF('Wtr-Gas'!N61&lt;0,"0",('Wtr-Gas'!N61)*0.0038)</f>
        <v>0</v>
      </c>
      <c r="AJ59" s="230">
        <f>IF('Wtr-Gas'!Q61&lt;0,"0",('Wtr-Gas'!Q61)*0.0038)</f>
        <v>0</v>
      </c>
      <c r="AK59" s="231">
        <f>IF('Wtr-Gas'!U61&lt;0,"0",('Wtr-Gas'!U61)*0.0038)</f>
        <v>0</v>
      </c>
      <c r="AL59" s="231">
        <f>IF('Wtr-Gas'!X61&lt;0,"0",('Wtr-Gas'!X61)*0.0038)</f>
        <v>0</v>
      </c>
      <c r="AM59" s="230">
        <f>IF('Wtr-Gas'!AB61&lt;0,"0",('Wtr-Gas'!AB61)*0.0038)</f>
        <v>0</v>
      </c>
      <c r="AN59" s="230">
        <f>IF('Wtr-Gas'!AD61&lt;0,"0",('Wtr-Gas'!AD61)*0.0038)</f>
        <v>0</v>
      </c>
      <c r="AO59" s="230">
        <f>IF('Wtr-Gas'!AF61&lt;0,"0",('Wtr-Gas'!AF61)*0.0038)</f>
        <v>0</v>
      </c>
      <c r="AP59" s="230">
        <f>IF('Wtr-Gas'!AH61&lt;0,"0",('Wtr-Gas'!AH61)*0.0038)</f>
        <v>0</v>
      </c>
      <c r="AQ59" s="230">
        <f>IF('Wtr-Gas'!AJ61&lt;0,"0",('Wtr-Gas'!AJ61)*0.0038)</f>
        <v>0</v>
      </c>
      <c r="AR59" s="230">
        <f>IF('Wtr-Gas'!AL61&lt;0,"0",('Wtr-Gas'!AL61)*0.0038)</f>
        <v>0</v>
      </c>
      <c r="AS59" s="230">
        <f>IF('Wtr-Gas'!AN61&lt;0,"0",('Wtr-Gas'!AN61)*0.0038)</f>
        <v>0</v>
      </c>
      <c r="AT59" s="230">
        <f>IF('Wtr-Gas'!AP61&lt;0,"0",('Wtr-Gas'!AP61)*0.0038)</f>
        <v>0</v>
      </c>
      <c r="AU59" s="251">
        <f>IF('Wtr-Gas'!AT61&lt;0,"0",('Wtr-Gas'!AT61)*0.0038)</f>
        <v>0</v>
      </c>
      <c r="AV59" s="230">
        <f>IF('Wtr-Gas'!AW61&lt;0,"0",('Wtr-Gas'!AW61)*0.0038)</f>
        <v>0</v>
      </c>
      <c r="AW59" s="230">
        <f>IF('Wtr-Gas'!AY61&lt;0,"0",('Wtr-Gas'!AY61)*0.0038)</f>
        <v>0</v>
      </c>
      <c r="AX59" s="230">
        <f>IF('Wtr-Gas'!AZ61&lt;0,"0",('Wtr-Gas'!AZ61)*0.0038)</f>
        <v>0</v>
      </c>
      <c r="AY59" s="230">
        <f>IF('Wtr-Gas'!BB61&lt;0,"0",('Wtr-Gas'!BB61)*0.0038)</f>
        <v>0</v>
      </c>
      <c r="AZ59" s="230">
        <f>IF('Wtr-Gas'!BD61&lt;0,"0",('Wtr-Gas'!BD61)*0.0038)</f>
        <v>0</v>
      </c>
      <c r="BA59" s="230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8">
        <f>IF(Elect!AM62&lt;0,"0",Elect!AM62)</f>
        <v>0</v>
      </c>
      <c r="F60" s="48">
        <f>IF(Elect!I62&lt;0,"0",Elect!I62)</f>
        <v>0</v>
      </c>
      <c r="G60" s="48">
        <f>Elect!H62</f>
        <v>0</v>
      </c>
      <c r="H60" s="48">
        <f>IF(Elect!F62&lt;0,"0",Elect!F62)</f>
        <v>0</v>
      </c>
      <c r="I60" s="48">
        <f>Elect!E62</f>
        <v>0</v>
      </c>
      <c r="J60" s="48">
        <f>IF(Elect!U62&lt;0,"0",Elect!U62)</f>
        <v>0</v>
      </c>
      <c r="K60" s="48">
        <f>Elect!T62</f>
        <v>0</v>
      </c>
      <c r="L60" s="48">
        <f>IF(Elect!AJ62&lt;0,"0",Elect!AJ62)</f>
        <v>0</v>
      </c>
      <c r="M60" s="48">
        <f>Elect!AI62</f>
        <v>0</v>
      </c>
      <c r="N60" s="48">
        <f>IF(Elect!X62&lt;0,"0",Elect!X62)</f>
        <v>0</v>
      </c>
      <c r="O60" s="48">
        <f>Elect!W62</f>
        <v>0</v>
      </c>
      <c r="P60" s="48">
        <f>IF(Elect!O62&lt;0,"0",Elect!O62)</f>
        <v>0</v>
      </c>
      <c r="Q60" s="48">
        <f>Elect!N62</f>
        <v>0</v>
      </c>
      <c r="R60" s="48">
        <f>IF(Elect!L62&lt;0,"0",Elect!L62)</f>
        <v>0</v>
      </c>
      <c r="S60" s="48">
        <f>Elect!K62</f>
        <v>0</v>
      </c>
      <c r="T60" s="48">
        <f>IF(Elect!R62&lt;0,"0",Elect!R62)</f>
        <v>0</v>
      </c>
      <c r="U60" s="48">
        <f>Elect!Q62</f>
        <v>0</v>
      </c>
      <c r="V60" s="48">
        <f>IF(Elect!AA62&lt;0,"0",Elect!AA62)</f>
        <v>0</v>
      </c>
      <c r="W60" s="48">
        <f>Elect!Z62</f>
        <v>0</v>
      </c>
      <c r="X60" s="48">
        <f>IF(Elect!AD62&lt;0,"0",Elect!AD62)</f>
        <v>0</v>
      </c>
      <c r="Y60" s="48">
        <f>Elect!AC62</f>
        <v>0</v>
      </c>
      <c r="Z60" s="48">
        <f>IF(Elect!AG62&lt;0,"0",Elect!AG62)</f>
        <v>0</v>
      </c>
      <c r="AA60" s="48">
        <f>Elect!AF62</f>
        <v>0</v>
      </c>
      <c r="AB60" s="48">
        <f>IF(Elect!AX62&lt;0,"0",Elect!AX62)</f>
        <v>0</v>
      </c>
      <c r="AC60" s="48">
        <f>IF(Elect!AV62&lt;0,"0",Elect!AV62)</f>
        <v>0</v>
      </c>
      <c r="AD60" s="48">
        <f>IF(Elect!AZ62&lt;0,"0",Elect!AZ62)</f>
        <v>0</v>
      </c>
      <c r="AE60" s="48">
        <f>IF(Elect!BB62&lt;0,"0",Elect!BB62)</f>
        <v>0</v>
      </c>
      <c r="AF60" s="230">
        <f>IF('Wtr-Gas'!E62&lt;0,"0",('Wtr-Gas'!E62)*0.0038)</f>
        <v>0</v>
      </c>
      <c r="AG60" s="230">
        <f>IF('Wtr-Gas'!H62&lt;0,"0",('Wtr-Gas'!H62)*0.0038)</f>
        <v>0</v>
      </c>
      <c r="AH60" s="230">
        <f>IF('Wtr-Gas'!K62&lt;0,"0",('Wtr-Gas'!K62)*0.0038)</f>
        <v>0</v>
      </c>
      <c r="AI60" s="230">
        <f>IF('Wtr-Gas'!N62&lt;0,"0",('Wtr-Gas'!N62)*0.0038)</f>
        <v>0</v>
      </c>
      <c r="AJ60" s="230">
        <f>IF('Wtr-Gas'!Q62&lt;0,"0",('Wtr-Gas'!Q62)*0.0038)</f>
        <v>0</v>
      </c>
      <c r="AK60" s="231">
        <f>IF('Wtr-Gas'!U62&lt;0,"0",('Wtr-Gas'!U62)*0.0038)</f>
        <v>0</v>
      </c>
      <c r="AL60" s="231">
        <f>IF('Wtr-Gas'!X62&lt;0,"0",('Wtr-Gas'!X62)*0.0038)</f>
        <v>0</v>
      </c>
      <c r="AM60" s="230">
        <f>IF('Wtr-Gas'!AB62&lt;0,"0",('Wtr-Gas'!AB62)*0.0038)</f>
        <v>0</v>
      </c>
      <c r="AN60" s="230">
        <f>IF('Wtr-Gas'!AD62&lt;0,"0",('Wtr-Gas'!AD62)*0.0038)</f>
        <v>0</v>
      </c>
      <c r="AO60" s="230">
        <f>IF('Wtr-Gas'!AF62&lt;0,"0",('Wtr-Gas'!AF62)*0.0038)</f>
        <v>0</v>
      </c>
      <c r="AP60" s="230">
        <f>IF('Wtr-Gas'!AH62&lt;0,"0",('Wtr-Gas'!AH62)*0.0038)</f>
        <v>0</v>
      </c>
      <c r="AQ60" s="230">
        <f>IF('Wtr-Gas'!AJ62&lt;0,"0",('Wtr-Gas'!AJ62)*0.0038)</f>
        <v>0</v>
      </c>
      <c r="AR60" s="230">
        <f>IF('Wtr-Gas'!AL62&lt;0,"0",('Wtr-Gas'!AL62)*0.0038)</f>
        <v>0</v>
      </c>
      <c r="AS60" s="230">
        <f>IF('Wtr-Gas'!AN62&lt;0,"0",('Wtr-Gas'!AN62)*0.0038)</f>
        <v>0</v>
      </c>
      <c r="AT60" s="230">
        <f>IF('Wtr-Gas'!AP62&lt;0,"0",('Wtr-Gas'!AP62)*0.0038)</f>
        <v>0</v>
      </c>
      <c r="AU60" s="251">
        <f>IF('Wtr-Gas'!AT62&lt;0,"0",('Wtr-Gas'!AT62)*0.0038)</f>
        <v>0</v>
      </c>
      <c r="AV60" s="230">
        <f>IF('Wtr-Gas'!AW62&lt;0,"0",('Wtr-Gas'!AW62)*0.0038)</f>
        <v>0</v>
      </c>
      <c r="AW60" s="230">
        <f>IF('Wtr-Gas'!AY62&lt;0,"0",('Wtr-Gas'!AY62)*0.0038)</f>
        <v>0</v>
      </c>
      <c r="AX60" s="230">
        <f>IF('Wtr-Gas'!AZ62&lt;0,"0",('Wtr-Gas'!AZ62)*0.0038)</f>
        <v>0</v>
      </c>
      <c r="AY60" s="230">
        <f>IF('Wtr-Gas'!BB62&lt;0,"0",('Wtr-Gas'!BB62)*0.0038)</f>
        <v>0</v>
      </c>
      <c r="AZ60" s="230">
        <f>IF('Wtr-Gas'!BD62&lt;0,"0",('Wtr-Gas'!BD62)*0.0038)</f>
        <v>0</v>
      </c>
      <c r="BA60" s="230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8">
        <f>IF(Elect!AM63&lt;0,"0",Elect!AM63)</f>
        <v>0</v>
      </c>
      <c r="F61" s="48">
        <f>IF(Elect!I63&lt;0,"0",Elect!I63)</f>
        <v>0</v>
      </c>
      <c r="G61" s="48">
        <f>Elect!H63</f>
        <v>0</v>
      </c>
      <c r="H61" s="48">
        <f>IF(Elect!F63&lt;0,"0",Elect!F63)</f>
        <v>0</v>
      </c>
      <c r="I61" s="48">
        <f>Elect!E63</f>
        <v>0</v>
      </c>
      <c r="J61" s="48">
        <f>IF(Elect!U63&lt;0,"0",Elect!U63)</f>
        <v>0</v>
      </c>
      <c r="K61" s="48">
        <f>Elect!T63</f>
        <v>0</v>
      </c>
      <c r="L61" s="48">
        <f>IF(Elect!AJ63&lt;0,"0",Elect!AJ63)</f>
        <v>0</v>
      </c>
      <c r="M61" s="48">
        <f>Elect!AI63</f>
        <v>0</v>
      </c>
      <c r="N61" s="48">
        <f>IF(Elect!X63&lt;0,"0",Elect!X63)</f>
        <v>0</v>
      </c>
      <c r="O61" s="48">
        <f>Elect!W63</f>
        <v>0</v>
      </c>
      <c r="P61" s="48">
        <f>IF(Elect!O63&lt;0,"0",Elect!O63)</f>
        <v>0</v>
      </c>
      <c r="Q61" s="48">
        <f>Elect!N63</f>
        <v>0</v>
      </c>
      <c r="R61" s="48">
        <f>IF(Elect!L63&lt;0,"0",Elect!L63)</f>
        <v>0</v>
      </c>
      <c r="S61" s="48">
        <f>Elect!K63</f>
        <v>0</v>
      </c>
      <c r="T61" s="48">
        <f>IF(Elect!R63&lt;0,"0",Elect!R63)</f>
        <v>0</v>
      </c>
      <c r="U61" s="48">
        <f>Elect!Q63</f>
        <v>0</v>
      </c>
      <c r="V61" s="48">
        <f>IF(Elect!AA63&lt;0,"0",Elect!AA63)</f>
        <v>0</v>
      </c>
      <c r="W61" s="48">
        <f>Elect!Z63</f>
        <v>0</v>
      </c>
      <c r="X61" s="48">
        <f>IF(Elect!AD63&lt;0,"0",Elect!AD63)</f>
        <v>0</v>
      </c>
      <c r="Y61" s="48">
        <f>Elect!AC63</f>
        <v>0</v>
      </c>
      <c r="Z61" s="48">
        <f>IF(Elect!AG63&lt;0,"0",Elect!AG63)</f>
        <v>0</v>
      </c>
      <c r="AA61" s="48">
        <f>Elect!AF63</f>
        <v>0</v>
      </c>
      <c r="AB61" s="48">
        <f>IF(Elect!AX63&lt;0,"0",Elect!AX63)</f>
        <v>0</v>
      </c>
      <c r="AC61" s="48">
        <f>IF(Elect!AV63&lt;0,"0",Elect!AV63)</f>
        <v>0</v>
      </c>
      <c r="AD61" s="48">
        <f>IF(Elect!AZ63&lt;0,"0",Elect!AZ63)</f>
        <v>0</v>
      </c>
      <c r="AE61" s="48">
        <f>IF(Elect!BB63&lt;0,"0",Elect!BB63)</f>
        <v>0</v>
      </c>
      <c r="AF61" s="230">
        <f>IF('Wtr-Gas'!E63&lt;0,"0",('Wtr-Gas'!E63)*0.0038)</f>
        <v>0</v>
      </c>
      <c r="AG61" s="230">
        <f>IF('Wtr-Gas'!H63&lt;0,"0",('Wtr-Gas'!H63)*0.0038)</f>
        <v>0</v>
      </c>
      <c r="AH61" s="230">
        <f>IF('Wtr-Gas'!K63&lt;0,"0",('Wtr-Gas'!K63)*0.0038)</f>
        <v>0</v>
      </c>
      <c r="AI61" s="230">
        <f>IF('Wtr-Gas'!N63&lt;0,"0",('Wtr-Gas'!N63)*0.0038)</f>
        <v>0</v>
      </c>
      <c r="AJ61" s="230">
        <f>IF('Wtr-Gas'!Q63&lt;0,"0",('Wtr-Gas'!Q63)*0.0038)</f>
        <v>0</v>
      </c>
      <c r="AK61" s="231">
        <f>IF('Wtr-Gas'!U63&lt;0,"0",('Wtr-Gas'!U63)*0.0038)</f>
        <v>0</v>
      </c>
      <c r="AL61" s="231">
        <f>IF('Wtr-Gas'!X63&lt;0,"0",('Wtr-Gas'!X63)*0.0038)</f>
        <v>0</v>
      </c>
      <c r="AM61" s="230">
        <f>IF('Wtr-Gas'!AB63&lt;0,"0",('Wtr-Gas'!AB63)*0.0038)</f>
        <v>0</v>
      </c>
      <c r="AN61" s="230">
        <f>IF('Wtr-Gas'!AD63&lt;0,"0",('Wtr-Gas'!AD63)*0.0038)</f>
        <v>0</v>
      </c>
      <c r="AO61" s="230">
        <f>IF('Wtr-Gas'!AF63&lt;0,"0",('Wtr-Gas'!AF63)*0.0038)</f>
        <v>0</v>
      </c>
      <c r="AP61" s="230">
        <f>IF('Wtr-Gas'!AH63&lt;0,"0",('Wtr-Gas'!AH63)*0.0038)</f>
        <v>0</v>
      </c>
      <c r="AQ61" s="230">
        <f>IF('Wtr-Gas'!AJ63&lt;0,"0",('Wtr-Gas'!AJ63)*0.0038)</f>
        <v>0</v>
      </c>
      <c r="AR61" s="230">
        <f>IF('Wtr-Gas'!AL63&lt;0,"0",('Wtr-Gas'!AL63)*0.0038)</f>
        <v>0</v>
      </c>
      <c r="AS61" s="230">
        <f>IF('Wtr-Gas'!AN63&lt;0,"0",('Wtr-Gas'!AN63)*0.0038)</f>
        <v>0</v>
      </c>
      <c r="AT61" s="230">
        <f>IF('Wtr-Gas'!AP63&lt;0,"0",('Wtr-Gas'!AP63)*0.0038)</f>
        <v>0</v>
      </c>
      <c r="AU61" s="251">
        <f>IF('Wtr-Gas'!AT63&lt;0,"0",('Wtr-Gas'!AT63)*0.0038)</f>
        <v>0</v>
      </c>
      <c r="AV61" s="230">
        <f>IF('Wtr-Gas'!AW63&lt;0,"0",('Wtr-Gas'!AW63)*0.0038)</f>
        <v>0</v>
      </c>
      <c r="AW61" s="230">
        <f>IF('Wtr-Gas'!AY63&lt;0,"0",('Wtr-Gas'!AY63)*0.0038)</f>
        <v>0</v>
      </c>
      <c r="AX61" s="230">
        <f>IF('Wtr-Gas'!AZ63&lt;0,"0",('Wtr-Gas'!AZ63)*0.0038)</f>
        <v>0</v>
      </c>
      <c r="AY61" s="230">
        <f>IF('Wtr-Gas'!BB63&lt;0,"0",('Wtr-Gas'!BB63)*0.0038)</f>
        <v>0</v>
      </c>
      <c r="AZ61" s="230">
        <f>IF('Wtr-Gas'!BD63&lt;0,"0",('Wtr-Gas'!BD63)*0.0038)</f>
        <v>0</v>
      </c>
      <c r="BA61" s="230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8">
        <f>IF(Elect!AM64&lt;0,"0",Elect!AM64)</f>
        <v>0</v>
      </c>
      <c r="F62" s="48">
        <f>IF(Elect!I64&lt;0,"0",Elect!I64)</f>
        <v>0</v>
      </c>
      <c r="G62" s="48">
        <f>Elect!H64</f>
        <v>0</v>
      </c>
      <c r="H62" s="48">
        <f>IF(Elect!F64&lt;0,"0",Elect!F64)</f>
        <v>0</v>
      </c>
      <c r="I62" s="48">
        <f>Elect!E64</f>
        <v>0</v>
      </c>
      <c r="J62" s="48">
        <f>IF(Elect!U64&lt;0,"0",Elect!U64)</f>
        <v>0</v>
      </c>
      <c r="K62" s="48">
        <f>Elect!T64</f>
        <v>0</v>
      </c>
      <c r="L62" s="48">
        <f>IF(Elect!AJ64&lt;0,"0",Elect!AJ64)</f>
        <v>0</v>
      </c>
      <c r="M62" s="48">
        <f>Elect!AI64</f>
        <v>0</v>
      </c>
      <c r="N62" s="48">
        <f>IF(Elect!X64&lt;0,"0",Elect!X64)</f>
        <v>0</v>
      </c>
      <c r="O62" s="48">
        <f>Elect!W64</f>
        <v>0</v>
      </c>
      <c r="P62" s="48">
        <f>IF(Elect!O64&lt;0,"0",Elect!O64)</f>
        <v>0</v>
      </c>
      <c r="Q62" s="48">
        <f>Elect!N64</f>
        <v>0</v>
      </c>
      <c r="R62" s="48">
        <f>IF(Elect!L64&lt;0,"0",Elect!L64)</f>
        <v>0</v>
      </c>
      <c r="S62" s="48">
        <f>Elect!K64</f>
        <v>0</v>
      </c>
      <c r="T62" s="48">
        <f>IF(Elect!R64&lt;0,"0",Elect!R64)</f>
        <v>0</v>
      </c>
      <c r="U62" s="48">
        <f>Elect!Q64</f>
        <v>0</v>
      </c>
      <c r="V62" s="48">
        <f>IF(Elect!AA64&lt;0,"0",Elect!AA64)</f>
        <v>0</v>
      </c>
      <c r="W62" s="48">
        <f>Elect!Z64</f>
        <v>0</v>
      </c>
      <c r="X62" s="48">
        <f>IF(Elect!AD64&lt;0,"0",Elect!AD64)</f>
        <v>0</v>
      </c>
      <c r="Y62" s="48">
        <f>Elect!AC64</f>
        <v>0</v>
      </c>
      <c r="Z62" s="48">
        <f>IF(Elect!AG64&lt;0,"0",Elect!AG64)</f>
        <v>0</v>
      </c>
      <c r="AA62" s="48">
        <f>Elect!AF64</f>
        <v>0</v>
      </c>
      <c r="AB62" s="48">
        <f>IF(Elect!AX64&lt;0,"0",Elect!AX64)</f>
        <v>0</v>
      </c>
      <c r="AC62" s="48">
        <f>IF(Elect!AV64&lt;0,"0",Elect!AV64)</f>
        <v>0</v>
      </c>
      <c r="AD62" s="48">
        <f>IF(Elect!AZ64&lt;0,"0",Elect!AZ64)</f>
        <v>0</v>
      </c>
      <c r="AE62" s="48">
        <f>IF(Elect!BB64&lt;0,"0",Elect!BB64)</f>
        <v>0</v>
      </c>
      <c r="AF62" s="230">
        <f>IF('Wtr-Gas'!E64&lt;0,"0",('Wtr-Gas'!E64)*0.0038)</f>
        <v>0</v>
      </c>
      <c r="AG62" s="230">
        <f>IF('Wtr-Gas'!H64&lt;0,"0",('Wtr-Gas'!H64)*0.0038)</f>
        <v>0</v>
      </c>
      <c r="AH62" s="230">
        <f>IF('Wtr-Gas'!K64&lt;0,"0",('Wtr-Gas'!K64)*0.0038)</f>
        <v>0</v>
      </c>
      <c r="AI62" s="230">
        <f>IF('Wtr-Gas'!N64&lt;0,"0",('Wtr-Gas'!N64)*0.0038)</f>
        <v>0</v>
      </c>
      <c r="AJ62" s="230">
        <f>IF('Wtr-Gas'!Q64&lt;0,"0",('Wtr-Gas'!Q64)*0.0038)</f>
        <v>0</v>
      </c>
      <c r="AK62" s="231">
        <f>IF('Wtr-Gas'!U64&lt;0,"0",('Wtr-Gas'!U64)*0.0038)</f>
        <v>0</v>
      </c>
      <c r="AL62" s="231">
        <f>IF('Wtr-Gas'!X64&lt;0,"0",('Wtr-Gas'!X64)*0.0038)</f>
        <v>0</v>
      </c>
      <c r="AM62" s="230">
        <f>IF('Wtr-Gas'!AB64&lt;0,"0",('Wtr-Gas'!AB64)*0.0038)</f>
        <v>0</v>
      </c>
      <c r="AN62" s="230">
        <f>IF('Wtr-Gas'!AD64&lt;0,"0",('Wtr-Gas'!AD64)*0.0038)</f>
        <v>0</v>
      </c>
      <c r="AO62" s="230">
        <f>IF('Wtr-Gas'!AF64&lt;0,"0",('Wtr-Gas'!AF64)*0.0038)</f>
        <v>0</v>
      </c>
      <c r="AP62" s="230">
        <f>IF('Wtr-Gas'!AH64&lt;0,"0",('Wtr-Gas'!AH64)*0.0038)</f>
        <v>0</v>
      </c>
      <c r="AQ62" s="230">
        <f>IF('Wtr-Gas'!AJ64&lt;0,"0",('Wtr-Gas'!AJ64)*0.0038)</f>
        <v>0</v>
      </c>
      <c r="AR62" s="230">
        <f>IF('Wtr-Gas'!AL64&lt;0,"0",('Wtr-Gas'!AL64)*0.0038)</f>
        <v>0</v>
      </c>
      <c r="AS62" s="230">
        <f>IF('Wtr-Gas'!AN64&lt;0,"0",('Wtr-Gas'!AN64)*0.0038)</f>
        <v>0</v>
      </c>
      <c r="AT62" s="230">
        <f>IF('Wtr-Gas'!AP64&lt;0,"0",('Wtr-Gas'!AP64)*0.0038)</f>
        <v>0</v>
      </c>
      <c r="AU62" s="251">
        <f>IF('Wtr-Gas'!AT64&lt;0,"0",('Wtr-Gas'!AT64)*0.0038)</f>
        <v>0</v>
      </c>
      <c r="AV62" s="230">
        <f>IF('Wtr-Gas'!AW64&lt;0,"0",('Wtr-Gas'!AW64)*0.0038)</f>
        <v>0</v>
      </c>
      <c r="AW62" s="230">
        <f>IF('Wtr-Gas'!AY64&lt;0,"0",('Wtr-Gas'!AY64)*0.0038)</f>
        <v>0</v>
      </c>
      <c r="AX62" s="230">
        <f>IF('Wtr-Gas'!AZ64&lt;0,"0",('Wtr-Gas'!AZ64)*0.0038)</f>
        <v>0</v>
      </c>
      <c r="AY62" s="230">
        <f>IF('Wtr-Gas'!BB64&lt;0,"0",('Wtr-Gas'!BB64)*0.0038)</f>
        <v>0</v>
      </c>
      <c r="AZ62" s="230">
        <f>IF('Wtr-Gas'!BD64&lt;0,"0",('Wtr-Gas'!BD64)*0.0038)</f>
        <v>0</v>
      </c>
      <c r="BA62" s="230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9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9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0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1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1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9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2" t="s">
        <v>179</v>
      </c>
      <c r="C1" s="132"/>
      <c r="D1" s="132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9" ht="15.75" thickBot="1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 t="s">
        <v>180</v>
      </c>
      <c r="O2" s="133"/>
    </row>
    <row r="3" spans="1:19" ht="15.75" thickBot="1" x14ac:dyDescent="0.3">
      <c r="B3" s="134" t="s">
        <v>181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  <c r="O3" s="137"/>
    </row>
    <row r="4" spans="1:19" x14ac:dyDescent="0.25">
      <c r="B4" s="295">
        <v>74860172</v>
      </c>
      <c r="C4" s="296"/>
      <c r="D4" s="295">
        <v>74860173</v>
      </c>
      <c r="E4" s="296"/>
      <c r="F4" s="295">
        <v>44553004</v>
      </c>
      <c r="G4" s="296"/>
      <c r="H4" s="295">
        <v>70275191</v>
      </c>
      <c r="I4" s="296"/>
      <c r="J4" s="295">
        <v>2130521</v>
      </c>
      <c r="K4" s="296"/>
      <c r="L4" s="295" t="s">
        <v>169</v>
      </c>
      <c r="M4" s="296"/>
      <c r="N4" s="303">
        <v>93477704</v>
      </c>
      <c r="O4" s="304"/>
    </row>
    <row r="5" spans="1:19" x14ac:dyDescent="0.25">
      <c r="B5" s="138"/>
      <c r="C5" s="139"/>
      <c r="D5" s="138"/>
      <c r="E5" s="139"/>
      <c r="F5" s="138"/>
      <c r="G5" s="139"/>
      <c r="H5" s="138"/>
      <c r="I5" s="139" t="s">
        <v>182</v>
      </c>
      <c r="J5" s="138"/>
      <c r="K5" s="139"/>
      <c r="L5" s="138" t="s">
        <v>113</v>
      </c>
      <c r="M5" s="139" t="s">
        <v>113</v>
      </c>
      <c r="N5" s="138"/>
      <c r="O5" s="139"/>
    </row>
    <row r="6" spans="1:19" x14ac:dyDescent="0.25">
      <c r="B6" s="279" t="s">
        <v>183</v>
      </c>
      <c r="C6" s="280"/>
      <c r="D6" s="279" t="s">
        <v>184</v>
      </c>
      <c r="E6" s="280"/>
      <c r="F6" s="279" t="s">
        <v>185</v>
      </c>
      <c r="G6" s="280"/>
      <c r="H6" s="279" t="s">
        <v>186</v>
      </c>
      <c r="I6" s="280"/>
      <c r="J6" s="279" t="s">
        <v>187</v>
      </c>
      <c r="K6" s="280"/>
      <c r="L6" s="279" t="s">
        <v>188</v>
      </c>
      <c r="M6" s="280"/>
      <c r="N6" s="140" t="s">
        <v>189</v>
      </c>
      <c r="O6" s="141"/>
      <c r="S6" s="142"/>
    </row>
    <row r="7" spans="1:19" ht="26.25" customHeight="1" x14ac:dyDescent="0.5">
      <c r="A7" s="143"/>
      <c r="B7" s="281"/>
      <c r="C7" s="281"/>
      <c r="D7" s="281"/>
      <c r="E7" s="281"/>
      <c r="F7" s="281"/>
      <c r="G7" s="281"/>
      <c r="H7" s="281"/>
      <c r="I7" s="281"/>
      <c r="J7" s="273"/>
      <c r="K7" s="274"/>
      <c r="L7" s="273"/>
      <c r="M7" s="274"/>
      <c r="N7" s="144"/>
      <c r="O7" s="145"/>
    </row>
    <row r="8" spans="1:19" ht="7.5" customHeight="1" x14ac:dyDescent="0.5">
      <c r="A8" s="143"/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8"/>
      <c r="O8" s="139"/>
    </row>
    <row r="9" spans="1:19" x14ac:dyDescent="0.25">
      <c r="B9" s="286">
        <v>85492530</v>
      </c>
      <c r="C9" s="287"/>
      <c r="D9" s="286">
        <v>79305675</v>
      </c>
      <c r="E9" s="287"/>
      <c r="F9" s="286">
        <v>79190041</v>
      </c>
      <c r="G9" s="287"/>
      <c r="H9" s="286" t="s">
        <v>49</v>
      </c>
      <c r="I9" s="287"/>
      <c r="J9" s="286">
        <v>79190039</v>
      </c>
      <c r="K9" s="287"/>
      <c r="L9" s="286">
        <v>79324776</v>
      </c>
      <c r="M9" s="287"/>
      <c r="N9" s="149"/>
      <c r="O9" s="150"/>
    </row>
    <row r="10" spans="1:19" x14ac:dyDescent="0.25">
      <c r="B10" s="295" t="s">
        <v>146</v>
      </c>
      <c r="C10" s="296"/>
      <c r="D10" s="295" t="s">
        <v>146</v>
      </c>
      <c r="E10" s="296"/>
      <c r="F10" s="295" t="s">
        <v>150</v>
      </c>
      <c r="G10" s="296"/>
      <c r="H10" s="295" t="s">
        <v>150</v>
      </c>
      <c r="I10" s="296"/>
      <c r="J10" s="295" t="s">
        <v>154</v>
      </c>
      <c r="K10" s="296"/>
      <c r="L10" s="295" t="s">
        <v>155</v>
      </c>
      <c r="M10" s="296"/>
      <c r="N10" s="299" t="s">
        <v>190</v>
      </c>
      <c r="O10" s="300"/>
    </row>
    <row r="11" spans="1:19" x14ac:dyDescent="0.25">
      <c r="B11" s="279" t="s">
        <v>191</v>
      </c>
      <c r="C11" s="280"/>
      <c r="D11" s="279" t="s">
        <v>192</v>
      </c>
      <c r="E11" s="280"/>
      <c r="F11" s="279" t="s">
        <v>153</v>
      </c>
      <c r="G11" s="280"/>
      <c r="H11" s="279" t="s">
        <v>193</v>
      </c>
      <c r="I11" s="280"/>
      <c r="J11" s="279" t="s">
        <v>193</v>
      </c>
      <c r="K11" s="280"/>
      <c r="L11" s="279" t="s">
        <v>153</v>
      </c>
      <c r="M11" s="280"/>
      <c r="N11" s="301" t="s">
        <v>194</v>
      </c>
      <c r="O11" s="302"/>
    </row>
    <row r="12" spans="1:19" ht="29.25" customHeight="1" x14ac:dyDescent="0.5">
      <c r="A12" s="143"/>
      <c r="B12" s="281"/>
      <c r="C12" s="281"/>
      <c r="D12" s="281"/>
      <c r="E12" s="281"/>
      <c r="F12" s="281"/>
      <c r="G12" s="281"/>
      <c r="H12" s="281"/>
      <c r="I12" s="281"/>
      <c r="J12" s="273"/>
      <c r="K12" s="274"/>
      <c r="L12" s="273"/>
      <c r="M12" s="274"/>
      <c r="N12" s="151"/>
      <c r="O12" s="152"/>
    </row>
    <row r="13" spans="1:19" ht="7.5" customHeight="1" thickBot="1" x14ac:dyDescent="0.55000000000000004">
      <c r="A13" s="14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4"/>
      <c r="O13" s="154"/>
    </row>
    <row r="14" spans="1:19" ht="15.75" thickBot="1" x14ac:dyDescent="0.3">
      <c r="B14" s="297" t="s">
        <v>195</v>
      </c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136"/>
      <c r="O14" s="137"/>
    </row>
    <row r="15" spans="1:19" x14ac:dyDescent="0.25">
      <c r="B15" s="295" t="s">
        <v>72</v>
      </c>
      <c r="C15" s="296"/>
      <c r="D15" s="295" t="s">
        <v>76</v>
      </c>
      <c r="E15" s="296"/>
      <c r="F15" s="295" t="s">
        <v>80</v>
      </c>
      <c r="G15" s="296"/>
      <c r="H15" s="295" t="s">
        <v>84</v>
      </c>
      <c r="I15" s="296"/>
      <c r="J15" s="295" t="s">
        <v>88</v>
      </c>
      <c r="K15" s="296"/>
      <c r="L15" s="288"/>
      <c r="M15" s="289"/>
      <c r="N15" s="155"/>
      <c r="O15" s="156"/>
    </row>
    <row r="16" spans="1:19" x14ac:dyDescent="0.25">
      <c r="B16" s="157" t="s">
        <v>71</v>
      </c>
      <c r="C16" s="157" t="s">
        <v>70</v>
      </c>
      <c r="D16" s="157" t="s">
        <v>75</v>
      </c>
      <c r="E16" s="157" t="s">
        <v>74</v>
      </c>
      <c r="F16" s="157" t="s">
        <v>79</v>
      </c>
      <c r="G16" s="157" t="s">
        <v>78</v>
      </c>
      <c r="H16" s="157" t="s">
        <v>83</v>
      </c>
      <c r="I16" s="157" t="s">
        <v>82</v>
      </c>
      <c r="J16" s="157" t="s">
        <v>87</v>
      </c>
      <c r="K16" s="157" t="s">
        <v>86</v>
      </c>
      <c r="L16" s="158"/>
      <c r="M16" s="158"/>
      <c r="N16" s="159"/>
      <c r="O16" s="159"/>
    </row>
    <row r="17" spans="1:15" x14ac:dyDescent="0.25">
      <c r="B17" s="263" t="s">
        <v>196</v>
      </c>
      <c r="C17" s="263" t="s">
        <v>197</v>
      </c>
      <c r="D17" s="263" t="s">
        <v>196</v>
      </c>
      <c r="E17" s="263" t="s">
        <v>197</v>
      </c>
      <c r="F17" s="263" t="s">
        <v>196</v>
      </c>
      <c r="G17" s="263" t="s">
        <v>197</v>
      </c>
      <c r="H17" s="263" t="s">
        <v>196</v>
      </c>
      <c r="I17" s="263" t="s">
        <v>197</v>
      </c>
      <c r="J17" s="263" t="s">
        <v>196</v>
      </c>
      <c r="K17" s="263" t="s">
        <v>197</v>
      </c>
      <c r="L17" s="158"/>
      <c r="M17" s="158"/>
      <c r="N17" s="159"/>
      <c r="O17" s="159"/>
    </row>
    <row r="18" spans="1:15" ht="30" customHeight="1" x14ac:dyDescent="0.5">
      <c r="A18" s="143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1"/>
      <c r="M18" s="161"/>
      <c r="N18" s="159"/>
      <c r="O18" s="159"/>
    </row>
    <row r="19" spans="1:15" ht="7.5" customHeight="1" thickBot="1" x14ac:dyDescent="0.55000000000000004">
      <c r="A19" s="143"/>
      <c r="B19" s="146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8"/>
      <c r="O19" s="139"/>
    </row>
    <row r="20" spans="1:15" x14ac:dyDescent="0.25">
      <c r="B20" s="290" t="s">
        <v>198</v>
      </c>
      <c r="C20" s="291"/>
      <c r="D20" s="291"/>
      <c r="E20" s="291"/>
      <c r="F20" s="291"/>
      <c r="G20" s="291"/>
      <c r="H20" s="291"/>
      <c r="I20" s="292"/>
      <c r="J20" s="293" t="s">
        <v>150</v>
      </c>
      <c r="K20" s="291"/>
      <c r="L20" s="291"/>
      <c r="M20" s="291"/>
      <c r="N20" s="291"/>
      <c r="O20" s="162"/>
    </row>
    <row r="21" spans="1:15" x14ac:dyDescent="0.25">
      <c r="B21" s="286" t="s">
        <v>93</v>
      </c>
      <c r="C21" s="287"/>
      <c r="D21" s="286" t="s">
        <v>97</v>
      </c>
      <c r="E21" s="287"/>
      <c r="F21" s="286" t="s">
        <v>100</v>
      </c>
      <c r="G21" s="287"/>
      <c r="H21" s="286" t="s">
        <v>104</v>
      </c>
      <c r="I21" s="287"/>
      <c r="J21" s="294" t="s">
        <v>108</v>
      </c>
      <c r="K21" s="294"/>
      <c r="L21" s="286" t="s">
        <v>112</v>
      </c>
      <c r="M21" s="287"/>
      <c r="N21" s="163"/>
      <c r="O21" s="164"/>
    </row>
    <row r="22" spans="1:15" x14ac:dyDescent="0.25">
      <c r="B22" s="157" t="s">
        <v>92</v>
      </c>
      <c r="C22" s="157" t="s">
        <v>91</v>
      </c>
      <c r="D22" s="157" t="s">
        <v>96</v>
      </c>
      <c r="E22" s="157" t="s">
        <v>95</v>
      </c>
      <c r="F22" s="157" t="s">
        <v>99</v>
      </c>
      <c r="G22" s="157" t="s">
        <v>98</v>
      </c>
      <c r="H22" s="157" t="s">
        <v>103</v>
      </c>
      <c r="I22" s="157" t="s">
        <v>102</v>
      </c>
      <c r="J22" s="157" t="s">
        <v>107</v>
      </c>
      <c r="K22" s="157" t="s">
        <v>106</v>
      </c>
      <c r="L22" s="157" t="s">
        <v>111</v>
      </c>
      <c r="M22" s="157" t="s">
        <v>110</v>
      </c>
      <c r="N22" s="159"/>
      <c r="O22" s="159"/>
    </row>
    <row r="23" spans="1:15" x14ac:dyDescent="0.25">
      <c r="B23" s="263" t="s">
        <v>196</v>
      </c>
      <c r="C23" s="263" t="s">
        <v>197</v>
      </c>
      <c r="D23" s="263" t="s">
        <v>196</v>
      </c>
      <c r="E23" s="263" t="s">
        <v>197</v>
      </c>
      <c r="F23" s="263" t="s">
        <v>196</v>
      </c>
      <c r="G23" s="263" t="s">
        <v>197</v>
      </c>
      <c r="H23" s="263" t="s">
        <v>196</v>
      </c>
      <c r="I23" s="263" t="s">
        <v>197</v>
      </c>
      <c r="J23" s="263" t="s">
        <v>196</v>
      </c>
      <c r="K23" s="263" t="s">
        <v>197</v>
      </c>
      <c r="L23" s="263" t="s">
        <v>196</v>
      </c>
      <c r="M23" s="263" t="s">
        <v>197</v>
      </c>
      <c r="N23" s="159"/>
      <c r="O23" s="159"/>
    </row>
    <row r="24" spans="1:15" ht="33" customHeight="1" x14ac:dyDescent="0.5">
      <c r="A24" s="143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59"/>
      <c r="O24" s="159"/>
    </row>
    <row r="25" spans="1:15" ht="7.5" customHeight="1" x14ac:dyDescent="0.5">
      <c r="A25" s="143"/>
      <c r="B25" s="146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8"/>
      <c r="O25" s="139"/>
    </row>
    <row r="26" spans="1:15" x14ac:dyDescent="0.25">
      <c r="B26" s="282" t="s">
        <v>199</v>
      </c>
      <c r="C26" s="283"/>
      <c r="D26" s="282" t="s">
        <v>200</v>
      </c>
      <c r="E26" s="283"/>
      <c r="F26" s="165"/>
      <c r="G26" s="165"/>
      <c r="H26" s="165"/>
      <c r="I26" s="165"/>
      <c r="J26" s="284">
        <v>112014001775</v>
      </c>
      <c r="K26" s="285"/>
      <c r="L26" s="284">
        <v>112014001771</v>
      </c>
      <c r="M26" s="285"/>
      <c r="N26" s="163"/>
      <c r="O26" s="164"/>
    </row>
    <row r="27" spans="1:15" x14ac:dyDescent="0.25">
      <c r="B27" s="286" t="s">
        <v>117</v>
      </c>
      <c r="C27" s="287"/>
      <c r="D27" s="286" t="s">
        <v>201</v>
      </c>
      <c r="E27" s="287"/>
      <c r="F27" s="148"/>
      <c r="G27" s="148"/>
      <c r="H27" s="148"/>
      <c r="I27" s="148"/>
      <c r="J27" s="286" t="s">
        <v>158</v>
      </c>
      <c r="K27" s="287"/>
      <c r="L27" s="286" t="s">
        <v>69</v>
      </c>
      <c r="M27" s="287"/>
      <c r="N27" s="166"/>
      <c r="O27" s="167"/>
    </row>
    <row r="28" spans="1:15" x14ac:dyDescent="0.25">
      <c r="B28" s="263" t="s">
        <v>116</v>
      </c>
      <c r="C28" s="263" t="s">
        <v>115</v>
      </c>
      <c r="D28" s="275" t="s">
        <v>202</v>
      </c>
      <c r="E28" s="276"/>
      <c r="F28" s="148"/>
      <c r="G28" s="148"/>
      <c r="H28" s="148"/>
      <c r="I28" s="148"/>
      <c r="J28" s="277" t="s">
        <v>203</v>
      </c>
      <c r="K28" s="278"/>
      <c r="L28" s="279" t="s">
        <v>204</v>
      </c>
      <c r="M28" s="280"/>
      <c r="N28" s="155"/>
      <c r="O28" s="156"/>
    </row>
    <row r="29" spans="1:15" x14ac:dyDescent="0.25">
      <c r="B29" s="275" t="s">
        <v>196</v>
      </c>
      <c r="C29" s="276"/>
      <c r="D29" s="275" t="s">
        <v>205</v>
      </c>
      <c r="E29" s="276"/>
      <c r="F29" s="148"/>
      <c r="G29" s="148"/>
      <c r="H29" s="148"/>
      <c r="I29" s="148"/>
      <c r="J29" s="281" t="s">
        <v>206</v>
      </c>
      <c r="K29" s="281"/>
      <c r="L29" s="281" t="s">
        <v>206</v>
      </c>
      <c r="M29" s="281"/>
      <c r="N29" s="163"/>
      <c r="O29" s="164"/>
    </row>
    <row r="30" spans="1:15" ht="33.75" x14ac:dyDescent="0.5">
      <c r="A30" s="143"/>
      <c r="B30" s="273"/>
      <c r="C30" s="274"/>
      <c r="D30" s="273"/>
      <c r="E30" s="274"/>
      <c r="F30" s="168"/>
      <c r="G30" s="168"/>
      <c r="H30" s="168"/>
      <c r="I30" s="168"/>
      <c r="J30" s="144"/>
      <c r="K30" s="145"/>
      <c r="L30" s="144"/>
      <c r="M30" s="145"/>
      <c r="N30" s="163"/>
      <c r="O30" s="164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3" t="s">
        <v>207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</row>
    <row r="3" spans="1:13" x14ac:dyDescent="0.25">
      <c r="B3" s="314">
        <v>73337589</v>
      </c>
      <c r="C3" s="315"/>
      <c r="D3" s="314">
        <v>65956268</v>
      </c>
      <c r="E3" s="315"/>
      <c r="F3" s="314">
        <v>1334021</v>
      </c>
      <c r="G3" s="315"/>
      <c r="H3" s="314">
        <v>63265094</v>
      </c>
      <c r="I3" s="315"/>
      <c r="J3" s="314">
        <v>80606729</v>
      </c>
      <c r="K3" s="315"/>
      <c r="L3" s="314" t="s">
        <v>113</v>
      </c>
      <c r="M3" s="315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5" t="s">
        <v>208</v>
      </c>
      <c r="C5" s="306"/>
      <c r="D5" s="305" t="s">
        <v>209</v>
      </c>
      <c r="E5" s="306"/>
      <c r="F5" s="305" t="s">
        <v>119</v>
      </c>
      <c r="G5" s="306"/>
      <c r="H5" s="305" t="s">
        <v>126</v>
      </c>
      <c r="I5" s="306"/>
      <c r="J5" s="305" t="s">
        <v>210</v>
      </c>
      <c r="K5" s="306"/>
      <c r="L5" s="305" t="s">
        <v>113</v>
      </c>
      <c r="M5" s="306"/>
    </row>
    <row r="6" spans="1:13" ht="33.75" x14ac:dyDescent="0.5">
      <c r="A6" s="143"/>
      <c r="B6" s="307"/>
      <c r="C6" s="307"/>
      <c r="D6" s="307"/>
      <c r="E6" s="307"/>
      <c r="F6" s="307"/>
      <c r="G6" s="307"/>
      <c r="H6" s="307"/>
      <c r="I6" s="307"/>
      <c r="J6" s="309"/>
      <c r="K6" s="310"/>
      <c r="L6" s="309"/>
      <c r="M6" s="310"/>
    </row>
    <row r="7" spans="1:13" ht="33.75" x14ac:dyDescent="0.5">
      <c r="A7" s="143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3" t="s">
        <v>211</v>
      </c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/>
    </row>
    <row r="9" spans="1:13" x14ac:dyDescent="0.25">
      <c r="B9" s="314" t="s">
        <v>123</v>
      </c>
      <c r="C9" s="315"/>
      <c r="D9" s="314" t="s">
        <v>120</v>
      </c>
      <c r="E9" s="315"/>
      <c r="F9" s="314"/>
      <c r="G9" s="315"/>
      <c r="H9" s="314" t="s">
        <v>212</v>
      </c>
      <c r="I9" s="315"/>
      <c r="J9" s="314" t="s">
        <v>128</v>
      </c>
      <c r="K9" s="315"/>
      <c r="L9" s="314" t="s">
        <v>113</v>
      </c>
      <c r="M9" s="315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1" t="s">
        <v>216</v>
      </c>
      <c r="K10" s="312"/>
      <c r="L10" s="30" t="s">
        <v>113</v>
      </c>
      <c r="M10" s="31" t="s">
        <v>113</v>
      </c>
    </row>
    <row r="11" spans="1:13" x14ac:dyDescent="0.25">
      <c r="B11" s="305" t="s">
        <v>208</v>
      </c>
      <c r="C11" s="306"/>
      <c r="D11" s="305" t="s">
        <v>119</v>
      </c>
      <c r="E11" s="306"/>
      <c r="F11" s="305"/>
      <c r="G11" s="306"/>
      <c r="H11" s="305" t="s">
        <v>126</v>
      </c>
      <c r="I11" s="306"/>
      <c r="J11" s="305" t="s">
        <v>129</v>
      </c>
      <c r="K11" s="306"/>
      <c r="L11" s="305" t="s">
        <v>113</v>
      </c>
      <c r="M11" s="306"/>
    </row>
    <row r="12" spans="1:13" ht="33.75" x14ac:dyDescent="0.5">
      <c r="A12" s="143"/>
      <c r="B12" s="307"/>
      <c r="C12" s="307"/>
      <c r="D12" s="307"/>
      <c r="E12" s="307"/>
      <c r="F12" s="307"/>
      <c r="G12" s="307"/>
      <c r="H12" s="308"/>
      <c r="I12" s="308"/>
      <c r="J12" s="309"/>
      <c r="K12" s="310"/>
      <c r="L12" s="309"/>
      <c r="M12" s="310"/>
    </row>
    <row r="13" spans="1:13" ht="33.75" x14ac:dyDescent="0.5">
      <c r="A13" s="143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3" t="s">
        <v>217</v>
      </c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</row>
    <row r="15" spans="1:13" x14ac:dyDescent="0.25">
      <c r="B15" s="314" t="s">
        <v>218</v>
      </c>
      <c r="C15" s="315"/>
      <c r="D15" s="314" t="s">
        <v>219</v>
      </c>
      <c r="E15" s="315"/>
      <c r="F15" s="314" t="s">
        <v>220</v>
      </c>
      <c r="G15" s="315"/>
      <c r="H15" s="314" t="s">
        <v>221</v>
      </c>
      <c r="I15" s="315"/>
      <c r="J15" s="314" t="s">
        <v>222</v>
      </c>
      <c r="K15" s="315"/>
      <c r="L15" s="314" t="s">
        <v>223</v>
      </c>
      <c r="M15" s="315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1" t="s">
        <v>113</v>
      </c>
      <c r="K16" s="312"/>
      <c r="L16" s="30" t="s">
        <v>113</v>
      </c>
      <c r="M16" s="31" t="s">
        <v>113</v>
      </c>
    </row>
    <row r="17" spans="1:13" x14ac:dyDescent="0.25">
      <c r="B17" s="305" t="s">
        <v>224</v>
      </c>
      <c r="C17" s="306"/>
      <c r="D17" s="305" t="s">
        <v>119</v>
      </c>
      <c r="E17" s="306"/>
      <c r="F17" s="305" t="s">
        <v>119</v>
      </c>
      <c r="G17" s="306"/>
      <c r="H17" s="305" t="s">
        <v>225</v>
      </c>
      <c r="I17" s="306"/>
      <c r="J17" s="305" t="s">
        <v>119</v>
      </c>
      <c r="K17" s="306"/>
      <c r="L17" s="305" t="s">
        <v>119</v>
      </c>
      <c r="M17" s="306"/>
    </row>
    <row r="18" spans="1:13" ht="33.75" x14ac:dyDescent="0.5">
      <c r="A18" s="143"/>
      <c r="B18" s="307"/>
      <c r="C18" s="307"/>
      <c r="D18" s="307"/>
      <c r="E18" s="307"/>
      <c r="F18" s="307"/>
      <c r="G18" s="307"/>
      <c r="H18" s="308"/>
      <c r="I18" s="308"/>
      <c r="J18" s="309"/>
      <c r="K18" s="310"/>
      <c r="L18" s="309"/>
      <c r="M18" s="310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7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7" t="s">
        <v>239</v>
      </c>
      <c r="AA3" t="s">
        <v>240</v>
      </c>
    </row>
    <row r="5" spans="2:27" x14ac:dyDescent="0.25">
      <c r="Y5">
        <v>2015</v>
      </c>
      <c r="Z5" s="57" t="e">
        <f>([1]Elect!#REF!)</f>
        <v>#REF!</v>
      </c>
    </row>
    <row r="6" spans="2:27" x14ac:dyDescent="0.25">
      <c r="Y6">
        <v>2016</v>
      </c>
      <c r="Z6" s="57" t="e">
        <f>([1]Elect!#REF!)</f>
        <v>#REF!</v>
      </c>
    </row>
    <row r="7" spans="2:27" x14ac:dyDescent="0.25">
      <c r="Y7">
        <v>2017</v>
      </c>
      <c r="Z7" s="57" t="e">
        <f>([1]Elect!#REF!)</f>
        <v>#REF!</v>
      </c>
    </row>
    <row r="8" spans="2:27" x14ac:dyDescent="0.25">
      <c r="Y8">
        <v>2018</v>
      </c>
      <c r="Z8" s="57" t="e">
        <f>([1]Elect!#REF!)</f>
        <v>#REF!</v>
      </c>
    </row>
    <row r="9" spans="2:27" x14ac:dyDescent="0.25">
      <c r="Y9">
        <v>2019</v>
      </c>
      <c r="Z9" s="57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9" t="s">
        <v>242</v>
      </c>
    </row>
    <row r="4" spans="2:98" ht="18.75" x14ac:dyDescent="0.3">
      <c r="B4" s="169" t="s">
        <v>243</v>
      </c>
    </row>
    <row r="5" spans="2:98" ht="18.75" x14ac:dyDescent="0.3">
      <c r="B5" s="169" t="s">
        <v>244</v>
      </c>
    </row>
    <row r="7" spans="2:98" x14ac:dyDescent="0.25"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</row>
    <row r="8" spans="2:98" x14ac:dyDescent="0.25">
      <c r="Q8" s="31"/>
      <c r="CT8" s="171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CT11" s="31"/>
    </row>
    <row r="12" spans="2:98" x14ac:dyDescent="0.25">
      <c r="Q12" s="31"/>
      <c r="V12" s="31"/>
      <c r="BS12" s="171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0"/>
      <c r="AY17" s="170"/>
      <c r="AZ17" s="170"/>
      <c r="BA17" s="170"/>
      <c r="BB17" s="170"/>
      <c r="BC17" s="170"/>
      <c r="BD17" s="170"/>
      <c r="BS17" s="31"/>
      <c r="CT17" s="31"/>
    </row>
    <row r="18" spans="7:98" x14ac:dyDescent="0.25">
      <c r="P18" s="51"/>
      <c r="Q18" s="31"/>
      <c r="R18" s="51"/>
      <c r="S18" s="51"/>
      <c r="V18" s="31"/>
      <c r="AW18" s="31"/>
      <c r="AY18" t="s">
        <v>250</v>
      </c>
      <c r="BD18" s="171"/>
      <c r="BS18" s="31"/>
      <c r="BX18" s="172"/>
      <c r="BY18" s="173"/>
      <c r="BZ18" s="173"/>
      <c r="CA18" s="173"/>
      <c r="CB18" s="173"/>
      <c r="CC18" s="173"/>
      <c r="CD18" s="171"/>
      <c r="CK18" s="172"/>
      <c r="CL18" s="173" t="s">
        <v>122</v>
      </c>
      <c r="CM18" s="173"/>
      <c r="CN18" s="173"/>
      <c r="CO18" s="173"/>
      <c r="CP18" s="173"/>
      <c r="CQ18" s="171"/>
      <c r="CT18" s="31"/>
    </row>
    <row r="19" spans="7:98" x14ac:dyDescent="0.25">
      <c r="P19" s="51"/>
      <c r="Q19" s="31"/>
      <c r="R19" s="51"/>
      <c r="S19" s="51"/>
      <c r="V19" s="31"/>
      <c r="AT19" s="170"/>
      <c r="AU19" s="170"/>
      <c r="AV19" s="170"/>
      <c r="AW19" s="174"/>
      <c r="AY19" t="s">
        <v>251</v>
      </c>
      <c r="BD19" s="31"/>
      <c r="BS19" s="31"/>
      <c r="BT19" s="175"/>
      <c r="BU19" s="170"/>
      <c r="BV19" s="170"/>
      <c r="BW19" s="170"/>
      <c r="BX19" s="30"/>
      <c r="BY19" s="51" t="s">
        <v>122</v>
      </c>
      <c r="BZ19" s="51"/>
      <c r="CA19" s="51"/>
      <c r="CB19" s="51"/>
      <c r="CC19" s="51"/>
      <c r="CD19" s="31"/>
      <c r="CE19" s="175"/>
      <c r="CF19" s="170"/>
      <c r="CG19" s="170"/>
      <c r="CH19" s="170"/>
      <c r="CI19" s="170"/>
      <c r="CJ19" s="170"/>
      <c r="CK19" s="30"/>
      <c r="CL19" s="51" t="s">
        <v>252</v>
      </c>
      <c r="CM19" s="51"/>
      <c r="CN19" s="51"/>
      <c r="CO19" s="51"/>
      <c r="CP19" s="51"/>
      <c r="CQ19" s="31"/>
      <c r="CT19" s="31"/>
    </row>
    <row r="20" spans="7:98" x14ac:dyDescent="0.25">
      <c r="P20" s="51"/>
      <c r="Q20" s="176"/>
      <c r="R20" s="51"/>
      <c r="S20" s="51"/>
      <c r="V20" s="31"/>
      <c r="AS20" s="31"/>
      <c r="AW20" s="31"/>
      <c r="AY20" t="s">
        <v>253</v>
      </c>
      <c r="BD20" s="31"/>
      <c r="BS20" s="31"/>
      <c r="BX20" s="30"/>
      <c r="BY20" s="322">
        <v>73337589</v>
      </c>
      <c r="BZ20" s="322"/>
      <c r="CA20" s="322"/>
      <c r="CB20" s="322"/>
      <c r="CC20" s="322"/>
      <c r="CD20" s="31"/>
      <c r="CK20" s="30"/>
      <c r="CL20" s="51" t="s">
        <v>254</v>
      </c>
      <c r="CM20" s="51"/>
      <c r="CN20" s="51"/>
      <c r="CO20" s="51"/>
      <c r="CP20" s="51"/>
      <c r="CQ20" s="31"/>
      <c r="CT20" s="31"/>
    </row>
    <row r="21" spans="7:98" x14ac:dyDescent="0.25">
      <c r="P21" s="51"/>
      <c r="Q21" s="176"/>
      <c r="R21" s="51"/>
      <c r="S21" s="51"/>
      <c r="V21" s="31"/>
      <c r="Z21" s="170"/>
      <c r="AA21" s="170"/>
      <c r="AB21" s="170"/>
      <c r="AC21" s="170"/>
      <c r="AD21" s="170"/>
      <c r="AE21" s="170"/>
      <c r="AF21" s="170"/>
      <c r="AS21" s="31"/>
      <c r="AW21" s="31"/>
      <c r="AX21" s="175"/>
      <c r="AY21" s="320">
        <v>44553004</v>
      </c>
      <c r="AZ21" s="320"/>
      <c r="BA21" s="320"/>
      <c r="BB21" s="320"/>
      <c r="BC21" s="320"/>
      <c r="BD21" s="174"/>
      <c r="BS21" s="31"/>
      <c r="BX21" s="175"/>
      <c r="BY21" s="170"/>
      <c r="BZ21" s="170"/>
      <c r="CA21" s="170"/>
      <c r="CB21" s="170"/>
      <c r="CC21" s="170"/>
      <c r="CD21" s="174"/>
      <c r="CK21" s="175"/>
      <c r="CL21" s="320">
        <v>65956268</v>
      </c>
      <c r="CM21" s="320"/>
      <c r="CN21" s="320"/>
      <c r="CO21" s="320"/>
      <c r="CP21" s="320"/>
      <c r="CQ21" s="174"/>
      <c r="CT21" s="31"/>
    </row>
    <row r="22" spans="7:98" x14ac:dyDescent="0.25">
      <c r="G22" s="3" t="s">
        <v>255</v>
      </c>
      <c r="J22" s="51"/>
      <c r="Q22" s="176"/>
      <c r="R22" s="51"/>
      <c r="S22" s="51"/>
      <c r="V22" s="31"/>
      <c r="Y22" s="31"/>
      <c r="AA22" t="s">
        <v>256</v>
      </c>
      <c r="AF22" s="171"/>
      <c r="AS22" s="31"/>
      <c r="BS22" s="31"/>
      <c r="CT22" s="31"/>
    </row>
    <row r="23" spans="7:98" x14ac:dyDescent="0.25">
      <c r="G23" s="3" t="s">
        <v>257</v>
      </c>
      <c r="J23" s="51"/>
      <c r="L23" s="170"/>
      <c r="M23" s="170"/>
      <c r="N23" s="170"/>
      <c r="O23" s="170"/>
      <c r="P23" s="170"/>
      <c r="Q23" s="176"/>
      <c r="R23" s="51"/>
      <c r="S23" s="170"/>
      <c r="T23" s="170"/>
      <c r="U23" s="170"/>
      <c r="V23" s="174"/>
      <c r="W23" s="170"/>
      <c r="X23" s="170"/>
      <c r="Y23" s="174"/>
      <c r="AA23" t="s">
        <v>258</v>
      </c>
      <c r="AF23" s="31"/>
      <c r="AG23" s="175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4"/>
      <c r="BS23" s="31"/>
      <c r="CT23" s="31"/>
    </row>
    <row r="24" spans="7:98" x14ac:dyDescent="0.25">
      <c r="G24" s="3" t="s">
        <v>259</v>
      </c>
      <c r="J24" s="51"/>
      <c r="Q24" s="176"/>
      <c r="R24" s="51"/>
      <c r="S24" s="51"/>
      <c r="Y24" s="31"/>
      <c r="AA24" s="321">
        <v>74860172</v>
      </c>
      <c r="AB24" s="321"/>
      <c r="AC24" s="321"/>
      <c r="AD24" s="321"/>
      <c r="AE24" s="321"/>
      <c r="AF24" s="31"/>
      <c r="AS24" s="31"/>
      <c r="AX24" s="170"/>
      <c r="AY24" s="170"/>
      <c r="AZ24" s="170"/>
      <c r="BA24" s="170"/>
      <c r="BB24" s="170"/>
      <c r="BC24" s="170"/>
      <c r="BD24" s="170"/>
      <c r="BS24" s="31"/>
      <c r="CT24" s="31"/>
    </row>
    <row r="25" spans="7:98" x14ac:dyDescent="0.25">
      <c r="P25" s="51"/>
      <c r="Q25" s="176"/>
      <c r="R25" s="51"/>
      <c r="S25" s="51"/>
      <c r="Y25" s="31"/>
      <c r="Z25" s="175"/>
      <c r="AA25" s="170"/>
      <c r="AB25" s="170"/>
      <c r="AC25" s="170"/>
      <c r="AD25" s="170"/>
      <c r="AE25" s="170"/>
      <c r="AF25" s="174"/>
      <c r="AS25" s="31"/>
      <c r="AW25" s="31"/>
      <c r="AY25" t="s">
        <v>260</v>
      </c>
      <c r="BD25" s="171"/>
      <c r="BS25" s="31"/>
      <c r="BX25" s="172"/>
      <c r="BY25" s="173" t="s">
        <v>261</v>
      </c>
      <c r="BZ25" s="173"/>
      <c r="CA25" s="173"/>
      <c r="CB25" s="173"/>
      <c r="CC25" s="173"/>
      <c r="CD25" s="171"/>
      <c r="CT25" s="31"/>
    </row>
    <row r="26" spans="7:98" x14ac:dyDescent="0.25">
      <c r="P26" s="51"/>
      <c r="Q26" s="176"/>
      <c r="R26" s="170"/>
      <c r="S26" s="170"/>
      <c r="T26" s="170"/>
      <c r="U26" s="170"/>
      <c r="V26" s="170"/>
      <c r="AS26" s="31"/>
      <c r="AT26" s="175"/>
      <c r="AU26" s="170"/>
      <c r="AV26" s="170"/>
      <c r="AW26" s="174"/>
      <c r="AY26" t="s">
        <v>262</v>
      </c>
      <c r="BD26" s="31"/>
      <c r="BS26" s="31"/>
      <c r="BT26" s="175"/>
      <c r="BU26" s="170"/>
      <c r="BV26" s="170"/>
      <c r="BW26" s="170"/>
      <c r="BX26" s="30"/>
      <c r="BY26" s="51" t="s">
        <v>263</v>
      </c>
      <c r="BZ26" s="51"/>
      <c r="CA26" s="51"/>
      <c r="CB26" s="51"/>
      <c r="CC26" s="51"/>
      <c r="CD26" s="31"/>
      <c r="CT26" s="31"/>
    </row>
    <row r="27" spans="7:98" x14ac:dyDescent="0.25">
      <c r="P27" s="51"/>
      <c r="Q27" s="177"/>
      <c r="R27" s="51"/>
      <c r="S27" s="51"/>
      <c r="V27" s="31"/>
      <c r="AS27" s="31"/>
      <c r="AW27" s="31"/>
      <c r="AY27" s="321">
        <v>70275191</v>
      </c>
      <c r="AZ27" s="321"/>
      <c r="BA27" s="321"/>
      <c r="BB27" s="321"/>
      <c r="BC27" s="321"/>
      <c r="BD27" s="31"/>
      <c r="BS27" s="31"/>
      <c r="BX27" s="30"/>
      <c r="BY27" s="322">
        <v>1334021</v>
      </c>
      <c r="BZ27" s="322"/>
      <c r="CA27" s="322"/>
      <c r="CB27" s="322"/>
      <c r="CC27" s="322"/>
      <c r="CD27" s="31"/>
      <c r="CJ27" s="170"/>
      <c r="CK27" s="170"/>
      <c r="CL27" s="170"/>
      <c r="CM27" s="170"/>
      <c r="CN27" s="170"/>
      <c r="CO27" s="170"/>
      <c r="CP27" s="170"/>
      <c r="CT27" s="31"/>
    </row>
    <row r="28" spans="7:98" x14ac:dyDescent="0.25">
      <c r="P28" s="51"/>
      <c r="Q28" s="177"/>
      <c r="R28" s="51"/>
      <c r="S28" s="51"/>
      <c r="V28" s="31"/>
      <c r="Z28" s="170"/>
      <c r="AA28" s="170"/>
      <c r="AB28" s="170"/>
      <c r="AC28" s="170"/>
      <c r="AD28" s="170"/>
      <c r="AE28" s="170"/>
      <c r="AF28" s="170"/>
      <c r="AS28" s="31"/>
      <c r="AW28" s="31"/>
      <c r="AX28" s="175"/>
      <c r="AY28" s="170"/>
      <c r="AZ28" s="170"/>
      <c r="BA28" s="170"/>
      <c r="BB28" s="170"/>
      <c r="BC28" s="170"/>
      <c r="BD28" s="174"/>
      <c r="BS28" s="31"/>
      <c r="BX28" s="175"/>
      <c r="BY28" s="170"/>
      <c r="BZ28" s="170"/>
      <c r="CA28" s="170"/>
      <c r="CB28" s="170"/>
      <c r="CC28" s="170"/>
      <c r="CD28" s="174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1"/>
      <c r="Q29" s="177"/>
      <c r="R29" s="51"/>
      <c r="S29" s="51"/>
      <c r="V29" s="31"/>
      <c r="Y29" s="31"/>
      <c r="AA29" t="s">
        <v>266</v>
      </c>
      <c r="AF29" s="171"/>
      <c r="AS29" s="31"/>
      <c r="BS29" s="31"/>
      <c r="CI29" s="31"/>
      <c r="CK29" t="s">
        <v>267</v>
      </c>
      <c r="CP29" s="31"/>
      <c r="CQ29" s="170"/>
      <c r="CR29" s="170"/>
      <c r="CS29" s="170"/>
      <c r="CT29" s="174"/>
    </row>
    <row r="30" spans="7:98" x14ac:dyDescent="0.25">
      <c r="M30" s="3" t="s">
        <v>268</v>
      </c>
      <c r="P30" s="51"/>
      <c r="Q30" s="177"/>
      <c r="R30" s="51"/>
      <c r="S30" s="170"/>
      <c r="T30" s="170"/>
      <c r="U30" s="170"/>
      <c r="V30" s="174"/>
      <c r="W30" s="170"/>
      <c r="X30" s="170"/>
      <c r="Y30" s="174"/>
      <c r="AA30" t="s">
        <v>258</v>
      </c>
      <c r="AF30" s="31"/>
      <c r="AG30" s="175"/>
      <c r="AH30" s="170"/>
      <c r="AI30" s="170"/>
      <c r="AJ30" s="170"/>
      <c r="AK30" s="170"/>
      <c r="AL30" s="170"/>
      <c r="AS30" s="31"/>
      <c r="BS30" s="31"/>
      <c r="CI30" s="31"/>
      <c r="CK30" s="322">
        <v>67327447</v>
      </c>
      <c r="CL30" s="322"/>
      <c r="CM30" s="322"/>
      <c r="CN30" s="322"/>
      <c r="CO30" s="322"/>
      <c r="CP30" s="31"/>
    </row>
    <row r="31" spans="7:98" x14ac:dyDescent="0.25">
      <c r="M31" s="3" t="s">
        <v>259</v>
      </c>
      <c r="P31" s="51"/>
      <c r="Q31" s="51"/>
      <c r="R31" s="51"/>
      <c r="S31" s="51"/>
      <c r="Y31" s="31"/>
      <c r="AA31" s="321">
        <v>74860173</v>
      </c>
      <c r="AB31" s="321"/>
      <c r="AC31" s="321"/>
      <c r="AD31" s="321"/>
      <c r="AE31" s="321"/>
      <c r="AF31" s="31"/>
      <c r="AL31" s="171"/>
      <c r="AS31" s="31"/>
      <c r="BS31" s="31"/>
      <c r="BX31" s="170"/>
      <c r="BY31" s="170"/>
      <c r="BZ31" s="170"/>
      <c r="CA31" s="170"/>
      <c r="CB31" s="170"/>
      <c r="CC31" s="170"/>
      <c r="CD31" s="170"/>
      <c r="CI31" s="31"/>
      <c r="CJ31" s="175"/>
      <c r="CK31" s="170"/>
      <c r="CL31" s="170"/>
      <c r="CM31" s="170"/>
      <c r="CN31" s="170"/>
      <c r="CO31" s="170"/>
      <c r="CP31" s="174"/>
    </row>
    <row r="32" spans="7:98" x14ac:dyDescent="0.25">
      <c r="P32" s="51"/>
      <c r="Q32" s="51"/>
      <c r="R32" s="51"/>
      <c r="S32" s="51"/>
      <c r="Y32" s="31"/>
      <c r="Z32" s="175"/>
      <c r="AA32" s="170"/>
      <c r="AB32" s="170"/>
      <c r="AC32" s="170"/>
      <c r="AD32" s="170"/>
      <c r="AE32" s="170"/>
      <c r="AF32" s="174"/>
      <c r="AL32" s="31"/>
      <c r="AS32" s="31"/>
      <c r="AX32" s="170"/>
      <c r="AY32" s="170"/>
      <c r="AZ32" s="170"/>
      <c r="BA32" s="170"/>
      <c r="BB32" s="170"/>
      <c r="BC32" s="170"/>
      <c r="BD32" s="170"/>
      <c r="BS32" s="31"/>
      <c r="BW32" s="31"/>
      <c r="BY32" t="s">
        <v>264</v>
      </c>
      <c r="CD32" s="171"/>
    </row>
    <row r="33" spans="3:82" x14ac:dyDescent="0.25">
      <c r="P33" s="51"/>
      <c r="Q33" s="51"/>
      <c r="R33" s="51"/>
      <c r="S33" s="51"/>
      <c r="AL33" s="31"/>
      <c r="AS33" s="31"/>
      <c r="AW33" s="31"/>
      <c r="AY33" t="s">
        <v>269</v>
      </c>
      <c r="BD33" s="171"/>
      <c r="BT33" s="175"/>
      <c r="BU33" s="170"/>
      <c r="BV33" s="170"/>
      <c r="BW33" s="174"/>
      <c r="BY33" t="s">
        <v>126</v>
      </c>
      <c r="CD33" s="31"/>
    </row>
    <row r="34" spans="3:82" x14ac:dyDescent="0.25">
      <c r="P34" s="51"/>
      <c r="Q34" s="51"/>
      <c r="R34" s="51"/>
      <c r="S34" s="51"/>
      <c r="AL34" s="31"/>
      <c r="AS34" s="31"/>
      <c r="AT34" s="175"/>
      <c r="AU34" s="170"/>
      <c r="AV34" s="170"/>
      <c r="AW34" s="174"/>
      <c r="AY34" t="s">
        <v>270</v>
      </c>
      <c r="BD34" s="31"/>
      <c r="BW34" s="171"/>
      <c r="BY34" s="322">
        <v>63265094</v>
      </c>
      <c r="BZ34" s="322"/>
      <c r="CA34" s="322"/>
      <c r="CB34" s="322"/>
      <c r="CC34" s="322"/>
      <c r="CD34" s="31"/>
    </row>
    <row r="35" spans="3:82" x14ac:dyDescent="0.25">
      <c r="AL35" s="31"/>
      <c r="AS35" s="31"/>
      <c r="AW35" s="31"/>
      <c r="AY35" s="321">
        <v>2130521</v>
      </c>
      <c r="AZ35" s="321"/>
      <c r="BA35" s="321"/>
      <c r="BB35" s="321"/>
      <c r="BC35" s="321"/>
      <c r="BD35" s="31"/>
      <c r="BW35" s="31"/>
      <c r="BX35" s="175"/>
      <c r="BY35" s="170"/>
      <c r="BZ35" s="170"/>
      <c r="CA35" s="170"/>
      <c r="CB35" s="170"/>
      <c r="CC35" s="170"/>
      <c r="CD35" s="174"/>
    </row>
    <row r="36" spans="3:82" x14ac:dyDescent="0.25">
      <c r="C36" s="51"/>
      <c r="D36" s="316"/>
      <c r="E36" s="316"/>
      <c r="AJ36" t="s">
        <v>271</v>
      </c>
      <c r="AS36" s="31"/>
      <c r="AW36" s="31"/>
      <c r="AX36" s="175"/>
      <c r="AY36" s="170"/>
      <c r="AZ36" s="170"/>
      <c r="BA36" s="170"/>
      <c r="BB36" s="170"/>
      <c r="BC36" s="170"/>
      <c r="BD36" s="174"/>
    </row>
    <row r="37" spans="3:82" x14ac:dyDescent="0.25">
      <c r="C37" s="51"/>
      <c r="D37" s="148"/>
      <c r="E37" s="148"/>
      <c r="AJ37" t="s">
        <v>272</v>
      </c>
      <c r="AS37" s="31"/>
    </row>
    <row r="38" spans="3:82" x14ac:dyDescent="0.25">
      <c r="C38" s="51"/>
      <c r="D38" s="178"/>
      <c r="E38" s="178"/>
      <c r="AS38" s="31"/>
    </row>
    <row r="39" spans="3:82" x14ac:dyDescent="0.25">
      <c r="AS39" s="31"/>
      <c r="AX39" s="170"/>
      <c r="AY39" s="170"/>
      <c r="AZ39" s="170"/>
      <c r="BA39" s="170"/>
      <c r="BB39" s="170"/>
      <c r="BC39" s="170"/>
      <c r="BD39" s="170"/>
      <c r="BK39" s="170"/>
      <c r="BL39" s="170"/>
      <c r="BM39" s="170"/>
      <c r="BN39" s="170"/>
      <c r="BO39" s="170"/>
      <c r="BP39" s="170"/>
    </row>
    <row r="40" spans="3:82" x14ac:dyDescent="0.25">
      <c r="AS40" s="31"/>
      <c r="AW40" s="31"/>
      <c r="AY40" t="s">
        <v>273</v>
      </c>
      <c r="BD40" s="171"/>
      <c r="BJ40" s="31"/>
      <c r="BL40" t="s">
        <v>274</v>
      </c>
      <c r="BP40" s="171"/>
    </row>
    <row r="41" spans="3:82" x14ac:dyDescent="0.25">
      <c r="Z41" s="172"/>
      <c r="AA41" s="173" t="s">
        <v>109</v>
      </c>
      <c r="AB41" s="173"/>
      <c r="AC41" s="173"/>
      <c r="AD41" s="173"/>
      <c r="AE41" s="173"/>
      <c r="AF41" s="171"/>
      <c r="AS41" s="31"/>
      <c r="AT41" s="175"/>
      <c r="AU41" s="170"/>
      <c r="AV41" s="170"/>
      <c r="AW41" s="174"/>
      <c r="AY41" t="s">
        <v>206</v>
      </c>
      <c r="BD41" s="31"/>
      <c r="BE41" s="175"/>
      <c r="BF41" s="170"/>
      <c r="BG41" s="170"/>
      <c r="BH41" s="170"/>
      <c r="BI41" s="170"/>
      <c r="BJ41" s="174"/>
      <c r="BL41" t="s">
        <v>275</v>
      </c>
      <c r="BP41" s="31"/>
    </row>
    <row r="42" spans="3:82" x14ac:dyDescent="0.25">
      <c r="W42" s="170"/>
      <c r="X42" s="170"/>
      <c r="Y42" s="174"/>
      <c r="Z42" s="30"/>
      <c r="AA42" s="51" t="s">
        <v>276</v>
      </c>
      <c r="AB42" s="51"/>
      <c r="AC42" s="51"/>
      <c r="AD42" s="51"/>
      <c r="AE42" s="51"/>
      <c r="AF42" s="31"/>
      <c r="AS42" s="31"/>
      <c r="AW42" s="31"/>
      <c r="AY42" s="321">
        <v>79177804</v>
      </c>
      <c r="AZ42" s="321"/>
      <c r="BA42" s="321"/>
      <c r="BB42" s="321"/>
      <c r="BC42" s="321"/>
      <c r="BD42" s="31"/>
      <c r="BJ42" s="31"/>
      <c r="BL42" t="s">
        <v>277</v>
      </c>
      <c r="BP42" s="31"/>
    </row>
    <row r="43" spans="3:82" x14ac:dyDescent="0.25">
      <c r="V43" s="31"/>
      <c r="Z43" s="30"/>
      <c r="AA43" s="318">
        <v>93477704</v>
      </c>
      <c r="AB43" s="319"/>
      <c r="AC43" s="319"/>
      <c r="AD43" s="319"/>
      <c r="AE43" s="319"/>
      <c r="AF43" s="31"/>
      <c r="AS43" s="31"/>
      <c r="AW43" s="31"/>
      <c r="AX43" s="175"/>
      <c r="AY43" s="170"/>
      <c r="AZ43" s="170"/>
      <c r="BA43" s="170"/>
      <c r="BB43" s="170"/>
      <c r="BC43" s="170"/>
      <c r="BD43" s="174"/>
      <c r="BJ43" s="31"/>
      <c r="BK43" s="175"/>
      <c r="BL43" s="320">
        <v>79305675</v>
      </c>
      <c r="BM43" s="320"/>
      <c r="BN43" s="320"/>
      <c r="BO43" s="320"/>
      <c r="BP43" s="174"/>
    </row>
    <row r="44" spans="3:82" x14ac:dyDescent="0.25">
      <c r="V44" s="31"/>
      <c r="Z44" s="175"/>
      <c r="AA44" s="170"/>
      <c r="AB44" s="170"/>
      <c r="AC44" s="170"/>
      <c r="AD44" s="170"/>
      <c r="AE44" s="170"/>
      <c r="AF44" s="174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0"/>
      <c r="T47" s="170"/>
      <c r="U47" s="170"/>
      <c r="V47" s="174"/>
      <c r="AS47" s="31"/>
      <c r="AX47" s="172"/>
      <c r="AY47" s="173" t="s">
        <v>281</v>
      </c>
      <c r="AZ47" s="173"/>
      <c r="BA47" s="173"/>
      <c r="BB47" s="173"/>
      <c r="BC47" s="173"/>
      <c r="BD47" s="171"/>
    </row>
    <row r="48" spans="3:82" x14ac:dyDescent="0.25">
      <c r="M48" s="3" t="s">
        <v>282</v>
      </c>
      <c r="V48" s="171"/>
      <c r="Z48" s="172"/>
      <c r="AA48" s="173" t="s">
        <v>283</v>
      </c>
      <c r="AB48" s="173"/>
      <c r="AC48" s="173"/>
      <c r="AD48" s="173"/>
      <c r="AE48" s="173"/>
      <c r="AF48" s="171"/>
      <c r="AS48" s="31"/>
      <c r="AT48" s="175"/>
      <c r="AU48" s="170"/>
      <c r="AV48" s="170"/>
      <c r="AW48" s="170"/>
      <c r="AX48" s="30"/>
      <c r="AY48" s="51" t="s">
        <v>284</v>
      </c>
      <c r="AZ48" s="51"/>
      <c r="BA48" s="51"/>
      <c r="BB48" s="51"/>
      <c r="BC48" s="51"/>
      <c r="BD48" s="31"/>
    </row>
    <row r="49" spans="2:56" x14ac:dyDescent="0.25">
      <c r="M49" s="3" t="s">
        <v>248</v>
      </c>
      <c r="V49" s="31"/>
      <c r="W49" s="175"/>
      <c r="X49" s="170"/>
      <c r="Y49" s="170"/>
      <c r="Z49" s="30"/>
      <c r="AA49" s="51" t="s">
        <v>285</v>
      </c>
      <c r="AB49" s="51"/>
      <c r="AC49" s="51"/>
      <c r="AD49" s="51"/>
      <c r="AE49" s="51"/>
      <c r="AF49" s="31"/>
      <c r="AS49" s="31"/>
      <c r="AX49" s="30"/>
      <c r="AY49" s="321">
        <v>79190041</v>
      </c>
      <c r="AZ49" s="321"/>
      <c r="BA49" s="321"/>
      <c r="BB49" s="321"/>
      <c r="BC49" s="321"/>
      <c r="BD49" s="31"/>
    </row>
    <row r="50" spans="2:56" ht="15.75" x14ac:dyDescent="0.25">
      <c r="V50" s="31"/>
      <c r="Z50" s="30"/>
      <c r="AA50" s="179" t="s">
        <v>166</v>
      </c>
      <c r="AB50" s="179"/>
      <c r="AC50" s="180"/>
      <c r="AD50" s="51"/>
      <c r="AE50" s="51"/>
      <c r="AF50" s="31"/>
      <c r="AS50" s="31"/>
      <c r="AX50" s="175"/>
      <c r="AY50" s="170"/>
      <c r="AZ50" s="170"/>
      <c r="BA50" s="170"/>
      <c r="BB50" s="170"/>
      <c r="BC50" s="170"/>
      <c r="BD50" s="174"/>
    </row>
    <row r="51" spans="2:56" x14ac:dyDescent="0.25">
      <c r="V51" s="31"/>
      <c r="Z51" s="175"/>
      <c r="AA51" s="170"/>
      <c r="AB51" s="170"/>
      <c r="AC51" s="170"/>
      <c r="AD51" s="170"/>
      <c r="AE51" s="170"/>
      <c r="AF51" s="174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0"/>
      <c r="AY53" s="170"/>
      <c r="AZ53" s="170"/>
      <c r="BA53" s="170"/>
      <c r="BB53" s="170"/>
      <c r="BC53" s="170"/>
      <c r="BD53" s="170"/>
    </row>
    <row r="54" spans="2:56" x14ac:dyDescent="0.25">
      <c r="V54" s="31"/>
      <c r="AS54" s="31"/>
      <c r="AW54" s="31"/>
      <c r="AY54" t="s">
        <v>286</v>
      </c>
      <c r="BD54" s="171"/>
    </row>
    <row r="55" spans="2:56" x14ac:dyDescent="0.25">
      <c r="V55" s="31"/>
      <c r="AS55" s="31"/>
      <c r="AT55" s="175"/>
      <c r="AU55" s="170"/>
      <c r="AV55" s="170"/>
      <c r="AW55" s="174"/>
      <c r="AY55" t="s">
        <v>284</v>
      </c>
      <c r="BD55" s="31"/>
    </row>
    <row r="56" spans="2:56" x14ac:dyDescent="0.25">
      <c r="V56" s="31"/>
      <c r="Z56" s="172"/>
      <c r="AA56" s="173" t="s">
        <v>122</v>
      </c>
      <c r="AB56" s="173"/>
      <c r="AC56" s="173"/>
      <c r="AD56" s="173"/>
      <c r="AE56" s="173"/>
      <c r="AF56" s="171"/>
      <c r="AS56" s="31"/>
      <c r="AW56" s="31"/>
      <c r="AY56" s="321">
        <v>79190039</v>
      </c>
      <c r="AZ56" s="321"/>
      <c r="BA56" s="321"/>
      <c r="BB56" s="321"/>
      <c r="BC56" s="321"/>
      <c r="BD56" s="31"/>
    </row>
    <row r="57" spans="2:56" x14ac:dyDescent="0.25">
      <c r="V57" s="31"/>
      <c r="W57" s="175"/>
      <c r="X57" s="170"/>
      <c r="Y57" s="170"/>
      <c r="Z57" s="30"/>
      <c r="AA57" s="51" t="s">
        <v>278</v>
      </c>
      <c r="AB57" s="51"/>
      <c r="AC57" s="51"/>
      <c r="AD57" s="51"/>
      <c r="AE57" s="51"/>
      <c r="AF57" s="31"/>
      <c r="AS57" s="31"/>
      <c r="AW57" s="31"/>
      <c r="AX57" s="175"/>
      <c r="AY57" s="170"/>
      <c r="AZ57" s="170"/>
      <c r="BA57" s="170"/>
      <c r="BB57" s="170"/>
      <c r="BC57" s="170"/>
      <c r="BD57" s="174"/>
    </row>
    <row r="58" spans="2:56" x14ac:dyDescent="0.25">
      <c r="Z58" s="30"/>
      <c r="AA58" s="51" t="s">
        <v>287</v>
      </c>
      <c r="AB58" s="51"/>
      <c r="AC58" s="51"/>
      <c r="AD58" s="51"/>
      <c r="AE58" s="51"/>
      <c r="AF58" s="31"/>
      <c r="AS58" s="31"/>
    </row>
    <row r="59" spans="2:56" x14ac:dyDescent="0.25">
      <c r="Z59" s="175"/>
      <c r="AA59" s="181" t="s">
        <v>218</v>
      </c>
      <c r="AB59" s="182"/>
      <c r="AC59" s="170"/>
      <c r="AD59" s="170"/>
      <c r="AE59" s="170"/>
      <c r="AF59" s="174"/>
      <c r="AS59" s="31"/>
    </row>
    <row r="60" spans="2:56" x14ac:dyDescent="0.25">
      <c r="AS60" s="31"/>
    </row>
    <row r="61" spans="2:56" x14ac:dyDescent="0.25">
      <c r="C61" s="170"/>
      <c r="D61" s="170"/>
      <c r="E61" s="3" t="s">
        <v>288</v>
      </c>
      <c r="AS61" s="31"/>
      <c r="AX61" s="172"/>
      <c r="AY61" s="173" t="s">
        <v>155</v>
      </c>
      <c r="AZ61" s="173"/>
      <c r="BA61" s="173"/>
      <c r="BB61" s="173"/>
      <c r="BC61" s="173"/>
      <c r="BD61" s="171"/>
    </row>
    <row r="62" spans="2:56" x14ac:dyDescent="0.25">
      <c r="B62" s="31"/>
      <c r="E62" s="3" t="s">
        <v>289</v>
      </c>
      <c r="AS62" s="31"/>
      <c r="AT62" s="175"/>
      <c r="AU62" s="170"/>
      <c r="AV62" s="170"/>
      <c r="AW62" s="170"/>
      <c r="AX62" s="30"/>
      <c r="AY62" s="51" t="s">
        <v>290</v>
      </c>
      <c r="AZ62" s="51"/>
      <c r="BA62" s="51"/>
      <c r="BB62" s="51"/>
      <c r="BC62" s="51"/>
      <c r="BD62" s="31"/>
    </row>
    <row r="63" spans="2:56" x14ac:dyDescent="0.25">
      <c r="B63" s="31"/>
      <c r="AS63" s="31"/>
      <c r="AX63" s="30"/>
      <c r="AY63" s="321">
        <v>79324776</v>
      </c>
      <c r="AZ63" s="321"/>
      <c r="BA63" s="321"/>
      <c r="BB63" s="321"/>
      <c r="BC63" s="321"/>
      <c r="BD63" s="31"/>
    </row>
    <row r="64" spans="2:56" x14ac:dyDescent="0.25">
      <c r="B64" s="31"/>
      <c r="AS64" s="31"/>
      <c r="AX64" s="175"/>
      <c r="AY64" s="170"/>
      <c r="AZ64" s="170"/>
      <c r="BA64" s="170"/>
      <c r="BB64" s="170"/>
      <c r="BC64" s="170"/>
      <c r="BD64" s="174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2"/>
      <c r="P66" s="173"/>
      <c r="Q66" s="173"/>
      <c r="R66" s="173"/>
      <c r="S66" s="171"/>
      <c r="V66" s="172"/>
      <c r="W66" s="173"/>
      <c r="X66" s="173"/>
      <c r="Y66" s="173"/>
      <c r="Z66" s="171"/>
      <c r="AC66" s="172"/>
      <c r="AD66" s="173"/>
      <c r="AE66" s="173"/>
      <c r="AF66" s="173"/>
      <c r="AG66" s="171"/>
      <c r="AJ66" s="172"/>
      <c r="AK66" s="173"/>
      <c r="AL66" s="173"/>
      <c r="AM66" s="173"/>
      <c r="AN66" s="171"/>
      <c r="AS66" s="31"/>
    </row>
    <row r="67" spans="2:56" x14ac:dyDescent="0.25">
      <c r="B67" s="31"/>
      <c r="C67" s="175"/>
      <c r="D67" s="170"/>
      <c r="E67" s="170"/>
      <c r="F67" s="170" t="s">
        <v>292</v>
      </c>
      <c r="G67" s="170"/>
      <c r="H67" s="170"/>
      <c r="I67" s="170"/>
      <c r="J67" s="170"/>
      <c r="K67" s="170"/>
      <c r="L67" s="170"/>
      <c r="M67" s="170"/>
      <c r="N67" s="174"/>
      <c r="O67" s="30"/>
      <c r="P67" t="s">
        <v>91</v>
      </c>
      <c r="Q67" s="51"/>
      <c r="R67" s="51"/>
      <c r="S67" s="31"/>
      <c r="V67" s="30"/>
      <c r="W67" t="s">
        <v>95</v>
      </c>
      <c r="X67" s="51"/>
      <c r="Y67" s="51"/>
      <c r="Z67" s="31"/>
      <c r="AA67" s="175"/>
      <c r="AB67" s="174"/>
      <c r="AC67" s="30"/>
      <c r="AD67" t="s">
        <v>98</v>
      </c>
      <c r="AE67" s="51"/>
      <c r="AF67" s="51"/>
      <c r="AG67" s="31"/>
      <c r="AH67" s="175"/>
      <c r="AI67" s="174"/>
      <c r="AJ67" s="30"/>
      <c r="AK67" t="s">
        <v>102</v>
      </c>
      <c r="AL67" s="51"/>
      <c r="AM67" s="51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1"/>
      <c r="R68" s="51"/>
      <c r="S68" s="31"/>
      <c r="T68" s="172"/>
      <c r="U68" s="171"/>
      <c r="V68" s="30"/>
      <c r="W68" t="s">
        <v>96</v>
      </c>
      <c r="X68" s="51"/>
      <c r="Y68" s="51"/>
      <c r="Z68" s="31"/>
      <c r="AC68" s="30"/>
      <c r="AD68" t="s">
        <v>99</v>
      </c>
      <c r="AE68" s="51"/>
      <c r="AF68" s="51"/>
      <c r="AG68" s="31"/>
      <c r="AJ68" s="30"/>
      <c r="AK68" t="s">
        <v>103</v>
      </c>
      <c r="AL68" s="51"/>
      <c r="AM68" s="51"/>
      <c r="AN68" s="31"/>
      <c r="AS68" s="31"/>
      <c r="AX68" s="172"/>
      <c r="AY68" s="173" t="s">
        <v>294</v>
      </c>
      <c r="AZ68" s="173"/>
      <c r="BA68" s="173"/>
      <c r="BB68" s="173"/>
      <c r="BC68" s="173"/>
      <c r="BD68" s="171"/>
    </row>
    <row r="69" spans="2:56" x14ac:dyDescent="0.25">
      <c r="B69" s="31"/>
      <c r="O69" s="175"/>
      <c r="P69" s="170"/>
      <c r="Q69" s="170"/>
      <c r="R69" s="170"/>
      <c r="S69" s="174"/>
      <c r="V69" s="175"/>
      <c r="W69" s="170"/>
      <c r="X69" s="170"/>
      <c r="Y69" s="170"/>
      <c r="Z69" s="174"/>
      <c r="AC69" s="175"/>
      <c r="AD69" s="170"/>
      <c r="AE69" s="170"/>
      <c r="AF69" s="170"/>
      <c r="AG69" s="174"/>
      <c r="AJ69" s="175"/>
      <c r="AK69" s="170"/>
      <c r="AL69" s="170"/>
      <c r="AM69" s="170"/>
      <c r="AN69" s="174"/>
      <c r="AS69" s="31"/>
      <c r="AT69" s="175"/>
      <c r="AU69" s="170"/>
      <c r="AV69" s="170"/>
      <c r="AW69" s="170"/>
      <c r="AX69" s="30"/>
      <c r="AY69" s="51" t="s">
        <v>295</v>
      </c>
      <c r="AZ69" s="51"/>
      <c r="BA69" s="51"/>
      <c r="BB69" s="51"/>
      <c r="BC69" s="51"/>
      <c r="BD69" s="31"/>
    </row>
    <row r="70" spans="2:56" x14ac:dyDescent="0.25">
      <c r="B70" s="31"/>
      <c r="AS70" s="31"/>
      <c r="AX70" s="30"/>
      <c r="AY70" s="51" t="s">
        <v>296</v>
      </c>
      <c r="AZ70" s="51"/>
      <c r="BA70" s="51"/>
      <c r="BB70" s="51"/>
      <c r="BC70" s="51"/>
      <c r="BD70" s="31"/>
    </row>
    <row r="71" spans="2:56" x14ac:dyDescent="0.25">
      <c r="B71" s="31"/>
      <c r="AS71" s="31"/>
      <c r="AX71" s="175"/>
      <c r="AY71" s="317" t="s">
        <v>160</v>
      </c>
      <c r="AZ71" s="317"/>
      <c r="BA71" s="317"/>
      <c r="BB71" s="317"/>
      <c r="BC71" s="317"/>
      <c r="BD71" s="174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2"/>
      <c r="J75" s="173"/>
      <c r="K75" s="173"/>
      <c r="L75" s="173"/>
      <c r="M75" s="171"/>
      <c r="P75" s="172"/>
      <c r="Q75" s="173"/>
      <c r="R75" s="173"/>
      <c r="S75" s="173"/>
      <c r="T75" s="171"/>
      <c r="W75" s="172"/>
      <c r="X75" s="173"/>
      <c r="Y75" s="173"/>
      <c r="Z75" s="173"/>
      <c r="AA75" s="171"/>
      <c r="AD75" s="172"/>
      <c r="AE75" s="173"/>
      <c r="AF75" s="173"/>
      <c r="AG75" s="173"/>
      <c r="AH75" s="171"/>
      <c r="AK75" s="172"/>
      <c r="AL75" s="173"/>
      <c r="AM75" s="173"/>
      <c r="AN75" s="173"/>
      <c r="AO75" s="171"/>
      <c r="AS75" s="31"/>
      <c r="AX75" s="172"/>
      <c r="AY75" s="173" t="s">
        <v>297</v>
      </c>
      <c r="AZ75" s="173"/>
      <c r="BA75" s="173"/>
      <c r="BB75" s="173"/>
      <c r="BC75" s="173"/>
      <c r="BD75" s="171"/>
    </row>
    <row r="76" spans="2:56" x14ac:dyDescent="0.25">
      <c r="B76" s="31"/>
      <c r="C76" s="175"/>
      <c r="D76" s="170" t="s">
        <v>298</v>
      </c>
      <c r="E76" s="170"/>
      <c r="F76" s="170"/>
      <c r="G76" s="170"/>
      <c r="H76" s="174"/>
      <c r="I76" s="30"/>
      <c r="J76" t="s">
        <v>70</v>
      </c>
      <c r="K76" s="51"/>
      <c r="L76" s="51"/>
      <c r="M76" s="31"/>
      <c r="P76" s="30"/>
      <c r="Q76" t="s">
        <v>74</v>
      </c>
      <c r="R76" s="51"/>
      <c r="S76" s="51"/>
      <c r="T76" s="31"/>
      <c r="W76" s="30"/>
      <c r="X76" t="s">
        <v>78</v>
      </c>
      <c r="Y76" s="51"/>
      <c r="Z76" s="51"/>
      <c r="AA76" s="31"/>
      <c r="AD76" s="30"/>
      <c r="AE76" t="s">
        <v>82</v>
      </c>
      <c r="AF76" s="51"/>
      <c r="AG76" s="51"/>
      <c r="AH76" s="31"/>
      <c r="AK76" s="30"/>
      <c r="AL76" t="s">
        <v>86</v>
      </c>
      <c r="AM76" s="51"/>
      <c r="AN76" s="51"/>
      <c r="AO76" s="31"/>
      <c r="AS76" s="31"/>
      <c r="AT76" s="170"/>
      <c r="AU76" s="170"/>
      <c r="AV76" s="170"/>
      <c r="AW76" s="170"/>
      <c r="AX76" s="30"/>
      <c r="AY76" s="51" t="s">
        <v>299</v>
      </c>
      <c r="AZ76" s="51"/>
      <c r="BA76" s="51"/>
      <c r="BB76" s="51"/>
      <c r="BC76" s="51"/>
      <c r="BD76" s="31"/>
    </row>
    <row r="77" spans="2:56" x14ac:dyDescent="0.25">
      <c r="B77" s="31"/>
      <c r="D77" t="s">
        <v>300</v>
      </c>
      <c r="I77" s="30"/>
      <c r="J77" t="s">
        <v>71</v>
      </c>
      <c r="K77" s="51"/>
      <c r="L77" s="51"/>
      <c r="M77" s="31"/>
      <c r="N77" s="172"/>
      <c r="O77" s="171"/>
      <c r="P77" s="30"/>
      <c r="Q77" t="s">
        <v>75</v>
      </c>
      <c r="R77" s="51"/>
      <c r="S77" s="51"/>
      <c r="T77" s="31"/>
      <c r="U77" s="172"/>
      <c r="V77" s="171"/>
      <c r="W77" s="30"/>
      <c r="X77" t="s">
        <v>79</v>
      </c>
      <c r="Y77" s="51"/>
      <c r="Z77" s="51"/>
      <c r="AA77" s="31"/>
      <c r="AB77" s="172"/>
      <c r="AC77" s="171"/>
      <c r="AD77" s="30"/>
      <c r="AE77" t="s">
        <v>83</v>
      </c>
      <c r="AF77" s="51"/>
      <c r="AG77" s="51"/>
      <c r="AH77" s="31"/>
      <c r="AI77" s="172"/>
      <c r="AJ77" s="171"/>
      <c r="AK77" s="30"/>
      <c r="AL77" t="s">
        <v>87</v>
      </c>
      <c r="AM77" s="51"/>
      <c r="AN77" s="51"/>
      <c r="AO77" s="31"/>
      <c r="AX77" s="30"/>
      <c r="AY77" s="51" t="s">
        <v>296</v>
      </c>
      <c r="AZ77" s="51"/>
      <c r="BA77" s="51"/>
      <c r="BB77" s="51"/>
      <c r="BC77" s="51"/>
      <c r="BD77" s="31"/>
    </row>
    <row r="78" spans="2:56" x14ac:dyDescent="0.25">
      <c r="B78" s="31"/>
      <c r="I78" s="175"/>
      <c r="J78" s="170"/>
      <c r="K78" s="170"/>
      <c r="L78" s="170"/>
      <c r="M78" s="174"/>
      <c r="P78" s="175"/>
      <c r="Q78" s="170"/>
      <c r="R78" s="170"/>
      <c r="S78" s="170"/>
      <c r="T78" s="174"/>
      <c r="W78" s="175"/>
      <c r="X78" s="170"/>
      <c r="Y78" s="170"/>
      <c r="Z78" s="170"/>
      <c r="AA78" s="174"/>
      <c r="AD78" s="175"/>
      <c r="AE78" s="170"/>
      <c r="AF78" s="170"/>
      <c r="AG78" s="170"/>
      <c r="AH78" s="174"/>
      <c r="AK78" s="175"/>
      <c r="AL78" s="170"/>
      <c r="AM78" s="170"/>
      <c r="AN78" s="170"/>
      <c r="AO78" s="174"/>
      <c r="AX78" s="175"/>
      <c r="AY78" s="317" t="s">
        <v>162</v>
      </c>
      <c r="AZ78" s="317"/>
      <c r="BA78" s="317"/>
      <c r="BB78" s="317"/>
      <c r="BC78" s="317"/>
      <c r="BD78" s="174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2"/>
      <c r="Q84" s="173"/>
      <c r="R84" s="173"/>
      <c r="S84" s="173"/>
      <c r="T84" s="171"/>
      <c r="W84" s="172"/>
      <c r="X84" s="173"/>
      <c r="Y84" s="173"/>
      <c r="Z84" s="173"/>
      <c r="AA84" s="171"/>
    </row>
    <row r="85" spans="2:39" x14ac:dyDescent="0.25">
      <c r="B85" s="31"/>
      <c r="C85" s="175"/>
      <c r="D85" s="170"/>
      <c r="E85" s="170"/>
      <c r="F85" s="170"/>
      <c r="G85" s="170"/>
      <c r="H85" s="170"/>
      <c r="I85" s="170"/>
      <c r="J85" s="170" t="s">
        <v>298</v>
      </c>
      <c r="K85" s="170"/>
      <c r="L85" s="170"/>
      <c r="M85" s="170"/>
      <c r="N85" s="170"/>
      <c r="O85" s="174"/>
      <c r="P85" s="30"/>
      <c r="Q85" t="s">
        <v>106</v>
      </c>
      <c r="R85" s="51"/>
      <c r="S85" s="51"/>
      <c r="T85" s="31"/>
      <c r="V85" s="174"/>
      <c r="W85" s="30"/>
      <c r="X85" t="s">
        <v>110</v>
      </c>
      <c r="Y85" s="51"/>
      <c r="Z85" s="51"/>
      <c r="AA85" s="31"/>
    </row>
    <row r="86" spans="2:39" x14ac:dyDescent="0.25">
      <c r="B86" s="31"/>
      <c r="J86" t="s">
        <v>301</v>
      </c>
      <c r="P86" s="30"/>
      <c r="Q86" t="s">
        <v>107</v>
      </c>
      <c r="R86" s="51"/>
      <c r="S86" s="51"/>
      <c r="T86" s="31"/>
      <c r="U86" s="172"/>
      <c r="W86" s="30"/>
      <c r="X86" t="s">
        <v>111</v>
      </c>
      <c r="Y86" s="51"/>
      <c r="Z86" s="51"/>
      <c r="AA86" s="31"/>
    </row>
    <row r="87" spans="2:39" x14ac:dyDescent="0.25">
      <c r="B87" s="31"/>
      <c r="P87" s="175"/>
      <c r="Q87" s="170"/>
      <c r="R87" s="170"/>
      <c r="S87" s="170"/>
      <c r="T87" s="174"/>
      <c r="W87" s="175"/>
      <c r="X87" s="170"/>
      <c r="Y87" s="170"/>
      <c r="Z87" s="170"/>
      <c r="AA87" s="174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2"/>
      <c r="O93" s="173"/>
      <c r="P93" s="173"/>
      <c r="Q93" s="173"/>
      <c r="R93" s="171"/>
      <c r="U93" s="172"/>
      <c r="V93" s="173"/>
      <c r="W93" s="173"/>
      <c r="X93" s="173"/>
      <c r="Y93" s="171"/>
      <c r="AB93" s="172"/>
      <c r="AC93" s="173"/>
      <c r="AD93" s="173"/>
      <c r="AE93" s="173"/>
      <c r="AF93" s="171"/>
      <c r="AI93" s="172"/>
      <c r="AJ93" s="173"/>
      <c r="AK93" s="173"/>
      <c r="AL93" s="173"/>
      <c r="AM93" s="171"/>
    </row>
    <row r="94" spans="2:39" x14ac:dyDescent="0.25">
      <c r="B94" s="31"/>
      <c r="C94" s="175"/>
      <c r="D94" s="170"/>
      <c r="E94" s="170"/>
      <c r="F94" s="170"/>
      <c r="G94" s="170" t="s">
        <v>303</v>
      </c>
      <c r="H94" s="170"/>
      <c r="I94" s="170"/>
      <c r="J94" s="170"/>
      <c r="K94" s="170"/>
      <c r="L94" s="170"/>
      <c r="M94" s="174"/>
      <c r="N94" s="30"/>
      <c r="O94" s="183" t="s">
        <v>208</v>
      </c>
      <c r="P94" s="184"/>
      <c r="Q94" s="51"/>
      <c r="R94" s="31"/>
      <c r="U94" s="30"/>
      <c r="V94" s="183" t="s">
        <v>304</v>
      </c>
      <c r="W94" s="184"/>
      <c r="X94" s="51"/>
      <c r="Y94" s="31"/>
      <c r="AB94" s="185" t="s">
        <v>305</v>
      </c>
      <c r="AD94" s="184"/>
      <c r="AE94" s="51"/>
      <c r="AF94" s="31"/>
      <c r="AG94" s="175"/>
      <c r="AH94" s="174"/>
      <c r="AI94" s="30"/>
      <c r="AJ94" s="183" t="s">
        <v>193</v>
      </c>
      <c r="AK94" s="184"/>
      <c r="AL94" s="51"/>
      <c r="AM94" s="31"/>
    </row>
    <row r="95" spans="2:39" x14ac:dyDescent="0.25">
      <c r="G95" t="s">
        <v>57</v>
      </c>
      <c r="N95" s="30"/>
      <c r="O95" s="51" t="s">
        <v>213</v>
      </c>
      <c r="P95" s="51"/>
      <c r="Q95" s="51"/>
      <c r="R95" s="31"/>
      <c r="S95" s="172"/>
      <c r="T95" s="171"/>
      <c r="U95" s="30"/>
      <c r="V95" s="51" t="s">
        <v>214</v>
      </c>
      <c r="W95" s="51"/>
      <c r="X95" s="51"/>
      <c r="Y95" s="31"/>
      <c r="Z95" s="172"/>
      <c r="AA95" s="171"/>
      <c r="AB95" s="30"/>
      <c r="AC95" s="51" t="s">
        <v>215</v>
      </c>
      <c r="AD95" s="51"/>
      <c r="AE95" s="51"/>
      <c r="AF95" s="31"/>
      <c r="AI95" s="30"/>
      <c r="AJ95" s="183" t="s">
        <v>216</v>
      </c>
      <c r="AK95" s="184"/>
      <c r="AL95" s="51"/>
      <c r="AM95" s="31"/>
    </row>
    <row r="96" spans="2:39" x14ac:dyDescent="0.25">
      <c r="N96" s="175"/>
      <c r="O96" s="170"/>
      <c r="P96" s="170"/>
      <c r="Q96" s="170"/>
      <c r="R96" s="174"/>
      <c r="U96" s="175"/>
      <c r="V96" s="170"/>
      <c r="W96" s="170"/>
      <c r="X96" s="170"/>
      <c r="Y96" s="174"/>
      <c r="AB96" s="175"/>
      <c r="AC96" s="170"/>
      <c r="AD96" s="170"/>
      <c r="AE96" s="170"/>
      <c r="AF96" s="174"/>
      <c r="AI96" s="175"/>
      <c r="AJ96" s="170"/>
      <c r="AK96" s="170"/>
      <c r="AL96" s="170"/>
      <c r="AM96" s="174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4" customWidth="1"/>
    <col min="15" max="15" width="18" style="194" customWidth="1"/>
    <col min="16" max="16" width="17.7109375" style="194" customWidth="1"/>
    <col min="17" max="17" width="14.28515625" style="194" customWidth="1"/>
  </cols>
  <sheetData>
    <row r="1" spans="1:17" x14ac:dyDescent="0.25">
      <c r="N1" s="191"/>
      <c r="O1" s="191"/>
      <c r="P1" s="191" t="s">
        <v>306</v>
      </c>
      <c r="Q1" s="191" t="s">
        <v>307</v>
      </c>
    </row>
    <row r="2" spans="1:17" x14ac:dyDescent="0.25">
      <c r="N2" s="191"/>
      <c r="O2" s="191"/>
      <c r="P2" s="191" t="s">
        <v>308</v>
      </c>
      <c r="Q2" s="191"/>
    </row>
    <row r="3" spans="1:17" x14ac:dyDescent="0.25">
      <c r="B3" s="3" t="s">
        <v>309</v>
      </c>
      <c r="C3" s="3" t="s">
        <v>310</v>
      </c>
      <c r="E3" s="186" t="s">
        <v>311</v>
      </c>
      <c r="F3" s="3">
        <v>2021</v>
      </c>
      <c r="G3" s="3"/>
      <c r="H3" s="3"/>
      <c r="N3" s="192" t="s">
        <v>312</v>
      </c>
      <c r="O3" s="191" t="s">
        <v>313</v>
      </c>
      <c r="P3" s="191"/>
      <c r="Q3" s="193">
        <f>+P3/444</f>
        <v>0</v>
      </c>
    </row>
    <row r="4" spans="1:17" x14ac:dyDescent="0.25">
      <c r="A4" t="s">
        <v>226</v>
      </c>
      <c r="E4" s="186"/>
      <c r="G4">
        <v>13764</v>
      </c>
      <c r="H4">
        <f>SUM(F4*G4)</f>
        <v>0</v>
      </c>
      <c r="N4" s="192" t="s">
        <v>314</v>
      </c>
      <c r="O4" s="191" t="s">
        <v>313</v>
      </c>
      <c r="P4" s="191"/>
      <c r="Q4" s="193">
        <f t="shared" ref="Q4:Q67" si="0">+P4/444</f>
        <v>0</v>
      </c>
    </row>
    <row r="5" spans="1:17" x14ac:dyDescent="0.25">
      <c r="A5" t="s">
        <v>227</v>
      </c>
      <c r="E5" s="186"/>
      <c r="G5">
        <v>12432</v>
      </c>
      <c r="H5">
        <f t="shared" ref="H5:H15" si="1">SUM(F5*G5)</f>
        <v>0</v>
      </c>
      <c r="N5" s="192" t="s">
        <v>315</v>
      </c>
      <c r="O5" s="191" t="s">
        <v>313</v>
      </c>
      <c r="P5" s="191"/>
      <c r="Q5" s="193">
        <f t="shared" si="0"/>
        <v>0</v>
      </c>
    </row>
    <row r="6" spans="1:17" x14ac:dyDescent="0.25">
      <c r="A6" t="s">
        <v>228</v>
      </c>
      <c r="E6" s="186"/>
      <c r="G6">
        <v>13764</v>
      </c>
      <c r="H6">
        <f t="shared" si="1"/>
        <v>0</v>
      </c>
      <c r="N6" s="192" t="s">
        <v>316</v>
      </c>
      <c r="O6" s="191" t="s">
        <v>313</v>
      </c>
      <c r="P6" s="191"/>
      <c r="Q6" s="193">
        <f t="shared" si="0"/>
        <v>0</v>
      </c>
    </row>
    <row r="7" spans="1:17" x14ac:dyDescent="0.25">
      <c r="A7" t="s">
        <v>229</v>
      </c>
      <c r="E7" s="186"/>
      <c r="G7">
        <v>13320</v>
      </c>
      <c r="H7">
        <f t="shared" si="1"/>
        <v>0</v>
      </c>
      <c r="N7" s="192" t="s">
        <v>317</v>
      </c>
      <c r="O7" s="191" t="s">
        <v>313</v>
      </c>
      <c r="P7" s="191"/>
      <c r="Q7" s="193">
        <f t="shared" si="0"/>
        <v>0</v>
      </c>
    </row>
    <row r="8" spans="1:17" x14ac:dyDescent="0.25">
      <c r="A8" t="s">
        <v>230</v>
      </c>
      <c r="E8" s="186"/>
      <c r="G8">
        <v>13764</v>
      </c>
      <c r="H8">
        <f t="shared" si="1"/>
        <v>0</v>
      </c>
      <c r="N8" s="192" t="s">
        <v>318</v>
      </c>
      <c r="O8" s="191" t="s">
        <v>313</v>
      </c>
      <c r="P8" s="191"/>
      <c r="Q8" s="193">
        <f t="shared" si="0"/>
        <v>0</v>
      </c>
    </row>
    <row r="9" spans="1:17" x14ac:dyDescent="0.25">
      <c r="A9" t="s">
        <v>231</v>
      </c>
      <c r="E9" s="186"/>
      <c r="G9">
        <v>13320</v>
      </c>
      <c r="H9">
        <f t="shared" si="1"/>
        <v>0</v>
      </c>
      <c r="N9" s="192" t="s">
        <v>319</v>
      </c>
      <c r="O9" s="191" t="s">
        <v>313</v>
      </c>
      <c r="P9" s="191"/>
      <c r="Q9" s="193">
        <f t="shared" si="0"/>
        <v>0</v>
      </c>
    </row>
    <row r="10" spans="1:17" x14ac:dyDescent="0.25">
      <c r="A10" t="s">
        <v>232</v>
      </c>
      <c r="E10" s="186"/>
      <c r="G10">
        <v>13764</v>
      </c>
      <c r="H10">
        <f t="shared" si="1"/>
        <v>0</v>
      </c>
      <c r="N10" s="192" t="s">
        <v>320</v>
      </c>
      <c r="O10" s="191" t="s">
        <v>313</v>
      </c>
      <c r="P10" s="191"/>
      <c r="Q10" s="193">
        <f t="shared" si="0"/>
        <v>0</v>
      </c>
    </row>
    <row r="11" spans="1:17" x14ac:dyDescent="0.25">
      <c r="A11" t="s">
        <v>233</v>
      </c>
      <c r="E11" s="186"/>
      <c r="G11">
        <v>13764</v>
      </c>
      <c r="H11">
        <f t="shared" si="1"/>
        <v>0</v>
      </c>
      <c r="N11" s="192" t="s">
        <v>321</v>
      </c>
      <c r="O11" s="191" t="s">
        <v>313</v>
      </c>
      <c r="P11" s="191"/>
      <c r="Q11" s="193">
        <f t="shared" si="0"/>
        <v>0</v>
      </c>
    </row>
    <row r="12" spans="1:17" x14ac:dyDescent="0.25">
      <c r="A12" t="s">
        <v>234</v>
      </c>
      <c r="E12" s="186"/>
      <c r="G12">
        <v>13320</v>
      </c>
      <c r="H12">
        <f>SUM(F12*G12)</f>
        <v>0</v>
      </c>
      <c r="N12" s="192" t="s">
        <v>322</v>
      </c>
      <c r="O12" s="191" t="s">
        <v>313</v>
      </c>
      <c r="P12" s="191"/>
      <c r="Q12" s="193">
        <f t="shared" si="0"/>
        <v>0</v>
      </c>
    </row>
    <row r="13" spans="1:17" x14ac:dyDescent="0.25">
      <c r="A13" t="s">
        <v>235</v>
      </c>
      <c r="E13" s="186"/>
      <c r="G13">
        <v>13764</v>
      </c>
      <c r="H13">
        <f t="shared" si="1"/>
        <v>0</v>
      </c>
      <c r="N13" s="192" t="s">
        <v>323</v>
      </c>
      <c r="O13" s="191" t="s">
        <v>313</v>
      </c>
      <c r="P13" s="191"/>
      <c r="Q13" s="193">
        <f t="shared" si="0"/>
        <v>0</v>
      </c>
    </row>
    <row r="14" spans="1:17" x14ac:dyDescent="0.25">
      <c r="A14" t="s">
        <v>236</v>
      </c>
      <c r="E14" s="186"/>
      <c r="G14">
        <v>13320</v>
      </c>
      <c r="H14">
        <f t="shared" si="1"/>
        <v>0</v>
      </c>
      <c r="N14" s="192" t="s">
        <v>324</v>
      </c>
      <c r="O14" s="191" t="s">
        <v>313</v>
      </c>
      <c r="P14" s="191"/>
      <c r="Q14" s="193">
        <f t="shared" si="0"/>
        <v>0</v>
      </c>
    </row>
    <row r="15" spans="1:17" x14ac:dyDescent="0.25">
      <c r="A15" t="s">
        <v>237</v>
      </c>
      <c r="E15" s="187"/>
      <c r="G15">
        <v>13764</v>
      </c>
      <c r="H15">
        <f t="shared" si="1"/>
        <v>0</v>
      </c>
      <c r="N15" s="192" t="s">
        <v>325</v>
      </c>
      <c r="O15" s="191" t="s">
        <v>313</v>
      </c>
      <c r="P15" s="191"/>
      <c r="Q15" s="193">
        <f t="shared" si="0"/>
        <v>0</v>
      </c>
    </row>
    <row r="16" spans="1:17" x14ac:dyDescent="0.25">
      <c r="E16" s="186"/>
      <c r="G16">
        <f>SUM(G4:G15)</f>
        <v>162060</v>
      </c>
      <c r="H16">
        <f>SUM(H4:H15)</f>
        <v>0</v>
      </c>
      <c r="N16" s="192" t="s">
        <v>326</v>
      </c>
      <c r="O16" s="191" t="s">
        <v>313</v>
      </c>
      <c r="P16" s="191"/>
      <c r="Q16" s="193">
        <f t="shared" si="0"/>
        <v>0</v>
      </c>
    </row>
    <row r="17" spans="9:17" x14ac:dyDescent="0.25">
      <c r="N17" s="192" t="s">
        <v>327</v>
      </c>
      <c r="O17" s="191" t="s">
        <v>313</v>
      </c>
      <c r="P17" s="191"/>
      <c r="Q17" s="193">
        <f t="shared" si="0"/>
        <v>0</v>
      </c>
    </row>
    <row r="18" spans="9:17" x14ac:dyDescent="0.25">
      <c r="N18" s="192" t="s">
        <v>328</v>
      </c>
      <c r="O18" s="191" t="s">
        <v>313</v>
      </c>
      <c r="P18" s="191"/>
      <c r="Q18" s="193">
        <f t="shared" si="0"/>
        <v>0</v>
      </c>
    </row>
    <row r="19" spans="9:17" x14ac:dyDescent="0.25">
      <c r="N19" s="192" t="s">
        <v>329</v>
      </c>
      <c r="O19" s="191" t="s">
        <v>313</v>
      </c>
      <c r="P19" s="191"/>
      <c r="Q19" s="193">
        <f t="shared" si="0"/>
        <v>0</v>
      </c>
    </row>
    <row r="20" spans="9:17" x14ac:dyDescent="0.25">
      <c r="N20" s="192" t="s">
        <v>330</v>
      </c>
      <c r="O20" s="191" t="s">
        <v>313</v>
      </c>
      <c r="P20" s="191"/>
      <c r="Q20" s="193">
        <f t="shared" si="0"/>
        <v>0</v>
      </c>
    </row>
    <row r="21" spans="9:17" x14ac:dyDescent="0.25">
      <c r="N21" s="192" t="s">
        <v>331</v>
      </c>
      <c r="O21" s="191" t="s">
        <v>313</v>
      </c>
      <c r="P21" s="191"/>
      <c r="Q21" s="193">
        <f t="shared" si="0"/>
        <v>0</v>
      </c>
    </row>
    <row r="22" spans="9:17" x14ac:dyDescent="0.25">
      <c r="N22" s="192" t="s">
        <v>332</v>
      </c>
      <c r="O22" s="191" t="s">
        <v>313</v>
      </c>
      <c r="P22" s="191"/>
      <c r="Q22" s="193">
        <f t="shared" si="0"/>
        <v>0</v>
      </c>
    </row>
    <row r="23" spans="9:17" x14ac:dyDescent="0.25">
      <c r="N23" s="192" t="s">
        <v>333</v>
      </c>
      <c r="O23" s="191" t="s">
        <v>313</v>
      </c>
      <c r="P23" s="191"/>
      <c r="Q23" s="193">
        <f t="shared" si="0"/>
        <v>0</v>
      </c>
    </row>
    <row r="24" spans="9:17" x14ac:dyDescent="0.25">
      <c r="N24" s="192" t="s">
        <v>334</v>
      </c>
      <c r="O24" s="191" t="s">
        <v>313</v>
      </c>
      <c r="P24" s="191"/>
      <c r="Q24" s="193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2" t="s">
        <v>335</v>
      </c>
      <c r="O25" s="191" t="s">
        <v>313</v>
      </c>
      <c r="P25" s="191"/>
      <c r="Q25" s="193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2" t="s">
        <v>337</v>
      </c>
      <c r="O26" s="191" t="s">
        <v>313</v>
      </c>
      <c r="P26" s="191"/>
      <c r="Q26" s="193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2" t="s">
        <v>339</v>
      </c>
      <c r="O27" s="191" t="s">
        <v>313</v>
      </c>
      <c r="P27" s="191"/>
      <c r="Q27" s="193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2" t="s">
        <v>341</v>
      </c>
      <c r="O28" s="191" t="s">
        <v>313</v>
      </c>
      <c r="P28" s="191"/>
      <c r="Q28" s="193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2" t="s">
        <v>343</v>
      </c>
      <c r="O29" s="191" t="s">
        <v>313</v>
      </c>
      <c r="P29" s="191"/>
      <c r="Q29" s="193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2" t="s">
        <v>345</v>
      </c>
      <c r="O30" s="191" t="s">
        <v>313</v>
      </c>
      <c r="P30" s="191"/>
      <c r="Q30" s="193">
        <f t="shared" si="0"/>
        <v>0</v>
      </c>
    </row>
    <row r="31" spans="9:17" x14ac:dyDescent="0.25">
      <c r="N31" s="192" t="s">
        <v>346</v>
      </c>
      <c r="O31" s="191" t="s">
        <v>313</v>
      </c>
      <c r="P31" s="191"/>
      <c r="Q31" s="193">
        <f t="shared" si="0"/>
        <v>0</v>
      </c>
    </row>
    <row r="32" spans="9:17" x14ac:dyDescent="0.25">
      <c r="I32" s="3" t="s">
        <v>347</v>
      </c>
      <c r="N32" s="192" t="s">
        <v>348</v>
      </c>
      <c r="O32" s="191" t="s">
        <v>313</v>
      </c>
      <c r="P32" s="191"/>
      <c r="Q32" s="193">
        <f t="shared" si="0"/>
        <v>0</v>
      </c>
    </row>
    <row r="33" spans="14:17" x14ac:dyDescent="0.25">
      <c r="N33" s="192" t="s">
        <v>349</v>
      </c>
      <c r="O33" s="191" t="s">
        <v>313</v>
      </c>
      <c r="P33" s="191"/>
      <c r="Q33" s="193">
        <f t="shared" si="0"/>
        <v>0</v>
      </c>
    </row>
    <row r="34" spans="14:17" x14ac:dyDescent="0.25">
      <c r="N34" s="192" t="s">
        <v>312</v>
      </c>
      <c r="O34" s="191" t="s">
        <v>350</v>
      </c>
      <c r="P34" s="191"/>
      <c r="Q34" s="193">
        <f t="shared" si="0"/>
        <v>0</v>
      </c>
    </row>
    <row r="35" spans="14:17" x14ac:dyDescent="0.25">
      <c r="N35" s="192" t="s">
        <v>314</v>
      </c>
      <c r="O35" s="191" t="s">
        <v>350</v>
      </c>
      <c r="P35" s="191"/>
      <c r="Q35" s="193">
        <f t="shared" si="0"/>
        <v>0</v>
      </c>
    </row>
    <row r="36" spans="14:17" x14ac:dyDescent="0.25">
      <c r="N36" s="192" t="s">
        <v>315</v>
      </c>
      <c r="O36" s="191" t="s">
        <v>350</v>
      </c>
      <c r="P36" s="191"/>
      <c r="Q36" s="193">
        <f t="shared" si="0"/>
        <v>0</v>
      </c>
    </row>
    <row r="37" spans="14:17" x14ac:dyDescent="0.25">
      <c r="N37" s="192" t="s">
        <v>316</v>
      </c>
      <c r="O37" s="191" t="s">
        <v>350</v>
      </c>
      <c r="P37" s="191"/>
      <c r="Q37" s="193">
        <f t="shared" si="0"/>
        <v>0</v>
      </c>
    </row>
    <row r="38" spans="14:17" x14ac:dyDescent="0.25">
      <c r="N38" s="192" t="s">
        <v>317</v>
      </c>
      <c r="O38" s="191" t="s">
        <v>350</v>
      </c>
      <c r="P38" s="191"/>
      <c r="Q38" s="193">
        <f t="shared" si="0"/>
        <v>0</v>
      </c>
    </row>
    <row r="39" spans="14:17" x14ac:dyDescent="0.25">
      <c r="N39" s="192" t="s">
        <v>318</v>
      </c>
      <c r="O39" s="191" t="s">
        <v>350</v>
      </c>
      <c r="P39" s="191"/>
      <c r="Q39" s="193">
        <f t="shared" si="0"/>
        <v>0</v>
      </c>
    </row>
    <row r="40" spans="14:17" x14ac:dyDescent="0.25">
      <c r="N40" s="192" t="s">
        <v>319</v>
      </c>
      <c r="O40" s="191" t="s">
        <v>350</v>
      </c>
      <c r="P40" s="191"/>
      <c r="Q40" s="193">
        <f t="shared" si="0"/>
        <v>0</v>
      </c>
    </row>
    <row r="41" spans="14:17" x14ac:dyDescent="0.25">
      <c r="N41" s="192" t="s">
        <v>320</v>
      </c>
      <c r="O41" s="191" t="s">
        <v>350</v>
      </c>
      <c r="P41" s="191"/>
      <c r="Q41" s="193">
        <f t="shared" si="0"/>
        <v>0</v>
      </c>
    </row>
    <row r="42" spans="14:17" x14ac:dyDescent="0.25">
      <c r="N42" s="192" t="s">
        <v>321</v>
      </c>
      <c r="O42" s="191" t="s">
        <v>350</v>
      </c>
      <c r="P42" s="191"/>
      <c r="Q42" s="193">
        <f t="shared" si="0"/>
        <v>0</v>
      </c>
    </row>
    <row r="43" spans="14:17" x14ac:dyDescent="0.25">
      <c r="N43" s="192" t="s">
        <v>322</v>
      </c>
      <c r="O43" s="191" t="s">
        <v>350</v>
      </c>
      <c r="P43" s="191"/>
      <c r="Q43" s="193">
        <f t="shared" si="0"/>
        <v>0</v>
      </c>
    </row>
    <row r="44" spans="14:17" x14ac:dyDescent="0.25">
      <c r="N44" s="192" t="s">
        <v>323</v>
      </c>
      <c r="O44" s="191" t="s">
        <v>350</v>
      </c>
      <c r="P44" s="191"/>
      <c r="Q44" s="193">
        <f t="shared" si="0"/>
        <v>0</v>
      </c>
    </row>
    <row r="45" spans="14:17" x14ac:dyDescent="0.25">
      <c r="N45" s="192" t="s">
        <v>324</v>
      </c>
      <c r="O45" s="191" t="s">
        <v>350</v>
      </c>
      <c r="P45" s="191"/>
      <c r="Q45" s="193">
        <f t="shared" si="0"/>
        <v>0</v>
      </c>
    </row>
    <row r="46" spans="14:17" x14ac:dyDescent="0.25">
      <c r="N46" s="192" t="s">
        <v>325</v>
      </c>
      <c r="O46" s="191" t="s">
        <v>350</v>
      </c>
      <c r="P46" s="191"/>
      <c r="Q46" s="193">
        <f t="shared" si="0"/>
        <v>0</v>
      </c>
    </row>
    <row r="47" spans="14:17" x14ac:dyDescent="0.25">
      <c r="N47" s="192" t="s">
        <v>326</v>
      </c>
      <c r="O47" s="191" t="s">
        <v>350</v>
      </c>
      <c r="P47" s="191"/>
      <c r="Q47" s="193">
        <f t="shared" si="0"/>
        <v>0</v>
      </c>
    </row>
    <row r="48" spans="14:17" x14ac:dyDescent="0.25">
      <c r="N48" s="192" t="s">
        <v>327</v>
      </c>
      <c r="O48" s="191" t="s">
        <v>350</v>
      </c>
      <c r="P48" s="191"/>
      <c r="Q48" s="193">
        <f t="shared" si="0"/>
        <v>0</v>
      </c>
    </row>
    <row r="49" spans="14:17" x14ac:dyDescent="0.25">
      <c r="N49" s="192" t="s">
        <v>328</v>
      </c>
      <c r="O49" s="191" t="s">
        <v>350</v>
      </c>
      <c r="P49" s="191"/>
      <c r="Q49" s="193">
        <f t="shared" si="0"/>
        <v>0</v>
      </c>
    </row>
    <row r="50" spans="14:17" x14ac:dyDescent="0.25">
      <c r="N50" s="192" t="s">
        <v>329</v>
      </c>
      <c r="O50" s="191" t="s">
        <v>350</v>
      </c>
      <c r="P50" s="191"/>
      <c r="Q50" s="193">
        <f t="shared" si="0"/>
        <v>0</v>
      </c>
    </row>
    <row r="51" spans="14:17" x14ac:dyDescent="0.25">
      <c r="N51" s="192" t="s">
        <v>330</v>
      </c>
      <c r="O51" s="191" t="s">
        <v>350</v>
      </c>
      <c r="P51" s="191"/>
      <c r="Q51" s="193">
        <f t="shared" si="0"/>
        <v>0</v>
      </c>
    </row>
    <row r="52" spans="14:17" x14ac:dyDescent="0.25">
      <c r="N52" s="192" t="s">
        <v>331</v>
      </c>
      <c r="O52" s="191" t="s">
        <v>350</v>
      </c>
      <c r="P52" s="191"/>
      <c r="Q52" s="193">
        <f t="shared" si="0"/>
        <v>0</v>
      </c>
    </row>
    <row r="53" spans="14:17" x14ac:dyDescent="0.25">
      <c r="N53" s="192" t="s">
        <v>332</v>
      </c>
      <c r="O53" s="191" t="s">
        <v>350</v>
      </c>
      <c r="P53" s="191"/>
      <c r="Q53" s="193">
        <f t="shared" si="0"/>
        <v>0</v>
      </c>
    </row>
    <row r="54" spans="14:17" x14ac:dyDescent="0.25">
      <c r="N54" s="192" t="s">
        <v>333</v>
      </c>
      <c r="O54" s="191" t="s">
        <v>350</v>
      </c>
      <c r="P54" s="191"/>
      <c r="Q54" s="193">
        <f t="shared" si="0"/>
        <v>0</v>
      </c>
    </row>
    <row r="55" spans="14:17" x14ac:dyDescent="0.25">
      <c r="N55" s="192" t="s">
        <v>334</v>
      </c>
      <c r="O55" s="191" t="s">
        <v>350</v>
      </c>
      <c r="P55" s="191"/>
      <c r="Q55" s="193">
        <f t="shared" si="0"/>
        <v>0</v>
      </c>
    </row>
    <row r="56" spans="14:17" x14ac:dyDescent="0.25">
      <c r="N56" s="192" t="s">
        <v>335</v>
      </c>
      <c r="O56" s="191" t="s">
        <v>350</v>
      </c>
      <c r="P56" s="191"/>
      <c r="Q56" s="193">
        <f t="shared" si="0"/>
        <v>0</v>
      </c>
    </row>
    <row r="57" spans="14:17" x14ac:dyDescent="0.25">
      <c r="N57" s="192" t="s">
        <v>337</v>
      </c>
      <c r="O57" s="191" t="s">
        <v>350</v>
      </c>
      <c r="P57" s="191"/>
      <c r="Q57" s="193">
        <f t="shared" si="0"/>
        <v>0</v>
      </c>
    </row>
    <row r="58" spans="14:17" x14ac:dyDescent="0.25">
      <c r="N58" s="192" t="s">
        <v>339</v>
      </c>
      <c r="O58" s="191" t="s">
        <v>350</v>
      </c>
      <c r="P58" s="191"/>
      <c r="Q58" s="193">
        <f t="shared" si="0"/>
        <v>0</v>
      </c>
    </row>
    <row r="59" spans="14:17" x14ac:dyDescent="0.25">
      <c r="N59" s="192" t="s">
        <v>341</v>
      </c>
      <c r="O59" s="191" t="s">
        <v>350</v>
      </c>
      <c r="P59" s="191"/>
      <c r="Q59" s="193">
        <f t="shared" si="0"/>
        <v>0</v>
      </c>
    </row>
    <row r="60" spans="14:17" x14ac:dyDescent="0.25">
      <c r="N60" s="192" t="s">
        <v>343</v>
      </c>
      <c r="O60" s="191" t="s">
        <v>350</v>
      </c>
      <c r="P60" s="191"/>
      <c r="Q60" s="193">
        <f t="shared" si="0"/>
        <v>0</v>
      </c>
    </row>
    <row r="61" spans="14:17" x14ac:dyDescent="0.25">
      <c r="N61" s="192" t="s">
        <v>345</v>
      </c>
      <c r="O61" s="191" t="s">
        <v>350</v>
      </c>
      <c r="P61" s="191"/>
      <c r="Q61" s="193">
        <f t="shared" si="0"/>
        <v>0</v>
      </c>
    </row>
    <row r="62" spans="14:17" x14ac:dyDescent="0.25">
      <c r="N62" s="192" t="s">
        <v>346</v>
      </c>
      <c r="O62" s="191" t="s">
        <v>350</v>
      </c>
      <c r="P62" s="191"/>
      <c r="Q62" s="193">
        <f t="shared" si="0"/>
        <v>0</v>
      </c>
    </row>
    <row r="63" spans="14:17" x14ac:dyDescent="0.25">
      <c r="N63" s="192" t="s">
        <v>312</v>
      </c>
      <c r="O63" s="191" t="s">
        <v>351</v>
      </c>
      <c r="P63" s="191"/>
      <c r="Q63" s="193">
        <f t="shared" si="0"/>
        <v>0</v>
      </c>
    </row>
    <row r="64" spans="14:17" x14ac:dyDescent="0.25">
      <c r="N64" s="192" t="s">
        <v>314</v>
      </c>
      <c r="O64" s="191" t="s">
        <v>351</v>
      </c>
      <c r="P64" s="191"/>
      <c r="Q64" s="193">
        <f t="shared" si="0"/>
        <v>0</v>
      </c>
    </row>
    <row r="65" spans="14:17" x14ac:dyDescent="0.25">
      <c r="N65" s="192" t="s">
        <v>315</v>
      </c>
      <c r="O65" s="191" t="s">
        <v>351</v>
      </c>
      <c r="P65" s="191"/>
      <c r="Q65" s="193">
        <f t="shared" si="0"/>
        <v>0</v>
      </c>
    </row>
    <row r="66" spans="14:17" x14ac:dyDescent="0.25">
      <c r="N66" s="192" t="s">
        <v>316</v>
      </c>
      <c r="O66" s="191" t="s">
        <v>351</v>
      </c>
      <c r="P66" s="191"/>
      <c r="Q66" s="193">
        <f t="shared" si="0"/>
        <v>0</v>
      </c>
    </row>
    <row r="67" spans="14:17" x14ac:dyDescent="0.25">
      <c r="N67" s="192" t="s">
        <v>317</v>
      </c>
      <c r="O67" s="191" t="s">
        <v>351</v>
      </c>
      <c r="P67" s="191"/>
      <c r="Q67" s="193">
        <f t="shared" si="0"/>
        <v>0</v>
      </c>
    </row>
    <row r="68" spans="14:17" x14ac:dyDescent="0.25">
      <c r="N68" s="192" t="s">
        <v>318</v>
      </c>
      <c r="O68" s="191" t="s">
        <v>351</v>
      </c>
      <c r="P68" s="191"/>
      <c r="Q68" s="193">
        <f t="shared" ref="Q68:Q131" si="3">+P68/444</f>
        <v>0</v>
      </c>
    </row>
    <row r="69" spans="14:17" x14ac:dyDescent="0.25">
      <c r="N69" s="192" t="s">
        <v>319</v>
      </c>
      <c r="O69" s="191" t="s">
        <v>351</v>
      </c>
      <c r="P69" s="191"/>
      <c r="Q69" s="193">
        <f t="shared" si="3"/>
        <v>0</v>
      </c>
    </row>
    <row r="70" spans="14:17" x14ac:dyDescent="0.25">
      <c r="N70" s="192" t="s">
        <v>320</v>
      </c>
      <c r="O70" s="191" t="s">
        <v>351</v>
      </c>
      <c r="P70" s="191"/>
      <c r="Q70" s="193">
        <f t="shared" si="3"/>
        <v>0</v>
      </c>
    </row>
    <row r="71" spans="14:17" x14ac:dyDescent="0.25">
      <c r="N71" s="192" t="s">
        <v>321</v>
      </c>
      <c r="O71" s="191" t="s">
        <v>351</v>
      </c>
      <c r="P71" s="191"/>
      <c r="Q71" s="193">
        <f t="shared" si="3"/>
        <v>0</v>
      </c>
    </row>
    <row r="72" spans="14:17" x14ac:dyDescent="0.25">
      <c r="N72" s="192" t="s">
        <v>322</v>
      </c>
      <c r="O72" s="191" t="s">
        <v>351</v>
      </c>
      <c r="P72" s="191"/>
      <c r="Q72" s="193">
        <f t="shared" si="3"/>
        <v>0</v>
      </c>
    </row>
    <row r="73" spans="14:17" x14ac:dyDescent="0.25">
      <c r="N73" s="192" t="s">
        <v>323</v>
      </c>
      <c r="O73" s="191" t="s">
        <v>351</v>
      </c>
      <c r="P73" s="191"/>
      <c r="Q73" s="193">
        <f t="shared" si="3"/>
        <v>0</v>
      </c>
    </row>
    <row r="74" spans="14:17" x14ac:dyDescent="0.25">
      <c r="N74" s="192" t="s">
        <v>324</v>
      </c>
      <c r="O74" s="191" t="s">
        <v>351</v>
      </c>
      <c r="P74" s="191"/>
      <c r="Q74" s="193">
        <f t="shared" si="3"/>
        <v>0</v>
      </c>
    </row>
    <row r="75" spans="14:17" x14ac:dyDescent="0.25">
      <c r="N75" s="192" t="s">
        <v>325</v>
      </c>
      <c r="O75" s="191" t="s">
        <v>351</v>
      </c>
      <c r="P75" s="191"/>
      <c r="Q75" s="193">
        <f t="shared" si="3"/>
        <v>0</v>
      </c>
    </row>
    <row r="76" spans="14:17" x14ac:dyDescent="0.25">
      <c r="N76" s="192" t="s">
        <v>326</v>
      </c>
      <c r="O76" s="191" t="s">
        <v>351</v>
      </c>
      <c r="P76" s="191"/>
      <c r="Q76" s="193">
        <f t="shared" si="3"/>
        <v>0</v>
      </c>
    </row>
    <row r="77" spans="14:17" x14ac:dyDescent="0.25">
      <c r="N77" s="192" t="s">
        <v>327</v>
      </c>
      <c r="O77" s="191" t="s">
        <v>351</v>
      </c>
      <c r="P77" s="191"/>
      <c r="Q77" s="193">
        <f t="shared" si="3"/>
        <v>0</v>
      </c>
    </row>
    <row r="78" spans="14:17" x14ac:dyDescent="0.25">
      <c r="N78" s="192" t="s">
        <v>328</v>
      </c>
      <c r="O78" s="191" t="s">
        <v>351</v>
      </c>
      <c r="P78" s="191"/>
      <c r="Q78" s="193">
        <f t="shared" si="3"/>
        <v>0</v>
      </c>
    </row>
    <row r="79" spans="14:17" x14ac:dyDescent="0.25">
      <c r="N79" s="192" t="s">
        <v>329</v>
      </c>
      <c r="O79" s="191" t="s">
        <v>351</v>
      </c>
      <c r="P79" s="191"/>
      <c r="Q79" s="193">
        <f t="shared" si="3"/>
        <v>0</v>
      </c>
    </row>
    <row r="80" spans="14:17" x14ac:dyDescent="0.25">
      <c r="N80" s="192" t="s">
        <v>330</v>
      </c>
      <c r="O80" s="191" t="s">
        <v>351</v>
      </c>
      <c r="P80" s="191"/>
      <c r="Q80" s="193">
        <f t="shared" si="3"/>
        <v>0</v>
      </c>
    </row>
    <row r="81" spans="14:17" x14ac:dyDescent="0.25">
      <c r="N81" s="192" t="s">
        <v>331</v>
      </c>
      <c r="O81" s="191" t="s">
        <v>351</v>
      </c>
      <c r="P81" s="191"/>
      <c r="Q81" s="193">
        <f t="shared" si="3"/>
        <v>0</v>
      </c>
    </row>
    <row r="82" spans="14:17" x14ac:dyDescent="0.25">
      <c r="N82" s="192" t="s">
        <v>332</v>
      </c>
      <c r="O82" s="191" t="s">
        <v>351</v>
      </c>
      <c r="P82" s="191"/>
      <c r="Q82" s="193">
        <f t="shared" si="3"/>
        <v>0</v>
      </c>
    </row>
    <row r="83" spans="14:17" x14ac:dyDescent="0.25">
      <c r="N83" s="192" t="s">
        <v>333</v>
      </c>
      <c r="O83" s="191" t="s">
        <v>351</v>
      </c>
      <c r="P83" s="191"/>
      <c r="Q83" s="193">
        <f t="shared" si="3"/>
        <v>0</v>
      </c>
    </row>
    <row r="84" spans="14:17" x14ac:dyDescent="0.25">
      <c r="N84" s="192" t="s">
        <v>334</v>
      </c>
      <c r="O84" s="191" t="s">
        <v>351</v>
      </c>
      <c r="P84" s="191"/>
      <c r="Q84" s="193">
        <f t="shared" si="3"/>
        <v>0</v>
      </c>
    </row>
    <row r="85" spans="14:17" x14ac:dyDescent="0.25">
      <c r="N85" s="192" t="s">
        <v>335</v>
      </c>
      <c r="O85" s="191" t="s">
        <v>351</v>
      </c>
      <c r="P85" s="191"/>
      <c r="Q85" s="193">
        <f t="shared" si="3"/>
        <v>0</v>
      </c>
    </row>
    <row r="86" spans="14:17" x14ac:dyDescent="0.25">
      <c r="N86" s="192" t="s">
        <v>337</v>
      </c>
      <c r="O86" s="191" t="s">
        <v>351</v>
      </c>
      <c r="P86" s="191"/>
      <c r="Q86" s="193">
        <f t="shared" si="3"/>
        <v>0</v>
      </c>
    </row>
    <row r="87" spans="14:17" x14ac:dyDescent="0.25">
      <c r="N87" s="192" t="s">
        <v>339</v>
      </c>
      <c r="O87" s="191" t="s">
        <v>351</v>
      </c>
      <c r="P87" s="191"/>
      <c r="Q87" s="193">
        <f t="shared" si="3"/>
        <v>0</v>
      </c>
    </row>
    <row r="88" spans="14:17" x14ac:dyDescent="0.25">
      <c r="N88" s="192" t="s">
        <v>341</v>
      </c>
      <c r="O88" s="191" t="s">
        <v>351</v>
      </c>
      <c r="P88" s="191"/>
      <c r="Q88" s="193">
        <f t="shared" si="3"/>
        <v>0</v>
      </c>
    </row>
    <row r="89" spans="14:17" x14ac:dyDescent="0.25">
      <c r="N89" s="192" t="s">
        <v>343</v>
      </c>
      <c r="O89" s="191" t="s">
        <v>351</v>
      </c>
      <c r="P89" s="191"/>
      <c r="Q89" s="193">
        <f t="shared" si="3"/>
        <v>0</v>
      </c>
    </row>
    <row r="90" spans="14:17" x14ac:dyDescent="0.25">
      <c r="N90" s="192" t="s">
        <v>345</v>
      </c>
      <c r="O90" s="191" t="s">
        <v>351</v>
      </c>
      <c r="P90" s="191"/>
      <c r="Q90" s="193">
        <f t="shared" si="3"/>
        <v>0</v>
      </c>
    </row>
    <row r="91" spans="14:17" x14ac:dyDescent="0.25">
      <c r="N91" s="192" t="s">
        <v>346</v>
      </c>
      <c r="O91" s="191" t="s">
        <v>351</v>
      </c>
      <c r="P91" s="191"/>
      <c r="Q91" s="193">
        <f t="shared" si="3"/>
        <v>0</v>
      </c>
    </row>
    <row r="92" spans="14:17" x14ac:dyDescent="0.25">
      <c r="N92" s="192" t="s">
        <v>348</v>
      </c>
      <c r="O92" s="191" t="s">
        <v>351</v>
      </c>
      <c r="P92" s="191"/>
      <c r="Q92" s="193">
        <f t="shared" si="3"/>
        <v>0</v>
      </c>
    </row>
    <row r="93" spans="14:17" x14ac:dyDescent="0.25">
      <c r="N93" s="192" t="s">
        <v>349</v>
      </c>
      <c r="O93" s="191" t="s">
        <v>351</v>
      </c>
      <c r="P93" s="191"/>
      <c r="Q93" s="193">
        <f t="shared" si="3"/>
        <v>0</v>
      </c>
    </row>
    <row r="94" spans="14:17" x14ac:dyDescent="0.25">
      <c r="N94" s="192" t="s">
        <v>312</v>
      </c>
      <c r="O94" s="191" t="s">
        <v>352</v>
      </c>
      <c r="P94" s="191"/>
      <c r="Q94" s="193">
        <f t="shared" si="3"/>
        <v>0</v>
      </c>
    </row>
    <row r="95" spans="14:17" x14ac:dyDescent="0.25">
      <c r="N95" s="192" t="s">
        <v>314</v>
      </c>
      <c r="O95" s="191" t="s">
        <v>352</v>
      </c>
      <c r="P95" s="191"/>
      <c r="Q95" s="193">
        <f t="shared" si="3"/>
        <v>0</v>
      </c>
    </row>
    <row r="96" spans="14:17" x14ac:dyDescent="0.25">
      <c r="N96" s="192" t="s">
        <v>315</v>
      </c>
      <c r="O96" s="191" t="s">
        <v>352</v>
      </c>
      <c r="P96" s="191"/>
      <c r="Q96" s="193">
        <f t="shared" si="3"/>
        <v>0</v>
      </c>
    </row>
    <row r="97" spans="14:17" x14ac:dyDescent="0.25">
      <c r="N97" s="192" t="s">
        <v>316</v>
      </c>
      <c r="O97" s="191" t="s">
        <v>352</v>
      </c>
      <c r="P97" s="191"/>
      <c r="Q97" s="193">
        <f t="shared" si="3"/>
        <v>0</v>
      </c>
    </row>
    <row r="98" spans="14:17" x14ac:dyDescent="0.25">
      <c r="N98" s="192" t="s">
        <v>317</v>
      </c>
      <c r="O98" s="191" t="s">
        <v>352</v>
      </c>
      <c r="P98" s="191"/>
      <c r="Q98" s="193">
        <f t="shared" si="3"/>
        <v>0</v>
      </c>
    </row>
    <row r="99" spans="14:17" x14ac:dyDescent="0.25">
      <c r="N99" s="192" t="s">
        <v>318</v>
      </c>
      <c r="O99" s="191" t="s">
        <v>352</v>
      </c>
      <c r="P99" s="191"/>
      <c r="Q99" s="193">
        <f t="shared" si="3"/>
        <v>0</v>
      </c>
    </row>
    <row r="100" spans="14:17" x14ac:dyDescent="0.25">
      <c r="N100" s="192" t="s">
        <v>319</v>
      </c>
      <c r="O100" s="191" t="s">
        <v>352</v>
      </c>
      <c r="P100" s="191"/>
      <c r="Q100" s="193">
        <f t="shared" si="3"/>
        <v>0</v>
      </c>
    </row>
    <row r="101" spans="14:17" x14ac:dyDescent="0.25">
      <c r="N101" s="192" t="s">
        <v>320</v>
      </c>
      <c r="O101" s="191" t="s">
        <v>352</v>
      </c>
      <c r="P101" s="191"/>
      <c r="Q101" s="193">
        <f t="shared" si="3"/>
        <v>0</v>
      </c>
    </row>
    <row r="102" spans="14:17" x14ac:dyDescent="0.25">
      <c r="N102" s="192" t="s">
        <v>321</v>
      </c>
      <c r="O102" s="191" t="s">
        <v>352</v>
      </c>
      <c r="P102" s="191"/>
      <c r="Q102" s="193">
        <f t="shared" si="3"/>
        <v>0</v>
      </c>
    </row>
    <row r="103" spans="14:17" x14ac:dyDescent="0.25">
      <c r="N103" s="192" t="s">
        <v>322</v>
      </c>
      <c r="O103" s="191" t="s">
        <v>352</v>
      </c>
      <c r="P103" s="191"/>
      <c r="Q103" s="193">
        <f t="shared" si="3"/>
        <v>0</v>
      </c>
    </row>
    <row r="104" spans="14:17" x14ac:dyDescent="0.25">
      <c r="N104" s="192" t="s">
        <v>323</v>
      </c>
      <c r="O104" s="191" t="s">
        <v>352</v>
      </c>
      <c r="P104" s="191"/>
      <c r="Q104" s="193">
        <f t="shared" si="3"/>
        <v>0</v>
      </c>
    </row>
    <row r="105" spans="14:17" x14ac:dyDescent="0.25">
      <c r="N105" s="192" t="s">
        <v>324</v>
      </c>
      <c r="O105" s="191" t="s">
        <v>352</v>
      </c>
      <c r="P105" s="191"/>
      <c r="Q105" s="193">
        <f t="shared" si="3"/>
        <v>0</v>
      </c>
    </row>
    <row r="106" spans="14:17" x14ac:dyDescent="0.25">
      <c r="N106" s="192" t="s">
        <v>325</v>
      </c>
      <c r="O106" s="191" t="s">
        <v>352</v>
      </c>
      <c r="P106" s="191"/>
      <c r="Q106" s="193">
        <f t="shared" si="3"/>
        <v>0</v>
      </c>
    </row>
    <row r="107" spans="14:17" x14ac:dyDescent="0.25">
      <c r="N107" s="192" t="s">
        <v>326</v>
      </c>
      <c r="O107" s="191" t="s">
        <v>352</v>
      </c>
      <c r="P107" s="191"/>
      <c r="Q107" s="193">
        <f t="shared" si="3"/>
        <v>0</v>
      </c>
    </row>
    <row r="108" spans="14:17" x14ac:dyDescent="0.25">
      <c r="N108" s="192" t="s">
        <v>327</v>
      </c>
      <c r="O108" s="191" t="s">
        <v>352</v>
      </c>
      <c r="P108" s="191"/>
      <c r="Q108" s="193">
        <f t="shared" si="3"/>
        <v>0</v>
      </c>
    </row>
    <row r="109" spans="14:17" x14ac:dyDescent="0.25">
      <c r="N109" s="192" t="s">
        <v>328</v>
      </c>
      <c r="O109" s="191" t="s">
        <v>352</v>
      </c>
      <c r="P109" s="191"/>
      <c r="Q109" s="193">
        <f t="shared" si="3"/>
        <v>0</v>
      </c>
    </row>
    <row r="110" spans="14:17" x14ac:dyDescent="0.25">
      <c r="N110" s="192" t="s">
        <v>329</v>
      </c>
      <c r="O110" s="191" t="s">
        <v>352</v>
      </c>
      <c r="P110" s="191"/>
      <c r="Q110" s="193">
        <f t="shared" si="3"/>
        <v>0</v>
      </c>
    </row>
    <row r="111" spans="14:17" x14ac:dyDescent="0.25">
      <c r="N111" s="192" t="s">
        <v>330</v>
      </c>
      <c r="O111" s="191" t="s">
        <v>352</v>
      </c>
      <c r="P111" s="191"/>
      <c r="Q111" s="193">
        <f t="shared" si="3"/>
        <v>0</v>
      </c>
    </row>
    <row r="112" spans="14:17" x14ac:dyDescent="0.25">
      <c r="N112" s="192" t="s">
        <v>331</v>
      </c>
      <c r="O112" s="191" t="s">
        <v>352</v>
      </c>
      <c r="P112" s="191"/>
      <c r="Q112" s="193">
        <f t="shared" si="3"/>
        <v>0</v>
      </c>
    </row>
    <row r="113" spans="14:17" x14ac:dyDescent="0.25">
      <c r="N113" s="192" t="s">
        <v>332</v>
      </c>
      <c r="O113" s="191" t="s">
        <v>352</v>
      </c>
      <c r="P113" s="191"/>
      <c r="Q113" s="193">
        <f t="shared" si="3"/>
        <v>0</v>
      </c>
    </row>
    <row r="114" spans="14:17" x14ac:dyDescent="0.25">
      <c r="N114" s="192" t="s">
        <v>333</v>
      </c>
      <c r="O114" s="191" t="s">
        <v>352</v>
      </c>
      <c r="P114" s="191"/>
      <c r="Q114" s="193">
        <f t="shared" si="3"/>
        <v>0</v>
      </c>
    </row>
    <row r="115" spans="14:17" x14ac:dyDescent="0.25">
      <c r="N115" s="192" t="s">
        <v>334</v>
      </c>
      <c r="O115" s="191" t="s">
        <v>352</v>
      </c>
      <c r="P115" s="191"/>
      <c r="Q115" s="193">
        <f t="shared" si="3"/>
        <v>0</v>
      </c>
    </row>
    <row r="116" spans="14:17" x14ac:dyDescent="0.25">
      <c r="N116" s="192" t="s">
        <v>335</v>
      </c>
      <c r="O116" s="191" t="s">
        <v>352</v>
      </c>
      <c r="P116" s="191"/>
      <c r="Q116" s="193">
        <f t="shared" si="3"/>
        <v>0</v>
      </c>
    </row>
    <row r="117" spans="14:17" x14ac:dyDescent="0.25">
      <c r="N117" s="192" t="s">
        <v>337</v>
      </c>
      <c r="O117" s="191" t="s">
        <v>352</v>
      </c>
      <c r="P117" s="191"/>
      <c r="Q117" s="193">
        <f t="shared" si="3"/>
        <v>0</v>
      </c>
    </row>
    <row r="118" spans="14:17" x14ac:dyDescent="0.25">
      <c r="N118" s="192" t="s">
        <v>339</v>
      </c>
      <c r="O118" s="191" t="s">
        <v>352</v>
      </c>
      <c r="P118" s="191"/>
      <c r="Q118" s="193">
        <f t="shared" si="3"/>
        <v>0</v>
      </c>
    </row>
    <row r="119" spans="14:17" x14ac:dyDescent="0.25">
      <c r="N119" s="192" t="s">
        <v>341</v>
      </c>
      <c r="O119" s="191" t="s">
        <v>352</v>
      </c>
      <c r="P119" s="191"/>
      <c r="Q119" s="193">
        <f t="shared" si="3"/>
        <v>0</v>
      </c>
    </row>
    <row r="120" spans="14:17" x14ac:dyDescent="0.25">
      <c r="N120" s="192" t="s">
        <v>343</v>
      </c>
      <c r="O120" s="191" t="s">
        <v>352</v>
      </c>
      <c r="P120" s="191"/>
      <c r="Q120" s="193">
        <f t="shared" si="3"/>
        <v>0</v>
      </c>
    </row>
    <row r="121" spans="14:17" x14ac:dyDescent="0.25">
      <c r="N121" s="192" t="s">
        <v>345</v>
      </c>
      <c r="O121" s="191" t="s">
        <v>352</v>
      </c>
      <c r="P121" s="191"/>
      <c r="Q121" s="193">
        <f t="shared" si="3"/>
        <v>0</v>
      </c>
    </row>
    <row r="122" spans="14:17" x14ac:dyDescent="0.25">
      <c r="N122" s="192" t="s">
        <v>346</v>
      </c>
      <c r="O122" s="191" t="s">
        <v>352</v>
      </c>
      <c r="P122" s="191"/>
      <c r="Q122" s="193">
        <f t="shared" si="3"/>
        <v>0</v>
      </c>
    </row>
    <row r="123" spans="14:17" x14ac:dyDescent="0.25">
      <c r="N123" s="192" t="s">
        <v>348</v>
      </c>
      <c r="O123" s="191" t="s">
        <v>352</v>
      </c>
      <c r="P123" s="191"/>
      <c r="Q123" s="193">
        <f t="shared" si="3"/>
        <v>0</v>
      </c>
    </row>
    <row r="124" spans="14:17" x14ac:dyDescent="0.25">
      <c r="N124" s="192" t="s">
        <v>312</v>
      </c>
      <c r="O124" s="191" t="s">
        <v>353</v>
      </c>
      <c r="P124" s="191"/>
      <c r="Q124" s="193">
        <f t="shared" si="3"/>
        <v>0</v>
      </c>
    </row>
    <row r="125" spans="14:17" x14ac:dyDescent="0.25">
      <c r="N125" s="192" t="s">
        <v>314</v>
      </c>
      <c r="O125" s="191" t="s">
        <v>353</v>
      </c>
      <c r="P125" s="191"/>
      <c r="Q125" s="193">
        <f t="shared" si="3"/>
        <v>0</v>
      </c>
    </row>
    <row r="126" spans="14:17" x14ac:dyDescent="0.25">
      <c r="N126" s="192" t="s">
        <v>315</v>
      </c>
      <c r="O126" s="191" t="s">
        <v>353</v>
      </c>
      <c r="P126" s="191"/>
      <c r="Q126" s="193">
        <f t="shared" si="3"/>
        <v>0</v>
      </c>
    </row>
    <row r="127" spans="14:17" x14ac:dyDescent="0.25">
      <c r="N127" s="192" t="s">
        <v>316</v>
      </c>
      <c r="O127" s="191" t="s">
        <v>353</v>
      </c>
      <c r="P127" s="191"/>
      <c r="Q127" s="193">
        <f t="shared" si="3"/>
        <v>0</v>
      </c>
    </row>
    <row r="128" spans="14:17" x14ac:dyDescent="0.25">
      <c r="N128" s="192" t="s">
        <v>317</v>
      </c>
      <c r="O128" s="191" t="s">
        <v>353</v>
      </c>
      <c r="P128" s="191"/>
      <c r="Q128" s="193">
        <f t="shared" si="3"/>
        <v>0</v>
      </c>
    </row>
    <row r="129" spans="14:17" x14ac:dyDescent="0.25">
      <c r="N129" s="192" t="s">
        <v>318</v>
      </c>
      <c r="O129" s="191" t="s">
        <v>353</v>
      </c>
      <c r="P129" s="191"/>
      <c r="Q129" s="193">
        <f t="shared" si="3"/>
        <v>0</v>
      </c>
    </row>
    <row r="130" spans="14:17" x14ac:dyDescent="0.25">
      <c r="N130" s="192" t="s">
        <v>319</v>
      </c>
      <c r="O130" s="191" t="s">
        <v>353</v>
      </c>
      <c r="P130" s="191"/>
      <c r="Q130" s="193">
        <f t="shared" si="3"/>
        <v>0</v>
      </c>
    </row>
    <row r="131" spans="14:17" x14ac:dyDescent="0.25">
      <c r="N131" s="192" t="s">
        <v>320</v>
      </c>
      <c r="O131" s="191" t="s">
        <v>353</v>
      </c>
      <c r="P131" s="191"/>
      <c r="Q131" s="193">
        <f t="shared" si="3"/>
        <v>0</v>
      </c>
    </row>
    <row r="132" spans="14:17" x14ac:dyDescent="0.25">
      <c r="N132" s="192" t="s">
        <v>321</v>
      </c>
      <c r="O132" s="191" t="s">
        <v>353</v>
      </c>
      <c r="P132" s="191"/>
      <c r="Q132" s="193">
        <f t="shared" ref="Q132:Q195" si="4">+P132/444</f>
        <v>0</v>
      </c>
    </row>
    <row r="133" spans="14:17" x14ac:dyDescent="0.25">
      <c r="N133" s="192" t="s">
        <v>322</v>
      </c>
      <c r="O133" s="191" t="s">
        <v>353</v>
      </c>
      <c r="P133" s="191"/>
      <c r="Q133" s="193">
        <f t="shared" si="4"/>
        <v>0</v>
      </c>
    </row>
    <row r="134" spans="14:17" x14ac:dyDescent="0.25">
      <c r="N134" s="192" t="s">
        <v>323</v>
      </c>
      <c r="O134" s="191" t="s">
        <v>353</v>
      </c>
      <c r="P134" s="191"/>
      <c r="Q134" s="193">
        <f t="shared" si="4"/>
        <v>0</v>
      </c>
    </row>
    <row r="135" spans="14:17" x14ac:dyDescent="0.25">
      <c r="N135" s="192" t="s">
        <v>324</v>
      </c>
      <c r="O135" s="191" t="s">
        <v>353</v>
      </c>
      <c r="P135" s="191"/>
      <c r="Q135" s="193">
        <f t="shared" si="4"/>
        <v>0</v>
      </c>
    </row>
    <row r="136" spans="14:17" x14ac:dyDescent="0.25">
      <c r="N136" s="192" t="s">
        <v>325</v>
      </c>
      <c r="O136" s="191" t="s">
        <v>353</v>
      </c>
      <c r="P136" s="191"/>
      <c r="Q136" s="193">
        <f t="shared" si="4"/>
        <v>0</v>
      </c>
    </row>
    <row r="137" spans="14:17" x14ac:dyDescent="0.25">
      <c r="N137" s="192" t="s">
        <v>326</v>
      </c>
      <c r="O137" s="191" t="s">
        <v>353</v>
      </c>
      <c r="P137" s="191"/>
      <c r="Q137" s="193">
        <f t="shared" si="4"/>
        <v>0</v>
      </c>
    </row>
    <row r="138" spans="14:17" x14ac:dyDescent="0.25">
      <c r="N138" s="192" t="s">
        <v>327</v>
      </c>
      <c r="O138" s="191" t="s">
        <v>353</v>
      </c>
      <c r="P138" s="191"/>
      <c r="Q138" s="193">
        <f t="shared" si="4"/>
        <v>0</v>
      </c>
    </row>
    <row r="139" spans="14:17" x14ac:dyDescent="0.25">
      <c r="N139" s="192" t="s">
        <v>328</v>
      </c>
      <c r="O139" s="191" t="s">
        <v>353</v>
      </c>
      <c r="P139" s="191"/>
      <c r="Q139" s="193">
        <f t="shared" si="4"/>
        <v>0</v>
      </c>
    </row>
    <row r="140" spans="14:17" x14ac:dyDescent="0.25">
      <c r="N140" s="192" t="s">
        <v>329</v>
      </c>
      <c r="O140" s="191" t="s">
        <v>353</v>
      </c>
      <c r="P140" s="191"/>
      <c r="Q140" s="193">
        <f t="shared" si="4"/>
        <v>0</v>
      </c>
    </row>
    <row r="141" spans="14:17" x14ac:dyDescent="0.25">
      <c r="N141" s="192" t="s">
        <v>330</v>
      </c>
      <c r="O141" s="191" t="s">
        <v>353</v>
      </c>
      <c r="P141" s="191"/>
      <c r="Q141" s="193">
        <f t="shared" si="4"/>
        <v>0</v>
      </c>
    </row>
    <row r="142" spans="14:17" x14ac:dyDescent="0.25">
      <c r="N142" s="192" t="s">
        <v>331</v>
      </c>
      <c r="O142" s="191" t="s">
        <v>353</v>
      </c>
      <c r="P142" s="191"/>
      <c r="Q142" s="193">
        <f t="shared" si="4"/>
        <v>0</v>
      </c>
    </row>
    <row r="143" spans="14:17" x14ac:dyDescent="0.25">
      <c r="N143" s="192" t="s">
        <v>332</v>
      </c>
      <c r="O143" s="191" t="s">
        <v>353</v>
      </c>
      <c r="P143" s="191"/>
      <c r="Q143" s="193">
        <f t="shared" si="4"/>
        <v>0</v>
      </c>
    </row>
    <row r="144" spans="14:17" x14ac:dyDescent="0.25">
      <c r="N144" s="192" t="s">
        <v>333</v>
      </c>
      <c r="O144" s="191" t="s">
        <v>353</v>
      </c>
      <c r="P144" s="191"/>
      <c r="Q144" s="193">
        <f t="shared" si="4"/>
        <v>0</v>
      </c>
    </row>
    <row r="145" spans="14:17" x14ac:dyDescent="0.25">
      <c r="N145" s="192" t="s">
        <v>334</v>
      </c>
      <c r="O145" s="191" t="s">
        <v>353</v>
      </c>
      <c r="P145" s="191"/>
      <c r="Q145" s="193">
        <f t="shared" si="4"/>
        <v>0</v>
      </c>
    </row>
    <row r="146" spans="14:17" x14ac:dyDescent="0.25">
      <c r="N146" s="192" t="s">
        <v>335</v>
      </c>
      <c r="O146" s="191" t="s">
        <v>353</v>
      </c>
      <c r="P146" s="191"/>
      <c r="Q146" s="193">
        <f t="shared" si="4"/>
        <v>0</v>
      </c>
    </row>
    <row r="147" spans="14:17" x14ac:dyDescent="0.25">
      <c r="N147" s="192" t="s">
        <v>337</v>
      </c>
      <c r="O147" s="191" t="s">
        <v>353</v>
      </c>
      <c r="P147" s="191"/>
      <c r="Q147" s="193">
        <f t="shared" si="4"/>
        <v>0</v>
      </c>
    </row>
    <row r="148" spans="14:17" x14ac:dyDescent="0.25">
      <c r="N148" s="192" t="s">
        <v>339</v>
      </c>
      <c r="O148" s="191" t="s">
        <v>353</v>
      </c>
      <c r="P148" s="191"/>
      <c r="Q148" s="193">
        <f t="shared" si="4"/>
        <v>0</v>
      </c>
    </row>
    <row r="149" spans="14:17" x14ac:dyDescent="0.25">
      <c r="N149" s="192" t="s">
        <v>341</v>
      </c>
      <c r="O149" s="191" t="s">
        <v>353</v>
      </c>
      <c r="P149" s="191"/>
      <c r="Q149" s="193">
        <f t="shared" si="4"/>
        <v>0</v>
      </c>
    </row>
    <row r="150" spans="14:17" x14ac:dyDescent="0.25">
      <c r="N150" s="192" t="s">
        <v>343</v>
      </c>
      <c r="O150" s="191" t="s">
        <v>353</v>
      </c>
      <c r="P150" s="191"/>
      <c r="Q150" s="193">
        <f t="shared" si="4"/>
        <v>0</v>
      </c>
    </row>
    <row r="151" spans="14:17" x14ac:dyDescent="0.25">
      <c r="N151" s="192" t="s">
        <v>345</v>
      </c>
      <c r="O151" s="191" t="s">
        <v>353</v>
      </c>
      <c r="P151" s="191"/>
      <c r="Q151" s="193">
        <f t="shared" si="4"/>
        <v>0</v>
      </c>
    </row>
    <row r="152" spans="14:17" x14ac:dyDescent="0.25">
      <c r="N152" s="192" t="s">
        <v>346</v>
      </c>
      <c r="O152" s="191" t="s">
        <v>353</v>
      </c>
      <c r="P152" s="191"/>
      <c r="Q152" s="193">
        <f t="shared" si="4"/>
        <v>0</v>
      </c>
    </row>
    <row r="153" spans="14:17" x14ac:dyDescent="0.25">
      <c r="N153" s="192" t="s">
        <v>348</v>
      </c>
      <c r="O153" s="191" t="s">
        <v>353</v>
      </c>
      <c r="P153" s="191"/>
      <c r="Q153" s="193">
        <f t="shared" si="4"/>
        <v>0</v>
      </c>
    </row>
    <row r="154" spans="14:17" x14ac:dyDescent="0.25">
      <c r="N154" s="192" t="s">
        <v>349</v>
      </c>
      <c r="O154" s="191" t="s">
        <v>353</v>
      </c>
      <c r="P154" s="191"/>
      <c r="Q154" s="193">
        <f t="shared" si="4"/>
        <v>0</v>
      </c>
    </row>
    <row r="155" spans="14:17" x14ac:dyDescent="0.25">
      <c r="N155" s="192" t="s">
        <v>312</v>
      </c>
      <c r="O155" s="191" t="s">
        <v>354</v>
      </c>
      <c r="P155" s="191"/>
      <c r="Q155" s="193">
        <f t="shared" si="4"/>
        <v>0</v>
      </c>
    </row>
    <row r="156" spans="14:17" x14ac:dyDescent="0.25">
      <c r="N156" s="192" t="s">
        <v>314</v>
      </c>
      <c r="O156" s="191" t="s">
        <v>354</v>
      </c>
      <c r="P156" s="191"/>
      <c r="Q156" s="193">
        <f t="shared" si="4"/>
        <v>0</v>
      </c>
    </row>
    <row r="157" spans="14:17" x14ac:dyDescent="0.25">
      <c r="N157" s="192" t="s">
        <v>315</v>
      </c>
      <c r="O157" s="191" t="s">
        <v>354</v>
      </c>
      <c r="P157" s="191"/>
      <c r="Q157" s="193">
        <f t="shared" si="4"/>
        <v>0</v>
      </c>
    </row>
    <row r="158" spans="14:17" x14ac:dyDescent="0.25">
      <c r="N158" s="192" t="s">
        <v>316</v>
      </c>
      <c r="O158" s="191" t="s">
        <v>354</v>
      </c>
      <c r="P158" s="191"/>
      <c r="Q158" s="193">
        <f t="shared" si="4"/>
        <v>0</v>
      </c>
    </row>
    <row r="159" spans="14:17" x14ac:dyDescent="0.25">
      <c r="N159" s="192" t="s">
        <v>317</v>
      </c>
      <c r="O159" s="191" t="s">
        <v>354</v>
      </c>
      <c r="P159" s="191"/>
      <c r="Q159" s="193">
        <f t="shared" si="4"/>
        <v>0</v>
      </c>
    </row>
    <row r="160" spans="14:17" x14ac:dyDescent="0.25">
      <c r="N160" s="192" t="s">
        <v>318</v>
      </c>
      <c r="O160" s="191" t="s">
        <v>354</v>
      </c>
      <c r="P160" s="191"/>
      <c r="Q160" s="193">
        <f t="shared" si="4"/>
        <v>0</v>
      </c>
    </row>
    <row r="161" spans="14:17" x14ac:dyDescent="0.25">
      <c r="N161" s="192" t="s">
        <v>319</v>
      </c>
      <c r="O161" s="191" t="s">
        <v>354</v>
      </c>
      <c r="P161" s="191"/>
      <c r="Q161" s="193">
        <f t="shared" si="4"/>
        <v>0</v>
      </c>
    </row>
    <row r="162" spans="14:17" x14ac:dyDescent="0.25">
      <c r="N162" s="192" t="s">
        <v>320</v>
      </c>
      <c r="O162" s="191" t="s">
        <v>354</v>
      </c>
      <c r="P162" s="191"/>
      <c r="Q162" s="193">
        <f t="shared" si="4"/>
        <v>0</v>
      </c>
    </row>
    <row r="163" spans="14:17" x14ac:dyDescent="0.25">
      <c r="N163" s="192" t="s">
        <v>321</v>
      </c>
      <c r="O163" s="191" t="s">
        <v>354</v>
      </c>
      <c r="P163" s="191"/>
      <c r="Q163" s="193">
        <f t="shared" si="4"/>
        <v>0</v>
      </c>
    </row>
    <row r="164" spans="14:17" x14ac:dyDescent="0.25">
      <c r="N164" s="192" t="s">
        <v>322</v>
      </c>
      <c r="O164" s="191" t="s">
        <v>354</v>
      </c>
      <c r="P164" s="191"/>
      <c r="Q164" s="193">
        <f t="shared" si="4"/>
        <v>0</v>
      </c>
    </row>
    <row r="165" spans="14:17" x14ac:dyDescent="0.25">
      <c r="N165" s="192" t="s">
        <v>323</v>
      </c>
      <c r="O165" s="191" t="s">
        <v>354</v>
      </c>
      <c r="P165" s="191"/>
      <c r="Q165" s="193">
        <f t="shared" si="4"/>
        <v>0</v>
      </c>
    </row>
    <row r="166" spans="14:17" x14ac:dyDescent="0.25">
      <c r="N166" s="192" t="s">
        <v>324</v>
      </c>
      <c r="O166" s="191" t="s">
        <v>354</v>
      </c>
      <c r="P166" s="191"/>
      <c r="Q166" s="193">
        <f t="shared" si="4"/>
        <v>0</v>
      </c>
    </row>
    <row r="167" spans="14:17" x14ac:dyDescent="0.25">
      <c r="N167" s="192" t="s">
        <v>325</v>
      </c>
      <c r="O167" s="191" t="s">
        <v>354</v>
      </c>
      <c r="P167" s="191"/>
      <c r="Q167" s="193">
        <f t="shared" si="4"/>
        <v>0</v>
      </c>
    </row>
    <row r="168" spans="14:17" x14ac:dyDescent="0.25">
      <c r="N168" s="192" t="s">
        <v>326</v>
      </c>
      <c r="O168" s="191" t="s">
        <v>354</v>
      </c>
      <c r="P168" s="191"/>
      <c r="Q168" s="193">
        <f t="shared" si="4"/>
        <v>0</v>
      </c>
    </row>
    <row r="169" spans="14:17" x14ac:dyDescent="0.25">
      <c r="N169" s="192" t="s">
        <v>327</v>
      </c>
      <c r="O169" s="191" t="s">
        <v>354</v>
      </c>
      <c r="P169" s="191"/>
      <c r="Q169" s="193">
        <f t="shared" si="4"/>
        <v>0</v>
      </c>
    </row>
    <row r="170" spans="14:17" x14ac:dyDescent="0.25">
      <c r="N170" s="192" t="s">
        <v>328</v>
      </c>
      <c r="O170" s="191" t="s">
        <v>354</v>
      </c>
      <c r="P170" s="191"/>
      <c r="Q170" s="193">
        <f t="shared" si="4"/>
        <v>0</v>
      </c>
    </row>
    <row r="171" spans="14:17" x14ac:dyDescent="0.25">
      <c r="N171" s="192" t="s">
        <v>329</v>
      </c>
      <c r="O171" s="191" t="s">
        <v>354</v>
      </c>
      <c r="P171" s="191"/>
      <c r="Q171" s="193">
        <f t="shared" si="4"/>
        <v>0</v>
      </c>
    </row>
    <row r="172" spans="14:17" x14ac:dyDescent="0.25">
      <c r="N172" s="192" t="s">
        <v>330</v>
      </c>
      <c r="O172" s="191" t="s">
        <v>354</v>
      </c>
      <c r="P172" s="191"/>
      <c r="Q172" s="193">
        <f t="shared" si="4"/>
        <v>0</v>
      </c>
    </row>
    <row r="173" spans="14:17" x14ac:dyDescent="0.25">
      <c r="N173" s="192" t="s">
        <v>331</v>
      </c>
      <c r="O173" s="191" t="s">
        <v>354</v>
      </c>
      <c r="P173" s="191"/>
      <c r="Q173" s="193">
        <f t="shared" si="4"/>
        <v>0</v>
      </c>
    </row>
    <row r="174" spans="14:17" x14ac:dyDescent="0.25">
      <c r="N174" s="192" t="s">
        <v>332</v>
      </c>
      <c r="O174" s="191" t="s">
        <v>354</v>
      </c>
      <c r="P174" s="191"/>
      <c r="Q174" s="193">
        <f t="shared" si="4"/>
        <v>0</v>
      </c>
    </row>
    <row r="175" spans="14:17" x14ac:dyDescent="0.25">
      <c r="N175" s="192" t="s">
        <v>333</v>
      </c>
      <c r="O175" s="191" t="s">
        <v>354</v>
      </c>
      <c r="P175" s="191"/>
      <c r="Q175" s="193">
        <f t="shared" si="4"/>
        <v>0</v>
      </c>
    </row>
    <row r="176" spans="14:17" x14ac:dyDescent="0.25">
      <c r="N176" s="192" t="s">
        <v>334</v>
      </c>
      <c r="O176" s="191" t="s">
        <v>354</v>
      </c>
      <c r="P176" s="191"/>
      <c r="Q176" s="193">
        <f t="shared" si="4"/>
        <v>0</v>
      </c>
    </row>
    <row r="177" spans="14:17" x14ac:dyDescent="0.25">
      <c r="N177" s="192" t="s">
        <v>335</v>
      </c>
      <c r="O177" s="191" t="s">
        <v>354</v>
      </c>
      <c r="P177" s="191"/>
      <c r="Q177" s="193">
        <f t="shared" si="4"/>
        <v>0</v>
      </c>
    </row>
    <row r="178" spans="14:17" x14ac:dyDescent="0.25">
      <c r="N178" s="192" t="s">
        <v>337</v>
      </c>
      <c r="O178" s="191" t="s">
        <v>354</v>
      </c>
      <c r="P178" s="191"/>
      <c r="Q178" s="193">
        <f t="shared" si="4"/>
        <v>0</v>
      </c>
    </row>
    <row r="179" spans="14:17" x14ac:dyDescent="0.25">
      <c r="N179" s="192" t="s">
        <v>339</v>
      </c>
      <c r="O179" s="191" t="s">
        <v>354</v>
      </c>
      <c r="P179" s="191"/>
      <c r="Q179" s="193">
        <f t="shared" si="4"/>
        <v>0</v>
      </c>
    </row>
    <row r="180" spans="14:17" x14ac:dyDescent="0.25">
      <c r="N180" s="192" t="s">
        <v>341</v>
      </c>
      <c r="O180" s="191" t="s">
        <v>354</v>
      </c>
      <c r="P180" s="191"/>
      <c r="Q180" s="193">
        <f t="shared" si="4"/>
        <v>0</v>
      </c>
    </row>
    <row r="181" spans="14:17" x14ac:dyDescent="0.25">
      <c r="N181" s="192" t="s">
        <v>343</v>
      </c>
      <c r="O181" s="191" t="s">
        <v>354</v>
      </c>
      <c r="P181" s="191"/>
      <c r="Q181" s="193">
        <f t="shared" si="4"/>
        <v>0</v>
      </c>
    </row>
    <row r="182" spans="14:17" x14ac:dyDescent="0.25">
      <c r="N182" s="192" t="s">
        <v>345</v>
      </c>
      <c r="O182" s="191" t="s">
        <v>354</v>
      </c>
      <c r="P182" s="191"/>
      <c r="Q182" s="193">
        <f t="shared" si="4"/>
        <v>0</v>
      </c>
    </row>
    <row r="183" spans="14:17" x14ac:dyDescent="0.25">
      <c r="N183" s="192" t="s">
        <v>346</v>
      </c>
      <c r="O183" s="191" t="s">
        <v>354</v>
      </c>
      <c r="P183" s="191"/>
      <c r="Q183" s="193">
        <f t="shared" si="4"/>
        <v>0</v>
      </c>
    </row>
    <row r="184" spans="14:17" x14ac:dyDescent="0.25">
      <c r="N184" s="192" t="s">
        <v>348</v>
      </c>
      <c r="O184" s="191" t="s">
        <v>354</v>
      </c>
      <c r="P184" s="191"/>
      <c r="Q184" s="193">
        <f t="shared" si="4"/>
        <v>0</v>
      </c>
    </row>
    <row r="185" spans="14:17" x14ac:dyDescent="0.25">
      <c r="N185" s="192" t="s">
        <v>312</v>
      </c>
      <c r="O185" s="191" t="s">
        <v>355</v>
      </c>
      <c r="P185" s="191"/>
      <c r="Q185" s="193">
        <f t="shared" si="4"/>
        <v>0</v>
      </c>
    </row>
    <row r="186" spans="14:17" x14ac:dyDescent="0.25">
      <c r="N186" s="192" t="s">
        <v>314</v>
      </c>
      <c r="O186" s="191" t="s">
        <v>355</v>
      </c>
      <c r="P186" s="191"/>
      <c r="Q186" s="193">
        <f t="shared" si="4"/>
        <v>0</v>
      </c>
    </row>
    <row r="187" spans="14:17" x14ac:dyDescent="0.25">
      <c r="N187" s="192" t="s">
        <v>315</v>
      </c>
      <c r="O187" s="191" t="s">
        <v>355</v>
      </c>
      <c r="P187" s="191"/>
      <c r="Q187" s="193">
        <f t="shared" si="4"/>
        <v>0</v>
      </c>
    </row>
    <row r="188" spans="14:17" x14ac:dyDescent="0.25">
      <c r="N188" s="192" t="s">
        <v>316</v>
      </c>
      <c r="O188" s="191" t="s">
        <v>355</v>
      </c>
      <c r="P188" s="191"/>
      <c r="Q188" s="193">
        <f t="shared" si="4"/>
        <v>0</v>
      </c>
    </row>
    <row r="189" spans="14:17" x14ac:dyDescent="0.25">
      <c r="N189" s="192" t="s">
        <v>317</v>
      </c>
      <c r="O189" s="191" t="s">
        <v>355</v>
      </c>
      <c r="P189" s="191"/>
      <c r="Q189" s="193">
        <f t="shared" si="4"/>
        <v>0</v>
      </c>
    </row>
    <row r="190" spans="14:17" x14ac:dyDescent="0.25">
      <c r="N190" s="192" t="s">
        <v>318</v>
      </c>
      <c r="O190" s="191" t="s">
        <v>355</v>
      </c>
      <c r="P190" s="191"/>
      <c r="Q190" s="193">
        <f t="shared" si="4"/>
        <v>0</v>
      </c>
    </row>
    <row r="191" spans="14:17" x14ac:dyDescent="0.25">
      <c r="N191" s="192" t="s">
        <v>319</v>
      </c>
      <c r="O191" s="191" t="s">
        <v>355</v>
      </c>
      <c r="P191" s="191"/>
      <c r="Q191" s="193">
        <f t="shared" si="4"/>
        <v>0</v>
      </c>
    </row>
    <row r="192" spans="14:17" x14ac:dyDescent="0.25">
      <c r="N192" s="192" t="s">
        <v>320</v>
      </c>
      <c r="O192" s="191" t="s">
        <v>355</v>
      </c>
      <c r="P192" s="191"/>
      <c r="Q192" s="193">
        <f t="shared" si="4"/>
        <v>0</v>
      </c>
    </row>
    <row r="193" spans="14:17" x14ac:dyDescent="0.25">
      <c r="N193" s="192" t="s">
        <v>321</v>
      </c>
      <c r="O193" s="191" t="s">
        <v>355</v>
      </c>
      <c r="P193" s="191"/>
      <c r="Q193" s="193">
        <f t="shared" si="4"/>
        <v>0</v>
      </c>
    </row>
    <row r="194" spans="14:17" x14ac:dyDescent="0.25">
      <c r="N194" s="192" t="s">
        <v>322</v>
      </c>
      <c r="O194" s="191" t="s">
        <v>355</v>
      </c>
      <c r="P194" s="191"/>
      <c r="Q194" s="193">
        <f t="shared" si="4"/>
        <v>0</v>
      </c>
    </row>
    <row r="195" spans="14:17" x14ac:dyDescent="0.25">
      <c r="N195" s="192" t="s">
        <v>323</v>
      </c>
      <c r="O195" s="191" t="s">
        <v>355</v>
      </c>
      <c r="P195" s="191"/>
      <c r="Q195" s="193">
        <f t="shared" si="4"/>
        <v>0</v>
      </c>
    </row>
    <row r="196" spans="14:17" x14ac:dyDescent="0.25">
      <c r="N196" s="192" t="s">
        <v>324</v>
      </c>
      <c r="O196" s="191" t="s">
        <v>355</v>
      </c>
      <c r="P196" s="191"/>
      <c r="Q196" s="193">
        <f t="shared" ref="Q196:Q259" si="5">+P196/444</f>
        <v>0</v>
      </c>
    </row>
    <row r="197" spans="14:17" x14ac:dyDescent="0.25">
      <c r="N197" s="192" t="s">
        <v>325</v>
      </c>
      <c r="O197" s="191" t="s">
        <v>355</v>
      </c>
      <c r="P197" s="191"/>
      <c r="Q197" s="193">
        <f t="shared" si="5"/>
        <v>0</v>
      </c>
    </row>
    <row r="198" spans="14:17" x14ac:dyDescent="0.25">
      <c r="N198" s="192" t="s">
        <v>326</v>
      </c>
      <c r="O198" s="191" t="s">
        <v>355</v>
      </c>
      <c r="P198" s="191"/>
      <c r="Q198" s="193">
        <f t="shared" si="5"/>
        <v>0</v>
      </c>
    </row>
    <row r="199" spans="14:17" x14ac:dyDescent="0.25">
      <c r="N199" s="192" t="s">
        <v>327</v>
      </c>
      <c r="O199" s="191" t="s">
        <v>355</v>
      </c>
      <c r="P199" s="191"/>
      <c r="Q199" s="193">
        <f t="shared" si="5"/>
        <v>0</v>
      </c>
    </row>
    <row r="200" spans="14:17" x14ac:dyDescent="0.25">
      <c r="N200" s="192" t="s">
        <v>328</v>
      </c>
      <c r="O200" s="191" t="s">
        <v>355</v>
      </c>
      <c r="P200" s="191"/>
      <c r="Q200" s="193">
        <f t="shared" si="5"/>
        <v>0</v>
      </c>
    </row>
    <row r="201" spans="14:17" x14ac:dyDescent="0.25">
      <c r="N201" s="192" t="s">
        <v>329</v>
      </c>
      <c r="O201" s="191" t="s">
        <v>355</v>
      </c>
      <c r="P201" s="191"/>
      <c r="Q201" s="193">
        <f t="shared" si="5"/>
        <v>0</v>
      </c>
    </row>
    <row r="202" spans="14:17" x14ac:dyDescent="0.25">
      <c r="N202" s="192" t="s">
        <v>330</v>
      </c>
      <c r="O202" s="191" t="s">
        <v>355</v>
      </c>
      <c r="P202" s="191"/>
      <c r="Q202" s="193">
        <f t="shared" si="5"/>
        <v>0</v>
      </c>
    </row>
    <row r="203" spans="14:17" x14ac:dyDescent="0.25">
      <c r="N203" s="192" t="s">
        <v>331</v>
      </c>
      <c r="O203" s="191" t="s">
        <v>355</v>
      </c>
      <c r="P203" s="191"/>
      <c r="Q203" s="193">
        <f t="shared" si="5"/>
        <v>0</v>
      </c>
    </row>
    <row r="204" spans="14:17" x14ac:dyDescent="0.25">
      <c r="N204" s="192" t="s">
        <v>332</v>
      </c>
      <c r="O204" s="191" t="s">
        <v>355</v>
      </c>
      <c r="P204" s="191"/>
      <c r="Q204" s="193">
        <f t="shared" si="5"/>
        <v>0</v>
      </c>
    </row>
    <row r="205" spans="14:17" x14ac:dyDescent="0.25">
      <c r="N205" s="192" t="s">
        <v>333</v>
      </c>
      <c r="O205" s="191" t="s">
        <v>355</v>
      </c>
      <c r="P205" s="191"/>
      <c r="Q205" s="193">
        <f t="shared" si="5"/>
        <v>0</v>
      </c>
    </row>
    <row r="206" spans="14:17" x14ac:dyDescent="0.25">
      <c r="N206" s="192" t="s">
        <v>334</v>
      </c>
      <c r="O206" s="191" t="s">
        <v>355</v>
      </c>
      <c r="P206" s="191"/>
      <c r="Q206" s="193">
        <f t="shared" si="5"/>
        <v>0</v>
      </c>
    </row>
    <row r="207" spans="14:17" x14ac:dyDescent="0.25">
      <c r="N207" s="192" t="s">
        <v>335</v>
      </c>
      <c r="O207" s="191" t="s">
        <v>355</v>
      </c>
      <c r="P207" s="191"/>
      <c r="Q207" s="193">
        <f t="shared" si="5"/>
        <v>0</v>
      </c>
    </row>
    <row r="208" spans="14:17" x14ac:dyDescent="0.25">
      <c r="N208" s="192" t="s">
        <v>337</v>
      </c>
      <c r="O208" s="191" t="s">
        <v>355</v>
      </c>
      <c r="P208" s="191"/>
      <c r="Q208" s="193">
        <f t="shared" si="5"/>
        <v>0</v>
      </c>
    </row>
    <row r="209" spans="14:17" x14ac:dyDescent="0.25">
      <c r="N209" s="192" t="s">
        <v>339</v>
      </c>
      <c r="O209" s="191" t="s">
        <v>355</v>
      </c>
      <c r="P209" s="191"/>
      <c r="Q209" s="193">
        <f t="shared" si="5"/>
        <v>0</v>
      </c>
    </row>
    <row r="210" spans="14:17" x14ac:dyDescent="0.25">
      <c r="N210" s="192" t="s">
        <v>341</v>
      </c>
      <c r="O210" s="191" t="s">
        <v>355</v>
      </c>
      <c r="P210" s="191"/>
      <c r="Q210" s="193">
        <f t="shared" si="5"/>
        <v>0</v>
      </c>
    </row>
    <row r="211" spans="14:17" x14ac:dyDescent="0.25">
      <c r="N211" s="192" t="s">
        <v>343</v>
      </c>
      <c r="O211" s="191" t="s">
        <v>355</v>
      </c>
      <c r="P211" s="191"/>
      <c r="Q211" s="193">
        <f t="shared" si="5"/>
        <v>0</v>
      </c>
    </row>
    <row r="212" spans="14:17" x14ac:dyDescent="0.25">
      <c r="N212" s="192" t="s">
        <v>345</v>
      </c>
      <c r="O212" s="191" t="s">
        <v>355</v>
      </c>
      <c r="P212" s="191"/>
      <c r="Q212" s="193">
        <f t="shared" si="5"/>
        <v>0</v>
      </c>
    </row>
    <row r="213" spans="14:17" x14ac:dyDescent="0.25">
      <c r="N213" s="192" t="s">
        <v>346</v>
      </c>
      <c r="O213" s="191" t="s">
        <v>355</v>
      </c>
      <c r="P213" s="191"/>
      <c r="Q213" s="193">
        <f t="shared" si="5"/>
        <v>0</v>
      </c>
    </row>
    <row r="214" spans="14:17" x14ac:dyDescent="0.25">
      <c r="N214" s="192" t="s">
        <v>348</v>
      </c>
      <c r="O214" s="191" t="s">
        <v>355</v>
      </c>
      <c r="P214" s="191"/>
      <c r="Q214" s="193">
        <f t="shared" si="5"/>
        <v>0</v>
      </c>
    </row>
    <row r="215" spans="14:17" x14ac:dyDescent="0.25">
      <c r="N215" s="192" t="s">
        <v>349</v>
      </c>
      <c r="O215" s="191" t="s">
        <v>355</v>
      </c>
      <c r="P215" s="191"/>
      <c r="Q215" s="193">
        <f t="shared" si="5"/>
        <v>0</v>
      </c>
    </row>
    <row r="216" spans="14:17" x14ac:dyDescent="0.25">
      <c r="N216" s="192" t="s">
        <v>312</v>
      </c>
      <c r="O216" s="191" t="s">
        <v>356</v>
      </c>
      <c r="P216" s="191"/>
      <c r="Q216" s="193">
        <f t="shared" si="5"/>
        <v>0</v>
      </c>
    </row>
    <row r="217" spans="14:17" x14ac:dyDescent="0.25">
      <c r="N217" s="192" t="s">
        <v>314</v>
      </c>
      <c r="O217" s="191" t="s">
        <v>356</v>
      </c>
      <c r="P217" s="191"/>
      <c r="Q217" s="193">
        <f t="shared" si="5"/>
        <v>0</v>
      </c>
    </row>
    <row r="218" spans="14:17" x14ac:dyDescent="0.25">
      <c r="N218" s="192" t="s">
        <v>315</v>
      </c>
      <c r="O218" s="191" t="s">
        <v>356</v>
      </c>
      <c r="P218" s="191"/>
      <c r="Q218" s="193">
        <f t="shared" si="5"/>
        <v>0</v>
      </c>
    </row>
    <row r="219" spans="14:17" x14ac:dyDescent="0.25">
      <c r="N219" s="192" t="s">
        <v>316</v>
      </c>
      <c r="O219" s="191" t="s">
        <v>356</v>
      </c>
      <c r="P219" s="191"/>
      <c r="Q219" s="193">
        <f t="shared" si="5"/>
        <v>0</v>
      </c>
    </row>
    <row r="220" spans="14:17" x14ac:dyDescent="0.25">
      <c r="N220" s="192" t="s">
        <v>317</v>
      </c>
      <c r="O220" s="191" t="s">
        <v>356</v>
      </c>
      <c r="P220" s="191"/>
      <c r="Q220" s="193">
        <f t="shared" si="5"/>
        <v>0</v>
      </c>
    </row>
    <row r="221" spans="14:17" x14ac:dyDescent="0.25">
      <c r="N221" s="192" t="s">
        <v>318</v>
      </c>
      <c r="O221" s="191" t="s">
        <v>356</v>
      </c>
      <c r="P221" s="191"/>
      <c r="Q221" s="193">
        <f t="shared" si="5"/>
        <v>0</v>
      </c>
    </row>
    <row r="222" spans="14:17" x14ac:dyDescent="0.25">
      <c r="N222" s="192" t="s">
        <v>319</v>
      </c>
      <c r="O222" s="191" t="s">
        <v>356</v>
      </c>
      <c r="P222" s="191"/>
      <c r="Q222" s="193">
        <f t="shared" si="5"/>
        <v>0</v>
      </c>
    </row>
    <row r="223" spans="14:17" x14ac:dyDescent="0.25">
      <c r="N223" s="192" t="s">
        <v>320</v>
      </c>
      <c r="O223" s="191" t="s">
        <v>356</v>
      </c>
      <c r="P223" s="191"/>
      <c r="Q223" s="193">
        <f t="shared" si="5"/>
        <v>0</v>
      </c>
    </row>
    <row r="224" spans="14:17" x14ac:dyDescent="0.25">
      <c r="N224" s="192" t="s">
        <v>321</v>
      </c>
      <c r="O224" s="191" t="s">
        <v>356</v>
      </c>
      <c r="P224" s="191"/>
      <c r="Q224" s="193">
        <f t="shared" si="5"/>
        <v>0</v>
      </c>
    </row>
    <row r="225" spans="14:17" x14ac:dyDescent="0.25">
      <c r="N225" s="192" t="s">
        <v>322</v>
      </c>
      <c r="O225" s="191" t="s">
        <v>356</v>
      </c>
      <c r="P225" s="191"/>
      <c r="Q225" s="193">
        <f t="shared" si="5"/>
        <v>0</v>
      </c>
    </row>
    <row r="226" spans="14:17" x14ac:dyDescent="0.25">
      <c r="N226" s="192" t="s">
        <v>323</v>
      </c>
      <c r="O226" s="191" t="s">
        <v>356</v>
      </c>
      <c r="P226" s="191"/>
      <c r="Q226" s="193">
        <f t="shared" si="5"/>
        <v>0</v>
      </c>
    </row>
    <row r="227" spans="14:17" x14ac:dyDescent="0.25">
      <c r="N227" s="192" t="s">
        <v>324</v>
      </c>
      <c r="O227" s="191" t="s">
        <v>356</v>
      </c>
      <c r="P227" s="191"/>
      <c r="Q227" s="193">
        <f t="shared" si="5"/>
        <v>0</v>
      </c>
    </row>
    <row r="228" spans="14:17" x14ac:dyDescent="0.25">
      <c r="N228" s="192" t="s">
        <v>325</v>
      </c>
      <c r="O228" s="191" t="s">
        <v>356</v>
      </c>
      <c r="P228" s="191"/>
      <c r="Q228" s="193">
        <f t="shared" si="5"/>
        <v>0</v>
      </c>
    </row>
    <row r="229" spans="14:17" x14ac:dyDescent="0.25">
      <c r="N229" s="192" t="s">
        <v>326</v>
      </c>
      <c r="O229" s="191" t="s">
        <v>356</v>
      </c>
      <c r="P229" s="191"/>
      <c r="Q229" s="193">
        <f t="shared" si="5"/>
        <v>0</v>
      </c>
    </row>
    <row r="230" spans="14:17" x14ac:dyDescent="0.25">
      <c r="N230" s="192" t="s">
        <v>327</v>
      </c>
      <c r="O230" s="191" t="s">
        <v>356</v>
      </c>
      <c r="P230" s="191"/>
      <c r="Q230" s="193">
        <f t="shared" si="5"/>
        <v>0</v>
      </c>
    </row>
    <row r="231" spans="14:17" x14ac:dyDescent="0.25">
      <c r="N231" s="192" t="s">
        <v>328</v>
      </c>
      <c r="O231" s="191" t="s">
        <v>356</v>
      </c>
      <c r="P231" s="191"/>
      <c r="Q231" s="193">
        <f t="shared" si="5"/>
        <v>0</v>
      </c>
    </row>
    <row r="232" spans="14:17" x14ac:dyDescent="0.25">
      <c r="N232" s="192" t="s">
        <v>329</v>
      </c>
      <c r="O232" s="191" t="s">
        <v>356</v>
      </c>
      <c r="P232" s="191"/>
      <c r="Q232" s="193">
        <f t="shared" si="5"/>
        <v>0</v>
      </c>
    </row>
    <row r="233" spans="14:17" x14ac:dyDescent="0.25">
      <c r="N233" s="192" t="s">
        <v>330</v>
      </c>
      <c r="O233" s="191" t="s">
        <v>356</v>
      </c>
      <c r="P233" s="191"/>
      <c r="Q233" s="193">
        <f t="shared" si="5"/>
        <v>0</v>
      </c>
    </row>
    <row r="234" spans="14:17" x14ac:dyDescent="0.25">
      <c r="N234" s="192" t="s">
        <v>331</v>
      </c>
      <c r="O234" s="191" t="s">
        <v>356</v>
      </c>
      <c r="P234" s="191"/>
      <c r="Q234" s="193">
        <f t="shared" si="5"/>
        <v>0</v>
      </c>
    </row>
    <row r="235" spans="14:17" x14ac:dyDescent="0.25">
      <c r="N235" s="192" t="s">
        <v>332</v>
      </c>
      <c r="O235" s="191" t="s">
        <v>356</v>
      </c>
      <c r="P235" s="191"/>
      <c r="Q235" s="193">
        <f t="shared" si="5"/>
        <v>0</v>
      </c>
    </row>
    <row r="236" spans="14:17" x14ac:dyDescent="0.25">
      <c r="N236" s="192" t="s">
        <v>333</v>
      </c>
      <c r="O236" s="191" t="s">
        <v>356</v>
      </c>
      <c r="P236" s="191"/>
      <c r="Q236" s="193">
        <f t="shared" si="5"/>
        <v>0</v>
      </c>
    </row>
    <row r="237" spans="14:17" x14ac:dyDescent="0.25">
      <c r="N237" s="192" t="s">
        <v>334</v>
      </c>
      <c r="O237" s="191" t="s">
        <v>356</v>
      </c>
      <c r="P237" s="191"/>
      <c r="Q237" s="193">
        <f t="shared" si="5"/>
        <v>0</v>
      </c>
    </row>
    <row r="238" spans="14:17" x14ac:dyDescent="0.25">
      <c r="N238" s="192" t="s">
        <v>335</v>
      </c>
      <c r="O238" s="191" t="s">
        <v>356</v>
      </c>
      <c r="P238" s="191"/>
      <c r="Q238" s="193">
        <f t="shared" si="5"/>
        <v>0</v>
      </c>
    </row>
    <row r="239" spans="14:17" x14ac:dyDescent="0.25">
      <c r="N239" s="192" t="s">
        <v>337</v>
      </c>
      <c r="O239" s="191" t="s">
        <v>356</v>
      </c>
      <c r="P239" s="191"/>
      <c r="Q239" s="193">
        <f t="shared" si="5"/>
        <v>0</v>
      </c>
    </row>
    <row r="240" spans="14:17" x14ac:dyDescent="0.25">
      <c r="N240" s="192" t="s">
        <v>339</v>
      </c>
      <c r="O240" s="191" t="s">
        <v>356</v>
      </c>
      <c r="P240" s="191"/>
      <c r="Q240" s="193">
        <f t="shared" si="5"/>
        <v>0</v>
      </c>
    </row>
    <row r="241" spans="14:17" x14ac:dyDescent="0.25">
      <c r="N241" s="192" t="s">
        <v>341</v>
      </c>
      <c r="O241" s="191" t="s">
        <v>356</v>
      </c>
      <c r="P241" s="191"/>
      <c r="Q241" s="193">
        <f t="shared" si="5"/>
        <v>0</v>
      </c>
    </row>
    <row r="242" spans="14:17" x14ac:dyDescent="0.25">
      <c r="N242" s="192" t="s">
        <v>343</v>
      </c>
      <c r="O242" s="191" t="s">
        <v>356</v>
      </c>
      <c r="P242" s="191"/>
      <c r="Q242" s="193">
        <f t="shared" si="5"/>
        <v>0</v>
      </c>
    </row>
    <row r="243" spans="14:17" x14ac:dyDescent="0.25">
      <c r="N243" s="192" t="s">
        <v>345</v>
      </c>
      <c r="O243" s="191" t="s">
        <v>356</v>
      </c>
      <c r="P243" s="191"/>
      <c r="Q243" s="193">
        <f t="shared" si="5"/>
        <v>0</v>
      </c>
    </row>
    <row r="244" spans="14:17" x14ac:dyDescent="0.25">
      <c r="N244" s="192" t="s">
        <v>346</v>
      </c>
      <c r="O244" s="191" t="s">
        <v>356</v>
      </c>
      <c r="P244" s="191"/>
      <c r="Q244" s="193">
        <f t="shared" si="5"/>
        <v>0</v>
      </c>
    </row>
    <row r="245" spans="14:17" x14ac:dyDescent="0.25">
      <c r="N245" s="192" t="s">
        <v>348</v>
      </c>
      <c r="O245" s="191" t="s">
        <v>356</v>
      </c>
      <c r="P245" s="191"/>
      <c r="Q245" s="193">
        <f t="shared" si="5"/>
        <v>0</v>
      </c>
    </row>
    <row r="246" spans="14:17" x14ac:dyDescent="0.25">
      <c r="N246" s="192" t="s">
        <v>349</v>
      </c>
      <c r="O246" s="191" t="s">
        <v>356</v>
      </c>
      <c r="P246" s="191"/>
      <c r="Q246" s="193">
        <f t="shared" si="5"/>
        <v>0</v>
      </c>
    </row>
    <row r="247" spans="14:17" x14ac:dyDescent="0.25">
      <c r="N247" s="192" t="s">
        <v>312</v>
      </c>
      <c r="O247" s="191" t="s">
        <v>357</v>
      </c>
      <c r="P247" s="191"/>
      <c r="Q247" s="193">
        <f t="shared" si="5"/>
        <v>0</v>
      </c>
    </row>
    <row r="248" spans="14:17" x14ac:dyDescent="0.25">
      <c r="N248" s="192" t="s">
        <v>314</v>
      </c>
      <c r="O248" s="191" t="s">
        <v>357</v>
      </c>
      <c r="P248" s="191"/>
      <c r="Q248" s="193">
        <f t="shared" si="5"/>
        <v>0</v>
      </c>
    </row>
    <row r="249" spans="14:17" x14ac:dyDescent="0.25">
      <c r="N249" s="192" t="s">
        <v>315</v>
      </c>
      <c r="O249" s="191" t="s">
        <v>357</v>
      </c>
      <c r="P249" s="191"/>
      <c r="Q249" s="193">
        <f t="shared" si="5"/>
        <v>0</v>
      </c>
    </row>
    <row r="250" spans="14:17" x14ac:dyDescent="0.25">
      <c r="N250" s="192" t="s">
        <v>316</v>
      </c>
      <c r="O250" s="191" t="s">
        <v>357</v>
      </c>
      <c r="P250" s="191"/>
      <c r="Q250" s="193">
        <f t="shared" si="5"/>
        <v>0</v>
      </c>
    </row>
    <row r="251" spans="14:17" x14ac:dyDescent="0.25">
      <c r="N251" s="192" t="s">
        <v>317</v>
      </c>
      <c r="O251" s="191" t="s">
        <v>357</v>
      </c>
      <c r="P251" s="191"/>
      <c r="Q251" s="193">
        <f t="shared" si="5"/>
        <v>0</v>
      </c>
    </row>
    <row r="252" spans="14:17" x14ac:dyDescent="0.25">
      <c r="N252" s="192" t="s">
        <v>318</v>
      </c>
      <c r="O252" s="191" t="s">
        <v>357</v>
      </c>
      <c r="P252" s="191"/>
      <c r="Q252" s="193">
        <f t="shared" si="5"/>
        <v>0</v>
      </c>
    </row>
    <row r="253" spans="14:17" x14ac:dyDescent="0.25">
      <c r="N253" s="192" t="s">
        <v>319</v>
      </c>
      <c r="O253" s="191" t="s">
        <v>357</v>
      </c>
      <c r="P253" s="191"/>
      <c r="Q253" s="193">
        <f t="shared" si="5"/>
        <v>0</v>
      </c>
    </row>
    <row r="254" spans="14:17" x14ac:dyDescent="0.25">
      <c r="N254" s="192" t="s">
        <v>320</v>
      </c>
      <c r="O254" s="191" t="s">
        <v>357</v>
      </c>
      <c r="P254" s="191"/>
      <c r="Q254" s="193">
        <f t="shared" si="5"/>
        <v>0</v>
      </c>
    </row>
    <row r="255" spans="14:17" x14ac:dyDescent="0.25">
      <c r="N255" s="192" t="s">
        <v>321</v>
      </c>
      <c r="O255" s="191" t="s">
        <v>357</v>
      </c>
      <c r="P255" s="191"/>
      <c r="Q255" s="193">
        <f t="shared" si="5"/>
        <v>0</v>
      </c>
    </row>
    <row r="256" spans="14:17" x14ac:dyDescent="0.25">
      <c r="N256" s="192" t="s">
        <v>322</v>
      </c>
      <c r="O256" s="191" t="s">
        <v>357</v>
      </c>
      <c r="P256" s="191"/>
      <c r="Q256" s="193">
        <f t="shared" si="5"/>
        <v>0</v>
      </c>
    </row>
    <row r="257" spans="14:17" x14ac:dyDescent="0.25">
      <c r="N257" s="192" t="s">
        <v>323</v>
      </c>
      <c r="O257" s="191" t="s">
        <v>357</v>
      </c>
      <c r="P257" s="191"/>
      <c r="Q257" s="193">
        <f t="shared" si="5"/>
        <v>0</v>
      </c>
    </row>
    <row r="258" spans="14:17" x14ac:dyDescent="0.25">
      <c r="N258" s="192" t="s">
        <v>324</v>
      </c>
      <c r="O258" s="191" t="s">
        <v>357</v>
      </c>
      <c r="P258" s="191"/>
      <c r="Q258" s="193">
        <f t="shared" si="5"/>
        <v>0</v>
      </c>
    </row>
    <row r="259" spans="14:17" x14ac:dyDescent="0.25">
      <c r="N259" s="192" t="s">
        <v>325</v>
      </c>
      <c r="O259" s="191" t="s">
        <v>357</v>
      </c>
      <c r="P259" s="191"/>
      <c r="Q259" s="193">
        <f t="shared" si="5"/>
        <v>0</v>
      </c>
    </row>
    <row r="260" spans="14:17" x14ac:dyDescent="0.25">
      <c r="N260" s="192" t="s">
        <v>326</v>
      </c>
      <c r="O260" s="191" t="s">
        <v>357</v>
      </c>
      <c r="P260" s="191"/>
      <c r="Q260" s="193">
        <f t="shared" ref="Q260:Q306" si="6">+P260/444</f>
        <v>0</v>
      </c>
    </row>
    <row r="261" spans="14:17" x14ac:dyDescent="0.25">
      <c r="N261" s="192" t="s">
        <v>327</v>
      </c>
      <c r="O261" s="191" t="s">
        <v>357</v>
      </c>
      <c r="P261" s="191"/>
      <c r="Q261" s="193">
        <f t="shared" si="6"/>
        <v>0</v>
      </c>
    </row>
    <row r="262" spans="14:17" x14ac:dyDescent="0.25">
      <c r="N262" s="192" t="s">
        <v>328</v>
      </c>
      <c r="O262" s="191" t="s">
        <v>357</v>
      </c>
      <c r="P262" s="191"/>
      <c r="Q262" s="193">
        <f t="shared" si="6"/>
        <v>0</v>
      </c>
    </row>
    <row r="263" spans="14:17" x14ac:dyDescent="0.25">
      <c r="N263" s="192" t="s">
        <v>329</v>
      </c>
      <c r="O263" s="191" t="s">
        <v>357</v>
      </c>
      <c r="P263" s="191"/>
      <c r="Q263" s="193">
        <f t="shared" si="6"/>
        <v>0</v>
      </c>
    </row>
    <row r="264" spans="14:17" x14ac:dyDescent="0.25">
      <c r="N264" s="192" t="s">
        <v>330</v>
      </c>
      <c r="O264" s="191" t="s">
        <v>357</v>
      </c>
      <c r="P264" s="191"/>
      <c r="Q264" s="193">
        <f t="shared" si="6"/>
        <v>0</v>
      </c>
    </row>
    <row r="265" spans="14:17" x14ac:dyDescent="0.25">
      <c r="N265" s="192" t="s">
        <v>331</v>
      </c>
      <c r="O265" s="191" t="s">
        <v>357</v>
      </c>
      <c r="P265" s="191"/>
      <c r="Q265" s="193">
        <f t="shared" si="6"/>
        <v>0</v>
      </c>
    </row>
    <row r="266" spans="14:17" x14ac:dyDescent="0.25">
      <c r="N266" s="192" t="s">
        <v>332</v>
      </c>
      <c r="O266" s="191" t="s">
        <v>357</v>
      </c>
      <c r="P266" s="191"/>
      <c r="Q266" s="193">
        <f t="shared" si="6"/>
        <v>0</v>
      </c>
    </row>
    <row r="267" spans="14:17" x14ac:dyDescent="0.25">
      <c r="N267" s="192" t="s">
        <v>333</v>
      </c>
      <c r="O267" s="191" t="s">
        <v>357</v>
      </c>
      <c r="P267" s="191"/>
      <c r="Q267" s="193">
        <f t="shared" si="6"/>
        <v>0</v>
      </c>
    </row>
    <row r="268" spans="14:17" x14ac:dyDescent="0.25">
      <c r="N268" s="192" t="s">
        <v>334</v>
      </c>
      <c r="O268" s="191" t="s">
        <v>357</v>
      </c>
      <c r="P268" s="191"/>
      <c r="Q268" s="193">
        <f t="shared" si="6"/>
        <v>0</v>
      </c>
    </row>
    <row r="269" spans="14:17" x14ac:dyDescent="0.25">
      <c r="N269" s="192" t="s">
        <v>335</v>
      </c>
      <c r="O269" s="191" t="s">
        <v>357</v>
      </c>
      <c r="P269" s="191"/>
      <c r="Q269" s="193">
        <f t="shared" si="6"/>
        <v>0</v>
      </c>
    </row>
    <row r="270" spans="14:17" x14ac:dyDescent="0.25">
      <c r="N270" s="192" t="s">
        <v>337</v>
      </c>
      <c r="O270" s="191" t="s">
        <v>357</v>
      </c>
      <c r="P270" s="191"/>
      <c r="Q270" s="193">
        <f t="shared" si="6"/>
        <v>0</v>
      </c>
    </row>
    <row r="271" spans="14:17" x14ac:dyDescent="0.25">
      <c r="N271" s="192" t="s">
        <v>339</v>
      </c>
      <c r="O271" s="191" t="s">
        <v>357</v>
      </c>
      <c r="P271" s="191"/>
      <c r="Q271" s="193">
        <f t="shared" si="6"/>
        <v>0</v>
      </c>
    </row>
    <row r="272" spans="14:17" x14ac:dyDescent="0.25">
      <c r="N272" s="192" t="s">
        <v>341</v>
      </c>
      <c r="O272" s="191" t="s">
        <v>357</v>
      </c>
      <c r="P272" s="191"/>
      <c r="Q272" s="193">
        <f t="shared" si="6"/>
        <v>0</v>
      </c>
    </row>
    <row r="273" spans="14:17" x14ac:dyDescent="0.25">
      <c r="N273" s="192" t="s">
        <v>343</v>
      </c>
      <c r="O273" s="191" t="s">
        <v>357</v>
      </c>
      <c r="P273" s="191"/>
      <c r="Q273" s="193">
        <f t="shared" si="6"/>
        <v>0</v>
      </c>
    </row>
    <row r="274" spans="14:17" x14ac:dyDescent="0.25">
      <c r="N274" s="192" t="s">
        <v>345</v>
      </c>
      <c r="O274" s="191" t="s">
        <v>357</v>
      </c>
      <c r="P274" s="191"/>
      <c r="Q274" s="193">
        <f t="shared" si="6"/>
        <v>0</v>
      </c>
    </row>
    <row r="275" spans="14:17" x14ac:dyDescent="0.25">
      <c r="N275" s="192" t="s">
        <v>346</v>
      </c>
      <c r="O275" s="191" t="s">
        <v>357</v>
      </c>
      <c r="P275" s="191"/>
      <c r="Q275" s="193">
        <f t="shared" si="6"/>
        <v>0</v>
      </c>
    </row>
    <row r="276" spans="14:17" x14ac:dyDescent="0.25">
      <c r="N276" s="192" t="s">
        <v>348</v>
      </c>
      <c r="O276" s="191" t="s">
        <v>357</v>
      </c>
      <c r="P276" s="191"/>
      <c r="Q276" s="193">
        <f t="shared" si="6"/>
        <v>0</v>
      </c>
    </row>
    <row r="277" spans="14:17" x14ac:dyDescent="0.25">
      <c r="N277" s="192" t="s">
        <v>312</v>
      </c>
      <c r="O277" s="191" t="s">
        <v>358</v>
      </c>
      <c r="P277" s="191"/>
      <c r="Q277" s="193">
        <f t="shared" si="6"/>
        <v>0</v>
      </c>
    </row>
    <row r="278" spans="14:17" x14ac:dyDescent="0.25">
      <c r="N278" s="192" t="s">
        <v>314</v>
      </c>
      <c r="O278" s="191" t="s">
        <v>358</v>
      </c>
      <c r="P278" s="191"/>
      <c r="Q278" s="193">
        <f t="shared" si="6"/>
        <v>0</v>
      </c>
    </row>
    <row r="279" spans="14:17" x14ac:dyDescent="0.25">
      <c r="N279" s="192" t="s">
        <v>315</v>
      </c>
      <c r="O279" s="191" t="s">
        <v>358</v>
      </c>
      <c r="P279" s="191"/>
      <c r="Q279" s="193">
        <f t="shared" si="6"/>
        <v>0</v>
      </c>
    </row>
    <row r="280" spans="14:17" x14ac:dyDescent="0.25">
      <c r="N280" s="192" t="s">
        <v>316</v>
      </c>
      <c r="O280" s="191" t="s">
        <v>358</v>
      </c>
      <c r="P280" s="191"/>
      <c r="Q280" s="193">
        <f t="shared" si="6"/>
        <v>0</v>
      </c>
    </row>
    <row r="281" spans="14:17" x14ac:dyDescent="0.25">
      <c r="N281" s="192" t="s">
        <v>317</v>
      </c>
      <c r="O281" s="191" t="s">
        <v>358</v>
      </c>
      <c r="P281" s="191"/>
      <c r="Q281" s="193">
        <f t="shared" si="6"/>
        <v>0</v>
      </c>
    </row>
    <row r="282" spans="14:17" x14ac:dyDescent="0.25">
      <c r="N282" s="192" t="s">
        <v>318</v>
      </c>
      <c r="O282" s="191" t="s">
        <v>358</v>
      </c>
      <c r="P282" s="191"/>
      <c r="Q282" s="193">
        <f t="shared" si="6"/>
        <v>0</v>
      </c>
    </row>
    <row r="283" spans="14:17" x14ac:dyDescent="0.25">
      <c r="N283" s="192" t="s">
        <v>319</v>
      </c>
      <c r="O283" s="191" t="s">
        <v>358</v>
      </c>
      <c r="P283" s="191"/>
      <c r="Q283" s="193">
        <f t="shared" si="6"/>
        <v>0</v>
      </c>
    </row>
    <row r="284" spans="14:17" x14ac:dyDescent="0.25">
      <c r="N284" s="192" t="s">
        <v>320</v>
      </c>
      <c r="O284" s="191" t="s">
        <v>358</v>
      </c>
      <c r="P284" s="191"/>
      <c r="Q284" s="193">
        <f t="shared" si="6"/>
        <v>0</v>
      </c>
    </row>
    <row r="285" spans="14:17" x14ac:dyDescent="0.25">
      <c r="N285" s="192" t="s">
        <v>321</v>
      </c>
      <c r="O285" s="191" t="s">
        <v>358</v>
      </c>
      <c r="P285" s="191"/>
      <c r="Q285" s="193">
        <f t="shared" si="6"/>
        <v>0</v>
      </c>
    </row>
    <row r="286" spans="14:17" x14ac:dyDescent="0.25">
      <c r="N286" s="192" t="s">
        <v>322</v>
      </c>
      <c r="O286" s="191" t="s">
        <v>358</v>
      </c>
      <c r="P286" s="191"/>
      <c r="Q286" s="193">
        <f t="shared" si="6"/>
        <v>0</v>
      </c>
    </row>
    <row r="287" spans="14:17" x14ac:dyDescent="0.25">
      <c r="N287" s="192" t="s">
        <v>323</v>
      </c>
      <c r="O287" s="191" t="s">
        <v>358</v>
      </c>
      <c r="P287" s="191"/>
      <c r="Q287" s="193">
        <f t="shared" si="6"/>
        <v>0</v>
      </c>
    </row>
    <row r="288" spans="14:17" x14ac:dyDescent="0.25">
      <c r="N288" s="192" t="s">
        <v>324</v>
      </c>
      <c r="O288" s="191" t="s">
        <v>358</v>
      </c>
      <c r="P288" s="191"/>
      <c r="Q288" s="193">
        <f t="shared" si="6"/>
        <v>0</v>
      </c>
    </row>
    <row r="289" spans="14:17" x14ac:dyDescent="0.25">
      <c r="N289" s="192" t="s">
        <v>325</v>
      </c>
      <c r="O289" s="191" t="s">
        <v>358</v>
      </c>
      <c r="P289" s="191"/>
      <c r="Q289" s="193">
        <f t="shared" si="6"/>
        <v>0</v>
      </c>
    </row>
    <row r="290" spans="14:17" x14ac:dyDescent="0.25">
      <c r="N290" s="192" t="s">
        <v>326</v>
      </c>
      <c r="O290" s="191" t="s">
        <v>358</v>
      </c>
      <c r="P290" s="191"/>
      <c r="Q290" s="193">
        <f t="shared" si="6"/>
        <v>0</v>
      </c>
    </row>
    <row r="291" spans="14:17" x14ac:dyDescent="0.25">
      <c r="N291" s="192" t="s">
        <v>327</v>
      </c>
      <c r="O291" s="191" t="s">
        <v>358</v>
      </c>
      <c r="P291" s="191"/>
      <c r="Q291" s="193">
        <f t="shared" si="6"/>
        <v>0</v>
      </c>
    </row>
    <row r="292" spans="14:17" x14ac:dyDescent="0.25">
      <c r="N292" s="192" t="s">
        <v>328</v>
      </c>
      <c r="O292" s="191" t="s">
        <v>358</v>
      </c>
      <c r="P292" s="191"/>
      <c r="Q292" s="193">
        <f t="shared" si="6"/>
        <v>0</v>
      </c>
    </row>
    <row r="293" spans="14:17" x14ac:dyDescent="0.25">
      <c r="N293" s="192" t="s">
        <v>329</v>
      </c>
      <c r="O293" s="191" t="s">
        <v>358</v>
      </c>
      <c r="P293" s="191"/>
      <c r="Q293" s="193">
        <f t="shared" si="6"/>
        <v>0</v>
      </c>
    </row>
    <row r="294" spans="14:17" x14ac:dyDescent="0.25">
      <c r="N294" s="192" t="s">
        <v>330</v>
      </c>
      <c r="O294" s="191" t="s">
        <v>358</v>
      </c>
      <c r="P294" s="191"/>
      <c r="Q294" s="193">
        <f t="shared" si="6"/>
        <v>0</v>
      </c>
    </row>
    <row r="295" spans="14:17" x14ac:dyDescent="0.25">
      <c r="N295" s="192" t="s">
        <v>331</v>
      </c>
      <c r="O295" s="191" t="s">
        <v>358</v>
      </c>
      <c r="P295" s="191"/>
      <c r="Q295" s="193">
        <f t="shared" si="6"/>
        <v>0</v>
      </c>
    </row>
    <row r="296" spans="14:17" x14ac:dyDescent="0.25">
      <c r="N296" s="192" t="s">
        <v>332</v>
      </c>
      <c r="O296" s="191" t="s">
        <v>358</v>
      </c>
      <c r="P296" s="191"/>
      <c r="Q296" s="193">
        <f t="shared" si="6"/>
        <v>0</v>
      </c>
    </row>
    <row r="297" spans="14:17" x14ac:dyDescent="0.25">
      <c r="N297" s="192" t="s">
        <v>333</v>
      </c>
      <c r="O297" s="191" t="s">
        <v>358</v>
      </c>
      <c r="P297" s="191"/>
      <c r="Q297" s="193">
        <f t="shared" si="6"/>
        <v>0</v>
      </c>
    </row>
    <row r="298" spans="14:17" x14ac:dyDescent="0.25">
      <c r="N298" s="192" t="s">
        <v>334</v>
      </c>
      <c r="O298" s="191" t="s">
        <v>358</v>
      </c>
      <c r="P298" s="191"/>
      <c r="Q298" s="193">
        <f t="shared" si="6"/>
        <v>0</v>
      </c>
    </row>
    <row r="299" spans="14:17" x14ac:dyDescent="0.25">
      <c r="N299" s="192" t="s">
        <v>335</v>
      </c>
      <c r="O299" s="191" t="s">
        <v>358</v>
      </c>
      <c r="P299" s="191"/>
      <c r="Q299" s="193">
        <f t="shared" si="6"/>
        <v>0</v>
      </c>
    </row>
    <row r="300" spans="14:17" x14ac:dyDescent="0.25">
      <c r="N300" s="192" t="s">
        <v>337</v>
      </c>
      <c r="O300" s="191" t="s">
        <v>358</v>
      </c>
      <c r="P300" s="191"/>
      <c r="Q300" s="193">
        <f t="shared" si="6"/>
        <v>0</v>
      </c>
    </row>
    <row r="301" spans="14:17" x14ac:dyDescent="0.25">
      <c r="N301" s="192" t="s">
        <v>339</v>
      </c>
      <c r="O301" s="191" t="s">
        <v>358</v>
      </c>
      <c r="P301" s="191"/>
      <c r="Q301" s="193">
        <f t="shared" si="6"/>
        <v>0</v>
      </c>
    </row>
    <row r="302" spans="14:17" x14ac:dyDescent="0.25">
      <c r="N302" s="192" t="s">
        <v>341</v>
      </c>
      <c r="O302" s="191" t="s">
        <v>358</v>
      </c>
      <c r="P302" s="191"/>
      <c r="Q302" s="193">
        <f t="shared" si="6"/>
        <v>0</v>
      </c>
    </row>
    <row r="303" spans="14:17" x14ac:dyDescent="0.25">
      <c r="N303" s="192" t="s">
        <v>343</v>
      </c>
      <c r="O303" s="191" t="s">
        <v>358</v>
      </c>
      <c r="P303" s="191"/>
      <c r="Q303" s="193">
        <f t="shared" si="6"/>
        <v>0</v>
      </c>
    </row>
    <row r="304" spans="14:17" x14ac:dyDescent="0.25">
      <c r="N304" s="192" t="s">
        <v>345</v>
      </c>
      <c r="O304" s="191" t="s">
        <v>358</v>
      </c>
      <c r="P304" s="191"/>
      <c r="Q304" s="193">
        <f t="shared" si="6"/>
        <v>0</v>
      </c>
    </row>
    <row r="305" spans="14:17" x14ac:dyDescent="0.25">
      <c r="N305" s="192" t="s">
        <v>346</v>
      </c>
      <c r="O305" s="191" t="s">
        <v>358</v>
      </c>
      <c r="P305" s="191"/>
      <c r="Q305" s="193">
        <f t="shared" si="6"/>
        <v>0</v>
      </c>
    </row>
    <row r="306" spans="14:17" x14ac:dyDescent="0.25">
      <c r="N306" s="192" t="s">
        <v>348</v>
      </c>
      <c r="O306" s="191" t="s">
        <v>358</v>
      </c>
      <c r="P306" s="191"/>
      <c r="Q306" s="193">
        <f t="shared" si="6"/>
        <v>0</v>
      </c>
    </row>
    <row r="307" spans="14:17" x14ac:dyDescent="0.25">
      <c r="N307" s="192"/>
      <c r="O307" s="191"/>
      <c r="P307" s="191"/>
      <c r="Q307" s="191"/>
    </row>
    <row r="308" spans="14:17" x14ac:dyDescent="0.25">
      <c r="N308" s="192"/>
      <c r="O308" s="191"/>
      <c r="P308" s="191"/>
      <c r="Q308" s="191"/>
    </row>
    <row r="309" spans="14:17" x14ac:dyDescent="0.25">
      <c r="N309" s="192"/>
      <c r="O309" s="191"/>
      <c r="P309" s="191"/>
      <c r="Q309" s="191"/>
    </row>
    <row r="310" spans="14:17" x14ac:dyDescent="0.25">
      <c r="N310" s="192"/>
      <c r="O310" s="191"/>
      <c r="P310" s="191"/>
      <c r="Q310" s="191"/>
    </row>
    <row r="311" spans="14:17" x14ac:dyDescent="0.25">
      <c r="N311" s="192"/>
      <c r="O311" s="191"/>
      <c r="P311" s="191"/>
      <c r="Q311" s="191"/>
    </row>
    <row r="312" spans="14:17" x14ac:dyDescent="0.25">
      <c r="N312" s="192"/>
      <c r="O312" s="191"/>
      <c r="P312" s="191"/>
      <c r="Q312" s="191"/>
    </row>
    <row r="313" spans="14:17" x14ac:dyDescent="0.25">
      <c r="N313" s="192"/>
      <c r="O313" s="191"/>
      <c r="P313" s="191"/>
      <c r="Q313" s="191"/>
    </row>
    <row r="314" spans="14:17" x14ac:dyDescent="0.25">
      <c r="N314" s="192"/>
      <c r="O314" s="191"/>
      <c r="P314" s="191"/>
      <c r="Q314" s="191"/>
    </row>
    <row r="315" spans="14:17" x14ac:dyDescent="0.25">
      <c r="N315" s="192"/>
      <c r="O315" s="191"/>
      <c r="P315" s="191"/>
      <c r="Q315" s="191"/>
    </row>
    <row r="316" spans="14:17" x14ac:dyDescent="0.25">
      <c r="N316" s="192"/>
      <c r="O316" s="191"/>
      <c r="P316" s="191"/>
      <c r="Q316" s="191"/>
    </row>
    <row r="317" spans="14:17" x14ac:dyDescent="0.25">
      <c r="N317" s="192"/>
      <c r="O317" s="191"/>
      <c r="P317" s="191"/>
      <c r="Q317" s="191"/>
    </row>
    <row r="318" spans="14:17" x14ac:dyDescent="0.25">
      <c r="N318" s="192"/>
      <c r="O318" s="191"/>
      <c r="P318" s="191"/>
      <c r="Q318" s="191"/>
    </row>
    <row r="319" spans="14:17" x14ac:dyDescent="0.25">
      <c r="N319" s="192"/>
      <c r="O319" s="191"/>
      <c r="P319" s="191"/>
      <c r="Q319" s="191"/>
    </row>
    <row r="320" spans="14:17" x14ac:dyDescent="0.25">
      <c r="N320" s="192"/>
      <c r="O320" s="191"/>
      <c r="P320" s="191"/>
      <c r="Q320" s="191"/>
    </row>
    <row r="321" spans="14:17" x14ac:dyDescent="0.25">
      <c r="N321" s="192"/>
      <c r="O321" s="191"/>
      <c r="P321" s="191"/>
      <c r="Q321" s="191"/>
    </row>
    <row r="322" spans="14:17" x14ac:dyDescent="0.25">
      <c r="N322" s="192"/>
      <c r="O322" s="191"/>
      <c r="P322" s="191"/>
      <c r="Q322" s="191"/>
    </row>
    <row r="323" spans="14:17" x14ac:dyDescent="0.25">
      <c r="N323" s="192"/>
      <c r="O323" s="191"/>
      <c r="P323" s="191"/>
      <c r="Q323" s="191"/>
    </row>
    <row r="324" spans="14:17" x14ac:dyDescent="0.25">
      <c r="N324" s="192"/>
      <c r="O324" s="191"/>
      <c r="P324" s="191"/>
      <c r="Q324" s="191"/>
    </row>
    <row r="325" spans="14:17" x14ac:dyDescent="0.25">
      <c r="N325" s="192"/>
      <c r="O325" s="191"/>
      <c r="P325" s="191"/>
      <c r="Q325" s="191"/>
    </row>
    <row r="326" spans="14:17" x14ac:dyDescent="0.25">
      <c r="N326" s="192"/>
      <c r="O326" s="191"/>
      <c r="P326" s="191"/>
      <c r="Q326" s="191"/>
    </row>
    <row r="327" spans="14:17" x14ac:dyDescent="0.25">
      <c r="N327" s="192"/>
      <c r="O327" s="191"/>
      <c r="P327" s="191"/>
      <c r="Q327" s="191"/>
    </row>
    <row r="328" spans="14:17" x14ac:dyDescent="0.25">
      <c r="N328" s="192"/>
      <c r="O328" s="191"/>
      <c r="P328" s="191"/>
      <c r="Q328" s="191"/>
    </row>
    <row r="329" spans="14:17" x14ac:dyDescent="0.25">
      <c r="N329" s="192"/>
      <c r="O329" s="191"/>
      <c r="P329" s="191"/>
      <c r="Q329" s="191"/>
    </row>
    <row r="330" spans="14:17" x14ac:dyDescent="0.25">
      <c r="N330" s="192"/>
      <c r="O330" s="191"/>
      <c r="P330" s="191"/>
      <c r="Q330" s="191"/>
    </row>
    <row r="331" spans="14:17" x14ac:dyDescent="0.25">
      <c r="N331" s="192"/>
      <c r="O331" s="191"/>
      <c r="P331" s="191"/>
      <c r="Q331" s="191"/>
    </row>
    <row r="332" spans="14:17" x14ac:dyDescent="0.25">
      <c r="N332" s="192"/>
      <c r="O332" s="191"/>
      <c r="P332" s="191"/>
      <c r="Q332" s="191"/>
    </row>
    <row r="333" spans="14:17" x14ac:dyDescent="0.25">
      <c r="N333" s="192"/>
      <c r="O333" s="191"/>
      <c r="P333" s="191"/>
      <c r="Q333" s="191"/>
    </row>
    <row r="334" spans="14:17" x14ac:dyDescent="0.25">
      <c r="N334" s="192"/>
      <c r="O334" s="191"/>
      <c r="P334" s="191"/>
      <c r="Q334" s="191"/>
    </row>
    <row r="335" spans="14:17" x14ac:dyDescent="0.25">
      <c r="N335" s="192"/>
      <c r="O335" s="191"/>
      <c r="P335" s="191"/>
      <c r="Q335" s="191"/>
    </row>
    <row r="336" spans="14:17" x14ac:dyDescent="0.25">
      <c r="N336" s="192"/>
      <c r="O336" s="191"/>
      <c r="P336" s="191"/>
      <c r="Q336" s="191"/>
    </row>
    <row r="337" spans="14:17" x14ac:dyDescent="0.25">
      <c r="N337" s="192"/>
      <c r="O337" s="191"/>
      <c r="P337" s="191"/>
      <c r="Q337" s="191"/>
    </row>
    <row r="338" spans="14:17" x14ac:dyDescent="0.25">
      <c r="N338" s="192"/>
      <c r="O338" s="191"/>
      <c r="P338" s="191"/>
      <c r="Q338" s="191"/>
    </row>
    <row r="339" spans="14:17" x14ac:dyDescent="0.25">
      <c r="N339" s="192"/>
      <c r="O339" s="191"/>
      <c r="P339" s="191"/>
      <c r="Q339" s="191"/>
    </row>
    <row r="340" spans="14:17" x14ac:dyDescent="0.25">
      <c r="N340" s="192"/>
      <c r="O340" s="191"/>
      <c r="P340" s="191"/>
      <c r="Q340" s="191"/>
    </row>
    <row r="341" spans="14:17" x14ac:dyDescent="0.25">
      <c r="N341" s="192"/>
      <c r="O341" s="191"/>
      <c r="P341" s="191"/>
      <c r="Q341" s="191"/>
    </row>
    <row r="342" spans="14:17" x14ac:dyDescent="0.25">
      <c r="N342" s="192"/>
      <c r="O342" s="191"/>
      <c r="P342" s="191"/>
      <c r="Q342" s="191"/>
    </row>
    <row r="343" spans="14:17" x14ac:dyDescent="0.25">
      <c r="N343" s="192"/>
      <c r="O343" s="191"/>
      <c r="P343" s="191"/>
      <c r="Q343" s="191"/>
    </row>
    <row r="344" spans="14:17" x14ac:dyDescent="0.25">
      <c r="N344" s="192"/>
      <c r="O344" s="191"/>
      <c r="P344" s="191"/>
      <c r="Q344" s="191"/>
    </row>
    <row r="345" spans="14:17" x14ac:dyDescent="0.25">
      <c r="N345" s="192"/>
      <c r="O345" s="191"/>
      <c r="P345" s="191"/>
      <c r="Q345" s="191"/>
    </row>
    <row r="346" spans="14:17" x14ac:dyDescent="0.25">
      <c r="N346" s="192"/>
      <c r="O346" s="191"/>
      <c r="P346" s="191"/>
      <c r="Q346" s="191"/>
    </row>
    <row r="347" spans="14:17" x14ac:dyDescent="0.25">
      <c r="N347" s="192"/>
      <c r="O347" s="191"/>
      <c r="P347" s="191"/>
      <c r="Q347" s="191"/>
    </row>
    <row r="348" spans="14:17" x14ac:dyDescent="0.25">
      <c r="N348" s="192"/>
      <c r="O348" s="191"/>
      <c r="P348" s="191"/>
      <c r="Q348" s="191"/>
    </row>
    <row r="349" spans="14:17" x14ac:dyDescent="0.25">
      <c r="N349" s="192"/>
      <c r="O349" s="191"/>
      <c r="P349" s="191"/>
      <c r="Q349" s="191"/>
    </row>
    <row r="350" spans="14:17" x14ac:dyDescent="0.25">
      <c r="N350" s="192"/>
      <c r="O350" s="191"/>
      <c r="P350" s="191"/>
      <c r="Q350" s="191"/>
    </row>
    <row r="351" spans="14:17" x14ac:dyDescent="0.25">
      <c r="N351" s="192"/>
      <c r="O351" s="191"/>
      <c r="P351" s="191"/>
      <c r="Q351" s="191"/>
    </row>
    <row r="352" spans="14:17" x14ac:dyDescent="0.25">
      <c r="N352" s="192"/>
      <c r="O352" s="191"/>
      <c r="P352" s="191"/>
      <c r="Q352" s="191"/>
    </row>
    <row r="353" spans="14:17" x14ac:dyDescent="0.25">
      <c r="N353" s="192"/>
      <c r="O353" s="191"/>
      <c r="P353" s="191"/>
      <c r="Q353" s="191"/>
    </row>
    <row r="354" spans="14:17" x14ac:dyDescent="0.25">
      <c r="N354" s="192"/>
      <c r="O354" s="191"/>
      <c r="P354" s="191"/>
      <c r="Q354" s="191"/>
    </row>
    <row r="355" spans="14:17" x14ac:dyDescent="0.25">
      <c r="N355" s="192"/>
      <c r="O355" s="191"/>
      <c r="P355" s="191"/>
      <c r="Q355" s="191"/>
    </row>
    <row r="356" spans="14:17" x14ac:dyDescent="0.25">
      <c r="N356" s="192"/>
      <c r="O356" s="191"/>
      <c r="P356" s="191"/>
      <c r="Q356" s="191"/>
    </row>
    <row r="357" spans="14:17" x14ac:dyDescent="0.25">
      <c r="N357" s="192"/>
      <c r="O357" s="191"/>
      <c r="P357" s="191"/>
      <c r="Q357" s="191"/>
    </row>
    <row r="358" spans="14:17" x14ac:dyDescent="0.25">
      <c r="N358" s="192"/>
      <c r="O358" s="191"/>
      <c r="P358" s="191"/>
      <c r="Q358" s="191"/>
    </row>
    <row r="359" spans="14:17" x14ac:dyDescent="0.25">
      <c r="N359" s="192"/>
      <c r="O359" s="191"/>
      <c r="P359" s="191"/>
      <c r="Q359" s="191"/>
    </row>
    <row r="360" spans="14:17" x14ac:dyDescent="0.25">
      <c r="N360" s="192"/>
      <c r="O360" s="191"/>
      <c r="P360" s="191"/>
      <c r="Q360" s="191"/>
    </row>
    <row r="361" spans="14:17" x14ac:dyDescent="0.25">
      <c r="N361" s="192"/>
      <c r="O361" s="191"/>
      <c r="P361" s="191"/>
      <c r="Q361" s="191"/>
    </row>
    <row r="362" spans="14:17" x14ac:dyDescent="0.25">
      <c r="N362" s="192"/>
      <c r="O362" s="191"/>
      <c r="P362" s="191"/>
      <c r="Q362" s="191"/>
    </row>
    <row r="363" spans="14:17" x14ac:dyDescent="0.25">
      <c r="N363" s="192"/>
      <c r="O363" s="191"/>
      <c r="P363" s="191"/>
      <c r="Q363" s="191"/>
    </row>
    <row r="364" spans="14:17" x14ac:dyDescent="0.25">
      <c r="N364" s="192"/>
      <c r="O364" s="191"/>
      <c r="P364" s="191"/>
      <c r="Q364" s="191"/>
    </row>
    <row r="365" spans="14:17" x14ac:dyDescent="0.25">
      <c r="N365" s="192"/>
      <c r="O365" s="191"/>
      <c r="P365" s="191"/>
      <c r="Q365" s="191"/>
    </row>
    <row r="366" spans="14:17" x14ac:dyDescent="0.25">
      <c r="N366" s="192"/>
      <c r="O366" s="191"/>
      <c r="P366" s="191"/>
      <c r="Q366" s="191"/>
    </row>
    <row r="367" spans="14:17" x14ac:dyDescent="0.25">
      <c r="N367" s="192"/>
      <c r="O367" s="191"/>
      <c r="P367" s="191"/>
      <c r="Q367" s="191"/>
    </row>
    <row r="368" spans="14:17" x14ac:dyDescent="0.25">
      <c r="N368" s="192"/>
      <c r="O368" s="191"/>
      <c r="P368" s="191"/>
      <c r="Q368" s="191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B24" zoomScale="115" zoomScaleNormal="115" workbookViewId="0">
      <selection activeCell="BE45" sqref="BE45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8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2" customWidth="1"/>
    <col min="56" max="58" width="10.7109375" style="52" customWidth="1"/>
    <col min="59" max="59" width="9.140625" style="52"/>
    <col min="60" max="60" width="1.7109375" customWidth="1"/>
    <col min="62" max="62" width="11.85546875" customWidth="1"/>
    <col min="63" max="64" width="10.7109375" customWidth="1"/>
    <col min="65" max="65" width="10.7109375" style="53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3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3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3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3" customWidth="1"/>
    <col min="102" max="105" width="8.7109375" customWidth="1"/>
    <col min="106" max="106" width="8.7109375" style="54" customWidth="1"/>
    <col min="107" max="107" width="11.7109375" customWidth="1"/>
    <col min="108" max="108" width="12.7109375" customWidth="1"/>
    <col min="109" max="109" width="10.7109375" customWidth="1"/>
    <col min="110" max="110" width="11.7109375" style="53" customWidth="1"/>
    <col min="111" max="114" width="8.7109375" customWidth="1"/>
    <col min="115" max="115" width="8.7109375" style="54" customWidth="1"/>
    <col min="116" max="116" width="10.7109375" customWidth="1"/>
    <col min="117" max="117" width="12.7109375" customWidth="1"/>
    <col min="118" max="118" width="10.7109375" customWidth="1"/>
    <col min="119" max="119" width="10.7109375" style="53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3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3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3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3" customWidth="1"/>
    <col min="156" max="156" width="10.7109375" style="55" customWidth="1"/>
    <col min="157" max="158" width="10.7109375" style="56" customWidth="1"/>
    <col min="159" max="159" width="11.7109375" style="55" customWidth="1"/>
    <col min="160" max="160" width="10.7109375" style="55" customWidth="1"/>
    <col min="161" max="161" width="13.140625" style="55" customWidth="1"/>
    <col min="162" max="162" width="12.7109375" customWidth="1"/>
    <col min="163" max="163" width="10.7109375" style="55" customWidth="1"/>
    <col min="164" max="164" width="12.28515625" style="55" customWidth="1"/>
    <col min="165" max="165" width="2.7109375" style="55" customWidth="1"/>
    <col min="166" max="166" width="12.7109375" style="57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3" customWidth="1"/>
    <col min="181" max="185" width="8.7109375" customWidth="1"/>
    <col min="186" max="188" width="10.7109375" customWidth="1"/>
    <col min="189" max="189" width="10.7109375" style="53" customWidth="1"/>
    <col min="190" max="192" width="8.7109375" customWidth="1"/>
    <col min="193" max="194" width="10.7109375" customWidth="1"/>
    <col min="195" max="195" width="10.7109375" style="53" customWidth="1"/>
    <col min="196" max="200" width="8.7109375" customWidth="1"/>
    <col min="201" max="203" width="10.7109375" customWidth="1"/>
    <col min="204" max="204" width="10.7109375" style="53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0" customFormat="1" ht="26.25" x14ac:dyDescent="0.4">
      <c r="B1" s="81">
        <v>2021</v>
      </c>
      <c r="C1" s="203"/>
      <c r="D1" s="325" t="s">
        <v>72</v>
      </c>
      <c r="E1" s="326"/>
      <c r="F1" s="326"/>
      <c r="G1" s="325" t="s">
        <v>76</v>
      </c>
      <c r="H1" s="326"/>
      <c r="I1" s="326"/>
      <c r="J1" s="325" t="s">
        <v>80</v>
      </c>
      <c r="K1" s="326"/>
      <c r="L1" s="326"/>
      <c r="M1" s="325" t="s">
        <v>84</v>
      </c>
      <c r="N1" s="326"/>
      <c r="O1" s="326"/>
      <c r="P1" s="325" t="s">
        <v>88</v>
      </c>
      <c r="Q1" s="326"/>
      <c r="R1" s="326"/>
      <c r="S1" s="325" t="s">
        <v>93</v>
      </c>
      <c r="T1" s="326"/>
      <c r="U1" s="326"/>
      <c r="V1" s="325" t="s">
        <v>97</v>
      </c>
      <c r="W1" s="326"/>
      <c r="X1" s="326"/>
      <c r="Y1" s="325" t="s">
        <v>100</v>
      </c>
      <c r="Z1" s="326"/>
      <c r="AA1" s="326"/>
      <c r="AB1" s="325" t="s">
        <v>104</v>
      </c>
      <c r="AC1" s="326"/>
      <c r="AD1" s="326"/>
      <c r="AE1" s="325" t="s">
        <v>108</v>
      </c>
      <c r="AF1" s="326"/>
      <c r="AG1" s="326"/>
      <c r="AH1" s="325" t="s">
        <v>112</v>
      </c>
      <c r="AI1" s="326"/>
      <c r="AJ1" s="326"/>
      <c r="AK1" s="325" t="s">
        <v>117</v>
      </c>
      <c r="AL1" s="326"/>
      <c r="AM1" s="326"/>
      <c r="AN1" s="82"/>
      <c r="AO1" s="82"/>
      <c r="AP1" s="83" t="s">
        <v>359</v>
      </c>
      <c r="AQ1" s="83" t="s">
        <v>360</v>
      </c>
      <c r="AR1" s="83"/>
      <c r="AS1" s="82"/>
      <c r="AT1" s="82"/>
      <c r="AU1" s="325" t="s">
        <v>123</v>
      </c>
      <c r="AV1" s="326"/>
      <c r="AW1" s="325" t="s">
        <v>120</v>
      </c>
      <c r="AX1" s="326"/>
      <c r="AY1" s="325" t="s">
        <v>125</v>
      </c>
      <c r="AZ1" s="326"/>
      <c r="BA1" s="325" t="s">
        <v>361</v>
      </c>
      <c r="BB1" s="326"/>
      <c r="BC1" s="78"/>
      <c r="BD1" s="78"/>
      <c r="BE1" s="78"/>
      <c r="BF1" s="15" t="s">
        <v>196</v>
      </c>
      <c r="BG1" s="78"/>
      <c r="BJ1" s="327" t="s">
        <v>362</v>
      </c>
      <c r="BK1" s="328"/>
      <c r="BL1" s="328"/>
      <c r="BM1" s="329"/>
      <c r="BN1" s="327" t="s">
        <v>363</v>
      </c>
      <c r="BO1" s="328"/>
      <c r="BP1" s="328"/>
      <c r="BQ1" s="328"/>
      <c r="BR1" s="328"/>
      <c r="BS1" s="328"/>
      <c r="BT1" s="328"/>
      <c r="BU1" s="328"/>
      <c r="BV1" s="329"/>
      <c r="BW1" s="327" t="s">
        <v>364</v>
      </c>
      <c r="BX1" s="328"/>
      <c r="BY1" s="328"/>
      <c r="BZ1" s="328"/>
      <c r="CA1" s="328"/>
      <c r="CB1" s="328"/>
      <c r="CC1" s="328"/>
      <c r="CD1" s="328"/>
      <c r="CE1" s="329"/>
      <c r="CF1" s="327" t="s">
        <v>365</v>
      </c>
      <c r="CG1" s="328"/>
      <c r="CH1" s="328"/>
      <c r="CI1" s="328"/>
      <c r="CJ1" s="328"/>
      <c r="CK1" s="328"/>
      <c r="CL1" s="328"/>
      <c r="CM1" s="328"/>
      <c r="CN1" s="329"/>
      <c r="CO1" s="327" t="s">
        <v>366</v>
      </c>
      <c r="CP1" s="328"/>
      <c r="CQ1" s="328"/>
      <c r="CR1" s="328"/>
      <c r="CS1" s="328"/>
      <c r="CT1" s="328"/>
      <c r="CU1" s="328"/>
      <c r="CV1" s="328"/>
      <c r="CW1" s="329"/>
      <c r="CX1" s="327" t="s">
        <v>367</v>
      </c>
      <c r="CY1" s="328"/>
      <c r="CZ1" s="328"/>
      <c r="DA1" s="328"/>
      <c r="DB1" s="328"/>
      <c r="DC1" s="328"/>
      <c r="DD1" s="328"/>
      <c r="DE1" s="328"/>
      <c r="DF1" s="329"/>
      <c r="DG1" s="327" t="s">
        <v>368</v>
      </c>
      <c r="DH1" s="328"/>
      <c r="DI1" s="328"/>
      <c r="DJ1" s="328"/>
      <c r="DK1" s="328"/>
      <c r="DL1" s="328"/>
      <c r="DM1" s="328"/>
      <c r="DN1" s="328"/>
      <c r="DO1" s="329"/>
      <c r="DP1" s="327" t="s">
        <v>369</v>
      </c>
      <c r="DQ1" s="328"/>
      <c r="DR1" s="328"/>
      <c r="DS1" s="328"/>
      <c r="DT1" s="328"/>
      <c r="DU1" s="328"/>
      <c r="DV1" s="328"/>
      <c r="DW1" s="328"/>
      <c r="DX1" s="329"/>
      <c r="DY1" s="327" t="s">
        <v>370</v>
      </c>
      <c r="DZ1" s="328"/>
      <c r="EA1" s="328"/>
      <c r="EB1" s="328"/>
      <c r="EC1" s="328"/>
      <c r="ED1" s="328"/>
      <c r="EE1" s="328"/>
      <c r="EF1" s="328"/>
      <c r="EG1" s="329"/>
      <c r="EH1" s="327" t="s">
        <v>371</v>
      </c>
      <c r="EI1" s="328"/>
      <c r="EJ1" s="328"/>
      <c r="EK1" s="328"/>
      <c r="EL1" s="328"/>
      <c r="EM1" s="328"/>
      <c r="EN1" s="328"/>
      <c r="EO1" s="328"/>
      <c r="EP1" s="329"/>
      <c r="EQ1" s="327" t="s">
        <v>372</v>
      </c>
      <c r="ER1" s="328"/>
      <c r="ES1" s="328"/>
      <c r="ET1" s="328"/>
      <c r="EU1" s="328"/>
      <c r="EV1" s="328"/>
      <c r="EW1" s="328"/>
      <c r="EX1" s="328"/>
      <c r="EY1" s="329"/>
      <c r="EZ1" s="327" t="s">
        <v>373</v>
      </c>
      <c r="FA1" s="328"/>
      <c r="FB1" s="328"/>
      <c r="FC1" s="328"/>
      <c r="FD1" s="328"/>
      <c r="FE1" s="328"/>
      <c r="FF1" s="328"/>
      <c r="FG1" s="328"/>
      <c r="FH1" s="329"/>
      <c r="FI1" s="58"/>
      <c r="FJ1" s="84"/>
      <c r="FK1" s="85" t="s">
        <v>374</v>
      </c>
      <c r="FL1" s="85" t="s">
        <v>113</v>
      </c>
      <c r="FM1" s="85"/>
      <c r="FN1" s="14"/>
      <c r="FO1" s="85"/>
      <c r="FP1" s="327" t="s">
        <v>375</v>
      </c>
      <c r="FQ1" s="328"/>
      <c r="FR1" s="328"/>
      <c r="FS1" s="328"/>
      <c r="FT1" s="328"/>
      <c r="FU1" s="328"/>
      <c r="FV1" s="328"/>
      <c r="FW1" s="328"/>
      <c r="FX1" s="329"/>
      <c r="FY1" s="327" t="s">
        <v>376</v>
      </c>
      <c r="FZ1" s="328"/>
      <c r="GA1" s="328"/>
      <c r="GB1" s="328"/>
      <c r="GC1" s="328"/>
      <c r="GD1" s="328"/>
      <c r="GE1" s="328"/>
      <c r="GF1" s="328"/>
      <c r="GG1" s="329"/>
      <c r="GH1" s="327" t="s">
        <v>377</v>
      </c>
      <c r="GI1" s="328"/>
      <c r="GJ1" s="328"/>
      <c r="GK1" s="328"/>
      <c r="GL1" s="328"/>
      <c r="GM1" s="329"/>
      <c r="GN1" s="327" t="s">
        <v>378</v>
      </c>
      <c r="GO1" s="328"/>
      <c r="GP1" s="328"/>
      <c r="GQ1" s="328"/>
      <c r="GR1" s="328"/>
      <c r="GS1" s="328"/>
      <c r="GT1" s="328"/>
      <c r="GU1" s="328"/>
      <c r="GV1" s="329"/>
      <c r="GW1" s="86"/>
      <c r="GX1" s="85" t="s">
        <v>113</v>
      </c>
      <c r="HA1" s="52"/>
    </row>
    <row r="2" spans="2:213" ht="18.75" x14ac:dyDescent="0.3">
      <c r="B2" s="32" t="s">
        <v>379</v>
      </c>
      <c r="C2" s="204" t="s">
        <v>380</v>
      </c>
      <c r="D2" s="22" t="s">
        <v>71</v>
      </c>
      <c r="E2" s="265" t="s">
        <v>70</v>
      </c>
      <c r="F2" s="61" t="s">
        <v>381</v>
      </c>
      <c r="G2" s="268" t="s">
        <v>75</v>
      </c>
      <c r="H2" s="265" t="s">
        <v>74</v>
      </c>
      <c r="I2" s="61" t="s">
        <v>381</v>
      </c>
      <c r="J2" s="265" t="s">
        <v>79</v>
      </c>
      <c r="K2" s="265" t="s">
        <v>78</v>
      </c>
      <c r="L2" s="61" t="s">
        <v>381</v>
      </c>
      <c r="M2" s="265" t="s">
        <v>83</v>
      </c>
      <c r="N2" s="265" t="s">
        <v>82</v>
      </c>
      <c r="O2" s="61" t="s">
        <v>381</v>
      </c>
      <c r="P2" s="265" t="s">
        <v>87</v>
      </c>
      <c r="Q2" s="265" t="s">
        <v>86</v>
      </c>
      <c r="R2" s="61" t="s">
        <v>381</v>
      </c>
      <c r="S2" s="265" t="s">
        <v>92</v>
      </c>
      <c r="T2" s="265" t="s">
        <v>91</v>
      </c>
      <c r="U2" s="61" t="s">
        <v>381</v>
      </c>
      <c r="V2" s="265" t="s">
        <v>96</v>
      </c>
      <c r="W2" s="265" t="s">
        <v>95</v>
      </c>
      <c r="X2" s="61" t="s">
        <v>381</v>
      </c>
      <c r="Y2" s="265" t="s">
        <v>99</v>
      </c>
      <c r="Z2" s="265" t="s">
        <v>98</v>
      </c>
      <c r="AA2" s="61" t="s">
        <v>381</v>
      </c>
      <c r="AB2" s="265" t="s">
        <v>103</v>
      </c>
      <c r="AC2" s="265" t="s">
        <v>102</v>
      </c>
      <c r="AD2" s="61" t="s">
        <v>381</v>
      </c>
      <c r="AE2" s="265" t="s">
        <v>107</v>
      </c>
      <c r="AF2" s="265" t="s">
        <v>106</v>
      </c>
      <c r="AG2" s="61" t="s">
        <v>381</v>
      </c>
      <c r="AH2" s="265" t="s">
        <v>111</v>
      </c>
      <c r="AI2" s="265" t="s">
        <v>110</v>
      </c>
      <c r="AJ2" s="61" t="s">
        <v>381</v>
      </c>
      <c r="AK2" s="309" t="s">
        <v>116</v>
      </c>
      <c r="AL2" s="310"/>
      <c r="AM2" s="61" t="s">
        <v>381</v>
      </c>
      <c r="AO2" s="62" t="s">
        <v>382</v>
      </c>
      <c r="AP2" s="62" t="s">
        <v>196</v>
      </c>
      <c r="AQ2" s="59"/>
      <c r="AR2" t="s">
        <v>383</v>
      </c>
      <c r="AS2" s="17"/>
      <c r="AT2" s="59"/>
      <c r="AU2" s="267" t="s">
        <v>213</v>
      </c>
      <c r="AV2" s="61" t="s">
        <v>381</v>
      </c>
      <c r="AW2" s="267" t="s">
        <v>214</v>
      </c>
      <c r="AX2" s="61" t="s">
        <v>381</v>
      </c>
      <c r="AY2" s="267" t="s">
        <v>215</v>
      </c>
      <c r="AZ2" s="61" t="s">
        <v>381</v>
      </c>
      <c r="BA2" s="267" t="s">
        <v>216</v>
      </c>
      <c r="BB2" s="61" t="s">
        <v>381</v>
      </c>
      <c r="BC2" s="17"/>
      <c r="BD2" s="15" t="s">
        <v>382</v>
      </c>
      <c r="BE2" s="15" t="s">
        <v>383</v>
      </c>
      <c r="BF2" s="63" t="s">
        <v>384</v>
      </c>
      <c r="BG2" s="59"/>
      <c r="BH2" s="17"/>
      <c r="BJ2" s="330" t="s">
        <v>385</v>
      </c>
      <c r="BK2" s="331"/>
      <c r="BL2" s="331"/>
      <c r="BM2" s="331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4" t="s">
        <v>386</v>
      </c>
      <c r="FB2" s="64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7" t="s">
        <v>384</v>
      </c>
      <c r="FK2" s="59" t="s">
        <v>384</v>
      </c>
      <c r="FL2" s="65" t="s">
        <v>197</v>
      </c>
      <c r="FM2" s="65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9" t="s">
        <v>384</v>
      </c>
      <c r="GX2" s="60" t="s">
        <v>384</v>
      </c>
      <c r="GY2" s="60" t="s">
        <v>384</v>
      </c>
      <c r="GZ2" s="60" t="s">
        <v>384</v>
      </c>
      <c r="HA2" s="18"/>
      <c r="HB2" s="61" t="s">
        <v>388</v>
      </c>
      <c r="HC2" s="61" t="s">
        <v>388</v>
      </c>
      <c r="HD2" s="61" t="s">
        <v>388</v>
      </c>
      <c r="HE2" s="61" t="s">
        <v>388</v>
      </c>
    </row>
    <row r="3" spans="2:213" x14ac:dyDescent="0.25">
      <c r="B3" s="66"/>
      <c r="C3" s="205" t="s">
        <v>10</v>
      </c>
      <c r="D3" s="265" t="s">
        <v>196</v>
      </c>
      <c r="E3" s="267" t="s">
        <v>197</v>
      </c>
      <c r="F3" s="22" t="s">
        <v>389</v>
      </c>
      <c r="G3" s="268" t="s">
        <v>196</v>
      </c>
      <c r="H3" s="265" t="s">
        <v>197</v>
      </c>
      <c r="I3" s="22" t="s">
        <v>389</v>
      </c>
      <c r="J3" s="265" t="s">
        <v>196</v>
      </c>
      <c r="K3" s="265" t="s">
        <v>197</v>
      </c>
      <c r="L3" s="22" t="s">
        <v>390</v>
      </c>
      <c r="M3" s="265" t="s">
        <v>196</v>
      </c>
      <c r="N3" s="265" t="s">
        <v>197</v>
      </c>
      <c r="O3" s="22" t="s">
        <v>390</v>
      </c>
      <c r="P3" s="265" t="s">
        <v>196</v>
      </c>
      <c r="Q3" s="265" t="s">
        <v>197</v>
      </c>
      <c r="R3" s="22" t="s">
        <v>390</v>
      </c>
      <c r="S3" s="265" t="s">
        <v>196</v>
      </c>
      <c r="T3" s="265" t="s">
        <v>197</v>
      </c>
      <c r="U3" s="22" t="s">
        <v>391</v>
      </c>
      <c r="V3" s="265" t="s">
        <v>196</v>
      </c>
      <c r="W3" s="265" t="s">
        <v>197</v>
      </c>
      <c r="X3" s="22" t="s">
        <v>391</v>
      </c>
      <c r="Y3" s="265" t="s">
        <v>196</v>
      </c>
      <c r="Z3" s="265" t="s">
        <v>197</v>
      </c>
      <c r="AA3" s="22" t="s">
        <v>389</v>
      </c>
      <c r="AB3" s="265" t="s">
        <v>196</v>
      </c>
      <c r="AC3" s="265" t="s">
        <v>197</v>
      </c>
      <c r="AD3" s="22" t="s">
        <v>389</v>
      </c>
      <c r="AE3" s="265" t="s">
        <v>196</v>
      </c>
      <c r="AF3" s="265" t="s">
        <v>197</v>
      </c>
      <c r="AG3" s="22" t="s">
        <v>392</v>
      </c>
      <c r="AH3" s="265" t="s">
        <v>196</v>
      </c>
      <c r="AI3" s="265" t="s">
        <v>197</v>
      </c>
      <c r="AJ3" s="22" t="s">
        <v>393</v>
      </c>
      <c r="AK3" s="309" t="s">
        <v>196</v>
      </c>
      <c r="AL3" s="310"/>
      <c r="AM3" s="22" t="s">
        <v>394</v>
      </c>
      <c r="AR3" s="59" t="s">
        <v>196</v>
      </c>
      <c r="AS3" s="14"/>
      <c r="AU3" s="267" t="s">
        <v>196</v>
      </c>
      <c r="AV3" s="22" t="s">
        <v>395</v>
      </c>
      <c r="AW3" s="267" t="s">
        <v>196</v>
      </c>
      <c r="AX3" s="22" t="s">
        <v>395</v>
      </c>
      <c r="AY3" s="267" t="s">
        <v>196</v>
      </c>
      <c r="AZ3" s="22" t="s">
        <v>394</v>
      </c>
      <c r="BA3" s="267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9"/>
      <c r="BH3" s="14"/>
      <c r="BJ3" s="19" t="s">
        <v>398</v>
      </c>
      <c r="BK3" s="20" t="s">
        <v>399</v>
      </c>
      <c r="BL3" s="19" t="s">
        <v>374</v>
      </c>
      <c r="BM3" s="67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8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8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8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8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9" t="s">
        <v>374</v>
      </c>
      <c r="DC3" s="21" t="s">
        <v>384</v>
      </c>
      <c r="DD3" s="21" t="s">
        <v>384</v>
      </c>
      <c r="DE3" s="21" t="s">
        <v>384</v>
      </c>
      <c r="DF3" s="68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9" t="s">
        <v>374</v>
      </c>
      <c r="DL3" s="21" t="s">
        <v>384</v>
      </c>
      <c r="DM3" s="21" t="s">
        <v>384</v>
      </c>
      <c r="DN3" s="21" t="s">
        <v>384</v>
      </c>
      <c r="DO3" s="68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8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8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8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8" t="s">
        <v>374</v>
      </c>
      <c r="EZ3" s="21" t="s">
        <v>400</v>
      </c>
      <c r="FA3" s="70" t="s">
        <v>400</v>
      </c>
      <c r="FB3" s="70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8" t="s">
        <v>374</v>
      </c>
      <c r="FI3" s="71"/>
      <c r="FJ3" s="57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8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8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8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8" t="s">
        <v>374</v>
      </c>
      <c r="GW3" s="90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2">
        <v>44197</v>
      </c>
      <c r="C4" s="206">
        <v>0</v>
      </c>
      <c r="D4" s="188">
        <v>98168</v>
      </c>
      <c r="E4" s="188">
        <v>1.99</v>
      </c>
      <c r="F4" s="195" t="s">
        <v>113</v>
      </c>
      <c r="G4" s="188">
        <v>94723</v>
      </c>
      <c r="H4" s="188">
        <v>2.2989999999999999</v>
      </c>
      <c r="I4" s="195" t="s">
        <v>113</v>
      </c>
      <c r="J4" s="188">
        <v>10869</v>
      </c>
      <c r="K4" s="188">
        <v>3.07</v>
      </c>
      <c r="L4" s="195" t="s">
        <v>113</v>
      </c>
      <c r="M4" s="188">
        <v>10784</v>
      </c>
      <c r="N4" s="188">
        <v>2.48</v>
      </c>
      <c r="O4" s="195" t="s">
        <v>113</v>
      </c>
      <c r="P4" s="188">
        <v>11418</v>
      </c>
      <c r="Q4" s="188">
        <v>2.77</v>
      </c>
      <c r="R4" s="195" t="s">
        <v>113</v>
      </c>
      <c r="S4" s="188">
        <v>76986</v>
      </c>
      <c r="T4" s="188">
        <v>1.964</v>
      </c>
      <c r="U4" s="195" t="s">
        <v>113</v>
      </c>
      <c r="V4" s="188">
        <v>73548</v>
      </c>
      <c r="W4" s="188">
        <v>1.3759999999999999</v>
      </c>
      <c r="X4" s="195" t="s">
        <v>113</v>
      </c>
      <c r="Y4" s="188">
        <v>17824</v>
      </c>
      <c r="Z4" s="188">
        <v>2.56</v>
      </c>
      <c r="AA4" s="195" t="s">
        <v>113</v>
      </c>
      <c r="AB4" s="188">
        <v>11813</v>
      </c>
      <c r="AC4" s="188">
        <v>1.73</v>
      </c>
      <c r="AD4" s="195" t="s">
        <v>113</v>
      </c>
      <c r="AE4" s="188">
        <v>93249</v>
      </c>
      <c r="AF4" s="188">
        <v>2.1619999999999999</v>
      </c>
      <c r="AG4" s="195" t="s">
        <v>113</v>
      </c>
      <c r="AH4" s="229">
        <v>17476</v>
      </c>
      <c r="AI4" s="188">
        <v>0.33100000000000002</v>
      </c>
      <c r="AJ4" s="195" t="s">
        <v>113</v>
      </c>
      <c r="AK4" s="199">
        <v>70340</v>
      </c>
      <c r="AL4" s="195" t="s">
        <v>113</v>
      </c>
      <c r="AM4" s="42">
        <v>0</v>
      </c>
      <c r="AO4" s="42">
        <v>0</v>
      </c>
      <c r="AP4" s="20">
        <v>0</v>
      </c>
      <c r="AQ4" s="20">
        <v>0</v>
      </c>
      <c r="AR4" s="20"/>
      <c r="AS4" s="14"/>
      <c r="AT4" s="79">
        <f t="shared" ref="AT4:AT44" si="0">B4</f>
        <v>44197</v>
      </c>
      <c r="AU4" s="188">
        <v>63102</v>
      </c>
      <c r="AV4" s="188" t="s">
        <v>113</v>
      </c>
      <c r="AW4" s="189">
        <v>8065</v>
      </c>
      <c r="AX4" s="188" t="s">
        <v>113</v>
      </c>
      <c r="AY4" s="189">
        <v>28157</v>
      </c>
      <c r="AZ4" s="198" t="s">
        <v>113</v>
      </c>
      <c r="BA4" s="188">
        <v>50430</v>
      </c>
      <c r="BB4" s="195" t="s">
        <v>113</v>
      </c>
      <c r="BC4" s="73"/>
      <c r="BD4" s="42">
        <v>0</v>
      </c>
      <c r="BE4" s="20"/>
      <c r="BF4" s="20"/>
      <c r="BH4" s="14"/>
      <c r="BJ4" s="19">
        <f t="shared" ref="BJ4:BJ44" si="1">SUM(AK4)</f>
        <v>70340</v>
      </c>
      <c r="BK4" s="20"/>
      <c r="BN4" s="75">
        <f t="shared" ref="BN4:BN44" si="2">SUM(G4)</f>
        <v>94723</v>
      </c>
      <c r="BO4" s="20"/>
      <c r="BP4" s="20"/>
      <c r="BW4" s="75">
        <f t="shared" ref="BW4:BW45" si="3">SUM(D4)</f>
        <v>98168</v>
      </c>
      <c r="BX4" s="20"/>
      <c r="BY4" s="20"/>
      <c r="CF4" s="75">
        <f t="shared" ref="CF4:CF44" si="4">SUM(S4)</f>
        <v>76986</v>
      </c>
      <c r="CG4" s="20"/>
      <c r="CH4" s="20"/>
      <c r="CO4" s="75">
        <f t="shared" ref="CO4:CO44" si="5">SUM(AH4)</f>
        <v>17476</v>
      </c>
      <c r="CP4" s="20"/>
      <c r="CQ4" s="20"/>
      <c r="CX4" s="75">
        <f t="shared" ref="CX4:CX44" si="6">SUM(V4)</f>
        <v>73548</v>
      </c>
      <c r="CY4" s="20"/>
      <c r="CZ4" s="20"/>
      <c r="DG4" s="75">
        <f t="shared" ref="DG4:DG44" si="7">SUM(M4)</f>
        <v>10784</v>
      </c>
      <c r="DH4" s="20"/>
      <c r="DI4" s="20"/>
      <c r="DP4" s="75">
        <f t="shared" ref="DP4:DP44" si="8">SUM(S4)</f>
        <v>76986</v>
      </c>
      <c r="DQ4" s="20"/>
      <c r="DR4" s="20"/>
      <c r="DY4" s="75">
        <f t="shared" ref="DY4:DY44" si="9">SUM(P4)</f>
        <v>11418</v>
      </c>
      <c r="DZ4" s="20"/>
      <c r="EA4" s="20"/>
      <c r="EH4" s="75">
        <f t="shared" ref="EH4:EH44" si="10">SUM(Y4)</f>
        <v>17824</v>
      </c>
      <c r="EI4" s="20"/>
      <c r="EJ4" s="20"/>
      <c r="EQ4" s="75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7"/>
      <c r="FB4" s="87"/>
      <c r="FI4" s="58"/>
      <c r="FN4" s="14"/>
      <c r="FP4" s="75">
        <f t="shared" ref="FP4:FP38" si="13">SUM(AW4)</f>
        <v>8065</v>
      </c>
      <c r="FQ4" s="20"/>
      <c r="FR4" s="20"/>
      <c r="FY4" s="75">
        <f t="shared" ref="FY4:FY44" si="14">SUM(AU4)</f>
        <v>63102</v>
      </c>
      <c r="FZ4" s="20"/>
      <c r="GA4" s="20"/>
      <c r="GH4" s="75">
        <f t="shared" ref="GH4:GH44" si="15">SUM(AY4)</f>
        <v>28157</v>
      </c>
      <c r="GI4" s="20"/>
      <c r="GN4" s="75">
        <f t="shared" ref="GN4:GN44" si="16">SUM(BA4)</f>
        <v>50430</v>
      </c>
      <c r="GO4" s="20"/>
      <c r="GP4" s="20"/>
      <c r="HA4" s="18"/>
    </row>
    <row r="5" spans="2:213" x14ac:dyDescent="0.25">
      <c r="B5" s="72">
        <v>44200</v>
      </c>
      <c r="C5" s="206">
        <f>SUM(Essbase!J8,Essbase!J9,Essbase!J10,Essbase!J11,Essbase!J12)</f>
        <v>756</v>
      </c>
      <c r="D5" s="188">
        <v>98288</v>
      </c>
      <c r="E5" s="188">
        <v>1.99</v>
      </c>
      <c r="F5" s="195">
        <v>19200</v>
      </c>
      <c r="G5" s="188">
        <v>94857</v>
      </c>
      <c r="H5" s="188">
        <v>2.2989999999999999</v>
      </c>
      <c r="I5" s="195">
        <v>21440</v>
      </c>
      <c r="J5" s="188">
        <v>10882</v>
      </c>
      <c r="K5" s="188">
        <v>3.07</v>
      </c>
      <c r="L5" s="195">
        <v>5200</v>
      </c>
      <c r="M5" s="188">
        <v>10795</v>
      </c>
      <c r="N5" s="188">
        <v>2.48</v>
      </c>
      <c r="O5" s="195">
        <v>4400</v>
      </c>
      <c r="P5" s="188">
        <v>11430</v>
      </c>
      <c r="Q5" s="188">
        <v>2.77</v>
      </c>
      <c r="R5" s="195">
        <v>4800</v>
      </c>
      <c r="S5" s="188">
        <v>77092</v>
      </c>
      <c r="T5" s="188">
        <v>2.0670000000000002</v>
      </c>
      <c r="U5" s="195">
        <v>31800</v>
      </c>
      <c r="V5" s="188">
        <v>73609</v>
      </c>
      <c r="W5" s="188">
        <v>1.373</v>
      </c>
      <c r="X5" s="195">
        <v>18300</v>
      </c>
      <c r="Y5" s="188">
        <v>17838</v>
      </c>
      <c r="Z5" s="188">
        <v>2.56</v>
      </c>
      <c r="AA5" s="195">
        <v>2240</v>
      </c>
      <c r="AB5" s="188">
        <v>11821</v>
      </c>
      <c r="AC5" s="188">
        <v>1.74</v>
      </c>
      <c r="AD5" s="195">
        <v>1280</v>
      </c>
      <c r="AE5" s="188">
        <v>93358</v>
      </c>
      <c r="AF5" s="188">
        <v>2.1619999999999999</v>
      </c>
      <c r="AG5" s="195">
        <v>21800</v>
      </c>
      <c r="AH5" s="188">
        <v>17442</v>
      </c>
      <c r="AI5" s="188">
        <v>0.33100000000000002</v>
      </c>
      <c r="AJ5" s="195">
        <v>-1360</v>
      </c>
      <c r="AK5" s="199">
        <v>70591</v>
      </c>
      <c r="AL5" s="195">
        <v>251</v>
      </c>
      <c r="AM5" s="42">
        <f t="shared" ref="AM5:AM44" si="17">SUM(AK5-AK4)</f>
        <v>251</v>
      </c>
      <c r="AO5" s="42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9">
        <f t="shared" si="0"/>
        <v>44200</v>
      </c>
      <c r="AU5" s="188">
        <v>63154</v>
      </c>
      <c r="AV5" s="195">
        <v>5200</v>
      </c>
      <c r="AW5" s="188">
        <v>8070</v>
      </c>
      <c r="AX5" s="195">
        <v>500</v>
      </c>
      <c r="AY5" s="189">
        <v>29046</v>
      </c>
      <c r="AZ5" s="198">
        <v>889</v>
      </c>
      <c r="BA5" s="188">
        <v>50496</v>
      </c>
      <c r="BB5" s="195">
        <v>2640</v>
      </c>
      <c r="BC5" s="73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5">
        <f t="shared" si="2"/>
        <v>94857</v>
      </c>
      <c r="BW5" s="75">
        <f t="shared" si="3"/>
        <v>98288</v>
      </c>
      <c r="CF5" s="75">
        <f t="shared" si="4"/>
        <v>77092</v>
      </c>
      <c r="CO5" s="75">
        <f t="shared" si="5"/>
        <v>17442</v>
      </c>
      <c r="CX5" s="75">
        <f t="shared" si="6"/>
        <v>73609</v>
      </c>
      <c r="DG5" s="75">
        <f t="shared" si="7"/>
        <v>10795</v>
      </c>
      <c r="DP5" s="75">
        <f t="shared" si="8"/>
        <v>77092</v>
      </c>
      <c r="DY5" s="75">
        <f t="shared" si="9"/>
        <v>11430</v>
      </c>
      <c r="EH5" s="75">
        <f t="shared" si="10"/>
        <v>17838</v>
      </c>
      <c r="EQ5" s="75">
        <f t="shared" si="11"/>
        <v>11821</v>
      </c>
      <c r="EZ5" s="19">
        <f t="shared" si="12"/>
        <v>93358</v>
      </c>
      <c r="FI5" s="58"/>
      <c r="FN5" s="14"/>
      <c r="FP5" s="75">
        <f t="shared" si="13"/>
        <v>8070</v>
      </c>
      <c r="FY5" s="75">
        <f t="shared" si="14"/>
        <v>63154</v>
      </c>
      <c r="GH5" s="75">
        <f t="shared" si="15"/>
        <v>29046</v>
      </c>
      <c r="GN5" s="75">
        <f t="shared" si="16"/>
        <v>50496</v>
      </c>
      <c r="HA5" s="18"/>
    </row>
    <row r="6" spans="2:213" x14ac:dyDescent="0.25">
      <c r="B6" s="72">
        <v>44207</v>
      </c>
      <c r="C6" s="206">
        <f>SUM(Essbase!J12,Essbase!J13,Essbase!J14,Essbase!J15,Essbase!J16,Essbase!J17,Essbase!J18)</f>
        <v>724</v>
      </c>
      <c r="D6" s="188">
        <v>98540</v>
      </c>
      <c r="E6" s="188">
        <v>1.99</v>
      </c>
      <c r="F6" s="195">
        <v>40320</v>
      </c>
      <c r="G6" s="188">
        <v>95134</v>
      </c>
      <c r="H6" s="188">
        <v>2.2989999999999999</v>
      </c>
      <c r="I6" s="195">
        <v>44320</v>
      </c>
      <c r="J6" s="188">
        <v>10908</v>
      </c>
      <c r="K6" s="188">
        <v>3.07</v>
      </c>
      <c r="L6" s="195">
        <v>10400</v>
      </c>
      <c r="M6" s="188">
        <v>10818</v>
      </c>
      <c r="N6" s="188">
        <v>2.48</v>
      </c>
      <c r="O6" s="195">
        <v>9200</v>
      </c>
      <c r="P6" s="188">
        <v>11454</v>
      </c>
      <c r="Q6" s="188">
        <v>2.77</v>
      </c>
      <c r="R6" s="195">
        <v>9600</v>
      </c>
      <c r="S6" s="188">
        <v>77173</v>
      </c>
      <c r="T6" s="188">
        <v>2.0670000000000002</v>
      </c>
      <c r="U6" s="195">
        <v>24300</v>
      </c>
      <c r="V6" s="188">
        <v>73691</v>
      </c>
      <c r="W6" s="188">
        <v>1.373</v>
      </c>
      <c r="X6" s="195">
        <v>24600</v>
      </c>
      <c r="Y6" s="188">
        <v>17870</v>
      </c>
      <c r="Z6" s="188">
        <v>2.72</v>
      </c>
      <c r="AA6" s="195">
        <v>5120</v>
      </c>
      <c r="AB6" s="188">
        <v>11836</v>
      </c>
      <c r="AC6" s="188">
        <v>1.74</v>
      </c>
      <c r="AD6" s="195">
        <v>2400</v>
      </c>
      <c r="AE6" s="188">
        <v>93610</v>
      </c>
      <c r="AF6" s="188">
        <v>2.1619999999999999</v>
      </c>
      <c r="AG6" s="195">
        <v>50400</v>
      </c>
      <c r="AH6" s="188">
        <v>17529</v>
      </c>
      <c r="AI6" s="188">
        <v>0.33100000000000002</v>
      </c>
      <c r="AJ6" s="195">
        <v>3480</v>
      </c>
      <c r="AK6" s="199">
        <v>71145</v>
      </c>
      <c r="AL6" s="195">
        <v>554</v>
      </c>
      <c r="AM6" s="42">
        <f t="shared" si="17"/>
        <v>554</v>
      </c>
      <c r="AO6" s="42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9">
        <f t="shared" si="0"/>
        <v>44207</v>
      </c>
      <c r="AU6" s="188">
        <v>63264</v>
      </c>
      <c r="AV6" s="195">
        <v>11000</v>
      </c>
      <c r="AW6" s="188">
        <v>8085</v>
      </c>
      <c r="AX6" s="195">
        <v>1500</v>
      </c>
      <c r="AY6" s="189">
        <v>29955</v>
      </c>
      <c r="AZ6" s="198">
        <v>909</v>
      </c>
      <c r="BA6" s="188">
        <v>50578</v>
      </c>
      <c r="BB6" s="195">
        <v>3280</v>
      </c>
      <c r="BC6" s="73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5">
        <f t="shared" si="2"/>
        <v>95134</v>
      </c>
      <c r="BW6" s="75">
        <f t="shared" si="3"/>
        <v>98540</v>
      </c>
      <c r="CF6" s="75">
        <f t="shared" si="4"/>
        <v>77173</v>
      </c>
      <c r="CO6" s="75">
        <f t="shared" si="5"/>
        <v>17529</v>
      </c>
      <c r="CX6" s="75">
        <f t="shared" si="6"/>
        <v>73691</v>
      </c>
      <c r="DG6" s="75">
        <f t="shared" si="7"/>
        <v>10818</v>
      </c>
      <c r="DP6" s="75">
        <f t="shared" si="8"/>
        <v>77173</v>
      </c>
      <c r="DY6" s="75">
        <f t="shared" si="9"/>
        <v>11454</v>
      </c>
      <c r="EH6" s="75">
        <f t="shared" si="10"/>
        <v>17870</v>
      </c>
      <c r="EQ6" s="75">
        <f t="shared" si="11"/>
        <v>11836</v>
      </c>
      <c r="EZ6" s="19">
        <f t="shared" si="12"/>
        <v>93610</v>
      </c>
      <c r="FI6" s="58"/>
      <c r="FN6" s="14"/>
      <c r="FP6" s="75">
        <f t="shared" si="13"/>
        <v>8085</v>
      </c>
      <c r="FY6" s="75">
        <f t="shared" si="14"/>
        <v>63264</v>
      </c>
      <c r="GH6" s="75">
        <f t="shared" si="15"/>
        <v>29955</v>
      </c>
      <c r="GN6" s="75">
        <f t="shared" si="16"/>
        <v>50578</v>
      </c>
      <c r="HA6" s="18"/>
      <c r="HB6" s="53"/>
    </row>
    <row r="7" spans="2:213" x14ac:dyDescent="0.25">
      <c r="B7" s="72">
        <v>44214</v>
      </c>
      <c r="C7" s="206">
        <f>SUM(Essbase!J19,Essbase!J20,Essbase!J21,Essbase!J22,Essbase!J23,Essbase!J24,Essbase!J25)</f>
        <v>772</v>
      </c>
      <c r="D7" s="188">
        <v>98795</v>
      </c>
      <c r="E7" s="188">
        <v>1.99</v>
      </c>
      <c r="F7" s="195">
        <v>40800</v>
      </c>
      <c r="G7" s="188">
        <v>95416</v>
      </c>
      <c r="H7" s="188">
        <v>2.2989999999999999</v>
      </c>
      <c r="I7" s="195">
        <v>45120</v>
      </c>
      <c r="J7" s="188">
        <v>10940</v>
      </c>
      <c r="K7" s="188">
        <v>3.07</v>
      </c>
      <c r="L7" s="195">
        <v>12800</v>
      </c>
      <c r="M7" s="188">
        <v>10840</v>
      </c>
      <c r="N7" s="188">
        <v>2.48</v>
      </c>
      <c r="O7" s="195">
        <v>8800</v>
      </c>
      <c r="P7" s="188">
        <v>11478</v>
      </c>
      <c r="Q7" s="188">
        <v>2.77</v>
      </c>
      <c r="R7" s="195">
        <v>9600</v>
      </c>
      <c r="S7" s="188">
        <v>77231</v>
      </c>
      <c r="T7" s="188">
        <v>2.0670000000000002</v>
      </c>
      <c r="U7" s="195">
        <v>17400</v>
      </c>
      <c r="V7" s="188">
        <v>73806</v>
      </c>
      <c r="W7" s="188">
        <v>1.373</v>
      </c>
      <c r="X7" s="195">
        <v>34500</v>
      </c>
      <c r="Y7" s="188">
        <v>17908</v>
      </c>
      <c r="Z7" s="188">
        <v>3.03</v>
      </c>
      <c r="AA7" s="195">
        <v>6080</v>
      </c>
      <c r="AB7" s="188">
        <v>11855</v>
      </c>
      <c r="AC7" s="188">
        <v>1.76</v>
      </c>
      <c r="AD7" s="195">
        <v>3040</v>
      </c>
      <c r="AE7" s="188">
        <v>93863</v>
      </c>
      <c r="AF7" s="188">
        <v>2.1619999999999999</v>
      </c>
      <c r="AG7" s="195">
        <v>50600</v>
      </c>
      <c r="AH7" s="188">
        <v>17565</v>
      </c>
      <c r="AI7" s="188">
        <v>0.34599999999999997</v>
      </c>
      <c r="AJ7" s="195">
        <v>1440</v>
      </c>
      <c r="AK7" s="199">
        <v>71709</v>
      </c>
      <c r="AL7" s="195">
        <v>564</v>
      </c>
      <c r="AM7" s="42">
        <f t="shared" si="17"/>
        <v>564</v>
      </c>
      <c r="AO7" s="42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9">
        <f t="shared" si="0"/>
        <v>44214</v>
      </c>
      <c r="AU7" s="188">
        <v>63373</v>
      </c>
      <c r="AV7" s="195">
        <v>10900</v>
      </c>
      <c r="AW7" s="188">
        <v>8099</v>
      </c>
      <c r="AX7" s="195">
        <v>1400</v>
      </c>
      <c r="AY7" s="189">
        <v>30835</v>
      </c>
      <c r="AZ7" s="198">
        <v>880</v>
      </c>
      <c r="BA7" s="188">
        <v>43</v>
      </c>
      <c r="BB7" s="195">
        <v>43</v>
      </c>
      <c r="BC7" s="73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5">
        <f t="shared" si="2"/>
        <v>95416</v>
      </c>
      <c r="BW7" s="75">
        <f t="shared" si="3"/>
        <v>98795</v>
      </c>
      <c r="CF7" s="75">
        <f t="shared" si="4"/>
        <v>77231</v>
      </c>
      <c r="CO7" s="75">
        <f t="shared" si="5"/>
        <v>17565</v>
      </c>
      <c r="CX7" s="75">
        <f t="shared" si="6"/>
        <v>73806</v>
      </c>
      <c r="DG7" s="75">
        <f t="shared" si="7"/>
        <v>10840</v>
      </c>
      <c r="DP7" s="75">
        <f t="shared" si="8"/>
        <v>77231</v>
      </c>
      <c r="DY7" s="75">
        <f t="shared" si="9"/>
        <v>11478</v>
      </c>
      <c r="EH7" s="75">
        <f t="shared" si="10"/>
        <v>17908</v>
      </c>
      <c r="EQ7" s="75">
        <f t="shared" si="11"/>
        <v>11855</v>
      </c>
      <c r="EZ7" s="19">
        <f t="shared" si="12"/>
        <v>93863</v>
      </c>
      <c r="FI7" s="58"/>
      <c r="FN7" s="14"/>
      <c r="FP7" s="75">
        <f t="shared" si="13"/>
        <v>8099</v>
      </c>
      <c r="FY7" s="75">
        <f t="shared" si="14"/>
        <v>63373</v>
      </c>
      <c r="GH7" s="75">
        <f t="shared" si="15"/>
        <v>30835</v>
      </c>
      <c r="GN7" s="75">
        <f t="shared" si="16"/>
        <v>43</v>
      </c>
      <c r="HA7" s="18"/>
    </row>
    <row r="8" spans="2:213" x14ac:dyDescent="0.25">
      <c r="B8" s="72">
        <v>44221</v>
      </c>
      <c r="C8" s="206">
        <f>SUM(Essbase!J26,Essbase!J27,Essbase!J28,Essbase!J29,Essbase!J30,Essbase!J31,Essbase!J32)</f>
        <v>1454</v>
      </c>
      <c r="D8" s="188">
        <v>99063</v>
      </c>
      <c r="E8" s="188">
        <v>1.9630000000000001</v>
      </c>
      <c r="F8" s="195">
        <v>42880</v>
      </c>
      <c r="G8" s="188">
        <v>95714</v>
      </c>
      <c r="H8" s="188">
        <v>2.2610000000000001</v>
      </c>
      <c r="I8" s="195">
        <v>47680</v>
      </c>
      <c r="J8" s="188">
        <v>10968</v>
      </c>
      <c r="K8" s="188">
        <v>2.63</v>
      </c>
      <c r="L8" s="195">
        <v>11200</v>
      </c>
      <c r="M8" s="188">
        <v>10864</v>
      </c>
      <c r="N8" s="188">
        <v>1.88</v>
      </c>
      <c r="O8" s="195">
        <v>9600</v>
      </c>
      <c r="P8" s="188">
        <v>11502</v>
      </c>
      <c r="Q8" s="188">
        <v>2.1800000000000002</v>
      </c>
      <c r="R8" s="195">
        <v>9600</v>
      </c>
      <c r="S8" s="188">
        <v>77346</v>
      </c>
      <c r="T8" s="188">
        <v>1.7669999999999999</v>
      </c>
      <c r="U8" s="195">
        <v>34500</v>
      </c>
      <c r="V8" s="188">
        <v>73933</v>
      </c>
      <c r="W8" s="188">
        <v>1.7</v>
      </c>
      <c r="X8" s="195">
        <v>38100</v>
      </c>
      <c r="Y8" s="188">
        <v>17949</v>
      </c>
      <c r="Z8" s="188">
        <v>3.22</v>
      </c>
      <c r="AA8" s="195">
        <v>6560</v>
      </c>
      <c r="AB8" s="188">
        <v>11881</v>
      </c>
      <c r="AC8" s="188">
        <v>2.96</v>
      </c>
      <c r="AD8" s="195">
        <v>4160</v>
      </c>
      <c r="AE8" s="188">
        <v>94126</v>
      </c>
      <c r="AF8" s="188">
        <v>2.0129999999999999</v>
      </c>
      <c r="AG8" s="195">
        <v>52600</v>
      </c>
      <c r="AH8" s="188">
        <v>17604</v>
      </c>
      <c r="AI8" s="188">
        <v>0.26700000000000002</v>
      </c>
      <c r="AJ8" s="195">
        <v>1560</v>
      </c>
      <c r="AK8" s="199">
        <v>72050</v>
      </c>
      <c r="AL8" s="195">
        <v>341</v>
      </c>
      <c r="AM8" s="42">
        <f t="shared" si="17"/>
        <v>341</v>
      </c>
      <c r="AO8" s="42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9">
        <f t="shared" si="0"/>
        <v>44221</v>
      </c>
      <c r="AU8" s="188">
        <v>63501</v>
      </c>
      <c r="AV8" s="195">
        <v>12800</v>
      </c>
      <c r="AW8" s="188">
        <v>8118</v>
      </c>
      <c r="AX8" s="195">
        <v>1900</v>
      </c>
      <c r="AY8" s="189">
        <v>31714</v>
      </c>
      <c r="AZ8" s="198">
        <v>879</v>
      </c>
      <c r="BA8" s="188">
        <v>77</v>
      </c>
      <c r="BB8" s="195">
        <v>1360</v>
      </c>
      <c r="BC8" s="73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5">
        <f t="shared" si="2"/>
        <v>95714</v>
      </c>
      <c r="BW8" s="75">
        <f t="shared" si="3"/>
        <v>99063</v>
      </c>
      <c r="CF8" s="75">
        <f t="shared" si="4"/>
        <v>77346</v>
      </c>
      <c r="CO8" s="75">
        <f t="shared" si="5"/>
        <v>17604</v>
      </c>
      <c r="CX8" s="75">
        <f t="shared" si="6"/>
        <v>73933</v>
      </c>
      <c r="DG8" s="75">
        <f t="shared" si="7"/>
        <v>10864</v>
      </c>
      <c r="DP8" s="75">
        <f t="shared" si="8"/>
        <v>77346</v>
      </c>
      <c r="DY8" s="75">
        <f t="shared" si="9"/>
        <v>11502</v>
      </c>
      <c r="EH8" s="75">
        <f t="shared" si="10"/>
        <v>17949</v>
      </c>
      <c r="EQ8" s="75">
        <f t="shared" si="11"/>
        <v>11881</v>
      </c>
      <c r="EZ8" s="19">
        <f t="shared" si="12"/>
        <v>94126</v>
      </c>
      <c r="FI8" s="58"/>
      <c r="FN8" s="14"/>
      <c r="FP8" s="75">
        <f t="shared" si="13"/>
        <v>8118</v>
      </c>
      <c r="FY8" s="75">
        <f t="shared" si="14"/>
        <v>63501</v>
      </c>
      <c r="GH8" s="75">
        <f t="shared" si="15"/>
        <v>31714</v>
      </c>
      <c r="GN8" s="75">
        <f t="shared" si="16"/>
        <v>77</v>
      </c>
      <c r="HA8" s="18"/>
    </row>
    <row r="9" spans="2:213" x14ac:dyDescent="0.25">
      <c r="B9" s="72">
        <v>44228</v>
      </c>
      <c r="C9" s="206">
        <f>SUM(Essbase!J33,Essbase!J34,Essbase!J35,Essbase!J36,Essbase!J37,Essbase!J38)</f>
        <v>591</v>
      </c>
      <c r="D9" s="188">
        <v>99305</v>
      </c>
      <c r="E9" s="188">
        <v>1.9630000000000001</v>
      </c>
      <c r="F9" s="195">
        <v>38720</v>
      </c>
      <c r="G9" s="188">
        <v>95995</v>
      </c>
      <c r="H9" s="188">
        <v>2.2610000000000001</v>
      </c>
      <c r="I9" s="195">
        <v>44960</v>
      </c>
      <c r="J9" s="188">
        <v>10992</v>
      </c>
      <c r="K9" s="188">
        <v>2.63</v>
      </c>
      <c r="L9" s="195">
        <v>9600</v>
      </c>
      <c r="M9" s="188">
        <v>10886</v>
      </c>
      <c r="N9" s="188">
        <v>1.88</v>
      </c>
      <c r="O9" s="195">
        <v>8800</v>
      </c>
      <c r="P9" s="188">
        <v>11525</v>
      </c>
      <c r="Q9" s="188">
        <v>2.1800000000000002</v>
      </c>
      <c r="R9" s="195">
        <v>9200</v>
      </c>
      <c r="S9" s="188">
        <v>77466</v>
      </c>
      <c r="T9" s="188">
        <v>1.978</v>
      </c>
      <c r="U9" s="195">
        <v>36000</v>
      </c>
      <c r="V9" s="188">
        <v>74061</v>
      </c>
      <c r="W9" s="188">
        <v>1.7</v>
      </c>
      <c r="X9" s="195">
        <v>38400</v>
      </c>
      <c r="Y9" s="188">
        <v>17982</v>
      </c>
      <c r="Z9" s="188">
        <v>3.22</v>
      </c>
      <c r="AA9" s="195">
        <v>5280</v>
      </c>
      <c r="AB9" s="188">
        <v>11898</v>
      </c>
      <c r="AC9" s="188">
        <v>2.96</v>
      </c>
      <c r="AD9" s="195">
        <v>2720</v>
      </c>
      <c r="AE9" s="188">
        <v>94374</v>
      </c>
      <c r="AF9" s="188">
        <v>2.0129999999999999</v>
      </c>
      <c r="AG9" s="195">
        <v>49600</v>
      </c>
      <c r="AH9" s="188">
        <v>17679</v>
      </c>
      <c r="AI9" s="188">
        <v>0.26700000000000002</v>
      </c>
      <c r="AJ9" s="195">
        <v>3000</v>
      </c>
      <c r="AK9" s="199">
        <v>72651</v>
      </c>
      <c r="AL9" s="195">
        <v>601</v>
      </c>
      <c r="AM9" s="42">
        <f t="shared" si="17"/>
        <v>601</v>
      </c>
      <c r="AO9" s="42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9">
        <f t="shared" si="0"/>
        <v>44228</v>
      </c>
      <c r="AU9" s="188">
        <v>63621</v>
      </c>
      <c r="AV9" s="195">
        <v>12000</v>
      </c>
      <c r="AW9" s="188">
        <v>8132</v>
      </c>
      <c r="AX9" s="195">
        <v>1400</v>
      </c>
      <c r="AY9" s="189">
        <v>32628</v>
      </c>
      <c r="AZ9" s="198">
        <v>914</v>
      </c>
      <c r="BA9" s="188">
        <v>133</v>
      </c>
      <c r="BB9" s="195">
        <v>2240</v>
      </c>
      <c r="BC9" s="73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4">
        <f>SUM(BL9*0.11895+BL9*0.02531)*1.09+2.85</f>
        <v>2.85</v>
      </c>
      <c r="BN9" s="75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4">
        <f>SUM(BQ9*0.0406)</f>
        <v>0</v>
      </c>
      <c r="BT9" s="74">
        <f>SUM(BQ9*0.02531)</f>
        <v>0</v>
      </c>
      <c r="BU9" s="74">
        <f>SUM(BR9*6.99)</f>
        <v>0</v>
      </c>
      <c r="BV9" s="74">
        <f>SUM(BS9+BT9)*1.09</f>
        <v>0</v>
      </c>
      <c r="BW9" s="75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4">
        <f>SUM(BZ9*0.0406)</f>
        <v>0</v>
      </c>
      <c r="CC9" s="74">
        <f>SUM(BZ9*0.02531)</f>
        <v>0</v>
      </c>
      <c r="CD9" s="74">
        <f>SUM(CA9*6.99)</f>
        <v>0</v>
      </c>
      <c r="CE9" s="74">
        <f>SUM((CB9+CC9)+20)* 1.08</f>
        <v>21.6</v>
      </c>
      <c r="CF9" s="75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4">
        <f>SUM(CI9*0.0406)</f>
        <v>0</v>
      </c>
      <c r="CL9" s="74">
        <f>SUM(CI9*0.02531)</f>
        <v>0</v>
      </c>
      <c r="CM9" s="74">
        <f>SUM(CJ9*6.99)</f>
        <v>0</v>
      </c>
      <c r="CN9" s="74">
        <f>SUM((CK9+CL9)+20)*1.09</f>
        <v>21.8</v>
      </c>
      <c r="CO9" s="75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4">
        <f>SUM(CR9*0.0406)</f>
        <v>0</v>
      </c>
      <c r="CU9" s="74">
        <f>SUM(CR9*0.02531)</f>
        <v>0</v>
      </c>
      <c r="CV9" s="74">
        <f>SUM(CS9*6.99)</f>
        <v>0</v>
      </c>
      <c r="CW9" s="74">
        <f>SUM((CT9+CU9)+20)*1.09</f>
        <v>21.8</v>
      </c>
      <c r="CX9" s="75">
        <f t="shared" si="6"/>
        <v>74061</v>
      </c>
      <c r="CY9" s="20"/>
      <c r="CZ9" s="20"/>
      <c r="DA9" s="19">
        <f>SUM(CY9-CY4)*300</f>
        <v>0</v>
      </c>
      <c r="DB9" s="76">
        <f>(CZ9)*300</f>
        <v>0</v>
      </c>
      <c r="DC9" s="74">
        <f>SUM(DA9*0.0406)</f>
        <v>0</v>
      </c>
      <c r="DD9" s="74">
        <f>SUM(DA9*0.02531)</f>
        <v>0</v>
      </c>
      <c r="DE9" s="74">
        <f>SUM(DB9*6.99)</f>
        <v>0</v>
      </c>
      <c r="DF9" s="74">
        <f>SUM((DC9+DD9)+20)*1.085</f>
        <v>21.7</v>
      </c>
      <c r="DG9" s="75">
        <f t="shared" si="7"/>
        <v>10886</v>
      </c>
      <c r="DH9" s="20"/>
      <c r="DI9" s="20"/>
      <c r="DJ9" s="19">
        <f>SUM(DH9-DH4)*400</f>
        <v>0</v>
      </c>
      <c r="DK9" s="76">
        <f>(DI9)*400</f>
        <v>0</v>
      </c>
      <c r="DL9" s="74">
        <f>SUM(DJ9*0.0406)</f>
        <v>0</v>
      </c>
      <c r="DM9" s="74">
        <f>SUM(DJ9*0.02531)</f>
        <v>0</v>
      </c>
      <c r="DN9" s="74">
        <f>SUM(DK9*6.99)</f>
        <v>0</v>
      </c>
      <c r="DO9" s="74">
        <f>SUM((DL9+DM9)+20)*1.09</f>
        <v>21.8</v>
      </c>
      <c r="DP9" s="75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4">
        <f>SUM(DS9*0.0406)</f>
        <v>0</v>
      </c>
      <c r="DV9" s="74">
        <f>SUM(DS9*0.02531)</f>
        <v>0</v>
      </c>
      <c r="DW9" s="74">
        <f>SUM(DT9*6.99)</f>
        <v>0</v>
      </c>
      <c r="DX9" s="74">
        <f>SUM((DU9+DV9)+20)*1.09</f>
        <v>21.8</v>
      </c>
      <c r="DY9" s="75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4">
        <f>SUM(EB9*0.0406)</f>
        <v>0</v>
      </c>
      <c r="EE9" s="74">
        <f>SUM(EB9*0.02531)</f>
        <v>0</v>
      </c>
      <c r="EF9" s="74">
        <f>SUM(EC9*6.99)</f>
        <v>0</v>
      </c>
      <c r="EG9" s="74">
        <f>SUM((ED9+EE9)+20)*1.09</f>
        <v>21.8</v>
      </c>
      <c r="EH9" s="75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4">
        <f>SUM(EK9*0.0406)</f>
        <v>0</v>
      </c>
      <c r="EN9" s="74">
        <f>SUM(EK9*0.02531)</f>
        <v>0</v>
      </c>
      <c r="EO9" s="74">
        <f>SUM(EL9*6.99)</f>
        <v>0</v>
      </c>
      <c r="EP9" s="74">
        <f>SUM((EM9+EN9)+20)*1.09</f>
        <v>21.8</v>
      </c>
      <c r="EQ9" s="75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4">
        <f>SUM(ET9*0.0406)</f>
        <v>0</v>
      </c>
      <c r="EW9" s="74">
        <f>SUM(ET9*0.02531)</f>
        <v>0</v>
      </c>
      <c r="EX9" s="74">
        <f>SUM(EU9*6.99)</f>
        <v>0</v>
      </c>
      <c r="EY9" s="74">
        <f>SUM((EV9+EW9)+20)*1.09</f>
        <v>21.8</v>
      </c>
      <c r="EZ9" s="19">
        <f t="shared" si="12"/>
        <v>94374</v>
      </c>
      <c r="FA9" s="87"/>
      <c r="FB9" s="87"/>
      <c r="FC9" s="19">
        <f>SUM(FA9-FA4)*200</f>
        <v>0</v>
      </c>
      <c r="FD9" s="19">
        <f>(FB9)*200</f>
        <v>0</v>
      </c>
      <c r="FE9" s="74">
        <f>SUM(FC9*0.0406)</f>
        <v>0</v>
      </c>
      <c r="FF9" s="74">
        <f>SUM(FC9*0.02531)</f>
        <v>0</v>
      </c>
      <c r="FG9" s="74">
        <f>SUM(FD9*6.99)</f>
        <v>0</v>
      </c>
      <c r="FH9" s="74">
        <f>SUM((FE9+FF9)+20)*1.09</f>
        <v>21.8</v>
      </c>
      <c r="FI9" s="58"/>
      <c r="FJ9" s="91">
        <f>SUM(BL9+BQ9+BZ9+CI9+CR9+DA9+DJ9+DS9+EB9+EK9+ET9+FC9)</f>
        <v>0</v>
      </c>
      <c r="FK9" s="92">
        <f>SUM(BM9+BV9,CE9,CN9,CW9,DF9,DO9,DX9,EG9,EP9,EY9+FH9)</f>
        <v>220.55</v>
      </c>
      <c r="FL9" s="92">
        <f>SUM(BU9,CD9,CM9,CV9,DE9,DN9,DW9,EF9,EO9,EX9,FG9)</f>
        <v>0</v>
      </c>
      <c r="FM9" s="92">
        <f>SUM(FK9:FL9)</f>
        <v>220.55</v>
      </c>
      <c r="FN9" s="14"/>
      <c r="FP9" s="75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7">
        <f>SUM(FS9*0.0406)</f>
        <v>0</v>
      </c>
      <c r="FV9" s="77">
        <f>SUM(FS9*0.02531)</f>
        <v>0</v>
      </c>
      <c r="FW9" s="77">
        <f>SUM(FT9*6.99)</f>
        <v>0</v>
      </c>
      <c r="FX9" s="74">
        <f>SUM(FV9+FU9+20)*1.1048</f>
        <v>22.096</v>
      </c>
      <c r="FY9" s="75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7">
        <f>SUM(GB9*0.0406)</f>
        <v>0</v>
      </c>
      <c r="GE9" s="77">
        <f>SUM(GB9*0.02531)</f>
        <v>0</v>
      </c>
      <c r="GF9" s="77">
        <f>SUM(GC9*6.99)</f>
        <v>0</v>
      </c>
      <c r="GG9" s="74">
        <f>SUM(GE9+GD9+20)*1.1048</f>
        <v>22.096</v>
      </c>
      <c r="GH9" s="75">
        <f t="shared" si="15"/>
        <v>32628</v>
      </c>
      <c r="GI9" s="20"/>
      <c r="GJ9" s="19">
        <f>SUM(GI9-GI4)</f>
        <v>0</v>
      </c>
      <c r="GK9" s="74">
        <f>SUM(GJ9*0.11895)</f>
        <v>0</v>
      </c>
      <c r="GL9" s="74">
        <f>SUM(GJ9*0.02531)</f>
        <v>0</v>
      </c>
      <c r="GM9" s="74">
        <f>SUM(GK9+GL9+2.32)*1.07</f>
        <v>2.4824000000000002</v>
      </c>
      <c r="GN9" s="75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4">
        <f>SUM(GQ9*0.0406)</f>
        <v>0</v>
      </c>
      <c r="GT9" s="74">
        <f>SUM(GQ9*0.02531)</f>
        <v>0</v>
      </c>
      <c r="GU9" s="74">
        <f>SUM(GR9*6.99)</f>
        <v>0</v>
      </c>
      <c r="GV9" s="74">
        <f>SUM(GT9+GS9+20)*1.2</f>
        <v>24</v>
      </c>
      <c r="GW9" s="20">
        <f>SUM(FS9+GB9+GJ9+GQ9)</f>
        <v>0</v>
      </c>
      <c r="GX9" s="92">
        <f>SUM(GV9+GM9+GG9+FX9)</f>
        <v>70.674400000000006</v>
      </c>
      <c r="GY9" s="92">
        <f>SUM(FW9+GF9+GU9)</f>
        <v>0</v>
      </c>
      <c r="GZ9" s="92">
        <f>SUM(GX9:GY9)</f>
        <v>70.674400000000006</v>
      </c>
      <c r="HA9" s="18"/>
      <c r="HB9" s="91">
        <f t="shared" ref="HB9:HD9" si="22">(FJ9+GW9)</f>
        <v>0</v>
      </c>
      <c r="HC9" s="92">
        <f t="shared" si="22"/>
        <v>291.2244</v>
      </c>
      <c r="HD9" s="92">
        <f t="shared" si="22"/>
        <v>0</v>
      </c>
      <c r="HE9" s="92">
        <f t="shared" ref="HE9" si="23">(HC9+HD9)</f>
        <v>291.2244</v>
      </c>
    </row>
    <row r="10" spans="2:213" x14ac:dyDescent="0.25">
      <c r="B10" s="72">
        <v>44235</v>
      </c>
      <c r="C10" s="206">
        <f>SUM(Essbase!J39,Essbase!J40,Essbase!J41,Essbase!J42,Essbase!J43,Essbase!J44,Essbase!J45,)</f>
        <v>748</v>
      </c>
      <c r="D10" s="188">
        <v>99551</v>
      </c>
      <c r="E10" s="188">
        <v>1.9630000000000001</v>
      </c>
      <c r="F10" s="195">
        <v>39360</v>
      </c>
      <c r="G10" s="188">
        <v>96273</v>
      </c>
      <c r="H10" s="188">
        <v>2.2610000000000001</v>
      </c>
      <c r="I10" s="195">
        <v>44480</v>
      </c>
      <c r="J10" s="188">
        <v>11019</v>
      </c>
      <c r="K10" s="188">
        <v>3.05</v>
      </c>
      <c r="L10" s="195">
        <v>10800</v>
      </c>
      <c r="M10" s="188">
        <v>10909</v>
      </c>
      <c r="N10" s="188">
        <v>2.38</v>
      </c>
      <c r="O10" s="195">
        <v>9200</v>
      </c>
      <c r="P10" s="188">
        <v>11548</v>
      </c>
      <c r="Q10" s="188">
        <v>2.7</v>
      </c>
      <c r="R10" s="195">
        <v>9200</v>
      </c>
      <c r="S10" s="188">
        <v>77552</v>
      </c>
      <c r="T10" s="188">
        <v>1.978</v>
      </c>
      <c r="U10" s="195">
        <v>25800</v>
      </c>
      <c r="V10" s="188">
        <v>74176</v>
      </c>
      <c r="W10" s="188">
        <v>1.7</v>
      </c>
      <c r="X10" s="195">
        <v>34500</v>
      </c>
      <c r="Y10" s="188">
        <v>18014</v>
      </c>
      <c r="Z10" s="188">
        <v>3.38</v>
      </c>
      <c r="AA10" s="195">
        <v>5120</v>
      </c>
      <c r="AB10" s="188">
        <v>11913</v>
      </c>
      <c r="AC10" s="188">
        <v>2.96</v>
      </c>
      <c r="AD10" s="195">
        <v>2400</v>
      </c>
      <c r="AE10" s="188">
        <v>94616</v>
      </c>
      <c r="AF10" s="188">
        <v>2.0419999999999998</v>
      </c>
      <c r="AG10" s="195">
        <v>48400</v>
      </c>
      <c r="AH10" s="188">
        <v>17673</v>
      </c>
      <c r="AI10" s="188">
        <v>0.28100000000000003</v>
      </c>
      <c r="AJ10" s="195">
        <v>-240</v>
      </c>
      <c r="AK10" s="199">
        <v>73348</v>
      </c>
      <c r="AL10" s="195">
        <v>697</v>
      </c>
      <c r="AM10" s="42">
        <f t="shared" si="17"/>
        <v>697</v>
      </c>
      <c r="AO10" s="42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9">
        <f t="shared" si="0"/>
        <v>44235</v>
      </c>
      <c r="AU10" s="188">
        <v>63732</v>
      </c>
      <c r="AV10" s="195">
        <v>11100</v>
      </c>
      <c r="AW10" s="188">
        <v>8146</v>
      </c>
      <c r="AX10" s="195">
        <v>1400</v>
      </c>
      <c r="AY10" s="189">
        <v>33519</v>
      </c>
      <c r="AZ10" s="198">
        <v>891</v>
      </c>
      <c r="BA10" s="188">
        <v>181</v>
      </c>
      <c r="BB10" s="195">
        <v>1920</v>
      </c>
      <c r="BC10" s="73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5">
        <f t="shared" si="2"/>
        <v>96273</v>
      </c>
      <c r="BW10" s="75">
        <f t="shared" si="3"/>
        <v>99551</v>
      </c>
      <c r="CF10" s="75">
        <f t="shared" si="4"/>
        <v>77552</v>
      </c>
      <c r="CO10" s="75">
        <f t="shared" si="5"/>
        <v>17673</v>
      </c>
      <c r="CX10" s="75">
        <f t="shared" si="6"/>
        <v>74176</v>
      </c>
      <c r="DG10" s="75">
        <f t="shared" si="7"/>
        <v>10909</v>
      </c>
      <c r="DP10" s="75">
        <f t="shared" si="8"/>
        <v>77552</v>
      </c>
      <c r="DY10" s="75">
        <f t="shared" si="9"/>
        <v>11548</v>
      </c>
      <c r="EH10" s="75">
        <f t="shared" si="10"/>
        <v>18014</v>
      </c>
      <c r="EQ10" s="75">
        <f t="shared" si="11"/>
        <v>11913</v>
      </c>
      <c r="EZ10" s="19">
        <f t="shared" si="12"/>
        <v>94616</v>
      </c>
      <c r="FI10" s="58"/>
      <c r="FN10" s="14"/>
      <c r="FP10" s="75">
        <f t="shared" si="13"/>
        <v>8146</v>
      </c>
      <c r="FY10" s="75">
        <f t="shared" si="14"/>
        <v>63732</v>
      </c>
      <c r="GH10" s="75">
        <f t="shared" si="15"/>
        <v>33519</v>
      </c>
      <c r="GN10" s="75">
        <f t="shared" si="16"/>
        <v>181</v>
      </c>
      <c r="HA10" s="18"/>
    </row>
    <row r="11" spans="2:213" x14ac:dyDescent="0.25">
      <c r="B11" s="72">
        <v>44242</v>
      </c>
      <c r="C11" s="206">
        <f>SUM(Essbase!J46:J52)</f>
        <v>941</v>
      </c>
      <c r="D11" s="188">
        <v>99810</v>
      </c>
      <c r="E11" s="188">
        <v>1.9630000000000001</v>
      </c>
      <c r="F11" s="195">
        <v>41440</v>
      </c>
      <c r="G11" s="188">
        <v>96558</v>
      </c>
      <c r="H11" s="188">
        <v>2.2610000000000001</v>
      </c>
      <c r="I11" s="195">
        <v>45600</v>
      </c>
      <c r="J11" s="188">
        <v>11042</v>
      </c>
      <c r="K11" s="188">
        <v>3.05</v>
      </c>
      <c r="L11" s="195">
        <v>9200</v>
      </c>
      <c r="M11" s="188">
        <v>10932</v>
      </c>
      <c r="N11" s="188">
        <v>2.38</v>
      </c>
      <c r="O11" s="195">
        <v>9200</v>
      </c>
      <c r="P11" s="188">
        <v>11569</v>
      </c>
      <c r="Q11" s="188">
        <v>2.7</v>
      </c>
      <c r="R11" s="195">
        <v>8400</v>
      </c>
      <c r="S11" s="188">
        <v>77781</v>
      </c>
      <c r="T11" s="188">
        <v>2.073</v>
      </c>
      <c r="U11" s="195">
        <v>68700</v>
      </c>
      <c r="V11" s="188">
        <v>74305</v>
      </c>
      <c r="W11" s="188">
        <v>1.7</v>
      </c>
      <c r="X11" s="195">
        <v>38700</v>
      </c>
      <c r="Y11" s="188">
        <v>18046</v>
      </c>
      <c r="Z11" s="188">
        <v>3.38</v>
      </c>
      <c r="AA11" s="195">
        <v>5120</v>
      </c>
      <c r="AB11" s="188">
        <v>11929</v>
      </c>
      <c r="AC11" s="188">
        <v>2.96</v>
      </c>
      <c r="AD11" s="195">
        <v>2560</v>
      </c>
      <c r="AE11" s="188">
        <v>94849</v>
      </c>
      <c r="AF11" s="188">
        <v>2.0419999999999998</v>
      </c>
      <c r="AG11" s="195">
        <v>46600</v>
      </c>
      <c r="AH11" s="188">
        <v>17709</v>
      </c>
      <c r="AI11" s="188">
        <v>0.29699999999999999</v>
      </c>
      <c r="AJ11" s="195">
        <v>1440</v>
      </c>
      <c r="AK11" s="199">
        <v>73867</v>
      </c>
      <c r="AL11" s="195">
        <v>519</v>
      </c>
      <c r="AM11" s="42">
        <f t="shared" si="17"/>
        <v>519</v>
      </c>
      <c r="AO11" s="42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9">
        <f t="shared" si="0"/>
        <v>44242</v>
      </c>
      <c r="AU11" s="188">
        <v>63864</v>
      </c>
      <c r="AV11" s="195">
        <v>13200</v>
      </c>
      <c r="AW11" s="188">
        <v>8163</v>
      </c>
      <c r="AX11" s="195">
        <v>1700</v>
      </c>
      <c r="AY11" s="189">
        <v>34414</v>
      </c>
      <c r="AZ11" s="198">
        <v>895</v>
      </c>
      <c r="BA11" s="188">
        <v>234</v>
      </c>
      <c r="BB11" s="195">
        <v>2120</v>
      </c>
      <c r="BC11" s="73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5">
        <f t="shared" si="2"/>
        <v>96558</v>
      </c>
      <c r="BW11" s="75">
        <f t="shared" si="3"/>
        <v>99810</v>
      </c>
      <c r="CF11" s="75">
        <f t="shared" si="4"/>
        <v>77781</v>
      </c>
      <c r="CO11" s="75">
        <f t="shared" si="5"/>
        <v>17709</v>
      </c>
      <c r="CX11" s="75">
        <f t="shared" si="6"/>
        <v>74305</v>
      </c>
      <c r="DG11" s="75">
        <f t="shared" si="7"/>
        <v>10932</v>
      </c>
      <c r="DP11" s="75">
        <f t="shared" si="8"/>
        <v>77781</v>
      </c>
      <c r="DY11" s="75">
        <f t="shared" si="9"/>
        <v>11569</v>
      </c>
      <c r="EH11" s="75">
        <f t="shared" si="10"/>
        <v>18046</v>
      </c>
      <c r="EQ11" s="75">
        <f t="shared" si="11"/>
        <v>11929</v>
      </c>
      <c r="EZ11" s="19">
        <f t="shared" si="12"/>
        <v>94849</v>
      </c>
      <c r="FI11" s="58"/>
      <c r="FN11" s="14"/>
      <c r="FP11" s="75">
        <f t="shared" si="13"/>
        <v>8163</v>
      </c>
      <c r="FY11" s="75">
        <f t="shared" si="14"/>
        <v>63864</v>
      </c>
      <c r="GH11" s="75">
        <f t="shared" si="15"/>
        <v>34414</v>
      </c>
      <c r="GN11" s="75">
        <f t="shared" si="16"/>
        <v>234</v>
      </c>
      <c r="HA11" s="18"/>
    </row>
    <row r="12" spans="2:213" x14ac:dyDescent="0.25">
      <c r="B12" s="72">
        <v>44249</v>
      </c>
      <c r="C12" s="206">
        <f>SUM(Essbase!J53,Essbase!J54,Essbase!J55,Essbase!J56,Essbase!J57,Essbase!J58:J59)</f>
        <v>1084</v>
      </c>
      <c r="D12" s="188">
        <v>100065</v>
      </c>
      <c r="E12" s="188">
        <v>1.2350000000000001</v>
      </c>
      <c r="F12" s="195">
        <v>40800</v>
      </c>
      <c r="G12" s="188">
        <v>96851</v>
      </c>
      <c r="H12" s="188">
        <v>1.5860000000000001</v>
      </c>
      <c r="I12" s="195">
        <v>46880</v>
      </c>
      <c r="J12" s="188">
        <v>11069</v>
      </c>
      <c r="K12" s="188">
        <v>8.5000000000000006E-2</v>
      </c>
      <c r="L12" s="195">
        <v>10800</v>
      </c>
      <c r="M12" s="188">
        <v>10955</v>
      </c>
      <c r="N12" s="188">
        <v>6.8000000000000005E-2</v>
      </c>
      <c r="O12" s="195">
        <v>9200</v>
      </c>
      <c r="P12" s="188">
        <v>11593</v>
      </c>
      <c r="Q12" s="188">
        <v>7.0999999999999994E-2</v>
      </c>
      <c r="R12" s="195">
        <v>9600</v>
      </c>
      <c r="S12" s="188">
        <v>77969</v>
      </c>
      <c r="T12" s="188">
        <v>2.1850000000000001</v>
      </c>
      <c r="U12" s="195">
        <v>56400</v>
      </c>
      <c r="V12" s="188">
        <v>74409</v>
      </c>
      <c r="W12" s="188">
        <v>1.7</v>
      </c>
      <c r="X12" s="195">
        <v>31200</v>
      </c>
      <c r="Y12" s="188">
        <v>18077</v>
      </c>
      <c r="Z12" s="188">
        <v>3.38</v>
      </c>
      <c r="AA12" s="195">
        <v>4960</v>
      </c>
      <c r="AB12" s="188">
        <v>11946</v>
      </c>
      <c r="AC12" s="188">
        <v>2.96</v>
      </c>
      <c r="AD12" s="195">
        <v>2720</v>
      </c>
      <c r="AE12" s="188">
        <v>95089</v>
      </c>
      <c r="AF12" s="188">
        <v>2.7</v>
      </c>
      <c r="AG12" s="195">
        <v>48000</v>
      </c>
      <c r="AH12" s="188">
        <v>17745</v>
      </c>
      <c r="AI12" s="188">
        <v>1.71</v>
      </c>
      <c r="AJ12" s="195">
        <v>1440</v>
      </c>
      <c r="AK12" s="199">
        <v>74395</v>
      </c>
      <c r="AL12" s="195">
        <v>528</v>
      </c>
      <c r="AM12" s="42">
        <f t="shared" si="17"/>
        <v>528</v>
      </c>
      <c r="AO12" s="42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9">
        <f t="shared" si="0"/>
        <v>44249</v>
      </c>
      <c r="AU12" s="188">
        <v>64006</v>
      </c>
      <c r="AV12" s="195">
        <v>14200</v>
      </c>
      <c r="AW12" s="188">
        <v>8181</v>
      </c>
      <c r="AX12" s="195">
        <v>1800</v>
      </c>
      <c r="AY12" s="189">
        <v>35438</v>
      </c>
      <c r="AZ12" s="198">
        <v>1024</v>
      </c>
      <c r="BA12" s="188">
        <v>275</v>
      </c>
      <c r="BB12" s="195">
        <v>1640</v>
      </c>
      <c r="BC12" s="73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5">
        <f t="shared" si="2"/>
        <v>96851</v>
      </c>
      <c r="BW12" s="75">
        <f t="shared" si="3"/>
        <v>100065</v>
      </c>
      <c r="CF12" s="75">
        <f t="shared" si="4"/>
        <v>77969</v>
      </c>
      <c r="CO12" s="75">
        <f t="shared" si="5"/>
        <v>17745</v>
      </c>
      <c r="CX12" s="75">
        <f t="shared" si="6"/>
        <v>74409</v>
      </c>
      <c r="DG12" s="75">
        <f t="shared" si="7"/>
        <v>10955</v>
      </c>
      <c r="DP12" s="75">
        <f t="shared" si="8"/>
        <v>77969</v>
      </c>
      <c r="DY12" s="75">
        <f t="shared" si="9"/>
        <v>11593</v>
      </c>
      <c r="EH12" s="75">
        <f t="shared" si="10"/>
        <v>18077</v>
      </c>
      <c r="EQ12" s="75">
        <f t="shared" si="11"/>
        <v>11946</v>
      </c>
      <c r="EZ12" s="19">
        <f t="shared" si="12"/>
        <v>95089</v>
      </c>
      <c r="FI12" s="58"/>
      <c r="FN12" s="14"/>
      <c r="FP12" s="75">
        <f t="shared" si="13"/>
        <v>8181</v>
      </c>
      <c r="FY12" s="75">
        <f t="shared" si="14"/>
        <v>64006</v>
      </c>
      <c r="GH12" s="75">
        <f t="shared" si="15"/>
        <v>35438</v>
      </c>
      <c r="GN12" s="75">
        <f t="shared" si="16"/>
        <v>275</v>
      </c>
      <c r="HA12" s="18"/>
    </row>
    <row r="13" spans="2:213" x14ac:dyDescent="0.25">
      <c r="B13" s="72">
        <v>44256</v>
      </c>
      <c r="C13" s="206">
        <f>SUM(Essbase!J60:J67)</f>
        <v>1427</v>
      </c>
      <c r="D13" s="188">
        <v>100320</v>
      </c>
      <c r="E13" s="188">
        <v>1.9339999999999999</v>
      </c>
      <c r="F13" s="195">
        <v>40800</v>
      </c>
      <c r="G13" s="188">
        <v>97145</v>
      </c>
      <c r="H13" s="188">
        <v>2.1880000000000002</v>
      </c>
      <c r="I13" s="195">
        <v>47040</v>
      </c>
      <c r="J13" s="188">
        <v>11094</v>
      </c>
      <c r="K13" s="188">
        <v>2.17</v>
      </c>
      <c r="L13" s="195">
        <v>10000</v>
      </c>
      <c r="M13" s="188">
        <v>10978</v>
      </c>
      <c r="N13" s="188">
        <v>1.79</v>
      </c>
      <c r="O13" s="195">
        <v>9200</v>
      </c>
      <c r="P13" s="188">
        <v>11616</v>
      </c>
      <c r="Q13" s="188">
        <v>1.87</v>
      </c>
      <c r="R13" s="195">
        <v>9200</v>
      </c>
      <c r="S13" s="188">
        <v>78133</v>
      </c>
      <c r="T13" s="188">
        <v>2.5830000000000002</v>
      </c>
      <c r="U13" s="195">
        <v>49200</v>
      </c>
      <c r="V13" s="188">
        <v>74569</v>
      </c>
      <c r="W13" s="188">
        <v>1.8879999999999999</v>
      </c>
      <c r="X13" s="195">
        <v>48000</v>
      </c>
      <c r="Y13" s="188">
        <v>18116</v>
      </c>
      <c r="Z13" s="188">
        <v>3.74</v>
      </c>
      <c r="AA13" s="195">
        <v>6240</v>
      </c>
      <c r="AB13" s="188">
        <v>11966</v>
      </c>
      <c r="AC13" s="188">
        <v>2.06</v>
      </c>
      <c r="AD13" s="195">
        <v>3200</v>
      </c>
      <c r="AE13" s="188">
        <v>95330</v>
      </c>
      <c r="AF13" s="188">
        <v>1.8959999999999999</v>
      </c>
      <c r="AG13" s="195">
        <v>48200</v>
      </c>
      <c r="AH13" s="188">
        <v>17781</v>
      </c>
      <c r="AI13" s="188">
        <v>0.30099999999999999</v>
      </c>
      <c r="AJ13" s="195">
        <v>1440</v>
      </c>
      <c r="AK13" s="199">
        <v>74901</v>
      </c>
      <c r="AL13" s="195">
        <v>506</v>
      </c>
      <c r="AM13" s="42">
        <f t="shared" si="17"/>
        <v>506</v>
      </c>
      <c r="AO13" s="42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9">
        <f t="shared" si="0"/>
        <v>44256</v>
      </c>
      <c r="AU13" s="188">
        <v>64122</v>
      </c>
      <c r="AV13" s="195">
        <v>11600</v>
      </c>
      <c r="AW13" s="188">
        <v>8196</v>
      </c>
      <c r="AX13" s="195">
        <v>1500</v>
      </c>
      <c r="AY13" s="189">
        <v>36222</v>
      </c>
      <c r="AZ13" s="198">
        <v>784</v>
      </c>
      <c r="BA13" s="188">
        <v>373</v>
      </c>
      <c r="BB13" s="195">
        <v>3920</v>
      </c>
      <c r="BC13" s="73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4">
        <f>SUM(BL13*0.11895+BL13*0.02531)*1.09+2.85</f>
        <v>2.85</v>
      </c>
      <c r="BN13" s="75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4">
        <f>SUM(BQ13*0.0406)</f>
        <v>0</v>
      </c>
      <c r="BT13" s="74">
        <f>SUM(BQ13*0.02531)</f>
        <v>0</v>
      </c>
      <c r="BU13" s="74">
        <f>SUM(BR13*6.99)</f>
        <v>0</v>
      </c>
      <c r="BV13" s="74">
        <f>SUM(BS13+BT13)*1.09</f>
        <v>0</v>
      </c>
      <c r="BW13" s="75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4">
        <f>SUM(BZ13*0.0406)</f>
        <v>0</v>
      </c>
      <c r="CC13" s="74">
        <f>SUM(BZ13*0.02531)</f>
        <v>0</v>
      </c>
      <c r="CD13" s="74">
        <f>SUM(CA13*6.99)</f>
        <v>0</v>
      </c>
      <c r="CE13" s="74">
        <f>SUM((CB13+CC13)+20)* 1.08</f>
        <v>21.6</v>
      </c>
      <c r="CF13" s="75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4">
        <f>SUM(CI13*0.0406)</f>
        <v>0</v>
      </c>
      <c r="CL13" s="74">
        <f>SUM(CI13*0.02531)</f>
        <v>0</v>
      </c>
      <c r="CM13" s="74">
        <f>SUM(CJ13*6.99)</f>
        <v>0</v>
      </c>
      <c r="CN13" s="74">
        <f>SUM((CK13+CL13)+20)*1.09</f>
        <v>21.8</v>
      </c>
      <c r="CO13" s="75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4">
        <f>SUM(CR13*0.0406)</f>
        <v>0</v>
      </c>
      <c r="CU13" s="74">
        <f>SUM(CR13*0.02531)</f>
        <v>0</v>
      </c>
      <c r="CV13" s="74">
        <f>SUM(CS13*6.99)</f>
        <v>0</v>
      </c>
      <c r="CW13" s="74">
        <f>SUM((CT13+CU13)+20)*1.09</f>
        <v>21.8</v>
      </c>
      <c r="CX13" s="75">
        <f t="shared" si="6"/>
        <v>74569</v>
      </c>
      <c r="CY13" s="20"/>
      <c r="CZ13" s="20"/>
      <c r="DA13" s="19">
        <f>SUM(CY13-CY9)*300</f>
        <v>0</v>
      </c>
      <c r="DB13" s="76">
        <f>(CZ13)*300</f>
        <v>0</v>
      </c>
      <c r="DC13" s="74">
        <f>SUM(DA13*0.0406)</f>
        <v>0</v>
      </c>
      <c r="DD13" s="74">
        <f>SUM(DA13*0.02531)</f>
        <v>0</v>
      </c>
      <c r="DE13" s="74">
        <f>SUM(DB13*6.99)</f>
        <v>0</v>
      </c>
      <c r="DF13" s="74">
        <f>SUM((DC13+DD13)+20)*1.085</f>
        <v>21.7</v>
      </c>
      <c r="DG13" s="75">
        <f t="shared" si="7"/>
        <v>10978</v>
      </c>
      <c r="DH13" s="20"/>
      <c r="DI13" s="20"/>
      <c r="DJ13" s="19">
        <f>SUM(DH13-DH9)*400</f>
        <v>0</v>
      </c>
      <c r="DK13" s="76">
        <f>(DI13)*400</f>
        <v>0</v>
      </c>
      <c r="DL13" s="74">
        <f>SUM(DJ13*0.0406)</f>
        <v>0</v>
      </c>
      <c r="DM13" s="74">
        <f>SUM(DJ13*0.02531)</f>
        <v>0</v>
      </c>
      <c r="DN13" s="74">
        <f>SUM(DK13*6.99)</f>
        <v>0</v>
      </c>
      <c r="DO13" s="74">
        <f>SUM((DL13+DM13)+20)*1.09</f>
        <v>21.8</v>
      </c>
      <c r="DP13" s="75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4">
        <f>SUM(DS13*0.0406)</f>
        <v>0</v>
      </c>
      <c r="DV13" s="74">
        <f>SUM(DS13*0.02531)</f>
        <v>0</v>
      </c>
      <c r="DW13" s="74">
        <f>SUM(DT13*6.99)</f>
        <v>0</v>
      </c>
      <c r="DX13" s="74">
        <f>SUM((DU13+DV13)+20)*1.09</f>
        <v>21.8</v>
      </c>
      <c r="DY13" s="75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4">
        <f>SUM(EB13*0.0406)</f>
        <v>0</v>
      </c>
      <c r="EE13" s="74">
        <f>SUM(EB13*0.02531)</f>
        <v>0</v>
      </c>
      <c r="EF13" s="74">
        <f>SUM(EC13*6.99)</f>
        <v>0</v>
      </c>
      <c r="EG13" s="74">
        <f>SUM((ED13+EE13)+20)*1.09</f>
        <v>21.8</v>
      </c>
      <c r="EH13" s="75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4">
        <f>SUM(EK13*0.0406)</f>
        <v>0</v>
      </c>
      <c r="EN13" s="74">
        <f>SUM(EK13*0.02531)</f>
        <v>0</v>
      </c>
      <c r="EO13" s="74">
        <f>SUM(EL13*6.99)</f>
        <v>0</v>
      </c>
      <c r="EP13" s="74">
        <f>SUM((EM13+EN13)+20)*1.09</f>
        <v>21.8</v>
      </c>
      <c r="EQ13" s="75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4">
        <f>SUM(ET13*0.0406)</f>
        <v>0</v>
      </c>
      <c r="EW13" s="74">
        <f>SUM(ET13*0.02531)</f>
        <v>0</v>
      </c>
      <c r="EX13" s="74">
        <f>SUM(EU13*6.99)</f>
        <v>0</v>
      </c>
      <c r="EY13" s="74">
        <f>SUM((EV13+EW13)+20)*1.09</f>
        <v>21.8</v>
      </c>
      <c r="EZ13" s="19">
        <f t="shared" si="12"/>
        <v>95330</v>
      </c>
      <c r="FA13" s="87"/>
      <c r="FB13" s="87"/>
      <c r="FC13" s="19">
        <f>SUM(FA13-FA9)*200</f>
        <v>0</v>
      </c>
      <c r="FD13" s="19">
        <f>(FB13)*200</f>
        <v>0</v>
      </c>
      <c r="FE13" s="74">
        <f>SUM(FC13*0.0406)</f>
        <v>0</v>
      </c>
      <c r="FF13" s="74">
        <f>SUM(FC13*0.02531)</f>
        <v>0</v>
      </c>
      <c r="FG13" s="74">
        <f>SUM(FD13*6.99)</f>
        <v>0</v>
      </c>
      <c r="FH13" s="74">
        <f>SUM((FE13+FF13)+20)*1.09</f>
        <v>21.8</v>
      </c>
      <c r="FI13" s="58"/>
      <c r="FJ13" s="91">
        <f>SUM(BL13+BQ13+BZ13+CI13+CR13+DA13+DJ13+DS13+EB13+EK13+ET13+FC13)</f>
        <v>0</v>
      </c>
      <c r="FK13" s="92">
        <f>SUM(BM13+BV13,CE13,CN13,CW13,DF13,DO13,DX13,EG13,EP13,EY13+FH13)</f>
        <v>220.55</v>
      </c>
      <c r="FL13" s="92">
        <f>SUM(BU13,CD13,CM13,CV13,DE13,DN13,DW13,EF13,EO13,EX13,FG13)</f>
        <v>0</v>
      </c>
      <c r="FM13" s="92">
        <f>SUM(FK13:FL13)</f>
        <v>220.55</v>
      </c>
      <c r="FN13" s="14"/>
      <c r="FP13" s="75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7">
        <f>SUM(FS13*0.0406)</f>
        <v>0</v>
      </c>
      <c r="FV13" s="77">
        <f>SUM(FS13*0.02531)</f>
        <v>0</v>
      </c>
      <c r="FW13" s="77">
        <f>SUM(FT13*6.99)</f>
        <v>0</v>
      </c>
      <c r="FX13" s="74">
        <f>SUM(FV13+FU13+20)*1.1048</f>
        <v>22.096</v>
      </c>
      <c r="FY13" s="75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7">
        <f>SUM(GB13*0.0406)</f>
        <v>0</v>
      </c>
      <c r="GE13" s="77">
        <f>SUM(GB13*0.02531)</f>
        <v>0</v>
      </c>
      <c r="GF13" s="77">
        <f>SUM(GC13*6.99)</f>
        <v>0</v>
      </c>
      <c r="GG13" s="74">
        <f>SUM(GE13+GD13+20)*1.1048</f>
        <v>22.096</v>
      </c>
      <c r="GH13" s="75">
        <f t="shared" si="15"/>
        <v>36222</v>
      </c>
      <c r="GI13" s="20"/>
      <c r="GJ13" s="19">
        <f>SUM(GI13-GI9)</f>
        <v>0</v>
      </c>
      <c r="GK13" s="74">
        <f>SUM(GJ13*0.11895)</f>
        <v>0</v>
      </c>
      <c r="GL13" s="74">
        <f>SUM(GJ13*0.02531)</f>
        <v>0</v>
      </c>
      <c r="GM13" s="74">
        <f>SUM(GK13+GL13+2.32)*1.07</f>
        <v>2.4824000000000002</v>
      </c>
      <c r="GN13" s="75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4">
        <f>SUM(GQ13*0.0406)</f>
        <v>0</v>
      </c>
      <c r="GT13" s="74">
        <f>SUM(GQ13*0.02531)</f>
        <v>0</v>
      </c>
      <c r="GU13" s="74">
        <f>SUM(GR13*6.99)</f>
        <v>0</v>
      </c>
      <c r="GV13" s="74">
        <f>SUM(GT13+GS13+20)*1.2</f>
        <v>24</v>
      </c>
      <c r="GW13" s="20">
        <f>SUM(FS13+GB13+GJ13+GQ13)</f>
        <v>0</v>
      </c>
      <c r="GX13" s="92">
        <f>SUM(GV13+GM13+GG13+FX13)</f>
        <v>70.674400000000006</v>
      </c>
      <c r="GY13" s="92">
        <f>SUM(FW13+GF13+GU13)</f>
        <v>0</v>
      </c>
      <c r="GZ13" s="92">
        <f>SUM(GX13:GY13)</f>
        <v>70.674400000000006</v>
      </c>
      <c r="HA13" s="18"/>
      <c r="HB13" s="91">
        <f t="shared" ref="HB13:HD13" si="24">(FJ13+GW13)</f>
        <v>0</v>
      </c>
      <c r="HC13" s="92">
        <f t="shared" si="24"/>
        <v>291.2244</v>
      </c>
      <c r="HD13" s="92">
        <f t="shared" si="24"/>
        <v>0</v>
      </c>
      <c r="HE13" s="92">
        <f t="shared" ref="HE13" si="25">(HC13+HD13)</f>
        <v>291.2244</v>
      </c>
    </row>
    <row r="14" spans="2:213" x14ac:dyDescent="0.25">
      <c r="B14" s="72">
        <v>44263</v>
      </c>
      <c r="C14" s="206">
        <f>SUM(Essbase!J68:J74)</f>
        <v>1082</v>
      </c>
      <c r="D14" s="208">
        <v>100582</v>
      </c>
      <c r="E14" s="208">
        <v>1.9339999999999999</v>
      </c>
      <c r="F14" s="209">
        <v>41920</v>
      </c>
      <c r="G14" s="208">
        <v>97442</v>
      </c>
      <c r="H14" s="208">
        <v>2.3780000000000001</v>
      </c>
      <c r="I14" s="209">
        <v>47520</v>
      </c>
      <c r="J14" s="208">
        <v>11118</v>
      </c>
      <c r="K14" s="208">
        <v>2.2400000000000002</v>
      </c>
      <c r="L14" s="209">
        <v>9600</v>
      </c>
      <c r="M14" s="208">
        <v>11002</v>
      </c>
      <c r="N14" s="208">
        <v>1.95</v>
      </c>
      <c r="O14" s="209">
        <v>9600</v>
      </c>
      <c r="P14" s="208">
        <v>11638</v>
      </c>
      <c r="Q14" s="208">
        <v>1.96</v>
      </c>
      <c r="R14" s="209">
        <v>8800</v>
      </c>
      <c r="S14" s="208">
        <v>78232</v>
      </c>
      <c r="T14" s="208">
        <v>2.5830000000000002</v>
      </c>
      <c r="U14" s="209">
        <v>29700</v>
      </c>
      <c r="V14" s="208">
        <v>74759</v>
      </c>
      <c r="W14" s="208">
        <v>1.9690000000000001</v>
      </c>
      <c r="X14" s="209">
        <v>57000</v>
      </c>
      <c r="Y14" s="208">
        <v>18156</v>
      </c>
      <c r="Z14" s="208">
        <v>3.79</v>
      </c>
      <c r="AA14" s="209">
        <v>6400</v>
      </c>
      <c r="AB14" s="208">
        <v>11985</v>
      </c>
      <c r="AC14" s="208">
        <v>2.06</v>
      </c>
      <c r="AD14" s="209">
        <v>3040</v>
      </c>
      <c r="AE14" s="208">
        <v>95578</v>
      </c>
      <c r="AF14" s="208">
        <v>1.994</v>
      </c>
      <c r="AG14" s="209">
        <v>49600</v>
      </c>
      <c r="AH14" s="208">
        <v>17818</v>
      </c>
      <c r="AI14" s="208">
        <v>0.30099999999999999</v>
      </c>
      <c r="AJ14" s="209">
        <v>1480</v>
      </c>
      <c r="AK14" s="208">
        <v>75414</v>
      </c>
      <c r="AL14" s="209">
        <v>513</v>
      </c>
      <c r="AM14" s="42">
        <f t="shared" si="17"/>
        <v>513</v>
      </c>
      <c r="AO14" s="42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9">
        <f t="shared" si="0"/>
        <v>44263</v>
      </c>
      <c r="AU14" s="208">
        <v>64250</v>
      </c>
      <c r="AV14" s="209">
        <v>12800</v>
      </c>
      <c r="AW14" s="208">
        <v>8212</v>
      </c>
      <c r="AX14" s="209">
        <v>1600</v>
      </c>
      <c r="AY14" s="210">
        <v>37123</v>
      </c>
      <c r="AZ14" s="211">
        <v>901</v>
      </c>
      <c r="BA14" s="208">
        <v>439</v>
      </c>
      <c r="BB14" s="209">
        <v>2640</v>
      </c>
      <c r="BC14" s="73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5">
        <f t="shared" si="2"/>
        <v>97442</v>
      </c>
      <c r="BW14" s="75">
        <f t="shared" si="3"/>
        <v>100582</v>
      </c>
      <c r="CF14" s="75">
        <f t="shared" si="4"/>
        <v>78232</v>
      </c>
      <c r="CO14" s="75">
        <f t="shared" si="5"/>
        <v>17818</v>
      </c>
      <c r="CX14" s="75">
        <f t="shared" si="6"/>
        <v>74759</v>
      </c>
      <c r="DG14" s="75">
        <f t="shared" si="7"/>
        <v>11002</v>
      </c>
      <c r="DP14" s="75">
        <f t="shared" si="8"/>
        <v>78232</v>
      </c>
      <c r="DY14" s="75">
        <f t="shared" si="9"/>
        <v>11638</v>
      </c>
      <c r="EH14" s="75">
        <f t="shared" si="10"/>
        <v>18156</v>
      </c>
      <c r="EQ14" s="75">
        <f t="shared" si="11"/>
        <v>11985</v>
      </c>
      <c r="EZ14" s="19">
        <f t="shared" si="12"/>
        <v>95578</v>
      </c>
      <c r="FI14" s="58"/>
      <c r="FN14" s="14"/>
      <c r="FP14" s="75">
        <f t="shared" si="13"/>
        <v>8212</v>
      </c>
      <c r="FY14" s="75">
        <f t="shared" si="14"/>
        <v>64250</v>
      </c>
      <c r="GH14" s="75">
        <f t="shared" si="15"/>
        <v>37123</v>
      </c>
      <c r="GN14" s="75">
        <f t="shared" si="16"/>
        <v>439</v>
      </c>
      <c r="HA14" s="18"/>
    </row>
    <row r="15" spans="2:213" x14ac:dyDescent="0.25">
      <c r="B15" s="72">
        <v>44270</v>
      </c>
      <c r="C15" s="206">
        <f>SUM(Essbase!J75:J81)</f>
        <v>1285</v>
      </c>
      <c r="D15" s="188">
        <v>838</v>
      </c>
      <c r="E15" s="188">
        <v>1.9470000000000001</v>
      </c>
      <c r="F15" s="195">
        <v>40960</v>
      </c>
      <c r="G15" s="188">
        <v>97733</v>
      </c>
      <c r="H15" s="188">
        <v>2.3780000000000001</v>
      </c>
      <c r="I15" s="195">
        <v>46560</v>
      </c>
      <c r="J15" s="188">
        <v>11142</v>
      </c>
      <c r="K15" s="188">
        <v>2.2799999999999998</v>
      </c>
      <c r="L15" s="195">
        <v>9600</v>
      </c>
      <c r="M15" s="188">
        <v>11025</v>
      </c>
      <c r="N15" s="188">
        <v>1.95</v>
      </c>
      <c r="O15" s="195">
        <v>9200</v>
      </c>
      <c r="P15" s="188">
        <v>11660</v>
      </c>
      <c r="Q15" s="188">
        <v>1.98</v>
      </c>
      <c r="R15" s="195">
        <v>8800</v>
      </c>
      <c r="S15" s="188">
        <v>78339</v>
      </c>
      <c r="T15" s="188">
        <v>2.5830000000000002</v>
      </c>
      <c r="U15" s="195">
        <v>32100</v>
      </c>
      <c r="V15" s="188">
        <v>74897</v>
      </c>
      <c r="W15" s="188">
        <v>1.9690000000000001</v>
      </c>
      <c r="X15" s="195">
        <v>41400</v>
      </c>
      <c r="Y15" s="188">
        <v>18188</v>
      </c>
      <c r="Z15" s="188">
        <v>3.79</v>
      </c>
      <c r="AA15" s="195">
        <v>5120</v>
      </c>
      <c r="AB15" s="188">
        <v>12001</v>
      </c>
      <c r="AC15" s="188">
        <v>2.06</v>
      </c>
      <c r="AD15" s="195">
        <v>2560</v>
      </c>
      <c r="AE15" s="188">
        <v>95829</v>
      </c>
      <c r="AF15" s="188">
        <v>2.0449999999999999</v>
      </c>
      <c r="AG15" s="195">
        <v>50200</v>
      </c>
      <c r="AH15" s="188">
        <v>17853</v>
      </c>
      <c r="AI15" s="188">
        <v>0.30099999999999999</v>
      </c>
      <c r="AJ15" s="195">
        <v>1400</v>
      </c>
      <c r="AK15" s="199">
        <v>75938</v>
      </c>
      <c r="AL15" s="195">
        <v>524</v>
      </c>
      <c r="AM15" s="42">
        <f t="shared" si="17"/>
        <v>524</v>
      </c>
      <c r="AO15" s="42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9">
        <f t="shared" si="0"/>
        <v>44270</v>
      </c>
      <c r="AU15" s="188">
        <v>64367</v>
      </c>
      <c r="AV15" s="195">
        <v>11700</v>
      </c>
      <c r="AW15" s="188">
        <v>8228</v>
      </c>
      <c r="AX15" s="195">
        <v>1600</v>
      </c>
      <c r="AY15" s="189">
        <v>38000</v>
      </c>
      <c r="AZ15" s="198">
        <v>877</v>
      </c>
      <c r="BA15" s="188">
        <v>556</v>
      </c>
      <c r="BB15" s="195">
        <v>4680</v>
      </c>
      <c r="BC15" s="73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5">
        <f t="shared" si="2"/>
        <v>97733</v>
      </c>
      <c r="BW15" s="75">
        <f t="shared" si="3"/>
        <v>838</v>
      </c>
      <c r="CF15" s="75">
        <f t="shared" si="4"/>
        <v>78339</v>
      </c>
      <c r="CO15" s="75">
        <f t="shared" si="5"/>
        <v>17853</v>
      </c>
      <c r="CX15" s="75">
        <f t="shared" si="6"/>
        <v>74897</v>
      </c>
      <c r="DG15" s="75">
        <f t="shared" si="7"/>
        <v>11025</v>
      </c>
      <c r="DP15" s="75">
        <f t="shared" si="8"/>
        <v>78339</v>
      </c>
      <c r="DY15" s="75">
        <f t="shared" si="9"/>
        <v>11660</v>
      </c>
      <c r="EH15" s="75">
        <f t="shared" si="10"/>
        <v>18188</v>
      </c>
      <c r="EQ15" s="75">
        <f t="shared" si="11"/>
        <v>12001</v>
      </c>
      <c r="EZ15" s="19">
        <f t="shared" si="12"/>
        <v>95829</v>
      </c>
      <c r="FI15" s="58"/>
      <c r="FN15" s="14"/>
      <c r="FP15" s="75">
        <f t="shared" si="13"/>
        <v>8228</v>
      </c>
      <c r="FY15" s="75">
        <f t="shared" si="14"/>
        <v>64367</v>
      </c>
      <c r="GH15" s="75">
        <f t="shared" si="15"/>
        <v>38000</v>
      </c>
      <c r="GN15" s="75">
        <f t="shared" si="16"/>
        <v>556</v>
      </c>
      <c r="HA15" s="18"/>
    </row>
    <row r="16" spans="2:213" x14ac:dyDescent="0.25">
      <c r="B16" s="72">
        <v>44277</v>
      </c>
      <c r="C16" s="206">
        <f>SUM(Essbase!J82:J89)</f>
        <v>1842</v>
      </c>
      <c r="D16" s="188">
        <v>1107</v>
      </c>
      <c r="E16" s="188">
        <v>1.587</v>
      </c>
      <c r="F16" s="195">
        <v>43040</v>
      </c>
      <c r="G16" s="188">
        <v>98040</v>
      </c>
      <c r="H16" s="188">
        <v>1.7769999999999999</v>
      </c>
      <c r="I16" s="195">
        <v>49120</v>
      </c>
      <c r="J16" s="188">
        <v>11170</v>
      </c>
      <c r="K16" s="188">
        <v>2.11</v>
      </c>
      <c r="L16" s="195">
        <v>11200</v>
      </c>
      <c r="M16" s="188">
        <v>11051</v>
      </c>
      <c r="N16" s="188">
        <v>2.2200000000000002</v>
      </c>
      <c r="O16" s="195">
        <v>10400</v>
      </c>
      <c r="P16" s="188">
        <v>11686</v>
      </c>
      <c r="Q16" s="188">
        <v>1.77</v>
      </c>
      <c r="R16" s="195">
        <v>10400</v>
      </c>
      <c r="S16" s="188">
        <v>78555</v>
      </c>
      <c r="T16" s="188">
        <v>0.85899999999999999</v>
      </c>
      <c r="U16" s="195">
        <v>64800</v>
      </c>
      <c r="V16" s="188">
        <v>75010</v>
      </c>
      <c r="W16" s="188">
        <v>0.68200000000000005</v>
      </c>
      <c r="X16" s="195">
        <v>33900</v>
      </c>
      <c r="Y16" s="188">
        <v>18228</v>
      </c>
      <c r="Z16" s="188">
        <v>2.77</v>
      </c>
      <c r="AA16" s="195">
        <v>6400</v>
      </c>
      <c r="AB16" s="188">
        <v>12021</v>
      </c>
      <c r="AC16" s="188">
        <v>1.33</v>
      </c>
      <c r="AD16" s="195">
        <v>3200</v>
      </c>
      <c r="AE16" s="188">
        <v>96075</v>
      </c>
      <c r="AF16" s="188">
        <v>1.365</v>
      </c>
      <c r="AG16" s="195">
        <v>49200</v>
      </c>
      <c r="AH16" s="188">
        <v>17892</v>
      </c>
      <c r="AI16" s="188">
        <v>0.30099999999999999</v>
      </c>
      <c r="AJ16" s="195">
        <v>1560</v>
      </c>
      <c r="AK16" s="199">
        <v>76363</v>
      </c>
      <c r="AL16" s="195">
        <v>425</v>
      </c>
      <c r="AM16" s="42">
        <f t="shared" si="17"/>
        <v>425</v>
      </c>
      <c r="AO16" s="42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9">
        <f t="shared" si="0"/>
        <v>44277</v>
      </c>
      <c r="AU16" s="188">
        <v>64498</v>
      </c>
      <c r="AV16" s="195">
        <v>13100</v>
      </c>
      <c r="AW16" s="188">
        <v>8245</v>
      </c>
      <c r="AX16" s="195">
        <v>1700</v>
      </c>
      <c r="AY16" s="189">
        <v>38841</v>
      </c>
      <c r="AZ16" s="198">
        <v>841</v>
      </c>
      <c r="BA16" s="188">
        <v>680</v>
      </c>
      <c r="BB16" s="195">
        <v>4960</v>
      </c>
      <c r="BC16" s="73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5">
        <f t="shared" si="2"/>
        <v>98040</v>
      </c>
      <c r="BW16" s="75">
        <f t="shared" si="3"/>
        <v>1107</v>
      </c>
      <c r="CF16" s="75">
        <f t="shared" si="4"/>
        <v>78555</v>
      </c>
      <c r="CO16" s="75">
        <f t="shared" si="5"/>
        <v>17892</v>
      </c>
      <c r="CX16" s="75">
        <f t="shared" si="6"/>
        <v>75010</v>
      </c>
      <c r="DG16" s="75">
        <f t="shared" si="7"/>
        <v>11051</v>
      </c>
      <c r="DP16" s="75">
        <f t="shared" si="8"/>
        <v>78555</v>
      </c>
      <c r="DY16" s="75">
        <f t="shared" si="9"/>
        <v>11686</v>
      </c>
      <c r="EH16" s="75">
        <f t="shared" si="10"/>
        <v>18228</v>
      </c>
      <c r="EQ16" s="75">
        <f t="shared" si="11"/>
        <v>12021</v>
      </c>
      <c r="EZ16" s="19">
        <f t="shared" si="12"/>
        <v>96075</v>
      </c>
      <c r="FI16" s="58"/>
      <c r="FN16" s="14"/>
      <c r="FP16" s="75">
        <f t="shared" si="13"/>
        <v>8245</v>
      </c>
      <c r="FY16" s="75">
        <f t="shared" si="14"/>
        <v>64498</v>
      </c>
      <c r="GH16" s="75">
        <f t="shared" si="15"/>
        <v>38841</v>
      </c>
      <c r="GN16" s="75">
        <f t="shared" si="16"/>
        <v>680</v>
      </c>
      <c r="HA16" s="18"/>
    </row>
    <row r="17" spans="2:217" x14ac:dyDescent="0.25">
      <c r="B17" s="72">
        <v>44284</v>
      </c>
      <c r="C17" s="206">
        <f>SUM(Essbase!J90:J96)</f>
        <v>1504</v>
      </c>
      <c r="D17" s="188">
        <v>1373</v>
      </c>
      <c r="E17" s="188">
        <v>2.0430000000000001</v>
      </c>
      <c r="F17" s="195">
        <v>42560</v>
      </c>
      <c r="G17" s="188">
        <v>98343</v>
      </c>
      <c r="H17" s="188">
        <v>2.331</v>
      </c>
      <c r="I17" s="195">
        <v>48480</v>
      </c>
      <c r="J17" s="188">
        <v>11195</v>
      </c>
      <c r="K17" s="188">
        <v>2.31</v>
      </c>
      <c r="L17" s="195">
        <v>10000</v>
      </c>
      <c r="M17" s="188">
        <v>11077</v>
      </c>
      <c r="N17" s="188">
        <v>2.27</v>
      </c>
      <c r="O17" s="195">
        <v>10400</v>
      </c>
      <c r="P17" s="188">
        <v>11710</v>
      </c>
      <c r="Q17" s="188">
        <v>2.33</v>
      </c>
      <c r="R17" s="195">
        <v>9600</v>
      </c>
      <c r="S17" s="188">
        <v>78764</v>
      </c>
      <c r="T17" s="188">
        <v>2.4350000000000001</v>
      </c>
      <c r="U17" s="195">
        <v>62700</v>
      </c>
      <c r="V17" s="188">
        <v>75151</v>
      </c>
      <c r="W17" s="188">
        <v>1.694</v>
      </c>
      <c r="X17" s="195">
        <v>42300</v>
      </c>
      <c r="Y17" s="188">
        <v>18266</v>
      </c>
      <c r="Z17" s="188">
        <v>3.13</v>
      </c>
      <c r="AA17" s="195">
        <v>6080</v>
      </c>
      <c r="AB17" s="188">
        <v>12042</v>
      </c>
      <c r="AC17" s="188">
        <v>2.46</v>
      </c>
      <c r="AD17" s="195">
        <v>3360</v>
      </c>
      <c r="AE17" s="188">
        <v>96322</v>
      </c>
      <c r="AF17" s="188">
        <v>1.9450000000000001</v>
      </c>
      <c r="AG17" s="195">
        <v>49400</v>
      </c>
      <c r="AH17" s="188">
        <v>17929</v>
      </c>
      <c r="AI17" s="188">
        <v>0.30099999999999999</v>
      </c>
      <c r="AJ17" s="195">
        <v>1480</v>
      </c>
      <c r="AK17" s="199">
        <v>76926</v>
      </c>
      <c r="AL17" s="195">
        <v>563</v>
      </c>
      <c r="AM17" s="42">
        <f t="shared" si="17"/>
        <v>563</v>
      </c>
      <c r="AO17" s="42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9">
        <f t="shared" si="0"/>
        <v>44284</v>
      </c>
      <c r="AU17" s="188">
        <v>64637</v>
      </c>
      <c r="AV17" s="195">
        <v>13900</v>
      </c>
      <c r="AW17" s="188">
        <v>8263</v>
      </c>
      <c r="AX17" s="195">
        <v>1800</v>
      </c>
      <c r="AY17" s="189">
        <v>39656</v>
      </c>
      <c r="AZ17" s="198">
        <v>815</v>
      </c>
      <c r="BA17" s="188">
        <v>805</v>
      </c>
      <c r="BB17" s="195">
        <v>5000</v>
      </c>
      <c r="BC17" s="73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4">
        <f>SUM(BL17*0.11895+BL17*0.02531)*1.09+2.85</f>
        <v>2.85</v>
      </c>
      <c r="BN17" s="75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4">
        <f>SUM(BQ17*0.0406)</f>
        <v>0</v>
      </c>
      <c r="BT17" s="74">
        <f>SUM(BQ17*0.02531)</f>
        <v>0</v>
      </c>
      <c r="BU17" s="74">
        <f>SUM(BR17*6.99)</f>
        <v>0</v>
      </c>
      <c r="BV17" s="74">
        <f>SUM(BS17+BT17)*1.09</f>
        <v>0</v>
      </c>
      <c r="BW17" s="75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4">
        <f>SUM(BZ17*0.0406)</f>
        <v>0</v>
      </c>
      <c r="CC17" s="74">
        <f>SUM(BZ17*0.02531)</f>
        <v>0</v>
      </c>
      <c r="CD17" s="74">
        <f>SUM(CA17*6.99)</f>
        <v>0</v>
      </c>
      <c r="CE17" s="74">
        <f>SUM((CB17+CC17)+20)* 1.08</f>
        <v>21.6</v>
      </c>
      <c r="CF17" s="75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4">
        <f>SUM(CI17*0.0406)</f>
        <v>0</v>
      </c>
      <c r="CL17" s="74">
        <f>SUM(CI17*0.02531)</f>
        <v>0</v>
      </c>
      <c r="CM17" s="74">
        <f>SUM(CJ17*6.99)</f>
        <v>0</v>
      </c>
      <c r="CN17" s="74">
        <f>SUM((CK17+CL17)+20)*1.09</f>
        <v>21.8</v>
      </c>
      <c r="CO17" s="75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4">
        <f>SUM(CR17*0.0406)</f>
        <v>0</v>
      </c>
      <c r="CU17" s="74">
        <f>SUM(CR17*0.02531)</f>
        <v>0</v>
      </c>
      <c r="CV17" s="74">
        <f>SUM(CS17*6.99)</f>
        <v>0</v>
      </c>
      <c r="CW17" s="74">
        <f>SUM((CT17+CU17)+20)*1.09</f>
        <v>21.8</v>
      </c>
      <c r="CX17" s="75">
        <f t="shared" si="6"/>
        <v>75151</v>
      </c>
      <c r="CY17" s="20"/>
      <c r="CZ17" s="20"/>
      <c r="DA17" s="19">
        <f>SUM(CY17-CY13)*300</f>
        <v>0</v>
      </c>
      <c r="DB17" s="76">
        <f>(CZ17)*300</f>
        <v>0</v>
      </c>
      <c r="DC17" s="74">
        <f>SUM(DA17*0.0406)</f>
        <v>0</v>
      </c>
      <c r="DD17" s="74">
        <f>SUM(DA17*0.02531)</f>
        <v>0</v>
      </c>
      <c r="DE17" s="74">
        <f>SUM(DB17*6.99)</f>
        <v>0</v>
      </c>
      <c r="DF17" s="74">
        <f>SUM((DC17+DD17)+20)*1.085</f>
        <v>21.7</v>
      </c>
      <c r="DG17" s="75">
        <f t="shared" si="7"/>
        <v>11077</v>
      </c>
      <c r="DH17" s="20"/>
      <c r="DI17" s="20"/>
      <c r="DJ17" s="19">
        <f>SUM(DH17-DH13)*400</f>
        <v>0</v>
      </c>
      <c r="DK17" s="76">
        <f>(DI17)*400</f>
        <v>0</v>
      </c>
      <c r="DL17" s="74">
        <f>SUM(DJ17*0.0406)</f>
        <v>0</v>
      </c>
      <c r="DM17" s="74">
        <f>SUM(DJ17*0.02531)</f>
        <v>0</v>
      </c>
      <c r="DN17" s="74">
        <f>SUM(DK17*6.99)</f>
        <v>0</v>
      </c>
      <c r="DO17" s="74">
        <f>SUM((DL17+DM17)+20)*1.09</f>
        <v>21.8</v>
      </c>
      <c r="DP17" s="75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4">
        <f>SUM(DS17*0.0406)</f>
        <v>0</v>
      </c>
      <c r="DV17" s="74">
        <f>SUM(DS17*0.02531)</f>
        <v>0</v>
      </c>
      <c r="DW17" s="74">
        <f>SUM(DT17*6.99)</f>
        <v>0</v>
      </c>
      <c r="DX17" s="74">
        <f>SUM((DU17+DV17)+20)*1.09</f>
        <v>21.8</v>
      </c>
      <c r="DY17" s="75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4">
        <f>SUM(EB17*0.0406)</f>
        <v>0</v>
      </c>
      <c r="EE17" s="74">
        <f>SUM(EB17*0.02531)</f>
        <v>0</v>
      </c>
      <c r="EF17" s="74">
        <f>SUM(EC17*6.99)</f>
        <v>0</v>
      </c>
      <c r="EG17" s="74">
        <f>SUM((ED17+EE17)+20)*1.09</f>
        <v>21.8</v>
      </c>
      <c r="EH17" s="75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4">
        <f>SUM(EK17*0.0406)</f>
        <v>0</v>
      </c>
      <c r="EN17" s="74">
        <f>SUM(EK17*0.02531)</f>
        <v>0</v>
      </c>
      <c r="EO17" s="74">
        <f>SUM(EL17*6.99)</f>
        <v>0</v>
      </c>
      <c r="EP17" s="74">
        <f>SUM((EM17+EN17)+20)*1.09</f>
        <v>21.8</v>
      </c>
      <c r="EQ17" s="75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4">
        <f>SUM(ET17*0.0406)</f>
        <v>0</v>
      </c>
      <c r="EW17" s="74">
        <f>SUM(ET17*0.02531)</f>
        <v>0</v>
      </c>
      <c r="EX17" s="74">
        <f>SUM(EU17*6.99)</f>
        <v>0</v>
      </c>
      <c r="EY17" s="74">
        <f>SUM((EV17+EW17)+20)*1.09</f>
        <v>21.8</v>
      </c>
      <c r="EZ17" s="19">
        <f t="shared" si="12"/>
        <v>96322</v>
      </c>
      <c r="FA17" s="87"/>
      <c r="FB17" s="87"/>
      <c r="FC17" s="19">
        <f>SUM(FA17-FA13)*200</f>
        <v>0</v>
      </c>
      <c r="FD17" s="19">
        <f>(FB17)*200</f>
        <v>0</v>
      </c>
      <c r="FE17" s="74">
        <f>SUM(FC17*0.0406)</f>
        <v>0</v>
      </c>
      <c r="FF17" s="74">
        <f>SUM(FC17*0.02531)</f>
        <v>0</v>
      </c>
      <c r="FG17" s="74">
        <f>SUM(FD17*6.99)</f>
        <v>0</v>
      </c>
      <c r="FH17" s="74">
        <f>SUM((FE17+FF17)+20)*1.09</f>
        <v>21.8</v>
      </c>
      <c r="FI17" s="58"/>
      <c r="FJ17" s="91">
        <f>SUM(BL17+BQ17+BZ17+CI17+CR17+DA17+DJ17+DS17+EB17+EK17+ET17+FC17)</f>
        <v>0</v>
      </c>
      <c r="FK17" s="92">
        <f>SUM(BM17+BV17,CE17,CN17,CW17,DF17,DO17,DX17,EG17,EP17,EY17+FH17)</f>
        <v>220.55</v>
      </c>
      <c r="FL17" s="92">
        <f>SUM(BU17,CD17,CM17,CV17,DE17,DN17,DW17,EF17,EO17,EX17,FG17)</f>
        <v>0</v>
      </c>
      <c r="FM17" s="92">
        <f>SUM(FK17:FL17)</f>
        <v>220.55</v>
      </c>
      <c r="FN17" s="14"/>
      <c r="FP17" s="75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7">
        <f>SUM(FS17*0.0406)</f>
        <v>0</v>
      </c>
      <c r="FV17" s="77">
        <f>SUM(FS17*0.02531)</f>
        <v>0</v>
      </c>
      <c r="FW17" s="77">
        <f>SUM(FT17*6.99)</f>
        <v>0</v>
      </c>
      <c r="FX17" s="74">
        <f>SUM(FV17+FU17+20)*1.1048</f>
        <v>22.096</v>
      </c>
      <c r="FY17" s="75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7">
        <f>SUM(GB17*0.0406)</f>
        <v>0</v>
      </c>
      <c r="GE17" s="77">
        <f>SUM(GB17*0.02531)</f>
        <v>0</v>
      </c>
      <c r="GF17" s="77">
        <f>SUM(GC17*6.99)</f>
        <v>0</v>
      </c>
      <c r="GG17" s="74">
        <f>SUM(GE17+GD17+20)*1.1048</f>
        <v>22.096</v>
      </c>
      <c r="GH17" s="75">
        <f t="shared" si="15"/>
        <v>39656</v>
      </c>
      <c r="GI17" s="20"/>
      <c r="GJ17" s="19">
        <f>SUM(GI17-GI13)</f>
        <v>0</v>
      </c>
      <c r="GK17" s="74">
        <f>SUM(GJ17*0.11895)</f>
        <v>0</v>
      </c>
      <c r="GL17" s="74">
        <f>SUM(GJ17*0.02531)</f>
        <v>0</v>
      </c>
      <c r="GM17" s="74">
        <f>SUM(GK17+GL17+2.32)*1.07</f>
        <v>2.4824000000000002</v>
      </c>
      <c r="GN17" s="75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4">
        <f>SUM(GQ17*0.0406)</f>
        <v>0</v>
      </c>
      <c r="GT17" s="74">
        <f>SUM(GQ17*0.02531)</f>
        <v>0</v>
      </c>
      <c r="GU17" s="74">
        <f>SUM(GR17*6.99)</f>
        <v>0</v>
      </c>
      <c r="GV17" s="74">
        <f>SUM(GT17+GS17+20)*1.2</f>
        <v>24</v>
      </c>
      <c r="GW17" s="20">
        <f>SUM(FS17+GB17+GJ17+GQ17)</f>
        <v>0</v>
      </c>
      <c r="GX17" s="92">
        <f>SUM(GV17+GM17+GG17+FX17)</f>
        <v>70.674400000000006</v>
      </c>
      <c r="GY17" s="92">
        <f>SUM(FW17+GF17+GU17)</f>
        <v>0</v>
      </c>
      <c r="GZ17" s="92">
        <f>SUM(GX17:GY17)</f>
        <v>70.674400000000006</v>
      </c>
      <c r="HA17" s="18"/>
      <c r="HB17" s="91">
        <f t="shared" ref="HB17:HD17" si="26">(FJ17+GW17)</f>
        <v>0</v>
      </c>
      <c r="HC17" s="92">
        <f t="shared" si="26"/>
        <v>291.2244</v>
      </c>
      <c r="HD17" s="92">
        <f t="shared" si="26"/>
        <v>0</v>
      </c>
      <c r="HE17" s="92">
        <f t="shared" ref="HE17" si="27">(HC17+HD17)</f>
        <v>291.2244</v>
      </c>
    </row>
    <row r="18" spans="2:217" x14ac:dyDescent="0.25">
      <c r="B18" s="72">
        <v>44287</v>
      </c>
      <c r="C18" s="206">
        <f>SUM(Essbase!J97:J99)</f>
        <v>649</v>
      </c>
      <c r="D18" s="188">
        <v>1489</v>
      </c>
      <c r="E18" s="188">
        <v>2.0430000000000001</v>
      </c>
      <c r="F18" s="195">
        <v>18560</v>
      </c>
      <c r="G18" s="188">
        <v>98471</v>
      </c>
      <c r="H18" s="188">
        <v>2.331</v>
      </c>
      <c r="I18" s="195">
        <v>20480</v>
      </c>
      <c r="J18" s="188">
        <v>11288</v>
      </c>
      <c r="K18" s="188">
        <v>2.27</v>
      </c>
      <c r="L18" s="195">
        <v>37200</v>
      </c>
      <c r="M18" s="188">
        <v>11120</v>
      </c>
      <c r="N18" s="188">
        <v>2.27</v>
      </c>
      <c r="O18" s="195">
        <v>17200</v>
      </c>
      <c r="P18" s="188">
        <v>11720</v>
      </c>
      <c r="Q18" s="188">
        <v>2.33</v>
      </c>
      <c r="R18" s="195">
        <v>4000</v>
      </c>
      <c r="S18" s="188">
        <v>78839</v>
      </c>
      <c r="T18" s="188">
        <v>2.496</v>
      </c>
      <c r="U18" s="195">
        <v>22500</v>
      </c>
      <c r="V18" s="188">
        <v>75243</v>
      </c>
      <c r="W18" s="188">
        <v>1.732</v>
      </c>
      <c r="X18" s="195">
        <v>27600</v>
      </c>
      <c r="Y18" s="188">
        <v>18280</v>
      </c>
      <c r="Z18" s="188">
        <v>2.31</v>
      </c>
      <c r="AA18" s="195">
        <v>2240</v>
      </c>
      <c r="AB18" s="188">
        <v>12050</v>
      </c>
      <c r="AC18" s="188">
        <v>2.46</v>
      </c>
      <c r="AD18" s="195">
        <v>1280</v>
      </c>
      <c r="AE18" s="188">
        <v>96437</v>
      </c>
      <c r="AF18" s="188">
        <v>1.9450000000000001</v>
      </c>
      <c r="AG18" s="195">
        <v>23000</v>
      </c>
      <c r="AH18" s="188">
        <v>17944</v>
      </c>
      <c r="AI18" s="188">
        <v>0.32500000000000001</v>
      </c>
      <c r="AJ18" s="195">
        <v>600</v>
      </c>
      <c r="AK18" s="199">
        <v>77130</v>
      </c>
      <c r="AL18" s="195">
        <v>204</v>
      </c>
      <c r="AM18" s="42">
        <f t="shared" si="17"/>
        <v>204</v>
      </c>
      <c r="AO18" s="42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9">
        <f t="shared" si="0"/>
        <v>44287</v>
      </c>
      <c r="AU18" s="188">
        <v>64676</v>
      </c>
      <c r="AV18" s="195">
        <v>3900</v>
      </c>
      <c r="AW18" s="188">
        <v>8268</v>
      </c>
      <c r="AX18" s="195">
        <v>500</v>
      </c>
      <c r="AY18" s="189">
        <v>39880</v>
      </c>
      <c r="AZ18" s="198">
        <v>224</v>
      </c>
      <c r="BA18" s="188">
        <v>837</v>
      </c>
      <c r="BB18" s="195">
        <v>1280</v>
      </c>
      <c r="BC18" s="73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5">
        <f t="shared" si="2"/>
        <v>98471</v>
      </c>
      <c r="BW18" s="75">
        <f t="shared" si="3"/>
        <v>1489</v>
      </c>
      <c r="CF18" s="75">
        <f t="shared" si="4"/>
        <v>78839</v>
      </c>
      <c r="CO18" s="75">
        <f t="shared" si="5"/>
        <v>17944</v>
      </c>
      <c r="CX18" s="75">
        <f t="shared" si="6"/>
        <v>75243</v>
      </c>
      <c r="DG18" s="75">
        <f t="shared" si="7"/>
        <v>11120</v>
      </c>
      <c r="DP18" s="75">
        <f t="shared" si="8"/>
        <v>78839</v>
      </c>
      <c r="DY18" s="75">
        <f t="shared" si="9"/>
        <v>11720</v>
      </c>
      <c r="EH18" s="75">
        <f t="shared" si="10"/>
        <v>18280</v>
      </c>
      <c r="EQ18" s="75">
        <f t="shared" si="11"/>
        <v>12050</v>
      </c>
      <c r="EZ18" s="19">
        <f t="shared" si="12"/>
        <v>96437</v>
      </c>
      <c r="FI18" s="58"/>
      <c r="FN18" s="14"/>
      <c r="FP18" s="75">
        <f t="shared" si="13"/>
        <v>8268</v>
      </c>
      <c r="FY18" s="75">
        <f t="shared" si="14"/>
        <v>64676</v>
      </c>
      <c r="GH18" s="75">
        <f t="shared" si="15"/>
        <v>39880</v>
      </c>
      <c r="GN18" s="75">
        <f t="shared" si="16"/>
        <v>837</v>
      </c>
      <c r="HA18" s="18"/>
    </row>
    <row r="19" spans="2:217" x14ac:dyDescent="0.25">
      <c r="B19" s="72">
        <v>44291</v>
      </c>
      <c r="C19" s="206">
        <f>SUM(Essbase!J100:J103)</f>
        <v>825</v>
      </c>
      <c r="D19" s="188">
        <v>1643</v>
      </c>
      <c r="E19" s="188">
        <v>2.0430000000000001</v>
      </c>
      <c r="F19" s="195">
        <v>24640</v>
      </c>
      <c r="G19" s="188">
        <v>98650</v>
      </c>
      <c r="H19" s="188">
        <v>2.331</v>
      </c>
      <c r="I19" s="195">
        <v>28640</v>
      </c>
      <c r="J19" s="188">
        <v>11225</v>
      </c>
      <c r="K19" s="188">
        <v>2.331</v>
      </c>
      <c r="L19" s="195">
        <v>6800</v>
      </c>
      <c r="M19" s="188">
        <v>11225</v>
      </c>
      <c r="N19" s="188">
        <v>2.98</v>
      </c>
      <c r="O19" s="195">
        <v>42000</v>
      </c>
      <c r="P19" s="188">
        <v>11736</v>
      </c>
      <c r="Q19" s="188">
        <v>2.54</v>
      </c>
      <c r="R19" s="195">
        <v>6400</v>
      </c>
      <c r="S19" s="188">
        <v>78914</v>
      </c>
      <c r="T19" s="188">
        <v>2.4350000000000001</v>
      </c>
      <c r="U19" s="195">
        <v>22500</v>
      </c>
      <c r="V19" s="188">
        <v>75292</v>
      </c>
      <c r="W19" s="188">
        <v>1.732</v>
      </c>
      <c r="X19" s="195">
        <v>14700</v>
      </c>
      <c r="Y19" s="188">
        <v>18299</v>
      </c>
      <c r="Z19" s="188">
        <v>3.13</v>
      </c>
      <c r="AA19" s="195">
        <v>3040</v>
      </c>
      <c r="AB19" s="188">
        <v>12060</v>
      </c>
      <c r="AC19" s="188">
        <v>2.46</v>
      </c>
      <c r="AD19" s="195">
        <v>1600</v>
      </c>
      <c r="AE19" s="188">
        <v>96569</v>
      </c>
      <c r="AF19" s="188">
        <v>1.9450000000000001</v>
      </c>
      <c r="AG19" s="195">
        <v>26400</v>
      </c>
      <c r="AH19" s="188">
        <v>17967</v>
      </c>
      <c r="AI19" s="188">
        <v>0.32500000000000001</v>
      </c>
      <c r="AJ19" s="195">
        <v>920</v>
      </c>
      <c r="AK19" s="199">
        <v>77398</v>
      </c>
      <c r="AL19" s="195">
        <v>268</v>
      </c>
      <c r="AM19" s="42">
        <f t="shared" si="17"/>
        <v>268</v>
      </c>
      <c r="AO19" s="42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9">
        <f t="shared" si="0"/>
        <v>44291</v>
      </c>
      <c r="AU19" s="188">
        <v>64782</v>
      </c>
      <c r="AV19" s="195">
        <v>10600</v>
      </c>
      <c r="AW19" s="188">
        <v>8282</v>
      </c>
      <c r="AX19" s="195">
        <v>1400</v>
      </c>
      <c r="AY19" s="189">
        <v>40565</v>
      </c>
      <c r="AZ19" s="198">
        <v>685</v>
      </c>
      <c r="BA19" s="188">
        <v>958</v>
      </c>
      <c r="BB19" s="195">
        <v>4840</v>
      </c>
      <c r="BC19" s="73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5">
        <f t="shared" si="2"/>
        <v>98650</v>
      </c>
      <c r="BW19" s="75">
        <f t="shared" si="3"/>
        <v>1643</v>
      </c>
      <c r="CF19" s="75">
        <f t="shared" si="4"/>
        <v>78914</v>
      </c>
      <c r="CO19" s="75">
        <f t="shared" si="5"/>
        <v>17967</v>
      </c>
      <c r="CX19" s="75">
        <f t="shared" si="6"/>
        <v>75292</v>
      </c>
      <c r="DG19" s="75">
        <f t="shared" si="7"/>
        <v>11225</v>
      </c>
      <c r="DP19" s="75">
        <f t="shared" si="8"/>
        <v>78914</v>
      </c>
      <c r="DY19" s="75">
        <f t="shared" si="9"/>
        <v>11736</v>
      </c>
      <c r="EH19" s="75">
        <f t="shared" si="10"/>
        <v>18299</v>
      </c>
      <c r="EQ19" s="75">
        <f t="shared" si="11"/>
        <v>12060</v>
      </c>
      <c r="EZ19" s="19">
        <f t="shared" si="12"/>
        <v>96569</v>
      </c>
      <c r="FI19" s="58"/>
      <c r="FN19" s="14"/>
      <c r="FP19" s="75">
        <f t="shared" si="13"/>
        <v>8282</v>
      </c>
      <c r="FY19" s="75">
        <f t="shared" si="14"/>
        <v>64782</v>
      </c>
      <c r="GH19" s="75">
        <f t="shared" si="15"/>
        <v>40565</v>
      </c>
      <c r="GN19" s="75">
        <f t="shared" si="16"/>
        <v>958</v>
      </c>
      <c r="HA19" s="18"/>
    </row>
    <row r="20" spans="2:217" x14ac:dyDescent="0.25">
      <c r="B20" s="72">
        <v>44298</v>
      </c>
      <c r="C20" s="206">
        <f>SUM(Essbase!J104:J110)</f>
        <v>1375</v>
      </c>
      <c r="D20" s="188">
        <v>1899</v>
      </c>
      <c r="E20" s="188">
        <v>2.0430000000000001</v>
      </c>
      <c r="F20" s="195">
        <v>40960</v>
      </c>
      <c r="G20" s="188">
        <v>98946</v>
      </c>
      <c r="H20" s="188">
        <v>2.331</v>
      </c>
      <c r="I20" s="195">
        <v>47360</v>
      </c>
      <c r="J20" s="188">
        <v>11249</v>
      </c>
      <c r="K20" s="188">
        <v>2.98</v>
      </c>
      <c r="L20" s="195">
        <v>9600</v>
      </c>
      <c r="M20" s="188">
        <v>11249</v>
      </c>
      <c r="N20" s="188">
        <v>2.98</v>
      </c>
      <c r="O20" s="195">
        <v>9600</v>
      </c>
      <c r="P20" s="188">
        <v>11758</v>
      </c>
      <c r="Q20" s="188">
        <v>2.54</v>
      </c>
      <c r="R20" s="195">
        <v>8800</v>
      </c>
      <c r="S20" s="188">
        <v>79060</v>
      </c>
      <c r="T20" s="188">
        <v>2.4350000000000001</v>
      </c>
      <c r="U20" s="195">
        <v>43800</v>
      </c>
      <c r="V20" s="188">
        <v>75414</v>
      </c>
      <c r="W20" s="188">
        <v>1.8380000000000001</v>
      </c>
      <c r="X20" s="195">
        <v>36600</v>
      </c>
      <c r="Y20" s="188">
        <v>18335</v>
      </c>
      <c r="Z20" s="188">
        <v>3.18</v>
      </c>
      <c r="AA20" s="195">
        <v>5760</v>
      </c>
      <c r="AB20" s="188">
        <v>12079</v>
      </c>
      <c r="AC20" s="188">
        <v>2.91</v>
      </c>
      <c r="AD20" s="195">
        <v>3040</v>
      </c>
      <c r="AE20" s="188">
        <v>96812</v>
      </c>
      <c r="AF20" s="188">
        <v>1.9710000000000001</v>
      </c>
      <c r="AG20" s="195">
        <v>48600</v>
      </c>
      <c r="AH20" s="188">
        <v>18001</v>
      </c>
      <c r="AI20" s="188">
        <v>0.32500000000000001</v>
      </c>
      <c r="AJ20" s="195">
        <v>1360</v>
      </c>
      <c r="AK20" s="199">
        <v>77841</v>
      </c>
      <c r="AL20" s="195">
        <v>443</v>
      </c>
      <c r="AM20" s="42">
        <f t="shared" si="17"/>
        <v>443</v>
      </c>
      <c r="AO20" s="42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9">
        <f t="shared" si="0"/>
        <v>44298</v>
      </c>
      <c r="AU20" s="188">
        <v>64891</v>
      </c>
      <c r="AV20" s="195">
        <v>10900</v>
      </c>
      <c r="AW20" s="188">
        <v>8296</v>
      </c>
      <c r="AX20" s="195">
        <v>1400</v>
      </c>
      <c r="AY20" s="189">
        <v>41258</v>
      </c>
      <c r="AZ20" s="198">
        <v>693</v>
      </c>
      <c r="BA20" s="188">
        <v>1037</v>
      </c>
      <c r="BB20" s="195">
        <v>3160</v>
      </c>
      <c r="BC20" s="73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5">
        <f t="shared" si="2"/>
        <v>98946</v>
      </c>
      <c r="BW20" s="75">
        <f t="shared" si="3"/>
        <v>1899</v>
      </c>
      <c r="CF20" s="75">
        <f t="shared" si="4"/>
        <v>79060</v>
      </c>
      <c r="CO20" s="75">
        <f t="shared" si="5"/>
        <v>18001</v>
      </c>
      <c r="CX20" s="75">
        <f t="shared" si="6"/>
        <v>75414</v>
      </c>
      <c r="DG20" s="75">
        <f t="shared" si="7"/>
        <v>11249</v>
      </c>
      <c r="DP20" s="75">
        <f t="shared" si="8"/>
        <v>79060</v>
      </c>
      <c r="DY20" s="75">
        <f t="shared" si="9"/>
        <v>11758</v>
      </c>
      <c r="EH20" s="75">
        <f t="shared" si="10"/>
        <v>18335</v>
      </c>
      <c r="EQ20" s="75">
        <f t="shared" si="11"/>
        <v>12079</v>
      </c>
      <c r="EZ20" s="19">
        <f t="shared" si="12"/>
        <v>96812</v>
      </c>
      <c r="FI20" s="58"/>
      <c r="FN20" s="14"/>
      <c r="FP20" s="75">
        <f t="shared" si="13"/>
        <v>8296</v>
      </c>
      <c r="FY20" s="75">
        <f t="shared" si="14"/>
        <v>64891</v>
      </c>
      <c r="GH20" s="75">
        <f t="shared" si="15"/>
        <v>41258</v>
      </c>
      <c r="GN20" s="75">
        <f t="shared" si="16"/>
        <v>1037</v>
      </c>
      <c r="HA20" s="18"/>
    </row>
    <row r="21" spans="2:217" x14ac:dyDescent="0.25">
      <c r="B21" s="72">
        <v>44305</v>
      </c>
      <c r="C21" s="206">
        <f>SUM(Essbase!J111:J117)</f>
        <v>1114</v>
      </c>
      <c r="D21" s="188">
        <v>2155</v>
      </c>
      <c r="E21" s="188">
        <v>2.0430000000000001</v>
      </c>
      <c r="F21" s="195">
        <v>40960</v>
      </c>
      <c r="G21" s="188">
        <v>99245</v>
      </c>
      <c r="H21" s="188">
        <v>2.331</v>
      </c>
      <c r="I21" s="195">
        <v>47840</v>
      </c>
      <c r="J21" s="188">
        <v>11272</v>
      </c>
      <c r="K21" s="188">
        <v>2.98</v>
      </c>
      <c r="L21" s="195">
        <v>9200</v>
      </c>
      <c r="M21" s="188">
        <v>11249</v>
      </c>
      <c r="N21" s="188">
        <v>2.98</v>
      </c>
      <c r="O21" s="195">
        <v>0</v>
      </c>
      <c r="P21" s="188">
        <v>11781</v>
      </c>
      <c r="Q21" s="188">
        <v>2.54</v>
      </c>
      <c r="R21" s="195">
        <v>9200</v>
      </c>
      <c r="S21" s="188">
        <v>79210</v>
      </c>
      <c r="T21" s="188">
        <v>2.4350000000000001</v>
      </c>
      <c r="U21" s="195">
        <v>45000</v>
      </c>
      <c r="V21" s="188">
        <v>75632</v>
      </c>
      <c r="W21" s="188">
        <v>1.8380000000000001</v>
      </c>
      <c r="X21" s="195">
        <v>65400</v>
      </c>
      <c r="Y21" s="188">
        <v>18371</v>
      </c>
      <c r="Z21" s="188">
        <v>3.18</v>
      </c>
      <c r="AA21" s="195">
        <v>5760</v>
      </c>
      <c r="AB21" s="188">
        <v>12097</v>
      </c>
      <c r="AC21" s="188">
        <v>2.91</v>
      </c>
      <c r="AD21" s="195">
        <v>2880</v>
      </c>
      <c r="AE21" s="188">
        <v>97060</v>
      </c>
      <c r="AF21" s="188">
        <v>1.9710000000000001</v>
      </c>
      <c r="AG21" s="195">
        <v>49600</v>
      </c>
      <c r="AH21" s="188">
        <v>18038</v>
      </c>
      <c r="AI21" s="188">
        <v>0.32500000000000001</v>
      </c>
      <c r="AJ21" s="195">
        <v>1480</v>
      </c>
      <c r="AK21" s="199">
        <v>78231</v>
      </c>
      <c r="AL21" s="195">
        <v>390</v>
      </c>
      <c r="AM21" s="42">
        <f t="shared" si="17"/>
        <v>390</v>
      </c>
      <c r="AO21" s="42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9">
        <f t="shared" si="0"/>
        <v>44305</v>
      </c>
      <c r="AU21" s="188">
        <v>65036</v>
      </c>
      <c r="AV21" s="195">
        <v>14500</v>
      </c>
      <c r="AW21" s="188">
        <v>8314</v>
      </c>
      <c r="AX21" s="195">
        <v>1800</v>
      </c>
      <c r="AY21" s="189">
        <v>42069</v>
      </c>
      <c r="AZ21" s="198">
        <v>811</v>
      </c>
      <c r="BA21" s="188">
        <v>1107</v>
      </c>
      <c r="BB21" s="195">
        <v>2800</v>
      </c>
      <c r="BC21" s="73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5">
        <f t="shared" si="2"/>
        <v>99245</v>
      </c>
      <c r="BW21" s="75">
        <f t="shared" si="3"/>
        <v>2155</v>
      </c>
      <c r="CF21" s="75">
        <f t="shared" si="4"/>
        <v>79210</v>
      </c>
      <c r="CO21" s="75">
        <f t="shared" si="5"/>
        <v>18038</v>
      </c>
      <c r="CX21" s="75">
        <f t="shared" si="6"/>
        <v>75632</v>
      </c>
      <c r="DG21" s="75">
        <f t="shared" si="7"/>
        <v>11249</v>
      </c>
      <c r="DP21" s="75">
        <f t="shared" si="8"/>
        <v>79210</v>
      </c>
      <c r="DY21" s="75">
        <f t="shared" si="9"/>
        <v>11781</v>
      </c>
      <c r="EH21" s="75">
        <f t="shared" si="10"/>
        <v>18371</v>
      </c>
      <c r="EQ21" s="75">
        <f t="shared" si="11"/>
        <v>12097</v>
      </c>
      <c r="EZ21" s="19">
        <f t="shared" si="12"/>
        <v>97060</v>
      </c>
      <c r="FI21" s="58"/>
      <c r="FN21" s="14"/>
      <c r="FP21" s="75">
        <f t="shared" si="13"/>
        <v>8314</v>
      </c>
      <c r="FY21" s="75">
        <f t="shared" si="14"/>
        <v>65036</v>
      </c>
      <c r="GH21" s="75">
        <f t="shared" si="15"/>
        <v>42069</v>
      </c>
      <c r="GN21" s="75">
        <f t="shared" si="16"/>
        <v>1107</v>
      </c>
      <c r="HA21" s="18"/>
    </row>
    <row r="22" spans="2:217" x14ac:dyDescent="0.25">
      <c r="B22" s="72">
        <v>44312</v>
      </c>
      <c r="C22" s="206">
        <f>SUM(Essbase!J118:J124)</f>
        <v>1179</v>
      </c>
      <c r="D22" s="188">
        <v>2403</v>
      </c>
      <c r="E22" s="188">
        <v>1.901</v>
      </c>
      <c r="F22" s="195">
        <v>39680</v>
      </c>
      <c r="G22" s="188">
        <v>99528</v>
      </c>
      <c r="H22" s="188">
        <v>2.1720000000000002</v>
      </c>
      <c r="I22" s="195">
        <v>45280</v>
      </c>
      <c r="J22" s="188">
        <v>11294</v>
      </c>
      <c r="K22" s="188">
        <v>1.88</v>
      </c>
      <c r="L22" s="195">
        <v>8800</v>
      </c>
      <c r="M22" s="188">
        <v>11294</v>
      </c>
      <c r="N22" s="188">
        <v>1.88</v>
      </c>
      <c r="O22" s="195">
        <v>18000</v>
      </c>
      <c r="P22" s="188">
        <v>11802</v>
      </c>
      <c r="Q22" s="188">
        <v>1.56</v>
      </c>
      <c r="R22" s="195">
        <v>8400</v>
      </c>
      <c r="S22" s="188">
        <v>79392</v>
      </c>
      <c r="T22" s="188">
        <v>2.4820000000000002</v>
      </c>
      <c r="U22" s="195">
        <v>54600</v>
      </c>
      <c r="V22" s="188">
        <v>75796</v>
      </c>
      <c r="W22" s="188">
        <v>1.931</v>
      </c>
      <c r="X22" s="195">
        <v>49200</v>
      </c>
      <c r="Y22" s="188">
        <v>18407</v>
      </c>
      <c r="Z22" s="188">
        <v>3.17</v>
      </c>
      <c r="AA22" s="195">
        <v>5760</v>
      </c>
      <c r="AB22" s="188">
        <v>12116</v>
      </c>
      <c r="AC22" s="188">
        <v>1.56</v>
      </c>
      <c r="AD22" s="195">
        <v>3040</v>
      </c>
      <c r="AE22" s="188">
        <v>97280</v>
      </c>
      <c r="AF22" s="188">
        <v>1.7470000000000001</v>
      </c>
      <c r="AG22" s="195">
        <v>44000</v>
      </c>
      <c r="AH22" s="188">
        <v>18072</v>
      </c>
      <c r="AI22" s="188">
        <v>0.29299999999999998</v>
      </c>
      <c r="AJ22" s="195">
        <v>1360</v>
      </c>
      <c r="AK22" s="199">
        <v>78799</v>
      </c>
      <c r="AL22" s="195">
        <v>568</v>
      </c>
      <c r="AM22" s="42">
        <f t="shared" si="17"/>
        <v>568</v>
      </c>
      <c r="AO22" s="42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9">
        <f t="shared" si="0"/>
        <v>44312</v>
      </c>
      <c r="AU22" s="188">
        <v>65178</v>
      </c>
      <c r="AV22" s="195">
        <v>14200</v>
      </c>
      <c r="AW22" s="188">
        <v>8332</v>
      </c>
      <c r="AX22" s="195">
        <v>1800</v>
      </c>
      <c r="AY22" s="189">
        <v>42932</v>
      </c>
      <c r="AZ22" s="198">
        <v>863</v>
      </c>
      <c r="BA22" s="188">
        <v>1171</v>
      </c>
      <c r="BB22" s="195">
        <v>2560</v>
      </c>
      <c r="BC22" s="73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5">
        <f t="shared" si="2"/>
        <v>99528</v>
      </c>
      <c r="BW22" s="75">
        <f t="shared" si="3"/>
        <v>2403</v>
      </c>
      <c r="CF22" s="75">
        <f t="shared" si="4"/>
        <v>79392</v>
      </c>
      <c r="CO22" s="75">
        <f t="shared" si="5"/>
        <v>18072</v>
      </c>
      <c r="CX22" s="75">
        <f t="shared" si="6"/>
        <v>75796</v>
      </c>
      <c r="DG22" s="75">
        <f t="shared" si="7"/>
        <v>11294</v>
      </c>
      <c r="DP22" s="75">
        <f t="shared" si="8"/>
        <v>79392</v>
      </c>
      <c r="DY22" s="75">
        <f t="shared" si="9"/>
        <v>11802</v>
      </c>
      <c r="EH22" s="75">
        <f t="shared" si="10"/>
        <v>18407</v>
      </c>
      <c r="EQ22" s="75">
        <f t="shared" si="11"/>
        <v>12116</v>
      </c>
      <c r="EZ22" s="19">
        <f t="shared" si="12"/>
        <v>97280</v>
      </c>
      <c r="FI22" s="58"/>
      <c r="FN22" s="14"/>
      <c r="FP22" s="75">
        <f t="shared" si="13"/>
        <v>8332</v>
      </c>
      <c r="FY22" s="75">
        <f t="shared" si="14"/>
        <v>65178</v>
      </c>
      <c r="GH22" s="75">
        <f t="shared" si="15"/>
        <v>42932</v>
      </c>
      <c r="GN22" s="75">
        <f t="shared" si="16"/>
        <v>1171</v>
      </c>
      <c r="HA22" s="18"/>
    </row>
    <row r="23" spans="2:217" x14ac:dyDescent="0.25">
      <c r="B23" s="72">
        <v>44317</v>
      </c>
      <c r="C23" s="206">
        <f>SUM(Essbase!J125:J129)</f>
        <v>897</v>
      </c>
      <c r="D23" s="188">
        <v>2587</v>
      </c>
      <c r="E23" s="188">
        <v>1.901</v>
      </c>
      <c r="F23" s="195">
        <v>29440</v>
      </c>
      <c r="G23" s="188">
        <v>99745</v>
      </c>
      <c r="H23" s="188">
        <v>2.1720000000000002</v>
      </c>
      <c r="I23" s="195">
        <v>34720</v>
      </c>
      <c r="J23" s="188">
        <v>11310</v>
      </c>
      <c r="K23" s="188">
        <v>1.88</v>
      </c>
      <c r="L23" s="195">
        <v>6400</v>
      </c>
      <c r="M23" s="188">
        <v>11187</v>
      </c>
      <c r="N23" s="188">
        <v>1.75</v>
      </c>
      <c r="O23" s="195">
        <v>9200</v>
      </c>
      <c r="P23" s="188">
        <v>11817</v>
      </c>
      <c r="Q23" s="188">
        <v>1.66</v>
      </c>
      <c r="R23" s="195">
        <v>6000</v>
      </c>
      <c r="S23" s="188">
        <v>79525</v>
      </c>
      <c r="T23" s="188">
        <v>2.4820000000000002</v>
      </c>
      <c r="U23" s="195">
        <v>39900</v>
      </c>
      <c r="V23" s="188">
        <v>75948</v>
      </c>
      <c r="W23" s="188">
        <v>1.931</v>
      </c>
      <c r="X23" s="195">
        <v>45600</v>
      </c>
      <c r="Y23" s="188">
        <v>18437</v>
      </c>
      <c r="Z23" s="188">
        <v>3.21</v>
      </c>
      <c r="AA23" s="195">
        <v>4800</v>
      </c>
      <c r="AB23" s="188">
        <v>12132</v>
      </c>
      <c r="AC23" s="188">
        <v>2.23</v>
      </c>
      <c r="AD23" s="195">
        <v>2560</v>
      </c>
      <c r="AE23" s="188">
        <v>97453</v>
      </c>
      <c r="AF23" s="188">
        <v>1.7529999999999999</v>
      </c>
      <c r="AG23" s="195">
        <v>34600</v>
      </c>
      <c r="AH23" s="188">
        <v>18100</v>
      </c>
      <c r="AI23" s="188">
        <v>0.32</v>
      </c>
      <c r="AJ23" s="195">
        <v>1120</v>
      </c>
      <c r="AK23" s="199">
        <v>79115</v>
      </c>
      <c r="AL23" s="195">
        <v>316</v>
      </c>
      <c r="AM23" s="42">
        <f t="shared" si="17"/>
        <v>316</v>
      </c>
      <c r="AO23" s="42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9">
        <f t="shared" si="0"/>
        <v>44317</v>
      </c>
      <c r="AU23" s="188">
        <v>65284</v>
      </c>
      <c r="AV23" s="195">
        <v>10600</v>
      </c>
      <c r="AW23" s="188">
        <v>8346</v>
      </c>
      <c r="AX23" s="195">
        <v>1400</v>
      </c>
      <c r="AY23" s="189">
        <v>43568</v>
      </c>
      <c r="AZ23" s="198">
        <v>636</v>
      </c>
      <c r="BA23" s="188">
        <v>1230</v>
      </c>
      <c r="BB23" s="195">
        <v>2360</v>
      </c>
      <c r="BC23" s="73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4">
        <f>SUM(BL23*0.13773+BL23*0.02095)*1.09+2.85</f>
        <v>2.85</v>
      </c>
      <c r="BN23" s="75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4">
        <f>SUM(BQ23*0.05155)</f>
        <v>0</v>
      </c>
      <c r="BT23" s="74">
        <f>SUM(BQ23*0.02095)</f>
        <v>0</v>
      </c>
      <c r="BU23" s="74">
        <f>SUM(BR23*7.689)</f>
        <v>0</v>
      </c>
      <c r="BV23" s="74">
        <f>SUM(BS23+BT23)*1.11</f>
        <v>0</v>
      </c>
      <c r="BW23" s="75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4">
        <f>SUM(BZ23*0.05155)</f>
        <v>0</v>
      </c>
      <c r="CC23" s="74">
        <f>SUM(BZ23*0.02095)</f>
        <v>0</v>
      </c>
      <c r="CD23" s="74">
        <f>SUM(CA23*7.689)</f>
        <v>0</v>
      </c>
      <c r="CE23" s="74">
        <f>SUM((CB23+CC23)+20)* 1.11</f>
        <v>22.200000000000003</v>
      </c>
      <c r="CF23" s="75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4">
        <f>SUM(CI23*0.05155)</f>
        <v>0</v>
      </c>
      <c r="CL23" s="74">
        <f>SUM(CI23*0.02095)</f>
        <v>0</v>
      </c>
      <c r="CM23" s="74">
        <f>SUM(CJ23*7.689)</f>
        <v>0</v>
      </c>
      <c r="CN23" s="74">
        <f>SUM((CK23+CL23)+20)*1.11</f>
        <v>22.200000000000003</v>
      </c>
      <c r="CO23" s="75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4">
        <f>SUM(CR23*0.05155)</f>
        <v>0</v>
      </c>
      <c r="CU23" s="74">
        <f>SUM(CR23*0.02095)</f>
        <v>0</v>
      </c>
      <c r="CV23" s="74">
        <f>SUM(CS23*7.689)</f>
        <v>0</v>
      </c>
      <c r="CW23" s="74">
        <f>SUM((CT23+CU23)+20)*1.11</f>
        <v>22.200000000000003</v>
      </c>
      <c r="CX23" s="75">
        <f t="shared" si="6"/>
        <v>75948</v>
      </c>
      <c r="CY23" s="20"/>
      <c r="CZ23" s="20"/>
      <c r="DA23" s="19">
        <f>SUM(CY23-CY17)*300</f>
        <v>0</v>
      </c>
      <c r="DB23" s="76">
        <f>(CZ23)*300</f>
        <v>0</v>
      </c>
      <c r="DC23" s="74">
        <f>SUM(DA23*0.05155)</f>
        <v>0</v>
      </c>
      <c r="DD23" s="74">
        <f>SUM(DA23*0.02095)</f>
        <v>0</v>
      </c>
      <c r="DE23" s="74">
        <f>SUM(DB23*7.689)</f>
        <v>0</v>
      </c>
      <c r="DF23" s="74">
        <f>SUM((DC23+DD23)+20)*1.12</f>
        <v>22.400000000000002</v>
      </c>
      <c r="DG23" s="75">
        <f t="shared" si="7"/>
        <v>11187</v>
      </c>
      <c r="DH23" s="20"/>
      <c r="DI23" s="20"/>
      <c r="DJ23" s="19">
        <f>SUM(DH23-DH17)*400</f>
        <v>0</v>
      </c>
      <c r="DK23" s="76">
        <f>(DI23)*400</f>
        <v>0</v>
      </c>
      <c r="DL23" s="74">
        <f>SUM(DJ23*0.05155)</f>
        <v>0</v>
      </c>
      <c r="DM23" s="74">
        <f>SUM(DJ23*0.02095)</f>
        <v>0</v>
      </c>
      <c r="DN23" s="74">
        <f>SUM(DK23*7.689)</f>
        <v>0</v>
      </c>
      <c r="DO23" s="74">
        <f>SUM((DL23+DM23)+20)*1.12</f>
        <v>22.400000000000002</v>
      </c>
      <c r="DP23" s="75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4">
        <f>SUM(DS23*0.05155)</f>
        <v>0</v>
      </c>
      <c r="DV23" s="74">
        <f>SUM(DS23*0.02095)</f>
        <v>0</v>
      </c>
      <c r="DW23" s="74">
        <f>SUM(DT23*7.689)</f>
        <v>0</v>
      </c>
      <c r="DX23" s="74">
        <f>SUM((DU23+DV23)+20)*1.12</f>
        <v>22.400000000000002</v>
      </c>
      <c r="DY23" s="75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4">
        <f>SUM(EB23*0.05155)</f>
        <v>0</v>
      </c>
      <c r="EE23" s="74">
        <f>SUM(EB23*0.02095)</f>
        <v>0</v>
      </c>
      <c r="EF23" s="74">
        <f>SUM(EC23*7.689)</f>
        <v>0</v>
      </c>
      <c r="EG23" s="74">
        <f>SUM((ED23+EE23)+20)*1.12</f>
        <v>22.400000000000002</v>
      </c>
      <c r="EH23" s="75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4">
        <f>SUM(EK23*0.05155)</f>
        <v>0</v>
      </c>
      <c r="EN23" s="74">
        <f>SUM(EK23*0.02095)</f>
        <v>0</v>
      </c>
      <c r="EO23" s="74">
        <f>SUM(EL23*7.689)</f>
        <v>0</v>
      </c>
      <c r="EP23" s="74">
        <f>SUM((EM23+EN23)+20)*1.12</f>
        <v>22.400000000000002</v>
      </c>
      <c r="EQ23" s="75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4">
        <f>SUM(ET23*0.05155)</f>
        <v>0</v>
      </c>
      <c r="EW23" s="74">
        <f>SUM(ET23*0.02095)</f>
        <v>0</v>
      </c>
      <c r="EX23" s="74">
        <f>SUM(EU23*7.689)</f>
        <v>0</v>
      </c>
      <c r="EY23" s="74">
        <f>SUM((EV23+EW23)+20)*1.12</f>
        <v>22.400000000000002</v>
      </c>
      <c r="EZ23" s="19">
        <f t="shared" si="12"/>
        <v>97453</v>
      </c>
      <c r="FA23" s="87"/>
      <c r="FB23" s="87"/>
      <c r="FC23" s="19">
        <f>SUM(FA23-FA17)*200</f>
        <v>0</v>
      </c>
      <c r="FD23" s="19">
        <f>(FB23)*200</f>
        <v>0</v>
      </c>
      <c r="FE23" s="74">
        <f>SUM(FC23*0.05155)</f>
        <v>0</v>
      </c>
      <c r="FF23" s="74">
        <f>SUM(FC23*0.02095)</f>
        <v>0</v>
      </c>
      <c r="FG23" s="74">
        <f>SUM(FD23*7.689)</f>
        <v>0</v>
      </c>
      <c r="FH23" s="74">
        <f>SUM((FE23+FF23)+20)*1.12</f>
        <v>22.400000000000002</v>
      </c>
      <c r="FI23" s="58"/>
      <c r="FJ23" s="91">
        <f>SUM(BL23+BQ23+BZ23+CI23+CR23+DA23+DJ23+DS23+EB23+EK23+ET23+FC23)</f>
        <v>0</v>
      </c>
      <c r="FK23" s="92">
        <f>SUM(BM23+BV23,CE23,CN23,CW23,DF23,DO23,DX23,EG23,EP23,EY23+FH23)</f>
        <v>226.25000000000006</v>
      </c>
      <c r="FL23" s="92">
        <f>SUM(BU23,CD23,CM23,CV23,DE23,DN23,DW23,EF23,EO23,EX23,FG23)</f>
        <v>0</v>
      </c>
      <c r="FM23" s="92">
        <f>SUM(FK23:FL23)</f>
        <v>226.25000000000006</v>
      </c>
      <c r="FN23" s="14"/>
      <c r="FP23" s="75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7">
        <f>SUM(FS23*0.05155)</f>
        <v>0</v>
      </c>
      <c r="FV23" s="77">
        <f>SUM(FS23*0.02095)</f>
        <v>0</v>
      </c>
      <c r="FW23" s="77">
        <f>SUM(FT23*7.689)</f>
        <v>0</v>
      </c>
      <c r="FX23" s="74">
        <f>SUM(FV23+FU23+20)*1.1048</f>
        <v>22.096</v>
      </c>
      <c r="FY23" s="75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7">
        <f>SUM(GB23*0.05155)</f>
        <v>0</v>
      </c>
      <c r="GE23" s="77">
        <f>SUM(GB23*0.02095)</f>
        <v>0</v>
      </c>
      <c r="GF23" s="77">
        <f>SUM(GC23*7.689)</f>
        <v>0</v>
      </c>
      <c r="GG23" s="74">
        <f>SUM(GE23+GD23+20)*1.1048</f>
        <v>22.096</v>
      </c>
      <c r="GH23" s="75">
        <f t="shared" si="15"/>
        <v>43568</v>
      </c>
      <c r="GI23" s="20"/>
      <c r="GJ23" s="19">
        <f>SUM(GI23-GI17)</f>
        <v>0</v>
      </c>
      <c r="GK23" s="74">
        <f>SUM(GJ23*0.13773)</f>
        <v>0</v>
      </c>
      <c r="GL23" s="74">
        <f>SUM(GJ23*0.02095)</f>
        <v>0</v>
      </c>
      <c r="GM23" s="74">
        <f>SUM(GK23+GL23+2.32)*1.07</f>
        <v>2.4824000000000002</v>
      </c>
      <c r="GN23" s="75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4">
        <f>SUM(GQ23*0.05155)</f>
        <v>0</v>
      </c>
      <c r="GT23" s="74">
        <f>SUM(GQ23*0.02095)</f>
        <v>0</v>
      </c>
      <c r="GU23" s="74">
        <f>SUM(GR23*7.689)</f>
        <v>0</v>
      </c>
      <c r="GV23" s="74">
        <f>SUM(GT23+GS23+20)*1.2</f>
        <v>24</v>
      </c>
      <c r="GW23" s="20">
        <f>SUM(FS23+GB23+GJ23+GQ23)</f>
        <v>0</v>
      </c>
      <c r="GX23" s="92">
        <f>SUM(GV23+GM23+GG23+FX23)</f>
        <v>70.674400000000006</v>
      </c>
      <c r="GY23" s="92">
        <f>SUM(FW23+GF23+GU23)</f>
        <v>0</v>
      </c>
      <c r="GZ23" s="92">
        <f>SUM(GX23:GY23)</f>
        <v>70.674400000000006</v>
      </c>
      <c r="HA23" s="18"/>
      <c r="HB23" s="91">
        <f t="shared" ref="HB23:HD23" si="28">(FJ23+GW23)</f>
        <v>0</v>
      </c>
      <c r="HC23" s="92">
        <f t="shared" si="28"/>
        <v>296.92440000000005</v>
      </c>
      <c r="HD23" s="92">
        <f t="shared" si="28"/>
        <v>0</v>
      </c>
      <c r="HE23" s="92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2">
        <v>44319</v>
      </c>
      <c r="C24" s="206">
        <f>SUM(Essbase!J130:J131)</f>
        <v>533</v>
      </c>
      <c r="D24" s="188">
        <v>2650</v>
      </c>
      <c r="E24" s="188">
        <v>1.901</v>
      </c>
      <c r="F24" s="195">
        <v>10080</v>
      </c>
      <c r="G24" s="188">
        <v>99819</v>
      </c>
      <c r="H24" s="188">
        <v>2.1720000000000002</v>
      </c>
      <c r="I24" s="195">
        <v>11840</v>
      </c>
      <c r="J24" s="188">
        <v>11316</v>
      </c>
      <c r="K24" s="188">
        <v>1.88</v>
      </c>
      <c r="L24" s="195">
        <v>2400</v>
      </c>
      <c r="M24" s="188">
        <v>11193</v>
      </c>
      <c r="N24" s="188">
        <v>1.79</v>
      </c>
      <c r="O24" s="195">
        <v>2400</v>
      </c>
      <c r="P24" s="188">
        <v>11823</v>
      </c>
      <c r="Q24" s="188">
        <v>1.76</v>
      </c>
      <c r="R24" s="195">
        <v>2400</v>
      </c>
      <c r="S24" s="188">
        <v>79581</v>
      </c>
      <c r="T24" s="188">
        <v>2.4820000000000002</v>
      </c>
      <c r="U24" s="195">
        <v>16800</v>
      </c>
      <c r="V24" s="188">
        <v>76005</v>
      </c>
      <c r="W24" s="188">
        <v>1.998</v>
      </c>
      <c r="X24" s="195">
        <v>17100</v>
      </c>
      <c r="Y24" s="188">
        <v>18449</v>
      </c>
      <c r="Z24" s="188">
        <v>4.24</v>
      </c>
      <c r="AA24" s="195">
        <v>1920</v>
      </c>
      <c r="AB24" s="188">
        <v>12137</v>
      </c>
      <c r="AC24" s="188">
        <v>2.23</v>
      </c>
      <c r="AD24" s="195">
        <v>800</v>
      </c>
      <c r="AE24" s="188">
        <v>97513</v>
      </c>
      <c r="AF24" s="188">
        <v>1.8320000000000001</v>
      </c>
      <c r="AG24" s="195">
        <v>12000</v>
      </c>
      <c r="AH24" s="188">
        <v>18110</v>
      </c>
      <c r="AI24" s="188">
        <v>0.32</v>
      </c>
      <c r="AJ24" s="195">
        <v>400</v>
      </c>
      <c r="AK24" s="199">
        <v>79238</v>
      </c>
      <c r="AL24" s="195">
        <v>123</v>
      </c>
      <c r="AM24" s="42">
        <f t="shared" si="17"/>
        <v>123</v>
      </c>
      <c r="AO24" s="42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9">
        <f t="shared" si="0"/>
        <v>44319</v>
      </c>
      <c r="AU24" s="188">
        <v>65328</v>
      </c>
      <c r="AV24" s="195">
        <v>4400</v>
      </c>
      <c r="AW24" s="188">
        <v>8351</v>
      </c>
      <c r="AX24" s="195">
        <v>500</v>
      </c>
      <c r="AY24" s="189">
        <v>43824</v>
      </c>
      <c r="AZ24" s="198">
        <v>256</v>
      </c>
      <c r="BA24" s="188">
        <v>1262</v>
      </c>
      <c r="BB24" s="195">
        <v>1280</v>
      </c>
      <c r="BC24" s="73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5">
        <f t="shared" si="2"/>
        <v>99819</v>
      </c>
      <c r="BW24" s="75">
        <f t="shared" si="3"/>
        <v>2650</v>
      </c>
      <c r="CF24" s="75">
        <f t="shared" si="4"/>
        <v>79581</v>
      </c>
      <c r="CO24" s="75">
        <f t="shared" si="5"/>
        <v>18110</v>
      </c>
      <c r="CX24" s="75">
        <f t="shared" si="6"/>
        <v>76005</v>
      </c>
      <c r="DG24" s="75">
        <f t="shared" si="7"/>
        <v>11193</v>
      </c>
      <c r="DP24" s="75">
        <f t="shared" si="8"/>
        <v>79581</v>
      </c>
      <c r="DY24" s="75">
        <f t="shared" si="9"/>
        <v>11823</v>
      </c>
      <c r="EH24" s="75">
        <f t="shared" si="10"/>
        <v>18449</v>
      </c>
      <c r="EQ24" s="75">
        <f t="shared" si="11"/>
        <v>12137</v>
      </c>
      <c r="EZ24" s="19">
        <f t="shared" si="12"/>
        <v>97513</v>
      </c>
      <c r="FI24" s="58"/>
      <c r="FN24" s="14"/>
      <c r="FP24" s="75">
        <f t="shared" si="13"/>
        <v>8351</v>
      </c>
      <c r="FY24" s="75">
        <f t="shared" si="14"/>
        <v>65328</v>
      </c>
      <c r="GH24" s="75">
        <f t="shared" si="15"/>
        <v>43824</v>
      </c>
      <c r="GN24" s="75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2">
        <v>44326</v>
      </c>
      <c r="C25" s="206">
        <f>SUM(Essbase!J132:J138)</f>
        <v>1890</v>
      </c>
      <c r="D25" s="188">
        <v>2904</v>
      </c>
      <c r="E25" s="188">
        <v>1.901</v>
      </c>
      <c r="F25" s="195">
        <v>40640</v>
      </c>
      <c r="G25" s="188">
        <v>100122</v>
      </c>
      <c r="H25" s="188">
        <v>2.2650000000000001</v>
      </c>
      <c r="I25" s="195">
        <v>48480</v>
      </c>
      <c r="J25" s="188">
        <v>11342</v>
      </c>
      <c r="K25" s="188">
        <v>2.13</v>
      </c>
      <c r="L25" s="195">
        <v>10400</v>
      </c>
      <c r="M25" s="188">
        <v>11219</v>
      </c>
      <c r="N25" s="188">
        <v>2.06</v>
      </c>
      <c r="O25" s="195">
        <v>10400</v>
      </c>
      <c r="P25" s="188">
        <v>11847</v>
      </c>
      <c r="Q25" s="188">
        <v>1.99</v>
      </c>
      <c r="R25" s="195">
        <v>9600</v>
      </c>
      <c r="S25" s="188">
        <v>79833</v>
      </c>
      <c r="T25" s="188">
        <v>2.6459999999999999</v>
      </c>
      <c r="U25" s="195">
        <v>75600</v>
      </c>
      <c r="V25" s="188">
        <v>76219</v>
      </c>
      <c r="W25" s="188">
        <v>2.306</v>
      </c>
      <c r="X25" s="195">
        <v>64200</v>
      </c>
      <c r="Y25" s="188">
        <v>18507</v>
      </c>
      <c r="Z25" s="188">
        <v>6.13</v>
      </c>
      <c r="AA25" s="195">
        <v>9280</v>
      </c>
      <c r="AB25" s="188">
        <v>12156</v>
      </c>
      <c r="AC25" s="188">
        <v>2.23</v>
      </c>
      <c r="AD25" s="195">
        <v>3040</v>
      </c>
      <c r="AE25" s="188">
        <v>97754</v>
      </c>
      <c r="AF25" s="188">
        <v>1.87</v>
      </c>
      <c r="AG25" s="195">
        <v>48200</v>
      </c>
      <c r="AH25" s="188">
        <v>18148</v>
      </c>
      <c r="AI25" s="188">
        <v>0.32</v>
      </c>
      <c r="AJ25" s="195">
        <v>1520</v>
      </c>
      <c r="AK25" s="199">
        <v>79660</v>
      </c>
      <c r="AL25" s="195">
        <v>422</v>
      </c>
      <c r="AM25" s="42">
        <f t="shared" si="17"/>
        <v>422</v>
      </c>
      <c r="AO25" s="42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9">
        <f t="shared" si="0"/>
        <v>44326</v>
      </c>
      <c r="AU25" s="188">
        <v>65407</v>
      </c>
      <c r="AV25" s="195">
        <v>7900</v>
      </c>
      <c r="AW25" s="188">
        <v>8373</v>
      </c>
      <c r="AX25" s="195">
        <v>2200</v>
      </c>
      <c r="AY25" s="189">
        <v>44844</v>
      </c>
      <c r="AZ25" s="198">
        <v>1020</v>
      </c>
      <c r="BA25" s="188">
        <v>1415</v>
      </c>
      <c r="BB25" s="195">
        <v>6120</v>
      </c>
      <c r="BC25" s="73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5">
        <f t="shared" si="2"/>
        <v>100122</v>
      </c>
      <c r="BW25" s="75">
        <f t="shared" si="3"/>
        <v>2904</v>
      </c>
      <c r="CF25" s="75">
        <f t="shared" si="4"/>
        <v>79833</v>
      </c>
      <c r="CO25" s="75">
        <f t="shared" si="5"/>
        <v>18148</v>
      </c>
      <c r="CX25" s="75">
        <f t="shared" si="6"/>
        <v>76219</v>
      </c>
      <c r="DG25" s="75">
        <f t="shared" si="7"/>
        <v>11219</v>
      </c>
      <c r="DP25" s="75">
        <f t="shared" si="8"/>
        <v>79833</v>
      </c>
      <c r="DY25" s="75">
        <f t="shared" si="9"/>
        <v>11847</v>
      </c>
      <c r="EH25" s="75">
        <f t="shared" si="10"/>
        <v>18507</v>
      </c>
      <c r="EQ25" s="75">
        <f t="shared" si="11"/>
        <v>12156</v>
      </c>
      <c r="EZ25" s="19">
        <f t="shared" si="12"/>
        <v>97754</v>
      </c>
      <c r="FI25" s="58"/>
      <c r="FN25" s="14"/>
      <c r="FP25" s="75">
        <f t="shared" si="13"/>
        <v>8373</v>
      </c>
      <c r="FY25" s="75">
        <f t="shared" si="14"/>
        <v>65407</v>
      </c>
      <c r="GH25" s="75">
        <f t="shared" si="15"/>
        <v>44844</v>
      </c>
      <c r="GN25" s="75">
        <f t="shared" si="16"/>
        <v>1415</v>
      </c>
      <c r="HA25" s="18"/>
    </row>
    <row r="26" spans="2:217" x14ac:dyDescent="0.25">
      <c r="B26" s="72">
        <v>44333</v>
      </c>
      <c r="C26" s="206">
        <f>SUM(Essbase!J139:J145)</f>
        <v>1519</v>
      </c>
      <c r="D26" s="188">
        <v>3148</v>
      </c>
      <c r="E26" s="188">
        <v>1.901</v>
      </c>
      <c r="F26" s="195">
        <v>39040</v>
      </c>
      <c r="G26" s="188">
        <v>100414</v>
      </c>
      <c r="H26" s="188">
        <v>2.2650000000000001</v>
      </c>
      <c r="I26" s="195">
        <v>46720</v>
      </c>
      <c r="J26" s="188">
        <v>11366</v>
      </c>
      <c r="K26" s="188">
        <v>2.13</v>
      </c>
      <c r="L26" s="195">
        <v>9600</v>
      </c>
      <c r="M26" s="188">
        <v>11241</v>
      </c>
      <c r="N26" s="188">
        <v>2.06</v>
      </c>
      <c r="O26" s="195">
        <v>8800</v>
      </c>
      <c r="P26" s="188">
        <v>11870</v>
      </c>
      <c r="Q26" s="188">
        <v>1.99</v>
      </c>
      <c r="R26" s="195">
        <v>9200</v>
      </c>
      <c r="S26" s="188">
        <v>80019</v>
      </c>
      <c r="T26" s="188">
        <v>2.6459999999999999</v>
      </c>
      <c r="U26" s="195">
        <v>55800</v>
      </c>
      <c r="V26" s="188">
        <v>76415</v>
      </c>
      <c r="W26" s="188">
        <v>2.306</v>
      </c>
      <c r="X26" s="195">
        <v>58800</v>
      </c>
      <c r="Y26" s="188">
        <v>18546</v>
      </c>
      <c r="Z26" s="188">
        <v>6.13</v>
      </c>
      <c r="AA26" s="195">
        <v>6240</v>
      </c>
      <c r="AB26" s="188">
        <v>12179</v>
      </c>
      <c r="AC26" s="188">
        <v>2.23</v>
      </c>
      <c r="AD26" s="195">
        <v>3680</v>
      </c>
      <c r="AE26" s="188">
        <v>97995</v>
      </c>
      <c r="AF26" s="188">
        <v>1.87</v>
      </c>
      <c r="AG26" s="195">
        <v>48200</v>
      </c>
      <c r="AH26" s="188">
        <v>18184</v>
      </c>
      <c r="AI26" s="188">
        <v>0.32</v>
      </c>
      <c r="AJ26" s="195">
        <v>1440</v>
      </c>
      <c r="AK26" s="199">
        <v>80100</v>
      </c>
      <c r="AL26" s="195">
        <v>440</v>
      </c>
      <c r="AM26" s="42">
        <f t="shared" si="17"/>
        <v>440</v>
      </c>
      <c r="AO26" s="42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9">
        <f t="shared" si="0"/>
        <v>44333</v>
      </c>
      <c r="AU26" s="188">
        <v>65612</v>
      </c>
      <c r="AV26" s="195">
        <v>20500</v>
      </c>
      <c r="AW26" s="188">
        <v>8390</v>
      </c>
      <c r="AX26" s="195">
        <v>1700</v>
      </c>
      <c r="AY26" s="189">
        <v>45602</v>
      </c>
      <c r="AZ26" s="198">
        <v>758</v>
      </c>
      <c r="BA26" s="188">
        <v>1537</v>
      </c>
      <c r="BB26" s="195">
        <v>4880</v>
      </c>
      <c r="BC26" s="73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5">
        <f t="shared" si="2"/>
        <v>100414</v>
      </c>
      <c r="BW26" s="75">
        <f t="shared" si="3"/>
        <v>3148</v>
      </c>
      <c r="CF26" s="75">
        <f t="shared" si="4"/>
        <v>80019</v>
      </c>
      <c r="CO26" s="75">
        <f t="shared" si="5"/>
        <v>18184</v>
      </c>
      <c r="CX26" s="75">
        <f t="shared" si="6"/>
        <v>76415</v>
      </c>
      <c r="DG26" s="75">
        <f t="shared" si="7"/>
        <v>11241</v>
      </c>
      <c r="DP26" s="75">
        <f t="shared" si="8"/>
        <v>80019</v>
      </c>
      <c r="DY26" s="75">
        <f t="shared" si="9"/>
        <v>11870</v>
      </c>
      <c r="EH26" s="75">
        <f t="shared" si="10"/>
        <v>18546</v>
      </c>
      <c r="EQ26" s="75">
        <f t="shared" si="11"/>
        <v>12179</v>
      </c>
      <c r="EZ26" s="19">
        <f t="shared" si="12"/>
        <v>97995</v>
      </c>
      <c r="FI26" s="58"/>
      <c r="FN26" s="14"/>
      <c r="FP26" s="75">
        <f t="shared" si="13"/>
        <v>8390</v>
      </c>
      <c r="FY26" s="75">
        <f t="shared" si="14"/>
        <v>65612</v>
      </c>
      <c r="GH26" s="75">
        <f t="shared" si="15"/>
        <v>45602</v>
      </c>
      <c r="GN26" s="75">
        <f t="shared" si="16"/>
        <v>1537</v>
      </c>
      <c r="HA26" s="18"/>
    </row>
    <row r="27" spans="2:217" x14ac:dyDescent="0.25">
      <c r="B27" s="72">
        <v>44340</v>
      </c>
      <c r="C27" s="206">
        <f>SUM(Essbase!J146:J152)</f>
        <v>1599</v>
      </c>
      <c r="D27" s="188">
        <v>3394</v>
      </c>
      <c r="E27" s="188">
        <v>1.93</v>
      </c>
      <c r="F27" s="195">
        <v>39360</v>
      </c>
      <c r="G27" s="188">
        <v>713</v>
      </c>
      <c r="H27" s="188">
        <v>2.1829999999999998</v>
      </c>
      <c r="I27" s="195">
        <v>47840</v>
      </c>
      <c r="J27" s="188">
        <v>11391</v>
      </c>
      <c r="K27" s="188">
        <v>2.09</v>
      </c>
      <c r="L27" s="195">
        <v>10000</v>
      </c>
      <c r="M27" s="188">
        <v>11266</v>
      </c>
      <c r="N27" s="188">
        <v>1.84</v>
      </c>
      <c r="O27" s="195">
        <v>10000</v>
      </c>
      <c r="P27" s="188">
        <v>11893</v>
      </c>
      <c r="Q27" s="188">
        <v>1.83</v>
      </c>
      <c r="R27" s="195">
        <v>9200</v>
      </c>
      <c r="S27" s="188">
        <v>80206</v>
      </c>
      <c r="T27" s="188">
        <v>1.774</v>
      </c>
      <c r="U27" s="195">
        <v>56100</v>
      </c>
      <c r="V27" s="188">
        <v>76614</v>
      </c>
      <c r="W27" s="188">
        <v>1.5109999999999999</v>
      </c>
      <c r="X27" s="195">
        <v>59700</v>
      </c>
      <c r="Y27" s="188">
        <v>18587</v>
      </c>
      <c r="Z27" s="188">
        <v>2.87</v>
      </c>
      <c r="AA27" s="195">
        <v>6560</v>
      </c>
      <c r="AB27" s="188">
        <v>12198</v>
      </c>
      <c r="AC27" s="188">
        <v>1.44</v>
      </c>
      <c r="AD27" s="195">
        <v>3040</v>
      </c>
      <c r="AE27" s="188">
        <v>98245</v>
      </c>
      <c r="AF27" s="188">
        <v>1.9890000000000001</v>
      </c>
      <c r="AG27" s="195">
        <v>50000</v>
      </c>
      <c r="AH27" s="188">
        <v>18220</v>
      </c>
      <c r="AI27" s="188">
        <v>0.28599999999999998</v>
      </c>
      <c r="AJ27" s="195">
        <v>1440</v>
      </c>
      <c r="AK27" s="199">
        <v>80494</v>
      </c>
      <c r="AL27" s="195">
        <v>394</v>
      </c>
      <c r="AM27" s="42">
        <f t="shared" si="17"/>
        <v>394</v>
      </c>
      <c r="AO27" s="42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9">
        <f t="shared" si="0"/>
        <v>44340</v>
      </c>
      <c r="AU27" s="188">
        <v>65752</v>
      </c>
      <c r="AV27" s="195">
        <v>14000</v>
      </c>
      <c r="AW27" s="188">
        <v>8408</v>
      </c>
      <c r="AX27" s="195">
        <v>1800</v>
      </c>
      <c r="AY27" s="189">
        <v>46495</v>
      </c>
      <c r="AZ27" s="198">
        <v>893</v>
      </c>
      <c r="BA27" s="188">
        <v>1683</v>
      </c>
      <c r="BB27" s="195">
        <v>5840</v>
      </c>
      <c r="BC27" s="73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5">
        <f t="shared" si="2"/>
        <v>713</v>
      </c>
      <c r="BW27" s="75">
        <f t="shared" si="3"/>
        <v>3394</v>
      </c>
      <c r="CF27" s="75">
        <f t="shared" si="4"/>
        <v>80206</v>
      </c>
      <c r="CO27" s="75">
        <f t="shared" si="5"/>
        <v>18220</v>
      </c>
      <c r="CX27" s="75">
        <f t="shared" si="6"/>
        <v>76614</v>
      </c>
      <c r="DG27" s="75">
        <f t="shared" si="7"/>
        <v>11266</v>
      </c>
      <c r="DP27" s="75">
        <f t="shared" si="8"/>
        <v>80206</v>
      </c>
      <c r="DY27" s="75">
        <f t="shared" si="9"/>
        <v>11893</v>
      </c>
      <c r="EH27" s="75">
        <f t="shared" si="10"/>
        <v>18587</v>
      </c>
      <c r="EQ27" s="75">
        <f t="shared" si="11"/>
        <v>12198</v>
      </c>
      <c r="EZ27" s="19">
        <f t="shared" si="12"/>
        <v>98245</v>
      </c>
      <c r="FI27" s="58"/>
      <c r="FN27" s="14"/>
      <c r="FP27" s="75">
        <f t="shared" si="13"/>
        <v>8408</v>
      </c>
      <c r="FY27" s="75">
        <f t="shared" si="14"/>
        <v>65752</v>
      </c>
      <c r="GH27" s="75">
        <f t="shared" si="15"/>
        <v>46495</v>
      </c>
      <c r="GN27" s="75">
        <f t="shared" si="16"/>
        <v>1683</v>
      </c>
      <c r="HA27" s="18"/>
    </row>
    <row r="28" spans="2:217" x14ac:dyDescent="0.25">
      <c r="B28" s="72">
        <v>44348</v>
      </c>
      <c r="C28" s="206">
        <f>SUM(Essbase!J153:J160)</f>
        <v>1815</v>
      </c>
      <c r="D28" s="188">
        <v>3638</v>
      </c>
      <c r="E28" s="188">
        <v>1.93</v>
      </c>
      <c r="F28" s="195">
        <v>39040</v>
      </c>
      <c r="G28" s="188">
        <v>1004</v>
      </c>
      <c r="H28" s="188">
        <v>2.1829999999999998</v>
      </c>
      <c r="I28" s="195">
        <v>46560</v>
      </c>
      <c r="J28" s="188">
        <v>11414</v>
      </c>
      <c r="K28" s="188">
        <v>2.09</v>
      </c>
      <c r="L28" s="195">
        <v>9200</v>
      </c>
      <c r="M28" s="188">
        <v>11288</v>
      </c>
      <c r="N28" s="188">
        <v>1.84</v>
      </c>
      <c r="O28" s="195">
        <v>8800</v>
      </c>
      <c r="P28" s="188">
        <v>11917</v>
      </c>
      <c r="Q28" s="188">
        <v>1.86</v>
      </c>
      <c r="R28" s="195">
        <v>9600</v>
      </c>
      <c r="S28" s="188">
        <v>80382</v>
      </c>
      <c r="T28" s="188">
        <v>1.774</v>
      </c>
      <c r="U28" s="195">
        <v>52800</v>
      </c>
      <c r="V28" s="188">
        <v>76814</v>
      </c>
      <c r="W28" s="188">
        <v>1.8560000000000001</v>
      </c>
      <c r="X28" s="195">
        <v>60000</v>
      </c>
      <c r="Y28" s="188">
        <v>18623</v>
      </c>
      <c r="Z28" s="188">
        <v>2.9</v>
      </c>
      <c r="AA28" s="195">
        <v>5760</v>
      </c>
      <c r="AB28" s="188">
        <v>12215</v>
      </c>
      <c r="AC28" s="188">
        <v>1.54</v>
      </c>
      <c r="AD28" s="195">
        <v>2720</v>
      </c>
      <c r="AE28" s="188">
        <v>98489</v>
      </c>
      <c r="AF28" s="188">
        <v>1.9890000000000001</v>
      </c>
      <c r="AG28" s="195">
        <v>48800</v>
      </c>
      <c r="AH28" s="188">
        <v>18255</v>
      </c>
      <c r="AI28" s="188">
        <v>0.29799999999999999</v>
      </c>
      <c r="AJ28" s="195">
        <v>1400</v>
      </c>
      <c r="AK28" s="199">
        <v>80911</v>
      </c>
      <c r="AL28" s="195">
        <v>417</v>
      </c>
      <c r="AM28" s="42">
        <f t="shared" si="17"/>
        <v>417</v>
      </c>
      <c r="AO28" s="42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9">
        <f t="shared" si="0"/>
        <v>44348</v>
      </c>
      <c r="AU28" s="188">
        <v>65902</v>
      </c>
      <c r="AV28" s="195">
        <v>15000</v>
      </c>
      <c r="AW28" s="188">
        <v>8427</v>
      </c>
      <c r="AX28" s="195">
        <v>1900</v>
      </c>
      <c r="AY28" s="189">
        <v>47386</v>
      </c>
      <c r="AZ28" s="198">
        <v>891</v>
      </c>
      <c r="BA28" s="188">
        <v>1832</v>
      </c>
      <c r="BB28" s="195">
        <v>5960</v>
      </c>
      <c r="BC28" s="73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4">
        <f>SUM(BL28*0.13773+BL28*0.02095)*1.09+2.85</f>
        <v>2.85</v>
      </c>
      <c r="BN28" s="75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4">
        <f>SUM(BQ28*0.05155)</f>
        <v>0</v>
      </c>
      <c r="BT28" s="74">
        <f>SUM(BQ28*0.02095)</f>
        <v>0</v>
      </c>
      <c r="BU28" s="74">
        <f>SUM(BR28*7.689)</f>
        <v>0</v>
      </c>
      <c r="BV28" s="74">
        <f>SUM(BS28+BT28)*1.11</f>
        <v>0</v>
      </c>
      <c r="BW28" s="75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4">
        <f>SUM(BZ28*0.05155)</f>
        <v>0</v>
      </c>
      <c r="CC28" s="74">
        <f>SUM(BZ28*0.02095)</f>
        <v>0</v>
      </c>
      <c r="CD28" s="74">
        <f>SUM(CA28*7.689)</f>
        <v>0</v>
      </c>
      <c r="CE28" s="74">
        <f>SUM((CB28+CC28)+20)* 1.11</f>
        <v>22.200000000000003</v>
      </c>
      <c r="CF28" s="75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4">
        <f>SUM(CI28*0.05155)</f>
        <v>0</v>
      </c>
      <c r="CL28" s="74">
        <f>SUM(CI28*0.02095)</f>
        <v>0</v>
      </c>
      <c r="CM28" s="74">
        <f>SUM(CJ28*7.689)</f>
        <v>0</v>
      </c>
      <c r="CN28" s="74">
        <f>SUM((CK28+CL28)+20)*1.11</f>
        <v>22.200000000000003</v>
      </c>
      <c r="CO28" s="75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4">
        <f>SUM(CR28*0.05155)</f>
        <v>0</v>
      </c>
      <c r="CU28" s="74">
        <f>SUM(CR28*0.02095)</f>
        <v>0</v>
      </c>
      <c r="CV28" s="74">
        <f>SUM(CS28*7.689)</f>
        <v>0</v>
      </c>
      <c r="CW28" s="74">
        <f>SUM((CT28+CU28)+20)*1.11</f>
        <v>22.200000000000003</v>
      </c>
      <c r="CX28" s="75">
        <f t="shared" si="6"/>
        <v>76814</v>
      </c>
      <c r="CY28" s="20"/>
      <c r="CZ28" s="20"/>
      <c r="DA28" s="19">
        <f>SUM(CY28-CY23)*300</f>
        <v>0</v>
      </c>
      <c r="DB28" s="76">
        <f>(CZ28)*300</f>
        <v>0</v>
      </c>
      <c r="DC28" s="74">
        <f>SUM(DA28*0.05155)</f>
        <v>0</v>
      </c>
      <c r="DD28" s="74">
        <f>SUM(DA28*0.02095)</f>
        <v>0</v>
      </c>
      <c r="DE28" s="74">
        <f>SUM(DB28*7.689)</f>
        <v>0</v>
      </c>
      <c r="DF28" s="74">
        <f>SUM((DC28+DD28)+20)*1.12</f>
        <v>22.400000000000002</v>
      </c>
      <c r="DG28" s="75">
        <f t="shared" si="7"/>
        <v>11288</v>
      </c>
      <c r="DH28" s="20"/>
      <c r="DI28" s="20"/>
      <c r="DJ28" s="19">
        <f>SUM(DH28-DH23)*400</f>
        <v>0</v>
      </c>
      <c r="DK28" s="76">
        <f>(DI28)*400</f>
        <v>0</v>
      </c>
      <c r="DL28" s="74">
        <f>SUM(DJ28*0.05155)</f>
        <v>0</v>
      </c>
      <c r="DM28" s="74">
        <f>SUM(DJ28*0.02095)</f>
        <v>0</v>
      </c>
      <c r="DN28" s="74">
        <f>SUM(DK28*7.689)</f>
        <v>0</v>
      </c>
      <c r="DO28" s="74">
        <f>SUM((DL28+DM28)+20)*1.12</f>
        <v>22.400000000000002</v>
      </c>
      <c r="DP28" s="75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4">
        <f>SUM(DS28*0.05155)</f>
        <v>0</v>
      </c>
      <c r="DV28" s="74">
        <f>SUM(DS28*0.02095)</f>
        <v>0</v>
      </c>
      <c r="DW28" s="74">
        <f>SUM(DT28*7.689)</f>
        <v>0</v>
      </c>
      <c r="DX28" s="74">
        <f>SUM((DU28+DV28)+20)*1.12</f>
        <v>22.400000000000002</v>
      </c>
      <c r="DY28" s="75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4">
        <f>SUM(EB28*0.05155)</f>
        <v>0</v>
      </c>
      <c r="EE28" s="74">
        <f>SUM(EB28*0.02095)</f>
        <v>0</v>
      </c>
      <c r="EF28" s="74">
        <f>SUM(EC28*7.689)</f>
        <v>0</v>
      </c>
      <c r="EG28" s="74">
        <f>SUM((ED28+EE28)+20)*1.12</f>
        <v>22.400000000000002</v>
      </c>
      <c r="EH28" s="75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4">
        <f>SUM(EK28*0.05155)</f>
        <v>0</v>
      </c>
      <c r="EN28" s="74">
        <f>SUM(EK28*0.02095)</f>
        <v>0</v>
      </c>
      <c r="EO28" s="74">
        <f>SUM(EL28*7.689)</f>
        <v>0</v>
      </c>
      <c r="EP28" s="74">
        <f>SUM((EM28+EN28)+20)*1.12</f>
        <v>22.400000000000002</v>
      </c>
      <c r="EQ28" s="75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4">
        <f>SUM(ET28*0.05155)</f>
        <v>0</v>
      </c>
      <c r="EW28" s="74">
        <f>SUM(ET28*0.02095)</f>
        <v>0</v>
      </c>
      <c r="EX28" s="74">
        <f>SUM(EU28*7.689)</f>
        <v>0</v>
      </c>
      <c r="EY28" s="74">
        <f>SUM((EV28+EW28)+20)*1.12</f>
        <v>22.400000000000002</v>
      </c>
      <c r="EZ28" s="19">
        <f t="shared" si="12"/>
        <v>98489</v>
      </c>
      <c r="FA28" s="87"/>
      <c r="FB28" s="87"/>
      <c r="FC28" s="19">
        <f>SUM(FA28-FA23)*200</f>
        <v>0</v>
      </c>
      <c r="FD28" s="19">
        <f>(FB28)*200</f>
        <v>0</v>
      </c>
      <c r="FE28" s="74">
        <f>SUM(FC28*0.05155)</f>
        <v>0</v>
      </c>
      <c r="FF28" s="74">
        <f>SUM(FC28*0.02095)</f>
        <v>0</v>
      </c>
      <c r="FG28" s="74">
        <f>SUM(FD28*7.689)</f>
        <v>0</v>
      </c>
      <c r="FH28" s="74">
        <f>SUM((FE28+FF28)+20)*1.12</f>
        <v>22.400000000000002</v>
      </c>
      <c r="FI28" s="58"/>
      <c r="FJ28" s="91">
        <f>SUM(BL28+BQ28+BZ28+CI28+CR28+DA28+DJ28+DS28+EB28+EK28+ET28+FC28)</f>
        <v>0</v>
      </c>
      <c r="FK28" s="92">
        <f>SUM(BM28+BV28,CE28,CN28,CW28,DF28,DO28,DX28,EG28,EP28,EY28+FH28)</f>
        <v>226.25000000000006</v>
      </c>
      <c r="FL28" s="92">
        <f>SUM(BU28,CD28,CM28,CV28,DE28,DN28,DW28,EF28,EO28,EX28,FG28)</f>
        <v>0</v>
      </c>
      <c r="FM28" s="92">
        <f>SUM(FK28:FL28)</f>
        <v>226.25000000000006</v>
      </c>
      <c r="FN28" s="14"/>
      <c r="FP28" s="75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7">
        <f>SUM(FS28*0.05155)</f>
        <v>0</v>
      </c>
      <c r="FV28" s="77">
        <f>SUM(FS28*0.02095)</f>
        <v>0</v>
      </c>
      <c r="FW28" s="77">
        <f>SUM(FT28*7.689)</f>
        <v>0</v>
      </c>
      <c r="FX28" s="74">
        <f>SUM(FV28+FU28+20)*1.1048</f>
        <v>22.096</v>
      </c>
      <c r="FY28" s="75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7">
        <f>SUM(GB28*0.05155)</f>
        <v>0</v>
      </c>
      <c r="GE28" s="77">
        <f>SUM(GB28*0.02095)</f>
        <v>0</v>
      </c>
      <c r="GF28" s="77">
        <f>SUM(GC28*7.689)</f>
        <v>0</v>
      </c>
      <c r="GG28" s="74">
        <f>SUM(GE28+GD28+20)*1.1048</f>
        <v>22.096</v>
      </c>
      <c r="GH28" s="75">
        <f t="shared" si="15"/>
        <v>47386</v>
      </c>
      <c r="GI28" s="20"/>
      <c r="GJ28" s="19">
        <v>2618</v>
      </c>
      <c r="GK28" s="74">
        <f>SUM(GJ28*0.13773)</f>
        <v>360.57713999999999</v>
      </c>
      <c r="GL28" s="74">
        <f>SUM(GJ28*0.02095)</f>
        <v>54.847099999999998</v>
      </c>
      <c r="GM28" s="74">
        <f>SUM(GK28+GL28+2.32)*1.07</f>
        <v>446.9863368</v>
      </c>
      <c r="GN28" s="75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4">
        <f>SUM(GQ28*0.05155)</f>
        <v>0</v>
      </c>
      <c r="GT28" s="74">
        <f>SUM(GQ28*0.02095)</f>
        <v>0</v>
      </c>
      <c r="GU28" s="74">
        <f>SUM(GR28*7.689)</f>
        <v>0</v>
      </c>
      <c r="GV28" s="74">
        <f>SUM(GT28+GS28+20)*1.2</f>
        <v>24</v>
      </c>
      <c r="GW28" s="20">
        <f>SUM(FS28+GB28+GJ28+GQ28)</f>
        <v>2618</v>
      </c>
      <c r="GX28" s="92">
        <f>SUM(GV28+GM28+GG28+FX28)</f>
        <v>515.17833680000001</v>
      </c>
      <c r="GY28" s="92">
        <f>SUM(FW28+GF28+GU28)</f>
        <v>0</v>
      </c>
      <c r="GZ28" s="92">
        <f>SUM(GX28:GY28)</f>
        <v>515.17833680000001</v>
      </c>
      <c r="HA28" s="18"/>
      <c r="HB28" s="91">
        <f t="shared" ref="HB28:HD28" si="30">(FJ28+GW28)</f>
        <v>2618</v>
      </c>
      <c r="HC28" s="92">
        <f t="shared" si="30"/>
        <v>741.42833680000012</v>
      </c>
      <c r="HD28" s="92">
        <f t="shared" si="30"/>
        <v>0</v>
      </c>
      <c r="HE28" s="92">
        <f t="shared" ref="HE28" si="31">(HC28+HD28)</f>
        <v>741.42833680000012</v>
      </c>
    </row>
    <row r="29" spans="2:217" x14ac:dyDescent="0.25">
      <c r="B29" s="72">
        <v>44354</v>
      </c>
      <c r="C29" s="206">
        <f>SUM(Essbase!J161:J166)</f>
        <v>1312</v>
      </c>
      <c r="D29" s="188">
        <v>3887</v>
      </c>
      <c r="E29" s="188">
        <v>1.9319999999999999</v>
      </c>
      <c r="F29" s="195">
        <v>39840</v>
      </c>
      <c r="G29" s="188">
        <v>1297</v>
      </c>
      <c r="H29" s="188">
        <v>2.1909999999999998</v>
      </c>
      <c r="I29" s="195">
        <v>46880</v>
      </c>
      <c r="J29" s="188">
        <v>11440</v>
      </c>
      <c r="K29" s="188">
        <v>2.09</v>
      </c>
      <c r="L29" s="195">
        <v>10400</v>
      </c>
      <c r="M29" s="188">
        <v>11311</v>
      </c>
      <c r="N29" s="188">
        <v>1.84</v>
      </c>
      <c r="O29" s="195">
        <v>9200</v>
      </c>
      <c r="P29" s="188">
        <v>11940</v>
      </c>
      <c r="Q29" s="188">
        <v>1.94</v>
      </c>
      <c r="R29" s="195">
        <v>9200</v>
      </c>
      <c r="S29" s="188">
        <v>80634</v>
      </c>
      <c r="T29" s="188">
        <v>2.778</v>
      </c>
      <c r="U29" s="195">
        <v>75600</v>
      </c>
      <c r="V29" s="188">
        <v>77062</v>
      </c>
      <c r="W29" s="188">
        <v>2.2109999999999999</v>
      </c>
      <c r="X29" s="195">
        <v>74400</v>
      </c>
      <c r="Y29" s="188">
        <v>18660</v>
      </c>
      <c r="Z29" s="188">
        <v>3.28</v>
      </c>
      <c r="AA29" s="195">
        <v>5920</v>
      </c>
      <c r="AB29" s="188">
        <v>12235</v>
      </c>
      <c r="AC29" s="188">
        <v>2.4900000000000002</v>
      </c>
      <c r="AD29" s="195">
        <v>3200</v>
      </c>
      <c r="AE29" s="188">
        <v>98737</v>
      </c>
      <c r="AF29" s="188">
        <v>2</v>
      </c>
      <c r="AG29" s="195">
        <v>49600</v>
      </c>
      <c r="AH29" s="188">
        <v>18290</v>
      </c>
      <c r="AI29" s="188">
        <v>0.3</v>
      </c>
      <c r="AJ29" s="195">
        <v>1400</v>
      </c>
      <c r="AK29" s="199">
        <v>81300</v>
      </c>
      <c r="AL29" s="195">
        <v>389</v>
      </c>
      <c r="AM29" s="42">
        <f t="shared" si="17"/>
        <v>389</v>
      </c>
      <c r="AO29" s="42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9">
        <f t="shared" si="0"/>
        <v>44354</v>
      </c>
      <c r="AU29" s="188">
        <v>66057</v>
      </c>
      <c r="AV29" s="195">
        <v>15500</v>
      </c>
      <c r="AW29" s="188">
        <v>8446</v>
      </c>
      <c r="AX29" s="195">
        <v>1900</v>
      </c>
      <c r="AY29" s="189">
        <v>48268</v>
      </c>
      <c r="AZ29" s="198">
        <v>882</v>
      </c>
      <c r="BA29" s="188">
        <v>1930</v>
      </c>
      <c r="BB29" s="195">
        <v>3920</v>
      </c>
      <c r="BC29" s="73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5">
        <f t="shared" si="2"/>
        <v>1297</v>
      </c>
      <c r="BW29" s="75">
        <f t="shared" si="3"/>
        <v>3887</v>
      </c>
      <c r="CF29" s="75">
        <f t="shared" si="4"/>
        <v>80634</v>
      </c>
      <c r="CO29" s="75">
        <f t="shared" si="5"/>
        <v>18290</v>
      </c>
      <c r="CX29" s="75">
        <f t="shared" si="6"/>
        <v>77062</v>
      </c>
      <c r="DG29" s="75">
        <f t="shared" si="7"/>
        <v>11311</v>
      </c>
      <c r="DP29" s="75">
        <f t="shared" si="8"/>
        <v>80634</v>
      </c>
      <c r="DY29" s="75">
        <f t="shared" si="9"/>
        <v>11940</v>
      </c>
      <c r="EH29" s="75">
        <f t="shared" si="10"/>
        <v>18660</v>
      </c>
      <c r="EQ29" s="75">
        <f t="shared" si="11"/>
        <v>12235</v>
      </c>
      <c r="EZ29" s="19">
        <f t="shared" si="12"/>
        <v>98737</v>
      </c>
      <c r="FI29" s="58"/>
      <c r="FN29" s="14"/>
      <c r="FP29" s="75">
        <f t="shared" si="13"/>
        <v>8446</v>
      </c>
      <c r="FY29" s="75">
        <f t="shared" si="14"/>
        <v>66057</v>
      </c>
      <c r="GH29" s="75">
        <f t="shared" si="15"/>
        <v>48268</v>
      </c>
      <c r="GN29" s="75">
        <f t="shared" si="16"/>
        <v>1930</v>
      </c>
      <c r="HA29" s="18"/>
    </row>
    <row r="30" spans="2:217" x14ac:dyDescent="0.25">
      <c r="B30" s="72">
        <v>44361</v>
      </c>
      <c r="C30" s="206">
        <f>SUM(Essbase!J167:J173)</f>
        <v>1880</v>
      </c>
      <c r="D30" s="188">
        <v>4137</v>
      </c>
      <c r="E30" s="188">
        <v>1.9319999999999999</v>
      </c>
      <c r="F30" s="195">
        <v>40000</v>
      </c>
      <c r="G30" s="188">
        <v>1601</v>
      </c>
      <c r="H30" s="188">
        <v>2.202</v>
      </c>
      <c r="I30" s="195">
        <v>48640</v>
      </c>
      <c r="J30" s="188">
        <v>11466</v>
      </c>
      <c r="K30" s="188">
        <v>2.09</v>
      </c>
      <c r="L30" s="195">
        <v>10400</v>
      </c>
      <c r="M30" s="188">
        <v>11336</v>
      </c>
      <c r="N30" s="188">
        <v>1.87</v>
      </c>
      <c r="O30" s="195">
        <v>10000</v>
      </c>
      <c r="P30" s="188">
        <v>11966</v>
      </c>
      <c r="Q30" s="188">
        <v>1.94</v>
      </c>
      <c r="R30" s="195">
        <v>10400</v>
      </c>
      <c r="S30" s="188">
        <v>80895</v>
      </c>
      <c r="T30" s="188">
        <v>2.778</v>
      </c>
      <c r="U30" s="195">
        <v>78300</v>
      </c>
      <c r="V30" s="188">
        <v>77318</v>
      </c>
      <c r="W30" s="188">
        <v>2.2109999999999999</v>
      </c>
      <c r="X30" s="195">
        <v>76800</v>
      </c>
      <c r="Y30" s="188">
        <v>18699</v>
      </c>
      <c r="Z30" s="188">
        <v>3.33</v>
      </c>
      <c r="AA30" s="195">
        <v>6240</v>
      </c>
      <c r="AB30" s="188">
        <v>12257</v>
      </c>
      <c r="AC30" s="188">
        <v>2.4900000000000002</v>
      </c>
      <c r="AD30" s="195">
        <v>3520</v>
      </c>
      <c r="AE30" s="188">
        <v>99002</v>
      </c>
      <c r="AF30" s="188">
        <v>2.0009999999999999</v>
      </c>
      <c r="AG30" s="195">
        <v>53000</v>
      </c>
      <c r="AH30" s="188">
        <v>18327</v>
      </c>
      <c r="AI30" s="188">
        <v>0.3</v>
      </c>
      <c r="AJ30" s="195">
        <v>1480</v>
      </c>
      <c r="AK30" s="199">
        <v>81749</v>
      </c>
      <c r="AL30" s="195">
        <v>449</v>
      </c>
      <c r="AM30" s="42">
        <f t="shared" si="17"/>
        <v>449</v>
      </c>
      <c r="AO30" s="42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9">
        <f t="shared" si="0"/>
        <v>44361</v>
      </c>
      <c r="AU30" s="188">
        <v>66271</v>
      </c>
      <c r="AV30" s="195">
        <v>21400</v>
      </c>
      <c r="AW30" s="188">
        <v>8458</v>
      </c>
      <c r="AX30" s="195">
        <v>1200</v>
      </c>
      <c r="AY30" s="189">
        <v>49162</v>
      </c>
      <c r="AZ30" s="198">
        <v>894</v>
      </c>
      <c r="BA30" s="188">
        <v>2022</v>
      </c>
      <c r="BB30" s="195">
        <v>3680</v>
      </c>
      <c r="BC30" s="73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5">
        <f t="shared" si="2"/>
        <v>1601</v>
      </c>
      <c r="BW30" s="75">
        <f t="shared" si="3"/>
        <v>4137</v>
      </c>
      <c r="CF30" s="75">
        <f t="shared" si="4"/>
        <v>80895</v>
      </c>
      <c r="CO30" s="75">
        <f t="shared" si="5"/>
        <v>18327</v>
      </c>
      <c r="CX30" s="75">
        <f t="shared" si="6"/>
        <v>77318</v>
      </c>
      <c r="DG30" s="75">
        <f t="shared" si="7"/>
        <v>11336</v>
      </c>
      <c r="DP30" s="75">
        <f t="shared" si="8"/>
        <v>80895</v>
      </c>
      <c r="DY30" s="75">
        <f t="shared" si="9"/>
        <v>11966</v>
      </c>
      <c r="EH30" s="75">
        <f t="shared" si="10"/>
        <v>18699</v>
      </c>
      <c r="EQ30" s="75">
        <f t="shared" si="11"/>
        <v>12257</v>
      </c>
      <c r="EZ30" s="19">
        <f t="shared" si="12"/>
        <v>99002</v>
      </c>
      <c r="FI30" s="58"/>
      <c r="FN30" s="14"/>
      <c r="FP30" s="75">
        <f t="shared" si="13"/>
        <v>8458</v>
      </c>
      <c r="FY30" s="75">
        <f t="shared" si="14"/>
        <v>66271</v>
      </c>
      <c r="GH30" s="75">
        <f t="shared" si="15"/>
        <v>49162</v>
      </c>
      <c r="GN30" s="75">
        <f t="shared" si="16"/>
        <v>2022</v>
      </c>
      <c r="HA30" s="18"/>
    </row>
    <row r="31" spans="2:217" x14ac:dyDescent="0.25">
      <c r="B31" s="72">
        <v>44368</v>
      </c>
      <c r="C31" s="206">
        <f>SUM(Essbase!J174:J180)</f>
        <v>2081</v>
      </c>
      <c r="D31" s="188">
        <v>4378</v>
      </c>
      <c r="E31" s="188">
        <v>1.9319999999999999</v>
      </c>
      <c r="F31" s="195">
        <v>38560</v>
      </c>
      <c r="G31" s="188">
        <v>1893</v>
      </c>
      <c r="H31" s="188">
        <v>2.222</v>
      </c>
      <c r="I31" s="195">
        <v>46720</v>
      </c>
      <c r="J31" s="188">
        <v>11497</v>
      </c>
      <c r="K31" s="188">
        <v>2.34</v>
      </c>
      <c r="L31" s="195">
        <v>12400</v>
      </c>
      <c r="M31" s="188">
        <v>11361</v>
      </c>
      <c r="N31" s="188">
        <v>2.02</v>
      </c>
      <c r="O31" s="195">
        <v>10000</v>
      </c>
      <c r="P31" s="188">
        <v>11992</v>
      </c>
      <c r="Q31" s="188">
        <v>2.14</v>
      </c>
      <c r="R31" s="195">
        <v>10400</v>
      </c>
      <c r="S31" s="188">
        <v>81139</v>
      </c>
      <c r="T31" s="188">
        <v>2.778</v>
      </c>
      <c r="U31" s="195">
        <v>73200</v>
      </c>
      <c r="V31" s="188">
        <v>77560</v>
      </c>
      <c r="W31" s="188">
        <v>2.2109999999999999</v>
      </c>
      <c r="X31" s="195">
        <v>72600</v>
      </c>
      <c r="Y31" s="188">
        <v>18734</v>
      </c>
      <c r="Z31" s="188">
        <v>3.33</v>
      </c>
      <c r="AA31" s="195">
        <v>5600</v>
      </c>
      <c r="AB31" s="188">
        <v>12277</v>
      </c>
      <c r="AC31" s="188">
        <v>2.4900000000000002</v>
      </c>
      <c r="AD31" s="195">
        <v>3200</v>
      </c>
      <c r="AE31" s="188">
        <v>99258</v>
      </c>
      <c r="AF31" s="188">
        <v>2.032</v>
      </c>
      <c r="AG31" s="195">
        <v>51200</v>
      </c>
      <c r="AH31" s="188">
        <v>18362</v>
      </c>
      <c r="AI31" s="188">
        <v>0.3</v>
      </c>
      <c r="AJ31" s="195">
        <v>1400</v>
      </c>
      <c r="AK31" s="199">
        <v>82201</v>
      </c>
      <c r="AL31" s="195">
        <v>452</v>
      </c>
      <c r="AM31" s="42">
        <f t="shared" si="17"/>
        <v>452</v>
      </c>
      <c r="AO31" s="42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9">
        <f t="shared" si="0"/>
        <v>44368</v>
      </c>
      <c r="AU31" s="188">
        <v>66392</v>
      </c>
      <c r="AV31" s="195">
        <v>12100</v>
      </c>
      <c r="AW31" s="188">
        <v>8489</v>
      </c>
      <c r="AX31" s="195">
        <v>3100</v>
      </c>
      <c r="AY31" s="189">
        <v>50064</v>
      </c>
      <c r="AZ31" s="198">
        <v>902</v>
      </c>
      <c r="BA31" s="188">
        <v>2044</v>
      </c>
      <c r="BB31" s="195">
        <v>880</v>
      </c>
      <c r="BC31" s="73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5">
        <f t="shared" si="2"/>
        <v>1893</v>
      </c>
      <c r="BW31" s="75">
        <f t="shared" si="3"/>
        <v>4378</v>
      </c>
      <c r="CF31" s="75">
        <f t="shared" si="4"/>
        <v>81139</v>
      </c>
      <c r="CO31" s="75">
        <f t="shared" si="5"/>
        <v>18362</v>
      </c>
      <c r="CX31" s="75">
        <f t="shared" si="6"/>
        <v>77560</v>
      </c>
      <c r="DG31" s="75">
        <f t="shared" si="7"/>
        <v>11361</v>
      </c>
      <c r="DP31" s="75">
        <f t="shared" si="8"/>
        <v>81139</v>
      </c>
      <c r="DY31" s="75">
        <f t="shared" si="9"/>
        <v>11992</v>
      </c>
      <c r="EH31" s="75">
        <f t="shared" si="10"/>
        <v>18734</v>
      </c>
      <c r="EQ31" s="75">
        <f t="shared" si="11"/>
        <v>12277</v>
      </c>
      <c r="EZ31" s="19">
        <f t="shared" si="12"/>
        <v>99258</v>
      </c>
      <c r="FI31" s="58"/>
      <c r="FN31" s="14"/>
      <c r="FP31" s="75">
        <f t="shared" si="13"/>
        <v>8489</v>
      </c>
      <c r="FY31" s="75">
        <f t="shared" si="14"/>
        <v>66392</v>
      </c>
      <c r="GH31" s="75">
        <f t="shared" si="15"/>
        <v>50064</v>
      </c>
      <c r="GN31" s="75">
        <f t="shared" si="16"/>
        <v>2044</v>
      </c>
      <c r="HA31" s="18"/>
    </row>
    <row r="32" spans="2:217" x14ac:dyDescent="0.25">
      <c r="B32" s="72">
        <v>44375</v>
      </c>
      <c r="C32" s="206">
        <f>SUM(Essbase!J181:J188)</f>
        <v>2265</v>
      </c>
      <c r="D32" s="188">
        <v>4635</v>
      </c>
      <c r="E32" s="188">
        <v>1.9330000000000001</v>
      </c>
      <c r="F32" s="195">
        <v>41120</v>
      </c>
      <c r="G32" s="188">
        <v>2192</v>
      </c>
      <c r="H32" s="188">
        <v>2.222</v>
      </c>
      <c r="I32" s="195">
        <v>47840</v>
      </c>
      <c r="J32" s="188">
        <v>11529</v>
      </c>
      <c r="K32" s="188">
        <v>2.67</v>
      </c>
      <c r="L32" s="195">
        <v>12800</v>
      </c>
      <c r="M32" s="188">
        <v>11387</v>
      </c>
      <c r="N32" s="188">
        <v>1.99</v>
      </c>
      <c r="O32" s="195">
        <v>10400</v>
      </c>
      <c r="P32" s="188">
        <v>12019</v>
      </c>
      <c r="Q32" s="188">
        <v>2.1800000000000002</v>
      </c>
      <c r="R32" s="195">
        <v>10800</v>
      </c>
      <c r="S32" s="188">
        <v>81399</v>
      </c>
      <c r="T32" s="188">
        <v>2.4910000000000001</v>
      </c>
      <c r="U32" s="195">
        <v>78000</v>
      </c>
      <c r="V32" s="188">
        <v>77796</v>
      </c>
      <c r="W32" s="188">
        <v>2.2290000000000001</v>
      </c>
      <c r="X32" s="195">
        <v>70800</v>
      </c>
      <c r="Y32" s="188">
        <v>18769</v>
      </c>
      <c r="Z32" s="188">
        <v>3.29</v>
      </c>
      <c r="AA32" s="195">
        <v>5600</v>
      </c>
      <c r="AB32" s="188">
        <v>12295</v>
      </c>
      <c r="AC32" s="188">
        <v>1.7</v>
      </c>
      <c r="AD32" s="195">
        <v>2880</v>
      </c>
      <c r="AE32" s="188">
        <v>99526</v>
      </c>
      <c r="AF32" s="188">
        <v>2.0270000000000001</v>
      </c>
      <c r="AG32" s="195">
        <v>53600</v>
      </c>
      <c r="AH32" s="188">
        <v>18398</v>
      </c>
      <c r="AI32" s="188">
        <v>0.29799999999999999</v>
      </c>
      <c r="AJ32" s="195">
        <v>1440</v>
      </c>
      <c r="AK32" s="199">
        <v>82619</v>
      </c>
      <c r="AL32" s="195">
        <v>418</v>
      </c>
      <c r="AM32" s="42">
        <f t="shared" si="17"/>
        <v>418</v>
      </c>
      <c r="AO32" s="42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9">
        <f t="shared" si="0"/>
        <v>44375</v>
      </c>
      <c r="AU32" s="188">
        <v>66596</v>
      </c>
      <c r="AV32" s="195">
        <v>20400</v>
      </c>
      <c r="AW32" s="188">
        <v>8508</v>
      </c>
      <c r="AX32" s="195">
        <v>1900</v>
      </c>
      <c r="AY32" s="189">
        <v>50947</v>
      </c>
      <c r="AZ32" s="198">
        <v>883</v>
      </c>
      <c r="BA32" s="188">
        <v>2070</v>
      </c>
      <c r="BB32" s="195">
        <v>1640</v>
      </c>
      <c r="BC32" s="73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5">
        <f t="shared" si="2"/>
        <v>2192</v>
      </c>
      <c r="BW32" s="75">
        <f t="shared" si="3"/>
        <v>4635</v>
      </c>
      <c r="CF32" s="75">
        <f t="shared" si="4"/>
        <v>81399</v>
      </c>
      <c r="CO32" s="75">
        <f t="shared" si="5"/>
        <v>18398</v>
      </c>
      <c r="CX32" s="75">
        <f t="shared" si="6"/>
        <v>77796</v>
      </c>
      <c r="DG32" s="75">
        <f t="shared" si="7"/>
        <v>11387</v>
      </c>
      <c r="DP32" s="75">
        <f t="shared" si="8"/>
        <v>81399</v>
      </c>
      <c r="DY32" s="75">
        <f t="shared" si="9"/>
        <v>12019</v>
      </c>
      <c r="EH32" s="75">
        <f t="shared" si="10"/>
        <v>18769</v>
      </c>
      <c r="EQ32" s="75">
        <f t="shared" si="11"/>
        <v>12295</v>
      </c>
      <c r="EZ32" s="19">
        <f t="shared" si="12"/>
        <v>99526</v>
      </c>
      <c r="FI32" s="58"/>
      <c r="FN32" s="14"/>
      <c r="FP32" s="75">
        <f t="shared" si="13"/>
        <v>8508</v>
      </c>
      <c r="FY32" s="75">
        <f t="shared" si="14"/>
        <v>66596</v>
      </c>
      <c r="GH32" s="75">
        <f t="shared" si="15"/>
        <v>50947</v>
      </c>
      <c r="GN32" s="75">
        <f t="shared" si="16"/>
        <v>2070</v>
      </c>
      <c r="HA32" s="18"/>
    </row>
    <row r="33" spans="2:213" x14ac:dyDescent="0.25">
      <c r="B33" s="72">
        <v>44378</v>
      </c>
      <c r="C33" s="206">
        <f>SUM(Essbase!J189:J190)</f>
        <v>547</v>
      </c>
      <c r="D33" s="188">
        <v>4887</v>
      </c>
      <c r="E33" s="188">
        <v>1.9330000000000001</v>
      </c>
      <c r="F33" s="195">
        <v>29120</v>
      </c>
      <c r="G33" s="188">
        <v>2492</v>
      </c>
      <c r="H33" s="188">
        <v>2.222</v>
      </c>
      <c r="I33" s="195">
        <v>34720</v>
      </c>
      <c r="J33" s="188">
        <v>11559</v>
      </c>
      <c r="K33" s="188">
        <v>2.67</v>
      </c>
      <c r="L33" s="195">
        <v>8400</v>
      </c>
      <c r="M33" s="188">
        <v>11414</v>
      </c>
      <c r="N33" s="188">
        <v>2.0499999999999998</v>
      </c>
      <c r="O33" s="195">
        <v>7600</v>
      </c>
      <c r="P33" s="188">
        <v>12045</v>
      </c>
      <c r="Q33" s="188">
        <v>2.1800000000000002</v>
      </c>
      <c r="R33" s="195">
        <v>7600</v>
      </c>
      <c r="S33" s="188">
        <v>81629</v>
      </c>
      <c r="T33" s="188">
        <v>2.8530000000000002</v>
      </c>
      <c r="U33" s="195">
        <v>49200</v>
      </c>
      <c r="V33" s="188">
        <v>78046</v>
      </c>
      <c r="W33" s="188">
        <v>2.2290000000000001</v>
      </c>
      <c r="X33" s="195">
        <v>52500</v>
      </c>
      <c r="Y33" s="188">
        <v>18806</v>
      </c>
      <c r="Z33" s="188">
        <v>3.29</v>
      </c>
      <c r="AA33" s="195">
        <v>4160</v>
      </c>
      <c r="AB33" s="188">
        <v>12314</v>
      </c>
      <c r="AC33" s="188">
        <v>1.7</v>
      </c>
      <c r="AD33" s="195">
        <v>2080</v>
      </c>
      <c r="AE33" s="188">
        <v>99782</v>
      </c>
      <c r="AF33" s="188">
        <v>2.0270000000000001</v>
      </c>
      <c r="AG33" s="195">
        <v>36200</v>
      </c>
      <c r="AH33" s="188">
        <v>18436</v>
      </c>
      <c r="AI33" s="188">
        <v>0.29799999999999999</v>
      </c>
      <c r="AJ33" s="195">
        <v>1080</v>
      </c>
      <c r="AK33" s="199">
        <v>83062</v>
      </c>
      <c r="AL33" s="195">
        <v>319</v>
      </c>
      <c r="AM33" s="42">
        <f t="shared" si="17"/>
        <v>443</v>
      </c>
      <c r="AO33" s="42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9">
        <f t="shared" si="0"/>
        <v>44378</v>
      </c>
      <c r="AU33" s="188">
        <v>66697</v>
      </c>
      <c r="AV33" s="195">
        <v>8600</v>
      </c>
      <c r="AW33" s="188">
        <v>8529</v>
      </c>
      <c r="AX33" s="195">
        <v>1200</v>
      </c>
      <c r="AY33" s="189">
        <v>51845</v>
      </c>
      <c r="AZ33" s="198">
        <v>514</v>
      </c>
      <c r="BA33" s="188">
        <v>2095</v>
      </c>
      <c r="BB33" s="195">
        <v>600</v>
      </c>
      <c r="BC33" s="73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4">
        <f>SUM(BL33*0.13773+BL33*0.02095)*1.09+2.85</f>
        <v>2.85</v>
      </c>
      <c r="BN33" s="75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4">
        <f>SUM(BQ33*0.05155)</f>
        <v>0</v>
      </c>
      <c r="BT33" s="74">
        <f>SUM(BQ33*0.02095)</f>
        <v>0</v>
      </c>
      <c r="BU33" s="74">
        <f>SUM(BR33*7.689)</f>
        <v>0</v>
      </c>
      <c r="BV33" s="74">
        <f>SUM(BS33+BT33)*1.11</f>
        <v>0</v>
      </c>
      <c r="BW33" s="75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4">
        <f>SUM(BZ33*0.05155)</f>
        <v>0</v>
      </c>
      <c r="CC33" s="74">
        <f>SUM(BZ33*0.02095)</f>
        <v>0</v>
      </c>
      <c r="CD33" s="74">
        <f>SUM(CA33*7.689)</f>
        <v>0</v>
      </c>
      <c r="CE33" s="74">
        <f>SUM((CB33+CC33)+20)* 1.11</f>
        <v>22.200000000000003</v>
      </c>
      <c r="CF33" s="75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4">
        <f>SUM(CI33*0.05155)</f>
        <v>0</v>
      </c>
      <c r="CL33" s="74">
        <f>SUM(CI33*0.02095)</f>
        <v>0</v>
      </c>
      <c r="CM33" s="74">
        <f>SUM(CJ33*7.689)</f>
        <v>0</v>
      </c>
      <c r="CN33" s="74">
        <f>SUM((CK33+CL33)+20)*1.11</f>
        <v>22.200000000000003</v>
      </c>
      <c r="CO33" s="75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4">
        <f>SUM(CR33*0.05155)</f>
        <v>0</v>
      </c>
      <c r="CU33" s="74">
        <f>SUM(CR33*0.02095)</f>
        <v>0</v>
      </c>
      <c r="CV33" s="74">
        <f>SUM(CS33*7.689)</f>
        <v>0</v>
      </c>
      <c r="CW33" s="74">
        <f>SUM((CT33+CU33)+20)*1.11</f>
        <v>22.200000000000003</v>
      </c>
      <c r="CX33" s="75">
        <f t="shared" si="6"/>
        <v>78046</v>
      </c>
      <c r="CY33" s="20"/>
      <c r="CZ33" s="20"/>
      <c r="DA33" s="19">
        <f>SUM(CY33-CY28)*300</f>
        <v>0</v>
      </c>
      <c r="DB33" s="76">
        <f>(CZ33)*300</f>
        <v>0</v>
      </c>
      <c r="DC33" s="74">
        <f>SUM(DA33*0.05155)</f>
        <v>0</v>
      </c>
      <c r="DD33" s="74">
        <f>SUM(DA33*0.02095)</f>
        <v>0</v>
      </c>
      <c r="DE33" s="74">
        <f>SUM(DB33*7.689)</f>
        <v>0</v>
      </c>
      <c r="DF33" s="74">
        <f>SUM((DC33+DD33)+20)*1.12</f>
        <v>22.400000000000002</v>
      </c>
      <c r="DG33" s="75">
        <f t="shared" si="7"/>
        <v>11414</v>
      </c>
      <c r="DH33" s="20"/>
      <c r="DI33" s="20"/>
      <c r="DJ33" s="19">
        <f>SUM(DH33-DH28)*400</f>
        <v>0</v>
      </c>
      <c r="DK33" s="76">
        <f>(DI33)*400</f>
        <v>0</v>
      </c>
      <c r="DL33" s="74">
        <f>SUM(DJ33*0.05155)</f>
        <v>0</v>
      </c>
      <c r="DM33" s="74">
        <f>SUM(DJ33*0.02095)</f>
        <v>0</v>
      </c>
      <c r="DN33" s="74">
        <f>SUM(DK33*7.689)</f>
        <v>0</v>
      </c>
      <c r="DO33" s="74">
        <f>SUM((DL33+DM33)+20)*1.12</f>
        <v>22.400000000000002</v>
      </c>
      <c r="DP33" s="75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4">
        <f>SUM(DS33*0.05155)</f>
        <v>0</v>
      </c>
      <c r="DV33" s="74">
        <f>SUM(DS33*0.02095)</f>
        <v>0</v>
      </c>
      <c r="DW33" s="74">
        <f>SUM(DT33*7.689)</f>
        <v>0</v>
      </c>
      <c r="DX33" s="74">
        <f>SUM((DU33+DV33)+20)*1.12</f>
        <v>22.400000000000002</v>
      </c>
      <c r="DY33" s="75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4">
        <f>SUM(EB33*0.05155)</f>
        <v>0</v>
      </c>
      <c r="EE33" s="74">
        <f>SUM(EB33*0.02095)</f>
        <v>0</v>
      </c>
      <c r="EF33" s="74">
        <f>SUM(EC33*7.689)</f>
        <v>0</v>
      </c>
      <c r="EG33" s="74">
        <f>SUM((ED33+EE33)+20)*1.12</f>
        <v>22.400000000000002</v>
      </c>
      <c r="EH33" s="75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4">
        <f>SUM(EK33*0.05155)</f>
        <v>0</v>
      </c>
      <c r="EN33" s="74">
        <f>SUM(EK33*0.02095)</f>
        <v>0</v>
      </c>
      <c r="EO33" s="74">
        <f>SUM(EL33*7.689)</f>
        <v>0</v>
      </c>
      <c r="EP33" s="74">
        <f>SUM((EM33+EN33)+20)*1.12</f>
        <v>22.400000000000002</v>
      </c>
      <c r="EQ33" s="75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4">
        <f>SUM(ET33*0.05155)</f>
        <v>0</v>
      </c>
      <c r="EW33" s="74">
        <f>SUM(ET33*0.02095)</f>
        <v>0</v>
      </c>
      <c r="EX33" s="74">
        <f>SUM(EU33*7.689)</f>
        <v>0</v>
      </c>
      <c r="EY33" s="74">
        <f>SUM((EV33+EW33)+20)*1.12</f>
        <v>22.400000000000002</v>
      </c>
      <c r="EZ33" s="19">
        <f t="shared" si="12"/>
        <v>99782</v>
      </c>
      <c r="FA33" s="87"/>
      <c r="FB33" s="87"/>
      <c r="FC33" s="19">
        <f>SUM(FA33-FA28)*200</f>
        <v>0</v>
      </c>
      <c r="FD33" s="19">
        <f>(FB33)*200</f>
        <v>0</v>
      </c>
      <c r="FE33" s="74">
        <f>SUM(FC33*0.05155)</f>
        <v>0</v>
      </c>
      <c r="FF33" s="74">
        <f>SUM(FC33*0.02095)</f>
        <v>0</v>
      </c>
      <c r="FG33" s="74">
        <f>SUM(FD33*7.689)</f>
        <v>0</v>
      </c>
      <c r="FH33" s="74">
        <f>SUM((FE33+FF33)+20)*1.12</f>
        <v>22.400000000000002</v>
      </c>
      <c r="FI33" s="58"/>
      <c r="FJ33" s="91">
        <f>SUM(BL33+BQ33+BZ33+CI33+CR33+DA33+DJ33+DS33+EB33+EK33+ET33+FC33)</f>
        <v>0</v>
      </c>
      <c r="FK33" s="92">
        <f>SUM(BM33+BV33,CE33,CN33,CW33,DF33,DO33,DX33,EG33,EP33,EY33+FH33)</f>
        <v>226.25000000000006</v>
      </c>
      <c r="FL33" s="92">
        <f>SUM(BU33,CD33,CM33,CV33,DE33,DN33,DW33,EF33,EO33,EX33,FG33)</f>
        <v>0</v>
      </c>
      <c r="FM33" s="92">
        <f>SUM(FK33:FL33)</f>
        <v>226.25000000000006</v>
      </c>
      <c r="FN33" s="14"/>
      <c r="FP33" s="75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7">
        <f>SUM(FS33*0.05155)</f>
        <v>0</v>
      </c>
      <c r="FV33" s="77">
        <f>SUM(FS33*0.02095)</f>
        <v>0</v>
      </c>
      <c r="FW33" s="77">
        <f>SUM(FT33*7.689)</f>
        <v>0</v>
      </c>
      <c r="FX33" s="74">
        <f>SUM(FV33+FU33+20)*1.1048</f>
        <v>22.096</v>
      </c>
      <c r="FY33" s="75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7">
        <f>SUM(GB33*0.05155)</f>
        <v>0</v>
      </c>
      <c r="GE33" s="77">
        <f>SUM(GB33*0.02095)</f>
        <v>0</v>
      </c>
      <c r="GF33" s="77">
        <f>SUM(GC33*7.689)</f>
        <v>0</v>
      </c>
      <c r="GG33" s="74">
        <f>SUM(GE33+GD33+20)*1.1048</f>
        <v>22.096</v>
      </c>
      <c r="GH33" s="75">
        <f t="shared" si="15"/>
        <v>51845</v>
      </c>
      <c r="GI33" s="20"/>
      <c r="GJ33" s="19">
        <f>SUM(GI33-GI28)</f>
        <v>0</v>
      </c>
      <c r="GK33" s="74">
        <f>SUM(GJ33*0.13773)</f>
        <v>0</v>
      </c>
      <c r="GL33" s="74">
        <f>SUM(GJ33*0.02095)</f>
        <v>0</v>
      </c>
      <c r="GM33" s="74">
        <f>SUM(GK33+GL33+2.32)*1.07</f>
        <v>2.4824000000000002</v>
      </c>
      <c r="GN33" s="75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4">
        <f>SUM(GQ33*0.05155)</f>
        <v>0</v>
      </c>
      <c r="GT33" s="74">
        <f>SUM(GQ33*0.02095)</f>
        <v>0</v>
      </c>
      <c r="GU33" s="74">
        <f>SUM(GR33*7.689)</f>
        <v>0</v>
      </c>
      <c r="GV33" s="74">
        <f>SUM(GT33+GS33+20)*1.2</f>
        <v>24</v>
      </c>
      <c r="GW33" s="20">
        <f>SUM(FS33+GB33+GJ33+GQ33)</f>
        <v>0</v>
      </c>
      <c r="GX33" s="92">
        <f>SUM(GV33+GM33+GG33+FX33)</f>
        <v>70.674400000000006</v>
      </c>
      <c r="GY33" s="92">
        <f>SUM(FW33+GF33+GU33)</f>
        <v>0</v>
      </c>
      <c r="GZ33" s="92">
        <f>SUM(GX33:GY33)</f>
        <v>70.674400000000006</v>
      </c>
      <c r="HA33" s="18"/>
      <c r="HB33" s="91">
        <f t="shared" ref="HB33:HD33" si="32">(FJ33+GW33)</f>
        <v>0</v>
      </c>
      <c r="HC33" s="92">
        <f t="shared" si="32"/>
        <v>296.92440000000005</v>
      </c>
      <c r="HD33" s="92">
        <f t="shared" si="32"/>
        <v>0</v>
      </c>
      <c r="HE33" s="92">
        <f t="shared" ref="HE33" si="33">(HC33+HD33)</f>
        <v>296.92440000000005</v>
      </c>
    </row>
    <row r="34" spans="2:213" x14ac:dyDescent="0.25">
      <c r="B34" s="72">
        <v>44382</v>
      </c>
      <c r="C34" s="206">
        <f>SUM(Essbase!J191:J194)</f>
        <v>1071</v>
      </c>
      <c r="D34" s="188">
        <v>4887</v>
      </c>
      <c r="E34" s="188">
        <v>1.9330000000000001</v>
      </c>
      <c r="F34" s="195">
        <v>29120</v>
      </c>
      <c r="G34" s="188">
        <v>2492</v>
      </c>
      <c r="H34" s="188">
        <v>2.222</v>
      </c>
      <c r="I34" s="195">
        <v>34720</v>
      </c>
      <c r="J34" s="188">
        <v>11559</v>
      </c>
      <c r="K34" s="188">
        <v>2.67</v>
      </c>
      <c r="L34" s="195">
        <v>8400</v>
      </c>
      <c r="M34" s="188">
        <v>11414</v>
      </c>
      <c r="N34" s="188">
        <v>2.0499999999999998</v>
      </c>
      <c r="O34" s="195">
        <v>7600</v>
      </c>
      <c r="P34" s="188">
        <v>12045</v>
      </c>
      <c r="Q34" s="188">
        <v>2.1800000000000002</v>
      </c>
      <c r="R34" s="195">
        <v>7600</v>
      </c>
      <c r="S34" s="188">
        <v>81629</v>
      </c>
      <c r="T34" s="188">
        <v>2.8530000000000002</v>
      </c>
      <c r="U34" s="195">
        <v>49200</v>
      </c>
      <c r="V34" s="188">
        <v>78046</v>
      </c>
      <c r="W34" s="188">
        <v>2.2290000000000001</v>
      </c>
      <c r="X34" s="195">
        <v>52500</v>
      </c>
      <c r="Y34" s="188">
        <v>18806</v>
      </c>
      <c r="Z34" s="188">
        <v>3.29</v>
      </c>
      <c r="AA34" s="195">
        <v>4160</v>
      </c>
      <c r="AB34" s="188">
        <v>12314</v>
      </c>
      <c r="AC34" s="188">
        <v>1.7</v>
      </c>
      <c r="AD34" s="195">
        <v>2080</v>
      </c>
      <c r="AE34" s="188">
        <v>99782</v>
      </c>
      <c r="AF34" s="188">
        <v>2.0270000000000001</v>
      </c>
      <c r="AG34" s="195">
        <v>36200</v>
      </c>
      <c r="AH34" s="188">
        <v>18436</v>
      </c>
      <c r="AI34" s="188">
        <v>0.29799999999999999</v>
      </c>
      <c r="AJ34" s="195">
        <v>1080</v>
      </c>
      <c r="AK34" s="199">
        <v>83062</v>
      </c>
      <c r="AL34" s="195">
        <v>319</v>
      </c>
      <c r="AM34" s="42">
        <f t="shared" si="17"/>
        <v>0</v>
      </c>
      <c r="AO34" s="42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9">
        <f t="shared" si="0"/>
        <v>44382</v>
      </c>
      <c r="AU34" s="188">
        <v>66697</v>
      </c>
      <c r="AV34" s="195">
        <v>8600</v>
      </c>
      <c r="AW34" s="188">
        <v>8529</v>
      </c>
      <c r="AX34" s="195">
        <v>1200</v>
      </c>
      <c r="AY34" s="189">
        <v>51845</v>
      </c>
      <c r="AZ34" s="198">
        <v>514</v>
      </c>
      <c r="BA34" s="188">
        <v>2095</v>
      </c>
      <c r="BB34" s="195">
        <v>600</v>
      </c>
      <c r="BC34" s="73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5">
        <f t="shared" si="2"/>
        <v>2492</v>
      </c>
      <c r="BW34" s="75">
        <f t="shared" si="3"/>
        <v>4887</v>
      </c>
      <c r="CF34" s="75">
        <f t="shared" si="4"/>
        <v>81629</v>
      </c>
      <c r="CO34" s="75">
        <f t="shared" si="5"/>
        <v>18436</v>
      </c>
      <c r="CX34" s="75">
        <f t="shared" si="6"/>
        <v>78046</v>
      </c>
      <c r="DG34" s="75">
        <f t="shared" si="7"/>
        <v>11414</v>
      </c>
      <c r="DP34" s="75">
        <f t="shared" si="8"/>
        <v>81629</v>
      </c>
      <c r="DY34" s="75">
        <f t="shared" si="9"/>
        <v>12045</v>
      </c>
      <c r="EH34" s="75">
        <f t="shared" si="10"/>
        <v>18806</v>
      </c>
      <c r="EQ34" s="75">
        <f t="shared" si="11"/>
        <v>12314</v>
      </c>
      <c r="EZ34" s="19">
        <f t="shared" si="12"/>
        <v>99782</v>
      </c>
      <c r="FI34" s="58"/>
      <c r="FN34" s="14"/>
      <c r="FP34" s="75">
        <f t="shared" si="13"/>
        <v>8529</v>
      </c>
      <c r="FY34" s="75">
        <f t="shared" si="14"/>
        <v>66697</v>
      </c>
      <c r="GH34" s="75">
        <f t="shared" si="15"/>
        <v>51845</v>
      </c>
      <c r="GN34" s="75">
        <f t="shared" si="16"/>
        <v>2095</v>
      </c>
      <c r="HA34" s="18"/>
    </row>
    <row r="35" spans="2:213" x14ac:dyDescent="0.25">
      <c r="B35" s="72">
        <v>44389</v>
      </c>
      <c r="C35" s="206">
        <f>SUM(Essbase!J195:J201)</f>
        <v>1864</v>
      </c>
      <c r="D35" s="188">
        <v>5138</v>
      </c>
      <c r="E35" s="188">
        <v>1.9470000000000001</v>
      </c>
      <c r="F35" s="195">
        <v>40160</v>
      </c>
      <c r="G35" s="188">
        <v>2788</v>
      </c>
      <c r="H35" s="188">
        <v>2.222</v>
      </c>
      <c r="I35" s="195">
        <v>47360</v>
      </c>
      <c r="J35" s="188">
        <v>11588</v>
      </c>
      <c r="K35" s="188">
        <v>2.67</v>
      </c>
      <c r="L35" s="195">
        <v>11600</v>
      </c>
      <c r="M35" s="188">
        <v>11439</v>
      </c>
      <c r="N35" s="188">
        <v>2.0499999999999998</v>
      </c>
      <c r="O35" s="195">
        <v>10000</v>
      </c>
      <c r="P35" s="188">
        <v>12071</v>
      </c>
      <c r="Q35" s="188">
        <v>2.1800000000000002</v>
      </c>
      <c r="R35" s="195">
        <v>10400</v>
      </c>
      <c r="S35" s="188">
        <v>81906</v>
      </c>
      <c r="T35" s="188">
        <v>3.0529999999999999</v>
      </c>
      <c r="U35" s="195">
        <v>83100</v>
      </c>
      <c r="V35" s="188">
        <v>78306</v>
      </c>
      <c r="W35" s="188">
        <v>2.298</v>
      </c>
      <c r="X35" s="195">
        <v>78000</v>
      </c>
      <c r="Y35" s="188">
        <v>18847</v>
      </c>
      <c r="Z35" s="188">
        <v>3.87</v>
      </c>
      <c r="AA35" s="195">
        <v>6560</v>
      </c>
      <c r="AB35" s="188">
        <v>12334</v>
      </c>
      <c r="AC35" s="188">
        <v>2.29</v>
      </c>
      <c r="AD35" s="195">
        <v>3200</v>
      </c>
      <c r="AE35" s="188">
        <v>100043</v>
      </c>
      <c r="AF35" s="188">
        <v>2.0760000000000001</v>
      </c>
      <c r="AG35" s="195">
        <v>52200</v>
      </c>
      <c r="AH35" s="188">
        <v>18472</v>
      </c>
      <c r="AI35" s="188">
        <v>0.30399999999999999</v>
      </c>
      <c r="AJ35" s="195">
        <v>1440</v>
      </c>
      <c r="AK35" s="199">
        <v>83501</v>
      </c>
      <c r="AL35" s="195">
        <v>439</v>
      </c>
      <c r="AM35" s="42">
        <f t="shared" si="17"/>
        <v>439</v>
      </c>
      <c r="AO35" s="42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9">
        <f t="shared" si="0"/>
        <v>44389</v>
      </c>
      <c r="AU35" s="188">
        <v>66854</v>
      </c>
      <c r="AV35" s="195">
        <v>15700</v>
      </c>
      <c r="AW35" s="188">
        <v>8549</v>
      </c>
      <c r="AX35" s="195">
        <v>2000</v>
      </c>
      <c r="AY35" s="189">
        <v>52782</v>
      </c>
      <c r="AZ35" s="198">
        <v>937</v>
      </c>
      <c r="BA35" s="188">
        <v>2132</v>
      </c>
      <c r="BB35" s="195">
        <v>1480</v>
      </c>
      <c r="BC35" s="73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5">
        <f t="shared" si="2"/>
        <v>2788</v>
      </c>
      <c r="BW35" s="75">
        <f t="shared" si="3"/>
        <v>5138</v>
      </c>
      <c r="CF35" s="75">
        <f t="shared" si="4"/>
        <v>81906</v>
      </c>
      <c r="CO35" s="75">
        <f t="shared" si="5"/>
        <v>18472</v>
      </c>
      <c r="CX35" s="75">
        <f t="shared" si="6"/>
        <v>78306</v>
      </c>
      <c r="DG35" s="75">
        <f t="shared" si="7"/>
        <v>11439</v>
      </c>
      <c r="DP35" s="75">
        <f t="shared" si="8"/>
        <v>81906</v>
      </c>
      <c r="DY35" s="75">
        <f t="shared" si="9"/>
        <v>12071</v>
      </c>
      <c r="EH35" s="75">
        <f t="shared" si="10"/>
        <v>18847</v>
      </c>
      <c r="EQ35" s="75">
        <f t="shared" si="11"/>
        <v>12334</v>
      </c>
      <c r="EZ35" s="19">
        <f t="shared" si="12"/>
        <v>100043</v>
      </c>
      <c r="FI35" s="58"/>
      <c r="FN35" s="14"/>
      <c r="FP35" s="75">
        <f t="shared" si="13"/>
        <v>8549</v>
      </c>
      <c r="FY35" s="75">
        <f t="shared" si="14"/>
        <v>66854</v>
      </c>
      <c r="GH35" s="75">
        <f t="shared" si="15"/>
        <v>52782</v>
      </c>
      <c r="GN35" s="75">
        <f t="shared" si="16"/>
        <v>2132</v>
      </c>
      <c r="HA35" s="18"/>
    </row>
    <row r="36" spans="2:213" x14ac:dyDescent="0.25">
      <c r="B36" s="72">
        <v>44396</v>
      </c>
      <c r="C36" s="206">
        <f>SUM(Essbase!J202:J208)</f>
        <v>1975</v>
      </c>
      <c r="D36" s="188">
        <v>5391</v>
      </c>
      <c r="E36" s="188">
        <v>1.9470000000000001</v>
      </c>
      <c r="F36" s="195">
        <v>40480</v>
      </c>
      <c r="G36" s="188">
        <v>3092</v>
      </c>
      <c r="H36" s="188">
        <v>2.2320000000000002</v>
      </c>
      <c r="I36" s="195">
        <v>48640</v>
      </c>
      <c r="J36" s="188">
        <v>11617</v>
      </c>
      <c r="K36" s="188">
        <v>2.67</v>
      </c>
      <c r="L36" s="195">
        <v>11600</v>
      </c>
      <c r="M36" s="188">
        <v>11466</v>
      </c>
      <c r="N36" s="188">
        <v>2.0499999999999998</v>
      </c>
      <c r="O36" s="195">
        <v>10800</v>
      </c>
      <c r="P36" s="188">
        <v>12097</v>
      </c>
      <c r="Q36" s="188">
        <v>2.1800000000000002</v>
      </c>
      <c r="R36" s="195">
        <v>10400</v>
      </c>
      <c r="S36" s="188">
        <v>82154</v>
      </c>
      <c r="T36" s="188">
        <v>3.0579999999999998</v>
      </c>
      <c r="U36" s="195">
        <v>74400</v>
      </c>
      <c r="V36" s="188">
        <v>78557</v>
      </c>
      <c r="W36" s="188">
        <v>2.298</v>
      </c>
      <c r="X36" s="195">
        <v>75300</v>
      </c>
      <c r="Y36" s="188">
        <v>18885</v>
      </c>
      <c r="Z36" s="188">
        <v>3.87</v>
      </c>
      <c r="AA36" s="195">
        <v>6080</v>
      </c>
      <c r="AB36" s="188">
        <v>12353</v>
      </c>
      <c r="AC36" s="188">
        <v>2.29</v>
      </c>
      <c r="AD36" s="195">
        <v>3040</v>
      </c>
      <c r="AE36" s="188">
        <v>314</v>
      </c>
      <c r="AF36" s="188">
        <v>2.0760000000000001</v>
      </c>
      <c r="AG36" s="195">
        <v>54200</v>
      </c>
      <c r="AH36" s="188">
        <v>18509</v>
      </c>
      <c r="AI36" s="188">
        <v>0.30399999999999999</v>
      </c>
      <c r="AJ36" s="195">
        <v>1480</v>
      </c>
      <c r="AK36" s="199">
        <v>83920</v>
      </c>
      <c r="AL36" s="195">
        <v>419</v>
      </c>
      <c r="AM36" s="42">
        <f t="shared" si="17"/>
        <v>419</v>
      </c>
      <c r="AO36" s="42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9">
        <f t="shared" si="0"/>
        <v>44396</v>
      </c>
      <c r="AU36" s="188">
        <v>67025</v>
      </c>
      <c r="AV36" s="195">
        <v>17100</v>
      </c>
      <c r="AW36" s="188">
        <v>8572</v>
      </c>
      <c r="AX36" s="195">
        <v>2300</v>
      </c>
      <c r="AY36" s="189">
        <v>53776</v>
      </c>
      <c r="AZ36" s="198">
        <v>994</v>
      </c>
      <c r="BA36" s="188">
        <v>2225</v>
      </c>
      <c r="BB36" s="195">
        <v>3720</v>
      </c>
      <c r="BC36" s="73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5">
        <f t="shared" si="2"/>
        <v>3092</v>
      </c>
      <c r="BW36" s="75">
        <f t="shared" si="3"/>
        <v>5391</v>
      </c>
      <c r="CF36" s="75">
        <f t="shared" si="4"/>
        <v>82154</v>
      </c>
      <c r="CO36" s="75">
        <f t="shared" si="5"/>
        <v>18509</v>
      </c>
      <c r="CX36" s="75">
        <f t="shared" si="6"/>
        <v>78557</v>
      </c>
      <c r="DG36" s="75">
        <f t="shared" si="7"/>
        <v>11466</v>
      </c>
      <c r="DP36" s="75">
        <f t="shared" si="8"/>
        <v>82154</v>
      </c>
      <c r="DY36" s="75">
        <f t="shared" si="9"/>
        <v>12097</v>
      </c>
      <c r="EH36" s="75">
        <f t="shared" si="10"/>
        <v>18885</v>
      </c>
      <c r="EQ36" s="75">
        <f t="shared" si="11"/>
        <v>12353</v>
      </c>
      <c r="EZ36" s="19">
        <f t="shared" si="12"/>
        <v>314</v>
      </c>
      <c r="FI36" s="58"/>
      <c r="FN36" s="14"/>
      <c r="FP36" s="75">
        <f t="shared" si="13"/>
        <v>8572</v>
      </c>
      <c r="FY36" s="75">
        <f t="shared" si="14"/>
        <v>67025</v>
      </c>
      <c r="GH36" s="75">
        <f t="shared" si="15"/>
        <v>53776</v>
      </c>
      <c r="GN36" s="75">
        <f t="shared" si="16"/>
        <v>2225</v>
      </c>
      <c r="HA36" s="18"/>
    </row>
    <row r="37" spans="2:213" x14ac:dyDescent="0.25">
      <c r="B37" s="72">
        <v>44403</v>
      </c>
      <c r="C37" s="206">
        <f>SUM(Essbase!J209:J215)</f>
        <v>2110</v>
      </c>
      <c r="D37" s="188">
        <v>5643</v>
      </c>
      <c r="E37" s="188">
        <v>1.8759999999999999</v>
      </c>
      <c r="F37" s="195">
        <v>40320</v>
      </c>
      <c r="G37" s="188">
        <v>3387</v>
      </c>
      <c r="H37" s="188">
        <v>2.1669999999999998</v>
      </c>
      <c r="I37" s="195">
        <v>47200</v>
      </c>
      <c r="J37" s="188">
        <v>11646</v>
      </c>
      <c r="K37" s="188">
        <v>2.09</v>
      </c>
      <c r="L37" s="195">
        <v>11600</v>
      </c>
      <c r="M37" s="188">
        <v>11493</v>
      </c>
      <c r="N37" s="188">
        <v>2</v>
      </c>
      <c r="O37" s="195">
        <v>10800</v>
      </c>
      <c r="P37" s="188">
        <v>12124</v>
      </c>
      <c r="Q37" s="188">
        <v>2</v>
      </c>
      <c r="R37" s="195">
        <v>10800</v>
      </c>
      <c r="S37" s="188">
        <v>82422</v>
      </c>
      <c r="T37" s="188">
        <v>2.2160000000000002</v>
      </c>
      <c r="U37" s="195">
        <v>80400</v>
      </c>
      <c r="V37" s="188">
        <v>78830</v>
      </c>
      <c r="W37" s="188">
        <v>2.1459999999999999</v>
      </c>
      <c r="X37" s="195">
        <v>81900</v>
      </c>
      <c r="Y37" s="188">
        <v>18920</v>
      </c>
      <c r="Z37" s="188">
        <v>2.93</v>
      </c>
      <c r="AA37" s="195">
        <v>5600</v>
      </c>
      <c r="AB37" s="188">
        <v>12371</v>
      </c>
      <c r="AC37" s="188">
        <v>1.49</v>
      </c>
      <c r="AD37" s="195">
        <v>2880</v>
      </c>
      <c r="AE37" s="188">
        <v>584</v>
      </c>
      <c r="AF37" s="188">
        <v>2.097</v>
      </c>
      <c r="AG37" s="195">
        <v>54000</v>
      </c>
      <c r="AH37" s="188">
        <v>18545</v>
      </c>
      <c r="AI37" s="188">
        <v>0.29099999999999998</v>
      </c>
      <c r="AJ37" s="195">
        <v>1440</v>
      </c>
      <c r="AK37" s="199">
        <v>84368</v>
      </c>
      <c r="AL37" s="195">
        <v>448</v>
      </c>
      <c r="AM37" s="42">
        <f t="shared" si="17"/>
        <v>448</v>
      </c>
      <c r="AO37" s="42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9">
        <f t="shared" si="0"/>
        <v>44403</v>
      </c>
      <c r="AU37" s="188">
        <v>67190</v>
      </c>
      <c r="AV37" s="195">
        <v>16500</v>
      </c>
      <c r="AW37" s="188">
        <v>8592</v>
      </c>
      <c r="AX37" s="195">
        <v>2000</v>
      </c>
      <c r="AY37" s="189">
        <v>54685</v>
      </c>
      <c r="AZ37" s="198">
        <v>909</v>
      </c>
      <c r="BA37" s="188">
        <v>2333</v>
      </c>
      <c r="BB37" s="195">
        <v>4320</v>
      </c>
      <c r="BC37" s="73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5">
        <f t="shared" si="2"/>
        <v>3387</v>
      </c>
      <c r="BW37" s="75">
        <f t="shared" si="3"/>
        <v>5643</v>
      </c>
      <c r="CF37" s="75">
        <f t="shared" si="4"/>
        <v>82422</v>
      </c>
      <c r="CO37" s="75">
        <f t="shared" si="5"/>
        <v>18545</v>
      </c>
      <c r="CX37" s="75">
        <f t="shared" si="6"/>
        <v>78830</v>
      </c>
      <c r="DG37" s="75">
        <f t="shared" si="7"/>
        <v>11493</v>
      </c>
      <c r="DP37" s="75">
        <f t="shared" si="8"/>
        <v>82422</v>
      </c>
      <c r="DY37" s="75">
        <f t="shared" si="9"/>
        <v>12124</v>
      </c>
      <c r="EH37" s="75">
        <f t="shared" si="10"/>
        <v>18920</v>
      </c>
      <c r="EQ37" s="75">
        <f t="shared" si="11"/>
        <v>12371</v>
      </c>
      <c r="EZ37" s="19">
        <f t="shared" si="12"/>
        <v>584</v>
      </c>
      <c r="FI37" s="58"/>
      <c r="FN37" s="14"/>
      <c r="FP37" s="75">
        <f t="shared" si="13"/>
        <v>8592</v>
      </c>
      <c r="FY37" s="75">
        <f t="shared" si="14"/>
        <v>67190</v>
      </c>
      <c r="GH37" s="75">
        <f t="shared" si="15"/>
        <v>54685</v>
      </c>
      <c r="GN37" s="75">
        <f t="shared" si="16"/>
        <v>2333</v>
      </c>
      <c r="HA37" s="18"/>
    </row>
    <row r="38" spans="2:213" x14ac:dyDescent="0.25">
      <c r="B38" s="72">
        <v>44409</v>
      </c>
      <c r="C38" s="206">
        <f>SUM(Essbase!J216:J221)</f>
        <v>1731</v>
      </c>
      <c r="D38" s="188">
        <v>5886</v>
      </c>
      <c r="E38" s="188">
        <v>1.8759999999999999</v>
      </c>
      <c r="F38" s="195">
        <v>38880</v>
      </c>
      <c r="G38" s="188">
        <v>3678</v>
      </c>
      <c r="H38" s="188">
        <v>2.1669999999999998</v>
      </c>
      <c r="I38" s="195">
        <v>46560</v>
      </c>
      <c r="J38" s="188">
        <v>11674</v>
      </c>
      <c r="K38" s="188">
        <v>2.35</v>
      </c>
      <c r="L38" s="195">
        <v>11200</v>
      </c>
      <c r="M38" s="188">
        <v>11519</v>
      </c>
      <c r="N38" s="188">
        <v>2.04</v>
      </c>
      <c r="O38" s="195">
        <v>10400</v>
      </c>
      <c r="P38" s="188">
        <v>12151</v>
      </c>
      <c r="Q38" s="188">
        <v>2</v>
      </c>
      <c r="R38" s="195">
        <v>10800</v>
      </c>
      <c r="S38" s="188">
        <v>82698</v>
      </c>
      <c r="T38" s="188">
        <v>2.7280000000000002</v>
      </c>
      <c r="U38" s="195">
        <v>82800</v>
      </c>
      <c r="V38" s="188">
        <v>79098</v>
      </c>
      <c r="W38" s="188">
        <v>2.2000000000000002</v>
      </c>
      <c r="X38" s="195">
        <v>80400</v>
      </c>
      <c r="Y38" s="188">
        <v>18956</v>
      </c>
      <c r="Z38" s="188">
        <v>2.99</v>
      </c>
      <c r="AA38" s="195">
        <v>5760</v>
      </c>
      <c r="AB38" s="188">
        <v>12390</v>
      </c>
      <c r="AC38" s="188">
        <v>1.65</v>
      </c>
      <c r="AD38" s="195">
        <v>3040</v>
      </c>
      <c r="AE38" s="188">
        <v>848</v>
      </c>
      <c r="AF38" s="188">
        <v>2.097</v>
      </c>
      <c r="AG38" s="195">
        <v>52800</v>
      </c>
      <c r="AH38" s="188">
        <v>18582</v>
      </c>
      <c r="AI38" s="188">
        <v>0.29599999999999999</v>
      </c>
      <c r="AJ38" s="195">
        <v>1480</v>
      </c>
      <c r="AK38" s="199">
        <v>84835</v>
      </c>
      <c r="AL38" s="195">
        <v>467</v>
      </c>
      <c r="AM38" s="42">
        <f t="shared" si="17"/>
        <v>467</v>
      </c>
      <c r="AO38" s="42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9">
        <f t="shared" si="0"/>
        <v>44409</v>
      </c>
      <c r="AU38" s="188">
        <v>67342</v>
      </c>
      <c r="AV38" s="195">
        <v>15200</v>
      </c>
      <c r="AW38" s="188">
        <v>8610</v>
      </c>
      <c r="AX38" s="195">
        <v>1800</v>
      </c>
      <c r="AY38" s="189">
        <v>55517</v>
      </c>
      <c r="AZ38" s="198">
        <v>832</v>
      </c>
      <c r="BA38" s="188">
        <v>2357</v>
      </c>
      <c r="BB38" s="195">
        <v>960</v>
      </c>
      <c r="BC38" s="73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4">
        <f>SUM(BL38*0.13773+BL38*0.02095)*1.09+2.85</f>
        <v>2.85</v>
      </c>
      <c r="BN38" s="75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4">
        <f>SUM(BQ38*0.05155)</f>
        <v>0</v>
      </c>
      <c r="BT38" s="74">
        <f>SUM(BQ38*0.02095)</f>
        <v>0</v>
      </c>
      <c r="BU38" s="74">
        <f>SUM(BR38*7.689)</f>
        <v>0</v>
      </c>
      <c r="BV38" s="74">
        <f>SUM(BS38+BT38)*1.11</f>
        <v>0</v>
      </c>
      <c r="BW38" s="75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4">
        <f>SUM(BZ38*0.05155)</f>
        <v>0</v>
      </c>
      <c r="CC38" s="74">
        <f>SUM(BZ38*0.02095)</f>
        <v>0</v>
      </c>
      <c r="CD38" s="74">
        <f>SUM(CA38*7.689)</f>
        <v>0</v>
      </c>
      <c r="CE38" s="74">
        <f>SUM((CB38+CC38)+20)* 1.11</f>
        <v>22.200000000000003</v>
      </c>
      <c r="CF38" s="75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4">
        <f>SUM(CI38*0.05155)</f>
        <v>0</v>
      </c>
      <c r="CL38" s="74">
        <f>SUM(CI38*0.02095)</f>
        <v>0</v>
      </c>
      <c r="CM38" s="74">
        <f>SUM(CJ38*7.689)</f>
        <v>0</v>
      </c>
      <c r="CN38" s="74">
        <f>SUM((CK38+CL38)+20)*1.11</f>
        <v>22.200000000000003</v>
      </c>
      <c r="CO38" s="75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4">
        <f>SUM(CR38*0.05155)</f>
        <v>0</v>
      </c>
      <c r="CU38" s="74">
        <f>SUM(CR38*0.02095)</f>
        <v>0</v>
      </c>
      <c r="CV38" s="74">
        <f>SUM(CS38*7.689)</f>
        <v>0</v>
      </c>
      <c r="CW38" s="74">
        <f>SUM((CT38+CU38)+20)*1.11</f>
        <v>22.200000000000003</v>
      </c>
      <c r="CX38" s="75">
        <f t="shared" si="6"/>
        <v>79098</v>
      </c>
      <c r="CY38" s="20"/>
      <c r="CZ38" s="20"/>
      <c r="DA38" s="19">
        <f>SUM(CY38-CY33)*300</f>
        <v>0</v>
      </c>
      <c r="DB38" s="76">
        <f>(CZ38)*300</f>
        <v>0</v>
      </c>
      <c r="DC38" s="74">
        <f>SUM(DA38*0.05155)</f>
        <v>0</v>
      </c>
      <c r="DD38" s="74">
        <f>SUM(DA38*0.02095)</f>
        <v>0</v>
      </c>
      <c r="DE38" s="74">
        <f>SUM(DB38*7.689)</f>
        <v>0</v>
      </c>
      <c r="DF38" s="74">
        <f>SUM((DC38+DD38)+20)*1.12</f>
        <v>22.400000000000002</v>
      </c>
      <c r="DG38" s="75">
        <f t="shared" si="7"/>
        <v>11519</v>
      </c>
      <c r="DH38" s="20"/>
      <c r="DI38" s="20"/>
      <c r="DJ38" s="19">
        <f>SUM(DH38-DH33)*400</f>
        <v>0</v>
      </c>
      <c r="DK38" s="76">
        <f>(DI38)*400</f>
        <v>0</v>
      </c>
      <c r="DL38" s="74">
        <f>SUM(DJ38*0.05155)</f>
        <v>0</v>
      </c>
      <c r="DM38" s="74">
        <f>SUM(DJ38*0.02095)</f>
        <v>0</v>
      </c>
      <c r="DN38" s="74">
        <f>SUM(DK38*7.689)</f>
        <v>0</v>
      </c>
      <c r="DO38" s="74">
        <f>SUM((DL38+DM38)+20)*1.12</f>
        <v>22.400000000000002</v>
      </c>
      <c r="DP38" s="75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4">
        <f>SUM(DS38*0.05155)</f>
        <v>0</v>
      </c>
      <c r="DV38" s="74">
        <f>SUM(DS38*0.02095)</f>
        <v>0</v>
      </c>
      <c r="DW38" s="74">
        <f>SUM(DT38*7.689)</f>
        <v>0</v>
      </c>
      <c r="DX38" s="74">
        <f>SUM((DU38+DV38)+20)*1.12</f>
        <v>22.400000000000002</v>
      </c>
      <c r="DY38" s="75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4">
        <f>SUM(EB38*0.05155)</f>
        <v>0</v>
      </c>
      <c r="EE38" s="74">
        <f>SUM(EB38*0.02095)</f>
        <v>0</v>
      </c>
      <c r="EF38" s="74">
        <f>SUM(EC38*7.689)</f>
        <v>0</v>
      </c>
      <c r="EG38" s="74">
        <f>SUM((ED38+EE38)+20)*1.12</f>
        <v>22.400000000000002</v>
      </c>
      <c r="EH38" s="75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4">
        <f>SUM(EK38*0.05155)</f>
        <v>0</v>
      </c>
      <c r="EN38" s="74">
        <f>SUM(EK38*0.02095)</f>
        <v>0</v>
      </c>
      <c r="EO38" s="74">
        <f>SUM(EL38*7.689)</f>
        <v>0</v>
      </c>
      <c r="EP38" s="74">
        <f>SUM((EM38+EN38)+20)*1.12</f>
        <v>22.400000000000002</v>
      </c>
      <c r="EQ38" s="75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4">
        <f>SUM(ET38*0.05155)</f>
        <v>0</v>
      </c>
      <c r="EW38" s="74">
        <f>SUM(ET38*0.02095)</f>
        <v>0</v>
      </c>
      <c r="EX38" s="74">
        <f>SUM(EU38*7.689)</f>
        <v>0</v>
      </c>
      <c r="EY38" s="74">
        <f>SUM((EV38+EW38)+20)*1.12</f>
        <v>22.400000000000002</v>
      </c>
      <c r="EZ38" s="19">
        <f t="shared" si="12"/>
        <v>848</v>
      </c>
      <c r="FA38" s="87"/>
      <c r="FB38" s="87"/>
      <c r="FC38" s="19">
        <f>SUM(FA38-FA33)*200</f>
        <v>0</v>
      </c>
      <c r="FD38" s="19">
        <f>(FB38)*200</f>
        <v>0</v>
      </c>
      <c r="FE38" s="74">
        <f>SUM(FC38*0.05155)</f>
        <v>0</v>
      </c>
      <c r="FF38" s="74">
        <f>SUM(FC38*0.02095)</f>
        <v>0</v>
      </c>
      <c r="FG38" s="74">
        <f>SUM(FD38*7.689)</f>
        <v>0</v>
      </c>
      <c r="FH38" s="74">
        <f>SUM((FE38+FF38)+20)*1.12</f>
        <v>22.400000000000002</v>
      </c>
      <c r="FI38" s="58"/>
      <c r="FJ38" s="91">
        <f>SUM(BL38+BQ38+BZ38+CI38+CR38+DA38+DJ38+DS38+EB38+EK38+ET38+FC38)</f>
        <v>0</v>
      </c>
      <c r="FK38" s="92">
        <f>SUM(BM38+BV38,CE38,CN38,CW38,DF38,DO38,DX38,EG38,EP38,EY38+FH38)</f>
        <v>226.25000000000006</v>
      </c>
      <c r="FL38" s="92">
        <f>SUM(BU38,CD38,CM38,CV38,DE38,DN38,DW38,EF38,EO38,EX38,FG38)</f>
        <v>0</v>
      </c>
      <c r="FM38" s="92">
        <f>SUM(FK38:FL38)</f>
        <v>226.25000000000006</v>
      </c>
      <c r="FN38" s="14"/>
      <c r="FP38" s="75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7">
        <f>SUM(FS38*0.05155)</f>
        <v>0</v>
      </c>
      <c r="FV38" s="77">
        <f>SUM(FS38*0.02095)</f>
        <v>0</v>
      </c>
      <c r="FW38" s="77">
        <f>SUM(FT38*7.689)</f>
        <v>0</v>
      </c>
      <c r="FX38" s="74">
        <f>SUM(FV38+FU38+20)*1.1048</f>
        <v>22.096</v>
      </c>
      <c r="FY38" s="75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7">
        <f>SUM(GB38*0.05155)</f>
        <v>0</v>
      </c>
      <c r="GE38" s="77">
        <f>SUM(GB38*0.02095)</f>
        <v>0</v>
      </c>
      <c r="GF38" s="77">
        <f>SUM(GC38*7.689)</f>
        <v>0</v>
      </c>
      <c r="GG38" s="74">
        <f>SUM(GE38+GD38+20)*1.1048</f>
        <v>22.096</v>
      </c>
      <c r="GH38" s="75">
        <f t="shared" si="15"/>
        <v>55517</v>
      </c>
      <c r="GI38" s="20"/>
      <c r="GJ38" s="19">
        <f>SUM(GI38-GI33)</f>
        <v>0</v>
      </c>
      <c r="GK38" s="74">
        <f>SUM(GJ38*0.13773)</f>
        <v>0</v>
      </c>
      <c r="GL38" s="74">
        <f>SUM(GJ38*0.02095)</f>
        <v>0</v>
      </c>
      <c r="GM38" s="74">
        <f>SUM(GK38+GL38+2.32)*1.07</f>
        <v>2.4824000000000002</v>
      </c>
      <c r="GN38" s="75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4">
        <f>SUM(GQ38*0.05155)</f>
        <v>0</v>
      </c>
      <c r="GT38" s="74">
        <f>SUM(GQ38*0.02095)</f>
        <v>0</v>
      </c>
      <c r="GU38" s="74">
        <f>SUM(GR38*7.689)</f>
        <v>0</v>
      </c>
      <c r="GV38" s="74">
        <f>SUM(GT38+GS38+20)*1.2</f>
        <v>24</v>
      </c>
      <c r="GW38" s="20">
        <f>SUM(FS38+GB38+GJ38+GQ38)</f>
        <v>0</v>
      </c>
      <c r="GX38" s="92">
        <f>SUM(GV38+GM38+GG38+FX38)</f>
        <v>70.674400000000006</v>
      </c>
      <c r="GY38" s="92">
        <f>SUM(FW38+GF38+GU38)</f>
        <v>0</v>
      </c>
      <c r="GZ38" s="92">
        <f>SUM(GX38:GY38)</f>
        <v>70.674400000000006</v>
      </c>
      <c r="HA38" s="18"/>
      <c r="HB38" s="91">
        <f t="shared" ref="HB38:HD38" si="34">(FJ38+GW38)</f>
        <v>0</v>
      </c>
      <c r="HC38" s="92">
        <f t="shared" si="34"/>
        <v>296.92440000000005</v>
      </c>
      <c r="HD38" s="92">
        <f t="shared" si="34"/>
        <v>0</v>
      </c>
      <c r="HE38" s="92">
        <f t="shared" ref="HE38" si="35">(HC38+HD38)</f>
        <v>296.92440000000005</v>
      </c>
    </row>
    <row r="39" spans="2:213" x14ac:dyDescent="0.25">
      <c r="B39" s="72">
        <v>44410</v>
      </c>
      <c r="C39" s="206">
        <f>SUM(Essbase!J222)</f>
        <v>285</v>
      </c>
      <c r="D39" s="188">
        <v>5886</v>
      </c>
      <c r="E39" s="188">
        <v>1.8759999999999999</v>
      </c>
      <c r="F39" s="195">
        <v>0</v>
      </c>
      <c r="G39" s="188">
        <v>3678</v>
      </c>
      <c r="H39" s="188">
        <v>2.1669999999999998</v>
      </c>
      <c r="I39" s="195">
        <v>0</v>
      </c>
      <c r="J39" s="188">
        <v>11674</v>
      </c>
      <c r="K39" s="188">
        <v>2.35</v>
      </c>
      <c r="L39" s="195">
        <v>0</v>
      </c>
      <c r="M39" s="188">
        <v>11519</v>
      </c>
      <c r="N39" s="188">
        <v>2.04</v>
      </c>
      <c r="O39" s="195">
        <v>0</v>
      </c>
      <c r="P39" s="188">
        <v>12151</v>
      </c>
      <c r="Q39" s="188">
        <v>2</v>
      </c>
      <c r="R39" s="195">
        <v>0</v>
      </c>
      <c r="S39" s="188">
        <v>82698</v>
      </c>
      <c r="T39" s="188">
        <v>2.7280000000000002</v>
      </c>
      <c r="U39" s="195">
        <v>0</v>
      </c>
      <c r="V39" s="188">
        <v>79098</v>
      </c>
      <c r="W39" s="188">
        <v>2.2000000000000002</v>
      </c>
      <c r="X39" s="195">
        <v>0</v>
      </c>
      <c r="Y39" s="188">
        <v>18956</v>
      </c>
      <c r="Z39" s="188">
        <v>2.99</v>
      </c>
      <c r="AA39" s="195">
        <v>0</v>
      </c>
      <c r="AB39" s="188">
        <v>12390</v>
      </c>
      <c r="AC39" s="188">
        <v>1.65</v>
      </c>
      <c r="AD39" s="195">
        <v>0</v>
      </c>
      <c r="AE39" s="188">
        <v>848</v>
      </c>
      <c r="AF39" s="188">
        <v>2.097</v>
      </c>
      <c r="AG39" s="195">
        <v>0</v>
      </c>
      <c r="AH39" s="188">
        <v>18582</v>
      </c>
      <c r="AI39" s="188">
        <v>0.29599999999999999</v>
      </c>
      <c r="AJ39" s="195">
        <v>0</v>
      </c>
      <c r="AK39" s="199">
        <v>84835</v>
      </c>
      <c r="AL39" s="195">
        <v>0</v>
      </c>
      <c r="AM39" s="42">
        <f t="shared" si="17"/>
        <v>0</v>
      </c>
      <c r="AO39" s="42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9">
        <f t="shared" si="0"/>
        <v>44410</v>
      </c>
      <c r="AU39" s="188">
        <v>67342</v>
      </c>
      <c r="AV39" s="195">
        <v>0</v>
      </c>
      <c r="AW39" s="188">
        <v>8610</v>
      </c>
      <c r="AX39" s="195">
        <v>0</v>
      </c>
      <c r="AY39" s="189">
        <v>55517</v>
      </c>
      <c r="AZ39" s="198">
        <v>0</v>
      </c>
      <c r="BA39" s="188">
        <v>2357</v>
      </c>
      <c r="BB39" s="195">
        <v>0</v>
      </c>
      <c r="BC39" s="73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5">
        <f t="shared" si="2"/>
        <v>3678</v>
      </c>
      <c r="BW39" s="75">
        <f t="shared" si="3"/>
        <v>5886</v>
      </c>
      <c r="CF39" s="75">
        <f t="shared" si="4"/>
        <v>82698</v>
      </c>
      <c r="CO39" s="75">
        <f t="shared" si="5"/>
        <v>18582</v>
      </c>
      <c r="CX39" s="75">
        <f t="shared" si="6"/>
        <v>79098</v>
      </c>
      <c r="DG39" s="75">
        <f t="shared" si="7"/>
        <v>11519</v>
      </c>
      <c r="DP39" s="75">
        <f t="shared" si="8"/>
        <v>82698</v>
      </c>
      <c r="DY39" s="75">
        <f t="shared" si="9"/>
        <v>12151</v>
      </c>
      <c r="EH39" s="75">
        <f t="shared" si="10"/>
        <v>18956</v>
      </c>
      <c r="EQ39" s="75">
        <f t="shared" si="11"/>
        <v>12390</v>
      </c>
      <c r="EZ39" s="19">
        <f t="shared" si="12"/>
        <v>848</v>
      </c>
      <c r="FI39" s="58"/>
      <c r="FN39" s="14"/>
      <c r="FP39" s="75">
        <f t="shared" ref="FP39:FP44" si="36">SUM(AW39)</f>
        <v>8610</v>
      </c>
      <c r="FY39" s="75">
        <f t="shared" si="14"/>
        <v>67342</v>
      </c>
      <c r="GH39" s="75">
        <f t="shared" si="15"/>
        <v>55517</v>
      </c>
      <c r="GN39" s="75">
        <f t="shared" si="16"/>
        <v>2357</v>
      </c>
      <c r="HA39" s="18"/>
    </row>
    <row r="40" spans="2:213" x14ac:dyDescent="0.25">
      <c r="B40" s="72">
        <v>44417</v>
      </c>
      <c r="C40" s="206">
        <f>SUM(Essbase!J223:J229)</f>
        <v>1769</v>
      </c>
      <c r="D40" s="188">
        <v>6130</v>
      </c>
      <c r="E40" s="188">
        <v>1.8759999999999999</v>
      </c>
      <c r="F40" s="195">
        <v>39040</v>
      </c>
      <c r="G40" s="188">
        <v>3975</v>
      </c>
      <c r="H40" s="188">
        <v>2.1669999999999998</v>
      </c>
      <c r="I40" s="195">
        <v>47520</v>
      </c>
      <c r="J40" s="188">
        <v>11704</v>
      </c>
      <c r="K40" s="188">
        <v>2.35</v>
      </c>
      <c r="L40" s="195">
        <v>12000</v>
      </c>
      <c r="M40" s="188">
        <v>11546</v>
      </c>
      <c r="N40" s="188">
        <v>2.04</v>
      </c>
      <c r="O40" s="195">
        <v>10800</v>
      </c>
      <c r="P40" s="188">
        <v>12179</v>
      </c>
      <c r="Q40" s="188">
        <v>2.15</v>
      </c>
      <c r="R40" s="195">
        <v>11200</v>
      </c>
      <c r="S40" s="188">
        <v>82958</v>
      </c>
      <c r="T40" s="188">
        <v>2.7879999999999998</v>
      </c>
      <c r="U40" s="195">
        <v>78000</v>
      </c>
      <c r="V40" s="188">
        <v>79367</v>
      </c>
      <c r="W40" s="188">
        <v>2.34</v>
      </c>
      <c r="X40" s="195">
        <v>80700</v>
      </c>
      <c r="Y40" s="188">
        <v>18989</v>
      </c>
      <c r="Z40" s="188">
        <v>2.99</v>
      </c>
      <c r="AA40" s="195">
        <v>5280</v>
      </c>
      <c r="AB40" s="188">
        <v>12409</v>
      </c>
      <c r="AC40" s="188">
        <v>2.17</v>
      </c>
      <c r="AD40" s="195">
        <v>3040</v>
      </c>
      <c r="AE40" s="188">
        <v>1118</v>
      </c>
      <c r="AF40" s="188">
        <v>2.097</v>
      </c>
      <c r="AG40" s="195">
        <v>54000</v>
      </c>
      <c r="AH40" s="188">
        <v>18616</v>
      </c>
      <c r="AI40" s="188">
        <v>0.29599999999999999</v>
      </c>
      <c r="AJ40" s="195">
        <v>1360</v>
      </c>
      <c r="AK40" s="199">
        <v>85315</v>
      </c>
      <c r="AL40" s="195">
        <v>480</v>
      </c>
      <c r="AM40" s="42">
        <f t="shared" si="17"/>
        <v>480</v>
      </c>
      <c r="AO40" s="42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9">
        <f t="shared" si="0"/>
        <v>44417</v>
      </c>
      <c r="AU40" s="188">
        <v>67501</v>
      </c>
      <c r="AV40" s="195">
        <v>15900</v>
      </c>
      <c r="AW40" s="188">
        <v>8629</v>
      </c>
      <c r="AX40" s="195">
        <v>1900</v>
      </c>
      <c r="AY40" s="189">
        <v>56393</v>
      </c>
      <c r="AZ40" s="198">
        <v>876</v>
      </c>
      <c r="BA40" s="188">
        <v>2396</v>
      </c>
      <c r="BB40" s="195">
        <v>1560</v>
      </c>
      <c r="BC40" s="73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5">
        <f t="shared" si="2"/>
        <v>3975</v>
      </c>
      <c r="BW40" s="75">
        <f t="shared" si="3"/>
        <v>6130</v>
      </c>
      <c r="CF40" s="75">
        <f t="shared" si="4"/>
        <v>82958</v>
      </c>
      <c r="CO40" s="75">
        <f t="shared" si="5"/>
        <v>18616</v>
      </c>
      <c r="CX40" s="75">
        <f t="shared" si="6"/>
        <v>79367</v>
      </c>
      <c r="DG40" s="75">
        <f t="shared" si="7"/>
        <v>11546</v>
      </c>
      <c r="DP40" s="75">
        <f t="shared" si="8"/>
        <v>82958</v>
      </c>
      <c r="DY40" s="75">
        <f t="shared" si="9"/>
        <v>12179</v>
      </c>
      <c r="EH40" s="75">
        <f t="shared" si="10"/>
        <v>18989</v>
      </c>
      <c r="EQ40" s="75">
        <f t="shared" si="11"/>
        <v>12409</v>
      </c>
      <c r="EZ40" s="19">
        <f t="shared" si="12"/>
        <v>1118</v>
      </c>
      <c r="FI40" s="58"/>
      <c r="FN40" s="14"/>
      <c r="FP40" s="75">
        <f t="shared" si="36"/>
        <v>8629</v>
      </c>
      <c r="FY40" s="75">
        <f t="shared" si="14"/>
        <v>67501</v>
      </c>
      <c r="GH40" s="75">
        <f t="shared" si="15"/>
        <v>56393</v>
      </c>
      <c r="GN40" s="75">
        <f t="shared" si="16"/>
        <v>2396</v>
      </c>
      <c r="HA40" s="18"/>
    </row>
    <row r="41" spans="2:213" x14ac:dyDescent="0.25">
      <c r="B41" s="72">
        <v>44424</v>
      </c>
      <c r="C41" s="206">
        <f>SUM(Essbase!J230:J236)</f>
        <v>1429</v>
      </c>
      <c r="D41" s="188">
        <v>6377</v>
      </c>
      <c r="E41" s="188">
        <v>1.8759999999999999</v>
      </c>
      <c r="F41" s="195">
        <v>39520</v>
      </c>
      <c r="G41" s="188">
        <v>4266</v>
      </c>
      <c r="H41" s="188">
        <v>2.1669999999999998</v>
      </c>
      <c r="I41" s="195">
        <v>46560</v>
      </c>
      <c r="J41" s="188">
        <v>11731</v>
      </c>
      <c r="K41" s="188">
        <v>2.35</v>
      </c>
      <c r="L41" s="195">
        <v>10800</v>
      </c>
      <c r="M41" s="188">
        <v>11572</v>
      </c>
      <c r="N41" s="188">
        <v>2.04</v>
      </c>
      <c r="O41" s="195">
        <v>10400</v>
      </c>
      <c r="P41" s="188">
        <v>12205</v>
      </c>
      <c r="Q41" s="188">
        <v>2.15</v>
      </c>
      <c r="R41" s="195">
        <v>10400</v>
      </c>
      <c r="S41" s="188">
        <v>83226</v>
      </c>
      <c r="T41" s="188">
        <v>2.7879999999999998</v>
      </c>
      <c r="U41" s="195">
        <v>80400</v>
      </c>
      <c r="V41" s="188">
        <v>79645</v>
      </c>
      <c r="W41" s="188">
        <v>2.34</v>
      </c>
      <c r="X41" s="195">
        <v>83400</v>
      </c>
      <c r="Y41" s="188">
        <v>19024</v>
      </c>
      <c r="Z41" s="188">
        <v>2.99</v>
      </c>
      <c r="AA41" s="195">
        <v>5600</v>
      </c>
      <c r="AB41" s="188">
        <v>12428</v>
      </c>
      <c r="AC41" s="188">
        <v>2.17</v>
      </c>
      <c r="AD41" s="195">
        <v>3040</v>
      </c>
      <c r="AE41" s="188">
        <v>1388</v>
      </c>
      <c r="AF41" s="188">
        <v>2.097</v>
      </c>
      <c r="AG41" s="195">
        <v>54000</v>
      </c>
      <c r="AH41" s="188">
        <v>18653</v>
      </c>
      <c r="AI41" s="188">
        <v>0.30299999999999999</v>
      </c>
      <c r="AJ41" s="195">
        <v>1480</v>
      </c>
      <c r="AK41" s="199">
        <v>85787</v>
      </c>
      <c r="AL41" s="195">
        <v>472</v>
      </c>
      <c r="AM41" s="42">
        <f t="shared" si="17"/>
        <v>472</v>
      </c>
      <c r="AO41" s="42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9">
        <f t="shared" si="0"/>
        <v>44424</v>
      </c>
      <c r="AU41" s="188">
        <v>67665</v>
      </c>
      <c r="AV41" s="195">
        <v>16400</v>
      </c>
      <c r="AW41" s="188">
        <v>8649</v>
      </c>
      <c r="AX41" s="195">
        <v>2000</v>
      </c>
      <c r="AY41" s="189">
        <v>57297</v>
      </c>
      <c r="AZ41" s="198">
        <v>904</v>
      </c>
      <c r="BA41" s="188">
        <v>2455</v>
      </c>
      <c r="BB41" s="195">
        <v>2360</v>
      </c>
      <c r="BC41" s="73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5">
        <f t="shared" si="2"/>
        <v>4266</v>
      </c>
      <c r="BW41" s="75">
        <f t="shared" si="3"/>
        <v>6377</v>
      </c>
      <c r="CF41" s="75">
        <f t="shared" si="4"/>
        <v>83226</v>
      </c>
      <c r="CO41" s="75">
        <f t="shared" si="5"/>
        <v>18653</v>
      </c>
      <c r="CX41" s="75">
        <f t="shared" si="6"/>
        <v>79645</v>
      </c>
      <c r="DG41" s="75">
        <f t="shared" si="7"/>
        <v>11572</v>
      </c>
      <c r="DP41" s="75">
        <f t="shared" si="8"/>
        <v>83226</v>
      </c>
      <c r="DY41" s="75">
        <f t="shared" si="9"/>
        <v>12205</v>
      </c>
      <c r="EH41" s="75">
        <f t="shared" si="10"/>
        <v>19024</v>
      </c>
      <c r="EQ41" s="75">
        <f t="shared" si="11"/>
        <v>12428</v>
      </c>
      <c r="EZ41" s="19">
        <f t="shared" si="12"/>
        <v>1388</v>
      </c>
      <c r="FI41" s="58"/>
      <c r="FN41" s="14"/>
      <c r="FP41" s="75">
        <f t="shared" si="36"/>
        <v>8649</v>
      </c>
      <c r="FY41" s="75">
        <f t="shared" si="14"/>
        <v>67665</v>
      </c>
      <c r="GH41" s="75">
        <f t="shared" si="15"/>
        <v>57297</v>
      </c>
      <c r="GN41" s="75">
        <f t="shared" si="16"/>
        <v>2455</v>
      </c>
      <c r="HA41" s="18"/>
    </row>
    <row r="42" spans="2:213" x14ac:dyDescent="0.25">
      <c r="B42" s="72">
        <v>44431</v>
      </c>
      <c r="C42" s="206">
        <f>SUM(Essbase!J237:J243)</f>
        <v>1686</v>
      </c>
      <c r="D42" s="188">
        <v>6627</v>
      </c>
      <c r="E42" s="188">
        <v>1.75</v>
      </c>
      <c r="F42" s="195">
        <v>40000</v>
      </c>
      <c r="G42" s="188">
        <v>4555</v>
      </c>
      <c r="H42" s="188">
        <v>1.9930000000000001</v>
      </c>
      <c r="I42" s="195">
        <v>46240</v>
      </c>
      <c r="J42" s="188">
        <v>11755</v>
      </c>
      <c r="K42" s="188">
        <v>1.8</v>
      </c>
      <c r="L42" s="195">
        <v>9600</v>
      </c>
      <c r="M42" s="188">
        <v>11596</v>
      </c>
      <c r="N42" s="188">
        <v>1.69</v>
      </c>
      <c r="O42" s="195">
        <v>9600</v>
      </c>
      <c r="P42" s="188">
        <v>12228</v>
      </c>
      <c r="Q42" s="188">
        <v>1.77</v>
      </c>
      <c r="R42" s="195">
        <v>9200</v>
      </c>
      <c r="S42" s="188">
        <v>83499</v>
      </c>
      <c r="T42" s="188">
        <v>2.09</v>
      </c>
      <c r="U42" s="195">
        <v>81900</v>
      </c>
      <c r="V42" s="188">
        <v>79919</v>
      </c>
      <c r="W42" s="188">
        <v>1.903</v>
      </c>
      <c r="X42" s="195">
        <v>82200</v>
      </c>
      <c r="Y42" s="188">
        <v>19058</v>
      </c>
      <c r="Z42" s="188">
        <v>2.11</v>
      </c>
      <c r="AA42" s="195">
        <v>5440</v>
      </c>
      <c r="AB42" s="188">
        <v>12445</v>
      </c>
      <c r="AC42" s="188">
        <v>1.24</v>
      </c>
      <c r="AD42" s="195">
        <v>2720</v>
      </c>
      <c r="AE42" s="188">
        <v>1661</v>
      </c>
      <c r="AF42" s="188">
        <v>1.98</v>
      </c>
      <c r="AG42" s="195">
        <v>54600</v>
      </c>
      <c r="AH42" s="188">
        <v>18691</v>
      </c>
      <c r="AI42" s="188">
        <v>0.28599999999999998</v>
      </c>
      <c r="AJ42" s="195">
        <v>1520</v>
      </c>
      <c r="AK42" s="199">
        <v>86287</v>
      </c>
      <c r="AL42" s="195">
        <v>500</v>
      </c>
      <c r="AM42" s="42">
        <f t="shared" si="17"/>
        <v>500</v>
      </c>
      <c r="AO42" s="42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9">
        <f t="shared" si="0"/>
        <v>44431</v>
      </c>
      <c r="AU42" s="188">
        <v>67875</v>
      </c>
      <c r="AV42" s="195">
        <v>21000</v>
      </c>
      <c r="AW42" s="188">
        <v>8674</v>
      </c>
      <c r="AX42" s="195">
        <v>2500</v>
      </c>
      <c r="AY42" s="189">
        <v>58336</v>
      </c>
      <c r="AZ42" s="198">
        <v>1039</v>
      </c>
      <c r="BA42" s="188">
        <v>2539</v>
      </c>
      <c r="BB42" s="195">
        <v>3360</v>
      </c>
      <c r="BC42" s="73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5">
        <f t="shared" si="2"/>
        <v>4555</v>
      </c>
      <c r="BW42" s="75">
        <f t="shared" si="3"/>
        <v>6627</v>
      </c>
      <c r="CF42" s="75">
        <f t="shared" si="4"/>
        <v>83499</v>
      </c>
      <c r="CO42" s="75">
        <f t="shared" si="5"/>
        <v>18691</v>
      </c>
      <c r="CX42" s="75">
        <f t="shared" si="6"/>
        <v>79919</v>
      </c>
      <c r="DG42" s="75">
        <f t="shared" si="7"/>
        <v>11596</v>
      </c>
      <c r="DP42" s="75">
        <f t="shared" si="8"/>
        <v>83499</v>
      </c>
      <c r="DY42" s="75">
        <f t="shared" si="9"/>
        <v>12228</v>
      </c>
      <c r="EH42" s="75">
        <f t="shared" si="10"/>
        <v>19058</v>
      </c>
      <c r="EQ42" s="75">
        <f t="shared" si="11"/>
        <v>12445</v>
      </c>
      <c r="EZ42" s="19">
        <f t="shared" si="12"/>
        <v>1661</v>
      </c>
      <c r="FI42" s="58"/>
      <c r="FN42" s="14"/>
      <c r="FP42" s="75">
        <f t="shared" si="36"/>
        <v>8674</v>
      </c>
      <c r="FY42" s="75">
        <f t="shared" si="14"/>
        <v>67875</v>
      </c>
      <c r="GH42" s="75">
        <f t="shared" si="15"/>
        <v>58336</v>
      </c>
      <c r="GN42" s="75">
        <f t="shared" si="16"/>
        <v>2539</v>
      </c>
      <c r="HA42" s="18"/>
    </row>
    <row r="43" spans="2:213" x14ac:dyDescent="0.25">
      <c r="B43" s="72">
        <v>44439</v>
      </c>
      <c r="C43" s="206">
        <f>SUM(Essbase!J244:J251)</f>
        <v>1229</v>
      </c>
      <c r="D43" s="20">
        <v>6867</v>
      </c>
      <c r="E43" s="20">
        <v>1.8180000000000001</v>
      </c>
      <c r="F43" s="42">
        <f t="shared" ref="F43" si="37">SUM(D43-D42)*160</f>
        <v>38400</v>
      </c>
      <c r="G43" s="20">
        <v>4824</v>
      </c>
      <c r="H43" s="20">
        <v>2.004</v>
      </c>
      <c r="I43" s="42">
        <f t="shared" ref="I43" si="38">SUM(G43-G42)*160</f>
        <v>43040</v>
      </c>
      <c r="J43" s="20">
        <v>11778</v>
      </c>
      <c r="K43" s="20">
        <v>1.9</v>
      </c>
      <c r="L43" s="42">
        <f t="shared" ref="L43" si="39">SUM(J43-J42)*400</f>
        <v>9200</v>
      </c>
      <c r="M43" s="20">
        <v>11620</v>
      </c>
      <c r="N43" s="20">
        <v>2.0499999999999998</v>
      </c>
      <c r="O43" s="42">
        <f t="shared" ref="O43" si="40">SUM(M43-M42)*400</f>
        <v>9600</v>
      </c>
      <c r="P43" s="20">
        <v>12250</v>
      </c>
      <c r="Q43" s="20">
        <v>1.77</v>
      </c>
      <c r="R43" s="42">
        <f t="shared" ref="R43" si="41">SUM(P43-P42)*400</f>
        <v>8800</v>
      </c>
      <c r="S43" s="20">
        <v>83746</v>
      </c>
      <c r="T43" s="20">
        <v>2.2909999999999999</v>
      </c>
      <c r="U43" s="42">
        <f t="shared" ref="U43" si="42">SUM(S43-S42)*300</f>
        <v>74100</v>
      </c>
      <c r="V43" s="20">
        <v>80177</v>
      </c>
      <c r="W43" s="20">
        <v>2.0830000000000002</v>
      </c>
      <c r="X43" s="42">
        <f t="shared" ref="X43" si="43">SUM(V43-V42)*300</f>
        <v>77400</v>
      </c>
      <c r="Y43" s="20">
        <v>19091</v>
      </c>
      <c r="Z43" s="20">
        <v>2.86</v>
      </c>
      <c r="AA43" s="42">
        <f t="shared" ref="AA43" si="44">SUM(Y43-Y42)*160</f>
        <v>5280</v>
      </c>
      <c r="AB43" s="20">
        <v>12463</v>
      </c>
      <c r="AC43" s="20">
        <v>1.84</v>
      </c>
      <c r="AD43" s="42">
        <f t="shared" ref="AD43" si="45">SUM(AB43-AB42)*160</f>
        <v>2880</v>
      </c>
      <c r="AE43" s="20">
        <v>1926</v>
      </c>
      <c r="AF43" s="20">
        <v>2.0859999999999999</v>
      </c>
      <c r="AG43" s="42">
        <f t="shared" ref="AG43" si="46">SUM(AE43-AE42)*200</f>
        <v>53000</v>
      </c>
      <c r="AH43" s="20">
        <v>18730</v>
      </c>
      <c r="AI43" s="20">
        <v>0.308</v>
      </c>
      <c r="AJ43" s="42">
        <f t="shared" ref="AJ43" si="47">SUM(AH43-AH42)*40</f>
        <v>1560</v>
      </c>
      <c r="AK43" s="271">
        <v>86757</v>
      </c>
      <c r="AL43" s="42">
        <f t="shared" ref="AL43" si="48">SUM(AK43-AK42)</f>
        <v>470</v>
      </c>
      <c r="AM43" s="42">
        <f t="shared" si="17"/>
        <v>470</v>
      </c>
      <c r="AO43" s="42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9">
        <f t="shared" si="0"/>
        <v>44439</v>
      </c>
      <c r="AU43" s="20">
        <v>68030</v>
      </c>
      <c r="AV43" s="42">
        <f t="shared" ref="AV43" si="49">SUM(AU43-AU42)*100</f>
        <v>15500</v>
      </c>
      <c r="AW43" s="20">
        <v>8692</v>
      </c>
      <c r="AX43" s="42">
        <f t="shared" ref="AX43" si="50">SUM(AW43-AW42)*100</f>
        <v>1800</v>
      </c>
      <c r="AY43" s="93">
        <v>59120</v>
      </c>
      <c r="AZ43" s="94">
        <f t="shared" ref="AZ43" si="51">SUM(AY43-AY42)</f>
        <v>784</v>
      </c>
      <c r="BA43" s="20">
        <v>2566</v>
      </c>
      <c r="BB43" s="42">
        <f t="shared" ref="BB43" si="52">SUM(BA43-BA42)*40</f>
        <v>1080</v>
      </c>
      <c r="BC43" s="73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5">
        <f t="shared" si="2"/>
        <v>4824</v>
      </c>
      <c r="BW43" s="75">
        <f t="shared" si="3"/>
        <v>6867</v>
      </c>
      <c r="CF43" s="75">
        <f t="shared" si="4"/>
        <v>83746</v>
      </c>
      <c r="CO43" s="75">
        <f t="shared" si="5"/>
        <v>18730</v>
      </c>
      <c r="CX43" s="75">
        <f t="shared" si="6"/>
        <v>80177</v>
      </c>
      <c r="DG43" s="75">
        <f t="shared" si="7"/>
        <v>11620</v>
      </c>
      <c r="DP43" s="75">
        <f t="shared" si="8"/>
        <v>83746</v>
      </c>
      <c r="DY43" s="75">
        <f t="shared" si="9"/>
        <v>12250</v>
      </c>
      <c r="EH43" s="75">
        <f t="shared" si="10"/>
        <v>19091</v>
      </c>
      <c r="EQ43" s="75">
        <f t="shared" si="11"/>
        <v>12463</v>
      </c>
      <c r="EZ43" s="19">
        <f t="shared" si="12"/>
        <v>1926</v>
      </c>
      <c r="FI43" s="58"/>
      <c r="FN43" s="14"/>
      <c r="FP43" s="75">
        <f t="shared" si="36"/>
        <v>8692</v>
      </c>
      <c r="FY43" s="75">
        <f t="shared" si="14"/>
        <v>68030</v>
      </c>
      <c r="GH43" s="75">
        <f t="shared" si="15"/>
        <v>59120</v>
      </c>
      <c r="GN43" s="75">
        <f t="shared" si="16"/>
        <v>2566</v>
      </c>
      <c r="HA43" s="18"/>
    </row>
    <row r="44" spans="2:213" x14ac:dyDescent="0.25">
      <c r="B44" s="72">
        <v>44445</v>
      </c>
      <c r="C44" s="206">
        <f>SUM(Essbase!J252:J258)</f>
        <v>1673</v>
      </c>
      <c r="D44" s="20">
        <v>6954</v>
      </c>
      <c r="E44" s="20">
        <v>1.9139999999999999</v>
      </c>
      <c r="F44" s="42">
        <f>SUM(D44-D42)*160</f>
        <v>52320</v>
      </c>
      <c r="G44" s="20">
        <v>5099</v>
      </c>
      <c r="H44" s="20">
        <v>2.0680000000000001</v>
      </c>
      <c r="I44" s="42">
        <f>SUM(G44-G42)*160</f>
        <v>87040</v>
      </c>
      <c r="J44" s="20">
        <v>11801</v>
      </c>
      <c r="K44" s="20">
        <v>1.99</v>
      </c>
      <c r="L44" s="42">
        <f>SUM(J44-J42)*400</f>
        <v>18400</v>
      </c>
      <c r="M44" s="20">
        <v>11644</v>
      </c>
      <c r="N44" s="20">
        <v>2.0499999999999998</v>
      </c>
      <c r="O44" s="42">
        <f>SUM(M44-M42)*400</f>
        <v>19200</v>
      </c>
      <c r="P44" s="20">
        <v>12274</v>
      </c>
      <c r="Q44" s="20">
        <v>2.14</v>
      </c>
      <c r="R44" s="42">
        <f>SUM(P44-P42)*400</f>
        <v>18400</v>
      </c>
      <c r="S44" s="20">
        <v>83992</v>
      </c>
      <c r="T44" s="20">
        <v>2.3580000000000001</v>
      </c>
      <c r="U44" s="42">
        <f>SUM(S44-S42)*300</f>
        <v>147900</v>
      </c>
      <c r="V44" s="20">
        <v>80434</v>
      </c>
      <c r="W44" s="20">
        <v>2.0830000000000002</v>
      </c>
      <c r="X44" s="42">
        <f>SUM(V44-V42)*300</f>
        <v>154500</v>
      </c>
      <c r="Y44" s="20">
        <v>19125</v>
      </c>
      <c r="Z44" s="20">
        <v>2.98</v>
      </c>
      <c r="AA44" s="42">
        <f>SUM(Y44-Y42)*160</f>
        <v>10720</v>
      </c>
      <c r="AB44" s="20">
        <v>12481</v>
      </c>
      <c r="AC44" s="20">
        <v>1.84</v>
      </c>
      <c r="AD44" s="42">
        <f>SUM(AB44-AB42)*160</f>
        <v>5760</v>
      </c>
      <c r="AE44" s="20">
        <v>2192</v>
      </c>
      <c r="AF44" s="20">
        <v>2.0859999999999999</v>
      </c>
      <c r="AG44" s="42">
        <f>SUM(AE44-AE42)*200</f>
        <v>106200</v>
      </c>
      <c r="AH44" s="20">
        <v>18768</v>
      </c>
      <c r="AI44" s="20">
        <v>0.308</v>
      </c>
      <c r="AJ44" s="42">
        <f>SUM(AH44-AH42)*40</f>
        <v>3080</v>
      </c>
      <c r="AK44" s="272">
        <v>87257</v>
      </c>
      <c r="AL44" s="42">
        <f>SUM(AK44-AK42)</f>
        <v>970</v>
      </c>
      <c r="AM44" s="42">
        <f t="shared" si="17"/>
        <v>500</v>
      </c>
      <c r="AO44" s="42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9">
        <f t="shared" si="0"/>
        <v>44445</v>
      </c>
      <c r="AU44" s="20">
        <v>68200</v>
      </c>
      <c r="AV44" s="42">
        <f>SUM(AT44-AT42)*100</f>
        <v>1400</v>
      </c>
      <c r="AW44" s="20">
        <v>8712</v>
      </c>
      <c r="AX44" s="42">
        <f>SUM(AW44-AW42)*100</f>
        <v>3800</v>
      </c>
      <c r="AY44" s="93">
        <v>60022</v>
      </c>
      <c r="AZ44" s="42">
        <f>SUM(AY44-AY42)</f>
        <v>1686</v>
      </c>
      <c r="BA44" s="20">
        <v>2631</v>
      </c>
      <c r="BB44" s="42">
        <f>SUM(BA44-BA42)*40</f>
        <v>3680</v>
      </c>
      <c r="BC44" s="73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5">
        <f t="shared" si="2"/>
        <v>5099</v>
      </c>
      <c r="BW44" s="75">
        <f t="shared" si="3"/>
        <v>6954</v>
      </c>
      <c r="CF44" s="75">
        <f t="shared" si="4"/>
        <v>83992</v>
      </c>
      <c r="CO44" s="75">
        <f t="shared" si="5"/>
        <v>18768</v>
      </c>
      <c r="CX44" s="75">
        <f t="shared" si="6"/>
        <v>80434</v>
      </c>
      <c r="DG44" s="75">
        <f t="shared" si="7"/>
        <v>11644</v>
      </c>
      <c r="DP44" s="75">
        <f t="shared" si="8"/>
        <v>83992</v>
      </c>
      <c r="DY44" s="75">
        <f t="shared" si="9"/>
        <v>12274</v>
      </c>
      <c r="EH44" s="75">
        <f t="shared" si="10"/>
        <v>19125</v>
      </c>
      <c r="EQ44" s="75">
        <f t="shared" si="11"/>
        <v>12481</v>
      </c>
      <c r="EZ44" s="19">
        <f t="shared" si="12"/>
        <v>2192</v>
      </c>
      <c r="FI44" s="58"/>
      <c r="FN44" s="14"/>
      <c r="FP44" s="75">
        <f t="shared" si="36"/>
        <v>8712</v>
      </c>
      <c r="FY44" s="75">
        <f t="shared" si="14"/>
        <v>68200</v>
      </c>
      <c r="GH44" s="75">
        <f t="shared" si="15"/>
        <v>60022</v>
      </c>
      <c r="GN44" s="75">
        <f t="shared" si="16"/>
        <v>2631</v>
      </c>
      <c r="HA44" s="18"/>
    </row>
    <row r="45" spans="2:213" x14ac:dyDescent="0.25">
      <c r="B45" s="72">
        <f>B44+7</f>
        <v>44452</v>
      </c>
      <c r="C45" s="206">
        <f>SUM(Essbase!J259:J265)</f>
        <v>1269</v>
      </c>
      <c r="D45" s="188">
        <v>7359</v>
      </c>
      <c r="E45" s="188">
        <v>1.9139999999999999</v>
      </c>
      <c r="F45" s="195">
        <v>64800</v>
      </c>
      <c r="G45" s="188">
        <v>5374</v>
      </c>
      <c r="H45" s="188">
        <v>2.0680000000000001</v>
      </c>
      <c r="I45" s="195">
        <v>44000</v>
      </c>
      <c r="J45" s="188">
        <v>11824</v>
      </c>
      <c r="K45" s="188">
        <v>1.99</v>
      </c>
      <c r="L45" s="195">
        <v>9200</v>
      </c>
      <c r="M45" s="188">
        <v>11667</v>
      </c>
      <c r="N45" s="188">
        <v>2.0499999999999998</v>
      </c>
      <c r="O45" s="195">
        <v>9200</v>
      </c>
      <c r="P45" s="188">
        <v>12295</v>
      </c>
      <c r="Q45" s="188">
        <v>2.14</v>
      </c>
      <c r="R45" s="195">
        <v>8400</v>
      </c>
      <c r="S45" s="188">
        <v>84243</v>
      </c>
      <c r="T45" s="188">
        <v>2.38</v>
      </c>
      <c r="U45" s="195">
        <v>75300</v>
      </c>
      <c r="V45" s="188">
        <v>80681</v>
      </c>
      <c r="W45" s="188">
        <v>2.0830000000000002</v>
      </c>
      <c r="X45" s="195">
        <v>74100</v>
      </c>
      <c r="Y45" s="188">
        <v>19161</v>
      </c>
      <c r="Z45" s="188">
        <v>3.25</v>
      </c>
      <c r="AA45" s="195">
        <v>5760</v>
      </c>
      <c r="AB45" s="188">
        <v>12500</v>
      </c>
      <c r="AC45" s="188">
        <v>1.86</v>
      </c>
      <c r="AD45" s="195">
        <v>3040</v>
      </c>
      <c r="AE45" s="188">
        <v>2459</v>
      </c>
      <c r="AF45" s="188">
        <v>2.0859999999999999</v>
      </c>
      <c r="AG45" s="195">
        <v>53400</v>
      </c>
      <c r="AH45" s="188">
        <v>18806</v>
      </c>
      <c r="AI45" s="188">
        <v>0.308</v>
      </c>
      <c r="AJ45" s="195">
        <v>1520</v>
      </c>
      <c r="AK45" s="199">
        <v>87761</v>
      </c>
      <c r="AL45" s="195">
        <v>504</v>
      </c>
      <c r="AM45" s="42">
        <f t="shared" ref="AM45:AM51" si="53">SUM(AK45-AK44)</f>
        <v>504</v>
      </c>
      <c r="AO45" s="42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2">
        <f>AT44+7</f>
        <v>44452</v>
      </c>
      <c r="AU45" s="188">
        <v>68377</v>
      </c>
      <c r="AV45" s="195">
        <v>17700</v>
      </c>
      <c r="AW45" s="188">
        <v>8733</v>
      </c>
      <c r="AX45" s="195">
        <v>2100</v>
      </c>
      <c r="AY45" s="189">
        <v>60972</v>
      </c>
      <c r="AZ45" s="198">
        <v>950</v>
      </c>
      <c r="BA45" s="188">
        <v>2667</v>
      </c>
      <c r="BB45" s="195">
        <v>1440</v>
      </c>
      <c r="BC45" s="73"/>
      <c r="BD45" s="25">
        <f t="shared" si="21"/>
        <v>22190</v>
      </c>
      <c r="BE45" s="20"/>
      <c r="BF45" s="20"/>
      <c r="BH45" s="14"/>
      <c r="BJ45" s="19"/>
      <c r="BN45" s="75"/>
      <c r="BW45" s="75">
        <f t="shared" si="3"/>
        <v>7359</v>
      </c>
      <c r="CF45" s="75"/>
      <c r="CO45" s="75"/>
      <c r="CX45" s="75"/>
      <c r="DG45" s="75"/>
      <c r="DP45" s="75"/>
      <c r="DY45" s="75"/>
      <c r="EH45" s="75"/>
      <c r="EQ45" s="75"/>
      <c r="EZ45" s="19"/>
      <c r="FI45" s="58"/>
      <c r="FN45" s="14"/>
      <c r="FP45" s="75"/>
      <c r="FY45" s="75"/>
      <c r="GH45" s="75"/>
      <c r="GN45" s="75"/>
      <c r="HA45" s="18"/>
    </row>
    <row r="46" spans="2:213" x14ac:dyDescent="0.25">
      <c r="B46" s="72">
        <f t="shared" ref="B46:B47" si="55">B45+7</f>
        <v>44459</v>
      </c>
      <c r="C46" s="206">
        <f>SUM(Essbase!J266:J271)</f>
        <v>1100</v>
      </c>
      <c r="D46" s="188"/>
      <c r="E46" s="188"/>
      <c r="F46" s="42">
        <f t="shared" ref="F46:F51" si="56">SUM(D46-D45)*160</f>
        <v>-1177440</v>
      </c>
      <c r="G46" s="188"/>
      <c r="H46" s="188"/>
      <c r="I46" s="42">
        <f t="shared" ref="I46:I51" si="57">SUM(G46-G45)*160</f>
        <v>-859840</v>
      </c>
      <c r="J46" s="188"/>
      <c r="K46" s="188"/>
      <c r="L46" s="42">
        <f t="shared" ref="L46:L51" si="58">SUM(J46-J45)*400</f>
        <v>-4729600</v>
      </c>
      <c r="M46" s="188"/>
      <c r="N46" s="188"/>
      <c r="O46" s="42">
        <f t="shared" ref="O46:O51" si="59">SUM(M46-M45)*400</f>
        <v>-4666800</v>
      </c>
      <c r="P46" s="188"/>
      <c r="Q46" s="188"/>
      <c r="R46" s="42">
        <f t="shared" ref="R46:R51" si="60">SUM(P46-P45)*400</f>
        <v>-4918000</v>
      </c>
      <c r="S46" s="188"/>
      <c r="T46" s="188"/>
      <c r="U46" s="42">
        <f t="shared" ref="U46:U51" si="61">SUM(S46-S45)*300</f>
        <v>-25272900</v>
      </c>
      <c r="V46" s="188"/>
      <c r="W46" s="188"/>
      <c r="X46" s="42">
        <f t="shared" ref="X46:X51" si="62">SUM(V46-V45)*300</f>
        <v>-24204300</v>
      </c>
      <c r="Y46" s="188"/>
      <c r="Z46" s="188"/>
      <c r="AA46" s="42">
        <f t="shared" ref="AA46:AA51" si="63">SUM(Y46-Y45)*160</f>
        <v>-3065760</v>
      </c>
      <c r="AB46" s="188"/>
      <c r="AC46" s="188"/>
      <c r="AD46" s="42">
        <f t="shared" ref="AD46:AD51" si="64">SUM(AB46-AB45)*160</f>
        <v>-2000000</v>
      </c>
      <c r="AE46" s="188"/>
      <c r="AF46" s="188"/>
      <c r="AG46" s="42">
        <f t="shared" ref="AG46:AG51" si="65">SUM(AE46-AE45)*200</f>
        <v>-491800</v>
      </c>
      <c r="AH46" s="188"/>
      <c r="AI46" s="188"/>
      <c r="AJ46" s="42">
        <f t="shared" ref="AJ46:AJ51" si="66">SUM(AH46-AH45)*40</f>
        <v>-752240</v>
      </c>
      <c r="AK46" s="323"/>
      <c r="AL46" s="324"/>
      <c r="AM46" s="42">
        <f t="shared" si="53"/>
        <v>-87761</v>
      </c>
      <c r="AO46" s="42">
        <f t="shared" si="18"/>
        <v>-72226441</v>
      </c>
      <c r="AP46" s="20">
        <f t="shared" si="19"/>
        <v>-1244040</v>
      </c>
      <c r="AQ46" s="20">
        <f t="shared" si="54"/>
        <v>1.7224163101155709E-2</v>
      </c>
      <c r="AR46" s="20"/>
      <c r="AS46" s="14"/>
      <c r="AT46" s="72">
        <f t="shared" ref="AT46:AT47" si="67">AT45+7</f>
        <v>44459</v>
      </c>
      <c r="AU46" s="188"/>
      <c r="AV46" s="42">
        <f t="shared" ref="AV46:AV51" si="68">SUM(AU46-AU45)*100</f>
        <v>-6837700</v>
      </c>
      <c r="AW46" s="188"/>
      <c r="AX46" s="42">
        <f t="shared" ref="AX46:AX51" si="69">SUM(AW46-AW45)*100</f>
        <v>-873300</v>
      </c>
      <c r="AY46" s="189"/>
      <c r="AZ46" s="94">
        <f t="shared" ref="AZ46:AZ51" si="70">SUM(AY46-AY45)</f>
        <v>-60972</v>
      </c>
      <c r="BA46" s="188"/>
      <c r="BB46" s="42">
        <f t="shared" ref="BB46:BB51" si="71">SUM(BA46-BA45)*40</f>
        <v>-106680</v>
      </c>
      <c r="BC46" s="73"/>
      <c r="BD46" s="25">
        <f t="shared" si="21"/>
        <v>-7878652</v>
      </c>
      <c r="BE46" s="20"/>
      <c r="BF46" s="20"/>
      <c r="BH46" s="14"/>
      <c r="BJ46" s="19"/>
      <c r="BN46" s="75"/>
      <c r="BW46" s="75"/>
      <c r="CF46" s="75"/>
      <c r="CO46" s="75"/>
      <c r="CX46" s="75"/>
      <c r="DG46" s="75"/>
      <c r="DP46" s="75"/>
      <c r="DY46" s="75"/>
      <c r="EH46" s="75"/>
      <c r="EQ46" s="75"/>
      <c r="EZ46" s="19"/>
      <c r="FI46" s="58"/>
      <c r="FN46" s="14"/>
      <c r="FP46" s="75"/>
      <c r="FY46" s="75"/>
      <c r="GH46" s="75"/>
      <c r="GN46" s="75"/>
      <c r="HA46" s="18"/>
    </row>
    <row r="47" spans="2:213" x14ac:dyDescent="0.25">
      <c r="B47" s="72">
        <f t="shared" si="55"/>
        <v>44466</v>
      </c>
      <c r="C47" s="206">
        <f>SUM(Essbase!J272:J278)</f>
        <v>1715</v>
      </c>
      <c r="D47" s="188"/>
      <c r="E47" s="188"/>
      <c r="F47" s="42">
        <f t="shared" si="56"/>
        <v>0</v>
      </c>
      <c r="G47" s="188"/>
      <c r="H47" s="188"/>
      <c r="I47" s="42">
        <f t="shared" si="57"/>
        <v>0</v>
      </c>
      <c r="J47" s="188"/>
      <c r="K47" s="188"/>
      <c r="L47" s="42">
        <f t="shared" si="58"/>
        <v>0</v>
      </c>
      <c r="M47" s="188"/>
      <c r="N47" s="188"/>
      <c r="O47" s="42">
        <f t="shared" si="59"/>
        <v>0</v>
      </c>
      <c r="P47" s="188"/>
      <c r="Q47" s="188"/>
      <c r="R47" s="42">
        <f t="shared" si="60"/>
        <v>0</v>
      </c>
      <c r="S47" s="188"/>
      <c r="T47" s="188"/>
      <c r="U47" s="42">
        <f t="shared" si="61"/>
        <v>0</v>
      </c>
      <c r="V47" s="188"/>
      <c r="W47" s="188"/>
      <c r="X47" s="42">
        <f t="shared" si="62"/>
        <v>0</v>
      </c>
      <c r="Y47" s="188"/>
      <c r="Z47" s="188"/>
      <c r="AA47" s="42">
        <f t="shared" si="63"/>
        <v>0</v>
      </c>
      <c r="AB47" s="188"/>
      <c r="AC47" s="188"/>
      <c r="AD47" s="42">
        <f t="shared" si="64"/>
        <v>0</v>
      </c>
      <c r="AE47" s="188"/>
      <c r="AF47" s="188"/>
      <c r="AG47" s="42">
        <f t="shared" si="65"/>
        <v>0</v>
      </c>
      <c r="AH47" s="188"/>
      <c r="AI47" s="188"/>
      <c r="AJ47" s="42">
        <f t="shared" si="66"/>
        <v>0</v>
      </c>
      <c r="AK47" s="323"/>
      <c r="AL47" s="324"/>
      <c r="AM47" s="42">
        <f t="shared" si="53"/>
        <v>0</v>
      </c>
      <c r="AO47" s="42">
        <f t="shared" si="18"/>
        <v>0</v>
      </c>
      <c r="AP47" s="20">
        <f t="shared" si="19"/>
        <v>0</v>
      </c>
      <c r="AQ47" s="20" t="e">
        <f t="shared" si="54"/>
        <v>#DIV/0!</v>
      </c>
      <c r="AR47" s="20"/>
      <c r="AS47" s="14"/>
      <c r="AT47" s="72">
        <f t="shared" si="67"/>
        <v>44466</v>
      </c>
      <c r="AU47" s="188"/>
      <c r="AV47" s="42">
        <f t="shared" si="68"/>
        <v>0</v>
      </c>
      <c r="AW47" s="188"/>
      <c r="AX47" s="42">
        <f t="shared" si="69"/>
        <v>0</v>
      </c>
      <c r="AY47" s="189"/>
      <c r="AZ47" s="94">
        <f t="shared" si="70"/>
        <v>0</v>
      </c>
      <c r="BA47" s="188"/>
      <c r="BB47" s="42">
        <f t="shared" si="71"/>
        <v>0</v>
      </c>
      <c r="BC47" s="73"/>
      <c r="BD47" s="25">
        <f t="shared" si="21"/>
        <v>0</v>
      </c>
      <c r="BE47" s="20"/>
      <c r="BF47" s="20"/>
      <c r="BH47" s="14"/>
      <c r="BJ47" s="19"/>
      <c r="BN47" s="75"/>
      <c r="BW47" s="75"/>
      <c r="CF47" s="75"/>
      <c r="CO47" s="75"/>
      <c r="CX47" s="75"/>
      <c r="DG47" s="75"/>
      <c r="DP47" s="75"/>
      <c r="DY47" s="75"/>
      <c r="EH47" s="75"/>
      <c r="EQ47" s="75"/>
      <c r="EZ47" s="19"/>
      <c r="FI47" s="58"/>
      <c r="FN47" s="14"/>
      <c r="FP47" s="75"/>
      <c r="FY47" s="75"/>
      <c r="GH47" s="75"/>
      <c r="GN47" s="75"/>
      <c r="HA47" s="18"/>
    </row>
    <row r="48" spans="2:213" x14ac:dyDescent="0.25">
      <c r="B48" s="72">
        <v>44470</v>
      </c>
      <c r="C48" s="206">
        <f>SUM(Essbase!J279:J282)</f>
        <v>1027</v>
      </c>
      <c r="D48" s="188"/>
      <c r="E48" s="188"/>
      <c r="F48" s="42">
        <f t="shared" si="56"/>
        <v>0</v>
      </c>
      <c r="G48" s="188"/>
      <c r="H48" s="188"/>
      <c r="I48" s="42">
        <f t="shared" si="57"/>
        <v>0</v>
      </c>
      <c r="J48" s="188"/>
      <c r="K48" s="188"/>
      <c r="L48" s="42">
        <f t="shared" si="58"/>
        <v>0</v>
      </c>
      <c r="M48" s="188"/>
      <c r="N48" s="188"/>
      <c r="O48" s="42">
        <f t="shared" si="59"/>
        <v>0</v>
      </c>
      <c r="P48" s="188"/>
      <c r="Q48" s="188"/>
      <c r="R48" s="42">
        <f t="shared" si="60"/>
        <v>0</v>
      </c>
      <c r="S48" s="188"/>
      <c r="T48" s="188"/>
      <c r="U48" s="42">
        <f t="shared" si="61"/>
        <v>0</v>
      </c>
      <c r="V48" s="188"/>
      <c r="W48" s="188"/>
      <c r="X48" s="42">
        <f t="shared" si="62"/>
        <v>0</v>
      </c>
      <c r="Y48" s="188"/>
      <c r="Z48" s="188"/>
      <c r="AA48" s="42">
        <f t="shared" si="63"/>
        <v>0</v>
      </c>
      <c r="AB48" s="188"/>
      <c r="AC48" s="188"/>
      <c r="AD48" s="42">
        <f t="shared" si="64"/>
        <v>0</v>
      </c>
      <c r="AE48" s="188"/>
      <c r="AF48" s="188"/>
      <c r="AG48" s="42">
        <f t="shared" si="65"/>
        <v>0</v>
      </c>
      <c r="AH48" s="188"/>
      <c r="AI48" s="188"/>
      <c r="AJ48" s="42">
        <f t="shared" si="66"/>
        <v>0</v>
      </c>
      <c r="AK48" s="323"/>
      <c r="AL48" s="324"/>
      <c r="AM48" s="42">
        <f t="shared" si="53"/>
        <v>0</v>
      </c>
      <c r="AO48" s="42">
        <f t="shared" si="18"/>
        <v>0</v>
      </c>
      <c r="AP48" s="20">
        <f t="shared" si="19"/>
        <v>0</v>
      </c>
      <c r="AQ48" s="20" t="e">
        <f t="shared" si="54"/>
        <v>#DIV/0!</v>
      </c>
      <c r="AR48" s="20">
        <f>SUM(AO44:AO48)</f>
        <v>-71253197</v>
      </c>
      <c r="AS48" s="14"/>
      <c r="AT48" s="72">
        <v>44470</v>
      </c>
      <c r="AU48" s="188"/>
      <c r="AV48" s="42">
        <f t="shared" si="68"/>
        <v>0</v>
      </c>
      <c r="AW48" s="188"/>
      <c r="AX48" s="42">
        <f t="shared" si="69"/>
        <v>0</v>
      </c>
      <c r="AY48" s="189"/>
      <c r="AZ48" s="94">
        <f t="shared" si="70"/>
        <v>0</v>
      </c>
      <c r="BA48" s="188"/>
      <c r="BB48" s="42">
        <f t="shared" si="71"/>
        <v>0</v>
      </c>
      <c r="BC48" s="73"/>
      <c r="BD48" s="25">
        <f t="shared" si="21"/>
        <v>0</v>
      </c>
      <c r="BE48" s="20">
        <f>SUM(BC44:BD48)</f>
        <v>-7845896</v>
      </c>
      <c r="BF48" s="20">
        <f>SUM(AR48+BE48)</f>
        <v>-79099093</v>
      </c>
      <c r="BH48" s="14"/>
      <c r="BJ48" s="19"/>
      <c r="BN48" s="75"/>
      <c r="BW48" s="75"/>
      <c r="CF48" s="75"/>
      <c r="CO48" s="75"/>
      <c r="CX48" s="75"/>
      <c r="DG48" s="75"/>
      <c r="DP48" s="75"/>
      <c r="DY48" s="75"/>
      <c r="EH48" s="75"/>
      <c r="EQ48" s="75"/>
      <c r="EZ48" s="19"/>
      <c r="FI48" s="58"/>
      <c r="FN48" s="14"/>
      <c r="FP48" s="75"/>
      <c r="FY48" s="75"/>
      <c r="GH48" s="75"/>
      <c r="GN48" s="75"/>
      <c r="HA48" s="18"/>
    </row>
    <row r="49" spans="2:209" x14ac:dyDescent="0.25">
      <c r="B49" s="72">
        <v>44473</v>
      </c>
      <c r="C49" s="206"/>
      <c r="D49" s="188"/>
      <c r="E49" s="188"/>
      <c r="F49" s="42">
        <f t="shared" si="56"/>
        <v>0</v>
      </c>
      <c r="G49" s="188"/>
      <c r="H49" s="188"/>
      <c r="I49" s="42">
        <f t="shared" si="57"/>
        <v>0</v>
      </c>
      <c r="J49" s="188"/>
      <c r="K49" s="188"/>
      <c r="L49" s="42">
        <f t="shared" si="58"/>
        <v>0</v>
      </c>
      <c r="M49" s="188"/>
      <c r="N49" s="188"/>
      <c r="O49" s="42">
        <f t="shared" si="59"/>
        <v>0</v>
      </c>
      <c r="P49" s="188"/>
      <c r="Q49" s="188"/>
      <c r="R49" s="42">
        <f t="shared" si="60"/>
        <v>0</v>
      </c>
      <c r="S49" s="188"/>
      <c r="T49" s="188"/>
      <c r="U49" s="42">
        <f t="shared" si="61"/>
        <v>0</v>
      </c>
      <c r="V49" s="188"/>
      <c r="W49" s="188"/>
      <c r="X49" s="42">
        <f t="shared" si="62"/>
        <v>0</v>
      </c>
      <c r="Y49" s="188"/>
      <c r="Z49" s="188"/>
      <c r="AA49" s="42">
        <f t="shared" si="63"/>
        <v>0</v>
      </c>
      <c r="AB49" s="188"/>
      <c r="AC49" s="188"/>
      <c r="AD49" s="42">
        <f t="shared" si="64"/>
        <v>0</v>
      </c>
      <c r="AE49" s="188"/>
      <c r="AF49" s="188"/>
      <c r="AG49" s="42">
        <f t="shared" si="65"/>
        <v>0</v>
      </c>
      <c r="AH49" s="188"/>
      <c r="AI49" s="188"/>
      <c r="AJ49" s="42">
        <f t="shared" si="66"/>
        <v>0</v>
      </c>
      <c r="AK49" s="323"/>
      <c r="AL49" s="324"/>
      <c r="AM49" s="42">
        <f t="shared" si="53"/>
        <v>0</v>
      </c>
      <c r="AO49" s="42">
        <f t="shared" si="18"/>
        <v>0</v>
      </c>
      <c r="AP49" s="20">
        <f t="shared" si="19"/>
        <v>0</v>
      </c>
      <c r="AQ49" s="20" t="e">
        <f t="shared" si="54"/>
        <v>#DIV/0!</v>
      </c>
      <c r="AR49" s="20"/>
      <c r="AS49" s="14"/>
      <c r="AT49" s="72">
        <v>44474</v>
      </c>
      <c r="AU49" s="188"/>
      <c r="AV49" s="42">
        <f t="shared" si="68"/>
        <v>0</v>
      </c>
      <c r="AW49" s="188"/>
      <c r="AX49" s="42">
        <f t="shared" si="69"/>
        <v>0</v>
      </c>
      <c r="AY49" s="189"/>
      <c r="AZ49" s="94">
        <f t="shared" si="70"/>
        <v>0</v>
      </c>
      <c r="BA49" s="188"/>
      <c r="BB49" s="42">
        <f t="shared" si="71"/>
        <v>0</v>
      </c>
      <c r="BC49" s="73"/>
      <c r="BD49" s="25">
        <f t="shared" si="21"/>
        <v>0</v>
      </c>
      <c r="BE49" s="20"/>
      <c r="BF49" s="20"/>
      <c r="BH49" s="14"/>
      <c r="BJ49" s="19"/>
      <c r="BN49" s="75"/>
      <c r="BW49" s="75"/>
      <c r="CF49" s="75"/>
      <c r="CO49" s="75"/>
      <c r="CX49" s="75"/>
      <c r="DG49" s="75"/>
      <c r="DP49" s="75"/>
      <c r="DY49" s="75"/>
      <c r="EH49" s="75"/>
      <c r="EQ49" s="75"/>
      <c r="EZ49" s="19"/>
      <c r="FI49" s="58"/>
      <c r="FN49" s="14"/>
      <c r="FP49" s="75"/>
      <c r="FY49" s="75"/>
      <c r="GH49" s="75"/>
      <c r="GN49" s="75"/>
      <c r="HA49" s="18"/>
    </row>
    <row r="50" spans="2:209" x14ac:dyDescent="0.25">
      <c r="B50" s="72">
        <f>B49+7</f>
        <v>44480</v>
      </c>
      <c r="C50" s="206"/>
      <c r="D50" s="188"/>
      <c r="E50" s="188"/>
      <c r="F50" s="42">
        <f t="shared" si="56"/>
        <v>0</v>
      </c>
      <c r="G50" s="188"/>
      <c r="H50" s="188"/>
      <c r="I50" s="42">
        <f t="shared" si="57"/>
        <v>0</v>
      </c>
      <c r="J50" s="188"/>
      <c r="K50" s="188"/>
      <c r="L50" s="42">
        <f t="shared" si="58"/>
        <v>0</v>
      </c>
      <c r="M50" s="188"/>
      <c r="N50" s="188"/>
      <c r="O50" s="42">
        <f t="shared" si="59"/>
        <v>0</v>
      </c>
      <c r="P50" s="188"/>
      <c r="Q50" s="188"/>
      <c r="R50" s="42">
        <f t="shared" si="60"/>
        <v>0</v>
      </c>
      <c r="S50" s="188"/>
      <c r="T50" s="188"/>
      <c r="U50" s="42">
        <f t="shared" si="61"/>
        <v>0</v>
      </c>
      <c r="V50" s="188"/>
      <c r="W50" s="188"/>
      <c r="X50" s="42">
        <f t="shared" si="62"/>
        <v>0</v>
      </c>
      <c r="Y50" s="188"/>
      <c r="Z50" s="188"/>
      <c r="AA50" s="42">
        <f t="shared" si="63"/>
        <v>0</v>
      </c>
      <c r="AB50" s="188"/>
      <c r="AC50" s="188"/>
      <c r="AD50" s="42">
        <f t="shared" si="64"/>
        <v>0</v>
      </c>
      <c r="AE50" s="188"/>
      <c r="AF50" s="188"/>
      <c r="AG50" s="42">
        <f t="shared" si="65"/>
        <v>0</v>
      </c>
      <c r="AH50" s="188"/>
      <c r="AI50" s="188"/>
      <c r="AJ50" s="42">
        <f t="shared" si="66"/>
        <v>0</v>
      </c>
      <c r="AK50" s="323"/>
      <c r="AL50" s="324"/>
      <c r="AM50" s="42">
        <f t="shared" si="53"/>
        <v>0</v>
      </c>
      <c r="AO50" s="42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2">
        <f>AT49+7</f>
        <v>44481</v>
      </c>
      <c r="AU50" s="188"/>
      <c r="AV50" s="42">
        <f t="shared" si="68"/>
        <v>0</v>
      </c>
      <c r="AW50" s="188"/>
      <c r="AX50" s="42">
        <f t="shared" si="69"/>
        <v>0</v>
      </c>
      <c r="AY50" s="189"/>
      <c r="AZ50" s="94">
        <f t="shared" si="70"/>
        <v>0</v>
      </c>
      <c r="BA50" s="188"/>
      <c r="BB50" s="42">
        <f t="shared" si="71"/>
        <v>0</v>
      </c>
      <c r="BC50" s="73"/>
      <c r="BD50" s="25">
        <f t="shared" si="21"/>
        <v>0</v>
      </c>
      <c r="BE50" s="20"/>
      <c r="BF50" s="20"/>
      <c r="BH50" s="14"/>
      <c r="BJ50" s="19"/>
      <c r="BN50" s="75"/>
      <c r="BW50" s="75"/>
      <c r="CF50" s="75"/>
      <c r="CO50" s="75"/>
      <c r="CX50" s="75"/>
      <c r="DG50" s="75"/>
      <c r="DP50" s="75"/>
      <c r="DY50" s="75"/>
      <c r="EH50" s="75"/>
      <c r="EQ50" s="75"/>
      <c r="EZ50" s="19"/>
      <c r="FI50" s="58"/>
      <c r="FN50" s="14"/>
      <c r="FP50" s="75"/>
      <c r="FY50" s="75"/>
      <c r="GH50" s="75"/>
      <c r="GN50" s="75"/>
      <c r="HA50" s="18"/>
    </row>
    <row r="51" spans="2:209" x14ac:dyDescent="0.25">
      <c r="B51" s="72">
        <f t="shared" ref="B51:B52" si="72">B50+7</f>
        <v>44487</v>
      </c>
      <c r="C51" s="206"/>
      <c r="D51" s="188"/>
      <c r="E51" s="188"/>
      <c r="F51" s="42">
        <f t="shared" si="56"/>
        <v>0</v>
      </c>
      <c r="G51" s="188"/>
      <c r="H51" s="188"/>
      <c r="I51" s="42">
        <f t="shared" si="57"/>
        <v>0</v>
      </c>
      <c r="J51" s="188"/>
      <c r="K51" s="188"/>
      <c r="L51" s="42">
        <f t="shared" si="58"/>
        <v>0</v>
      </c>
      <c r="M51" s="188"/>
      <c r="N51" s="188"/>
      <c r="O51" s="42">
        <f t="shared" si="59"/>
        <v>0</v>
      </c>
      <c r="P51" s="188"/>
      <c r="Q51" s="188"/>
      <c r="R51" s="42">
        <f t="shared" si="60"/>
        <v>0</v>
      </c>
      <c r="S51" s="188"/>
      <c r="T51" s="188"/>
      <c r="U51" s="42">
        <f t="shared" si="61"/>
        <v>0</v>
      </c>
      <c r="V51" s="188"/>
      <c r="W51" s="188"/>
      <c r="X51" s="42">
        <f t="shared" si="62"/>
        <v>0</v>
      </c>
      <c r="Y51" s="188"/>
      <c r="Z51" s="188"/>
      <c r="AA51" s="42">
        <f t="shared" si="63"/>
        <v>0</v>
      </c>
      <c r="AB51" s="188"/>
      <c r="AC51" s="188"/>
      <c r="AD51" s="42">
        <f t="shared" si="64"/>
        <v>0</v>
      </c>
      <c r="AE51" s="188"/>
      <c r="AF51" s="188"/>
      <c r="AG51" s="42">
        <f t="shared" si="65"/>
        <v>0</v>
      </c>
      <c r="AH51" s="188"/>
      <c r="AI51" s="188"/>
      <c r="AJ51" s="42">
        <f t="shared" si="66"/>
        <v>0</v>
      </c>
      <c r="AK51" s="323"/>
      <c r="AL51" s="324"/>
      <c r="AM51" s="42">
        <f t="shared" si="53"/>
        <v>0</v>
      </c>
      <c r="AO51" s="42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2">
        <f t="shared" ref="AT51:AT52" si="73">AT50+7</f>
        <v>44488</v>
      </c>
      <c r="AU51" s="188"/>
      <c r="AV51" s="42">
        <f t="shared" si="68"/>
        <v>0</v>
      </c>
      <c r="AW51" s="188"/>
      <c r="AX51" s="42">
        <f t="shared" si="69"/>
        <v>0</v>
      </c>
      <c r="AY51" s="189"/>
      <c r="AZ51" s="94">
        <f t="shared" si="70"/>
        <v>0</v>
      </c>
      <c r="BA51" s="188"/>
      <c r="BB51" s="42">
        <f t="shared" si="71"/>
        <v>0</v>
      </c>
      <c r="BC51" s="73"/>
      <c r="BD51" s="25">
        <f t="shared" si="21"/>
        <v>0</v>
      </c>
      <c r="BE51" s="20"/>
      <c r="BF51" s="20"/>
      <c r="BH51" s="14"/>
      <c r="BJ51" s="19"/>
      <c r="BN51" s="75"/>
      <c r="BW51" s="75"/>
      <c r="CF51" s="75"/>
      <c r="CO51" s="75"/>
      <c r="CX51" s="75"/>
      <c r="DG51" s="75"/>
      <c r="DP51" s="75"/>
      <c r="DY51" s="75"/>
      <c r="EH51" s="75"/>
      <c r="EQ51" s="75"/>
      <c r="EZ51" s="19"/>
      <c r="FI51" s="58"/>
      <c r="FN51" s="14"/>
      <c r="FP51" s="75"/>
      <c r="FY51" s="75"/>
      <c r="GH51" s="75"/>
      <c r="GN51" s="75"/>
      <c r="HA51" s="18"/>
    </row>
    <row r="52" spans="2:209" x14ac:dyDescent="0.25">
      <c r="B52" s="72">
        <f t="shared" si="72"/>
        <v>44494</v>
      </c>
      <c r="C52" s="206"/>
      <c r="D52" s="20"/>
      <c r="E52" s="20"/>
      <c r="F52" s="42"/>
      <c r="G52" s="20"/>
      <c r="H52" s="20"/>
      <c r="I52" s="42"/>
      <c r="J52" s="20"/>
      <c r="K52" s="20"/>
      <c r="L52" s="42"/>
      <c r="M52" s="20"/>
      <c r="N52" s="20"/>
      <c r="O52" s="42"/>
      <c r="P52" s="20"/>
      <c r="Q52" s="20"/>
      <c r="R52" s="42"/>
      <c r="S52" s="20"/>
      <c r="T52" s="20"/>
      <c r="U52" s="42"/>
      <c r="V52" s="20"/>
      <c r="W52" s="20"/>
      <c r="X52" s="42"/>
      <c r="Y52" s="20"/>
      <c r="Z52" s="20"/>
      <c r="AA52" s="42"/>
      <c r="AB52" s="20"/>
      <c r="AC52" s="20"/>
      <c r="AD52" s="42"/>
      <c r="AE52" s="20"/>
      <c r="AF52" s="20"/>
      <c r="AG52" s="42"/>
      <c r="AH52" s="20"/>
      <c r="AI52" s="20"/>
      <c r="AJ52" s="42"/>
      <c r="AK52" s="307"/>
      <c r="AL52" s="307"/>
      <c r="AM52" s="42"/>
      <c r="AO52" s="42"/>
      <c r="AP52" s="20"/>
      <c r="AQ52" s="20"/>
      <c r="AR52" s="20"/>
      <c r="AS52" s="14"/>
      <c r="AT52" s="72">
        <f t="shared" si="73"/>
        <v>44495</v>
      </c>
      <c r="AU52" s="20"/>
      <c r="AV52" s="42"/>
      <c r="AW52" s="20"/>
      <c r="AX52" s="42"/>
      <c r="AY52" s="93"/>
      <c r="AZ52" s="94"/>
      <c r="BA52" s="20"/>
      <c r="BB52" s="42"/>
      <c r="BC52" s="73"/>
      <c r="BD52" s="25"/>
      <c r="BE52" s="20"/>
      <c r="BF52" s="20"/>
      <c r="BH52" s="14"/>
      <c r="BJ52" s="19"/>
      <c r="BN52" s="75"/>
      <c r="BW52" s="75"/>
      <c r="CF52" s="75"/>
      <c r="CO52" s="75"/>
      <c r="CX52" s="75"/>
      <c r="DG52" s="75"/>
      <c r="DP52" s="75"/>
      <c r="DY52" s="75"/>
      <c r="EH52" s="75"/>
      <c r="EQ52" s="75"/>
      <c r="EZ52" s="19"/>
      <c r="FI52" s="58"/>
      <c r="FN52" s="14"/>
      <c r="FP52" s="75"/>
      <c r="FY52" s="75"/>
      <c r="GH52" s="75"/>
      <c r="GN52" s="75"/>
      <c r="HA52" s="18"/>
    </row>
    <row r="53" spans="2:209" x14ac:dyDescent="0.25">
      <c r="B53" s="72">
        <v>44501</v>
      </c>
      <c r="C53" s="206"/>
      <c r="D53" s="20"/>
      <c r="E53" s="20"/>
      <c r="F53" s="42"/>
      <c r="G53" s="20"/>
      <c r="H53" s="20"/>
      <c r="I53" s="42"/>
      <c r="J53" s="20"/>
      <c r="K53" s="20"/>
      <c r="L53" s="42"/>
      <c r="M53" s="20"/>
      <c r="N53" s="20"/>
      <c r="O53" s="42"/>
      <c r="P53" s="20"/>
      <c r="Q53" s="20"/>
      <c r="R53" s="42"/>
      <c r="S53" s="20"/>
      <c r="T53" s="20"/>
      <c r="U53" s="42"/>
      <c r="V53" s="20"/>
      <c r="W53" s="20"/>
      <c r="X53" s="42"/>
      <c r="Y53" s="20"/>
      <c r="Z53" s="20"/>
      <c r="AA53" s="42"/>
      <c r="AB53" s="20"/>
      <c r="AC53" s="20"/>
      <c r="AD53" s="42"/>
      <c r="AE53" s="20"/>
      <c r="AF53" s="20"/>
      <c r="AG53" s="42"/>
      <c r="AH53" s="20"/>
      <c r="AI53" s="20"/>
      <c r="AJ53" s="42"/>
      <c r="AK53" s="307"/>
      <c r="AL53" s="307"/>
      <c r="AM53" s="42"/>
      <c r="AO53" s="42"/>
      <c r="AP53" s="20"/>
      <c r="AQ53" s="20"/>
      <c r="AR53" s="20"/>
      <c r="AS53" s="14"/>
      <c r="AT53" s="72">
        <v>44501</v>
      </c>
      <c r="AU53" s="20"/>
      <c r="AV53" s="42"/>
      <c r="AW53" s="20"/>
      <c r="AX53" s="42"/>
      <c r="AY53" s="93"/>
      <c r="AZ53" s="94"/>
      <c r="BA53" s="20"/>
      <c r="BB53" s="42"/>
      <c r="BC53" s="73"/>
      <c r="BD53" s="25"/>
      <c r="BE53" s="20"/>
      <c r="BF53" s="20"/>
      <c r="BH53" s="14"/>
      <c r="BJ53" s="19"/>
      <c r="BN53" s="75"/>
      <c r="BW53" s="75"/>
      <c r="CF53" s="75"/>
      <c r="CO53" s="75"/>
      <c r="CX53" s="75"/>
      <c r="DG53" s="75"/>
      <c r="DP53" s="75"/>
      <c r="DY53" s="75"/>
      <c r="EH53" s="75"/>
      <c r="EQ53" s="75"/>
      <c r="EZ53" s="19"/>
      <c r="FI53" s="58"/>
      <c r="FN53" s="14"/>
      <c r="FP53" s="75"/>
      <c r="FY53" s="75"/>
      <c r="GH53" s="75"/>
      <c r="GN53" s="75"/>
      <c r="HA53" s="18"/>
    </row>
    <row r="54" spans="2:209" x14ac:dyDescent="0.25">
      <c r="B54" s="72">
        <v>44508</v>
      </c>
      <c r="C54" s="206"/>
      <c r="D54" s="20"/>
      <c r="E54" s="20"/>
      <c r="F54" s="42"/>
      <c r="G54" s="20"/>
      <c r="H54" s="20"/>
      <c r="I54" s="42"/>
      <c r="J54" s="20"/>
      <c r="K54" s="20"/>
      <c r="L54" s="42"/>
      <c r="M54" s="20"/>
      <c r="N54" s="20"/>
      <c r="O54" s="42"/>
      <c r="P54" s="20"/>
      <c r="Q54" s="20"/>
      <c r="R54" s="42"/>
      <c r="S54" s="20"/>
      <c r="T54" s="20"/>
      <c r="U54" s="42"/>
      <c r="V54" s="20"/>
      <c r="W54" s="20"/>
      <c r="X54" s="42"/>
      <c r="Y54" s="20"/>
      <c r="Z54" s="20"/>
      <c r="AA54" s="42"/>
      <c r="AB54" s="20"/>
      <c r="AC54" s="20"/>
      <c r="AD54" s="42"/>
      <c r="AE54" s="20"/>
      <c r="AF54" s="20"/>
      <c r="AG54" s="42"/>
      <c r="AH54" s="20"/>
      <c r="AI54" s="20"/>
      <c r="AJ54" s="42"/>
      <c r="AK54" s="307"/>
      <c r="AL54" s="307"/>
      <c r="AM54" s="42"/>
      <c r="AO54" s="42"/>
      <c r="AP54" s="20"/>
      <c r="AQ54" s="20"/>
      <c r="AR54" s="20"/>
      <c r="AS54" s="14"/>
      <c r="AT54" s="72">
        <v>44502</v>
      </c>
      <c r="AU54" s="20"/>
      <c r="AV54" s="42"/>
      <c r="AW54" s="20"/>
      <c r="AX54" s="42"/>
      <c r="AY54" s="93"/>
      <c r="AZ54" s="94"/>
      <c r="BA54" s="20"/>
      <c r="BB54" s="42"/>
      <c r="BC54" s="73"/>
      <c r="BD54" s="25"/>
      <c r="BE54" s="20"/>
      <c r="BF54" s="20"/>
      <c r="BH54" s="14"/>
      <c r="BJ54" s="19"/>
      <c r="BN54" s="75"/>
      <c r="BW54" s="75"/>
      <c r="CF54" s="75"/>
      <c r="CO54" s="75"/>
      <c r="CX54" s="75"/>
      <c r="DG54" s="75"/>
      <c r="DP54" s="75"/>
      <c r="DY54" s="75"/>
      <c r="EH54" s="75"/>
      <c r="EQ54" s="75"/>
      <c r="EZ54" s="19"/>
      <c r="FI54" s="58"/>
      <c r="FN54" s="14"/>
      <c r="FP54" s="75"/>
      <c r="FY54" s="75"/>
      <c r="GH54" s="75"/>
      <c r="GN54" s="75"/>
      <c r="HA54" s="18"/>
    </row>
    <row r="55" spans="2:209" x14ac:dyDescent="0.25">
      <c r="B55" s="72">
        <f>B54+7</f>
        <v>44515</v>
      </c>
      <c r="C55" s="206"/>
      <c r="D55" s="20"/>
      <c r="E55" s="20"/>
      <c r="F55" s="42"/>
      <c r="G55" s="20"/>
      <c r="H55" s="20"/>
      <c r="I55" s="42"/>
      <c r="J55" s="20"/>
      <c r="K55" s="20"/>
      <c r="L55" s="42"/>
      <c r="M55" s="20"/>
      <c r="N55" s="20"/>
      <c r="O55" s="42"/>
      <c r="P55" s="20"/>
      <c r="Q55" s="20"/>
      <c r="R55" s="42"/>
      <c r="S55" s="20"/>
      <c r="T55" s="20"/>
      <c r="U55" s="42"/>
      <c r="V55" s="20"/>
      <c r="W55" s="20"/>
      <c r="X55" s="42"/>
      <c r="Y55" s="20"/>
      <c r="Z55" s="20"/>
      <c r="AA55" s="42"/>
      <c r="AB55" s="20"/>
      <c r="AC55" s="20"/>
      <c r="AD55" s="42"/>
      <c r="AE55" s="20"/>
      <c r="AF55" s="20"/>
      <c r="AG55" s="42"/>
      <c r="AH55" s="20"/>
      <c r="AI55" s="20"/>
      <c r="AJ55" s="42"/>
      <c r="AK55" s="307"/>
      <c r="AL55" s="307"/>
      <c r="AM55" s="42"/>
      <c r="AO55" s="42"/>
      <c r="AP55" s="20"/>
      <c r="AQ55" s="20"/>
      <c r="AR55" s="20"/>
      <c r="AS55" s="14"/>
      <c r="AT55" s="72">
        <f>AT54+7</f>
        <v>44509</v>
      </c>
      <c r="AU55" s="20"/>
      <c r="AV55" s="42"/>
      <c r="AW55" s="20"/>
      <c r="AX55" s="42"/>
      <c r="AY55" s="93"/>
      <c r="AZ55" s="94"/>
      <c r="BA55" s="20"/>
      <c r="BB55" s="42"/>
      <c r="BC55" s="73"/>
      <c r="BD55" s="25"/>
      <c r="BE55" s="20"/>
      <c r="BF55" s="20"/>
      <c r="BH55" s="14"/>
      <c r="BJ55" s="19"/>
      <c r="BN55" s="75"/>
      <c r="BW55" s="75"/>
      <c r="CF55" s="75"/>
      <c r="CO55" s="75"/>
      <c r="CX55" s="75"/>
      <c r="DG55" s="75"/>
      <c r="DP55" s="75"/>
      <c r="DY55" s="75"/>
      <c r="EH55" s="75"/>
      <c r="EQ55" s="75"/>
      <c r="EZ55" s="19"/>
      <c r="FI55" s="58"/>
      <c r="FN55" s="14"/>
      <c r="FP55" s="75"/>
      <c r="FY55" s="75"/>
      <c r="GH55" s="75"/>
      <c r="GN55" s="75"/>
      <c r="HA55" s="18"/>
    </row>
    <row r="56" spans="2:209" x14ac:dyDescent="0.25">
      <c r="B56" s="72">
        <f t="shared" ref="B56:B58" si="74">B55+7</f>
        <v>44522</v>
      </c>
      <c r="C56" s="206"/>
      <c r="D56" s="20"/>
      <c r="E56" s="20"/>
      <c r="F56" s="42"/>
      <c r="G56" s="20"/>
      <c r="H56" s="20"/>
      <c r="I56" s="42"/>
      <c r="J56" s="20"/>
      <c r="K56" s="20"/>
      <c r="L56" s="42"/>
      <c r="M56" s="20"/>
      <c r="N56" s="20"/>
      <c r="O56" s="42"/>
      <c r="P56" s="20"/>
      <c r="Q56" s="20"/>
      <c r="R56" s="42"/>
      <c r="S56" s="20"/>
      <c r="T56" s="20"/>
      <c r="U56" s="42"/>
      <c r="V56" s="20"/>
      <c r="W56" s="20"/>
      <c r="X56" s="42"/>
      <c r="Y56" s="20"/>
      <c r="Z56" s="20"/>
      <c r="AA56" s="42"/>
      <c r="AB56" s="20"/>
      <c r="AC56" s="20"/>
      <c r="AD56" s="42"/>
      <c r="AE56" s="20"/>
      <c r="AF56" s="20"/>
      <c r="AG56" s="42"/>
      <c r="AH56" s="20"/>
      <c r="AI56" s="20"/>
      <c r="AJ56" s="42"/>
      <c r="AK56" s="307"/>
      <c r="AL56" s="307"/>
      <c r="AM56" s="42"/>
      <c r="AO56" s="42"/>
      <c r="AP56" s="20"/>
      <c r="AQ56" s="20"/>
      <c r="AR56" s="20"/>
      <c r="AS56" s="14"/>
      <c r="AT56" s="72">
        <f t="shared" ref="AT56:AT58" si="75">AT55+7</f>
        <v>44516</v>
      </c>
      <c r="AU56" s="20"/>
      <c r="AV56" s="42"/>
      <c r="AW56" s="20"/>
      <c r="AX56" s="42"/>
      <c r="AY56" s="93"/>
      <c r="AZ56" s="94"/>
      <c r="BA56" s="20"/>
      <c r="BB56" s="42"/>
      <c r="BC56" s="73"/>
      <c r="BD56" s="25"/>
      <c r="BE56" s="20"/>
      <c r="BF56" s="20"/>
      <c r="BH56" s="14"/>
      <c r="BJ56" s="19"/>
      <c r="BN56" s="75"/>
      <c r="BW56" s="75"/>
      <c r="CF56" s="75"/>
      <c r="CO56" s="75"/>
      <c r="CX56" s="75"/>
      <c r="DG56" s="75"/>
      <c r="DP56" s="75"/>
      <c r="DY56" s="75"/>
      <c r="EH56" s="75"/>
      <c r="EQ56" s="75"/>
      <c r="EZ56" s="19"/>
      <c r="FI56" s="58"/>
      <c r="FN56" s="14"/>
      <c r="FP56" s="75"/>
      <c r="FY56" s="75"/>
      <c r="GH56" s="75"/>
      <c r="GN56" s="75"/>
      <c r="HA56" s="18"/>
    </row>
    <row r="57" spans="2:209" x14ac:dyDescent="0.25">
      <c r="B57" s="72">
        <f t="shared" si="74"/>
        <v>44529</v>
      </c>
      <c r="C57" s="206"/>
      <c r="D57" s="20"/>
      <c r="E57" s="20"/>
      <c r="F57" s="42"/>
      <c r="G57" s="20"/>
      <c r="H57" s="20"/>
      <c r="I57" s="42"/>
      <c r="J57" s="20"/>
      <c r="K57" s="20"/>
      <c r="L57" s="42"/>
      <c r="M57" s="20"/>
      <c r="N57" s="20"/>
      <c r="O57" s="42"/>
      <c r="P57" s="20"/>
      <c r="Q57" s="20"/>
      <c r="R57" s="42"/>
      <c r="S57" s="20"/>
      <c r="T57" s="20"/>
      <c r="U57" s="42"/>
      <c r="V57" s="20"/>
      <c r="W57" s="20"/>
      <c r="X57" s="42"/>
      <c r="Y57" s="20"/>
      <c r="Z57" s="20"/>
      <c r="AA57" s="42"/>
      <c r="AB57" s="20"/>
      <c r="AC57" s="20"/>
      <c r="AD57" s="42"/>
      <c r="AE57" s="20"/>
      <c r="AF57" s="20"/>
      <c r="AG57" s="42"/>
      <c r="AH57" s="20"/>
      <c r="AI57" s="20"/>
      <c r="AJ57" s="42"/>
      <c r="AK57" s="307"/>
      <c r="AL57" s="307"/>
      <c r="AM57" s="42"/>
      <c r="AO57" s="42"/>
      <c r="AP57" s="20"/>
      <c r="AQ57" s="20"/>
      <c r="AR57" s="20"/>
      <c r="AS57" s="14"/>
      <c r="AT57" s="72">
        <f t="shared" si="75"/>
        <v>44523</v>
      </c>
      <c r="AU57" s="20"/>
      <c r="AV57" s="42"/>
      <c r="AW57" s="20"/>
      <c r="AX57" s="42"/>
      <c r="AY57" s="93"/>
      <c r="AZ57" s="94"/>
      <c r="BA57" s="20"/>
      <c r="BB57" s="42"/>
      <c r="BC57" s="73"/>
      <c r="BD57" s="25"/>
      <c r="BE57" s="20"/>
      <c r="BF57" s="20"/>
      <c r="BH57" s="14"/>
      <c r="BJ57" s="19"/>
      <c r="BN57" s="75"/>
      <c r="BW57" s="75"/>
      <c r="CF57" s="75"/>
      <c r="CO57" s="75"/>
      <c r="CX57" s="75"/>
      <c r="DG57" s="75"/>
      <c r="DP57" s="75"/>
      <c r="DY57" s="75"/>
      <c r="EH57" s="75"/>
      <c r="EQ57" s="75"/>
      <c r="EZ57" s="19"/>
      <c r="FI57" s="58"/>
      <c r="FN57" s="14"/>
      <c r="FP57" s="75"/>
      <c r="FY57" s="75"/>
      <c r="GH57" s="75"/>
      <c r="GN57" s="75"/>
      <c r="HA57" s="18"/>
    </row>
    <row r="58" spans="2:209" x14ac:dyDescent="0.25">
      <c r="B58" s="72">
        <f t="shared" si="74"/>
        <v>44536</v>
      </c>
      <c r="C58" s="206"/>
      <c r="D58" s="20"/>
      <c r="E58" s="20"/>
      <c r="F58" s="42"/>
      <c r="G58" s="20"/>
      <c r="H58" s="20"/>
      <c r="I58" s="42"/>
      <c r="J58" s="20"/>
      <c r="K58" s="20"/>
      <c r="L58" s="42"/>
      <c r="M58" s="20"/>
      <c r="N58" s="20"/>
      <c r="O58" s="42"/>
      <c r="P58" s="20"/>
      <c r="Q58" s="20"/>
      <c r="R58" s="42"/>
      <c r="S58" s="20"/>
      <c r="T58" s="20"/>
      <c r="U58" s="42"/>
      <c r="V58" s="20"/>
      <c r="W58" s="20"/>
      <c r="X58" s="42"/>
      <c r="Y58" s="20"/>
      <c r="Z58" s="20"/>
      <c r="AA58" s="42"/>
      <c r="AB58" s="20"/>
      <c r="AC58" s="20"/>
      <c r="AD58" s="42"/>
      <c r="AE58" s="20"/>
      <c r="AF58" s="20"/>
      <c r="AG58" s="42"/>
      <c r="AH58" s="20"/>
      <c r="AI58" s="20"/>
      <c r="AJ58" s="42"/>
      <c r="AK58" s="307"/>
      <c r="AL58" s="307"/>
      <c r="AM58" s="42"/>
      <c r="AO58" s="42"/>
      <c r="AP58" s="20"/>
      <c r="AQ58" s="20"/>
      <c r="AR58" s="20"/>
      <c r="AS58" s="14"/>
      <c r="AT58" s="72">
        <f t="shared" si="75"/>
        <v>44530</v>
      </c>
      <c r="AU58" s="20"/>
      <c r="AV58" s="42"/>
      <c r="AW58" s="20"/>
      <c r="AX58" s="42"/>
      <c r="AY58" s="93"/>
      <c r="AZ58" s="94"/>
      <c r="BA58" s="20"/>
      <c r="BB58" s="42"/>
      <c r="BC58" s="73"/>
      <c r="BD58" s="25"/>
      <c r="BE58" s="20"/>
      <c r="BF58" s="20"/>
      <c r="BH58" s="14"/>
      <c r="BJ58" s="19"/>
      <c r="BN58" s="75"/>
      <c r="BW58" s="75"/>
      <c r="CF58" s="75"/>
      <c r="CO58" s="75"/>
      <c r="CX58" s="75"/>
      <c r="DG58" s="75"/>
      <c r="DP58" s="75"/>
      <c r="DY58" s="75"/>
      <c r="EH58" s="75"/>
      <c r="EQ58" s="75"/>
      <c r="EZ58" s="19"/>
      <c r="FI58" s="58"/>
      <c r="FN58" s="14"/>
      <c r="FP58" s="75"/>
      <c r="FY58" s="75"/>
      <c r="GH58" s="75"/>
      <c r="GN58" s="75"/>
      <c r="HA58" s="18"/>
    </row>
    <row r="59" spans="2:209" x14ac:dyDescent="0.25">
      <c r="B59" s="72">
        <v>44531</v>
      </c>
      <c r="C59" s="206"/>
      <c r="D59" s="20"/>
      <c r="E59" s="20"/>
      <c r="F59" s="42"/>
      <c r="G59" s="20"/>
      <c r="H59" s="20"/>
      <c r="I59" s="42"/>
      <c r="J59" s="20"/>
      <c r="K59" s="20"/>
      <c r="L59" s="42"/>
      <c r="M59" s="20"/>
      <c r="N59" s="20"/>
      <c r="O59" s="42"/>
      <c r="P59" s="20"/>
      <c r="Q59" s="20"/>
      <c r="R59" s="42"/>
      <c r="S59" s="20"/>
      <c r="T59" s="20"/>
      <c r="U59" s="42"/>
      <c r="V59" s="20"/>
      <c r="W59" s="20"/>
      <c r="X59" s="42"/>
      <c r="Y59" s="20"/>
      <c r="Z59" s="20"/>
      <c r="AA59" s="42"/>
      <c r="AB59" s="20"/>
      <c r="AC59" s="20"/>
      <c r="AD59" s="42"/>
      <c r="AE59" s="20"/>
      <c r="AF59" s="20"/>
      <c r="AG59" s="42"/>
      <c r="AH59" s="20"/>
      <c r="AI59" s="20"/>
      <c r="AJ59" s="42"/>
      <c r="AK59" s="307"/>
      <c r="AL59" s="307"/>
      <c r="AM59" s="42"/>
      <c r="AO59" s="42"/>
      <c r="AP59" s="20"/>
      <c r="AQ59" s="20"/>
      <c r="AR59" s="20"/>
      <c r="AS59" s="14"/>
      <c r="AT59" s="72">
        <v>44531</v>
      </c>
      <c r="AU59" s="20"/>
      <c r="AV59" s="42"/>
      <c r="AW59" s="20"/>
      <c r="AX59" s="42"/>
      <c r="AY59" s="93"/>
      <c r="AZ59" s="94"/>
      <c r="BA59" s="20"/>
      <c r="BB59" s="42"/>
      <c r="BC59" s="73"/>
      <c r="BD59" s="25"/>
      <c r="BE59" s="20"/>
      <c r="BF59" s="20"/>
      <c r="BH59" s="14"/>
      <c r="BJ59" s="19"/>
      <c r="BN59" s="75"/>
      <c r="BW59" s="75"/>
      <c r="CF59" s="75"/>
      <c r="CO59" s="75"/>
      <c r="CX59" s="75"/>
      <c r="DG59" s="75"/>
      <c r="DP59" s="75"/>
      <c r="DY59" s="75"/>
      <c r="EH59" s="75"/>
      <c r="EQ59" s="75"/>
      <c r="EZ59" s="19"/>
      <c r="FI59" s="58"/>
      <c r="FN59" s="14"/>
      <c r="FP59" s="75"/>
      <c r="FY59" s="75"/>
      <c r="GH59" s="75"/>
      <c r="GN59" s="75"/>
      <c r="HA59" s="18"/>
    </row>
    <row r="60" spans="2:209" x14ac:dyDescent="0.25">
      <c r="B60" s="72">
        <v>44537</v>
      </c>
      <c r="C60" s="206"/>
      <c r="D60" s="20"/>
      <c r="E60" s="20"/>
      <c r="F60" s="42"/>
      <c r="G60" s="20"/>
      <c r="H60" s="20"/>
      <c r="I60" s="42"/>
      <c r="J60" s="20"/>
      <c r="K60" s="20"/>
      <c r="L60" s="42"/>
      <c r="M60" s="20"/>
      <c r="N60" s="20"/>
      <c r="O60" s="42"/>
      <c r="P60" s="20"/>
      <c r="Q60" s="20"/>
      <c r="R60" s="42"/>
      <c r="S60" s="20"/>
      <c r="T60" s="20"/>
      <c r="U60" s="42"/>
      <c r="V60" s="20"/>
      <c r="W60" s="20"/>
      <c r="X60" s="42"/>
      <c r="Y60" s="20"/>
      <c r="Z60" s="20"/>
      <c r="AA60" s="42"/>
      <c r="AB60" s="20"/>
      <c r="AC60" s="20"/>
      <c r="AD60" s="42"/>
      <c r="AE60" s="20"/>
      <c r="AF60" s="20"/>
      <c r="AG60" s="42"/>
      <c r="AH60" s="20"/>
      <c r="AI60" s="20"/>
      <c r="AJ60" s="42"/>
      <c r="AK60" s="307"/>
      <c r="AL60" s="307"/>
      <c r="AM60" s="42"/>
      <c r="AO60" s="42"/>
      <c r="AP60" s="20"/>
      <c r="AQ60" s="20"/>
      <c r="AR60" s="20"/>
      <c r="AS60" s="14"/>
      <c r="AT60" s="72">
        <v>44537</v>
      </c>
      <c r="AU60" s="20"/>
      <c r="AV60" s="42"/>
      <c r="AW60" s="20"/>
      <c r="AX60" s="42"/>
      <c r="AY60" s="93"/>
      <c r="AZ60" s="94"/>
      <c r="BA60" s="20"/>
      <c r="BB60" s="42"/>
      <c r="BC60" s="73"/>
      <c r="BD60" s="25"/>
      <c r="BE60" s="20"/>
      <c r="BF60" s="20"/>
      <c r="BH60" s="14"/>
      <c r="BJ60" s="19"/>
      <c r="BN60" s="75"/>
      <c r="BW60" s="75"/>
      <c r="CF60" s="75"/>
      <c r="CO60" s="75"/>
      <c r="CX60" s="75"/>
      <c r="DG60" s="75"/>
      <c r="DP60" s="75"/>
      <c r="DY60" s="75"/>
      <c r="EH60" s="75"/>
      <c r="EQ60" s="75"/>
      <c r="EZ60" s="19"/>
      <c r="FI60" s="58"/>
      <c r="FN60" s="14"/>
      <c r="FP60" s="75"/>
      <c r="FY60" s="75"/>
      <c r="GH60" s="75"/>
      <c r="GN60" s="75"/>
      <c r="HA60" s="18"/>
    </row>
    <row r="61" spans="2:209" x14ac:dyDescent="0.25">
      <c r="B61" s="72">
        <f>B60+7</f>
        <v>44544</v>
      </c>
      <c r="C61" s="206"/>
      <c r="D61" s="20"/>
      <c r="E61" s="20"/>
      <c r="F61" s="42"/>
      <c r="G61" s="20"/>
      <c r="H61" s="20"/>
      <c r="I61" s="42"/>
      <c r="J61" s="20"/>
      <c r="K61" s="20"/>
      <c r="L61" s="42"/>
      <c r="M61" s="20"/>
      <c r="N61" s="20"/>
      <c r="O61" s="42"/>
      <c r="P61" s="20"/>
      <c r="Q61" s="20"/>
      <c r="R61" s="42"/>
      <c r="S61" s="20"/>
      <c r="T61" s="20"/>
      <c r="U61" s="42"/>
      <c r="V61" s="20"/>
      <c r="W61" s="20"/>
      <c r="X61" s="42"/>
      <c r="Y61" s="20"/>
      <c r="Z61" s="20"/>
      <c r="AA61" s="42"/>
      <c r="AB61" s="20"/>
      <c r="AC61" s="20"/>
      <c r="AD61" s="42"/>
      <c r="AE61" s="20"/>
      <c r="AF61" s="20"/>
      <c r="AG61" s="42"/>
      <c r="AH61" s="20"/>
      <c r="AI61" s="20"/>
      <c r="AJ61" s="42"/>
      <c r="AK61" s="307"/>
      <c r="AL61" s="307"/>
      <c r="AM61" s="42"/>
      <c r="AO61" s="42"/>
      <c r="AP61" s="20"/>
      <c r="AQ61" s="20"/>
      <c r="AR61" s="20"/>
      <c r="AS61" s="14"/>
      <c r="AT61" s="72">
        <f>AT60+7</f>
        <v>44544</v>
      </c>
      <c r="AU61" s="20"/>
      <c r="AV61" s="42"/>
      <c r="AW61" s="20"/>
      <c r="AX61" s="42"/>
      <c r="AY61" s="93"/>
      <c r="AZ61" s="94"/>
      <c r="BA61" s="20"/>
      <c r="BB61" s="42"/>
      <c r="BC61" s="73"/>
      <c r="BD61" s="25"/>
      <c r="BE61" s="20"/>
      <c r="BF61" s="20"/>
      <c r="BH61" s="14"/>
      <c r="BJ61" s="19"/>
      <c r="BN61" s="75"/>
      <c r="BW61" s="75"/>
      <c r="CF61" s="75"/>
      <c r="CO61" s="75"/>
      <c r="CX61" s="75"/>
      <c r="DG61" s="75"/>
      <c r="DP61" s="75"/>
      <c r="DY61" s="75"/>
      <c r="EH61" s="75"/>
      <c r="EQ61" s="75"/>
      <c r="EZ61" s="19"/>
      <c r="FI61" s="58"/>
      <c r="FN61" s="14"/>
      <c r="FP61" s="75"/>
      <c r="FY61" s="75"/>
      <c r="GH61" s="75"/>
      <c r="GN61" s="75"/>
      <c r="HA61" s="18"/>
    </row>
    <row r="62" spans="2:209" x14ac:dyDescent="0.25">
      <c r="B62" s="72">
        <f t="shared" ref="B62:B63" si="76">B61+7</f>
        <v>44551</v>
      </c>
      <c r="C62" s="206"/>
      <c r="D62" s="20"/>
      <c r="E62" s="20"/>
      <c r="F62" s="42"/>
      <c r="G62" s="20"/>
      <c r="H62" s="20"/>
      <c r="I62" s="42"/>
      <c r="J62" s="20"/>
      <c r="K62" s="20"/>
      <c r="L62" s="42"/>
      <c r="M62" s="20"/>
      <c r="N62" s="20"/>
      <c r="O62" s="42"/>
      <c r="P62" s="20"/>
      <c r="Q62" s="20"/>
      <c r="R62" s="42"/>
      <c r="S62" s="20"/>
      <c r="T62" s="20"/>
      <c r="U62" s="42"/>
      <c r="V62" s="20"/>
      <c r="W62" s="20"/>
      <c r="X62" s="42"/>
      <c r="Y62" s="20"/>
      <c r="Z62" s="20"/>
      <c r="AA62" s="42"/>
      <c r="AB62" s="20"/>
      <c r="AC62" s="20"/>
      <c r="AD62" s="42"/>
      <c r="AE62" s="20"/>
      <c r="AF62" s="20"/>
      <c r="AG62" s="42"/>
      <c r="AH62" s="20"/>
      <c r="AI62" s="20"/>
      <c r="AJ62" s="42"/>
      <c r="AK62" s="307"/>
      <c r="AL62" s="307"/>
      <c r="AM62" s="42"/>
      <c r="AO62" s="42"/>
      <c r="AP62" s="20"/>
      <c r="AQ62" s="20"/>
      <c r="AR62" s="20"/>
      <c r="AS62" s="14"/>
      <c r="AT62" s="72">
        <f t="shared" ref="AT62:AT63" si="77">AT61+7</f>
        <v>44551</v>
      </c>
      <c r="AU62" s="20"/>
      <c r="AV62" s="42"/>
      <c r="AW62" s="20"/>
      <c r="AX62" s="42"/>
      <c r="AY62" s="93"/>
      <c r="AZ62" s="94"/>
      <c r="BA62" s="20"/>
      <c r="BB62" s="42"/>
      <c r="BC62" s="73"/>
      <c r="BD62" s="25"/>
      <c r="BE62" s="20"/>
      <c r="BF62" s="20"/>
      <c r="BH62" s="14"/>
      <c r="BJ62" s="19"/>
      <c r="BN62" s="75"/>
      <c r="BW62" s="75"/>
      <c r="CF62" s="75"/>
      <c r="CO62" s="75"/>
      <c r="CX62" s="75"/>
      <c r="DG62" s="75"/>
      <c r="DP62" s="75"/>
      <c r="DY62" s="75"/>
      <c r="EH62" s="75"/>
      <c r="EQ62" s="75"/>
      <c r="EZ62" s="19"/>
      <c r="FI62" s="58"/>
      <c r="FN62" s="14"/>
      <c r="FP62" s="75"/>
      <c r="FY62" s="75"/>
      <c r="GH62" s="75"/>
      <c r="GN62" s="75"/>
      <c r="HA62" s="18"/>
    </row>
    <row r="63" spans="2:209" x14ac:dyDescent="0.25">
      <c r="B63" s="72">
        <f t="shared" si="76"/>
        <v>44558</v>
      </c>
      <c r="C63" s="206"/>
      <c r="D63" s="20"/>
      <c r="E63" s="20"/>
      <c r="F63" s="42"/>
      <c r="G63" s="20"/>
      <c r="H63" s="20"/>
      <c r="I63" s="42"/>
      <c r="J63" s="20"/>
      <c r="K63" s="20"/>
      <c r="L63" s="42"/>
      <c r="M63" s="20"/>
      <c r="N63" s="20"/>
      <c r="O63" s="42"/>
      <c r="P63" s="20"/>
      <c r="Q63" s="20"/>
      <c r="R63" s="42"/>
      <c r="S63" s="20"/>
      <c r="T63" s="20"/>
      <c r="U63" s="42"/>
      <c r="V63" s="20"/>
      <c r="W63" s="20"/>
      <c r="X63" s="42"/>
      <c r="Y63" s="20"/>
      <c r="Z63" s="20"/>
      <c r="AA63" s="42"/>
      <c r="AB63" s="20"/>
      <c r="AC63" s="20"/>
      <c r="AD63" s="42"/>
      <c r="AE63" s="20"/>
      <c r="AF63" s="20"/>
      <c r="AG63" s="42"/>
      <c r="AH63" s="20"/>
      <c r="AI63" s="20"/>
      <c r="AJ63" s="42"/>
      <c r="AK63" s="307"/>
      <c r="AL63" s="307"/>
      <c r="AM63" s="42"/>
      <c r="AO63" s="42"/>
      <c r="AP63" s="20"/>
      <c r="AQ63" s="20"/>
      <c r="AR63" s="20"/>
      <c r="AS63" s="14"/>
      <c r="AT63" s="72">
        <f t="shared" si="77"/>
        <v>44558</v>
      </c>
      <c r="AU63" s="20"/>
      <c r="AV63" s="42"/>
      <c r="AW63" s="20"/>
      <c r="AX63" s="42"/>
      <c r="AY63" s="93"/>
      <c r="AZ63" s="94"/>
      <c r="BA63" s="20"/>
      <c r="BB63" s="42"/>
      <c r="BC63" s="73"/>
      <c r="BD63" s="25"/>
      <c r="BE63" s="20"/>
      <c r="BF63" s="20"/>
      <c r="BH63" s="14"/>
      <c r="BJ63" s="19"/>
      <c r="BN63" s="75"/>
      <c r="BW63" s="75"/>
      <c r="CF63" s="75"/>
      <c r="CO63" s="75"/>
      <c r="CX63" s="75"/>
      <c r="DG63" s="75"/>
      <c r="DP63" s="75"/>
      <c r="DY63" s="75"/>
      <c r="EH63" s="75"/>
      <c r="EQ63" s="75"/>
      <c r="EZ63" s="19"/>
      <c r="FI63" s="58"/>
      <c r="FN63" s="14"/>
      <c r="FP63" s="75"/>
      <c r="FY63" s="75"/>
      <c r="GH63" s="75"/>
      <c r="GN63" s="75"/>
      <c r="HA63" s="18"/>
    </row>
    <row r="64" spans="2:209" x14ac:dyDescent="0.25">
      <c r="B64" s="72">
        <v>44562</v>
      </c>
      <c r="C64" s="206"/>
      <c r="D64" s="20"/>
      <c r="E64" s="20"/>
      <c r="F64" s="42"/>
      <c r="G64" s="20"/>
      <c r="H64" s="20"/>
      <c r="I64" s="42"/>
      <c r="J64" s="20"/>
      <c r="K64" s="20"/>
      <c r="L64" s="42"/>
      <c r="M64" s="20"/>
      <c r="N64" s="20"/>
      <c r="O64" s="42"/>
      <c r="P64" s="20"/>
      <c r="Q64" s="20"/>
      <c r="R64" s="42"/>
      <c r="S64" s="20"/>
      <c r="T64" s="20"/>
      <c r="U64" s="42"/>
      <c r="V64" s="20"/>
      <c r="W64" s="20"/>
      <c r="X64" s="42"/>
      <c r="Y64" s="20"/>
      <c r="Z64" s="20"/>
      <c r="AA64" s="42"/>
      <c r="AB64" s="20"/>
      <c r="AC64" s="20"/>
      <c r="AD64" s="42"/>
      <c r="AE64" s="20"/>
      <c r="AF64" s="20"/>
      <c r="AG64" s="42"/>
      <c r="AH64" s="20"/>
      <c r="AI64" s="20"/>
      <c r="AJ64" s="42"/>
      <c r="AK64" s="307"/>
      <c r="AL64" s="307"/>
      <c r="AM64" s="42"/>
      <c r="AO64" s="42"/>
      <c r="AP64" s="20"/>
      <c r="AQ64" s="20"/>
      <c r="AR64" s="20"/>
      <c r="AS64" s="14"/>
      <c r="AT64" s="72">
        <v>44197</v>
      </c>
      <c r="AU64" s="20"/>
      <c r="AV64" s="42"/>
      <c r="AW64" s="20"/>
      <c r="AX64" s="42"/>
      <c r="AY64" s="93"/>
      <c r="AZ64" s="94"/>
      <c r="BA64" s="20"/>
      <c r="BB64" s="42"/>
      <c r="BC64" s="73"/>
      <c r="BD64" s="25"/>
      <c r="BE64" s="20"/>
      <c r="BF64" s="20"/>
      <c r="BH64" s="14"/>
      <c r="BJ64" s="19"/>
      <c r="BN64" s="75"/>
      <c r="BW64" s="75"/>
      <c r="CF64" s="75"/>
      <c r="CO64" s="75"/>
      <c r="CX64" s="75"/>
      <c r="DG64" s="75"/>
      <c r="DP64" s="75"/>
      <c r="DY64" s="75"/>
      <c r="EH64" s="75"/>
      <c r="EQ64" s="75"/>
      <c r="EZ64" s="19"/>
      <c r="FI64" s="58"/>
      <c r="FN64" s="14"/>
      <c r="FP64" s="75"/>
      <c r="FY64" s="75"/>
      <c r="GH64" s="75"/>
      <c r="GN64" s="75"/>
      <c r="HA64" s="18"/>
    </row>
  </sheetData>
  <mergeCells count="54"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13" zoomScale="85" zoomScaleNormal="85" workbookViewId="0">
      <selection activeCell="AR46" sqref="AR46:AR4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2" customWidth="1"/>
    <col min="25" max="25" width="9.7109375" style="95" customWidth="1"/>
    <col min="26" max="26" width="2.7109375" customWidth="1"/>
    <col min="27" max="42" width="11.7109375" style="52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3" customWidth="1"/>
    <col min="65" max="65" width="11.7109375" style="53" customWidth="1"/>
    <col min="66" max="70" width="10.7109375" customWidth="1"/>
    <col min="71" max="71" width="15.7109375" customWidth="1"/>
    <col min="72" max="72" width="10.7109375" customWidth="1"/>
    <col min="73" max="73" width="12.85546875" style="96" customWidth="1"/>
    <col min="74" max="74" width="13" style="96" customWidth="1"/>
    <col min="75" max="75" width="13" style="97" customWidth="1"/>
    <col min="76" max="76" width="13" style="98" customWidth="1"/>
    <col min="77" max="77" width="13" style="96" customWidth="1"/>
    <col min="78" max="78" width="13" style="98" customWidth="1"/>
    <col min="79" max="79" width="13" style="96" customWidth="1"/>
    <col min="80" max="80" width="2.7109375" customWidth="1"/>
    <col min="81" max="83" width="10.7109375" customWidth="1"/>
    <col min="84" max="84" width="13.7109375" style="53" customWidth="1"/>
    <col min="85" max="85" width="11.7109375" style="53" customWidth="1"/>
    <col min="86" max="86" width="14.7109375" style="53" customWidth="1"/>
    <col min="87" max="89" width="10.7109375" customWidth="1"/>
    <col min="90" max="90" width="13.7109375" style="53" customWidth="1"/>
    <col min="91" max="91" width="11.7109375" style="99" customWidth="1"/>
    <col min="92" max="92" width="10.7109375" customWidth="1"/>
    <col min="93" max="93" width="15.7109375" customWidth="1"/>
    <col min="94" max="94" width="10.7109375" style="52" customWidth="1"/>
    <col min="95" max="95" width="11.7109375" style="100" customWidth="1"/>
    <col min="96" max="98" width="10.7109375" customWidth="1"/>
    <col min="99" max="99" width="13.7109375" style="53" customWidth="1"/>
    <col min="100" max="100" width="11.7109375" style="99" customWidth="1"/>
    <col min="101" max="101" width="12.7109375" customWidth="1"/>
    <col min="102" max="103" width="10.7109375" customWidth="1"/>
    <col min="104" max="104" width="13.7109375" style="53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0" customFormat="1" ht="31.5" x14ac:dyDescent="0.35">
      <c r="B1" s="112">
        <v>2020</v>
      </c>
      <c r="C1" s="337">
        <v>74860172</v>
      </c>
      <c r="D1" s="338"/>
      <c r="E1" s="339"/>
      <c r="F1" s="337">
        <v>74860173</v>
      </c>
      <c r="G1" s="338"/>
      <c r="H1" s="339"/>
      <c r="I1" s="337">
        <v>44553004</v>
      </c>
      <c r="J1" s="338"/>
      <c r="K1" s="339"/>
      <c r="L1" s="337">
        <v>70275191</v>
      </c>
      <c r="M1" s="338"/>
      <c r="N1" s="339"/>
      <c r="O1" s="337">
        <v>2130521</v>
      </c>
      <c r="P1" s="338"/>
      <c r="Q1" s="339"/>
      <c r="R1" s="17"/>
      <c r="S1" s="340" t="s">
        <v>166</v>
      </c>
      <c r="T1" s="338"/>
      <c r="U1" s="339"/>
      <c r="V1" s="332">
        <v>93477704</v>
      </c>
      <c r="W1" s="333"/>
      <c r="X1" s="334"/>
      <c r="Y1" s="28" t="s">
        <v>405</v>
      </c>
      <c r="Z1" s="17"/>
      <c r="AA1" s="335">
        <v>79177804</v>
      </c>
      <c r="AB1" s="336"/>
      <c r="AC1" s="335">
        <v>79305675</v>
      </c>
      <c r="AD1" s="336"/>
      <c r="AE1" s="335">
        <v>79190041</v>
      </c>
      <c r="AF1" s="336"/>
      <c r="AG1" s="335" t="s">
        <v>49</v>
      </c>
      <c r="AH1" s="336"/>
      <c r="AI1" s="335">
        <v>79190039</v>
      </c>
      <c r="AJ1" s="336"/>
      <c r="AK1" s="335">
        <v>79324776</v>
      </c>
      <c r="AL1" s="336"/>
      <c r="AM1" s="335" t="s">
        <v>160</v>
      </c>
      <c r="AN1" s="336"/>
      <c r="AO1" s="335" t="s">
        <v>162</v>
      </c>
      <c r="AP1" s="336"/>
      <c r="AQ1" s="14"/>
      <c r="AS1" s="337" t="s">
        <v>218</v>
      </c>
      <c r="AT1" s="339"/>
      <c r="AU1" s="14"/>
      <c r="AV1" s="337" t="s">
        <v>55</v>
      </c>
      <c r="AW1" s="339"/>
      <c r="AX1" s="337">
        <v>65956268</v>
      </c>
      <c r="AY1" s="339"/>
      <c r="AZ1" s="29" t="s">
        <v>57</v>
      </c>
      <c r="BA1" s="337">
        <v>1334021</v>
      </c>
      <c r="BB1" s="339"/>
      <c r="BC1" s="337">
        <v>63265094</v>
      </c>
      <c r="BD1" s="339"/>
      <c r="BE1" s="337" t="s">
        <v>406</v>
      </c>
      <c r="BF1" s="339"/>
      <c r="BI1" s="335" t="s">
        <v>407</v>
      </c>
      <c r="BJ1" s="341"/>
      <c r="BK1" s="341"/>
      <c r="BL1" s="341"/>
      <c r="BM1" s="336"/>
      <c r="BN1" s="335" t="s">
        <v>408</v>
      </c>
      <c r="BO1" s="341"/>
      <c r="BP1" s="341"/>
      <c r="BQ1" s="336"/>
      <c r="BR1" s="335" t="s">
        <v>276</v>
      </c>
      <c r="BS1" s="341"/>
      <c r="BT1" s="341"/>
      <c r="BU1" s="336"/>
      <c r="BV1" s="342" t="s">
        <v>276</v>
      </c>
      <c r="BW1" s="343"/>
      <c r="BX1" s="343"/>
      <c r="BY1" s="344"/>
      <c r="BZ1" s="16" t="s">
        <v>409</v>
      </c>
      <c r="CA1" s="113" t="s">
        <v>410</v>
      </c>
      <c r="CB1" s="52"/>
      <c r="CC1" s="335" t="s">
        <v>411</v>
      </c>
      <c r="CD1" s="341"/>
      <c r="CE1" s="341"/>
      <c r="CF1" s="341"/>
      <c r="CG1" s="345" t="s">
        <v>119</v>
      </c>
      <c r="CH1" s="345"/>
      <c r="CI1" s="335" t="s">
        <v>412</v>
      </c>
      <c r="CJ1" s="341"/>
      <c r="CK1" s="341"/>
      <c r="CL1" s="336"/>
      <c r="CM1" s="114"/>
      <c r="CN1" s="335" t="s">
        <v>413</v>
      </c>
      <c r="CO1" s="341"/>
      <c r="CP1" s="341"/>
      <c r="CQ1" s="336"/>
      <c r="CR1" s="335" t="s">
        <v>414</v>
      </c>
      <c r="CS1" s="341"/>
      <c r="CT1" s="341"/>
      <c r="CU1" s="336"/>
      <c r="CV1" s="348" t="s">
        <v>415</v>
      </c>
      <c r="CW1" s="335" t="s">
        <v>416</v>
      </c>
      <c r="CX1" s="341"/>
      <c r="CY1" s="341"/>
      <c r="CZ1" s="336"/>
      <c r="DC1" s="60" t="s">
        <v>417</v>
      </c>
      <c r="DD1" s="60" t="s">
        <v>417</v>
      </c>
      <c r="DE1" s="60" t="s">
        <v>418</v>
      </c>
      <c r="DF1" s="60" t="s">
        <v>419</v>
      </c>
      <c r="DG1" s="60" t="s">
        <v>384</v>
      </c>
      <c r="DI1" s="115" t="s">
        <v>420</v>
      </c>
      <c r="DJ1" s="115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4" t="s">
        <v>138</v>
      </c>
      <c r="P2" s="315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5" t="s">
        <v>424</v>
      </c>
      <c r="AB2" s="306"/>
      <c r="AC2" s="305" t="s">
        <v>425</v>
      </c>
      <c r="AD2" s="306"/>
      <c r="AE2" s="305" t="s">
        <v>426</v>
      </c>
      <c r="AF2" s="306"/>
      <c r="AG2" s="305" t="s">
        <v>427</v>
      </c>
      <c r="AH2" s="306"/>
      <c r="AI2" s="305" t="s">
        <v>286</v>
      </c>
      <c r="AJ2" s="306"/>
      <c r="AK2" s="305" t="s">
        <v>428</v>
      </c>
      <c r="AL2" s="306"/>
      <c r="AM2" s="305" t="s">
        <v>429</v>
      </c>
      <c r="AN2" s="306"/>
      <c r="AO2" s="305" t="s">
        <v>430</v>
      </c>
      <c r="AP2" s="306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5" t="s">
        <v>432</v>
      </c>
      <c r="BJ2" s="320"/>
      <c r="BK2" s="320"/>
      <c r="BL2" s="320"/>
      <c r="BM2" s="306"/>
      <c r="BN2" s="305" t="s">
        <v>433</v>
      </c>
      <c r="BO2" s="320"/>
      <c r="BP2" s="320"/>
      <c r="BQ2" s="306"/>
      <c r="BR2" s="305" t="s">
        <v>434</v>
      </c>
      <c r="BS2" s="320"/>
      <c r="BT2" s="320"/>
      <c r="BU2" s="306"/>
      <c r="BV2" s="305" t="s">
        <v>434</v>
      </c>
      <c r="BW2" s="320"/>
      <c r="BX2" s="320"/>
      <c r="BY2" s="306"/>
      <c r="BZ2" s="101" t="s">
        <v>435</v>
      </c>
      <c r="CA2" s="102" t="s">
        <v>436</v>
      </c>
      <c r="CB2" s="14"/>
      <c r="CC2" s="305" t="s">
        <v>437</v>
      </c>
      <c r="CD2" s="320"/>
      <c r="CE2" s="320"/>
      <c r="CF2" s="320"/>
      <c r="CG2" s="346" t="s">
        <v>438</v>
      </c>
      <c r="CH2" s="346" t="s">
        <v>439</v>
      </c>
      <c r="CI2" s="305" t="s">
        <v>440</v>
      </c>
      <c r="CJ2" s="320"/>
      <c r="CK2" s="320"/>
      <c r="CL2" s="306"/>
      <c r="CM2" s="348" t="s">
        <v>438</v>
      </c>
      <c r="CN2" s="305" t="s">
        <v>441</v>
      </c>
      <c r="CO2" s="320"/>
      <c r="CP2" s="320"/>
      <c r="CQ2" s="306"/>
      <c r="CR2" s="305" t="s">
        <v>442</v>
      </c>
      <c r="CS2" s="320"/>
      <c r="CT2" s="320"/>
      <c r="CU2" s="306"/>
      <c r="CV2" s="350"/>
      <c r="CW2" s="305" t="s">
        <v>443</v>
      </c>
      <c r="CX2" s="320"/>
      <c r="CY2" s="320"/>
      <c r="CZ2" s="306"/>
      <c r="DC2" s="116" t="s">
        <v>130</v>
      </c>
      <c r="DD2" s="116" t="s">
        <v>130</v>
      </c>
      <c r="DE2" s="116" t="s">
        <v>299</v>
      </c>
      <c r="DF2" s="116" t="s">
        <v>384</v>
      </c>
      <c r="DG2" s="116" t="s">
        <v>130</v>
      </c>
      <c r="DI2" s="33" t="s">
        <v>384</v>
      </c>
      <c r="DJ2" s="33" t="s">
        <v>384</v>
      </c>
    </row>
    <row r="3" spans="2:114" x14ac:dyDescent="0.25">
      <c r="B3" s="66"/>
      <c r="C3" s="305" t="s">
        <v>183</v>
      </c>
      <c r="D3" s="306"/>
      <c r="E3" s="22" t="s">
        <v>444</v>
      </c>
      <c r="F3" s="305" t="s">
        <v>184</v>
      </c>
      <c r="G3" s="306"/>
      <c r="H3" s="22" t="s">
        <v>444</v>
      </c>
      <c r="I3" s="305" t="s">
        <v>185</v>
      </c>
      <c r="J3" s="306"/>
      <c r="K3" s="22"/>
      <c r="L3" s="305" t="s">
        <v>445</v>
      </c>
      <c r="M3" s="306"/>
      <c r="N3" s="22"/>
      <c r="O3" s="305" t="s">
        <v>187</v>
      </c>
      <c r="P3" s="306"/>
      <c r="Q3" s="22" t="s">
        <v>444</v>
      </c>
      <c r="R3" s="35"/>
      <c r="S3" s="305" t="s">
        <v>446</v>
      </c>
      <c r="T3" s="306"/>
      <c r="U3" s="23"/>
      <c r="V3" s="305" t="s">
        <v>446</v>
      </c>
      <c r="W3" s="306"/>
      <c r="X3" s="23"/>
      <c r="Y3" s="34"/>
      <c r="Z3" s="14"/>
      <c r="AA3" s="265" t="s">
        <v>287</v>
      </c>
      <c r="AB3" s="265" t="s">
        <v>447</v>
      </c>
      <c r="AC3" s="265" t="s">
        <v>287</v>
      </c>
      <c r="AD3" s="265" t="s">
        <v>447</v>
      </c>
      <c r="AE3" s="265" t="s">
        <v>287</v>
      </c>
      <c r="AF3" s="265" t="s">
        <v>447</v>
      </c>
      <c r="AG3" s="265" t="s">
        <v>287</v>
      </c>
      <c r="AH3" s="265" t="s">
        <v>447</v>
      </c>
      <c r="AI3" s="265" t="s">
        <v>287</v>
      </c>
      <c r="AJ3" s="265" t="s">
        <v>447</v>
      </c>
      <c r="AK3" s="265" t="s">
        <v>287</v>
      </c>
      <c r="AL3" s="265" t="s">
        <v>447</v>
      </c>
      <c r="AM3" s="265" t="s">
        <v>287</v>
      </c>
      <c r="AN3" s="265" t="s">
        <v>447</v>
      </c>
      <c r="AO3" s="265" t="s">
        <v>287</v>
      </c>
      <c r="AP3" s="265" t="s">
        <v>447</v>
      </c>
      <c r="AQ3" s="14"/>
      <c r="AS3" s="264" t="s">
        <v>285</v>
      </c>
      <c r="AT3" s="23"/>
      <c r="AU3" s="14"/>
      <c r="AV3" s="264" t="s">
        <v>284</v>
      </c>
      <c r="AW3" s="22" t="s">
        <v>444</v>
      </c>
      <c r="AX3" s="264" t="s">
        <v>284</v>
      </c>
      <c r="AY3" s="22" t="s">
        <v>444</v>
      </c>
      <c r="AZ3" s="22" t="s">
        <v>444</v>
      </c>
      <c r="BA3" s="264" t="s">
        <v>284</v>
      </c>
      <c r="BB3" s="22" t="s">
        <v>444</v>
      </c>
      <c r="BC3" s="264" t="s">
        <v>284</v>
      </c>
      <c r="BD3" s="22" t="s">
        <v>444</v>
      </c>
      <c r="BE3" s="264" t="s">
        <v>284</v>
      </c>
      <c r="BF3" s="22" t="s">
        <v>444</v>
      </c>
      <c r="BI3" s="27" t="s">
        <v>398</v>
      </c>
      <c r="BJ3" s="265" t="s">
        <v>399</v>
      </c>
      <c r="BK3" s="27" t="s">
        <v>374</v>
      </c>
      <c r="BL3" s="103" t="s">
        <v>384</v>
      </c>
      <c r="BM3" s="110" t="s">
        <v>438</v>
      </c>
      <c r="BN3" s="27" t="s">
        <v>398</v>
      </c>
      <c r="BO3" s="265" t="s">
        <v>399</v>
      </c>
      <c r="BP3" s="27" t="s">
        <v>374</v>
      </c>
      <c r="BQ3" s="103" t="s">
        <v>384</v>
      </c>
      <c r="BR3" s="27" t="s">
        <v>398</v>
      </c>
      <c r="BS3" s="265" t="s">
        <v>399</v>
      </c>
      <c r="BT3" s="266" t="s">
        <v>448</v>
      </c>
      <c r="BU3" s="104" t="s">
        <v>384</v>
      </c>
      <c r="BV3" s="27" t="s">
        <v>398</v>
      </c>
      <c r="BW3" s="118" t="s">
        <v>399</v>
      </c>
      <c r="BX3" s="44" t="s">
        <v>448</v>
      </c>
      <c r="BY3" s="104" t="s">
        <v>384</v>
      </c>
      <c r="BZ3" s="107" t="s">
        <v>384</v>
      </c>
      <c r="CA3" s="105"/>
      <c r="CB3" s="14"/>
      <c r="CC3" s="27" t="s">
        <v>398</v>
      </c>
      <c r="CD3" s="265" t="s">
        <v>399</v>
      </c>
      <c r="CE3" s="27" t="s">
        <v>374</v>
      </c>
      <c r="CF3" s="103" t="s">
        <v>384</v>
      </c>
      <c r="CG3" s="347"/>
      <c r="CH3" s="347"/>
      <c r="CI3" s="27" t="s">
        <v>398</v>
      </c>
      <c r="CJ3" s="265" t="s">
        <v>399</v>
      </c>
      <c r="CK3" s="27" t="s">
        <v>374</v>
      </c>
      <c r="CL3" s="103" t="s">
        <v>384</v>
      </c>
      <c r="CM3" s="349"/>
      <c r="CN3" s="27" t="s">
        <v>398</v>
      </c>
      <c r="CO3" s="265" t="s">
        <v>399</v>
      </c>
      <c r="CP3" s="266" t="s">
        <v>374</v>
      </c>
      <c r="CQ3" s="104" t="s">
        <v>384</v>
      </c>
      <c r="CR3" s="27" t="s">
        <v>398</v>
      </c>
      <c r="CS3" s="265" t="s">
        <v>399</v>
      </c>
      <c r="CT3" s="27" t="s">
        <v>374</v>
      </c>
      <c r="CU3" s="103" t="s">
        <v>384</v>
      </c>
      <c r="CV3" s="349"/>
      <c r="CW3" s="27" t="s">
        <v>398</v>
      </c>
      <c r="CX3" s="265" t="s">
        <v>399</v>
      </c>
      <c r="CY3" s="27" t="s">
        <v>374</v>
      </c>
      <c r="CZ3" s="103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5" customFormat="1" x14ac:dyDescent="0.25">
      <c r="B4" s="233">
        <v>44197</v>
      </c>
      <c r="C4" s="351">
        <v>41067492</v>
      </c>
      <c r="D4" s="352"/>
      <c r="E4" s="234">
        <v>0</v>
      </c>
      <c r="F4" s="351">
        <v>4762937</v>
      </c>
      <c r="G4" s="352"/>
      <c r="H4" s="234">
        <v>0</v>
      </c>
      <c r="I4" s="351">
        <v>16838</v>
      </c>
      <c r="J4" s="352"/>
      <c r="K4" s="234">
        <v>0</v>
      </c>
      <c r="L4" s="351">
        <v>298034</v>
      </c>
      <c r="M4" s="352"/>
      <c r="N4" s="234">
        <v>0</v>
      </c>
      <c r="O4" s="351">
        <v>5674</v>
      </c>
      <c r="P4" s="352"/>
      <c r="Q4" s="234">
        <v>0</v>
      </c>
      <c r="R4" s="235"/>
      <c r="S4" s="351">
        <v>692861</v>
      </c>
      <c r="T4" s="352"/>
      <c r="U4" s="234">
        <v>0</v>
      </c>
      <c r="V4" s="351">
        <v>409965</v>
      </c>
      <c r="W4" s="352"/>
      <c r="X4" s="234">
        <v>0</v>
      </c>
      <c r="Y4" s="234">
        <v>0</v>
      </c>
      <c r="Z4" s="236"/>
      <c r="AA4" s="237">
        <v>14288</v>
      </c>
      <c r="AB4" s="238">
        <v>0</v>
      </c>
      <c r="AC4" s="237">
        <v>390378242</v>
      </c>
      <c r="AD4" s="238">
        <v>0</v>
      </c>
      <c r="AE4" s="237">
        <v>104670</v>
      </c>
      <c r="AF4" s="238">
        <v>0</v>
      </c>
      <c r="AG4" s="237">
        <v>3181175</v>
      </c>
      <c r="AH4" s="238">
        <v>0</v>
      </c>
      <c r="AI4" s="237">
        <v>4016165</v>
      </c>
      <c r="AJ4" s="238">
        <v>0</v>
      </c>
      <c r="AK4" s="237">
        <v>18258</v>
      </c>
      <c r="AL4" s="238">
        <v>0</v>
      </c>
      <c r="AM4" s="237">
        <v>215</v>
      </c>
      <c r="AN4" s="238">
        <v>0</v>
      </c>
      <c r="AO4" s="237">
        <v>11749</v>
      </c>
      <c r="AP4" s="238">
        <v>0</v>
      </c>
      <c r="AQ4" s="239"/>
      <c r="AR4" s="240">
        <f t="shared" ref="AR4:AR48" si="0">B4</f>
        <v>44197</v>
      </c>
      <c r="AS4" s="237">
        <v>8951</v>
      </c>
      <c r="AT4" s="238">
        <v>0</v>
      </c>
      <c r="AU4" s="241"/>
      <c r="AV4" s="237">
        <v>18139365</v>
      </c>
      <c r="AW4" s="237">
        <v>0</v>
      </c>
      <c r="AX4" s="237">
        <v>443832930</v>
      </c>
      <c r="AY4" s="242">
        <v>0</v>
      </c>
      <c r="AZ4" s="237">
        <v>0</v>
      </c>
      <c r="BA4" s="237">
        <v>6958600</v>
      </c>
      <c r="BB4" s="243">
        <v>0</v>
      </c>
      <c r="BC4" s="242">
        <v>3747300</v>
      </c>
      <c r="BD4" s="244">
        <v>0</v>
      </c>
      <c r="BE4" s="237">
        <v>43171136</v>
      </c>
      <c r="BF4" s="238">
        <v>0</v>
      </c>
      <c r="BI4" s="246">
        <f t="shared" ref="BI4:BI44" si="1">(C4)</f>
        <v>41067492</v>
      </c>
      <c r="BJ4" s="233">
        <v>364911</v>
      </c>
      <c r="BN4" s="246">
        <f t="shared" ref="BN4:BN44" si="2">(F4)</f>
        <v>4762937</v>
      </c>
      <c r="BO4" s="233">
        <v>41928</v>
      </c>
      <c r="BR4" s="246">
        <f t="shared" ref="BR4:BR44" si="3">(S4)</f>
        <v>692861</v>
      </c>
      <c r="BU4" s="97"/>
      <c r="BV4" s="246">
        <f t="shared" ref="BV4:BV44" si="4">V4</f>
        <v>409965</v>
      </c>
      <c r="BW4" s="97"/>
      <c r="BX4" s="97"/>
      <c r="BY4" s="97"/>
      <c r="BZ4" s="97"/>
      <c r="CA4" s="97"/>
      <c r="CB4" s="239"/>
      <c r="CC4" s="246">
        <f t="shared" ref="CC4:CC44" si="5">(BA4)</f>
        <v>6958600</v>
      </c>
      <c r="CD4" s="233">
        <v>6801</v>
      </c>
      <c r="CI4" s="246">
        <f t="shared" ref="CI4:CI44" si="6">(AV4)</f>
        <v>18139365</v>
      </c>
      <c r="CJ4" s="233">
        <v>15267</v>
      </c>
      <c r="CM4" s="247"/>
      <c r="CN4" s="246">
        <f t="shared" ref="CN4:CN44" si="7">(AS4)</f>
        <v>8951</v>
      </c>
      <c r="CP4" s="248"/>
      <c r="CQ4" s="249"/>
      <c r="CR4" s="246">
        <f t="shared" ref="CR4:CR40" si="8">(BC4)</f>
        <v>3747300</v>
      </c>
      <c r="CS4" s="233">
        <v>3682</v>
      </c>
      <c r="CV4" s="247"/>
      <c r="CW4" s="246">
        <f t="shared" ref="CW4:CW44" si="9">(BE4)</f>
        <v>43171136</v>
      </c>
      <c r="CX4" s="233">
        <v>357402</v>
      </c>
      <c r="DD4" s="250"/>
      <c r="DE4" s="250"/>
      <c r="DF4" s="250"/>
      <c r="DG4" s="250"/>
      <c r="DH4" s="250"/>
      <c r="DI4" s="250"/>
      <c r="DJ4" s="250"/>
    </row>
    <row r="5" spans="2:114" s="120" customFormat="1" x14ac:dyDescent="0.25">
      <c r="B5" s="72">
        <v>44200</v>
      </c>
      <c r="C5" s="323">
        <v>41120218</v>
      </c>
      <c r="D5" s="324"/>
      <c r="E5" s="36">
        <f t="shared" ref="E5:E11" si="10">SUM(C5-C4)*10</f>
        <v>527260</v>
      </c>
      <c r="F5" s="323">
        <v>4802785</v>
      </c>
      <c r="G5" s="324"/>
      <c r="H5" s="36">
        <f t="shared" ref="H5" si="11">SUM(F5-F4)*10</f>
        <v>398480</v>
      </c>
      <c r="I5" s="323">
        <v>16844</v>
      </c>
      <c r="J5" s="324"/>
      <c r="K5" s="36">
        <f t="shared" ref="K5:K6" si="12">SUM(I5-I4)*10</f>
        <v>60</v>
      </c>
      <c r="L5" s="323">
        <v>298406</v>
      </c>
      <c r="M5" s="324"/>
      <c r="N5" s="36">
        <f t="shared" ref="N5:N51" si="13">SUM(L5-L4)*1000</f>
        <v>372000</v>
      </c>
      <c r="O5" s="323">
        <v>5752</v>
      </c>
      <c r="P5" s="324"/>
      <c r="Q5" s="36">
        <f t="shared" ref="Q5:Q27" si="14">SUM(O5-O4)*100</f>
        <v>7800</v>
      </c>
      <c r="R5" s="37"/>
      <c r="S5" s="323">
        <v>693978</v>
      </c>
      <c r="T5" s="324"/>
      <c r="U5" s="36">
        <f t="shared" ref="U5:U27" si="15">SUM(S5-S4)*100</f>
        <v>111700</v>
      </c>
      <c r="V5" s="323">
        <v>415680</v>
      </c>
      <c r="W5" s="324"/>
      <c r="X5" s="36">
        <f t="shared" ref="X5:X25" si="16">SUM(V5-V4)*100</f>
        <v>571500</v>
      </c>
      <c r="Y5" s="41">
        <f t="shared" ref="Y5:Y25" si="17">SUM(U5+X5)</f>
        <v>683200</v>
      </c>
      <c r="Z5" s="38"/>
      <c r="AA5" s="188">
        <v>14370</v>
      </c>
      <c r="AB5" s="195">
        <v>820000</v>
      </c>
      <c r="AC5" s="188">
        <v>392208970</v>
      </c>
      <c r="AD5" s="195">
        <v>183072.8</v>
      </c>
      <c r="AE5" s="188">
        <v>104720</v>
      </c>
      <c r="AF5" s="195">
        <v>500</v>
      </c>
      <c r="AG5" s="188">
        <v>3185289</v>
      </c>
      <c r="AH5" s="195">
        <v>41140</v>
      </c>
      <c r="AI5" s="188">
        <v>4020207</v>
      </c>
      <c r="AJ5" s="195">
        <v>4042</v>
      </c>
      <c r="AK5" s="188">
        <v>18347</v>
      </c>
      <c r="AL5" s="195">
        <v>89000</v>
      </c>
      <c r="AM5" s="188">
        <v>229</v>
      </c>
      <c r="AN5" s="195">
        <v>14</v>
      </c>
      <c r="AO5" s="188">
        <v>11755</v>
      </c>
      <c r="AP5" s="195">
        <v>600</v>
      </c>
      <c r="AQ5" s="40"/>
      <c r="AR5" s="119">
        <f t="shared" si="0"/>
        <v>44200</v>
      </c>
      <c r="AS5" s="188">
        <v>8994</v>
      </c>
      <c r="AT5" s="195">
        <v>43</v>
      </c>
      <c r="AU5" s="196"/>
      <c r="AV5" s="188">
        <v>18161412</v>
      </c>
      <c r="AW5" s="195">
        <v>22047</v>
      </c>
      <c r="AX5" s="188">
        <v>445536377</v>
      </c>
      <c r="AY5" s="195">
        <v>17034</v>
      </c>
      <c r="AZ5" s="195">
        <v>5012.53</v>
      </c>
      <c r="BA5" s="188">
        <v>6959200</v>
      </c>
      <c r="BB5" s="197">
        <v>600</v>
      </c>
      <c r="BC5" s="189">
        <v>3749300</v>
      </c>
      <c r="BD5" s="198">
        <v>2000</v>
      </c>
      <c r="BE5" s="188">
        <v>43174186</v>
      </c>
      <c r="BF5" s="195">
        <v>3050</v>
      </c>
      <c r="BI5" s="45">
        <f t="shared" si="1"/>
        <v>41120218</v>
      </c>
      <c r="BL5" s="121"/>
      <c r="BM5" s="121"/>
      <c r="BN5" s="45">
        <f t="shared" si="2"/>
        <v>4802785</v>
      </c>
      <c r="BR5" s="45">
        <f t="shared" si="3"/>
        <v>693978</v>
      </c>
      <c r="BU5" s="96"/>
      <c r="BV5" s="45">
        <f t="shared" si="4"/>
        <v>415680</v>
      </c>
      <c r="BW5" s="97"/>
      <c r="BX5" s="98"/>
      <c r="BY5" s="96"/>
      <c r="BZ5" s="98"/>
      <c r="CA5" s="96"/>
      <c r="CB5" s="40"/>
      <c r="CC5" s="45">
        <f t="shared" si="5"/>
        <v>6959200</v>
      </c>
      <c r="CF5" s="121"/>
      <c r="CG5" s="121"/>
      <c r="CH5" s="121"/>
      <c r="CI5" s="45">
        <f t="shared" si="6"/>
        <v>18161412</v>
      </c>
      <c r="CL5" s="121"/>
      <c r="CM5" s="122"/>
      <c r="CN5" s="45">
        <f t="shared" si="7"/>
        <v>8994</v>
      </c>
      <c r="CP5" s="123"/>
      <c r="CQ5" s="100"/>
      <c r="CR5" s="45">
        <f t="shared" si="8"/>
        <v>3749300</v>
      </c>
      <c r="CU5" s="121"/>
      <c r="CV5" s="122"/>
      <c r="CW5" s="45">
        <f t="shared" si="9"/>
        <v>43174186</v>
      </c>
      <c r="CZ5" s="121"/>
      <c r="DD5" s="124"/>
      <c r="DE5" s="124"/>
      <c r="DF5" s="124"/>
      <c r="DG5" s="124"/>
      <c r="DH5" s="125"/>
      <c r="DI5" s="126"/>
      <c r="DJ5" s="126"/>
    </row>
    <row r="6" spans="2:114" s="120" customFormat="1" x14ac:dyDescent="0.25">
      <c r="B6" s="72">
        <v>44207</v>
      </c>
      <c r="C6" s="323">
        <v>41203342</v>
      </c>
      <c r="D6" s="324"/>
      <c r="E6" s="36">
        <f t="shared" si="10"/>
        <v>831240</v>
      </c>
      <c r="F6" s="323">
        <v>4831226</v>
      </c>
      <c r="G6" s="324"/>
      <c r="H6" s="36">
        <f t="shared" ref="H6" si="18">SUM(F6-F5)*10</f>
        <v>284410</v>
      </c>
      <c r="I6" s="323">
        <v>16872</v>
      </c>
      <c r="J6" s="324"/>
      <c r="K6" s="36">
        <f t="shared" si="12"/>
        <v>280</v>
      </c>
      <c r="L6" s="323">
        <v>298860</v>
      </c>
      <c r="M6" s="324"/>
      <c r="N6" s="36">
        <f t="shared" si="13"/>
        <v>454000</v>
      </c>
      <c r="O6" s="323">
        <v>5962</v>
      </c>
      <c r="P6" s="324"/>
      <c r="Q6" s="36">
        <f t="shared" si="14"/>
        <v>21000</v>
      </c>
      <c r="R6" s="37"/>
      <c r="S6" s="323">
        <v>695965</v>
      </c>
      <c r="T6" s="324"/>
      <c r="U6" s="36">
        <f t="shared" si="15"/>
        <v>198700</v>
      </c>
      <c r="V6" s="323">
        <v>436482</v>
      </c>
      <c r="W6" s="324"/>
      <c r="X6" s="36">
        <f t="shared" si="16"/>
        <v>2080200</v>
      </c>
      <c r="Y6" s="41">
        <f t="shared" si="17"/>
        <v>2278900</v>
      </c>
      <c r="Z6" s="38"/>
      <c r="AA6" s="188">
        <v>14434</v>
      </c>
      <c r="AB6" s="195">
        <v>640000</v>
      </c>
      <c r="AC6" s="188">
        <v>394339200</v>
      </c>
      <c r="AD6" s="195">
        <v>213023</v>
      </c>
      <c r="AE6" s="188">
        <v>104911</v>
      </c>
      <c r="AF6" s="195">
        <v>1910</v>
      </c>
      <c r="AG6" s="188">
        <v>3194329</v>
      </c>
      <c r="AH6" s="195">
        <v>90400</v>
      </c>
      <c r="AI6" s="188">
        <v>4031010</v>
      </c>
      <c r="AJ6" s="195">
        <v>10803</v>
      </c>
      <c r="AK6" s="188">
        <v>18568</v>
      </c>
      <c r="AL6" s="195">
        <v>221000</v>
      </c>
      <c r="AM6" s="188">
        <v>260</v>
      </c>
      <c r="AN6" s="195">
        <v>31</v>
      </c>
      <c r="AO6" s="188">
        <v>11767</v>
      </c>
      <c r="AP6" s="195">
        <v>1200</v>
      </c>
      <c r="AQ6" s="40"/>
      <c r="AR6" s="119">
        <f t="shared" si="0"/>
        <v>44207</v>
      </c>
      <c r="AS6" s="188">
        <v>9115</v>
      </c>
      <c r="AT6" s="36">
        <f t="shared" ref="AT6" si="19">SUM(AS6-AS5)</f>
        <v>121</v>
      </c>
      <c r="AU6" s="40"/>
      <c r="AV6" s="188">
        <v>18211008</v>
      </c>
      <c r="AW6" s="195">
        <v>49596</v>
      </c>
      <c r="AX6" s="188">
        <v>449519091</v>
      </c>
      <c r="AY6" s="195">
        <v>39827</v>
      </c>
      <c r="AZ6" s="195">
        <v>9768.86</v>
      </c>
      <c r="BA6" s="188">
        <v>6965100</v>
      </c>
      <c r="BB6" s="197">
        <v>5900</v>
      </c>
      <c r="BC6" s="189">
        <v>3751400</v>
      </c>
      <c r="BD6" s="198">
        <v>2100</v>
      </c>
      <c r="BE6" s="188">
        <v>43171136</v>
      </c>
      <c r="BF6" s="195">
        <v>0</v>
      </c>
      <c r="BI6" s="45">
        <f t="shared" si="1"/>
        <v>41203342</v>
      </c>
      <c r="BL6" s="121"/>
      <c r="BM6" s="121"/>
      <c r="BN6" s="45">
        <f t="shared" si="2"/>
        <v>4831226</v>
      </c>
      <c r="BR6" s="45">
        <f t="shared" si="3"/>
        <v>695965</v>
      </c>
      <c r="BU6" s="96"/>
      <c r="BV6" s="45">
        <f t="shared" si="4"/>
        <v>436482</v>
      </c>
      <c r="BW6" s="97"/>
      <c r="BX6" s="98"/>
      <c r="BY6" s="96"/>
      <c r="BZ6" s="98"/>
      <c r="CA6" s="96"/>
      <c r="CB6" s="40"/>
      <c r="CC6" s="45">
        <f t="shared" si="5"/>
        <v>6965100</v>
      </c>
      <c r="CF6" s="121"/>
      <c r="CG6" s="121"/>
      <c r="CH6" s="121"/>
      <c r="CI6" s="45">
        <f t="shared" si="6"/>
        <v>18211008</v>
      </c>
      <c r="CL6" s="121"/>
      <c r="CM6" s="122"/>
      <c r="CN6" s="45">
        <f t="shared" si="7"/>
        <v>9115</v>
      </c>
      <c r="CP6" s="123"/>
      <c r="CQ6" s="100"/>
      <c r="CR6" s="45">
        <f t="shared" si="8"/>
        <v>3751400</v>
      </c>
      <c r="CU6" s="121"/>
      <c r="CV6" s="122"/>
      <c r="CW6" s="45">
        <f t="shared" si="9"/>
        <v>43171136</v>
      </c>
      <c r="CZ6" s="121"/>
      <c r="DD6" s="124"/>
      <c r="DE6" s="124"/>
      <c r="DF6" s="124"/>
      <c r="DG6" s="124"/>
      <c r="DH6" s="125"/>
      <c r="DI6" s="126"/>
      <c r="DJ6" s="126"/>
    </row>
    <row r="7" spans="2:114" s="120" customFormat="1" x14ac:dyDescent="0.25">
      <c r="B7" s="72">
        <v>44214</v>
      </c>
      <c r="C7" s="323">
        <v>41286715</v>
      </c>
      <c r="D7" s="324"/>
      <c r="E7" s="36">
        <f t="shared" si="10"/>
        <v>833730</v>
      </c>
      <c r="F7" s="323">
        <v>4858480</v>
      </c>
      <c r="G7" s="324"/>
      <c r="H7" s="36">
        <f t="shared" ref="H7" si="20">SUM(F7-F6)*10</f>
        <v>272540</v>
      </c>
      <c r="I7" s="323">
        <v>16902</v>
      </c>
      <c r="J7" s="324"/>
      <c r="K7" s="36">
        <f t="shared" ref="K7" si="21">SUM(I7-I6)*10</f>
        <v>300</v>
      </c>
      <c r="L7" s="323">
        <v>299340</v>
      </c>
      <c r="M7" s="324"/>
      <c r="N7" s="36">
        <f t="shared" si="13"/>
        <v>480000</v>
      </c>
      <c r="O7" s="323">
        <v>6179</v>
      </c>
      <c r="P7" s="324"/>
      <c r="Q7" s="36">
        <f t="shared" si="14"/>
        <v>21700</v>
      </c>
      <c r="R7" s="37"/>
      <c r="S7" s="323">
        <v>697993</v>
      </c>
      <c r="T7" s="324"/>
      <c r="U7" s="36">
        <f t="shared" si="15"/>
        <v>202800</v>
      </c>
      <c r="V7" s="323">
        <v>455710</v>
      </c>
      <c r="W7" s="324"/>
      <c r="X7" s="36">
        <f t="shared" si="16"/>
        <v>1922800</v>
      </c>
      <c r="Y7" s="41">
        <f t="shared" si="17"/>
        <v>2125600</v>
      </c>
      <c r="Z7" s="38"/>
      <c r="AA7" s="188">
        <v>14498</v>
      </c>
      <c r="AB7" s="195">
        <v>640000</v>
      </c>
      <c r="AC7" s="188">
        <v>396293016</v>
      </c>
      <c r="AD7" s="195">
        <v>195381.6</v>
      </c>
      <c r="AE7" s="188">
        <v>105015</v>
      </c>
      <c r="AF7" s="195">
        <v>1040</v>
      </c>
      <c r="AG7" s="188">
        <v>3203205</v>
      </c>
      <c r="AH7" s="195">
        <v>88760</v>
      </c>
      <c r="AI7" s="188">
        <v>4040063</v>
      </c>
      <c r="AJ7" s="195">
        <v>9053</v>
      </c>
      <c r="AK7" s="188">
        <v>18775</v>
      </c>
      <c r="AL7" s="195">
        <v>207000</v>
      </c>
      <c r="AM7" s="188">
        <v>307</v>
      </c>
      <c r="AN7" s="195">
        <v>47</v>
      </c>
      <c r="AO7" s="188">
        <v>11789</v>
      </c>
      <c r="AP7" s="195">
        <v>2200</v>
      </c>
      <c r="AQ7" s="40"/>
      <c r="AR7" s="119">
        <f t="shared" si="0"/>
        <v>44214</v>
      </c>
      <c r="AS7" s="188">
        <v>9241</v>
      </c>
      <c r="AT7" s="195">
        <v>126</v>
      </c>
      <c r="AU7" s="196"/>
      <c r="AV7" s="188">
        <v>18261010</v>
      </c>
      <c r="AW7" s="195">
        <v>50002</v>
      </c>
      <c r="AX7" s="188">
        <v>453570926</v>
      </c>
      <c r="AY7" s="195">
        <v>40518</v>
      </c>
      <c r="AZ7" s="195">
        <v>9483.65</v>
      </c>
      <c r="BA7" s="188">
        <v>6967200</v>
      </c>
      <c r="BB7" s="197">
        <v>2100</v>
      </c>
      <c r="BC7" s="189">
        <v>3752600</v>
      </c>
      <c r="BD7" s="198">
        <v>1200</v>
      </c>
      <c r="BE7" s="188">
        <v>43187480</v>
      </c>
      <c r="BF7" s="195">
        <v>16344</v>
      </c>
      <c r="BI7" s="45">
        <f t="shared" si="1"/>
        <v>41286715</v>
      </c>
      <c r="BL7" s="121"/>
      <c r="BM7" s="121"/>
      <c r="BN7" s="45">
        <f t="shared" si="2"/>
        <v>4858480</v>
      </c>
      <c r="BR7" s="45">
        <f t="shared" si="3"/>
        <v>697993</v>
      </c>
      <c r="BU7" s="96"/>
      <c r="BV7" s="45">
        <f t="shared" si="4"/>
        <v>455710</v>
      </c>
      <c r="BW7" s="97"/>
      <c r="BX7" s="98"/>
      <c r="BY7" s="96"/>
      <c r="BZ7" s="98"/>
      <c r="CA7" s="96"/>
      <c r="CB7" s="40"/>
      <c r="CC7" s="45">
        <f t="shared" si="5"/>
        <v>6967200</v>
      </c>
      <c r="CF7" s="121"/>
      <c r="CG7" s="121"/>
      <c r="CH7" s="121"/>
      <c r="CI7" s="45">
        <f t="shared" si="6"/>
        <v>18261010</v>
      </c>
      <c r="CL7" s="121"/>
      <c r="CM7" s="122"/>
      <c r="CN7" s="45">
        <f t="shared" si="7"/>
        <v>9241</v>
      </c>
      <c r="CP7" s="123"/>
      <c r="CQ7" s="100"/>
      <c r="CR7" s="45">
        <f t="shared" si="8"/>
        <v>3752600</v>
      </c>
      <c r="CU7" s="121"/>
      <c r="CV7" s="122"/>
      <c r="CW7" s="45">
        <f t="shared" si="9"/>
        <v>43187480</v>
      </c>
      <c r="CZ7" s="121"/>
      <c r="DD7" s="124"/>
      <c r="DE7" s="124"/>
      <c r="DF7" s="124"/>
      <c r="DG7" s="124"/>
      <c r="DH7" s="125"/>
      <c r="DI7" s="126"/>
      <c r="DJ7" s="126"/>
    </row>
    <row r="8" spans="2:114" s="120" customFormat="1" x14ac:dyDescent="0.25">
      <c r="B8" s="72">
        <v>44221</v>
      </c>
      <c r="C8" s="323">
        <v>41389319</v>
      </c>
      <c r="D8" s="324"/>
      <c r="E8" s="36">
        <f t="shared" si="10"/>
        <v>1026040</v>
      </c>
      <c r="F8" s="323">
        <v>4884847</v>
      </c>
      <c r="G8" s="324"/>
      <c r="H8" s="36">
        <f t="shared" ref="H8:H9" si="22">SUM(F8-F7)*10</f>
        <v>263670</v>
      </c>
      <c r="I8" s="323">
        <v>16956</v>
      </c>
      <c r="J8" s="324"/>
      <c r="K8" s="36">
        <f t="shared" ref="K8:K9" si="23">SUM(I8-I7)*10</f>
        <v>540</v>
      </c>
      <c r="L8" s="323">
        <v>299990</v>
      </c>
      <c r="M8" s="324"/>
      <c r="N8" s="36">
        <f t="shared" si="13"/>
        <v>650000</v>
      </c>
      <c r="O8" s="323">
        <v>6441</v>
      </c>
      <c r="P8" s="324"/>
      <c r="Q8" s="36">
        <f t="shared" si="14"/>
        <v>26200</v>
      </c>
      <c r="R8" s="37"/>
      <c r="S8" s="323">
        <v>700375</v>
      </c>
      <c r="T8" s="324"/>
      <c r="U8" s="36">
        <f t="shared" si="15"/>
        <v>238200</v>
      </c>
      <c r="V8" s="323">
        <v>473300</v>
      </c>
      <c r="W8" s="324"/>
      <c r="X8" s="36">
        <f t="shared" si="16"/>
        <v>1759000</v>
      </c>
      <c r="Y8" s="41">
        <f t="shared" si="17"/>
        <v>1997200</v>
      </c>
      <c r="Z8" s="38"/>
      <c r="AA8" s="188">
        <v>14602</v>
      </c>
      <c r="AB8" s="195">
        <v>1040000</v>
      </c>
      <c r="AC8" s="188">
        <v>398695000</v>
      </c>
      <c r="AD8" s="195">
        <v>240198.39999999999</v>
      </c>
      <c r="AE8" s="188">
        <v>105180</v>
      </c>
      <c r="AF8" s="195">
        <v>1650</v>
      </c>
      <c r="AG8" s="188">
        <v>3213100</v>
      </c>
      <c r="AH8" s="195">
        <v>98950</v>
      </c>
      <c r="AI8" s="188">
        <v>4052779</v>
      </c>
      <c r="AJ8" s="195">
        <v>12716</v>
      </c>
      <c r="AK8" s="188">
        <v>18987</v>
      </c>
      <c r="AL8" s="195">
        <v>212000</v>
      </c>
      <c r="AM8" s="188">
        <v>345</v>
      </c>
      <c r="AN8" s="195">
        <v>38</v>
      </c>
      <c r="AO8" s="188">
        <v>11829</v>
      </c>
      <c r="AP8" s="195">
        <v>4000</v>
      </c>
      <c r="AQ8" s="40"/>
      <c r="AR8" s="119">
        <f t="shared" si="0"/>
        <v>44221</v>
      </c>
      <c r="AS8" s="188">
        <v>9358</v>
      </c>
      <c r="AT8" s="195">
        <v>117</v>
      </c>
      <c r="AU8" s="196"/>
      <c r="AV8" s="188">
        <v>18318354</v>
      </c>
      <c r="AW8" s="195">
        <v>57344</v>
      </c>
      <c r="AX8" s="188">
        <v>457528957</v>
      </c>
      <c r="AY8" s="195">
        <v>39580</v>
      </c>
      <c r="AZ8" s="195">
        <v>17763.689999999999</v>
      </c>
      <c r="BA8" s="188">
        <v>6972400</v>
      </c>
      <c r="BB8" s="197">
        <v>5200</v>
      </c>
      <c r="BC8" s="189">
        <v>3753500</v>
      </c>
      <c r="BD8" s="198">
        <v>900</v>
      </c>
      <c r="BE8" s="188">
        <v>43187480</v>
      </c>
      <c r="BF8" s="195">
        <v>0</v>
      </c>
      <c r="BI8" s="45">
        <f t="shared" si="1"/>
        <v>41389319</v>
      </c>
      <c r="BL8" s="121"/>
      <c r="BM8" s="121"/>
      <c r="BN8" s="45">
        <f t="shared" si="2"/>
        <v>4884847</v>
      </c>
      <c r="BR8" s="45">
        <f t="shared" si="3"/>
        <v>700375</v>
      </c>
      <c r="BU8" s="96"/>
      <c r="BV8" s="45">
        <f t="shared" si="4"/>
        <v>473300</v>
      </c>
      <c r="BW8" s="97"/>
      <c r="BX8" s="98"/>
      <c r="BY8" s="96"/>
      <c r="BZ8" s="98"/>
      <c r="CA8" s="96"/>
      <c r="CB8" s="40"/>
      <c r="CC8" s="45">
        <f t="shared" si="5"/>
        <v>6972400</v>
      </c>
      <c r="CF8" s="121"/>
      <c r="CG8" s="121"/>
      <c r="CH8" s="121"/>
      <c r="CI8" s="45">
        <f t="shared" si="6"/>
        <v>18318354</v>
      </c>
      <c r="CL8" s="121"/>
      <c r="CM8" s="122"/>
      <c r="CN8" s="45">
        <f t="shared" si="7"/>
        <v>9358</v>
      </c>
      <c r="CP8" s="123"/>
      <c r="CQ8" s="100"/>
      <c r="CR8" s="45">
        <f t="shared" si="8"/>
        <v>3753500</v>
      </c>
      <c r="CU8" s="121"/>
      <c r="CV8" s="122"/>
      <c r="CW8" s="45">
        <f t="shared" si="9"/>
        <v>43187480</v>
      </c>
      <c r="CZ8" s="121"/>
      <c r="DD8" s="124"/>
      <c r="DE8" s="124"/>
      <c r="DF8" s="124"/>
      <c r="DG8" s="124"/>
      <c r="DH8" s="125"/>
      <c r="DI8" s="126"/>
      <c r="DJ8" s="126"/>
    </row>
    <row r="9" spans="2:114" s="120" customFormat="1" x14ac:dyDescent="0.25">
      <c r="B9" s="72">
        <v>44228</v>
      </c>
      <c r="C9" s="323">
        <v>41493266</v>
      </c>
      <c r="D9" s="324"/>
      <c r="E9" s="36">
        <f t="shared" si="10"/>
        <v>1039470</v>
      </c>
      <c r="F9" s="323">
        <v>4905120</v>
      </c>
      <c r="G9" s="324"/>
      <c r="H9" s="36">
        <f t="shared" si="22"/>
        <v>202730</v>
      </c>
      <c r="I9" s="323">
        <v>16988</v>
      </c>
      <c r="J9" s="324"/>
      <c r="K9" s="36">
        <f t="shared" si="23"/>
        <v>320</v>
      </c>
      <c r="L9" s="323">
        <v>300667</v>
      </c>
      <c r="M9" s="324"/>
      <c r="N9" s="36">
        <f t="shared" si="13"/>
        <v>677000</v>
      </c>
      <c r="O9" s="323">
        <v>6680</v>
      </c>
      <c r="P9" s="324"/>
      <c r="Q9" s="36">
        <f t="shared" si="14"/>
        <v>23900</v>
      </c>
      <c r="R9" s="37"/>
      <c r="S9" s="323">
        <v>702411</v>
      </c>
      <c r="T9" s="324"/>
      <c r="U9" s="36">
        <f t="shared" si="15"/>
        <v>203600</v>
      </c>
      <c r="V9" s="323">
        <v>488510</v>
      </c>
      <c r="W9" s="324"/>
      <c r="X9" s="36">
        <f t="shared" si="16"/>
        <v>1521000</v>
      </c>
      <c r="Y9" s="41">
        <f t="shared" si="17"/>
        <v>1724600</v>
      </c>
      <c r="Z9" s="38"/>
      <c r="AA9" s="188">
        <v>14718</v>
      </c>
      <c r="AB9" s="195">
        <v>1160000</v>
      </c>
      <c r="AC9" s="188">
        <v>401355700</v>
      </c>
      <c r="AD9" s="195">
        <v>266070</v>
      </c>
      <c r="AE9" s="188">
        <v>105386</v>
      </c>
      <c r="AF9" s="195">
        <v>2060</v>
      </c>
      <c r="AG9" s="188">
        <v>3222912</v>
      </c>
      <c r="AH9" s="195">
        <v>98120</v>
      </c>
      <c r="AI9" s="188">
        <v>4064202</v>
      </c>
      <c r="AJ9" s="195">
        <v>11423</v>
      </c>
      <c r="AK9" s="188">
        <v>19193</v>
      </c>
      <c r="AL9" s="195">
        <v>206000</v>
      </c>
      <c r="AM9" s="188">
        <v>371</v>
      </c>
      <c r="AN9" s="195">
        <v>26</v>
      </c>
      <c r="AO9" s="188">
        <v>11840</v>
      </c>
      <c r="AP9" s="195">
        <v>1100</v>
      </c>
      <c r="AQ9" s="40"/>
      <c r="AR9" s="119">
        <f t="shared" si="0"/>
        <v>44228</v>
      </c>
      <c r="AS9" s="188">
        <v>9472</v>
      </c>
      <c r="AT9" s="195">
        <v>114</v>
      </c>
      <c r="AU9" s="196"/>
      <c r="AV9" s="188">
        <v>18366942</v>
      </c>
      <c r="AW9" s="195">
        <v>48588</v>
      </c>
      <c r="AX9" s="188">
        <v>461486054</v>
      </c>
      <c r="AY9" s="195">
        <v>39571</v>
      </c>
      <c r="AZ9" s="195">
        <v>9017.0300000000007</v>
      </c>
      <c r="BA9" s="188">
        <v>6975000</v>
      </c>
      <c r="BB9" s="197">
        <v>2600</v>
      </c>
      <c r="BC9" s="189">
        <v>3753900</v>
      </c>
      <c r="BD9" s="198">
        <v>400</v>
      </c>
      <c r="BE9" s="188">
        <v>43187480</v>
      </c>
      <c r="BF9" s="195">
        <v>0</v>
      </c>
      <c r="BI9" s="45">
        <f t="shared" si="1"/>
        <v>41493266</v>
      </c>
      <c r="BJ9" s="20">
        <v>368969</v>
      </c>
      <c r="BK9" s="19">
        <f>SUM(BJ9-BJ4)</f>
        <v>4058</v>
      </c>
      <c r="BL9" s="74">
        <f>SUM(BK9*1.0228)+1887.37</f>
        <v>6037.8923999999997</v>
      </c>
      <c r="BM9" s="92">
        <v>18406.96</v>
      </c>
      <c r="BN9" s="45">
        <f t="shared" si="2"/>
        <v>4905120</v>
      </c>
      <c r="BO9" s="20">
        <v>42060</v>
      </c>
      <c r="BP9" s="19">
        <f>SUM(BO9-BO4)</f>
        <v>132</v>
      </c>
      <c r="BQ9" s="74">
        <f>SUM(BP9*0.8062)+1557.24</f>
        <v>1663.6584</v>
      </c>
      <c r="BR9" s="45">
        <f t="shared" si="3"/>
        <v>702411</v>
      </c>
      <c r="BS9" s="20">
        <v>618383</v>
      </c>
      <c r="BT9" s="20">
        <v>45621.66</v>
      </c>
      <c r="BU9" s="105">
        <v>33856.559999999998</v>
      </c>
      <c r="BV9" s="45">
        <f t="shared" si="4"/>
        <v>488510</v>
      </c>
      <c r="BW9" s="106">
        <v>12220</v>
      </c>
      <c r="BX9" s="46">
        <v>2458.71</v>
      </c>
      <c r="BY9" s="105">
        <v>1831.91</v>
      </c>
      <c r="BZ9" s="117">
        <f t="shared" ref="BZ9" si="24">SUM(BT9+BX9)</f>
        <v>48080.37</v>
      </c>
      <c r="CA9" s="105">
        <v>11275.66</v>
      </c>
      <c r="CB9" s="40"/>
      <c r="CC9" s="45">
        <f t="shared" si="5"/>
        <v>6975000</v>
      </c>
      <c r="CD9" s="20">
        <v>6815</v>
      </c>
      <c r="CE9" s="19">
        <f>SUM(CD9-CD4)</f>
        <v>14</v>
      </c>
      <c r="CF9" s="74">
        <f>SUM(CE9*1.0228)+117.88</f>
        <v>132.19919999999999</v>
      </c>
      <c r="CG9" s="92">
        <v>80.08</v>
      </c>
      <c r="CH9" s="92">
        <v>1244.52</v>
      </c>
      <c r="CI9" s="45">
        <f t="shared" si="6"/>
        <v>18366942</v>
      </c>
      <c r="CJ9" s="20">
        <v>15593</v>
      </c>
      <c r="CK9" s="19">
        <f>SUM(CJ9-CJ4)</f>
        <v>326</v>
      </c>
      <c r="CL9" s="74">
        <f>SUM(CK9*1.0228+188.7)</f>
        <v>522.13279999999997</v>
      </c>
      <c r="CM9" s="109">
        <v>371.81</v>
      </c>
      <c r="CN9" s="45">
        <f t="shared" si="7"/>
        <v>9472</v>
      </c>
      <c r="CO9" s="20">
        <v>5029</v>
      </c>
      <c r="CP9" s="25">
        <v>1291.3499999999999</v>
      </c>
      <c r="CQ9" s="108">
        <v>962.13</v>
      </c>
      <c r="CR9" s="45">
        <f t="shared" si="8"/>
        <v>3753900</v>
      </c>
      <c r="CS9" s="20">
        <v>3704</v>
      </c>
      <c r="CT9" s="19">
        <f>SUM(CS9-CS4)</f>
        <v>22</v>
      </c>
      <c r="CU9" s="74">
        <f>SUM(CT9*1.0228)+188.7</f>
        <v>211.20159999999998</v>
      </c>
      <c r="CV9" s="122"/>
      <c r="CW9" s="45">
        <f t="shared" si="9"/>
        <v>43187480</v>
      </c>
      <c r="CX9" s="20">
        <v>360202</v>
      </c>
      <c r="CY9" s="19">
        <f>SUM(CX9-CX4)</f>
        <v>2800</v>
      </c>
      <c r="CZ9" s="74">
        <f>SUM(CY9*0.8062)+973.2</f>
        <v>3230.5600000000004</v>
      </c>
      <c r="DC9" s="20">
        <f>SUM(E7:E10)</f>
        <v>3793330</v>
      </c>
      <c r="DD9" s="92" t="e">
        <f>SUM(BL9+CF9+CL9+#REF!+CU9)</f>
        <v>#REF!</v>
      </c>
      <c r="DE9" s="92">
        <f>SUM(BQ9+CZ9)</f>
        <v>4894.2184000000007</v>
      </c>
      <c r="DF9" s="92">
        <f>SUM(BM9+CG9+CV9)</f>
        <v>18487.04</v>
      </c>
      <c r="DG9" s="92" t="e">
        <f>SUM(DD9:DF9)</f>
        <v>#REF!</v>
      </c>
      <c r="DH9"/>
      <c r="DI9" s="111">
        <f>SUM(BU9+CQ9+BY9)</f>
        <v>36650.6</v>
      </c>
      <c r="DJ9" s="111">
        <f>SUM(CA9+CH9)</f>
        <v>12520.18</v>
      </c>
    </row>
    <row r="10" spans="2:114" s="120" customFormat="1" x14ac:dyDescent="0.25">
      <c r="B10" s="72">
        <v>44235</v>
      </c>
      <c r="C10" s="323">
        <v>41582675</v>
      </c>
      <c r="D10" s="324"/>
      <c r="E10" s="36">
        <f t="shared" si="10"/>
        <v>894090</v>
      </c>
      <c r="F10" s="323">
        <v>4923577</v>
      </c>
      <c r="G10" s="324"/>
      <c r="H10" s="36">
        <f t="shared" ref="H10" si="25">SUM(F10-F9)*10</f>
        <v>184570</v>
      </c>
      <c r="I10" s="323">
        <v>17009</v>
      </c>
      <c r="J10" s="324"/>
      <c r="K10" s="36">
        <f>SUM(I10-I9)*10</f>
        <v>210</v>
      </c>
      <c r="L10" s="323">
        <v>301233</v>
      </c>
      <c r="M10" s="324"/>
      <c r="N10" s="36">
        <f t="shared" si="13"/>
        <v>566000</v>
      </c>
      <c r="O10" s="323">
        <v>6901</v>
      </c>
      <c r="P10" s="324"/>
      <c r="Q10" s="36">
        <f t="shared" si="14"/>
        <v>22100</v>
      </c>
      <c r="R10" s="37"/>
      <c r="S10" s="323">
        <v>704509</v>
      </c>
      <c r="T10" s="324"/>
      <c r="U10" s="36">
        <f t="shared" si="15"/>
        <v>209800</v>
      </c>
      <c r="V10" s="323">
        <v>506180</v>
      </c>
      <c r="W10" s="324"/>
      <c r="X10" s="36">
        <f t="shared" si="16"/>
        <v>1767000</v>
      </c>
      <c r="Y10" s="41">
        <f t="shared" si="17"/>
        <v>1976800</v>
      </c>
      <c r="Z10" s="38"/>
      <c r="AA10" s="188">
        <v>14802</v>
      </c>
      <c r="AB10" s="195">
        <v>840000</v>
      </c>
      <c r="AC10" s="188">
        <v>403666000</v>
      </c>
      <c r="AD10" s="195">
        <v>231030</v>
      </c>
      <c r="AE10" s="188">
        <v>105506</v>
      </c>
      <c r="AF10" s="195">
        <v>1200</v>
      </c>
      <c r="AG10" s="188">
        <v>3234316</v>
      </c>
      <c r="AH10" s="195">
        <v>114040</v>
      </c>
      <c r="AI10" s="188">
        <v>4070987</v>
      </c>
      <c r="AJ10" s="195">
        <v>6785</v>
      </c>
      <c r="AK10" s="188">
        <v>19341</v>
      </c>
      <c r="AL10" s="195">
        <v>148000</v>
      </c>
      <c r="AM10" s="188">
        <v>465</v>
      </c>
      <c r="AN10" s="195">
        <v>94</v>
      </c>
      <c r="AO10" s="188">
        <v>11862</v>
      </c>
      <c r="AP10" s="195">
        <v>2200</v>
      </c>
      <c r="AQ10" s="40"/>
      <c r="AR10" s="119">
        <f t="shared" si="0"/>
        <v>44235</v>
      </c>
      <c r="AS10" s="188">
        <v>9609</v>
      </c>
      <c r="AT10" s="195">
        <v>137</v>
      </c>
      <c r="AU10" s="196"/>
      <c r="AV10" s="188">
        <v>18415944</v>
      </c>
      <c r="AW10" s="195">
        <v>49002</v>
      </c>
      <c r="AX10" s="188">
        <v>465465800</v>
      </c>
      <c r="AY10" s="195">
        <v>39797</v>
      </c>
      <c r="AZ10" s="195">
        <v>9204.5400000000009</v>
      </c>
      <c r="BA10" s="188">
        <v>6976600</v>
      </c>
      <c r="BB10" s="197">
        <v>1600</v>
      </c>
      <c r="BC10" s="189">
        <v>3754200</v>
      </c>
      <c r="BD10" s="198">
        <v>300</v>
      </c>
      <c r="BE10" s="188">
        <v>43187480</v>
      </c>
      <c r="BF10" s="195">
        <v>0</v>
      </c>
      <c r="BI10" s="45">
        <f t="shared" si="1"/>
        <v>41582675</v>
      </c>
      <c r="BL10" s="121"/>
      <c r="BM10" s="121"/>
      <c r="BN10" s="45">
        <f t="shared" si="2"/>
        <v>4923577</v>
      </c>
      <c r="BR10" s="45">
        <f t="shared" si="3"/>
        <v>704509</v>
      </c>
      <c r="BU10" s="96"/>
      <c r="BV10" s="45">
        <f t="shared" si="4"/>
        <v>506180</v>
      </c>
      <c r="BW10" s="97"/>
      <c r="BX10" s="98"/>
      <c r="BY10" s="96"/>
      <c r="BZ10" s="98"/>
      <c r="CA10" s="96"/>
      <c r="CB10" s="40"/>
      <c r="CC10" s="45">
        <f t="shared" si="5"/>
        <v>6976600</v>
      </c>
      <c r="CF10" s="121"/>
      <c r="CG10" s="121"/>
      <c r="CH10" s="121"/>
      <c r="CI10" s="45">
        <f t="shared" si="6"/>
        <v>18415944</v>
      </c>
      <c r="CL10" s="121"/>
      <c r="CM10" s="122"/>
      <c r="CN10" s="45">
        <f t="shared" si="7"/>
        <v>9609</v>
      </c>
      <c r="CP10" s="123"/>
      <c r="CQ10" s="100"/>
      <c r="CR10" s="45">
        <f t="shared" si="8"/>
        <v>3754200</v>
      </c>
      <c r="CU10" s="121"/>
      <c r="CV10" s="122"/>
      <c r="CW10" s="45">
        <f t="shared" si="9"/>
        <v>43187480</v>
      </c>
      <c r="CZ10" s="121"/>
      <c r="DD10" s="124"/>
      <c r="DE10" s="124"/>
      <c r="DF10" s="124"/>
      <c r="DG10" s="124"/>
      <c r="DH10" s="125"/>
      <c r="DI10" s="126"/>
      <c r="DJ10" s="126"/>
    </row>
    <row r="11" spans="2:114" s="120" customFormat="1" x14ac:dyDescent="0.25">
      <c r="B11" s="72">
        <v>44242</v>
      </c>
      <c r="C11" s="323">
        <v>41680144</v>
      </c>
      <c r="D11" s="324"/>
      <c r="E11" s="36">
        <f t="shared" si="10"/>
        <v>974690</v>
      </c>
      <c r="F11" s="323">
        <v>4948299</v>
      </c>
      <c r="G11" s="324"/>
      <c r="H11" s="36">
        <f t="shared" ref="H11:H13" si="26">SUM(F11-F10)*10</f>
        <v>247220</v>
      </c>
      <c r="I11" s="323">
        <v>17080</v>
      </c>
      <c r="J11" s="324"/>
      <c r="K11" s="36">
        <f t="shared" ref="K11:K51" si="27">SUM(I11-I10)*10</f>
        <v>710</v>
      </c>
      <c r="L11" s="323">
        <v>302004</v>
      </c>
      <c r="M11" s="324"/>
      <c r="N11" s="36">
        <f t="shared" si="13"/>
        <v>771000</v>
      </c>
      <c r="O11" s="323">
        <v>7135</v>
      </c>
      <c r="P11" s="324"/>
      <c r="Q11" s="36">
        <f t="shared" si="14"/>
        <v>23400</v>
      </c>
      <c r="R11" s="37"/>
      <c r="S11" s="323">
        <v>706679</v>
      </c>
      <c r="T11" s="324"/>
      <c r="U11" s="36">
        <f t="shared" si="15"/>
        <v>217000</v>
      </c>
      <c r="V11" s="323">
        <v>515250</v>
      </c>
      <c r="W11" s="324"/>
      <c r="X11" s="36">
        <f t="shared" si="16"/>
        <v>907000</v>
      </c>
      <c r="Y11" s="41">
        <f t="shared" si="17"/>
        <v>1124000</v>
      </c>
      <c r="Z11" s="38"/>
      <c r="AA11" s="188">
        <v>14982</v>
      </c>
      <c r="AB11" s="195">
        <v>1800000</v>
      </c>
      <c r="AC11" s="188">
        <v>407297571</v>
      </c>
      <c r="AD11" s="195">
        <v>363157.1</v>
      </c>
      <c r="AE11" s="188">
        <v>105591</v>
      </c>
      <c r="AF11" s="195">
        <v>850</v>
      </c>
      <c r="AG11" s="188">
        <v>3245107</v>
      </c>
      <c r="AH11" s="195">
        <v>107910</v>
      </c>
      <c r="AI11" s="188">
        <v>4078363</v>
      </c>
      <c r="AJ11" s="195">
        <v>7376</v>
      </c>
      <c r="AK11" s="188">
        <v>19408</v>
      </c>
      <c r="AL11" s="195">
        <v>67000</v>
      </c>
      <c r="AM11" s="188">
        <v>488</v>
      </c>
      <c r="AN11" s="195">
        <v>23</v>
      </c>
      <c r="AO11" s="188">
        <v>11985</v>
      </c>
      <c r="AP11" s="195">
        <v>12300</v>
      </c>
      <c r="AQ11" s="40"/>
      <c r="AR11" s="119">
        <f t="shared" si="0"/>
        <v>44242</v>
      </c>
      <c r="AS11" s="188">
        <v>9719</v>
      </c>
      <c r="AT11" s="195">
        <v>110</v>
      </c>
      <c r="AU11" s="196"/>
      <c r="AV11" s="188">
        <v>18465270</v>
      </c>
      <c r="AW11" s="195">
        <v>49326</v>
      </c>
      <c r="AX11" s="188">
        <v>469472910</v>
      </c>
      <c r="AY11" s="195">
        <v>40071</v>
      </c>
      <c r="AZ11" s="195">
        <v>9254.9</v>
      </c>
      <c r="BA11" s="188">
        <v>6980000</v>
      </c>
      <c r="BB11" s="197">
        <v>3400</v>
      </c>
      <c r="BC11" s="189">
        <v>3754600</v>
      </c>
      <c r="BD11" s="198">
        <v>400</v>
      </c>
      <c r="BE11" s="188">
        <v>43187480</v>
      </c>
      <c r="BF11" s="195">
        <v>0</v>
      </c>
      <c r="BI11" s="45">
        <f t="shared" si="1"/>
        <v>41680144</v>
      </c>
      <c r="BL11" s="121"/>
      <c r="BM11" s="121"/>
      <c r="BN11" s="45">
        <f t="shared" si="2"/>
        <v>4948299</v>
      </c>
      <c r="BR11" s="45">
        <f t="shared" si="3"/>
        <v>706679</v>
      </c>
      <c r="BU11" s="96"/>
      <c r="BV11" s="45">
        <f t="shared" si="4"/>
        <v>515250</v>
      </c>
      <c r="BW11" s="97"/>
      <c r="BX11" s="98"/>
      <c r="BY11" s="96"/>
      <c r="BZ11" s="98"/>
      <c r="CA11" s="96"/>
      <c r="CB11" s="40"/>
      <c r="CC11" s="45">
        <f t="shared" si="5"/>
        <v>6980000</v>
      </c>
      <c r="CF11" s="121"/>
      <c r="CG11" s="121"/>
      <c r="CH11" s="121"/>
      <c r="CI11" s="45">
        <f t="shared" si="6"/>
        <v>18465270</v>
      </c>
      <c r="CL11" s="121"/>
      <c r="CM11" s="122"/>
      <c r="CN11" s="45">
        <f t="shared" si="7"/>
        <v>9719</v>
      </c>
      <c r="CP11" s="123"/>
      <c r="CQ11" s="100"/>
      <c r="CR11" s="45">
        <f t="shared" si="8"/>
        <v>3754600</v>
      </c>
      <c r="CU11" s="121"/>
      <c r="CV11" s="122"/>
      <c r="CW11" s="45">
        <f t="shared" si="9"/>
        <v>43187480</v>
      </c>
      <c r="CZ11" s="121"/>
      <c r="DD11" s="124"/>
      <c r="DE11" s="124"/>
      <c r="DF11" s="124"/>
      <c r="DG11" s="124"/>
      <c r="DH11" s="125"/>
      <c r="DI11" s="126"/>
      <c r="DJ11" s="126"/>
    </row>
    <row r="12" spans="2:114" s="120" customFormat="1" x14ac:dyDescent="0.25">
      <c r="B12" s="72">
        <v>44249</v>
      </c>
      <c r="C12" s="323">
        <v>41772388</v>
      </c>
      <c r="D12" s="324"/>
      <c r="E12" s="36">
        <f t="shared" ref="E12:E13" si="28">SUM(C12-C11)*10</f>
        <v>922440</v>
      </c>
      <c r="F12" s="323">
        <v>4973934</v>
      </c>
      <c r="G12" s="324"/>
      <c r="H12" s="36">
        <f t="shared" si="26"/>
        <v>256350</v>
      </c>
      <c r="I12" s="323">
        <v>17096</v>
      </c>
      <c r="J12" s="324"/>
      <c r="K12" s="36">
        <f t="shared" si="27"/>
        <v>160</v>
      </c>
      <c r="L12" s="323">
        <v>302639</v>
      </c>
      <c r="M12" s="324"/>
      <c r="N12" s="36">
        <f t="shared" si="13"/>
        <v>635000</v>
      </c>
      <c r="O12" s="323">
        <v>7397</v>
      </c>
      <c r="P12" s="324"/>
      <c r="Q12" s="36">
        <f t="shared" si="14"/>
        <v>26200</v>
      </c>
      <c r="R12" s="37"/>
      <c r="S12" s="323">
        <v>708899</v>
      </c>
      <c r="T12" s="324"/>
      <c r="U12" s="36">
        <f t="shared" si="15"/>
        <v>222000</v>
      </c>
      <c r="V12" s="323">
        <v>527880</v>
      </c>
      <c r="W12" s="324"/>
      <c r="X12" s="36">
        <f t="shared" si="16"/>
        <v>1263000</v>
      </c>
      <c r="Y12" s="41">
        <f t="shared" si="17"/>
        <v>1485000</v>
      </c>
      <c r="Z12" s="38"/>
      <c r="AA12" s="188">
        <v>15122</v>
      </c>
      <c r="AB12" s="195">
        <v>1400000</v>
      </c>
      <c r="AC12" s="188">
        <v>410418400</v>
      </c>
      <c r="AD12" s="195">
        <v>312082.90000000002</v>
      </c>
      <c r="AE12" s="188">
        <v>105750</v>
      </c>
      <c r="AF12" s="195">
        <v>1590</v>
      </c>
      <c r="AG12" s="188">
        <v>3255931</v>
      </c>
      <c r="AH12" s="195">
        <v>108240</v>
      </c>
      <c r="AI12" s="188">
        <v>4087613</v>
      </c>
      <c r="AJ12" s="195">
        <v>9250</v>
      </c>
      <c r="AK12" s="188">
        <v>19499</v>
      </c>
      <c r="AL12" s="195">
        <v>91000</v>
      </c>
      <c r="AM12" s="188">
        <v>518</v>
      </c>
      <c r="AN12" s="195">
        <v>30</v>
      </c>
      <c r="AO12" s="188">
        <v>11994</v>
      </c>
      <c r="AP12" s="195">
        <v>900</v>
      </c>
      <c r="AQ12" s="40"/>
      <c r="AR12" s="119">
        <f t="shared" si="0"/>
        <v>44249</v>
      </c>
      <c r="AS12" s="188">
        <v>9847</v>
      </c>
      <c r="AT12" s="195">
        <v>128</v>
      </c>
      <c r="AU12" s="196"/>
      <c r="AV12" s="188">
        <v>18520980</v>
      </c>
      <c r="AW12" s="195">
        <v>55710</v>
      </c>
      <c r="AX12" s="188">
        <v>474014188</v>
      </c>
      <c r="AY12" s="195">
        <v>45413</v>
      </c>
      <c r="AZ12" s="195">
        <v>10297.219999999999</v>
      </c>
      <c r="BA12" s="188">
        <v>6983900</v>
      </c>
      <c r="BB12" s="197">
        <v>3900</v>
      </c>
      <c r="BC12" s="189">
        <v>3755100</v>
      </c>
      <c r="BD12" s="198">
        <v>500</v>
      </c>
      <c r="BE12" s="188">
        <v>43187480</v>
      </c>
      <c r="BF12" s="195">
        <v>0</v>
      </c>
      <c r="BI12" s="45">
        <f t="shared" si="1"/>
        <v>41772388</v>
      </c>
      <c r="BL12" s="121"/>
      <c r="BM12" s="121"/>
      <c r="BN12" s="45">
        <f t="shared" si="2"/>
        <v>4973934</v>
      </c>
      <c r="BR12" s="45">
        <f t="shared" si="3"/>
        <v>708899</v>
      </c>
      <c r="BU12" s="96"/>
      <c r="BV12" s="45">
        <f t="shared" si="4"/>
        <v>527880</v>
      </c>
      <c r="BW12" s="97"/>
      <c r="BX12" s="98"/>
      <c r="BY12" s="96"/>
      <c r="BZ12" s="98"/>
      <c r="CA12" s="96"/>
      <c r="CB12" s="40"/>
      <c r="CC12" s="45">
        <f t="shared" si="5"/>
        <v>6983900</v>
      </c>
      <c r="CF12" s="121"/>
      <c r="CG12" s="121"/>
      <c r="CH12" s="121"/>
      <c r="CI12" s="45">
        <f t="shared" si="6"/>
        <v>18520980</v>
      </c>
      <c r="CL12" s="121"/>
      <c r="CM12" s="122"/>
      <c r="CN12" s="45">
        <f t="shared" si="7"/>
        <v>9847</v>
      </c>
      <c r="CP12" s="123"/>
      <c r="CQ12" s="100"/>
      <c r="CR12" s="45">
        <f t="shared" si="8"/>
        <v>3755100</v>
      </c>
      <c r="CU12" s="121"/>
      <c r="CV12" s="122"/>
      <c r="CW12" s="45">
        <f t="shared" si="9"/>
        <v>43187480</v>
      </c>
      <c r="CZ12" s="121"/>
      <c r="DD12" s="124"/>
      <c r="DE12" s="124"/>
      <c r="DF12" s="124"/>
      <c r="DG12" s="124"/>
      <c r="DH12" s="125"/>
      <c r="DI12" s="126"/>
      <c r="DJ12" s="126"/>
    </row>
    <row r="13" spans="2:114" s="120" customFormat="1" x14ac:dyDescent="0.25">
      <c r="B13" s="72">
        <v>44256</v>
      </c>
      <c r="C13" s="323">
        <v>41871884</v>
      </c>
      <c r="D13" s="324"/>
      <c r="E13" s="36">
        <f t="shared" si="28"/>
        <v>994960</v>
      </c>
      <c r="F13" s="323">
        <v>4992820</v>
      </c>
      <c r="G13" s="324"/>
      <c r="H13" s="36">
        <f t="shared" si="26"/>
        <v>188860</v>
      </c>
      <c r="I13" s="323">
        <v>17123</v>
      </c>
      <c r="J13" s="324"/>
      <c r="K13" s="36">
        <f t="shared" si="27"/>
        <v>270</v>
      </c>
      <c r="L13" s="323">
        <v>303354</v>
      </c>
      <c r="M13" s="324"/>
      <c r="N13" s="36">
        <f t="shared" si="13"/>
        <v>715000</v>
      </c>
      <c r="O13" s="323">
        <v>7665</v>
      </c>
      <c r="P13" s="324"/>
      <c r="Q13" s="36">
        <f t="shared" si="14"/>
        <v>26800</v>
      </c>
      <c r="R13" s="37"/>
      <c r="S13" s="323">
        <v>711151</v>
      </c>
      <c r="T13" s="324"/>
      <c r="U13" s="36">
        <f t="shared" si="15"/>
        <v>225200</v>
      </c>
      <c r="V13" s="323">
        <v>539040</v>
      </c>
      <c r="W13" s="324"/>
      <c r="X13" s="36">
        <f t="shared" si="16"/>
        <v>1116000</v>
      </c>
      <c r="Y13" s="41">
        <f t="shared" si="17"/>
        <v>1341200</v>
      </c>
      <c r="Z13" s="38"/>
      <c r="AA13" s="188">
        <v>15286</v>
      </c>
      <c r="AB13" s="195">
        <v>1640000</v>
      </c>
      <c r="AC13" s="188">
        <v>413598900</v>
      </c>
      <c r="AD13" s="195">
        <v>318050</v>
      </c>
      <c r="AE13" s="188">
        <v>105940</v>
      </c>
      <c r="AF13" s="195">
        <v>1900</v>
      </c>
      <c r="AG13" s="188">
        <v>3266792</v>
      </c>
      <c r="AH13" s="195">
        <v>108610</v>
      </c>
      <c r="AI13" s="188">
        <v>4095591</v>
      </c>
      <c r="AJ13" s="195">
        <v>7978</v>
      </c>
      <c r="AK13" s="188">
        <v>19590</v>
      </c>
      <c r="AL13" s="195">
        <v>91000</v>
      </c>
      <c r="AM13" s="188">
        <v>539</v>
      </c>
      <c r="AN13" s="195">
        <v>21</v>
      </c>
      <c r="AO13" s="188">
        <v>12031</v>
      </c>
      <c r="AP13" s="195">
        <v>3700</v>
      </c>
      <c r="AQ13" s="40"/>
      <c r="AR13" s="119">
        <f t="shared" si="0"/>
        <v>44256</v>
      </c>
      <c r="AS13" s="188">
        <v>9928</v>
      </c>
      <c r="AT13" s="195">
        <v>81</v>
      </c>
      <c r="AU13" s="196"/>
      <c r="AV13" s="188">
        <v>18563777</v>
      </c>
      <c r="AW13" s="195">
        <v>42797</v>
      </c>
      <c r="AX13" s="188">
        <v>477387983</v>
      </c>
      <c r="AY13" s="195">
        <v>33738</v>
      </c>
      <c r="AZ13" s="195">
        <v>9059.0499999999993</v>
      </c>
      <c r="BA13" s="188">
        <v>6988700</v>
      </c>
      <c r="BB13" s="197">
        <v>4800</v>
      </c>
      <c r="BC13" s="189">
        <v>3755400</v>
      </c>
      <c r="BD13" s="198">
        <v>300</v>
      </c>
      <c r="BE13" s="188">
        <v>43187481</v>
      </c>
      <c r="BF13" s="195">
        <v>1</v>
      </c>
      <c r="BI13" s="45">
        <f t="shared" si="1"/>
        <v>41871884</v>
      </c>
      <c r="BJ13" s="20">
        <v>375118</v>
      </c>
      <c r="BK13" s="19">
        <f>SUM(BJ13-BJ9)</f>
        <v>6149</v>
      </c>
      <c r="BL13" s="74">
        <f>SUM(BK13*1.0228)+1887.37</f>
        <v>8176.5671999999995</v>
      </c>
      <c r="BM13" s="92">
        <v>27541.8</v>
      </c>
      <c r="BN13" s="45">
        <f t="shared" si="2"/>
        <v>4992820</v>
      </c>
      <c r="BO13" s="20">
        <v>42445</v>
      </c>
      <c r="BP13" s="19">
        <f>SUM(BO13-BO9)</f>
        <v>385</v>
      </c>
      <c r="BQ13" s="74">
        <f>SUM(BP13*0.8062)+1557.24</f>
        <v>1867.627</v>
      </c>
      <c r="BR13" s="45">
        <f t="shared" si="3"/>
        <v>711151</v>
      </c>
      <c r="BS13" s="20">
        <v>630331</v>
      </c>
      <c r="BT13" s="20">
        <v>59604.99</v>
      </c>
      <c r="BU13" s="105">
        <v>44183.11</v>
      </c>
      <c r="BV13" s="45">
        <f t="shared" si="4"/>
        <v>539040</v>
      </c>
      <c r="BW13" s="106">
        <v>19133</v>
      </c>
      <c r="BX13" s="46">
        <v>2987.18</v>
      </c>
      <c r="BY13" s="105">
        <v>2223.4899999999998</v>
      </c>
      <c r="BZ13" s="117">
        <f t="shared" ref="BZ13" si="29">SUM(BT13+BX13)</f>
        <v>62592.17</v>
      </c>
      <c r="CA13" s="105">
        <v>14791.95</v>
      </c>
      <c r="CB13" s="40"/>
      <c r="CC13" s="45">
        <f t="shared" si="5"/>
        <v>6988700</v>
      </c>
      <c r="CD13" s="20">
        <v>6827</v>
      </c>
      <c r="CE13" s="19">
        <f>SUM(CD13-CD9)</f>
        <v>12</v>
      </c>
      <c r="CF13" s="74">
        <f>SUM(CE13*1.0228)+117.88</f>
        <v>130.15359999999998</v>
      </c>
      <c r="CG13" s="92">
        <v>68.64</v>
      </c>
      <c r="CH13" s="92">
        <v>1451.94</v>
      </c>
      <c r="CI13" s="45">
        <f t="shared" si="6"/>
        <v>18563777</v>
      </c>
      <c r="CJ13" s="20">
        <v>16039</v>
      </c>
      <c r="CK13" s="19">
        <f>SUM(CJ13-CJ9)</f>
        <v>446</v>
      </c>
      <c r="CL13" s="74">
        <f>SUM(CK13*1.0228+188.7)</f>
        <v>644.86879999999996</v>
      </c>
      <c r="CM13" s="109">
        <v>537.67999999999995</v>
      </c>
      <c r="CN13" s="45">
        <f t="shared" si="7"/>
        <v>9928</v>
      </c>
      <c r="CO13" s="20">
        <v>5735</v>
      </c>
      <c r="CP13" s="25">
        <v>1636.69</v>
      </c>
      <c r="CQ13" s="108">
        <v>1218.3399999999999</v>
      </c>
      <c r="CR13" s="45">
        <f t="shared" si="8"/>
        <v>3755400</v>
      </c>
      <c r="CS13" s="20">
        <v>3714</v>
      </c>
      <c r="CT13" s="19">
        <f>SUM(CS13-CS9)</f>
        <v>10</v>
      </c>
      <c r="CU13" s="74">
        <f>SUM(CT13*1.0228)+188.7</f>
        <v>198.928</v>
      </c>
      <c r="CV13" s="122"/>
      <c r="CW13" s="45">
        <f t="shared" si="9"/>
        <v>43187481</v>
      </c>
      <c r="CX13" s="20">
        <v>363098</v>
      </c>
      <c r="CY13" s="19">
        <f>SUM(CX13-CX9)</f>
        <v>2896</v>
      </c>
      <c r="CZ13" s="74">
        <f>SUM(CY13*0.8062)+973.2</f>
        <v>3307.9552000000003</v>
      </c>
      <c r="DC13" s="20">
        <f>SUM(E11:E14)</f>
        <v>3860380</v>
      </c>
      <c r="DD13" s="92" t="e">
        <f>SUM(BL13+CF13+CL13+#REF!+CU13)</f>
        <v>#REF!</v>
      </c>
      <c r="DE13" s="92">
        <f>SUM(BQ13+CZ13)</f>
        <v>5175.5822000000007</v>
      </c>
      <c r="DF13" s="92">
        <f>SUM(BM13+CG13+CV13)</f>
        <v>27610.44</v>
      </c>
      <c r="DG13" s="92" t="e">
        <f>SUM(DD13:DF13)</f>
        <v>#REF!</v>
      </c>
      <c r="DH13"/>
      <c r="DI13" s="111">
        <f>SUM(BU13+CQ13+BY13)</f>
        <v>47624.939999999995</v>
      </c>
      <c r="DJ13" s="111">
        <f>SUM(CA13+CH13)</f>
        <v>16243.890000000001</v>
      </c>
    </row>
    <row r="14" spans="2:114" s="215" customFormat="1" x14ac:dyDescent="0.25">
      <c r="B14" s="227">
        <v>44263</v>
      </c>
      <c r="C14" s="353">
        <v>41968713</v>
      </c>
      <c r="D14" s="354"/>
      <c r="E14" s="228">
        <f t="shared" ref="E14" si="30">SUM(C14-C13)*10</f>
        <v>968290</v>
      </c>
      <c r="F14" s="353">
        <v>5014115</v>
      </c>
      <c r="G14" s="354"/>
      <c r="H14" s="228">
        <f t="shared" ref="H14" si="31">SUM(F14-F13)*10</f>
        <v>212950</v>
      </c>
      <c r="I14" s="353">
        <v>17207</v>
      </c>
      <c r="J14" s="354"/>
      <c r="K14" s="228">
        <f t="shared" si="27"/>
        <v>840</v>
      </c>
      <c r="L14" s="353">
        <v>304019</v>
      </c>
      <c r="M14" s="354"/>
      <c r="N14" s="228">
        <f t="shared" si="13"/>
        <v>665000</v>
      </c>
      <c r="O14" s="353">
        <v>7941</v>
      </c>
      <c r="P14" s="354"/>
      <c r="Q14" s="228">
        <f t="shared" si="14"/>
        <v>27600</v>
      </c>
      <c r="R14" s="37"/>
      <c r="S14" s="353">
        <v>713466</v>
      </c>
      <c r="T14" s="354"/>
      <c r="U14" s="212">
        <f t="shared" si="15"/>
        <v>231500</v>
      </c>
      <c r="V14" s="353">
        <v>552590</v>
      </c>
      <c r="W14" s="354"/>
      <c r="X14" s="212">
        <f t="shared" si="16"/>
        <v>1355000</v>
      </c>
      <c r="Y14" s="213">
        <f t="shared" si="17"/>
        <v>1586500</v>
      </c>
      <c r="Z14" s="38"/>
      <c r="AA14" s="252">
        <v>15426</v>
      </c>
      <c r="AB14" s="253">
        <v>1400000</v>
      </c>
      <c r="AC14" s="252">
        <v>416760127</v>
      </c>
      <c r="AD14" s="253">
        <v>316122.7</v>
      </c>
      <c r="AE14" s="252">
        <v>106085</v>
      </c>
      <c r="AF14" s="253">
        <v>1450</v>
      </c>
      <c r="AG14" s="252">
        <v>3280021</v>
      </c>
      <c r="AH14" s="253">
        <v>132290</v>
      </c>
      <c r="AI14" s="252">
        <v>4105225</v>
      </c>
      <c r="AJ14" s="253">
        <v>9634</v>
      </c>
      <c r="AK14" s="252">
        <v>19680</v>
      </c>
      <c r="AL14" s="253">
        <v>90000</v>
      </c>
      <c r="AM14" s="252">
        <v>572</v>
      </c>
      <c r="AN14" s="253">
        <v>33</v>
      </c>
      <c r="AO14" s="252">
        <v>12039</v>
      </c>
      <c r="AP14" s="253">
        <v>800</v>
      </c>
      <c r="AQ14" s="254"/>
      <c r="AR14" s="255">
        <f t="shared" si="0"/>
        <v>44263</v>
      </c>
      <c r="AS14" s="252">
        <v>10003</v>
      </c>
      <c r="AT14" s="253">
        <v>75</v>
      </c>
      <c r="AU14" s="256"/>
      <c r="AV14" s="252">
        <v>18614103</v>
      </c>
      <c r="AW14" s="253">
        <v>50326</v>
      </c>
      <c r="AX14" s="252">
        <v>481348074</v>
      </c>
      <c r="AY14" s="253">
        <v>39601</v>
      </c>
      <c r="AZ14" s="253">
        <v>10725.09</v>
      </c>
      <c r="BA14" s="252">
        <v>6991700</v>
      </c>
      <c r="BB14" s="257">
        <v>3000</v>
      </c>
      <c r="BC14" s="258">
        <v>3756000</v>
      </c>
      <c r="BD14" s="259">
        <v>600</v>
      </c>
      <c r="BE14" s="252">
        <v>69980</v>
      </c>
      <c r="BF14" s="253">
        <v>69980</v>
      </c>
      <c r="BI14" s="216">
        <f t="shared" si="1"/>
        <v>41968713</v>
      </c>
      <c r="BL14" s="217"/>
      <c r="BM14" s="217"/>
      <c r="BN14" s="216">
        <f t="shared" si="2"/>
        <v>5014115</v>
      </c>
      <c r="BR14" s="216">
        <f t="shared" si="3"/>
        <v>713466</v>
      </c>
      <c r="BU14" s="218"/>
      <c r="BV14" s="216">
        <f t="shared" si="4"/>
        <v>552590</v>
      </c>
      <c r="BW14" s="219"/>
      <c r="BX14" s="220"/>
      <c r="BY14" s="218"/>
      <c r="BZ14" s="220"/>
      <c r="CA14" s="218"/>
      <c r="CB14" s="214"/>
      <c r="CC14" s="216">
        <f t="shared" si="5"/>
        <v>6991700</v>
      </c>
      <c r="CF14" s="217"/>
      <c r="CG14" s="217"/>
      <c r="CH14" s="217"/>
      <c r="CI14" s="216">
        <f t="shared" si="6"/>
        <v>18614103</v>
      </c>
      <c r="CL14" s="217"/>
      <c r="CM14" s="221"/>
      <c r="CN14" s="216">
        <f t="shared" si="7"/>
        <v>10003</v>
      </c>
      <c r="CP14" s="222"/>
      <c r="CQ14" s="223"/>
      <c r="CR14" s="216">
        <f t="shared" si="8"/>
        <v>3756000</v>
      </c>
      <c r="CU14" s="217"/>
      <c r="CV14" s="221"/>
      <c r="CW14" s="216">
        <f t="shared" si="9"/>
        <v>69980</v>
      </c>
      <c r="CZ14" s="217"/>
      <c r="DD14" s="224"/>
      <c r="DE14" s="224"/>
      <c r="DF14" s="224"/>
      <c r="DG14" s="224"/>
      <c r="DH14" s="225"/>
      <c r="DI14" s="226"/>
      <c r="DJ14" s="226"/>
    </row>
    <row r="15" spans="2:114" s="120" customFormat="1" x14ac:dyDescent="0.25">
      <c r="B15" s="72">
        <v>44270</v>
      </c>
      <c r="C15" s="323">
        <v>42078527</v>
      </c>
      <c r="D15" s="324"/>
      <c r="E15" s="36">
        <f t="shared" ref="E15:E17" si="32">SUM(C15-C14)*10</f>
        <v>1098140</v>
      </c>
      <c r="F15" s="323">
        <v>5035319</v>
      </c>
      <c r="G15" s="324"/>
      <c r="H15" s="36">
        <f t="shared" ref="H15:H17" si="33">SUM(F15-F14)*10</f>
        <v>212040</v>
      </c>
      <c r="I15" s="323">
        <v>17282</v>
      </c>
      <c r="J15" s="324"/>
      <c r="K15" s="36">
        <f t="shared" si="27"/>
        <v>750</v>
      </c>
      <c r="L15" s="323">
        <v>304702</v>
      </c>
      <c r="M15" s="324"/>
      <c r="N15" s="36">
        <f t="shared" si="13"/>
        <v>683000</v>
      </c>
      <c r="O15" s="323">
        <v>8184</v>
      </c>
      <c r="P15" s="324"/>
      <c r="Q15" s="36">
        <f t="shared" si="14"/>
        <v>24300</v>
      </c>
      <c r="R15" s="37"/>
      <c r="S15" s="323">
        <v>715638</v>
      </c>
      <c r="T15" s="324"/>
      <c r="U15" s="36">
        <f t="shared" si="15"/>
        <v>217200</v>
      </c>
      <c r="V15" s="323">
        <v>567070</v>
      </c>
      <c r="W15" s="324"/>
      <c r="X15" s="36">
        <f t="shared" si="16"/>
        <v>1448000</v>
      </c>
      <c r="Y15" s="41">
        <f t="shared" si="17"/>
        <v>1665200</v>
      </c>
      <c r="Z15" s="38"/>
      <c r="AA15" s="188">
        <v>15553</v>
      </c>
      <c r="AB15" s="195">
        <v>1270000</v>
      </c>
      <c r="AC15" s="188">
        <v>419383200</v>
      </c>
      <c r="AD15" s="195">
        <v>262307.3</v>
      </c>
      <c r="AE15" s="188">
        <v>106346</v>
      </c>
      <c r="AF15" s="195">
        <v>2610</v>
      </c>
      <c r="AG15" s="188">
        <v>3290423</v>
      </c>
      <c r="AH15" s="195">
        <v>104020</v>
      </c>
      <c r="AI15" s="188">
        <v>4119333</v>
      </c>
      <c r="AJ15" s="195">
        <v>14108</v>
      </c>
      <c r="AK15" s="188">
        <v>19873</v>
      </c>
      <c r="AL15" s="195">
        <v>193000</v>
      </c>
      <c r="AM15" s="188">
        <v>629</v>
      </c>
      <c r="AN15" s="195">
        <v>57</v>
      </c>
      <c r="AO15" s="188">
        <v>12048</v>
      </c>
      <c r="AP15" s="195">
        <v>900</v>
      </c>
      <c r="AQ15" s="40"/>
      <c r="AR15" s="119">
        <f t="shared" si="0"/>
        <v>44270</v>
      </c>
      <c r="AS15" s="188">
        <v>119</v>
      </c>
      <c r="AT15" s="195">
        <v>116</v>
      </c>
      <c r="AU15" s="196"/>
      <c r="AV15" s="188">
        <v>11825</v>
      </c>
      <c r="AW15" s="195">
        <v>11825</v>
      </c>
      <c r="AX15" s="188">
        <v>485102365</v>
      </c>
      <c r="AY15" s="195">
        <v>37543</v>
      </c>
      <c r="AZ15" s="195">
        <v>-25717.91</v>
      </c>
      <c r="BA15" s="188">
        <v>6996600</v>
      </c>
      <c r="BB15" s="197">
        <v>4900</v>
      </c>
      <c r="BC15" s="189">
        <v>3756300</v>
      </c>
      <c r="BD15" s="198">
        <v>300</v>
      </c>
      <c r="BE15" s="188">
        <v>333503</v>
      </c>
      <c r="BF15" s="195">
        <v>263523</v>
      </c>
      <c r="BI15" s="45">
        <f t="shared" si="1"/>
        <v>42078527</v>
      </c>
      <c r="BL15" s="121"/>
      <c r="BM15" s="121"/>
      <c r="BN15" s="45">
        <f t="shared" si="2"/>
        <v>5035319</v>
      </c>
      <c r="BR15" s="45">
        <f t="shared" si="3"/>
        <v>715638</v>
      </c>
      <c r="BU15" s="96"/>
      <c r="BV15" s="45">
        <f t="shared" si="4"/>
        <v>567070</v>
      </c>
      <c r="BW15" s="97"/>
      <c r="BX15" s="98"/>
      <c r="BY15" s="96"/>
      <c r="BZ15" s="98"/>
      <c r="CA15" s="96"/>
      <c r="CB15" s="40"/>
      <c r="CC15" s="45">
        <f t="shared" si="5"/>
        <v>6996600</v>
      </c>
      <c r="CF15" s="121"/>
      <c r="CG15" s="121"/>
      <c r="CH15" s="121"/>
      <c r="CI15" s="45">
        <f t="shared" si="6"/>
        <v>11825</v>
      </c>
      <c r="CL15" s="121"/>
      <c r="CM15" s="122"/>
      <c r="CN15" s="45">
        <f t="shared" si="7"/>
        <v>119</v>
      </c>
      <c r="CP15" s="123"/>
      <c r="CQ15" s="100"/>
      <c r="CR15" s="45">
        <f t="shared" si="8"/>
        <v>3756300</v>
      </c>
      <c r="CU15" s="121"/>
      <c r="CV15" s="122"/>
      <c r="CW15" s="45">
        <f t="shared" si="9"/>
        <v>333503</v>
      </c>
      <c r="CZ15" s="121"/>
      <c r="DD15" s="124"/>
      <c r="DE15" s="124"/>
      <c r="DF15" s="124"/>
      <c r="DG15" s="124"/>
      <c r="DH15" s="125"/>
      <c r="DI15" s="126"/>
      <c r="DJ15" s="126"/>
    </row>
    <row r="16" spans="2:114" s="120" customFormat="1" x14ac:dyDescent="0.25">
      <c r="B16" s="72">
        <v>44277</v>
      </c>
      <c r="C16" s="323">
        <v>42199864</v>
      </c>
      <c r="D16" s="324"/>
      <c r="E16" s="36">
        <f t="shared" si="32"/>
        <v>1213370</v>
      </c>
      <c r="F16" s="323">
        <v>5052481</v>
      </c>
      <c r="G16" s="324"/>
      <c r="H16" s="36">
        <f t="shared" si="33"/>
        <v>171620</v>
      </c>
      <c r="I16" s="323">
        <v>17332</v>
      </c>
      <c r="J16" s="324"/>
      <c r="K16" s="36">
        <f t="shared" si="27"/>
        <v>500</v>
      </c>
      <c r="L16" s="323">
        <v>305512</v>
      </c>
      <c r="M16" s="324"/>
      <c r="N16" s="36">
        <f t="shared" si="13"/>
        <v>810000</v>
      </c>
      <c r="O16" s="323">
        <v>8440</v>
      </c>
      <c r="P16" s="324"/>
      <c r="Q16" s="36">
        <f t="shared" si="14"/>
        <v>25600</v>
      </c>
      <c r="R16" s="37"/>
      <c r="S16" s="323">
        <v>718028</v>
      </c>
      <c r="T16" s="324"/>
      <c r="U16" s="36">
        <f t="shared" si="15"/>
        <v>239000</v>
      </c>
      <c r="V16" s="323">
        <v>578990</v>
      </c>
      <c r="W16" s="324"/>
      <c r="X16" s="36">
        <f t="shared" si="16"/>
        <v>1192000</v>
      </c>
      <c r="Y16" s="41">
        <f t="shared" si="17"/>
        <v>1431000</v>
      </c>
      <c r="Z16" s="38"/>
      <c r="AA16" s="188">
        <v>15713</v>
      </c>
      <c r="AB16" s="195">
        <v>1600000</v>
      </c>
      <c r="AC16" s="188">
        <v>422386000</v>
      </c>
      <c r="AD16" s="195">
        <v>300280</v>
      </c>
      <c r="AE16" s="188">
        <v>106646</v>
      </c>
      <c r="AF16" s="195">
        <v>3000</v>
      </c>
      <c r="AG16" s="188">
        <v>3301198</v>
      </c>
      <c r="AH16" s="195">
        <v>107750</v>
      </c>
      <c r="AI16" s="188">
        <v>4135922</v>
      </c>
      <c r="AJ16" s="195">
        <v>16589</v>
      </c>
      <c r="AK16" s="188">
        <v>20052</v>
      </c>
      <c r="AL16" s="195">
        <v>179000</v>
      </c>
      <c r="AM16" s="188">
        <v>686</v>
      </c>
      <c r="AN16" s="195">
        <v>57</v>
      </c>
      <c r="AO16" s="188">
        <v>12056</v>
      </c>
      <c r="AP16" s="195">
        <v>800</v>
      </c>
      <c r="AQ16" s="40"/>
      <c r="AR16" s="119">
        <f t="shared" si="0"/>
        <v>44277</v>
      </c>
      <c r="AS16" s="188">
        <v>219</v>
      </c>
      <c r="AT16" s="195">
        <v>100</v>
      </c>
      <c r="AU16" s="196"/>
      <c r="AV16" s="188">
        <v>61750</v>
      </c>
      <c r="AW16" s="195">
        <v>49925</v>
      </c>
      <c r="AX16" s="188">
        <v>489045336</v>
      </c>
      <c r="AY16" s="195">
        <v>39430</v>
      </c>
      <c r="AZ16" s="195">
        <v>10495.29</v>
      </c>
      <c r="BA16" s="188">
        <v>7000800</v>
      </c>
      <c r="BB16" s="197">
        <v>4200</v>
      </c>
      <c r="BC16" s="189">
        <v>3756700</v>
      </c>
      <c r="BD16" s="198">
        <v>400</v>
      </c>
      <c r="BE16" s="188">
        <v>579687</v>
      </c>
      <c r="BF16" s="195">
        <v>246184</v>
      </c>
      <c r="BI16" s="45">
        <f t="shared" si="1"/>
        <v>42199864</v>
      </c>
      <c r="BL16" s="121"/>
      <c r="BM16" s="121"/>
      <c r="BN16" s="45">
        <f t="shared" si="2"/>
        <v>5052481</v>
      </c>
      <c r="BR16" s="45">
        <f t="shared" si="3"/>
        <v>718028</v>
      </c>
      <c r="BU16" s="96"/>
      <c r="BV16" s="45">
        <f t="shared" si="4"/>
        <v>578990</v>
      </c>
      <c r="BW16" s="97"/>
      <c r="BX16" s="98"/>
      <c r="BY16" s="96"/>
      <c r="BZ16" s="98"/>
      <c r="CA16" s="96"/>
      <c r="CB16" s="40"/>
      <c r="CC16" s="45">
        <f t="shared" si="5"/>
        <v>7000800</v>
      </c>
      <c r="CF16" s="121"/>
      <c r="CG16" s="121"/>
      <c r="CH16" s="121"/>
      <c r="CI16" s="45">
        <f t="shared" si="6"/>
        <v>61750</v>
      </c>
      <c r="CL16" s="121"/>
      <c r="CM16" s="122"/>
      <c r="CN16" s="45">
        <f t="shared" si="7"/>
        <v>219</v>
      </c>
      <c r="CP16" s="123"/>
      <c r="CQ16" s="100"/>
      <c r="CR16" s="45">
        <f t="shared" si="8"/>
        <v>3756700</v>
      </c>
      <c r="CU16" s="121"/>
      <c r="CV16" s="122"/>
      <c r="CW16" s="45">
        <f t="shared" si="9"/>
        <v>579687</v>
      </c>
      <c r="CZ16" s="121"/>
      <c r="DD16" s="124"/>
      <c r="DE16" s="124"/>
      <c r="DF16" s="124"/>
      <c r="DG16" s="124"/>
      <c r="DH16" s="125"/>
      <c r="DI16" s="126"/>
      <c r="DJ16" s="126"/>
    </row>
    <row r="17" spans="2:114" s="120" customFormat="1" x14ac:dyDescent="0.25">
      <c r="B17" s="72">
        <v>44284</v>
      </c>
      <c r="C17" s="323">
        <v>42322643</v>
      </c>
      <c r="D17" s="324"/>
      <c r="E17" s="36">
        <f t="shared" si="32"/>
        <v>1227790</v>
      </c>
      <c r="F17" s="323">
        <v>5066255</v>
      </c>
      <c r="G17" s="324"/>
      <c r="H17" s="36">
        <f t="shared" si="33"/>
        <v>137740</v>
      </c>
      <c r="I17" s="323">
        <v>17357</v>
      </c>
      <c r="J17" s="324"/>
      <c r="K17" s="36">
        <f t="shared" si="27"/>
        <v>250</v>
      </c>
      <c r="L17" s="323">
        <v>306355</v>
      </c>
      <c r="M17" s="324"/>
      <c r="N17" s="36">
        <f t="shared" si="13"/>
        <v>843000</v>
      </c>
      <c r="O17" s="323">
        <v>8691</v>
      </c>
      <c r="P17" s="324"/>
      <c r="Q17" s="36">
        <f t="shared" si="14"/>
        <v>25100</v>
      </c>
      <c r="R17" s="37"/>
      <c r="S17" s="323">
        <v>720009</v>
      </c>
      <c r="T17" s="324"/>
      <c r="U17" s="36">
        <f t="shared" si="15"/>
        <v>198100</v>
      </c>
      <c r="V17" s="323">
        <v>588000</v>
      </c>
      <c r="W17" s="324"/>
      <c r="X17" s="36">
        <f t="shared" si="16"/>
        <v>901000</v>
      </c>
      <c r="Y17" s="41">
        <f t="shared" si="17"/>
        <v>1099100</v>
      </c>
      <c r="Z17" s="38"/>
      <c r="AA17" s="188">
        <v>15900</v>
      </c>
      <c r="AB17" s="195">
        <v>1870000</v>
      </c>
      <c r="AC17" s="188">
        <v>427403200</v>
      </c>
      <c r="AD17" s="195">
        <v>501720</v>
      </c>
      <c r="AE17" s="188">
        <v>106906</v>
      </c>
      <c r="AF17" s="195">
        <v>2600</v>
      </c>
      <c r="AG17" s="188">
        <v>3311031</v>
      </c>
      <c r="AH17" s="195">
        <v>98330</v>
      </c>
      <c r="AI17" s="188">
        <v>4147479</v>
      </c>
      <c r="AJ17" s="195">
        <v>11557</v>
      </c>
      <c r="AK17" s="188">
        <v>20228</v>
      </c>
      <c r="AL17" s="195">
        <v>176000</v>
      </c>
      <c r="AM17" s="188">
        <v>709</v>
      </c>
      <c r="AN17" s="195">
        <v>23</v>
      </c>
      <c r="AO17" s="188">
        <v>12079</v>
      </c>
      <c r="AP17" s="195">
        <v>2300</v>
      </c>
      <c r="AQ17" s="40"/>
      <c r="AR17" s="119">
        <f t="shared" si="0"/>
        <v>44284</v>
      </c>
      <c r="AS17" s="188">
        <v>320</v>
      </c>
      <c r="AT17" s="195">
        <v>101</v>
      </c>
      <c r="AU17" s="196"/>
      <c r="AV17" s="188">
        <v>110562</v>
      </c>
      <c r="AW17" s="195">
        <v>48812</v>
      </c>
      <c r="AX17" s="188">
        <v>492986557</v>
      </c>
      <c r="AY17" s="195">
        <v>39412</v>
      </c>
      <c r="AZ17" s="195">
        <v>9399.7900000000009</v>
      </c>
      <c r="BA17" s="188">
        <v>7002900</v>
      </c>
      <c r="BB17" s="197">
        <v>2100</v>
      </c>
      <c r="BC17" s="189">
        <v>3757200</v>
      </c>
      <c r="BD17" s="198">
        <v>500</v>
      </c>
      <c r="BE17" s="188">
        <v>748424</v>
      </c>
      <c r="BF17" s="195">
        <v>168737</v>
      </c>
      <c r="BI17" s="45">
        <f t="shared" si="1"/>
        <v>42322643</v>
      </c>
      <c r="BJ17" s="20">
        <v>379079</v>
      </c>
      <c r="BK17" s="19">
        <f>SUM(BJ17-BJ13)</f>
        <v>3961</v>
      </c>
      <c r="BL17" s="74">
        <f>SUM(BK17*1.0228)+1887.37</f>
        <v>5938.6808000000001</v>
      </c>
      <c r="BM17" s="92">
        <v>16656.12</v>
      </c>
      <c r="BN17" s="45">
        <f t="shared" si="2"/>
        <v>5066255</v>
      </c>
      <c r="BO17" s="20">
        <v>42940</v>
      </c>
      <c r="BP17" s="19">
        <f>SUM(BO17-BO13)</f>
        <v>495</v>
      </c>
      <c r="BQ17" s="74">
        <f>SUM(BP17*0.8062)+1557.24</f>
        <v>1956.309</v>
      </c>
      <c r="BR17" s="45">
        <f t="shared" si="3"/>
        <v>720009</v>
      </c>
      <c r="BS17" s="20">
        <v>638006</v>
      </c>
      <c r="BT17" s="20">
        <v>38288.269999999997</v>
      </c>
      <c r="BU17" s="105">
        <v>28444.240000000002</v>
      </c>
      <c r="BV17" s="45">
        <f t="shared" si="4"/>
        <v>588000</v>
      </c>
      <c r="BW17" s="106">
        <v>23449</v>
      </c>
      <c r="BX17" s="46">
        <v>1864.99</v>
      </c>
      <c r="BY17" s="105">
        <v>1390.81</v>
      </c>
      <c r="BZ17" s="117">
        <f t="shared" ref="BZ17" si="34">SUM(BT17+BX17)</f>
        <v>40153.259999999995</v>
      </c>
      <c r="CA17" s="105">
        <v>6873.73</v>
      </c>
      <c r="CB17" s="40"/>
      <c r="CC17" s="127">
        <f t="shared" si="5"/>
        <v>7002900</v>
      </c>
      <c r="CD17" s="128">
        <v>6844</v>
      </c>
      <c r="CE17" s="88">
        <f>SUM(CD17-CD13)</f>
        <v>17</v>
      </c>
      <c r="CF17" s="74">
        <f>SUM(CE17*1.0228)+117.88</f>
        <v>135.26759999999999</v>
      </c>
      <c r="CG17" s="92">
        <v>97.24</v>
      </c>
      <c r="CH17" s="92">
        <v>1002.53</v>
      </c>
      <c r="CI17" s="45">
        <f t="shared" si="6"/>
        <v>110562</v>
      </c>
      <c r="CJ17" s="20">
        <v>16332</v>
      </c>
      <c r="CK17" s="19">
        <f>SUM(CJ17-CJ13)</f>
        <v>293</v>
      </c>
      <c r="CL17" s="74">
        <f>SUM(CK17*1.0228+188.7)</f>
        <v>488.38039999999995</v>
      </c>
      <c r="CM17" s="109">
        <v>308.88</v>
      </c>
      <c r="CN17" s="45">
        <f t="shared" si="7"/>
        <v>320</v>
      </c>
      <c r="CO17" s="20">
        <v>6153</v>
      </c>
      <c r="CP17" s="25">
        <v>969.09</v>
      </c>
      <c r="CQ17" s="108">
        <v>722.7</v>
      </c>
      <c r="CR17" s="45">
        <f t="shared" si="8"/>
        <v>3757200</v>
      </c>
      <c r="CS17" s="20">
        <v>3721</v>
      </c>
      <c r="CT17" s="19">
        <f>SUM(CS17-CS13)</f>
        <v>7</v>
      </c>
      <c r="CU17" s="74">
        <f>SUM(CT17*1.0228)+188.7</f>
        <v>195.8596</v>
      </c>
      <c r="CV17" s="122"/>
      <c r="CW17" s="45">
        <f t="shared" si="9"/>
        <v>748424</v>
      </c>
      <c r="CX17" s="20">
        <v>373229</v>
      </c>
      <c r="CY17" s="19">
        <f>SUM(CX17-CX13)</f>
        <v>10131</v>
      </c>
      <c r="CZ17" s="74">
        <f>SUM(CY17*0.8062)+973.2</f>
        <v>9140.8122000000003</v>
      </c>
      <c r="DC17" s="20">
        <f>SUM(E15:E18)</f>
        <v>4051210</v>
      </c>
      <c r="DD17" s="92" t="e">
        <f>SUM(BL17+CF17+CL17+#REF!+CU17)</f>
        <v>#REF!</v>
      </c>
      <c r="DE17" s="92">
        <f>SUM(BQ17+CZ17)</f>
        <v>11097.1212</v>
      </c>
      <c r="DF17" s="92">
        <f>SUM(BM17+CG17+CV17)</f>
        <v>16753.36</v>
      </c>
      <c r="DG17" s="92" t="e">
        <f>SUM(DD17:DF17)</f>
        <v>#REF!</v>
      </c>
      <c r="DH17"/>
      <c r="DI17" s="111">
        <f>SUM(BU17+CQ17+BY17)</f>
        <v>30557.750000000004</v>
      </c>
      <c r="DJ17" s="111">
        <f>SUM(CA17+CH17)</f>
        <v>7876.2599999999993</v>
      </c>
    </row>
    <row r="18" spans="2:114" s="120" customFormat="1" x14ac:dyDescent="0.25">
      <c r="B18" s="72">
        <v>44287</v>
      </c>
      <c r="C18" s="323">
        <v>42373834</v>
      </c>
      <c r="D18" s="324"/>
      <c r="E18" s="36">
        <f t="shared" ref="E18" si="35">SUM(C18-C17)*10</f>
        <v>511910</v>
      </c>
      <c r="F18" s="323">
        <v>5066261</v>
      </c>
      <c r="G18" s="324"/>
      <c r="H18" s="36">
        <f t="shared" ref="H18" si="36">SUM(F18-F17)*10</f>
        <v>60</v>
      </c>
      <c r="I18" s="323">
        <v>17361</v>
      </c>
      <c r="J18" s="324"/>
      <c r="K18" s="36">
        <f t="shared" si="27"/>
        <v>40</v>
      </c>
      <c r="L18" s="323">
        <v>306733</v>
      </c>
      <c r="M18" s="324"/>
      <c r="N18" s="36">
        <f t="shared" si="13"/>
        <v>378000</v>
      </c>
      <c r="O18" s="323">
        <v>8805</v>
      </c>
      <c r="P18" s="324"/>
      <c r="Q18" s="36">
        <f t="shared" si="14"/>
        <v>11400</v>
      </c>
      <c r="R18" s="37"/>
      <c r="S18" s="323">
        <v>720863</v>
      </c>
      <c r="T18" s="324"/>
      <c r="U18" s="36">
        <f t="shared" si="15"/>
        <v>85400</v>
      </c>
      <c r="V18" s="323">
        <v>590883</v>
      </c>
      <c r="W18" s="324"/>
      <c r="X18" s="36">
        <f t="shared" si="16"/>
        <v>288300</v>
      </c>
      <c r="Y18" s="41">
        <f t="shared" si="17"/>
        <v>373700</v>
      </c>
      <c r="Z18" s="38"/>
      <c r="AA18" s="188">
        <v>15997</v>
      </c>
      <c r="AB18" s="195">
        <v>970000</v>
      </c>
      <c r="AC18" s="188">
        <v>429959059</v>
      </c>
      <c r="AD18" s="195">
        <v>255585.9</v>
      </c>
      <c r="AE18" s="188">
        <v>106922</v>
      </c>
      <c r="AF18" s="195">
        <v>160</v>
      </c>
      <c r="AG18" s="188">
        <v>3313780</v>
      </c>
      <c r="AH18" s="195">
        <v>27490</v>
      </c>
      <c r="AI18" s="188">
        <v>4152611</v>
      </c>
      <c r="AJ18" s="195">
        <v>5132</v>
      </c>
      <c r="AK18" s="188">
        <v>20285</v>
      </c>
      <c r="AL18" s="195">
        <v>57000</v>
      </c>
      <c r="AM18" s="188">
        <v>713</v>
      </c>
      <c r="AN18" s="195">
        <v>4</v>
      </c>
      <c r="AO18" s="188">
        <v>12084</v>
      </c>
      <c r="AP18" s="195">
        <v>500</v>
      </c>
      <c r="AQ18" s="40"/>
      <c r="AR18" s="119">
        <f t="shared" si="0"/>
        <v>44287</v>
      </c>
      <c r="AS18" s="188">
        <v>345</v>
      </c>
      <c r="AT18" s="195">
        <v>25</v>
      </c>
      <c r="AU18" s="196"/>
      <c r="AV18" s="188">
        <v>124229</v>
      </c>
      <c r="AW18" s="195">
        <v>13667</v>
      </c>
      <c r="AX18" s="188">
        <v>494117549</v>
      </c>
      <c r="AY18" s="195">
        <v>11310</v>
      </c>
      <c r="AZ18" s="195">
        <v>2357.08</v>
      </c>
      <c r="BA18" s="188">
        <v>7005200</v>
      </c>
      <c r="BB18" s="197">
        <v>2300</v>
      </c>
      <c r="BC18" s="189">
        <v>3757200</v>
      </c>
      <c r="BD18" s="198">
        <v>0</v>
      </c>
      <c r="BE18" s="188">
        <v>776839</v>
      </c>
      <c r="BF18" s="195">
        <v>28415</v>
      </c>
      <c r="BI18" s="45">
        <f t="shared" si="1"/>
        <v>42373834</v>
      </c>
      <c r="BL18" s="121"/>
      <c r="BM18" s="121"/>
      <c r="BN18" s="45">
        <f t="shared" si="2"/>
        <v>5066261</v>
      </c>
      <c r="BR18" s="45">
        <f t="shared" si="3"/>
        <v>720863</v>
      </c>
      <c r="BU18" s="96"/>
      <c r="BV18" s="45">
        <f t="shared" si="4"/>
        <v>590883</v>
      </c>
      <c r="BW18" s="97"/>
      <c r="BX18" s="98"/>
      <c r="BY18" s="96"/>
      <c r="BZ18" s="98"/>
      <c r="CA18" s="96"/>
      <c r="CB18" s="40"/>
      <c r="CC18" s="45">
        <f t="shared" si="5"/>
        <v>7005200</v>
      </c>
      <c r="CF18" s="121"/>
      <c r="CG18" s="121"/>
      <c r="CH18" s="121"/>
      <c r="CI18" s="45">
        <f t="shared" si="6"/>
        <v>124229</v>
      </c>
      <c r="CL18" s="121"/>
      <c r="CM18" s="122"/>
      <c r="CN18" s="45">
        <f t="shared" si="7"/>
        <v>345</v>
      </c>
      <c r="CP18" s="123"/>
      <c r="CQ18" s="100"/>
      <c r="CR18" s="45">
        <f t="shared" si="8"/>
        <v>3757200</v>
      </c>
      <c r="CU18" s="121"/>
      <c r="CV18" s="122"/>
      <c r="CW18" s="45">
        <f t="shared" si="9"/>
        <v>776839</v>
      </c>
      <c r="CZ18" s="121"/>
      <c r="DD18" s="124"/>
      <c r="DE18" s="124"/>
      <c r="DF18" s="124"/>
      <c r="DG18" s="124"/>
      <c r="DH18" s="125"/>
      <c r="DI18" s="126"/>
      <c r="DJ18" s="126"/>
    </row>
    <row r="19" spans="2:114" s="120" customFormat="1" x14ac:dyDescent="0.25">
      <c r="B19" s="72">
        <v>44291</v>
      </c>
      <c r="C19" s="323">
        <v>42437140</v>
      </c>
      <c r="D19" s="324"/>
      <c r="E19" s="36">
        <f t="shared" ref="E19:E22" si="37">SUM(C19-C18)*10</f>
        <v>633060</v>
      </c>
      <c r="F19" s="323">
        <v>5066890</v>
      </c>
      <c r="G19" s="324"/>
      <c r="H19" s="36">
        <f t="shared" ref="H19:H22" si="38">SUM(F19-F18)*10</f>
        <v>6290</v>
      </c>
      <c r="I19" s="323">
        <v>17378</v>
      </c>
      <c r="J19" s="324"/>
      <c r="K19" s="36">
        <f t="shared" si="27"/>
        <v>170</v>
      </c>
      <c r="L19" s="323">
        <v>307188</v>
      </c>
      <c r="M19" s="324"/>
      <c r="N19" s="36">
        <f t="shared" si="13"/>
        <v>455000</v>
      </c>
      <c r="O19" s="323">
        <v>8957</v>
      </c>
      <c r="P19" s="324"/>
      <c r="Q19" s="36">
        <f t="shared" si="14"/>
        <v>15200</v>
      </c>
      <c r="R19" s="37"/>
      <c r="S19" s="323">
        <v>722010</v>
      </c>
      <c r="T19" s="324"/>
      <c r="U19" s="36">
        <f t="shared" si="15"/>
        <v>114700</v>
      </c>
      <c r="V19" s="323">
        <v>600120</v>
      </c>
      <c r="W19" s="324"/>
      <c r="X19" s="36">
        <f t="shared" si="16"/>
        <v>923700</v>
      </c>
      <c r="Y19" s="41">
        <f t="shared" si="17"/>
        <v>1038400</v>
      </c>
      <c r="Z19" s="38"/>
      <c r="AA19" s="188">
        <v>16059</v>
      </c>
      <c r="AB19" s="195">
        <v>620000</v>
      </c>
      <c r="AC19" s="188">
        <v>432060000</v>
      </c>
      <c r="AD19" s="195">
        <v>210094.1</v>
      </c>
      <c r="AE19" s="188">
        <v>107107</v>
      </c>
      <c r="AF19" s="195">
        <v>1850</v>
      </c>
      <c r="AG19" s="188">
        <v>3317444</v>
      </c>
      <c r="AH19" s="195">
        <v>36640</v>
      </c>
      <c r="AI19" s="188">
        <v>4159708</v>
      </c>
      <c r="AJ19" s="195">
        <v>7097</v>
      </c>
      <c r="AK19" s="188">
        <v>20367</v>
      </c>
      <c r="AL19" s="195">
        <v>82000</v>
      </c>
      <c r="AM19" s="188">
        <v>752</v>
      </c>
      <c r="AN19" s="195">
        <v>39</v>
      </c>
      <c r="AO19" s="188">
        <v>12095</v>
      </c>
      <c r="AP19" s="195">
        <v>1100</v>
      </c>
      <c r="AQ19" s="40"/>
      <c r="AR19" s="119">
        <f t="shared" si="0"/>
        <v>44291</v>
      </c>
      <c r="AS19" s="188">
        <v>421</v>
      </c>
      <c r="AT19" s="195">
        <v>76</v>
      </c>
      <c r="AU19" s="196"/>
      <c r="AV19" s="188">
        <v>165729</v>
      </c>
      <c r="AW19" s="195">
        <v>41500</v>
      </c>
      <c r="AX19" s="188">
        <v>497500222</v>
      </c>
      <c r="AY19" s="195">
        <v>33827</v>
      </c>
      <c r="AZ19" s="195">
        <v>7673.27</v>
      </c>
      <c r="BA19" s="188">
        <v>7007300</v>
      </c>
      <c r="BB19" s="197">
        <v>2100</v>
      </c>
      <c r="BC19" s="189">
        <v>3757600</v>
      </c>
      <c r="BD19" s="198">
        <v>400</v>
      </c>
      <c r="BE19" s="188">
        <v>870586</v>
      </c>
      <c r="BF19" s="195">
        <v>93747</v>
      </c>
      <c r="BI19" s="45">
        <f t="shared" si="1"/>
        <v>42437140</v>
      </c>
      <c r="BL19" s="121"/>
      <c r="BM19" s="121"/>
      <c r="BN19" s="45">
        <f t="shared" si="2"/>
        <v>5066890</v>
      </c>
      <c r="BR19" s="45">
        <f t="shared" si="3"/>
        <v>722010</v>
      </c>
      <c r="BU19" s="96"/>
      <c r="BV19" s="45">
        <f t="shared" si="4"/>
        <v>600120</v>
      </c>
      <c r="BW19" s="97"/>
      <c r="BX19" s="98"/>
      <c r="BY19" s="96"/>
      <c r="BZ19" s="98"/>
      <c r="CA19" s="96"/>
      <c r="CB19" s="40"/>
      <c r="CC19" s="45">
        <f t="shared" si="5"/>
        <v>7007300</v>
      </c>
      <c r="CF19" s="121"/>
      <c r="CG19" s="121"/>
      <c r="CH19" s="121"/>
      <c r="CI19" s="45">
        <f t="shared" si="6"/>
        <v>165729</v>
      </c>
      <c r="CL19" s="121"/>
      <c r="CM19" s="122"/>
      <c r="CN19" s="45">
        <f t="shared" si="7"/>
        <v>421</v>
      </c>
      <c r="CP19" s="123"/>
      <c r="CQ19" s="100"/>
      <c r="CR19" s="45">
        <f t="shared" si="8"/>
        <v>3757600</v>
      </c>
      <c r="CU19" s="121"/>
      <c r="CV19" s="122"/>
      <c r="CW19" s="45">
        <f t="shared" si="9"/>
        <v>870586</v>
      </c>
      <c r="CZ19" s="121"/>
      <c r="DD19" s="124"/>
      <c r="DE19" s="124"/>
      <c r="DF19" s="124"/>
      <c r="DG19" s="124"/>
      <c r="DH19" s="125"/>
      <c r="DI19" s="126"/>
      <c r="DJ19" s="126"/>
    </row>
    <row r="20" spans="2:114" s="120" customFormat="1" x14ac:dyDescent="0.25">
      <c r="B20" s="72">
        <v>44298</v>
      </c>
      <c r="C20" s="323">
        <v>42556871</v>
      </c>
      <c r="D20" s="324"/>
      <c r="E20" s="36">
        <f t="shared" si="37"/>
        <v>1197310</v>
      </c>
      <c r="F20" s="323">
        <v>5089790</v>
      </c>
      <c r="G20" s="324"/>
      <c r="H20" s="36">
        <f t="shared" si="38"/>
        <v>229000</v>
      </c>
      <c r="I20" s="323">
        <v>17388</v>
      </c>
      <c r="J20" s="324"/>
      <c r="K20" s="36">
        <f t="shared" si="27"/>
        <v>100</v>
      </c>
      <c r="L20" s="323">
        <v>307992</v>
      </c>
      <c r="M20" s="324"/>
      <c r="N20" s="36">
        <f t="shared" si="13"/>
        <v>804000</v>
      </c>
      <c r="O20" s="323">
        <v>9227</v>
      </c>
      <c r="P20" s="324"/>
      <c r="Q20" s="36">
        <f t="shared" si="14"/>
        <v>27000</v>
      </c>
      <c r="R20" s="37"/>
      <c r="S20" s="323">
        <v>723886</v>
      </c>
      <c r="T20" s="324"/>
      <c r="U20" s="36">
        <f t="shared" si="15"/>
        <v>187600</v>
      </c>
      <c r="V20" s="323">
        <v>610730</v>
      </c>
      <c r="W20" s="324"/>
      <c r="X20" s="36">
        <f t="shared" si="16"/>
        <v>1061000</v>
      </c>
      <c r="Y20" s="41">
        <f t="shared" si="17"/>
        <v>1248600</v>
      </c>
      <c r="Z20" s="38"/>
      <c r="AA20" s="188">
        <v>16209</v>
      </c>
      <c r="AB20" s="195">
        <v>1500000</v>
      </c>
      <c r="AC20" s="188">
        <v>436217800</v>
      </c>
      <c r="AD20" s="195">
        <v>415780</v>
      </c>
      <c r="AE20" s="188">
        <v>107315</v>
      </c>
      <c r="AF20" s="195">
        <v>2080</v>
      </c>
      <c r="AG20" s="188">
        <v>3330966</v>
      </c>
      <c r="AH20" s="195">
        <v>135220</v>
      </c>
      <c r="AI20" s="188">
        <v>4169902</v>
      </c>
      <c r="AJ20" s="195">
        <v>10194</v>
      </c>
      <c r="AK20" s="188">
        <v>20529</v>
      </c>
      <c r="AL20" s="195">
        <v>162000</v>
      </c>
      <c r="AM20" s="188">
        <v>805</v>
      </c>
      <c r="AN20" s="195">
        <v>53</v>
      </c>
      <c r="AO20" s="188">
        <v>12112</v>
      </c>
      <c r="AP20" s="195">
        <v>1700</v>
      </c>
      <c r="AQ20" s="40"/>
      <c r="AR20" s="119">
        <f t="shared" si="0"/>
        <v>44298</v>
      </c>
      <c r="AS20" s="188">
        <v>493</v>
      </c>
      <c r="AT20" s="195">
        <v>72</v>
      </c>
      <c r="AU20" s="196"/>
      <c r="AV20" s="188">
        <v>207057</v>
      </c>
      <c r="AW20" s="195">
        <v>41328</v>
      </c>
      <c r="AX20" s="188">
        <v>500905184</v>
      </c>
      <c r="AY20" s="195">
        <v>34050</v>
      </c>
      <c r="AZ20" s="195">
        <v>7278.38</v>
      </c>
      <c r="BA20" s="188">
        <v>7010300</v>
      </c>
      <c r="BB20" s="197">
        <v>3000</v>
      </c>
      <c r="BC20" s="189">
        <v>3757800</v>
      </c>
      <c r="BD20" s="198">
        <v>200</v>
      </c>
      <c r="BE20" s="188">
        <v>936761</v>
      </c>
      <c r="BF20" s="195">
        <v>66175</v>
      </c>
      <c r="BI20" s="45">
        <f t="shared" si="1"/>
        <v>42556871</v>
      </c>
      <c r="BL20" s="121"/>
      <c r="BM20" s="121"/>
      <c r="BN20" s="45">
        <f t="shared" si="2"/>
        <v>5089790</v>
      </c>
      <c r="BR20" s="45">
        <f t="shared" si="3"/>
        <v>723886</v>
      </c>
      <c r="BU20" s="96"/>
      <c r="BV20" s="45">
        <f t="shared" si="4"/>
        <v>610730</v>
      </c>
      <c r="BW20" s="97"/>
      <c r="BX20" s="98"/>
      <c r="BY20" s="96"/>
      <c r="BZ20" s="98"/>
      <c r="CA20" s="96"/>
      <c r="CB20" s="40"/>
      <c r="CC20" s="45">
        <f t="shared" si="5"/>
        <v>7010300</v>
      </c>
      <c r="CF20" s="121"/>
      <c r="CG20" s="121"/>
      <c r="CH20" s="121"/>
      <c r="CI20" s="45">
        <f t="shared" si="6"/>
        <v>207057</v>
      </c>
      <c r="CL20" s="121"/>
      <c r="CM20" s="122"/>
      <c r="CN20" s="45">
        <f t="shared" si="7"/>
        <v>493</v>
      </c>
      <c r="CP20" s="123"/>
      <c r="CQ20" s="100"/>
      <c r="CR20" s="45">
        <f t="shared" si="8"/>
        <v>3757800</v>
      </c>
      <c r="CU20" s="121"/>
      <c r="CV20" s="122"/>
      <c r="CW20" s="45">
        <f t="shared" si="9"/>
        <v>936761</v>
      </c>
      <c r="CZ20" s="121"/>
      <c r="DD20" s="124"/>
      <c r="DE20" s="124"/>
      <c r="DF20" s="124"/>
      <c r="DG20" s="124"/>
      <c r="DH20" s="125"/>
      <c r="DI20" s="126"/>
      <c r="DJ20" s="126"/>
    </row>
    <row r="21" spans="2:114" s="120" customFormat="1" x14ac:dyDescent="0.25">
      <c r="B21" s="72">
        <v>44305</v>
      </c>
      <c r="C21" s="323">
        <v>42673826</v>
      </c>
      <c r="D21" s="324"/>
      <c r="E21" s="36">
        <f t="shared" si="37"/>
        <v>1169550</v>
      </c>
      <c r="F21" s="323">
        <v>5107929</v>
      </c>
      <c r="G21" s="324"/>
      <c r="H21" s="36">
        <f t="shared" si="38"/>
        <v>181390</v>
      </c>
      <c r="I21" s="323">
        <v>17462</v>
      </c>
      <c r="J21" s="324"/>
      <c r="K21" s="36">
        <f t="shared" si="27"/>
        <v>740</v>
      </c>
      <c r="L21" s="323">
        <v>308814</v>
      </c>
      <c r="M21" s="324"/>
      <c r="N21" s="36">
        <f t="shared" si="13"/>
        <v>822000</v>
      </c>
      <c r="O21" s="323">
        <v>9501</v>
      </c>
      <c r="P21" s="324"/>
      <c r="Q21" s="36">
        <f t="shared" si="14"/>
        <v>27400</v>
      </c>
      <c r="R21" s="37"/>
      <c r="S21" s="323">
        <v>726083</v>
      </c>
      <c r="T21" s="324"/>
      <c r="U21" s="36">
        <f t="shared" si="15"/>
        <v>219700</v>
      </c>
      <c r="V21" s="323">
        <v>647380</v>
      </c>
      <c r="W21" s="324"/>
      <c r="X21" s="36">
        <f t="shared" si="16"/>
        <v>3665000</v>
      </c>
      <c r="Y21" s="41">
        <f t="shared" si="17"/>
        <v>3884700</v>
      </c>
      <c r="Z21" s="38"/>
      <c r="AA21" s="188">
        <v>16427</v>
      </c>
      <c r="AB21" s="195">
        <v>2180000</v>
      </c>
      <c r="AC21" s="188">
        <v>441732200</v>
      </c>
      <c r="AD21" s="195">
        <v>551440</v>
      </c>
      <c r="AE21" s="188">
        <v>107670</v>
      </c>
      <c r="AF21" s="195">
        <v>3550</v>
      </c>
      <c r="AG21" s="188">
        <v>3348230</v>
      </c>
      <c r="AH21" s="195">
        <v>172640</v>
      </c>
      <c r="AI21" s="188">
        <v>4177638</v>
      </c>
      <c r="AJ21" s="195">
        <v>7736</v>
      </c>
      <c r="AK21" s="188">
        <v>20648</v>
      </c>
      <c r="AL21" s="195">
        <v>119000</v>
      </c>
      <c r="AM21" s="188">
        <v>831</v>
      </c>
      <c r="AN21" s="195">
        <v>26</v>
      </c>
      <c r="AO21" s="188">
        <v>12144</v>
      </c>
      <c r="AP21" s="195">
        <v>3200</v>
      </c>
      <c r="AQ21" s="40"/>
      <c r="AR21" s="119">
        <f t="shared" si="0"/>
        <v>44305</v>
      </c>
      <c r="AS21" s="188">
        <v>583</v>
      </c>
      <c r="AT21" s="195">
        <v>90</v>
      </c>
      <c r="AU21" s="196"/>
      <c r="AV21" s="188">
        <v>255365</v>
      </c>
      <c r="AW21" s="195">
        <v>48308</v>
      </c>
      <c r="AX21" s="188">
        <v>504870313</v>
      </c>
      <c r="AY21" s="195">
        <v>39651</v>
      </c>
      <c r="AZ21" s="195">
        <v>8656.7099999999991</v>
      </c>
      <c r="BA21" s="188">
        <v>7013200</v>
      </c>
      <c r="BB21" s="197">
        <v>2900</v>
      </c>
      <c r="BC21" s="189">
        <v>3758300</v>
      </c>
      <c r="BD21" s="198">
        <v>500</v>
      </c>
      <c r="BE21" s="188">
        <v>967971</v>
      </c>
      <c r="BF21" s="195">
        <v>31210</v>
      </c>
      <c r="BI21" s="45">
        <f t="shared" si="1"/>
        <v>42673826</v>
      </c>
      <c r="BL21" s="121"/>
      <c r="BM21" s="121"/>
      <c r="BN21" s="45">
        <f t="shared" si="2"/>
        <v>5107929</v>
      </c>
      <c r="BR21" s="45">
        <f t="shared" si="3"/>
        <v>726083</v>
      </c>
      <c r="BU21" s="96"/>
      <c r="BV21" s="45">
        <f t="shared" si="4"/>
        <v>647380</v>
      </c>
      <c r="BW21" s="97"/>
      <c r="BX21" s="98"/>
      <c r="BY21" s="96"/>
      <c r="BZ21" s="98"/>
      <c r="CA21" s="96"/>
      <c r="CB21" s="40"/>
      <c r="CC21" s="45">
        <f t="shared" si="5"/>
        <v>7013200</v>
      </c>
      <c r="CF21" s="121"/>
      <c r="CG21" s="121"/>
      <c r="CH21" s="121"/>
      <c r="CI21" s="45">
        <f t="shared" si="6"/>
        <v>255365</v>
      </c>
      <c r="CL21" s="121"/>
      <c r="CM21" s="122"/>
      <c r="CN21" s="45">
        <f t="shared" si="7"/>
        <v>583</v>
      </c>
      <c r="CP21" s="123"/>
      <c r="CQ21" s="100"/>
      <c r="CR21" s="45">
        <f t="shared" si="8"/>
        <v>3758300</v>
      </c>
      <c r="CU21" s="121"/>
      <c r="CV21" s="122"/>
      <c r="CW21" s="45">
        <f t="shared" si="9"/>
        <v>967971</v>
      </c>
      <c r="CZ21" s="121"/>
      <c r="DD21" s="124"/>
      <c r="DE21" s="124"/>
      <c r="DF21" s="124"/>
      <c r="DG21" s="124"/>
      <c r="DH21" s="125"/>
      <c r="DI21" s="126"/>
      <c r="DJ21" s="126"/>
    </row>
    <row r="22" spans="2:114" s="120" customFormat="1" x14ac:dyDescent="0.25">
      <c r="B22" s="72">
        <v>44312</v>
      </c>
      <c r="C22" s="323">
        <v>42785897</v>
      </c>
      <c r="D22" s="324"/>
      <c r="E22" s="36">
        <f t="shared" si="37"/>
        <v>1120710</v>
      </c>
      <c r="F22" s="323">
        <v>5136925</v>
      </c>
      <c r="G22" s="324"/>
      <c r="H22" s="36">
        <f t="shared" si="38"/>
        <v>289960</v>
      </c>
      <c r="I22" s="323">
        <v>17483</v>
      </c>
      <c r="J22" s="324"/>
      <c r="K22" s="36">
        <f t="shared" si="27"/>
        <v>210</v>
      </c>
      <c r="L22" s="323">
        <v>309598</v>
      </c>
      <c r="M22" s="324"/>
      <c r="N22" s="36">
        <f t="shared" si="13"/>
        <v>784000</v>
      </c>
      <c r="O22" s="323">
        <v>9774</v>
      </c>
      <c r="P22" s="324"/>
      <c r="Q22" s="36">
        <f t="shared" si="14"/>
        <v>27300</v>
      </c>
      <c r="R22" s="37"/>
      <c r="S22" s="323">
        <v>728215</v>
      </c>
      <c r="T22" s="324"/>
      <c r="U22" s="36">
        <f t="shared" si="15"/>
        <v>213200</v>
      </c>
      <c r="V22" s="323">
        <v>625370</v>
      </c>
      <c r="W22" s="324"/>
      <c r="X22" s="36">
        <f t="shared" si="16"/>
        <v>-2201000</v>
      </c>
      <c r="Y22" s="41">
        <f t="shared" si="17"/>
        <v>-1987800</v>
      </c>
      <c r="Z22" s="38"/>
      <c r="AA22" s="188">
        <v>16631</v>
      </c>
      <c r="AB22" s="195">
        <v>2040000</v>
      </c>
      <c r="AC22" s="188">
        <v>447251600</v>
      </c>
      <c r="AD22" s="195">
        <v>551940</v>
      </c>
      <c r="AE22" s="188">
        <v>107863</v>
      </c>
      <c r="AF22" s="195">
        <v>1930</v>
      </c>
      <c r="AG22" s="188">
        <v>3364990</v>
      </c>
      <c r="AH22" s="195">
        <v>167600</v>
      </c>
      <c r="AI22" s="188">
        <v>4180646</v>
      </c>
      <c r="AJ22" s="195">
        <v>3008</v>
      </c>
      <c r="AK22" s="188">
        <v>20740</v>
      </c>
      <c r="AL22" s="195">
        <v>92000</v>
      </c>
      <c r="AM22" s="188">
        <v>856</v>
      </c>
      <c r="AN22" s="195">
        <v>25</v>
      </c>
      <c r="AO22" s="188">
        <v>12192</v>
      </c>
      <c r="AP22" s="195">
        <v>4800</v>
      </c>
      <c r="AQ22" s="40"/>
      <c r="AR22" s="119">
        <f t="shared" si="0"/>
        <v>44312</v>
      </c>
      <c r="AS22" s="188">
        <v>677</v>
      </c>
      <c r="AT22" s="195">
        <v>94</v>
      </c>
      <c r="AU22" s="196"/>
      <c r="AV22" s="188">
        <v>305305</v>
      </c>
      <c r="AW22" s="195">
        <v>49940</v>
      </c>
      <c r="AX22" s="188">
        <v>508867971</v>
      </c>
      <c r="AY22" s="195">
        <v>39977</v>
      </c>
      <c r="AZ22" s="195">
        <v>9963.42</v>
      </c>
      <c r="BA22" s="188">
        <v>7014800</v>
      </c>
      <c r="BB22" s="197">
        <v>1600</v>
      </c>
      <c r="BC22" s="189">
        <v>3758800</v>
      </c>
      <c r="BD22" s="198">
        <v>500</v>
      </c>
      <c r="BE22" s="188">
        <v>992068</v>
      </c>
      <c r="BF22" s="195">
        <v>24097</v>
      </c>
      <c r="BI22" s="45">
        <f t="shared" si="1"/>
        <v>42785897</v>
      </c>
      <c r="BL22" s="121"/>
      <c r="BM22" s="121"/>
      <c r="BN22" s="45">
        <f t="shared" si="2"/>
        <v>5136925</v>
      </c>
      <c r="BR22" s="45">
        <f t="shared" si="3"/>
        <v>728215</v>
      </c>
      <c r="BU22" s="96"/>
      <c r="BV22" s="45">
        <f t="shared" si="4"/>
        <v>625370</v>
      </c>
      <c r="BW22" s="97"/>
      <c r="BX22" s="98"/>
      <c r="BY22" s="96"/>
      <c r="BZ22" s="98"/>
      <c r="CA22" s="96"/>
      <c r="CB22" s="40"/>
      <c r="CC22" s="45">
        <f t="shared" si="5"/>
        <v>7014800</v>
      </c>
      <c r="CF22" s="121"/>
      <c r="CG22" s="121"/>
      <c r="CH22" s="121"/>
      <c r="CI22" s="45">
        <f t="shared" si="6"/>
        <v>305305</v>
      </c>
      <c r="CL22" s="121"/>
      <c r="CM22" s="122"/>
      <c r="CN22" s="45">
        <f t="shared" si="7"/>
        <v>677</v>
      </c>
      <c r="CP22" s="123"/>
      <c r="CQ22" s="100"/>
      <c r="CR22" s="45">
        <f t="shared" si="8"/>
        <v>3758800</v>
      </c>
      <c r="CU22" s="121"/>
      <c r="CV22" s="122"/>
      <c r="CW22" s="45">
        <f t="shared" si="9"/>
        <v>992068</v>
      </c>
      <c r="CZ22" s="121"/>
      <c r="DD22" s="124"/>
      <c r="DE22" s="124"/>
      <c r="DF22" s="124"/>
      <c r="DG22" s="124"/>
      <c r="DH22" s="125"/>
      <c r="DI22" s="126"/>
      <c r="DJ22" s="126"/>
    </row>
    <row r="23" spans="2:114" s="120" customFormat="1" x14ac:dyDescent="0.25">
      <c r="B23" s="72">
        <v>44317</v>
      </c>
      <c r="C23" s="323">
        <v>42875405</v>
      </c>
      <c r="D23" s="324"/>
      <c r="E23" s="36">
        <f t="shared" ref="E23:E24" si="39">SUM(C23-C22)*10</f>
        <v>895080</v>
      </c>
      <c r="F23" s="323">
        <v>5158237</v>
      </c>
      <c r="G23" s="324"/>
      <c r="H23" s="36">
        <f t="shared" ref="H23:H24" si="40">SUM(F23-F22)*10</f>
        <v>213120</v>
      </c>
      <c r="I23" s="323">
        <v>17501</v>
      </c>
      <c r="J23" s="324"/>
      <c r="K23" s="36">
        <f t="shared" si="27"/>
        <v>180</v>
      </c>
      <c r="L23" s="323">
        <v>310198</v>
      </c>
      <c r="M23" s="324"/>
      <c r="N23" s="36">
        <f t="shared" si="13"/>
        <v>600000</v>
      </c>
      <c r="O23" s="323">
        <v>9996</v>
      </c>
      <c r="P23" s="324"/>
      <c r="Q23" s="36">
        <f t="shared" si="14"/>
        <v>22200</v>
      </c>
      <c r="R23" s="37"/>
      <c r="S23" s="323">
        <v>729750</v>
      </c>
      <c r="T23" s="324"/>
      <c r="U23" s="36">
        <f t="shared" si="15"/>
        <v>153500</v>
      </c>
      <c r="V23" s="323">
        <v>630250</v>
      </c>
      <c r="W23" s="324"/>
      <c r="X23" s="36">
        <f t="shared" si="16"/>
        <v>488000</v>
      </c>
      <c r="Y23" s="41">
        <f t="shared" si="17"/>
        <v>641500</v>
      </c>
      <c r="Z23" s="38"/>
      <c r="AA23" s="188">
        <v>16804</v>
      </c>
      <c r="AB23" s="195">
        <v>1730000</v>
      </c>
      <c r="AC23" s="188">
        <v>451502819</v>
      </c>
      <c r="AD23" s="195">
        <v>425121.9</v>
      </c>
      <c r="AE23" s="188">
        <v>107889</v>
      </c>
      <c r="AF23" s="195">
        <v>260</v>
      </c>
      <c r="AG23" s="188">
        <v>3374612</v>
      </c>
      <c r="AH23" s="195">
        <v>96220</v>
      </c>
      <c r="AI23" s="188">
        <v>4185225</v>
      </c>
      <c r="AJ23" s="195">
        <v>4579</v>
      </c>
      <c r="AK23" s="188">
        <v>20864</v>
      </c>
      <c r="AL23" s="195">
        <v>124000</v>
      </c>
      <c r="AM23" s="188">
        <v>879</v>
      </c>
      <c r="AN23" s="195">
        <v>23</v>
      </c>
      <c r="AO23" s="188">
        <v>12210</v>
      </c>
      <c r="AP23" s="195">
        <v>1800</v>
      </c>
      <c r="AQ23" s="40"/>
      <c r="AR23" s="119">
        <f t="shared" si="0"/>
        <v>44317</v>
      </c>
      <c r="AS23" s="188">
        <v>737</v>
      </c>
      <c r="AT23" s="195">
        <v>60</v>
      </c>
      <c r="AU23" s="196"/>
      <c r="AV23" s="188">
        <v>340123</v>
      </c>
      <c r="AW23" s="195">
        <v>34818</v>
      </c>
      <c r="AX23" s="188">
        <v>511686182</v>
      </c>
      <c r="AY23" s="195">
        <v>28182</v>
      </c>
      <c r="AZ23" s="195">
        <v>6635.89</v>
      </c>
      <c r="BA23" s="188">
        <v>7017600</v>
      </c>
      <c r="BB23" s="197">
        <v>2800</v>
      </c>
      <c r="BC23" s="189">
        <v>3759000</v>
      </c>
      <c r="BD23" s="198">
        <v>200</v>
      </c>
      <c r="BE23" s="188">
        <v>1012612</v>
      </c>
      <c r="BF23" s="195">
        <v>20544</v>
      </c>
      <c r="BI23" s="45">
        <f t="shared" si="1"/>
        <v>42875405</v>
      </c>
      <c r="BJ23" s="20">
        <v>380930</v>
      </c>
      <c r="BK23" s="19">
        <f>SUM(BJ23-BJ17)</f>
        <v>1851</v>
      </c>
      <c r="BL23" s="74">
        <f>SUM(BK23*1.1251)+2076.11</f>
        <v>4158.6701000000003</v>
      </c>
      <c r="BM23" s="92">
        <v>5554.07</v>
      </c>
      <c r="BN23" s="45">
        <f t="shared" si="2"/>
        <v>5158237</v>
      </c>
      <c r="BO23" s="20">
        <v>43798</v>
      </c>
      <c r="BP23" s="19">
        <f>SUM(BO23-BO17)</f>
        <v>858</v>
      </c>
      <c r="BQ23" s="74">
        <f>SUM(BP23*0.8868)+1712.96</f>
        <v>2473.8344000000002</v>
      </c>
      <c r="BR23" s="45">
        <f t="shared" si="3"/>
        <v>729750</v>
      </c>
      <c r="BS23" s="20">
        <v>639685</v>
      </c>
      <c r="BT23" s="20">
        <v>8376.0300000000007</v>
      </c>
      <c r="BU23" s="105">
        <v>6857.36</v>
      </c>
      <c r="BV23" s="45">
        <f t="shared" si="4"/>
        <v>630250</v>
      </c>
      <c r="BW23" s="106">
        <v>23538</v>
      </c>
      <c r="BX23" s="46">
        <v>38.46</v>
      </c>
      <c r="BY23" s="105">
        <v>31.53</v>
      </c>
      <c r="BZ23" s="117">
        <f t="shared" ref="BZ23" si="41">SUM(BT23+BX23)</f>
        <v>8414.49</v>
      </c>
      <c r="CA23" s="105">
        <v>2754.81</v>
      </c>
      <c r="CB23" s="40"/>
      <c r="CC23" s="127">
        <f t="shared" si="5"/>
        <v>7017600</v>
      </c>
      <c r="CD23" s="128">
        <v>6852</v>
      </c>
      <c r="CE23" s="88">
        <f>SUM(CD23-CD17)</f>
        <v>8</v>
      </c>
      <c r="CF23" s="74">
        <f>SUM(CE23*1.1251)+129.67</f>
        <v>138.67079999999999</v>
      </c>
      <c r="CG23" s="92">
        <v>50.32</v>
      </c>
      <c r="CH23" s="92">
        <v>1002.53</v>
      </c>
      <c r="CI23" s="45">
        <f t="shared" si="6"/>
        <v>340123</v>
      </c>
      <c r="CJ23" s="20">
        <v>16599</v>
      </c>
      <c r="CK23" s="19">
        <f>SUM(CJ23-CJ17)</f>
        <v>267</v>
      </c>
      <c r="CL23" s="74">
        <f>SUM(CK23*1.1251+207.57)</f>
        <v>507.9717</v>
      </c>
      <c r="CM23" s="109">
        <v>94.35</v>
      </c>
      <c r="CN23" s="45">
        <f t="shared" si="7"/>
        <v>737</v>
      </c>
      <c r="CO23" s="20">
        <v>6230</v>
      </c>
      <c r="CP23" s="25">
        <v>178.52</v>
      </c>
      <c r="CQ23" s="108">
        <v>146.30000000000001</v>
      </c>
      <c r="CR23" s="45">
        <f t="shared" si="8"/>
        <v>3759000</v>
      </c>
      <c r="CS23" s="20">
        <v>3723</v>
      </c>
      <c r="CT23" s="19">
        <f>SUM(CS23-CS17)</f>
        <v>2</v>
      </c>
      <c r="CU23" s="74">
        <f>SUM(CT23*1.1251)+207.57</f>
        <v>209.8202</v>
      </c>
      <c r="CV23" s="122"/>
      <c r="CW23" s="45">
        <f t="shared" si="9"/>
        <v>1012612</v>
      </c>
      <c r="CX23" s="20">
        <v>386385</v>
      </c>
      <c r="CY23" s="19">
        <f>SUM(CX23-CX17)</f>
        <v>13156</v>
      </c>
      <c r="CZ23" s="74">
        <f>SUM(CY23*0.8868)+1070.52</f>
        <v>12737.2608</v>
      </c>
      <c r="DC23" s="20">
        <f>SUM(E21:E24)</f>
        <v>3508790</v>
      </c>
      <c r="DD23" s="92" t="e">
        <f>SUM(BL23+CF23+CL23+#REF!+CU23)</f>
        <v>#REF!</v>
      </c>
      <c r="DE23" s="92">
        <f>SUM(BQ23+CZ23)</f>
        <v>15211.0952</v>
      </c>
      <c r="DF23" s="92">
        <f>SUM(BM23+CG23+CV23)</f>
        <v>5604.3899999999994</v>
      </c>
      <c r="DG23" s="92" t="e">
        <f>SUM(DD23:DF23)</f>
        <v>#REF!</v>
      </c>
      <c r="DH23"/>
      <c r="DI23" s="111">
        <f>SUM(BU23+CQ23+BY23)</f>
        <v>7035.19</v>
      </c>
      <c r="DJ23" s="111">
        <f>SUM(CA23+CH23)</f>
        <v>3757.34</v>
      </c>
    </row>
    <row r="24" spans="2:114" s="120" customFormat="1" x14ac:dyDescent="0.25">
      <c r="B24" s="72">
        <v>44319</v>
      </c>
      <c r="C24" s="323">
        <v>42907750</v>
      </c>
      <c r="D24" s="324"/>
      <c r="E24" s="36">
        <f t="shared" si="39"/>
        <v>323450</v>
      </c>
      <c r="F24" s="323">
        <v>5167405</v>
      </c>
      <c r="G24" s="324"/>
      <c r="H24" s="36">
        <f t="shared" si="40"/>
        <v>91680</v>
      </c>
      <c r="I24" s="323">
        <v>17504</v>
      </c>
      <c r="J24" s="324"/>
      <c r="K24" s="36">
        <f t="shared" si="27"/>
        <v>30</v>
      </c>
      <c r="L24" s="323">
        <v>310436</v>
      </c>
      <c r="M24" s="324"/>
      <c r="N24" s="36">
        <f t="shared" si="13"/>
        <v>238000</v>
      </c>
      <c r="O24" s="323">
        <v>10072</v>
      </c>
      <c r="P24" s="324"/>
      <c r="Q24" s="36">
        <f t="shared" si="14"/>
        <v>7600</v>
      </c>
      <c r="R24" s="37"/>
      <c r="S24" s="323">
        <v>730348</v>
      </c>
      <c r="T24" s="324"/>
      <c r="U24" s="36">
        <f t="shared" si="15"/>
        <v>59800</v>
      </c>
      <c r="V24" s="323">
        <v>631010</v>
      </c>
      <c r="W24" s="324"/>
      <c r="X24" s="36">
        <f t="shared" si="16"/>
        <v>76000</v>
      </c>
      <c r="Y24" s="41">
        <f t="shared" si="17"/>
        <v>135800</v>
      </c>
      <c r="Z24" s="38"/>
      <c r="AA24" s="188">
        <v>16875</v>
      </c>
      <c r="AB24" s="195">
        <v>710000</v>
      </c>
      <c r="AC24" s="188">
        <v>453208700</v>
      </c>
      <c r="AD24" s="195">
        <v>170588.1</v>
      </c>
      <c r="AE24" s="188">
        <v>107979</v>
      </c>
      <c r="AF24" s="195">
        <v>900</v>
      </c>
      <c r="AG24" s="188">
        <v>3379220</v>
      </c>
      <c r="AH24" s="195">
        <v>46080</v>
      </c>
      <c r="AI24" s="188">
        <v>4186720</v>
      </c>
      <c r="AJ24" s="195">
        <v>1495</v>
      </c>
      <c r="AK24" s="188">
        <v>20891</v>
      </c>
      <c r="AL24" s="195">
        <v>27000</v>
      </c>
      <c r="AM24" s="188">
        <v>881</v>
      </c>
      <c r="AN24" s="195">
        <v>2</v>
      </c>
      <c r="AO24" s="188">
        <v>12215</v>
      </c>
      <c r="AP24" s="195">
        <v>500</v>
      </c>
      <c r="AQ24" s="40"/>
      <c r="AR24" s="119">
        <f t="shared" si="0"/>
        <v>44319</v>
      </c>
      <c r="AS24" s="188">
        <v>760</v>
      </c>
      <c r="AT24" s="195">
        <v>23</v>
      </c>
      <c r="AU24" s="196"/>
      <c r="AV24" s="188">
        <v>354460</v>
      </c>
      <c r="AW24" s="195">
        <v>14337</v>
      </c>
      <c r="AX24" s="188">
        <v>512805661</v>
      </c>
      <c r="AY24" s="195">
        <v>11195</v>
      </c>
      <c r="AZ24" s="195">
        <v>3142.21</v>
      </c>
      <c r="BA24" s="188">
        <v>7017700</v>
      </c>
      <c r="BB24" s="197">
        <v>100</v>
      </c>
      <c r="BC24" s="189">
        <v>3759100</v>
      </c>
      <c r="BD24" s="198">
        <v>100</v>
      </c>
      <c r="BE24" s="188">
        <v>1019435</v>
      </c>
      <c r="BF24" s="195">
        <v>6823</v>
      </c>
      <c r="BI24" s="45">
        <f t="shared" si="1"/>
        <v>42907750</v>
      </c>
      <c r="BL24" s="121"/>
      <c r="BM24" s="121"/>
      <c r="BN24" s="45">
        <f t="shared" si="2"/>
        <v>5167405</v>
      </c>
      <c r="BR24" s="45">
        <f t="shared" si="3"/>
        <v>730348</v>
      </c>
      <c r="BU24" s="96"/>
      <c r="BV24" s="45">
        <f t="shared" si="4"/>
        <v>631010</v>
      </c>
      <c r="BW24" s="97"/>
      <c r="BX24" s="98"/>
      <c r="BY24" s="96"/>
      <c r="BZ24" s="98"/>
      <c r="CA24" s="96"/>
      <c r="CB24" s="40"/>
      <c r="CC24" s="45">
        <f t="shared" si="5"/>
        <v>7017700</v>
      </c>
      <c r="CF24" s="121"/>
      <c r="CG24" s="121"/>
      <c r="CH24" s="121"/>
      <c r="CI24" s="45">
        <f t="shared" si="6"/>
        <v>354460</v>
      </c>
      <c r="CL24" s="121"/>
      <c r="CM24" s="122"/>
      <c r="CN24" s="45">
        <f t="shared" si="7"/>
        <v>760</v>
      </c>
      <c r="CP24" s="123"/>
      <c r="CQ24" s="100"/>
      <c r="CR24" s="45">
        <f t="shared" si="8"/>
        <v>3759100</v>
      </c>
      <c r="CU24" s="121"/>
      <c r="CV24" s="122"/>
      <c r="CW24" s="45">
        <f t="shared" si="9"/>
        <v>1019435</v>
      </c>
      <c r="CZ24" s="121"/>
      <c r="DD24" s="124"/>
      <c r="DE24" s="124"/>
      <c r="DF24" s="124"/>
      <c r="DG24" s="124"/>
      <c r="DH24" s="125"/>
      <c r="DI24" s="126"/>
      <c r="DJ24" s="126"/>
    </row>
    <row r="25" spans="2:114" s="120" customFormat="1" x14ac:dyDescent="0.25">
      <c r="B25" s="72">
        <v>44326</v>
      </c>
      <c r="C25" s="323">
        <v>43056254</v>
      </c>
      <c r="D25" s="324"/>
      <c r="E25" s="36">
        <f t="shared" ref="E25:E28" si="42">SUM(C25-C24)*10</f>
        <v>1485040</v>
      </c>
      <c r="F25" s="323">
        <v>5177230</v>
      </c>
      <c r="G25" s="324"/>
      <c r="H25" s="36">
        <f t="shared" ref="H25:H28" si="43">SUM(F25-F24)*10</f>
        <v>98250</v>
      </c>
      <c r="I25" s="323">
        <v>17522</v>
      </c>
      <c r="J25" s="324"/>
      <c r="K25" s="36">
        <f t="shared" si="27"/>
        <v>180</v>
      </c>
      <c r="L25" s="323">
        <v>311482</v>
      </c>
      <c r="M25" s="324"/>
      <c r="N25" s="36">
        <f t="shared" si="13"/>
        <v>1046000</v>
      </c>
      <c r="O25" s="323">
        <v>10357</v>
      </c>
      <c r="P25" s="324"/>
      <c r="Q25" s="36">
        <f t="shared" si="14"/>
        <v>28500</v>
      </c>
      <c r="R25" s="37"/>
      <c r="S25" s="323">
        <v>732562</v>
      </c>
      <c r="T25" s="324"/>
      <c r="U25" s="36">
        <f t="shared" si="15"/>
        <v>221400</v>
      </c>
      <c r="V25" s="323">
        <v>635165</v>
      </c>
      <c r="W25" s="324"/>
      <c r="X25" s="36">
        <f t="shared" si="16"/>
        <v>415500</v>
      </c>
      <c r="Y25" s="41">
        <f t="shared" si="17"/>
        <v>636900</v>
      </c>
      <c r="Z25" s="38"/>
      <c r="AA25" s="188">
        <v>17160</v>
      </c>
      <c r="AB25" s="195">
        <v>2850000</v>
      </c>
      <c r="AC25" s="188">
        <v>460398100</v>
      </c>
      <c r="AD25" s="195">
        <v>718940</v>
      </c>
      <c r="AE25" s="188">
        <v>108453</v>
      </c>
      <c r="AF25" s="195">
        <v>4740</v>
      </c>
      <c r="AG25" s="188">
        <v>3393353</v>
      </c>
      <c r="AH25" s="195">
        <v>141330</v>
      </c>
      <c r="AI25" s="188">
        <v>4206305</v>
      </c>
      <c r="AJ25" s="195">
        <v>19585</v>
      </c>
      <c r="AK25" s="188">
        <v>20961</v>
      </c>
      <c r="AL25" s="195">
        <v>70000</v>
      </c>
      <c r="AM25" s="188">
        <v>894</v>
      </c>
      <c r="AN25" s="195">
        <v>13</v>
      </c>
      <c r="AO25" s="188">
        <v>12279</v>
      </c>
      <c r="AP25" s="195">
        <v>6400</v>
      </c>
      <c r="AQ25" s="40"/>
      <c r="AR25" s="119">
        <f t="shared" si="0"/>
        <v>44326</v>
      </c>
      <c r="AS25" s="188">
        <v>851</v>
      </c>
      <c r="AT25" s="195">
        <v>91</v>
      </c>
      <c r="AU25" s="196"/>
      <c r="AV25" s="188">
        <v>410879</v>
      </c>
      <c r="AW25" s="195">
        <v>56419</v>
      </c>
      <c r="AX25" s="188">
        <v>517296844</v>
      </c>
      <c r="AY25" s="195">
        <v>44912</v>
      </c>
      <c r="AZ25" s="195">
        <v>11507.17</v>
      </c>
      <c r="BA25" s="188">
        <v>7020900</v>
      </c>
      <c r="BB25" s="197">
        <v>3200</v>
      </c>
      <c r="BC25" s="189">
        <v>3759300</v>
      </c>
      <c r="BD25" s="198">
        <v>200</v>
      </c>
      <c r="BE25" s="188">
        <v>1061473</v>
      </c>
      <c r="BF25" s="195">
        <v>42038</v>
      </c>
      <c r="BI25" s="45">
        <f t="shared" si="1"/>
        <v>43056254</v>
      </c>
      <c r="BL25" s="121"/>
      <c r="BM25" s="121"/>
      <c r="BN25" s="45">
        <f t="shared" si="2"/>
        <v>5177230</v>
      </c>
      <c r="BR25" s="45">
        <f t="shared" si="3"/>
        <v>732562</v>
      </c>
      <c r="BU25" s="96"/>
      <c r="BV25" s="45">
        <f t="shared" si="4"/>
        <v>635165</v>
      </c>
      <c r="BW25" s="97"/>
      <c r="BX25" s="98"/>
      <c r="BY25" s="96"/>
      <c r="BZ25" s="98"/>
      <c r="CA25" s="96"/>
      <c r="CB25" s="40"/>
      <c r="CC25" s="45">
        <f t="shared" si="5"/>
        <v>7020900</v>
      </c>
      <c r="CF25" s="121"/>
      <c r="CG25" s="121"/>
      <c r="CH25" s="121"/>
      <c r="CI25" s="45">
        <f t="shared" si="6"/>
        <v>410879</v>
      </c>
      <c r="CL25" s="121"/>
      <c r="CM25" s="122"/>
      <c r="CN25" s="45">
        <f t="shared" si="7"/>
        <v>851</v>
      </c>
      <c r="CP25" s="123"/>
      <c r="CQ25" s="100"/>
      <c r="CR25" s="45">
        <f t="shared" si="8"/>
        <v>3759300</v>
      </c>
      <c r="CU25" s="121"/>
      <c r="CV25" s="122"/>
      <c r="CW25" s="45">
        <f t="shared" si="9"/>
        <v>1061473</v>
      </c>
      <c r="CZ25" s="121"/>
      <c r="DD25" s="124"/>
      <c r="DE25" s="124"/>
      <c r="DF25" s="124"/>
      <c r="DG25" s="124"/>
      <c r="DH25" s="125"/>
      <c r="DI25" s="126"/>
      <c r="DJ25" s="126"/>
    </row>
    <row r="26" spans="2:114" s="120" customFormat="1" x14ac:dyDescent="0.25">
      <c r="B26" s="72">
        <v>44333</v>
      </c>
      <c r="C26" s="323">
        <v>43185205</v>
      </c>
      <c r="D26" s="324"/>
      <c r="E26" s="36">
        <f t="shared" si="42"/>
        <v>1289510</v>
      </c>
      <c r="F26" s="323">
        <v>5189472</v>
      </c>
      <c r="G26" s="324"/>
      <c r="H26" s="36">
        <f t="shared" si="43"/>
        <v>122420</v>
      </c>
      <c r="I26" s="323">
        <v>17540</v>
      </c>
      <c r="J26" s="324"/>
      <c r="K26" s="36">
        <f t="shared" si="27"/>
        <v>180</v>
      </c>
      <c r="L26" s="323">
        <v>312388</v>
      </c>
      <c r="M26" s="324"/>
      <c r="N26" s="36">
        <f t="shared" si="13"/>
        <v>906000</v>
      </c>
      <c r="O26" s="323">
        <v>10631</v>
      </c>
      <c r="P26" s="324"/>
      <c r="Q26" s="36">
        <f t="shared" si="14"/>
        <v>27400</v>
      </c>
      <c r="R26" s="37"/>
      <c r="S26" s="323">
        <v>734602</v>
      </c>
      <c r="T26" s="324"/>
      <c r="U26" s="36">
        <f t="shared" si="15"/>
        <v>204000</v>
      </c>
      <c r="V26" s="323">
        <v>641340</v>
      </c>
      <c r="W26" s="324"/>
      <c r="X26" s="36">
        <f t="shared" ref="X26" si="44">SUM(V26-V25)*100</f>
        <v>617500</v>
      </c>
      <c r="Y26" s="41">
        <f t="shared" ref="Y26" si="45">SUM(U26+X26)</f>
        <v>821500</v>
      </c>
      <c r="Z26" s="38"/>
      <c r="AA26" s="188">
        <v>17389</v>
      </c>
      <c r="AB26" s="195">
        <v>2290000</v>
      </c>
      <c r="AC26" s="188">
        <v>466287200</v>
      </c>
      <c r="AD26" s="195">
        <v>588910</v>
      </c>
      <c r="AE26" s="188">
        <v>108722</v>
      </c>
      <c r="AF26" s="195">
        <v>2690</v>
      </c>
      <c r="AG26" s="188">
        <v>3407035</v>
      </c>
      <c r="AH26" s="195">
        <v>136820</v>
      </c>
      <c r="AI26" s="188">
        <v>4216219</v>
      </c>
      <c r="AJ26" s="195">
        <v>9914</v>
      </c>
      <c r="AK26" s="188">
        <v>21265</v>
      </c>
      <c r="AL26" s="195">
        <v>304000</v>
      </c>
      <c r="AM26" s="188">
        <v>918</v>
      </c>
      <c r="AN26" s="195">
        <v>24</v>
      </c>
      <c r="AO26" s="188">
        <v>12345</v>
      </c>
      <c r="AP26" s="195">
        <v>6600</v>
      </c>
      <c r="AQ26" s="40"/>
      <c r="AR26" s="119">
        <f t="shared" si="0"/>
        <v>44333</v>
      </c>
      <c r="AS26" s="188">
        <v>930</v>
      </c>
      <c r="AT26" s="195">
        <v>79</v>
      </c>
      <c r="AU26" s="196"/>
      <c r="AV26" s="188">
        <v>450904</v>
      </c>
      <c r="AW26" s="195">
        <v>40025</v>
      </c>
      <c r="AX26" s="188">
        <v>520691018</v>
      </c>
      <c r="AY26" s="195">
        <v>33942</v>
      </c>
      <c r="AZ26" s="195">
        <v>6083.26</v>
      </c>
      <c r="BA26" s="188">
        <v>7023200</v>
      </c>
      <c r="BB26" s="197">
        <v>2300</v>
      </c>
      <c r="BC26" s="189">
        <v>3759600</v>
      </c>
      <c r="BD26" s="198">
        <v>300</v>
      </c>
      <c r="BE26" s="188">
        <v>1088051</v>
      </c>
      <c r="BF26" s="195">
        <v>26578</v>
      </c>
      <c r="BI26" s="45">
        <f t="shared" si="1"/>
        <v>43185205</v>
      </c>
      <c r="BL26" s="121"/>
      <c r="BM26" s="121"/>
      <c r="BN26" s="45">
        <f t="shared" si="2"/>
        <v>5189472</v>
      </c>
      <c r="BR26" s="45">
        <f t="shared" si="3"/>
        <v>734602</v>
      </c>
      <c r="BU26" s="96"/>
      <c r="BV26" s="45">
        <f t="shared" si="4"/>
        <v>641340</v>
      </c>
      <c r="BW26" s="97"/>
      <c r="BX26" s="98"/>
      <c r="BY26" s="96"/>
      <c r="BZ26" s="98"/>
      <c r="CA26" s="96"/>
      <c r="CB26" s="40"/>
      <c r="CC26" s="45">
        <f t="shared" si="5"/>
        <v>7023200</v>
      </c>
      <c r="CF26" s="121"/>
      <c r="CG26" s="121"/>
      <c r="CH26" s="121"/>
      <c r="CI26" s="45">
        <f t="shared" si="6"/>
        <v>450904</v>
      </c>
      <c r="CL26" s="121"/>
      <c r="CM26" s="122"/>
      <c r="CN26" s="45">
        <f t="shared" si="7"/>
        <v>930</v>
      </c>
      <c r="CP26" s="123"/>
      <c r="CQ26" s="100"/>
      <c r="CR26" s="45">
        <f t="shared" si="8"/>
        <v>3759600</v>
      </c>
      <c r="CU26" s="121"/>
      <c r="CV26" s="122"/>
      <c r="CW26" s="45">
        <f t="shared" si="9"/>
        <v>1088051</v>
      </c>
      <c r="CZ26" s="121"/>
      <c r="DD26" s="124"/>
      <c r="DE26" s="124"/>
      <c r="DF26" s="124"/>
      <c r="DG26" s="124"/>
      <c r="DH26" s="125"/>
      <c r="DI26" s="126"/>
      <c r="DJ26" s="126"/>
    </row>
    <row r="27" spans="2:114" s="120" customFormat="1" x14ac:dyDescent="0.25">
      <c r="B27" s="72">
        <v>44340</v>
      </c>
      <c r="C27" s="323">
        <v>43325547</v>
      </c>
      <c r="D27" s="324"/>
      <c r="E27" s="36">
        <f t="shared" si="42"/>
        <v>1403420</v>
      </c>
      <c r="F27" s="323">
        <v>5210730</v>
      </c>
      <c r="G27" s="324"/>
      <c r="H27" s="36">
        <f t="shared" si="43"/>
        <v>212580</v>
      </c>
      <c r="I27" s="323">
        <v>17558</v>
      </c>
      <c r="J27" s="324"/>
      <c r="K27" s="36">
        <f t="shared" si="27"/>
        <v>180</v>
      </c>
      <c r="L27" s="323">
        <v>313370</v>
      </c>
      <c r="M27" s="324"/>
      <c r="N27" s="36">
        <f t="shared" si="13"/>
        <v>982000</v>
      </c>
      <c r="O27" s="323">
        <v>10932</v>
      </c>
      <c r="P27" s="324"/>
      <c r="Q27" s="36">
        <f t="shared" si="14"/>
        <v>30100</v>
      </c>
      <c r="R27" s="37"/>
      <c r="S27" s="323">
        <v>736863</v>
      </c>
      <c r="T27" s="324"/>
      <c r="U27" s="36">
        <f t="shared" si="15"/>
        <v>226100</v>
      </c>
      <c r="V27" s="323">
        <v>649510</v>
      </c>
      <c r="W27" s="324"/>
      <c r="X27" s="36">
        <f t="shared" ref="X27:X45" si="46">SUM(V27-V26)*100</f>
        <v>817000</v>
      </c>
      <c r="Y27" s="41">
        <f t="shared" ref="Y27:Y44" si="47">SUM(U27+X27)</f>
        <v>1043100</v>
      </c>
      <c r="Z27" s="38"/>
      <c r="AA27" s="188">
        <v>17633</v>
      </c>
      <c r="AB27" s="195">
        <v>2440000</v>
      </c>
      <c r="AC27" s="188">
        <v>472728500</v>
      </c>
      <c r="AD27" s="195">
        <v>644130</v>
      </c>
      <c r="AE27" s="188">
        <v>108826</v>
      </c>
      <c r="AF27" s="195">
        <v>1040</v>
      </c>
      <c r="AG27" s="188">
        <v>3421966</v>
      </c>
      <c r="AH27" s="195">
        <v>149310</v>
      </c>
      <c r="AI27" s="188">
        <v>4226465</v>
      </c>
      <c r="AJ27" s="195">
        <v>10246</v>
      </c>
      <c r="AK27" s="188">
        <v>21447</v>
      </c>
      <c r="AL27" s="195">
        <v>182000</v>
      </c>
      <c r="AM27" s="188">
        <v>960</v>
      </c>
      <c r="AN27" s="195">
        <v>42</v>
      </c>
      <c r="AO27" s="188">
        <v>12359</v>
      </c>
      <c r="AP27" s="195">
        <v>1400</v>
      </c>
      <c r="AQ27" s="40"/>
      <c r="AR27" s="119">
        <f t="shared" si="0"/>
        <v>44340</v>
      </c>
      <c r="AS27" s="188">
        <v>1009</v>
      </c>
      <c r="AT27" s="195">
        <v>79</v>
      </c>
      <c r="AU27" s="196"/>
      <c r="AV27" s="188">
        <v>499527</v>
      </c>
      <c r="AW27" s="195">
        <v>48623</v>
      </c>
      <c r="AX27" s="188">
        <v>524627075</v>
      </c>
      <c r="AY27" s="195">
        <v>39361</v>
      </c>
      <c r="AZ27" s="195">
        <v>9262.43</v>
      </c>
      <c r="BA27" s="188">
        <v>7028600</v>
      </c>
      <c r="BB27" s="197">
        <v>5400</v>
      </c>
      <c r="BC27" s="189">
        <v>3759900</v>
      </c>
      <c r="BD27" s="198">
        <v>300</v>
      </c>
      <c r="BE27" s="188">
        <v>1125135</v>
      </c>
      <c r="BF27" s="195">
        <v>37084</v>
      </c>
      <c r="BI27" s="45">
        <f t="shared" si="1"/>
        <v>43325547</v>
      </c>
      <c r="BL27" s="121"/>
      <c r="BM27" s="121"/>
      <c r="BN27" s="45">
        <f t="shared" si="2"/>
        <v>5210730</v>
      </c>
      <c r="BR27" s="45">
        <f t="shared" si="3"/>
        <v>736863</v>
      </c>
      <c r="BU27" s="96"/>
      <c r="BV27" s="45">
        <f t="shared" si="4"/>
        <v>649510</v>
      </c>
      <c r="BW27" s="97"/>
      <c r="BX27" s="98"/>
      <c r="BY27" s="96"/>
      <c r="BZ27" s="98"/>
      <c r="CA27" s="96"/>
      <c r="CB27" s="40"/>
      <c r="CC27" s="45">
        <f t="shared" si="5"/>
        <v>7028600</v>
      </c>
      <c r="CF27" s="121"/>
      <c r="CG27" s="121"/>
      <c r="CH27" s="121"/>
      <c r="CI27" s="45">
        <f t="shared" si="6"/>
        <v>499527</v>
      </c>
      <c r="CL27" s="121"/>
      <c r="CM27" s="122"/>
      <c r="CN27" s="45">
        <f t="shared" si="7"/>
        <v>1009</v>
      </c>
      <c r="CP27" s="123"/>
      <c r="CQ27" s="100"/>
      <c r="CR27" s="45">
        <f t="shared" si="8"/>
        <v>3759900</v>
      </c>
      <c r="CU27" s="121"/>
      <c r="CV27" s="122"/>
      <c r="CW27" s="45">
        <f t="shared" si="9"/>
        <v>1125135</v>
      </c>
      <c r="CZ27" s="121"/>
      <c r="DD27" s="124"/>
      <c r="DE27" s="124"/>
      <c r="DF27" s="124"/>
      <c r="DG27" s="124"/>
      <c r="DH27" s="125"/>
      <c r="DI27" s="126"/>
      <c r="DJ27" s="126"/>
    </row>
    <row r="28" spans="2:114" s="120" customFormat="1" x14ac:dyDescent="0.25">
      <c r="B28" s="72">
        <v>44348</v>
      </c>
      <c r="C28" s="323">
        <v>43453174</v>
      </c>
      <c r="D28" s="324"/>
      <c r="E28" s="36">
        <f t="shared" si="42"/>
        <v>1276270</v>
      </c>
      <c r="F28" s="323">
        <v>5237077</v>
      </c>
      <c r="G28" s="324"/>
      <c r="H28" s="36">
        <f t="shared" si="43"/>
        <v>263470</v>
      </c>
      <c r="I28" s="323">
        <v>17576</v>
      </c>
      <c r="J28" s="324"/>
      <c r="K28" s="36">
        <f t="shared" si="27"/>
        <v>180</v>
      </c>
      <c r="L28" s="323">
        <v>314282</v>
      </c>
      <c r="M28" s="324"/>
      <c r="N28" s="36">
        <f t="shared" si="13"/>
        <v>912000</v>
      </c>
      <c r="O28" s="323">
        <v>11219</v>
      </c>
      <c r="P28" s="324"/>
      <c r="Q28" s="36">
        <f t="shared" ref="Q28" si="48">SUM(O28-O27)*100</f>
        <v>28700</v>
      </c>
      <c r="R28" s="37"/>
      <c r="S28" s="323">
        <v>738933</v>
      </c>
      <c r="T28" s="324"/>
      <c r="U28" s="36">
        <f t="shared" ref="U28" si="49">SUM(S28-S27)*100</f>
        <v>207000</v>
      </c>
      <c r="V28" s="323">
        <v>653320</v>
      </c>
      <c r="W28" s="324"/>
      <c r="X28" s="36">
        <f t="shared" si="46"/>
        <v>381000</v>
      </c>
      <c r="Y28" s="41">
        <f t="shared" si="47"/>
        <v>588000</v>
      </c>
      <c r="Z28" s="38"/>
      <c r="AA28" s="188">
        <v>17889</v>
      </c>
      <c r="AB28" s="195">
        <v>2560000</v>
      </c>
      <c r="AC28" s="188">
        <v>479394400</v>
      </c>
      <c r="AD28" s="195">
        <v>666590</v>
      </c>
      <c r="AE28" s="188">
        <v>114240</v>
      </c>
      <c r="AF28" s="195">
        <v>54140</v>
      </c>
      <c r="AG28" s="188">
        <v>3437410</v>
      </c>
      <c r="AH28" s="195">
        <v>154440</v>
      </c>
      <c r="AI28" s="188">
        <v>4236912</v>
      </c>
      <c r="AJ28" s="195">
        <v>10447</v>
      </c>
      <c r="AK28" s="188">
        <v>21551</v>
      </c>
      <c r="AL28" s="195">
        <v>104000</v>
      </c>
      <c r="AM28" s="188">
        <v>998</v>
      </c>
      <c r="AN28" s="195">
        <v>38</v>
      </c>
      <c r="AO28" s="188">
        <v>12398</v>
      </c>
      <c r="AP28" s="195">
        <v>3900</v>
      </c>
      <c r="AQ28" s="40"/>
      <c r="AR28" s="119">
        <f t="shared" si="0"/>
        <v>44348</v>
      </c>
      <c r="AS28" s="188">
        <v>1101</v>
      </c>
      <c r="AT28" s="195">
        <v>92</v>
      </c>
      <c r="AU28" s="196"/>
      <c r="AV28" s="188">
        <v>552204</v>
      </c>
      <c r="AW28" s="195">
        <v>52677</v>
      </c>
      <c r="AX28" s="188">
        <v>528555411</v>
      </c>
      <c r="AY28" s="195">
        <v>39283</v>
      </c>
      <c r="AZ28" s="195">
        <v>13393.64</v>
      </c>
      <c r="BA28" s="188">
        <v>7030900</v>
      </c>
      <c r="BB28" s="197">
        <v>2300</v>
      </c>
      <c r="BC28" s="189">
        <v>3760300</v>
      </c>
      <c r="BD28" s="198">
        <v>400</v>
      </c>
      <c r="BE28" s="188">
        <v>1131788</v>
      </c>
      <c r="BF28" s="195">
        <v>6653</v>
      </c>
      <c r="BI28" s="45">
        <f t="shared" si="1"/>
        <v>43453174</v>
      </c>
      <c r="BJ28" s="20">
        <v>383687</v>
      </c>
      <c r="BK28" s="19">
        <f>SUM(BJ28-BJ23)</f>
        <v>2757</v>
      </c>
      <c r="BL28" s="74">
        <f>SUM(BK28*1.1251)+2076.11</f>
        <v>5178.0107000000007</v>
      </c>
      <c r="BM28" s="92">
        <v>8843.74</v>
      </c>
      <c r="BN28" s="45">
        <f t="shared" si="2"/>
        <v>5237077</v>
      </c>
      <c r="BO28" s="20">
        <v>44785</v>
      </c>
      <c r="BP28" s="19">
        <f>SUM(BO28-BO23)</f>
        <v>987</v>
      </c>
      <c r="BQ28" s="74">
        <f>SUM(BP28*0.8868)+1712.96</f>
        <v>2588.2316000000001</v>
      </c>
      <c r="BR28" s="45">
        <f t="shared" si="3"/>
        <v>738933</v>
      </c>
      <c r="BS28" s="20">
        <v>642156</v>
      </c>
      <c r="BT28" s="20">
        <v>12327.08</v>
      </c>
      <c r="BU28" s="105">
        <v>10060.66</v>
      </c>
      <c r="BV28" s="45">
        <f t="shared" si="4"/>
        <v>653320</v>
      </c>
      <c r="BW28" s="106">
        <v>23580</v>
      </c>
      <c r="BX28" s="46">
        <v>18.149999999999999</v>
      </c>
      <c r="BY28" s="105">
        <v>14.85</v>
      </c>
      <c r="BZ28" s="117">
        <f t="shared" ref="BZ28" si="50">SUM(BT28+BX28)</f>
        <v>12345.23</v>
      </c>
      <c r="CA28" s="105">
        <v>1197.8699999999999</v>
      </c>
      <c r="CB28" s="40"/>
      <c r="CC28" s="45">
        <f t="shared" si="5"/>
        <v>7030900</v>
      </c>
      <c r="CD28" s="128">
        <v>6867</v>
      </c>
      <c r="CE28" s="88">
        <f>SUM(CD28-CD23)</f>
        <v>15</v>
      </c>
      <c r="CF28" s="74">
        <f>SUM(CE28*1.1251)+129.67</f>
        <v>146.54649999999998</v>
      </c>
      <c r="CG28" s="92">
        <v>94.35</v>
      </c>
      <c r="CH28" s="92">
        <v>0</v>
      </c>
      <c r="CI28" s="45">
        <f t="shared" si="6"/>
        <v>552204</v>
      </c>
      <c r="CJ28" s="20">
        <v>16978</v>
      </c>
      <c r="CK28" s="19">
        <f>SUM(CJ28-CJ23)</f>
        <v>379</v>
      </c>
      <c r="CL28" s="74">
        <f>SUM(CK28*1.1251+207.57)</f>
        <v>633.98289999999997</v>
      </c>
      <c r="CM28" s="109">
        <v>257.89</v>
      </c>
      <c r="CN28" s="45">
        <f t="shared" si="7"/>
        <v>1101</v>
      </c>
      <c r="CO28" s="20">
        <v>6466</v>
      </c>
      <c r="CP28" s="25">
        <v>547.14</v>
      </c>
      <c r="CQ28" s="108">
        <v>447.53</v>
      </c>
      <c r="CR28" s="45">
        <f t="shared" si="8"/>
        <v>3760300</v>
      </c>
      <c r="CS28" s="20">
        <v>3725</v>
      </c>
      <c r="CT28" s="19">
        <f>SUM(CS28-CS23)</f>
        <v>2</v>
      </c>
      <c r="CU28" s="74">
        <f>SUM(CT28*1.1251)+207.57</f>
        <v>209.8202</v>
      </c>
      <c r="CV28" s="122"/>
      <c r="CW28" s="45">
        <f t="shared" si="9"/>
        <v>1131788</v>
      </c>
      <c r="CX28" s="20">
        <v>402623</v>
      </c>
      <c r="CY28" s="19">
        <f>SUM(CX28-CX23)</f>
        <v>16238</v>
      </c>
      <c r="CZ28" s="74">
        <f>SUM(CY28*0.8868)+1070.52</f>
        <v>15470.378400000001</v>
      </c>
      <c r="DC28" s="20">
        <f>SUM(E3023,E28)</f>
        <v>1276270</v>
      </c>
      <c r="DD28" s="92" t="e">
        <f>SUM(BL28+CF28+CL28+#REF!+CU28)</f>
        <v>#REF!</v>
      </c>
      <c r="DE28" s="92">
        <f>SUM(BQ28+CZ28)</f>
        <v>18058.61</v>
      </c>
      <c r="DF28" s="92">
        <f>SUM(BM28+CG28+CV28)</f>
        <v>8938.09</v>
      </c>
      <c r="DG28" s="92" t="e">
        <f>SUM(DD28:DF28)</f>
        <v>#REF!</v>
      </c>
      <c r="DH28"/>
      <c r="DI28" s="111">
        <f>SUM(BU28+CQ28+BY28)</f>
        <v>10523.04</v>
      </c>
      <c r="DJ28" s="111">
        <f>SUM(CA28+CH28)</f>
        <v>1197.8699999999999</v>
      </c>
    </row>
    <row r="29" spans="2:114" s="120" customFormat="1" x14ac:dyDescent="0.25">
      <c r="B29" s="72">
        <v>44354</v>
      </c>
      <c r="C29" s="323">
        <v>43589715</v>
      </c>
      <c r="D29" s="324"/>
      <c r="E29" s="36">
        <f t="shared" ref="E29" si="51">SUM(C29-C28)*10</f>
        <v>1365410</v>
      </c>
      <c r="F29" s="323">
        <v>5260868</v>
      </c>
      <c r="G29" s="324"/>
      <c r="H29" s="36">
        <f t="shared" ref="H29" si="52">SUM(F29-F28)*10</f>
        <v>237910</v>
      </c>
      <c r="I29" s="323">
        <v>17598</v>
      </c>
      <c r="J29" s="324"/>
      <c r="K29" s="36">
        <f t="shared" si="27"/>
        <v>220</v>
      </c>
      <c r="L29" s="323">
        <v>315320</v>
      </c>
      <c r="M29" s="324"/>
      <c r="N29" s="36">
        <f t="shared" si="13"/>
        <v>1038000</v>
      </c>
      <c r="O29" s="323">
        <v>11509</v>
      </c>
      <c r="P29" s="324"/>
      <c r="Q29" s="36">
        <f t="shared" ref="Q29:Q51" si="53">SUM(O29-O28)*100</f>
        <v>29000</v>
      </c>
      <c r="R29" s="37"/>
      <c r="S29" s="323">
        <v>740950</v>
      </c>
      <c r="T29" s="324"/>
      <c r="U29" s="36">
        <f t="shared" ref="U29:U51" si="54">SUM(S29-S28)*100</f>
        <v>201700</v>
      </c>
      <c r="V29" s="323">
        <v>656020</v>
      </c>
      <c r="W29" s="324"/>
      <c r="X29" s="36">
        <f t="shared" si="46"/>
        <v>270000</v>
      </c>
      <c r="Y29" s="41">
        <f t="shared" si="47"/>
        <v>471700</v>
      </c>
      <c r="Z29" s="38"/>
      <c r="AA29" s="188">
        <v>18173</v>
      </c>
      <c r="AB29" s="195">
        <v>2840000</v>
      </c>
      <c r="AC29" s="188">
        <v>487122400</v>
      </c>
      <c r="AD29" s="195">
        <v>772800</v>
      </c>
      <c r="AE29" s="188">
        <v>111625</v>
      </c>
      <c r="AF29" s="195">
        <v>2010</v>
      </c>
      <c r="AG29" s="188">
        <v>3450785</v>
      </c>
      <c r="AH29" s="195">
        <v>133750</v>
      </c>
      <c r="AI29" s="188">
        <v>4246989</v>
      </c>
      <c r="AJ29" s="195">
        <v>10077</v>
      </c>
      <c r="AK29" s="188">
        <v>21628</v>
      </c>
      <c r="AL29" s="195">
        <v>77000</v>
      </c>
      <c r="AM29" s="188">
        <v>1026</v>
      </c>
      <c r="AN29" s="195">
        <v>28</v>
      </c>
      <c r="AO29" s="188">
        <v>12440</v>
      </c>
      <c r="AP29" s="195">
        <v>4200</v>
      </c>
      <c r="AQ29" s="40"/>
      <c r="AR29" s="119">
        <f t="shared" si="0"/>
        <v>44354</v>
      </c>
      <c r="AS29" s="188">
        <v>1218</v>
      </c>
      <c r="AT29" s="195">
        <v>117</v>
      </c>
      <c r="AU29" s="196"/>
      <c r="AV29" s="188">
        <v>602975</v>
      </c>
      <c r="AW29" s="195">
        <v>50771</v>
      </c>
      <c r="AX29" s="188">
        <v>532527881</v>
      </c>
      <c r="AY29" s="195">
        <v>39725</v>
      </c>
      <c r="AZ29" s="195">
        <v>11046.3</v>
      </c>
      <c r="BA29" s="188">
        <v>7032700</v>
      </c>
      <c r="BB29" s="197">
        <v>1800</v>
      </c>
      <c r="BC29" s="189">
        <v>3760600</v>
      </c>
      <c r="BD29" s="198">
        <v>300</v>
      </c>
      <c r="BE29" s="188">
        <v>1131879</v>
      </c>
      <c r="BF29" s="195">
        <v>91</v>
      </c>
      <c r="BI29" s="45">
        <f t="shared" si="1"/>
        <v>43589715</v>
      </c>
      <c r="BL29" s="121"/>
      <c r="BM29" s="121"/>
      <c r="BN29" s="45">
        <f t="shared" si="2"/>
        <v>5260868</v>
      </c>
      <c r="BR29" s="45">
        <f t="shared" si="3"/>
        <v>740950</v>
      </c>
      <c r="BU29" s="96"/>
      <c r="BV29" s="45">
        <f t="shared" si="4"/>
        <v>656020</v>
      </c>
      <c r="BW29" s="97"/>
      <c r="BX29" s="98"/>
      <c r="BY29" s="96"/>
      <c r="BZ29" s="98"/>
      <c r="CA29" s="96"/>
      <c r="CB29" s="40"/>
      <c r="CC29" s="45">
        <f t="shared" si="5"/>
        <v>7032700</v>
      </c>
      <c r="CF29" s="121"/>
      <c r="CG29" s="121"/>
      <c r="CH29" s="121"/>
      <c r="CI29" s="45">
        <f t="shared" si="6"/>
        <v>602975</v>
      </c>
      <c r="CL29" s="121"/>
      <c r="CM29" s="122"/>
      <c r="CN29" s="45">
        <f t="shared" si="7"/>
        <v>1218</v>
      </c>
      <c r="CP29" s="123"/>
      <c r="CQ29" s="100"/>
      <c r="CR29" s="45">
        <f t="shared" si="8"/>
        <v>3760600</v>
      </c>
      <c r="CU29" s="121"/>
      <c r="CV29" s="122"/>
      <c r="CW29" s="45">
        <f t="shared" si="9"/>
        <v>1131879</v>
      </c>
      <c r="CZ29" s="121"/>
      <c r="DD29" s="124"/>
      <c r="DE29" s="124"/>
      <c r="DF29" s="124"/>
      <c r="DG29" s="124"/>
      <c r="DH29" s="125"/>
      <c r="DI29" s="126"/>
      <c r="DJ29" s="126"/>
    </row>
    <row r="30" spans="2:114" s="120" customFormat="1" x14ac:dyDescent="0.25">
      <c r="B30" s="72">
        <v>44361</v>
      </c>
      <c r="C30" s="323">
        <v>43724992</v>
      </c>
      <c r="D30" s="324"/>
      <c r="E30" s="36">
        <f t="shared" ref="E30:E33" si="55">SUM(C30-C29)*10</f>
        <v>1352770</v>
      </c>
      <c r="F30" s="323">
        <v>5303547</v>
      </c>
      <c r="G30" s="324"/>
      <c r="H30" s="36">
        <f t="shared" ref="H30:H33" si="56">SUM(F30-F29)*10</f>
        <v>426790</v>
      </c>
      <c r="I30" s="323">
        <v>17653</v>
      </c>
      <c r="J30" s="324"/>
      <c r="K30" s="36">
        <f t="shared" si="27"/>
        <v>550</v>
      </c>
      <c r="L30" s="323">
        <v>316377</v>
      </c>
      <c r="M30" s="324"/>
      <c r="N30" s="36">
        <f t="shared" si="13"/>
        <v>1057000</v>
      </c>
      <c r="O30" s="323">
        <v>11784</v>
      </c>
      <c r="P30" s="324"/>
      <c r="Q30" s="36">
        <f t="shared" si="53"/>
        <v>27500</v>
      </c>
      <c r="R30" s="37"/>
      <c r="S30" s="323">
        <v>742948</v>
      </c>
      <c r="T30" s="324"/>
      <c r="U30" s="36">
        <f t="shared" si="54"/>
        <v>199800</v>
      </c>
      <c r="V30" s="323">
        <v>658610</v>
      </c>
      <c r="W30" s="324"/>
      <c r="X30" s="36">
        <f t="shared" si="46"/>
        <v>259000</v>
      </c>
      <c r="Y30" s="41">
        <f t="shared" si="47"/>
        <v>458800</v>
      </c>
      <c r="Z30" s="38"/>
      <c r="AA30" s="188">
        <v>18483</v>
      </c>
      <c r="AB30" s="195">
        <v>3100000</v>
      </c>
      <c r="AC30" s="188">
        <v>495086300</v>
      </c>
      <c r="AD30" s="195">
        <v>796390</v>
      </c>
      <c r="AE30" s="188">
        <v>111809</v>
      </c>
      <c r="AF30" s="195">
        <v>1840</v>
      </c>
      <c r="AG30" s="188">
        <v>3466359</v>
      </c>
      <c r="AH30" s="195">
        <v>155740</v>
      </c>
      <c r="AI30" s="188">
        <v>4254124</v>
      </c>
      <c r="AJ30" s="195">
        <v>7135</v>
      </c>
      <c r="AK30" s="188">
        <v>21682</v>
      </c>
      <c r="AL30" s="195">
        <v>54000</v>
      </c>
      <c r="AM30" s="188">
        <v>1036</v>
      </c>
      <c r="AN30" s="195">
        <v>10</v>
      </c>
      <c r="AO30" s="188">
        <v>12476</v>
      </c>
      <c r="AP30" s="195">
        <v>3600</v>
      </c>
      <c r="AQ30" s="40"/>
      <c r="AR30" s="119">
        <f t="shared" si="0"/>
        <v>44361</v>
      </c>
      <c r="AS30" s="188">
        <v>1319</v>
      </c>
      <c r="AT30" s="195">
        <v>101</v>
      </c>
      <c r="AU30" s="196"/>
      <c r="AV30" s="188">
        <v>652271</v>
      </c>
      <c r="AW30" s="195">
        <v>49296</v>
      </c>
      <c r="AX30" s="188">
        <v>536498642</v>
      </c>
      <c r="AY30" s="195">
        <v>39708</v>
      </c>
      <c r="AZ30" s="195">
        <v>9588.39</v>
      </c>
      <c r="BA30" s="188">
        <v>7034100</v>
      </c>
      <c r="BB30" s="197">
        <v>1400</v>
      </c>
      <c r="BC30" s="189">
        <v>3760900</v>
      </c>
      <c r="BD30" s="198">
        <v>300</v>
      </c>
      <c r="BE30" s="188">
        <v>1131977</v>
      </c>
      <c r="BF30" s="195">
        <v>98</v>
      </c>
      <c r="BI30" s="45">
        <f t="shared" si="1"/>
        <v>43724992</v>
      </c>
      <c r="BL30" s="121"/>
      <c r="BM30" s="121"/>
      <c r="BN30" s="45">
        <f t="shared" si="2"/>
        <v>5303547</v>
      </c>
      <c r="BR30" s="45">
        <f t="shared" si="3"/>
        <v>742948</v>
      </c>
      <c r="BU30" s="96"/>
      <c r="BV30" s="45">
        <f t="shared" si="4"/>
        <v>658610</v>
      </c>
      <c r="BW30" s="97"/>
      <c r="BX30" s="98"/>
      <c r="BY30" s="96"/>
      <c r="BZ30" s="98"/>
      <c r="CA30" s="96"/>
      <c r="CB30" s="40"/>
      <c r="CC30" s="45">
        <f t="shared" si="5"/>
        <v>7034100</v>
      </c>
      <c r="CF30" s="121"/>
      <c r="CG30" s="121"/>
      <c r="CH30" s="121"/>
      <c r="CI30" s="45">
        <f t="shared" si="6"/>
        <v>652271</v>
      </c>
      <c r="CL30" s="121"/>
      <c r="CM30" s="122"/>
      <c r="CN30" s="45">
        <f t="shared" si="7"/>
        <v>1319</v>
      </c>
      <c r="CP30" s="123"/>
      <c r="CQ30" s="100"/>
      <c r="CR30" s="45">
        <f t="shared" si="8"/>
        <v>3760900</v>
      </c>
      <c r="CU30" s="121"/>
      <c r="CV30" s="122"/>
      <c r="CW30" s="45">
        <f t="shared" si="9"/>
        <v>1131977</v>
      </c>
      <c r="CZ30" s="121"/>
      <c r="DD30" s="124"/>
      <c r="DE30" s="124"/>
      <c r="DF30" s="124"/>
      <c r="DG30" s="124"/>
      <c r="DH30" s="125"/>
      <c r="DI30" s="126"/>
      <c r="DJ30" s="126"/>
    </row>
    <row r="31" spans="2:114" s="120" customFormat="1" x14ac:dyDescent="0.25">
      <c r="B31" s="72">
        <v>44368</v>
      </c>
      <c r="C31" s="323">
        <v>43849679</v>
      </c>
      <c r="D31" s="324"/>
      <c r="E31" s="36">
        <f t="shared" si="55"/>
        <v>1246870</v>
      </c>
      <c r="F31" s="323">
        <v>5319566</v>
      </c>
      <c r="G31" s="324"/>
      <c r="H31" s="36">
        <f t="shared" si="56"/>
        <v>160190</v>
      </c>
      <c r="I31" s="323">
        <v>17669</v>
      </c>
      <c r="J31" s="324"/>
      <c r="K31" s="36">
        <f t="shared" si="27"/>
        <v>160</v>
      </c>
      <c r="L31" s="323">
        <v>317399</v>
      </c>
      <c r="M31" s="324"/>
      <c r="N31" s="36">
        <f t="shared" si="13"/>
        <v>1022000</v>
      </c>
      <c r="O31" s="323">
        <v>12052</v>
      </c>
      <c r="P31" s="324"/>
      <c r="Q31" s="36">
        <f t="shared" si="53"/>
        <v>26800</v>
      </c>
      <c r="R31" s="37"/>
      <c r="S31" s="323">
        <v>744841</v>
      </c>
      <c r="T31" s="324"/>
      <c r="U31" s="36">
        <f t="shared" si="54"/>
        <v>189300</v>
      </c>
      <c r="V31" s="323">
        <v>661220</v>
      </c>
      <c r="W31" s="324"/>
      <c r="X31" s="36">
        <f t="shared" si="46"/>
        <v>261000</v>
      </c>
      <c r="Y31" s="41">
        <f t="shared" si="47"/>
        <v>450300</v>
      </c>
      <c r="Z31" s="38"/>
      <c r="AA31" s="188">
        <v>18765</v>
      </c>
      <c r="AB31" s="195">
        <v>2820000</v>
      </c>
      <c r="AC31" s="188">
        <v>502648400</v>
      </c>
      <c r="AD31" s="195">
        <v>756210</v>
      </c>
      <c r="AE31" s="188">
        <v>111851</v>
      </c>
      <c r="AF31" s="195">
        <v>420</v>
      </c>
      <c r="AG31" s="188">
        <v>3477674</v>
      </c>
      <c r="AH31" s="195">
        <v>113150</v>
      </c>
      <c r="AI31" s="188">
        <v>4260256</v>
      </c>
      <c r="AJ31" s="195">
        <v>6132</v>
      </c>
      <c r="AK31" s="188">
        <v>21711</v>
      </c>
      <c r="AL31" s="195">
        <v>29000</v>
      </c>
      <c r="AM31" s="188">
        <v>1051</v>
      </c>
      <c r="AN31" s="195">
        <v>15</v>
      </c>
      <c r="AO31" s="188">
        <v>12497</v>
      </c>
      <c r="AP31" s="195">
        <v>2100</v>
      </c>
      <c r="AQ31" s="40"/>
      <c r="AR31" s="119">
        <f t="shared" si="0"/>
        <v>44368</v>
      </c>
      <c r="AS31" s="188">
        <v>1412</v>
      </c>
      <c r="AT31" s="195">
        <v>93</v>
      </c>
      <c r="AU31" s="196"/>
      <c r="AV31" s="188">
        <v>701609</v>
      </c>
      <c r="AW31" s="195">
        <v>49338</v>
      </c>
      <c r="AX31" s="188">
        <v>540479186</v>
      </c>
      <c r="AY31" s="195">
        <v>39805</v>
      </c>
      <c r="AZ31" s="195">
        <v>9532.56</v>
      </c>
      <c r="BA31" s="188">
        <v>7042000</v>
      </c>
      <c r="BB31" s="197">
        <v>7900</v>
      </c>
      <c r="BC31" s="189">
        <v>3761300</v>
      </c>
      <c r="BD31" s="198">
        <v>400</v>
      </c>
      <c r="BE31" s="188">
        <v>1131977</v>
      </c>
      <c r="BF31" s="195">
        <v>0</v>
      </c>
      <c r="BI31" s="45">
        <f t="shared" si="1"/>
        <v>43849679</v>
      </c>
      <c r="BL31" s="121"/>
      <c r="BM31" s="121"/>
      <c r="BN31" s="45">
        <f t="shared" si="2"/>
        <v>5319566</v>
      </c>
      <c r="BR31" s="45">
        <f t="shared" si="3"/>
        <v>744841</v>
      </c>
      <c r="BU31" s="96"/>
      <c r="BV31" s="45">
        <f t="shared" si="4"/>
        <v>661220</v>
      </c>
      <c r="BW31" s="97"/>
      <c r="BX31" s="98"/>
      <c r="BY31" s="96"/>
      <c r="BZ31" s="98"/>
      <c r="CA31" s="96"/>
      <c r="CB31" s="40"/>
      <c r="CC31" s="45">
        <f t="shared" si="5"/>
        <v>7042000</v>
      </c>
      <c r="CF31" s="121"/>
      <c r="CG31" s="121"/>
      <c r="CH31" s="121"/>
      <c r="CI31" s="45">
        <f t="shared" si="6"/>
        <v>701609</v>
      </c>
      <c r="CL31" s="121"/>
      <c r="CM31" s="122"/>
      <c r="CN31" s="45">
        <f t="shared" si="7"/>
        <v>1412</v>
      </c>
      <c r="CP31" s="123"/>
      <c r="CQ31" s="100"/>
      <c r="CR31" s="45">
        <f t="shared" si="8"/>
        <v>3761300</v>
      </c>
      <c r="CU31" s="121"/>
      <c r="CV31" s="122"/>
      <c r="CW31" s="45">
        <f t="shared" si="9"/>
        <v>1131977</v>
      </c>
      <c r="CZ31" s="121"/>
      <c r="DD31" s="124"/>
      <c r="DE31" s="124"/>
      <c r="DF31" s="124"/>
      <c r="DG31" s="124"/>
      <c r="DH31" s="125"/>
      <c r="DI31" s="126"/>
      <c r="DJ31" s="126"/>
    </row>
    <row r="32" spans="2:114" s="120" customFormat="1" x14ac:dyDescent="0.25">
      <c r="B32" s="72">
        <v>44375</v>
      </c>
      <c r="C32" s="323">
        <v>43977794</v>
      </c>
      <c r="D32" s="324"/>
      <c r="E32" s="36">
        <f t="shared" si="55"/>
        <v>1281150</v>
      </c>
      <c r="F32" s="323">
        <v>5323051</v>
      </c>
      <c r="G32" s="324"/>
      <c r="H32" s="36">
        <f t="shared" si="56"/>
        <v>34850</v>
      </c>
      <c r="I32" s="323">
        <v>17685</v>
      </c>
      <c r="J32" s="324"/>
      <c r="K32" s="36">
        <f t="shared" si="27"/>
        <v>160</v>
      </c>
      <c r="L32" s="323">
        <v>318480</v>
      </c>
      <c r="M32" s="324"/>
      <c r="N32" s="36">
        <f t="shared" si="13"/>
        <v>1081000</v>
      </c>
      <c r="O32" s="323">
        <v>12345</v>
      </c>
      <c r="P32" s="324"/>
      <c r="Q32" s="36">
        <v>129</v>
      </c>
      <c r="R32" s="37"/>
      <c r="S32" s="323">
        <v>746881</v>
      </c>
      <c r="T32" s="324"/>
      <c r="U32" s="36">
        <f t="shared" si="54"/>
        <v>204000</v>
      </c>
      <c r="V32" s="323">
        <v>664240</v>
      </c>
      <c r="W32" s="324"/>
      <c r="X32" s="36">
        <f t="shared" si="46"/>
        <v>302000</v>
      </c>
      <c r="Y32" s="41">
        <f t="shared" si="47"/>
        <v>506000</v>
      </c>
      <c r="Z32" s="38"/>
      <c r="AA32" s="188">
        <v>19042</v>
      </c>
      <c r="AB32" s="195">
        <v>2770000</v>
      </c>
      <c r="AC32" s="188">
        <v>509700400</v>
      </c>
      <c r="AD32" s="195">
        <v>705200</v>
      </c>
      <c r="AE32" s="188">
        <v>111920</v>
      </c>
      <c r="AF32" s="195">
        <v>690</v>
      </c>
      <c r="AG32" s="188">
        <v>3491418</v>
      </c>
      <c r="AH32" s="195">
        <v>137440</v>
      </c>
      <c r="AI32" s="188">
        <v>4263485</v>
      </c>
      <c r="AJ32" s="195">
        <v>3229</v>
      </c>
      <c r="AK32" s="188">
        <v>21714</v>
      </c>
      <c r="AL32" s="195">
        <v>3000</v>
      </c>
      <c r="AM32" s="188">
        <v>1067</v>
      </c>
      <c r="AN32" s="195">
        <v>16</v>
      </c>
      <c r="AO32" s="188">
        <v>12579</v>
      </c>
      <c r="AP32" s="195">
        <v>8200</v>
      </c>
      <c r="AQ32" s="40"/>
      <c r="AR32" s="119">
        <f t="shared" si="0"/>
        <v>44375</v>
      </c>
      <c r="AS32" s="188">
        <v>1503</v>
      </c>
      <c r="AT32" s="195">
        <v>91</v>
      </c>
      <c r="AU32" s="196"/>
      <c r="AV32" s="188">
        <v>759087</v>
      </c>
      <c r="AW32" s="195">
        <v>57478</v>
      </c>
      <c r="AX32" s="188">
        <v>544955975</v>
      </c>
      <c r="AY32" s="195">
        <v>44768</v>
      </c>
      <c r="AZ32" s="195">
        <v>12710.11</v>
      </c>
      <c r="BA32" s="188">
        <v>7045800</v>
      </c>
      <c r="BB32" s="197">
        <v>3800</v>
      </c>
      <c r="BC32" s="189">
        <v>3761700</v>
      </c>
      <c r="BD32" s="198">
        <v>400</v>
      </c>
      <c r="BE32" s="188">
        <v>1131977</v>
      </c>
      <c r="BF32" s="195">
        <v>0</v>
      </c>
      <c r="BI32" s="45">
        <f t="shared" si="1"/>
        <v>43977794</v>
      </c>
      <c r="BL32" s="121"/>
      <c r="BM32" s="121"/>
      <c r="BN32" s="45">
        <f t="shared" si="2"/>
        <v>5323051</v>
      </c>
      <c r="BR32" s="45">
        <f t="shared" si="3"/>
        <v>746881</v>
      </c>
      <c r="BU32" s="96"/>
      <c r="BV32" s="45">
        <f t="shared" si="4"/>
        <v>664240</v>
      </c>
      <c r="BW32" s="97"/>
      <c r="BX32" s="98"/>
      <c r="BY32" s="96"/>
      <c r="BZ32" s="98"/>
      <c r="CA32" s="96"/>
      <c r="CB32" s="40"/>
      <c r="CC32" s="45">
        <f t="shared" si="5"/>
        <v>7045800</v>
      </c>
      <c r="CF32" s="121"/>
      <c r="CG32" s="121"/>
      <c r="CH32" s="121"/>
      <c r="CI32" s="45">
        <f t="shared" si="6"/>
        <v>759087</v>
      </c>
      <c r="CL32" s="121"/>
      <c r="CM32" s="122"/>
      <c r="CN32" s="45">
        <f t="shared" si="7"/>
        <v>1503</v>
      </c>
      <c r="CP32" s="123"/>
      <c r="CQ32" s="100"/>
      <c r="CR32" s="45">
        <f t="shared" si="8"/>
        <v>3761700</v>
      </c>
      <c r="CU32" s="121"/>
      <c r="CV32" s="122"/>
      <c r="CW32" s="45">
        <f t="shared" si="9"/>
        <v>1131977</v>
      </c>
      <c r="CZ32" s="121"/>
      <c r="DD32" s="124"/>
      <c r="DE32" s="124"/>
      <c r="DF32" s="124"/>
      <c r="DG32" s="124"/>
      <c r="DH32" s="125"/>
      <c r="DI32" s="126"/>
      <c r="DJ32" s="126"/>
    </row>
    <row r="33" spans="2:114" s="120" customFormat="1" x14ac:dyDescent="0.25">
      <c r="B33" s="72">
        <v>44378</v>
      </c>
      <c r="C33" s="307">
        <v>44014765</v>
      </c>
      <c r="D33" s="307"/>
      <c r="E33" s="36">
        <f t="shared" si="55"/>
        <v>369710</v>
      </c>
      <c r="F33" s="307">
        <v>5328320</v>
      </c>
      <c r="G33" s="307"/>
      <c r="H33" s="36">
        <f t="shared" si="56"/>
        <v>52690</v>
      </c>
      <c r="I33" s="307">
        <v>17698</v>
      </c>
      <c r="J33" s="307"/>
      <c r="K33" s="36">
        <f t="shared" si="27"/>
        <v>130</v>
      </c>
      <c r="L33" s="307">
        <v>318771</v>
      </c>
      <c r="M33" s="307"/>
      <c r="N33" s="36">
        <f t="shared" si="13"/>
        <v>291000</v>
      </c>
      <c r="O33" s="307">
        <v>12431</v>
      </c>
      <c r="P33" s="307"/>
      <c r="Q33" s="36">
        <f t="shared" si="53"/>
        <v>8600</v>
      </c>
      <c r="R33" s="37"/>
      <c r="S33" s="307">
        <v>747434</v>
      </c>
      <c r="T33" s="307"/>
      <c r="U33" s="36">
        <f t="shared" si="54"/>
        <v>55300</v>
      </c>
      <c r="V33" s="307">
        <v>665790</v>
      </c>
      <c r="W33" s="307"/>
      <c r="X33" s="36">
        <f t="shared" si="46"/>
        <v>155000</v>
      </c>
      <c r="Y33" s="41">
        <f t="shared" si="47"/>
        <v>210300</v>
      </c>
      <c r="Z33" s="38"/>
      <c r="AA33" s="20">
        <v>19125</v>
      </c>
      <c r="AB33" s="42">
        <f t="shared" ref="AB33" si="57">SUM(AA33-AA32)*10000</f>
        <v>830000</v>
      </c>
      <c r="AC33" s="20">
        <v>511929000</v>
      </c>
      <c r="AD33" s="42">
        <f t="shared" ref="AD33" si="58">SUM(AC33-AC32)*0.1</f>
        <v>222860</v>
      </c>
      <c r="AE33" s="20">
        <v>111928</v>
      </c>
      <c r="AF33" s="42">
        <f t="shared" ref="AF33" si="59">SUM(AE33-AE32)*10</f>
        <v>80</v>
      </c>
      <c r="AG33" s="20">
        <v>3499612</v>
      </c>
      <c r="AH33" s="42">
        <f t="shared" ref="AH33" si="60">SUM(AG33-AG32)*10</f>
        <v>81940</v>
      </c>
      <c r="AI33" s="20">
        <v>4265210</v>
      </c>
      <c r="AJ33" s="42">
        <f t="shared" ref="AJ33" si="61">SUM(AI33-AI32)</f>
        <v>1725</v>
      </c>
      <c r="AK33" s="20">
        <v>21722</v>
      </c>
      <c r="AL33" s="42">
        <f t="shared" ref="AL33" si="62">SUM(AK33-AK32)*1000</f>
        <v>8000</v>
      </c>
      <c r="AM33" s="20">
        <v>1078</v>
      </c>
      <c r="AN33" s="42">
        <f t="shared" ref="AN33" si="63">SUM(AM33-AM32)</f>
        <v>11</v>
      </c>
      <c r="AO33" s="20">
        <v>12582</v>
      </c>
      <c r="AP33" s="42">
        <f t="shared" ref="AP33" si="64">SUM(AO33-AO32)*100</f>
        <v>300</v>
      </c>
      <c r="AQ33" s="40"/>
      <c r="AR33" s="119">
        <f t="shared" si="0"/>
        <v>44378</v>
      </c>
      <c r="AS33" s="20">
        <v>1541</v>
      </c>
      <c r="AT33" s="42">
        <f t="shared" ref="AT33" si="65">SUM(AS33-AS32)</f>
        <v>38</v>
      </c>
      <c r="AU33" s="14"/>
      <c r="AV33" s="20">
        <v>774567</v>
      </c>
      <c r="AW33" s="42">
        <f t="shared" ref="AW33" si="66">SUM(AV33-AV32)</f>
        <v>15480</v>
      </c>
      <c r="AX33" s="20">
        <v>546155109</v>
      </c>
      <c r="AY33" s="43">
        <f t="shared" ref="AY33" si="67">SUM(AX33-AX32)/100</f>
        <v>11991.34</v>
      </c>
      <c r="AZ33" s="42">
        <f t="shared" ref="AZ33" si="68">SUM(AW33-AY33)</f>
        <v>3488.66</v>
      </c>
      <c r="BA33" s="20">
        <v>7048100</v>
      </c>
      <c r="BB33" s="260">
        <f t="shared" ref="BB33" si="69">SUM(BA33-BA32)</f>
        <v>2300</v>
      </c>
      <c r="BC33" s="93">
        <v>3761800</v>
      </c>
      <c r="BD33" s="94">
        <f t="shared" ref="BD33" si="70">SUM(BC33-BC32)</f>
        <v>100</v>
      </c>
      <c r="BE33" s="20">
        <v>1131978</v>
      </c>
      <c r="BF33" s="42">
        <f t="shared" ref="BF33" si="71">SUM(BE33-BE32)</f>
        <v>1</v>
      </c>
      <c r="BI33" s="45">
        <f t="shared" si="1"/>
        <v>44014765</v>
      </c>
      <c r="BJ33" s="20">
        <v>385070</v>
      </c>
      <c r="BK33" s="19">
        <f>SUM(BJ33-BJ28)</f>
        <v>1383</v>
      </c>
      <c r="BL33" s="74">
        <f>SUM(BK33*1.1251)+2076.11</f>
        <v>3632.1233000000002</v>
      </c>
      <c r="BM33" s="92">
        <v>4094.79</v>
      </c>
      <c r="BN33" s="45">
        <f t="shared" si="2"/>
        <v>5328320</v>
      </c>
      <c r="BO33" s="20">
        <v>44951</v>
      </c>
      <c r="BP33" s="19">
        <f>SUM(BO33-BO28)</f>
        <v>166</v>
      </c>
      <c r="BQ33" s="74">
        <f>SUM(BP33*0.8868)+1712.96</f>
        <v>1860.1687999999999</v>
      </c>
      <c r="BR33" s="45">
        <f t="shared" si="3"/>
        <v>747434</v>
      </c>
      <c r="BS33" s="20">
        <v>644396</v>
      </c>
      <c r="BT33" s="20">
        <v>11174.69</v>
      </c>
      <c r="BU33" s="105">
        <v>9107.86</v>
      </c>
      <c r="BV33" s="45">
        <f t="shared" si="4"/>
        <v>665790</v>
      </c>
      <c r="BW33" s="106">
        <v>26328</v>
      </c>
      <c r="BX33" s="46">
        <v>1187.44</v>
      </c>
      <c r="BY33" s="105">
        <v>969.71</v>
      </c>
      <c r="BZ33" s="117">
        <f t="shared" ref="BZ33" si="72">SUM(BT33+BX33)</f>
        <v>12362.130000000001</v>
      </c>
      <c r="CA33" s="105">
        <v>2882.89</v>
      </c>
      <c r="CB33" s="40"/>
      <c r="CC33" s="45">
        <f t="shared" si="5"/>
        <v>7048100</v>
      </c>
      <c r="CD33" s="128">
        <v>6876</v>
      </c>
      <c r="CE33" s="88">
        <f>SUM(CD33-CD28)</f>
        <v>9</v>
      </c>
      <c r="CF33" s="74">
        <f>SUM(CE33*1.1251)+129.67</f>
        <v>139.79589999999999</v>
      </c>
      <c r="CG33" s="92">
        <v>56.61</v>
      </c>
      <c r="CH33" s="92">
        <v>76.06</v>
      </c>
      <c r="CI33" s="45">
        <f t="shared" si="6"/>
        <v>774567</v>
      </c>
      <c r="CJ33" s="20">
        <v>17135</v>
      </c>
      <c r="CK33" s="19">
        <f>SUM(CJ33-CJ28)</f>
        <v>157</v>
      </c>
      <c r="CL33" s="74">
        <f>SUM(CK33*1.1251+207.57)</f>
        <v>384.21069999999997</v>
      </c>
      <c r="CM33" s="109">
        <v>188.7</v>
      </c>
      <c r="CN33" s="45">
        <f t="shared" si="7"/>
        <v>1541</v>
      </c>
      <c r="CO33" s="20">
        <v>6720</v>
      </c>
      <c r="CP33" s="25">
        <v>588.87</v>
      </c>
      <c r="CQ33" s="108">
        <v>480.89</v>
      </c>
      <c r="CR33" s="45">
        <f t="shared" si="8"/>
        <v>3761800</v>
      </c>
      <c r="CS33" s="20">
        <v>3726</v>
      </c>
      <c r="CT33" s="19">
        <f>SUM(CS33-CS28)</f>
        <v>1</v>
      </c>
      <c r="CU33" s="74">
        <f>SUM(CT33*1.1251)+207.57</f>
        <v>208.6951</v>
      </c>
      <c r="CV33" s="122"/>
      <c r="CW33" s="45">
        <f t="shared" si="9"/>
        <v>1131978</v>
      </c>
      <c r="CX33" s="20">
        <v>402896</v>
      </c>
      <c r="CY33" s="19">
        <f>SUM(CX33-CX28)</f>
        <v>273</v>
      </c>
      <c r="CZ33" s="74">
        <f>SUM(CY33*0.8868)+1070.52</f>
        <v>1312.6163999999999</v>
      </c>
      <c r="DC33" s="20">
        <f>SUM(E3028,E33)</f>
        <v>369710</v>
      </c>
      <c r="DD33" s="92" t="e">
        <f>SUM(BL33+CF33+CL33+#REF!+CU33)</f>
        <v>#REF!</v>
      </c>
      <c r="DE33" s="92">
        <f>SUM(BQ33+CZ33)</f>
        <v>3172.7851999999998</v>
      </c>
      <c r="DF33" s="92">
        <f>SUM(BM33+CG33+CV33)</f>
        <v>4151.3999999999996</v>
      </c>
      <c r="DG33" s="92" t="e">
        <f>SUM(DD33:DF33)</f>
        <v>#REF!</v>
      </c>
      <c r="DH33"/>
      <c r="DI33" s="111">
        <f>SUM(BU33+CQ33+BY33)</f>
        <v>10558.46</v>
      </c>
      <c r="DJ33" s="111">
        <f>SUM(CA33+CH33)</f>
        <v>2958.95</v>
      </c>
    </row>
    <row r="34" spans="2:114" s="120" customFormat="1" x14ac:dyDescent="0.25">
      <c r="B34" s="72">
        <v>44382</v>
      </c>
      <c r="C34" s="323">
        <v>44103262</v>
      </c>
      <c r="D34" s="324"/>
      <c r="E34" s="36">
        <f t="shared" ref="E34" si="73">SUM(C34-C33)*10</f>
        <v>884970</v>
      </c>
      <c r="F34" s="323">
        <v>5328323</v>
      </c>
      <c r="G34" s="324"/>
      <c r="H34" s="36">
        <f t="shared" ref="H34" si="74">SUM(F34-F33)*10</f>
        <v>30</v>
      </c>
      <c r="I34" s="323">
        <v>17702</v>
      </c>
      <c r="J34" s="324"/>
      <c r="K34" s="36">
        <f t="shared" si="27"/>
        <v>40</v>
      </c>
      <c r="L34" s="323">
        <v>319511</v>
      </c>
      <c r="M34" s="324"/>
      <c r="N34" s="36">
        <f t="shared" si="13"/>
        <v>740000</v>
      </c>
      <c r="O34" s="323">
        <v>12642</v>
      </c>
      <c r="P34" s="324"/>
      <c r="Q34" s="36">
        <f t="shared" si="53"/>
        <v>21100</v>
      </c>
      <c r="R34" s="37"/>
      <c r="S34" s="323">
        <v>748840</v>
      </c>
      <c r="T34" s="324"/>
      <c r="U34" s="36">
        <f t="shared" si="54"/>
        <v>140600</v>
      </c>
      <c r="V34" s="323">
        <v>669050</v>
      </c>
      <c r="W34" s="324"/>
      <c r="X34" s="36">
        <f t="shared" si="46"/>
        <v>326000</v>
      </c>
      <c r="Y34" s="41">
        <f t="shared" si="47"/>
        <v>466600</v>
      </c>
      <c r="Z34" s="38"/>
      <c r="AA34" s="188">
        <v>19310</v>
      </c>
      <c r="AB34" s="195">
        <v>1850000</v>
      </c>
      <c r="AC34" s="188">
        <v>516876700</v>
      </c>
      <c r="AD34" s="195">
        <v>494770</v>
      </c>
      <c r="AE34" s="188">
        <v>111934</v>
      </c>
      <c r="AF34" s="195">
        <v>60</v>
      </c>
      <c r="AG34" s="188">
        <v>3504767</v>
      </c>
      <c r="AH34" s="195">
        <v>51550</v>
      </c>
      <c r="AI34" s="188">
        <v>4266498</v>
      </c>
      <c r="AJ34" s="195">
        <v>1288</v>
      </c>
      <c r="AK34" s="188">
        <v>21735</v>
      </c>
      <c r="AL34" s="195">
        <v>13000</v>
      </c>
      <c r="AM34" s="188">
        <v>1127</v>
      </c>
      <c r="AN34" s="195">
        <v>49</v>
      </c>
      <c r="AO34" s="188">
        <v>12630</v>
      </c>
      <c r="AP34" s="195">
        <v>4800</v>
      </c>
      <c r="AQ34" s="40"/>
      <c r="AR34" s="119">
        <f t="shared" si="0"/>
        <v>44382</v>
      </c>
      <c r="AS34" s="188">
        <v>1594</v>
      </c>
      <c r="AT34" s="195">
        <v>53</v>
      </c>
      <c r="AU34" s="196"/>
      <c r="AV34" s="188">
        <v>803155</v>
      </c>
      <c r="AW34" s="195">
        <v>28588</v>
      </c>
      <c r="AX34" s="188">
        <v>548438756</v>
      </c>
      <c r="AY34" s="195">
        <v>22836</v>
      </c>
      <c r="AZ34" s="195">
        <v>5751.53</v>
      </c>
      <c r="BA34" s="188">
        <v>7048600</v>
      </c>
      <c r="BB34" s="197">
        <v>500</v>
      </c>
      <c r="BC34" s="189">
        <v>3761900</v>
      </c>
      <c r="BD34" s="198">
        <v>100</v>
      </c>
      <c r="BE34" s="188">
        <v>1131978</v>
      </c>
      <c r="BF34" s="195">
        <v>0</v>
      </c>
      <c r="BI34" s="45">
        <f t="shared" si="1"/>
        <v>44103262</v>
      </c>
      <c r="BL34" s="121"/>
      <c r="BM34" s="121"/>
      <c r="BN34" s="45">
        <f t="shared" si="2"/>
        <v>5328323</v>
      </c>
      <c r="BR34" s="45">
        <f t="shared" si="3"/>
        <v>748840</v>
      </c>
      <c r="BU34" s="96"/>
      <c r="BV34" s="45">
        <f t="shared" si="4"/>
        <v>669050</v>
      </c>
      <c r="BW34" s="97"/>
      <c r="BX34" s="98"/>
      <c r="BY34" s="96"/>
      <c r="BZ34" s="98"/>
      <c r="CA34" s="96"/>
      <c r="CB34" s="40"/>
      <c r="CC34" s="45">
        <f t="shared" si="5"/>
        <v>7048600</v>
      </c>
      <c r="CF34" s="121"/>
      <c r="CG34" s="121"/>
      <c r="CH34" s="121"/>
      <c r="CI34" s="45">
        <f t="shared" si="6"/>
        <v>803155</v>
      </c>
      <c r="CL34" s="121"/>
      <c r="CM34" s="122"/>
      <c r="CN34" s="45">
        <f t="shared" si="7"/>
        <v>1594</v>
      </c>
      <c r="CP34" s="123"/>
      <c r="CQ34" s="100"/>
      <c r="CR34" s="45">
        <f t="shared" si="8"/>
        <v>3761900</v>
      </c>
      <c r="CU34" s="121"/>
      <c r="CV34" s="122"/>
      <c r="CW34" s="45">
        <f t="shared" si="9"/>
        <v>1131978</v>
      </c>
      <c r="CZ34" s="121"/>
      <c r="DD34" s="124"/>
      <c r="DE34" s="124"/>
      <c r="DF34" s="124"/>
      <c r="DG34" s="124"/>
      <c r="DH34" s="125"/>
      <c r="DI34" s="126"/>
      <c r="DJ34" s="126"/>
    </row>
    <row r="35" spans="2:114" s="120" customFormat="1" x14ac:dyDescent="0.25">
      <c r="B35" s="72">
        <v>44389</v>
      </c>
      <c r="C35" s="323">
        <v>44225593</v>
      </c>
      <c r="D35" s="324"/>
      <c r="E35" s="36">
        <f t="shared" ref="E35:E38" si="75">SUM(C35-C34)*10</f>
        <v>1223310</v>
      </c>
      <c r="F35" s="323">
        <v>5329014</v>
      </c>
      <c r="G35" s="324"/>
      <c r="H35" s="36">
        <f t="shared" ref="H35:H38" si="76">SUM(F35-F34)*10</f>
        <v>6910</v>
      </c>
      <c r="I35" s="323">
        <v>17718</v>
      </c>
      <c r="J35" s="324"/>
      <c r="K35" s="36">
        <f t="shared" si="27"/>
        <v>160</v>
      </c>
      <c r="L35" s="323">
        <v>320471</v>
      </c>
      <c r="M35" s="324"/>
      <c r="N35" s="36">
        <f t="shared" si="13"/>
        <v>960000</v>
      </c>
      <c r="O35" s="323">
        <v>12946</v>
      </c>
      <c r="P35" s="324"/>
      <c r="Q35" s="36">
        <f t="shared" si="53"/>
        <v>30400</v>
      </c>
      <c r="R35" s="37"/>
      <c r="S35" s="323">
        <v>750876</v>
      </c>
      <c r="T35" s="324"/>
      <c r="U35" s="36">
        <f t="shared" si="54"/>
        <v>203600</v>
      </c>
      <c r="V35" s="323">
        <v>671370</v>
      </c>
      <c r="W35" s="324"/>
      <c r="X35" s="36">
        <f t="shared" si="46"/>
        <v>232000</v>
      </c>
      <c r="Y35" s="41">
        <f t="shared" si="47"/>
        <v>435600</v>
      </c>
      <c r="Z35" s="38"/>
      <c r="AA35" s="188">
        <v>19611</v>
      </c>
      <c r="AB35" s="195">
        <v>3010000</v>
      </c>
      <c r="AC35" s="188">
        <v>524307500</v>
      </c>
      <c r="AD35" s="195">
        <v>743080</v>
      </c>
      <c r="AE35" s="188">
        <v>111950</v>
      </c>
      <c r="AF35" s="195">
        <v>160</v>
      </c>
      <c r="AG35" s="188">
        <v>3511410</v>
      </c>
      <c r="AH35" s="195">
        <v>66430</v>
      </c>
      <c r="AI35" s="188">
        <v>4275361</v>
      </c>
      <c r="AJ35" s="195">
        <v>8863</v>
      </c>
      <c r="AK35" s="188">
        <v>21858</v>
      </c>
      <c r="AL35" s="195">
        <v>123000</v>
      </c>
      <c r="AM35" s="188">
        <v>1134</v>
      </c>
      <c r="AN35" s="195">
        <v>7</v>
      </c>
      <c r="AO35" s="188">
        <v>12639</v>
      </c>
      <c r="AP35" s="195">
        <v>900</v>
      </c>
      <c r="AQ35" s="40"/>
      <c r="AR35" s="119">
        <f t="shared" si="0"/>
        <v>44389</v>
      </c>
      <c r="AS35" s="188">
        <v>1678</v>
      </c>
      <c r="AT35" s="195">
        <v>84</v>
      </c>
      <c r="AU35" s="196"/>
      <c r="AV35" s="188">
        <v>850758</v>
      </c>
      <c r="AW35" s="195">
        <v>47603</v>
      </c>
      <c r="AX35" s="188">
        <v>552411583</v>
      </c>
      <c r="AY35" s="195">
        <v>39728</v>
      </c>
      <c r="AZ35" s="195">
        <v>7874.73</v>
      </c>
      <c r="BA35" s="188">
        <v>7049600</v>
      </c>
      <c r="BB35" s="197">
        <v>1000</v>
      </c>
      <c r="BC35" s="189">
        <v>3762200</v>
      </c>
      <c r="BD35" s="198">
        <v>300</v>
      </c>
      <c r="BE35" s="188">
        <v>1131979</v>
      </c>
      <c r="BF35" s="195">
        <v>1</v>
      </c>
      <c r="BI35" s="45">
        <f t="shared" si="1"/>
        <v>44225593</v>
      </c>
      <c r="BL35" s="121"/>
      <c r="BM35" s="121"/>
      <c r="BN35" s="45">
        <f t="shared" si="2"/>
        <v>5329014</v>
      </c>
      <c r="BR35" s="45">
        <f t="shared" si="3"/>
        <v>750876</v>
      </c>
      <c r="BU35" s="96"/>
      <c r="BV35" s="45">
        <f t="shared" si="4"/>
        <v>671370</v>
      </c>
      <c r="BW35" s="97"/>
      <c r="BX35" s="98"/>
      <c r="BY35" s="96"/>
      <c r="BZ35" s="98"/>
      <c r="CA35" s="96"/>
      <c r="CB35" s="40"/>
      <c r="CC35" s="45">
        <f t="shared" si="5"/>
        <v>7049600</v>
      </c>
      <c r="CF35" s="121"/>
      <c r="CG35" s="121"/>
      <c r="CH35" s="121"/>
      <c r="CI35" s="45">
        <f t="shared" si="6"/>
        <v>850758</v>
      </c>
      <c r="CL35" s="121"/>
      <c r="CM35" s="122"/>
      <c r="CN35" s="45">
        <f t="shared" si="7"/>
        <v>1678</v>
      </c>
      <c r="CP35" s="123"/>
      <c r="CQ35" s="100"/>
      <c r="CR35" s="45">
        <f t="shared" si="8"/>
        <v>3762200</v>
      </c>
      <c r="CU35" s="121"/>
      <c r="CV35" s="122"/>
      <c r="CW35" s="45">
        <f t="shared" si="9"/>
        <v>1131979</v>
      </c>
      <c r="CZ35" s="121"/>
      <c r="DD35" s="124"/>
      <c r="DE35" s="124"/>
      <c r="DF35" s="124"/>
      <c r="DG35" s="124"/>
      <c r="DH35" s="125"/>
      <c r="DI35" s="126"/>
      <c r="DJ35" s="126"/>
    </row>
    <row r="36" spans="2:114" s="120" customFormat="1" x14ac:dyDescent="0.25">
      <c r="B36" s="72">
        <v>44396</v>
      </c>
      <c r="C36" s="323">
        <v>44356049</v>
      </c>
      <c r="D36" s="324"/>
      <c r="E36" s="36">
        <f t="shared" si="75"/>
        <v>1304560</v>
      </c>
      <c r="F36" s="323">
        <v>5345906</v>
      </c>
      <c r="G36" s="324"/>
      <c r="H36" s="36">
        <f t="shared" si="76"/>
        <v>168920</v>
      </c>
      <c r="I36" s="323">
        <v>17734</v>
      </c>
      <c r="J36" s="324"/>
      <c r="K36" s="36">
        <f t="shared" si="27"/>
        <v>160</v>
      </c>
      <c r="L36" s="323">
        <v>321473</v>
      </c>
      <c r="M36" s="324"/>
      <c r="N36" s="36">
        <f t="shared" si="13"/>
        <v>1002000</v>
      </c>
      <c r="O36" s="323">
        <v>13244</v>
      </c>
      <c r="P36" s="324"/>
      <c r="Q36" s="36">
        <f t="shared" si="53"/>
        <v>29800</v>
      </c>
      <c r="R36" s="37"/>
      <c r="S36" s="323">
        <v>752775</v>
      </c>
      <c r="T36" s="324"/>
      <c r="U36" s="36">
        <f t="shared" si="54"/>
        <v>189900</v>
      </c>
      <c r="V36" s="323">
        <v>673770</v>
      </c>
      <c r="W36" s="324"/>
      <c r="X36" s="36">
        <f t="shared" si="46"/>
        <v>240000</v>
      </c>
      <c r="Y36" s="41">
        <f t="shared" si="47"/>
        <v>429900</v>
      </c>
      <c r="Z36" s="38"/>
      <c r="AA36" s="188">
        <v>19910</v>
      </c>
      <c r="AB36" s="195">
        <v>2990000</v>
      </c>
      <c r="AC36" s="188">
        <v>532121000</v>
      </c>
      <c r="AD36" s="195">
        <v>781350</v>
      </c>
      <c r="AE36" s="188">
        <v>112117</v>
      </c>
      <c r="AF36" s="195">
        <v>1670</v>
      </c>
      <c r="AG36" s="188">
        <v>3517833</v>
      </c>
      <c r="AH36" s="195">
        <v>64230</v>
      </c>
      <c r="AI36" s="188">
        <v>4284507</v>
      </c>
      <c r="AJ36" s="195">
        <v>9146</v>
      </c>
      <c r="AK36" s="188">
        <v>22015</v>
      </c>
      <c r="AL36" s="195">
        <v>157000</v>
      </c>
      <c r="AM36" s="188">
        <v>1154</v>
      </c>
      <c r="AN36" s="195">
        <v>20</v>
      </c>
      <c r="AO36" s="188">
        <v>12660</v>
      </c>
      <c r="AP36" s="195">
        <v>2100</v>
      </c>
      <c r="AQ36" s="40"/>
      <c r="AR36" s="119">
        <f t="shared" si="0"/>
        <v>44396</v>
      </c>
      <c r="AS36" s="188">
        <v>1768</v>
      </c>
      <c r="AT36" s="195">
        <v>90</v>
      </c>
      <c r="AU36" s="196"/>
      <c r="AV36" s="188">
        <v>907437</v>
      </c>
      <c r="AW36" s="195">
        <v>56679</v>
      </c>
      <c r="AX36" s="188">
        <v>556913342</v>
      </c>
      <c r="AY36" s="195">
        <v>45018</v>
      </c>
      <c r="AZ36" s="195">
        <v>11661.41</v>
      </c>
      <c r="BA36" s="188">
        <v>7049600</v>
      </c>
      <c r="BB36" s="197">
        <v>0</v>
      </c>
      <c r="BC36" s="189">
        <v>3764400</v>
      </c>
      <c r="BD36" s="198">
        <v>2200</v>
      </c>
      <c r="BE36" s="188">
        <v>1131979</v>
      </c>
      <c r="BF36" s="195">
        <v>0</v>
      </c>
      <c r="BI36" s="45">
        <f t="shared" si="1"/>
        <v>44356049</v>
      </c>
      <c r="BL36" s="121"/>
      <c r="BM36" s="121"/>
      <c r="BN36" s="45">
        <f t="shared" si="2"/>
        <v>5345906</v>
      </c>
      <c r="BR36" s="45">
        <f t="shared" si="3"/>
        <v>752775</v>
      </c>
      <c r="BU36" s="96"/>
      <c r="BV36" s="45">
        <f t="shared" si="4"/>
        <v>673770</v>
      </c>
      <c r="BW36" s="97"/>
      <c r="BX36" s="98"/>
      <c r="BY36" s="96"/>
      <c r="BZ36" s="98"/>
      <c r="CA36" s="96"/>
      <c r="CB36" s="40"/>
      <c r="CC36" s="45">
        <f t="shared" si="5"/>
        <v>7049600</v>
      </c>
      <c r="CF36" s="121"/>
      <c r="CG36" s="121"/>
      <c r="CH36" s="121"/>
      <c r="CI36" s="45">
        <f t="shared" si="6"/>
        <v>907437</v>
      </c>
      <c r="CL36" s="121"/>
      <c r="CM36" s="122"/>
      <c r="CN36" s="45">
        <f t="shared" si="7"/>
        <v>1768</v>
      </c>
      <c r="CP36" s="123"/>
      <c r="CQ36" s="100"/>
      <c r="CR36" s="45">
        <f t="shared" si="8"/>
        <v>3764400</v>
      </c>
      <c r="CU36" s="121"/>
      <c r="CV36" s="122"/>
      <c r="CW36" s="45">
        <f t="shared" si="9"/>
        <v>1131979</v>
      </c>
      <c r="CZ36" s="121"/>
      <c r="DD36" s="124"/>
      <c r="DE36" s="124"/>
      <c r="DF36" s="124"/>
      <c r="DG36" s="124"/>
      <c r="DH36" s="125"/>
      <c r="DI36" s="126"/>
      <c r="DJ36" s="126"/>
    </row>
    <row r="37" spans="2:114" s="120" customFormat="1" x14ac:dyDescent="0.25">
      <c r="B37" s="72">
        <v>44403</v>
      </c>
      <c r="C37" s="323">
        <v>44490935</v>
      </c>
      <c r="D37" s="324"/>
      <c r="E37" s="36">
        <f t="shared" si="75"/>
        <v>1348860</v>
      </c>
      <c r="F37" s="323">
        <v>5366120</v>
      </c>
      <c r="G37" s="324"/>
      <c r="H37" s="36">
        <f t="shared" si="76"/>
        <v>202140</v>
      </c>
      <c r="I37" s="323">
        <v>17750</v>
      </c>
      <c r="J37" s="324"/>
      <c r="K37" s="36">
        <f t="shared" si="27"/>
        <v>160</v>
      </c>
      <c r="L37" s="323">
        <v>322540</v>
      </c>
      <c r="M37" s="324"/>
      <c r="N37" s="36">
        <f t="shared" si="13"/>
        <v>1067000</v>
      </c>
      <c r="O37" s="323">
        <v>13526</v>
      </c>
      <c r="P37" s="324"/>
      <c r="Q37" s="36">
        <f t="shared" si="53"/>
        <v>28200</v>
      </c>
      <c r="R37" s="37"/>
      <c r="S37" s="323">
        <v>754649</v>
      </c>
      <c r="T37" s="324"/>
      <c r="U37" s="36">
        <f t="shared" si="54"/>
        <v>187400</v>
      </c>
      <c r="V37" s="323">
        <v>675310</v>
      </c>
      <c r="W37" s="324"/>
      <c r="X37" s="36">
        <f t="shared" si="46"/>
        <v>154000</v>
      </c>
      <c r="Y37" s="41">
        <f t="shared" si="47"/>
        <v>341400</v>
      </c>
      <c r="Z37" s="38"/>
      <c r="AA37" s="188">
        <v>20224</v>
      </c>
      <c r="AB37" s="195">
        <v>3140000</v>
      </c>
      <c r="AC37" s="188">
        <v>539963100</v>
      </c>
      <c r="AD37" s="195">
        <v>784210</v>
      </c>
      <c r="AE37" s="188">
        <v>112441</v>
      </c>
      <c r="AF37" s="195">
        <v>3240</v>
      </c>
      <c r="AG37" s="188">
        <v>3523976</v>
      </c>
      <c r="AH37" s="195">
        <v>61430</v>
      </c>
      <c r="AI37" s="188">
        <v>4291716</v>
      </c>
      <c r="AJ37" s="195">
        <v>7209</v>
      </c>
      <c r="AK37" s="188">
        <v>22158</v>
      </c>
      <c r="AL37" s="195">
        <v>143000</v>
      </c>
      <c r="AM37" s="188">
        <v>1162</v>
      </c>
      <c r="AN37" s="195">
        <v>8</v>
      </c>
      <c r="AO37" s="188">
        <v>12689</v>
      </c>
      <c r="AP37" s="195">
        <v>2900</v>
      </c>
      <c r="AQ37" s="40"/>
      <c r="AR37" s="119">
        <f t="shared" si="0"/>
        <v>44403</v>
      </c>
      <c r="AS37" s="188">
        <v>1847</v>
      </c>
      <c r="AT37" s="195">
        <v>79</v>
      </c>
      <c r="AU37" s="196"/>
      <c r="AV37" s="188">
        <v>959124</v>
      </c>
      <c r="AW37" s="195">
        <v>51687</v>
      </c>
      <c r="AX37" s="188">
        <v>560837829</v>
      </c>
      <c r="AY37" s="195">
        <v>39245</v>
      </c>
      <c r="AZ37" s="195">
        <v>12442.13</v>
      </c>
      <c r="BA37" s="188">
        <v>7056300</v>
      </c>
      <c r="BB37" s="197">
        <v>2400</v>
      </c>
      <c r="BC37" s="189">
        <v>3765600</v>
      </c>
      <c r="BD37" s="198">
        <v>1200</v>
      </c>
      <c r="BE37" s="188">
        <v>1132071</v>
      </c>
      <c r="BF37" s="195">
        <v>92</v>
      </c>
      <c r="BI37" s="45">
        <f t="shared" si="1"/>
        <v>44490935</v>
      </c>
      <c r="BL37" s="121"/>
      <c r="BM37" s="121"/>
      <c r="BN37" s="45">
        <f t="shared" si="2"/>
        <v>5366120</v>
      </c>
      <c r="BR37" s="45">
        <f t="shared" si="3"/>
        <v>754649</v>
      </c>
      <c r="BU37" s="96"/>
      <c r="BV37" s="45">
        <f t="shared" si="4"/>
        <v>675310</v>
      </c>
      <c r="BW37" s="97"/>
      <c r="BX37" s="98"/>
      <c r="BY37" s="96"/>
      <c r="BZ37" s="98"/>
      <c r="CA37" s="96"/>
      <c r="CB37" s="40"/>
      <c r="CC37" s="45">
        <f t="shared" si="5"/>
        <v>7056300</v>
      </c>
      <c r="CF37" s="121"/>
      <c r="CG37" s="121"/>
      <c r="CH37" s="121"/>
      <c r="CI37" s="45">
        <f t="shared" si="6"/>
        <v>959124</v>
      </c>
      <c r="CL37" s="121"/>
      <c r="CM37" s="122"/>
      <c r="CN37" s="45">
        <f t="shared" si="7"/>
        <v>1847</v>
      </c>
      <c r="CP37" s="123"/>
      <c r="CQ37" s="100"/>
      <c r="CR37" s="45">
        <f t="shared" si="8"/>
        <v>3765600</v>
      </c>
      <c r="CU37" s="121"/>
      <c r="CV37" s="122"/>
      <c r="CW37" s="45">
        <f t="shared" si="9"/>
        <v>1132071</v>
      </c>
      <c r="CZ37" s="121"/>
      <c r="DD37" s="124"/>
      <c r="DE37" s="124"/>
      <c r="DF37" s="124"/>
      <c r="DG37" s="124"/>
      <c r="DH37" s="125"/>
      <c r="DI37" s="126"/>
      <c r="DJ37" s="126"/>
    </row>
    <row r="38" spans="2:114" s="120" customFormat="1" x14ac:dyDescent="0.25">
      <c r="B38" s="72">
        <v>44409</v>
      </c>
      <c r="C38" s="323">
        <v>44612370</v>
      </c>
      <c r="D38" s="324"/>
      <c r="E38" s="36">
        <f t="shared" si="75"/>
        <v>1214350</v>
      </c>
      <c r="F38" s="323">
        <v>5391164</v>
      </c>
      <c r="G38" s="324"/>
      <c r="H38" s="36">
        <f t="shared" si="76"/>
        <v>250440</v>
      </c>
      <c r="I38" s="323">
        <v>17768</v>
      </c>
      <c r="J38" s="324"/>
      <c r="K38" s="36">
        <f t="shared" si="27"/>
        <v>180</v>
      </c>
      <c r="L38" s="323">
        <v>323597</v>
      </c>
      <c r="M38" s="324"/>
      <c r="N38" s="36">
        <f t="shared" si="13"/>
        <v>1057000</v>
      </c>
      <c r="O38" s="323">
        <v>13803</v>
      </c>
      <c r="P38" s="324"/>
      <c r="Q38" s="36">
        <f t="shared" si="53"/>
        <v>27700</v>
      </c>
      <c r="R38" s="37"/>
      <c r="S38" s="323">
        <v>756555</v>
      </c>
      <c r="T38" s="324"/>
      <c r="U38" s="36">
        <f t="shared" si="54"/>
        <v>190600</v>
      </c>
      <c r="V38" s="323">
        <v>676900</v>
      </c>
      <c r="W38" s="324"/>
      <c r="X38" s="36">
        <f t="shared" si="46"/>
        <v>159000</v>
      </c>
      <c r="Y38" s="41">
        <f t="shared" si="47"/>
        <v>349600</v>
      </c>
      <c r="Z38" s="38"/>
      <c r="AA38" s="188">
        <v>20531</v>
      </c>
      <c r="AB38" s="195">
        <v>3070000</v>
      </c>
      <c r="AC38" s="188">
        <v>548026900</v>
      </c>
      <c r="AD38" s="195">
        <v>806380</v>
      </c>
      <c r="AE38" s="188">
        <v>112465</v>
      </c>
      <c r="AF38" s="195">
        <v>240</v>
      </c>
      <c r="AG38" s="188">
        <v>3525646</v>
      </c>
      <c r="AH38" s="195">
        <v>16700</v>
      </c>
      <c r="AI38" s="188">
        <v>4297838</v>
      </c>
      <c r="AJ38" s="195">
        <v>6122</v>
      </c>
      <c r="AK38" s="188">
        <v>22240</v>
      </c>
      <c r="AL38" s="195">
        <v>82000</v>
      </c>
      <c r="AM38" s="188">
        <v>1165</v>
      </c>
      <c r="AN38" s="195">
        <v>3</v>
      </c>
      <c r="AO38" s="188">
        <v>12711</v>
      </c>
      <c r="AP38" s="195">
        <v>2200</v>
      </c>
      <c r="AQ38" s="40"/>
      <c r="AR38" s="119">
        <f t="shared" si="0"/>
        <v>44409</v>
      </c>
      <c r="AS38" s="188">
        <v>1920</v>
      </c>
      <c r="AT38" s="195">
        <v>73</v>
      </c>
      <c r="AU38" s="196"/>
      <c r="AV38" s="188">
        <v>1002265</v>
      </c>
      <c r="AW38" s="195">
        <v>43141</v>
      </c>
      <c r="AX38" s="188">
        <v>564232624</v>
      </c>
      <c r="AY38" s="195">
        <v>33948</v>
      </c>
      <c r="AZ38" s="195">
        <v>9193.0499999999993</v>
      </c>
      <c r="BA38" s="188">
        <v>7058800</v>
      </c>
      <c r="BB38" s="197">
        <v>2500</v>
      </c>
      <c r="BC38" s="189">
        <v>3767100</v>
      </c>
      <c r="BD38" s="198">
        <v>1500</v>
      </c>
      <c r="BE38" s="188">
        <v>1132071</v>
      </c>
      <c r="BF38" s="195">
        <v>0</v>
      </c>
      <c r="BI38" s="45">
        <f t="shared" si="1"/>
        <v>44612370</v>
      </c>
      <c r="BJ38" s="20">
        <v>388283</v>
      </c>
      <c r="BK38" s="19">
        <f>SUM(BJ38-BJ33)</f>
        <v>3213</v>
      </c>
      <c r="BL38" s="74">
        <f>SUM(BK38*1.1251)+2076.11</f>
        <v>5691.0563000000002</v>
      </c>
      <c r="BM38" s="92">
        <v>11680.53</v>
      </c>
      <c r="BN38" s="45">
        <f t="shared" si="2"/>
        <v>5391164</v>
      </c>
      <c r="BO38" s="20">
        <v>45447</v>
      </c>
      <c r="BP38" s="19">
        <f>SUM(BO38-BO33)</f>
        <v>496</v>
      </c>
      <c r="BQ38" s="74">
        <f>SUM(BP38*0.8868)+1712.96</f>
        <v>2152.8128000000002</v>
      </c>
      <c r="BR38" s="45">
        <f t="shared" si="3"/>
        <v>756555</v>
      </c>
      <c r="BS38" s="20">
        <v>650560</v>
      </c>
      <c r="BT38" s="20">
        <v>30750.35</v>
      </c>
      <c r="BU38" s="105">
        <v>25075.15</v>
      </c>
      <c r="BV38" s="45">
        <f t="shared" si="4"/>
        <v>676900</v>
      </c>
      <c r="BW38" s="106">
        <v>26328</v>
      </c>
      <c r="BX38" s="46">
        <v>0</v>
      </c>
      <c r="BY38" s="105">
        <v>0</v>
      </c>
      <c r="BZ38" s="117">
        <f t="shared" ref="BZ38" si="77">SUM(BT38+BX38)</f>
        <v>30750.35</v>
      </c>
      <c r="CA38" s="105">
        <v>6828.29</v>
      </c>
      <c r="CB38" s="40"/>
      <c r="CC38" s="45">
        <f t="shared" si="5"/>
        <v>7058800</v>
      </c>
      <c r="CD38" s="128">
        <v>6885</v>
      </c>
      <c r="CE38" s="88">
        <f>SUM(CD38-CD33)</f>
        <v>9</v>
      </c>
      <c r="CF38" s="74">
        <f>SUM(CE38*1.1251)+129.67</f>
        <v>139.79589999999999</v>
      </c>
      <c r="CG38" s="92">
        <v>56.61</v>
      </c>
      <c r="CH38" s="92">
        <v>1102.8699999999999</v>
      </c>
      <c r="CI38" s="45">
        <f t="shared" si="6"/>
        <v>1002265</v>
      </c>
      <c r="CJ38" s="20">
        <v>17166</v>
      </c>
      <c r="CK38" s="19">
        <f>SUM(CJ38-CJ33)</f>
        <v>31</v>
      </c>
      <c r="CL38" s="74">
        <f>SUM(CK38*1.1251+207.57)</f>
        <v>242.44809999999998</v>
      </c>
      <c r="CM38" s="109">
        <v>194.99</v>
      </c>
      <c r="CN38" s="45">
        <f t="shared" si="7"/>
        <v>1920</v>
      </c>
      <c r="CO38" s="20">
        <v>6981</v>
      </c>
      <c r="CP38" s="25">
        <v>605.1</v>
      </c>
      <c r="CQ38" s="108">
        <v>495.26</v>
      </c>
      <c r="CR38" s="45">
        <f t="shared" si="8"/>
        <v>3767100</v>
      </c>
      <c r="CS38" s="20">
        <v>3728</v>
      </c>
      <c r="CT38" s="19">
        <f>SUM(CS38-CS33)</f>
        <v>2</v>
      </c>
      <c r="CU38" s="74">
        <f>SUM(CT38*1.1251)+207.57</f>
        <v>209.8202</v>
      </c>
      <c r="CV38" s="122"/>
      <c r="CW38" s="45">
        <f t="shared" si="9"/>
        <v>1132071</v>
      </c>
      <c r="CX38" s="20">
        <v>410264</v>
      </c>
      <c r="CY38" s="19">
        <f>SUM(CX38-CX33)</f>
        <v>7368</v>
      </c>
      <c r="CZ38" s="74">
        <f>SUM(CY38*0.8868)+1070.52</f>
        <v>7604.4624000000003</v>
      </c>
      <c r="DC38" s="20">
        <f>SUM(E3033,E38)</f>
        <v>1214350</v>
      </c>
      <c r="DD38" s="92" t="e">
        <f>SUM(BL38+CF38+CL38+#REF!+CU38)</f>
        <v>#REF!</v>
      </c>
      <c r="DE38" s="92">
        <f>SUM(BQ38+CZ38)</f>
        <v>9757.2752</v>
      </c>
      <c r="DF38" s="92">
        <f>SUM(BM38+CG38+CV38)</f>
        <v>11737.140000000001</v>
      </c>
      <c r="DG38" s="92" t="e">
        <f>SUM(DD38:DF38)</f>
        <v>#REF!</v>
      </c>
      <c r="DH38"/>
      <c r="DI38" s="111">
        <f>SUM(BU38+CQ38+BY38)</f>
        <v>25570.41</v>
      </c>
      <c r="DJ38" s="111">
        <f>SUM(CA38+CH38)</f>
        <v>7931.16</v>
      </c>
    </row>
    <row r="39" spans="2:114" s="120" customFormat="1" x14ac:dyDescent="0.25">
      <c r="B39" s="72">
        <v>44410</v>
      </c>
      <c r="C39" s="323">
        <v>44612370</v>
      </c>
      <c r="D39" s="324"/>
      <c r="E39" s="36">
        <f t="shared" ref="E39:E40" si="78">SUM(C39-C38)*10</f>
        <v>0</v>
      </c>
      <c r="F39" s="323">
        <v>5391164</v>
      </c>
      <c r="G39" s="324"/>
      <c r="H39" s="36">
        <f t="shared" ref="H39:H40" si="79">SUM(F39-F38)*10</f>
        <v>0</v>
      </c>
      <c r="I39" s="323">
        <v>17768</v>
      </c>
      <c r="J39" s="324"/>
      <c r="K39" s="36">
        <f t="shared" si="27"/>
        <v>0</v>
      </c>
      <c r="L39" s="323">
        <v>323597</v>
      </c>
      <c r="M39" s="324"/>
      <c r="N39" s="36">
        <f t="shared" si="13"/>
        <v>0</v>
      </c>
      <c r="O39" s="323">
        <v>13803</v>
      </c>
      <c r="P39" s="324"/>
      <c r="Q39" s="36">
        <f t="shared" si="53"/>
        <v>0</v>
      </c>
      <c r="R39" s="37"/>
      <c r="S39" s="323">
        <v>756555</v>
      </c>
      <c r="T39" s="324"/>
      <c r="U39" s="36">
        <f t="shared" si="54"/>
        <v>0</v>
      </c>
      <c r="V39" s="323">
        <v>676900</v>
      </c>
      <c r="W39" s="324"/>
      <c r="X39" s="36">
        <f t="shared" si="46"/>
        <v>0</v>
      </c>
      <c r="Y39" s="41">
        <f t="shared" si="47"/>
        <v>0</v>
      </c>
      <c r="Z39" s="38"/>
      <c r="AA39" s="188">
        <v>20531</v>
      </c>
      <c r="AB39" s="195">
        <v>0</v>
      </c>
      <c r="AC39" s="188">
        <v>548026900</v>
      </c>
      <c r="AD39" s="195">
        <v>0</v>
      </c>
      <c r="AE39" s="188">
        <v>112465</v>
      </c>
      <c r="AF39" s="195">
        <v>0</v>
      </c>
      <c r="AG39" s="188">
        <v>3525646</v>
      </c>
      <c r="AH39" s="195">
        <v>0</v>
      </c>
      <c r="AI39" s="188">
        <v>4297838</v>
      </c>
      <c r="AJ39" s="195">
        <v>0</v>
      </c>
      <c r="AK39" s="188">
        <v>22240</v>
      </c>
      <c r="AL39" s="195">
        <v>0</v>
      </c>
      <c r="AM39" s="188">
        <v>1165</v>
      </c>
      <c r="AN39" s="195">
        <v>0</v>
      </c>
      <c r="AO39" s="188">
        <v>12711</v>
      </c>
      <c r="AP39" s="195">
        <v>0</v>
      </c>
      <c r="AQ39" s="40"/>
      <c r="AR39" s="119">
        <f t="shared" si="0"/>
        <v>44410</v>
      </c>
      <c r="AS39" s="188">
        <v>1920</v>
      </c>
      <c r="AT39" s="195">
        <v>0</v>
      </c>
      <c r="AU39" s="196"/>
      <c r="AV39" s="188">
        <v>1002265</v>
      </c>
      <c r="AW39" s="195">
        <v>0</v>
      </c>
      <c r="AX39" s="188">
        <v>564232624</v>
      </c>
      <c r="AY39" s="195">
        <v>0</v>
      </c>
      <c r="AZ39" s="195">
        <v>0</v>
      </c>
      <c r="BA39" s="188">
        <v>7058800</v>
      </c>
      <c r="BB39" s="197">
        <v>0</v>
      </c>
      <c r="BC39" s="189">
        <v>3767100</v>
      </c>
      <c r="BD39" s="198">
        <v>0</v>
      </c>
      <c r="BE39" s="188">
        <v>1132071</v>
      </c>
      <c r="BF39" s="195">
        <v>0</v>
      </c>
      <c r="BI39" s="45">
        <f t="shared" si="1"/>
        <v>44612370</v>
      </c>
      <c r="BL39" s="121"/>
      <c r="BM39" s="121"/>
      <c r="BN39" s="45">
        <f t="shared" si="2"/>
        <v>5391164</v>
      </c>
      <c r="BR39" s="45">
        <f t="shared" si="3"/>
        <v>756555</v>
      </c>
      <c r="BU39" s="96"/>
      <c r="BV39" s="45">
        <f t="shared" si="4"/>
        <v>676900</v>
      </c>
      <c r="BW39" s="97"/>
      <c r="BX39" s="98"/>
      <c r="BY39" s="96"/>
      <c r="BZ39" s="98"/>
      <c r="CA39" s="96"/>
      <c r="CB39" s="40"/>
      <c r="CC39" s="45">
        <f t="shared" si="5"/>
        <v>7058800</v>
      </c>
      <c r="CF39" s="121"/>
      <c r="CG39" s="121"/>
      <c r="CH39" s="121"/>
      <c r="CI39" s="45">
        <f t="shared" si="6"/>
        <v>1002265</v>
      </c>
      <c r="CL39" s="121"/>
      <c r="CM39" s="122"/>
      <c r="CN39" s="45">
        <f t="shared" si="7"/>
        <v>1920</v>
      </c>
      <c r="CP39" s="123"/>
      <c r="CQ39" s="100"/>
      <c r="CR39" s="45">
        <f t="shared" si="8"/>
        <v>3767100</v>
      </c>
      <c r="CU39" s="121"/>
      <c r="CV39" s="122"/>
      <c r="CW39" s="45">
        <f t="shared" si="9"/>
        <v>1132071</v>
      </c>
      <c r="CZ39" s="121"/>
      <c r="DD39" s="124"/>
      <c r="DE39" s="124"/>
      <c r="DF39" s="124"/>
      <c r="DG39" s="124"/>
      <c r="DH39" s="125"/>
      <c r="DI39" s="126"/>
      <c r="DJ39" s="126"/>
    </row>
    <row r="40" spans="2:114" s="120" customFormat="1" x14ac:dyDescent="0.25">
      <c r="B40" s="72">
        <v>44417</v>
      </c>
      <c r="C40" s="323">
        <v>44745503</v>
      </c>
      <c r="D40" s="324"/>
      <c r="E40" s="36">
        <f t="shared" si="78"/>
        <v>1331330</v>
      </c>
      <c r="F40" s="323">
        <v>5416794</v>
      </c>
      <c r="G40" s="324"/>
      <c r="H40" s="36">
        <f t="shared" si="79"/>
        <v>256300</v>
      </c>
      <c r="I40" s="323">
        <v>17808</v>
      </c>
      <c r="J40" s="324"/>
      <c r="K40" s="36">
        <f t="shared" si="27"/>
        <v>400</v>
      </c>
      <c r="L40" s="323">
        <v>324659</v>
      </c>
      <c r="M40" s="324"/>
      <c r="N40" s="36">
        <f t="shared" si="13"/>
        <v>1062000</v>
      </c>
      <c r="O40" s="323">
        <v>14107</v>
      </c>
      <c r="P40" s="324"/>
      <c r="Q40" s="36">
        <f t="shared" si="53"/>
        <v>30400</v>
      </c>
      <c r="R40" s="37"/>
      <c r="S40" s="323">
        <v>758560</v>
      </c>
      <c r="T40" s="324"/>
      <c r="U40" s="36">
        <f t="shared" si="54"/>
        <v>200500</v>
      </c>
      <c r="V40" s="323">
        <v>678300</v>
      </c>
      <c r="W40" s="324"/>
      <c r="X40" s="36">
        <f t="shared" si="46"/>
        <v>140000</v>
      </c>
      <c r="Y40" s="41">
        <f t="shared" si="47"/>
        <v>340500</v>
      </c>
      <c r="Z40" s="38"/>
      <c r="AA40" s="188">
        <v>20831</v>
      </c>
      <c r="AB40" s="195">
        <v>3000000</v>
      </c>
      <c r="AC40" s="188">
        <v>556003700</v>
      </c>
      <c r="AD40" s="195">
        <v>797680</v>
      </c>
      <c r="AE40" s="188">
        <v>112631</v>
      </c>
      <c r="AF40" s="195">
        <v>1660</v>
      </c>
      <c r="AG40" s="188">
        <v>3531663</v>
      </c>
      <c r="AH40" s="195">
        <v>60170</v>
      </c>
      <c r="AI40" s="188">
        <v>4304486</v>
      </c>
      <c r="AJ40" s="195">
        <v>6648</v>
      </c>
      <c r="AK40" s="188">
        <v>22372</v>
      </c>
      <c r="AL40" s="195">
        <v>132000</v>
      </c>
      <c r="AM40" s="188">
        <v>1179</v>
      </c>
      <c r="AN40" s="195">
        <v>14</v>
      </c>
      <c r="AO40" s="188">
        <v>12729</v>
      </c>
      <c r="AP40" s="195">
        <v>1800</v>
      </c>
      <c r="AQ40" s="40"/>
      <c r="AR40" s="119">
        <f t="shared" si="0"/>
        <v>44417</v>
      </c>
      <c r="AS40" s="188">
        <v>1920</v>
      </c>
      <c r="AT40" s="195">
        <v>0</v>
      </c>
      <c r="AU40" s="196"/>
      <c r="AV40" s="188">
        <v>1051476</v>
      </c>
      <c r="AW40" s="195">
        <v>49211</v>
      </c>
      <c r="AX40" s="188">
        <v>568181434</v>
      </c>
      <c r="AY40" s="195">
        <v>39488</v>
      </c>
      <c r="AZ40" s="195">
        <v>9722.9</v>
      </c>
      <c r="BA40" s="188">
        <v>7060300</v>
      </c>
      <c r="BB40" s="197">
        <v>1500</v>
      </c>
      <c r="BC40" s="189">
        <v>3768300</v>
      </c>
      <c r="BD40" s="198">
        <v>1200</v>
      </c>
      <c r="BE40" s="188">
        <v>1132071</v>
      </c>
      <c r="BF40" s="195">
        <v>0</v>
      </c>
      <c r="BI40" s="45">
        <f t="shared" si="1"/>
        <v>44745503</v>
      </c>
      <c r="BL40" s="121"/>
      <c r="BM40" s="121"/>
      <c r="BN40" s="45">
        <f t="shared" si="2"/>
        <v>5416794</v>
      </c>
      <c r="BR40" s="45">
        <f t="shared" si="3"/>
        <v>758560</v>
      </c>
      <c r="BU40" s="96"/>
      <c r="BV40" s="45">
        <f t="shared" si="4"/>
        <v>678300</v>
      </c>
      <c r="BW40" s="97"/>
      <c r="BX40" s="98"/>
      <c r="BY40" s="96"/>
      <c r="BZ40" s="98"/>
      <c r="CA40" s="96"/>
      <c r="CB40" s="40"/>
      <c r="CC40" s="45">
        <f t="shared" si="5"/>
        <v>7060300</v>
      </c>
      <c r="CF40" s="121"/>
      <c r="CG40" s="121"/>
      <c r="CH40" s="121"/>
      <c r="CI40" s="45">
        <f t="shared" si="6"/>
        <v>1051476</v>
      </c>
      <c r="CL40" s="121"/>
      <c r="CM40" s="122"/>
      <c r="CN40" s="45">
        <f t="shared" si="7"/>
        <v>1920</v>
      </c>
      <c r="CP40" s="123"/>
      <c r="CQ40" s="100"/>
      <c r="CR40" s="45">
        <f t="shared" si="8"/>
        <v>3768300</v>
      </c>
      <c r="CU40" s="121"/>
      <c r="CV40" s="122"/>
      <c r="CW40" s="45">
        <f t="shared" si="9"/>
        <v>1132071</v>
      </c>
      <c r="CZ40" s="121"/>
      <c r="DD40" s="124"/>
      <c r="DE40" s="124"/>
      <c r="DF40" s="124"/>
      <c r="DG40" s="124"/>
      <c r="DH40" s="125"/>
      <c r="DI40" s="126"/>
      <c r="DJ40" s="126"/>
    </row>
    <row r="41" spans="2:114" s="120" customFormat="1" x14ac:dyDescent="0.25">
      <c r="B41" s="72">
        <v>44424</v>
      </c>
      <c r="C41" s="323">
        <v>44878224</v>
      </c>
      <c r="D41" s="324"/>
      <c r="E41" s="36">
        <f t="shared" ref="E41" si="80">SUM(C41-C40)*10</f>
        <v>1327210</v>
      </c>
      <c r="F41" s="323">
        <v>5441168</v>
      </c>
      <c r="G41" s="324"/>
      <c r="H41" s="36">
        <f t="shared" ref="H41" si="81">SUM(F41-F40)*10</f>
        <v>243740</v>
      </c>
      <c r="I41" s="323">
        <v>17825</v>
      </c>
      <c r="J41" s="324"/>
      <c r="K41" s="36">
        <f t="shared" si="27"/>
        <v>170</v>
      </c>
      <c r="L41" s="323">
        <v>325682</v>
      </c>
      <c r="M41" s="324"/>
      <c r="N41" s="36">
        <f t="shared" si="13"/>
        <v>1023000</v>
      </c>
      <c r="O41" s="323">
        <v>14425</v>
      </c>
      <c r="P41" s="324"/>
      <c r="Q41" s="36">
        <f t="shared" si="53"/>
        <v>31800</v>
      </c>
      <c r="R41" s="37"/>
      <c r="S41" s="323">
        <v>760590</v>
      </c>
      <c r="T41" s="324"/>
      <c r="U41" s="36">
        <f t="shared" si="54"/>
        <v>203000</v>
      </c>
      <c r="V41" s="323">
        <v>680690</v>
      </c>
      <c r="W41" s="324"/>
      <c r="X41" s="36">
        <f t="shared" si="46"/>
        <v>239000</v>
      </c>
      <c r="Y41" s="41">
        <f t="shared" si="47"/>
        <v>442000</v>
      </c>
      <c r="Z41" s="38"/>
      <c r="AA41" s="188">
        <v>21147</v>
      </c>
      <c r="AB41" s="195">
        <v>3160000</v>
      </c>
      <c r="AC41" s="188">
        <v>564585700</v>
      </c>
      <c r="AD41" s="195">
        <v>858200</v>
      </c>
      <c r="AE41" s="188">
        <v>112910</v>
      </c>
      <c r="AF41" s="195">
        <v>2790</v>
      </c>
      <c r="AG41" s="188">
        <v>3542790</v>
      </c>
      <c r="AH41" s="195">
        <v>111270</v>
      </c>
      <c r="AI41" s="188">
        <v>4309680</v>
      </c>
      <c r="AJ41" s="195">
        <v>5194</v>
      </c>
      <c r="AK41" s="188">
        <v>22500</v>
      </c>
      <c r="AL41" s="195">
        <v>128000</v>
      </c>
      <c r="AM41" s="188">
        <v>1185</v>
      </c>
      <c r="AN41" s="195">
        <v>6</v>
      </c>
      <c r="AO41" s="188">
        <v>12770</v>
      </c>
      <c r="AP41" s="195">
        <v>4100</v>
      </c>
      <c r="AQ41" s="40"/>
      <c r="AR41" s="119">
        <f t="shared" si="0"/>
        <v>44424</v>
      </c>
      <c r="AS41" s="188">
        <v>2092</v>
      </c>
      <c r="AT41" s="195">
        <v>93</v>
      </c>
      <c r="AU41" s="196"/>
      <c r="AV41" s="188">
        <v>1101937</v>
      </c>
      <c r="AW41" s="195">
        <v>50461</v>
      </c>
      <c r="AX41" s="188">
        <v>572134572</v>
      </c>
      <c r="AY41" s="195">
        <v>39531</v>
      </c>
      <c r="AZ41" s="195">
        <v>10929.62</v>
      </c>
      <c r="BA41" s="188">
        <v>7066300</v>
      </c>
      <c r="BB41" s="197">
        <v>6000</v>
      </c>
      <c r="BC41" s="189">
        <v>3769600</v>
      </c>
      <c r="BD41" s="198">
        <v>1300</v>
      </c>
      <c r="BE41" s="188">
        <v>1132086</v>
      </c>
      <c r="BF41" s="195">
        <v>15</v>
      </c>
      <c r="BI41" s="45">
        <f t="shared" si="1"/>
        <v>44878224</v>
      </c>
      <c r="BL41" s="121"/>
      <c r="BM41" s="121"/>
      <c r="BN41" s="45">
        <f t="shared" si="2"/>
        <v>5441168</v>
      </c>
      <c r="BR41" s="45">
        <f t="shared" si="3"/>
        <v>760590</v>
      </c>
      <c r="BU41" s="96"/>
      <c r="BV41" s="45">
        <f t="shared" si="4"/>
        <v>680690</v>
      </c>
      <c r="BW41" s="97"/>
      <c r="BX41" s="98"/>
      <c r="BY41" s="96"/>
      <c r="BZ41" s="98"/>
      <c r="CA41" s="96"/>
      <c r="CB41" s="40"/>
      <c r="CC41" s="45">
        <f t="shared" si="5"/>
        <v>7066300</v>
      </c>
      <c r="CF41" s="121"/>
      <c r="CG41" s="121"/>
      <c r="CH41" s="121"/>
      <c r="CI41" s="45">
        <f t="shared" si="6"/>
        <v>1101937</v>
      </c>
      <c r="CL41" s="121"/>
      <c r="CM41" s="122"/>
      <c r="CN41" s="45">
        <f t="shared" si="7"/>
        <v>2092</v>
      </c>
      <c r="CP41" s="123"/>
      <c r="CQ41" s="100"/>
      <c r="CR41" s="45">
        <f>(BC42)</f>
        <v>3771100</v>
      </c>
      <c r="CU41" s="121"/>
      <c r="CV41" s="122"/>
      <c r="CW41" s="45">
        <f t="shared" si="9"/>
        <v>1132086</v>
      </c>
      <c r="CZ41" s="121"/>
      <c r="DD41" s="124"/>
      <c r="DE41" s="124"/>
      <c r="DF41" s="124"/>
      <c r="DG41" s="124"/>
      <c r="DH41" s="125"/>
      <c r="DI41" s="126"/>
      <c r="DJ41" s="126"/>
    </row>
    <row r="42" spans="2:114" s="120" customFormat="1" x14ac:dyDescent="0.25">
      <c r="B42" s="72">
        <v>44431</v>
      </c>
      <c r="C42" s="323">
        <v>45000415</v>
      </c>
      <c r="D42" s="324"/>
      <c r="E42" s="36">
        <f t="shared" ref="E42" si="82">SUM(C42-C41)*10</f>
        <v>1221910</v>
      </c>
      <c r="F42" s="323">
        <v>5455166</v>
      </c>
      <c r="G42" s="324"/>
      <c r="H42" s="36">
        <f t="shared" ref="H42" si="83">SUM(F42-F41)*10</f>
        <v>139980</v>
      </c>
      <c r="I42" s="323">
        <v>17845</v>
      </c>
      <c r="J42" s="324"/>
      <c r="K42" s="36">
        <f t="shared" si="27"/>
        <v>200</v>
      </c>
      <c r="L42" s="323">
        <v>326620</v>
      </c>
      <c r="M42" s="324"/>
      <c r="N42" s="36">
        <f t="shared" si="13"/>
        <v>938000</v>
      </c>
      <c r="O42" s="323">
        <v>14714</v>
      </c>
      <c r="P42" s="324"/>
      <c r="Q42" s="36">
        <f t="shared" si="53"/>
        <v>28900</v>
      </c>
      <c r="R42" s="37"/>
      <c r="S42" s="323">
        <v>762356</v>
      </c>
      <c r="T42" s="324"/>
      <c r="U42" s="36">
        <f t="shared" si="54"/>
        <v>176600</v>
      </c>
      <c r="V42" s="323">
        <v>681810</v>
      </c>
      <c r="W42" s="324"/>
      <c r="X42" s="36">
        <f t="shared" si="46"/>
        <v>112000</v>
      </c>
      <c r="Y42" s="41">
        <f t="shared" si="47"/>
        <v>288600</v>
      </c>
      <c r="Z42" s="38"/>
      <c r="AA42" s="188">
        <v>21476</v>
      </c>
      <c r="AB42" s="195">
        <v>3290000</v>
      </c>
      <c r="AC42" s="188">
        <v>573432200</v>
      </c>
      <c r="AD42" s="195">
        <v>884650</v>
      </c>
      <c r="AE42" s="188">
        <v>113175</v>
      </c>
      <c r="AF42" s="195">
        <v>2650</v>
      </c>
      <c r="AG42" s="188">
        <v>3553748</v>
      </c>
      <c r="AH42" s="195">
        <v>109580</v>
      </c>
      <c r="AI42" s="188">
        <v>4316258</v>
      </c>
      <c r="AJ42" s="195">
        <v>6578</v>
      </c>
      <c r="AK42" s="188">
        <v>22600</v>
      </c>
      <c r="AL42" s="195">
        <v>100000</v>
      </c>
      <c r="AM42" s="188">
        <v>1190</v>
      </c>
      <c r="AN42" s="195">
        <v>5</v>
      </c>
      <c r="AO42" s="188">
        <v>12799</v>
      </c>
      <c r="AP42" s="195">
        <v>2900</v>
      </c>
      <c r="AQ42" s="40"/>
      <c r="AR42" s="119">
        <f t="shared" si="0"/>
        <v>44431</v>
      </c>
      <c r="AS42" s="188">
        <v>2186</v>
      </c>
      <c r="AT42" s="195">
        <v>94</v>
      </c>
      <c r="AU42" s="196"/>
      <c r="AV42" s="188">
        <v>1157734</v>
      </c>
      <c r="AW42" s="195">
        <v>55797</v>
      </c>
      <c r="AX42" s="188">
        <v>576638140</v>
      </c>
      <c r="AY42" s="195">
        <v>45036</v>
      </c>
      <c r="AZ42" s="195">
        <v>10761.32</v>
      </c>
      <c r="BA42" s="188">
        <v>7071000</v>
      </c>
      <c r="BB42" s="197">
        <v>4700</v>
      </c>
      <c r="BC42" s="189">
        <v>3771100</v>
      </c>
      <c r="BD42" s="198">
        <v>1500</v>
      </c>
      <c r="BE42" s="188">
        <v>1132199</v>
      </c>
      <c r="BF42" s="195">
        <v>113</v>
      </c>
      <c r="BI42" s="45">
        <f t="shared" si="1"/>
        <v>45000415</v>
      </c>
      <c r="BL42" s="121"/>
      <c r="BM42" s="121"/>
      <c r="BN42" s="45">
        <f t="shared" si="2"/>
        <v>5455166</v>
      </c>
      <c r="BR42" s="45">
        <f t="shared" si="3"/>
        <v>762356</v>
      </c>
      <c r="BU42" s="96"/>
      <c r="BV42" s="45">
        <f t="shared" si="4"/>
        <v>681810</v>
      </c>
      <c r="BW42" s="97"/>
      <c r="BX42" s="98"/>
      <c r="BY42" s="96"/>
      <c r="BZ42" s="98"/>
      <c r="CA42" s="96"/>
      <c r="CB42" s="40"/>
      <c r="CC42" s="45">
        <f t="shared" si="5"/>
        <v>7071000</v>
      </c>
      <c r="CF42" s="121"/>
      <c r="CG42" s="121"/>
      <c r="CH42" s="121"/>
      <c r="CI42" s="45">
        <f t="shared" si="6"/>
        <v>1157734</v>
      </c>
      <c r="CL42" s="121"/>
      <c r="CM42" s="122"/>
      <c r="CN42" s="45">
        <f t="shared" si="7"/>
        <v>2186</v>
      </c>
      <c r="CP42" s="123"/>
      <c r="CQ42" s="100"/>
      <c r="CR42" s="45">
        <f>(BC43)</f>
        <v>3772400</v>
      </c>
      <c r="CU42" s="121"/>
      <c r="CV42" s="122"/>
      <c r="CW42" s="45">
        <f t="shared" si="9"/>
        <v>1132199</v>
      </c>
      <c r="CZ42" s="121"/>
      <c r="DD42" s="124"/>
      <c r="DE42" s="124"/>
      <c r="DF42" s="124"/>
      <c r="DG42" s="124"/>
      <c r="DH42" s="125"/>
      <c r="DI42" s="126"/>
      <c r="DJ42" s="126"/>
    </row>
    <row r="43" spans="2:114" s="120" customFormat="1" x14ac:dyDescent="0.25">
      <c r="B43" s="72">
        <v>44438</v>
      </c>
      <c r="C43" s="307">
        <v>45102317</v>
      </c>
      <c r="D43" s="307"/>
      <c r="E43" s="36">
        <f t="shared" ref="E43" si="84">SUM(C43-C42)*10</f>
        <v>1019020</v>
      </c>
      <c r="F43" s="307">
        <v>5455194</v>
      </c>
      <c r="G43" s="307"/>
      <c r="H43" s="36">
        <f t="shared" ref="H43" si="85">SUM(F43-F42)*10</f>
        <v>280</v>
      </c>
      <c r="I43" s="307">
        <v>17869</v>
      </c>
      <c r="J43" s="307"/>
      <c r="K43" s="36">
        <f t="shared" si="27"/>
        <v>240</v>
      </c>
      <c r="L43" s="307">
        <v>327393</v>
      </c>
      <c r="M43" s="307"/>
      <c r="N43" s="36">
        <f t="shared" si="13"/>
        <v>773000</v>
      </c>
      <c r="O43" s="307">
        <v>15029</v>
      </c>
      <c r="P43" s="307"/>
      <c r="Q43" s="36">
        <f t="shared" si="53"/>
        <v>31500</v>
      </c>
      <c r="R43" s="37"/>
      <c r="S43" s="307">
        <v>764038</v>
      </c>
      <c r="T43" s="307"/>
      <c r="U43" s="36">
        <f t="shared" si="54"/>
        <v>168200</v>
      </c>
      <c r="V43" s="307">
        <v>683590</v>
      </c>
      <c r="W43" s="307"/>
      <c r="X43" s="36">
        <f t="shared" si="46"/>
        <v>178000</v>
      </c>
      <c r="Y43" s="41">
        <f t="shared" si="47"/>
        <v>346200</v>
      </c>
      <c r="Z43" s="38"/>
      <c r="AA43" s="20">
        <v>21768</v>
      </c>
      <c r="AB43" s="42">
        <f t="shared" ref="AB43" si="86">SUM(AA43-AA42)*10000</f>
        <v>2920000</v>
      </c>
      <c r="AC43" s="20">
        <v>580423400</v>
      </c>
      <c r="AD43" s="42">
        <f t="shared" ref="AD43" si="87">SUM(AC43-AC42)*0.1</f>
        <v>699120</v>
      </c>
      <c r="AE43" s="20">
        <v>113244</v>
      </c>
      <c r="AF43" s="42">
        <f t="shared" ref="AF43" si="88">SUM(AE43-AE42)*10</f>
        <v>690</v>
      </c>
      <c r="AG43" s="20">
        <v>3562269</v>
      </c>
      <c r="AH43" s="42">
        <f t="shared" ref="AH43" si="89">SUM(AG43-AG42)*10</f>
        <v>85210</v>
      </c>
      <c r="AI43" s="20">
        <v>4324187</v>
      </c>
      <c r="AJ43" s="42">
        <f t="shared" ref="AJ43" si="90">SUM(AI43-AI42)</f>
        <v>7929</v>
      </c>
      <c r="AK43" s="20">
        <v>22700</v>
      </c>
      <c r="AL43" s="42">
        <f t="shared" ref="AL43" si="91">SUM(AK43-AK42)*1000</f>
        <v>100000</v>
      </c>
      <c r="AM43" s="20">
        <v>1190</v>
      </c>
      <c r="AN43" s="42">
        <f t="shared" ref="AN43" si="92">SUM(AM43-AM42)</f>
        <v>0</v>
      </c>
      <c r="AO43" s="20">
        <v>12837</v>
      </c>
      <c r="AP43" s="42">
        <f t="shared" ref="AP43" si="93">SUM(AO43-AO42)*100</f>
        <v>3800</v>
      </c>
      <c r="AQ43" s="40"/>
      <c r="AR43" s="119">
        <f t="shared" si="0"/>
        <v>44438</v>
      </c>
      <c r="AS43" s="20">
        <v>2258</v>
      </c>
      <c r="AT43" s="42">
        <f t="shared" ref="AT43" si="94">SUM(AS43-AS42)</f>
        <v>72</v>
      </c>
      <c r="AU43" s="14"/>
      <c r="AV43" s="20">
        <v>1199830</v>
      </c>
      <c r="AW43" s="42">
        <f t="shared" ref="AW43" si="95">SUM(AV43-AV42)</f>
        <v>42096</v>
      </c>
      <c r="AX43" s="20">
        <v>580067277</v>
      </c>
      <c r="AY43" s="43">
        <f t="shared" ref="AY43" si="96">SUM(AX43-AX42)/100</f>
        <v>34291.370000000003</v>
      </c>
      <c r="AZ43" s="42">
        <f t="shared" ref="AZ43" si="97">SUM(AW43-AY43)</f>
        <v>7804.6299999999974</v>
      </c>
      <c r="BA43" s="20">
        <v>7073600</v>
      </c>
      <c r="BB43" s="260">
        <f t="shared" ref="BB43" si="98">SUM(BA43-BA42)</f>
        <v>2600</v>
      </c>
      <c r="BC43" s="93">
        <v>3772400</v>
      </c>
      <c r="BD43" s="94">
        <f t="shared" ref="BD43" si="99">SUM(BC43-BC42)</f>
        <v>1300</v>
      </c>
      <c r="BE43" s="20">
        <v>1132199</v>
      </c>
      <c r="BF43" s="42">
        <f t="shared" ref="BF43" si="100">SUM(BE43-BE42)</f>
        <v>0</v>
      </c>
      <c r="BI43" s="45">
        <f t="shared" si="1"/>
        <v>45102317</v>
      </c>
      <c r="BL43" s="121"/>
      <c r="BM43" s="121"/>
      <c r="BN43" s="45">
        <f t="shared" si="2"/>
        <v>5455194</v>
      </c>
      <c r="BR43" s="45">
        <f t="shared" si="3"/>
        <v>764038</v>
      </c>
      <c r="BU43" s="96"/>
      <c r="BV43" s="45">
        <f t="shared" si="4"/>
        <v>683590</v>
      </c>
      <c r="BW43" s="97"/>
      <c r="BX43" s="98"/>
      <c r="BY43" s="96"/>
      <c r="BZ43" s="98"/>
      <c r="CA43" s="96"/>
      <c r="CB43" s="40"/>
      <c r="CC43" s="45">
        <f t="shared" si="5"/>
        <v>7073600</v>
      </c>
      <c r="CF43" s="121"/>
      <c r="CG43" s="121"/>
      <c r="CH43" s="121"/>
      <c r="CI43" s="45">
        <f t="shared" si="6"/>
        <v>1199830</v>
      </c>
      <c r="CL43" s="121"/>
      <c r="CM43" s="122"/>
      <c r="CN43" s="45">
        <f t="shared" si="7"/>
        <v>2258</v>
      </c>
      <c r="CP43" s="123"/>
      <c r="CQ43" s="100"/>
      <c r="CR43" s="45">
        <f>(BC44)</f>
        <v>3774100</v>
      </c>
      <c r="CU43" s="121"/>
      <c r="CV43" s="122"/>
      <c r="CW43" s="45">
        <f t="shared" si="9"/>
        <v>1132199</v>
      </c>
      <c r="CZ43" s="121"/>
      <c r="DD43" s="124"/>
      <c r="DE43" s="124"/>
      <c r="DF43" s="124"/>
      <c r="DG43" s="124"/>
      <c r="DH43" s="125"/>
      <c r="DI43" s="126"/>
      <c r="DJ43" s="126"/>
    </row>
    <row r="44" spans="2:114" s="120" customFormat="1" x14ac:dyDescent="0.25">
      <c r="B44" s="72">
        <v>44445</v>
      </c>
      <c r="C44" s="307">
        <v>45220825</v>
      </c>
      <c r="D44" s="307"/>
      <c r="E44" s="36">
        <f t="shared" ref="E44:E51" si="101">SUM(C44-C43)*10</f>
        <v>1185080</v>
      </c>
      <c r="F44" s="307">
        <v>5467166</v>
      </c>
      <c r="G44" s="307"/>
      <c r="H44" s="36">
        <f t="shared" ref="H44:H51" si="102">SUM(F44-F43)*10</f>
        <v>119720</v>
      </c>
      <c r="I44" s="307">
        <v>17888</v>
      </c>
      <c r="J44" s="307"/>
      <c r="K44" s="36">
        <f t="shared" si="27"/>
        <v>190</v>
      </c>
      <c r="L44" s="307">
        <v>328296</v>
      </c>
      <c r="M44" s="307"/>
      <c r="N44" s="36">
        <f t="shared" si="13"/>
        <v>903000</v>
      </c>
      <c r="O44" s="307">
        <v>15358</v>
      </c>
      <c r="P44" s="307"/>
      <c r="Q44" s="36">
        <f>SUM(O44-O43)*100</f>
        <v>32900</v>
      </c>
      <c r="R44" s="37"/>
      <c r="S44" s="307">
        <v>765892</v>
      </c>
      <c r="T44" s="307"/>
      <c r="U44" s="36">
        <f t="shared" si="54"/>
        <v>185400</v>
      </c>
      <c r="V44" s="307">
        <v>685410</v>
      </c>
      <c r="W44" s="307"/>
      <c r="X44" s="36">
        <f t="shared" si="46"/>
        <v>182000</v>
      </c>
      <c r="Y44" s="41">
        <f t="shared" si="47"/>
        <v>367400</v>
      </c>
      <c r="Z44" s="38"/>
      <c r="AA44" s="20">
        <v>22072</v>
      </c>
      <c r="AB44" s="42">
        <f>SUM(AA44-AA42)*10000</f>
        <v>5960000</v>
      </c>
      <c r="AC44" s="20">
        <v>588822700</v>
      </c>
      <c r="AD44" s="42">
        <f>SUM(AC44-AC42)*0.1</f>
        <v>1539050</v>
      </c>
      <c r="AE44" s="20">
        <v>113447</v>
      </c>
      <c r="AF44" s="42">
        <f>SUM(AE44-AE42)*10</f>
        <v>2720</v>
      </c>
      <c r="AG44" s="20">
        <v>3570425</v>
      </c>
      <c r="AH44" s="42">
        <f>SUM(AG44-AG42)*10</f>
        <v>166770</v>
      </c>
      <c r="AI44" s="20">
        <v>4332022</v>
      </c>
      <c r="AJ44" s="42">
        <f>SUM(AI44-AI42)</f>
        <v>15764</v>
      </c>
      <c r="AK44" s="20">
        <v>22815</v>
      </c>
      <c r="AL44" s="42">
        <f>SUM(AK44-AK42)*1000</f>
        <v>215000</v>
      </c>
      <c r="AM44" s="20">
        <v>1190</v>
      </c>
      <c r="AN44" s="42">
        <f>SUM(AM44-AM42)</f>
        <v>0</v>
      </c>
      <c r="AO44" s="20">
        <v>12850</v>
      </c>
      <c r="AP44" s="42">
        <f>SUM(AO44-AO42)*100</f>
        <v>5100</v>
      </c>
      <c r="AQ44" s="40"/>
      <c r="AR44" s="119">
        <f t="shared" si="0"/>
        <v>44445</v>
      </c>
      <c r="AS44" s="20">
        <v>2338</v>
      </c>
      <c r="AT44" s="42">
        <f>SUM(AS44-AS42)</f>
        <v>152</v>
      </c>
      <c r="AU44" s="14"/>
      <c r="AV44" s="20">
        <v>1248913</v>
      </c>
      <c r="AW44" s="42">
        <f>SUM(AV44-AV42)</f>
        <v>91179</v>
      </c>
      <c r="AX44" s="20">
        <v>584016704</v>
      </c>
      <c r="AY44" s="42">
        <f>SUM(AX44-AX42)/100</f>
        <v>73785.64</v>
      </c>
      <c r="AZ44" s="42">
        <f>SUM(AX44-AX42)*10</f>
        <v>73785640</v>
      </c>
      <c r="BA44" s="20">
        <v>7076100</v>
      </c>
      <c r="BB44" s="42">
        <f>SUM(BA44-BA42)</f>
        <v>5100</v>
      </c>
      <c r="BC44" s="93">
        <v>3774100</v>
      </c>
      <c r="BD44" s="42">
        <f>SUM(BC44-BC42)</f>
        <v>3000</v>
      </c>
      <c r="BE44" s="20">
        <v>1132237</v>
      </c>
      <c r="BF44" s="42">
        <f>SUM(BE44-BE42)</f>
        <v>38</v>
      </c>
      <c r="BI44" s="45">
        <f t="shared" si="1"/>
        <v>45220825</v>
      </c>
      <c r="BL44" s="121"/>
      <c r="BM44" s="121"/>
      <c r="BN44" s="45">
        <f t="shared" si="2"/>
        <v>5467166</v>
      </c>
      <c r="BR44" s="45">
        <f t="shared" si="3"/>
        <v>765892</v>
      </c>
      <c r="BU44" s="96"/>
      <c r="BV44" s="45">
        <f t="shared" si="4"/>
        <v>685410</v>
      </c>
      <c r="BW44" s="97"/>
      <c r="BX44" s="98"/>
      <c r="BY44" s="96"/>
      <c r="BZ44" s="98"/>
      <c r="CA44" s="96"/>
      <c r="CB44" s="40"/>
      <c r="CC44" s="45">
        <f t="shared" si="5"/>
        <v>7076100</v>
      </c>
      <c r="CF44" s="121"/>
      <c r="CG44" s="121"/>
      <c r="CH44" s="121"/>
      <c r="CI44" s="45">
        <f t="shared" si="6"/>
        <v>1248913</v>
      </c>
      <c r="CL44" s="121"/>
      <c r="CM44" s="122"/>
      <c r="CN44" s="45">
        <f t="shared" si="7"/>
        <v>2338</v>
      </c>
      <c r="CP44" s="123"/>
      <c r="CQ44" s="100"/>
      <c r="CR44" s="45" t="e">
        <f>(#REF!)</f>
        <v>#REF!</v>
      </c>
      <c r="CU44" s="121"/>
      <c r="CV44" s="122"/>
      <c r="CW44" s="45">
        <f t="shared" si="9"/>
        <v>1132237</v>
      </c>
      <c r="CZ44" s="121"/>
      <c r="DD44" s="124"/>
      <c r="DE44" s="124"/>
      <c r="DF44" s="124"/>
      <c r="DG44" s="124"/>
      <c r="DH44" s="125"/>
      <c r="DI44" s="126"/>
      <c r="DJ44" s="126"/>
    </row>
    <row r="45" spans="2:114" x14ac:dyDescent="0.25">
      <c r="B45" s="72">
        <v>44452</v>
      </c>
      <c r="C45" s="323">
        <v>45330216</v>
      </c>
      <c r="D45" s="324"/>
      <c r="E45" s="36">
        <f t="shared" si="101"/>
        <v>1093910</v>
      </c>
      <c r="F45" s="323">
        <v>5491142</v>
      </c>
      <c r="G45" s="324"/>
      <c r="H45" s="36">
        <f t="shared" si="102"/>
        <v>239760</v>
      </c>
      <c r="I45" s="323">
        <v>17903</v>
      </c>
      <c r="J45" s="324"/>
      <c r="K45" s="36">
        <f t="shared" si="27"/>
        <v>150</v>
      </c>
      <c r="L45" s="323">
        <v>329137</v>
      </c>
      <c r="M45" s="324"/>
      <c r="N45" s="36">
        <f t="shared" si="13"/>
        <v>841000</v>
      </c>
      <c r="O45" s="323">
        <v>15687</v>
      </c>
      <c r="P45" s="324"/>
      <c r="Q45" s="36">
        <f t="shared" si="53"/>
        <v>32900</v>
      </c>
      <c r="R45" s="37"/>
      <c r="S45" s="323">
        <v>767753</v>
      </c>
      <c r="T45" s="324"/>
      <c r="U45" s="36">
        <f t="shared" si="54"/>
        <v>186100</v>
      </c>
      <c r="V45" s="323">
        <v>687260</v>
      </c>
      <c r="W45" s="324"/>
      <c r="X45" s="36">
        <f t="shared" si="46"/>
        <v>185000</v>
      </c>
      <c r="Y45" s="41">
        <f t="shared" ref="Y45:Y51" si="103">SUM(U45+X45)</f>
        <v>371100</v>
      </c>
      <c r="Z45" s="38"/>
      <c r="AA45" s="188">
        <v>22366</v>
      </c>
      <c r="AB45" s="195">
        <v>2940000</v>
      </c>
      <c r="AC45" s="188">
        <v>597260200</v>
      </c>
      <c r="AD45" s="195">
        <v>843750</v>
      </c>
      <c r="AE45" s="188">
        <v>113537</v>
      </c>
      <c r="AF45" s="195">
        <v>900</v>
      </c>
      <c r="AG45" s="188">
        <v>3581426</v>
      </c>
      <c r="AH45" s="195">
        <v>110010</v>
      </c>
      <c r="AI45" s="188">
        <v>4337591</v>
      </c>
      <c r="AJ45" s="195">
        <v>5569</v>
      </c>
      <c r="AK45" s="188">
        <v>22910</v>
      </c>
      <c r="AL45" s="195">
        <v>95000</v>
      </c>
      <c r="AM45" s="188">
        <v>1190</v>
      </c>
      <c r="AN45" s="195">
        <v>0</v>
      </c>
      <c r="AO45" s="188">
        <v>12869</v>
      </c>
      <c r="AP45" s="195">
        <v>1900</v>
      </c>
      <c r="AQ45" s="40"/>
      <c r="AR45" s="119">
        <f t="shared" si="0"/>
        <v>44452</v>
      </c>
      <c r="AS45" s="188">
        <v>2425</v>
      </c>
      <c r="AT45" s="195">
        <v>87</v>
      </c>
      <c r="AU45" s="196"/>
      <c r="AV45" s="188">
        <v>1299125</v>
      </c>
      <c r="AW45" s="195">
        <v>50212</v>
      </c>
      <c r="AX45" s="188">
        <v>587986529</v>
      </c>
      <c r="AY45" s="195">
        <v>39698</v>
      </c>
      <c r="AZ45" s="195">
        <v>10513.75</v>
      </c>
      <c r="BA45" s="188">
        <v>7079200</v>
      </c>
      <c r="BB45" s="197">
        <v>3100</v>
      </c>
      <c r="BC45" s="189">
        <v>3776000</v>
      </c>
      <c r="BD45" s="198">
        <v>1900</v>
      </c>
      <c r="BE45" s="188">
        <v>1132237</v>
      </c>
      <c r="BF45" s="195">
        <v>0</v>
      </c>
    </row>
    <row r="46" spans="2:114" x14ac:dyDescent="0.25">
      <c r="B46" s="72">
        <f t="shared" ref="B46:B47" si="104">B45+7</f>
        <v>44459</v>
      </c>
      <c r="C46" s="323"/>
      <c r="D46" s="324"/>
      <c r="E46" s="36">
        <f t="shared" si="101"/>
        <v>-453302160</v>
      </c>
      <c r="F46" s="323"/>
      <c r="G46" s="324"/>
      <c r="H46" s="36">
        <f t="shared" si="102"/>
        <v>-54911420</v>
      </c>
      <c r="I46" s="323"/>
      <c r="J46" s="324"/>
      <c r="K46" s="36">
        <f t="shared" si="27"/>
        <v>-179030</v>
      </c>
      <c r="L46" s="323"/>
      <c r="M46" s="324"/>
      <c r="N46" s="36">
        <f t="shared" si="13"/>
        <v>-329137000</v>
      </c>
      <c r="O46" s="323"/>
      <c r="P46" s="324"/>
      <c r="Q46" s="36">
        <f t="shared" si="53"/>
        <v>-1568700</v>
      </c>
      <c r="R46" s="37"/>
      <c r="S46" s="323"/>
      <c r="T46" s="324"/>
      <c r="U46" s="36">
        <f t="shared" si="54"/>
        <v>-76775300</v>
      </c>
      <c r="V46" s="323"/>
      <c r="W46" s="324"/>
      <c r="X46" s="36">
        <f t="shared" ref="X46:X51" si="105">SUM(V46-V45)*100</f>
        <v>-68726000</v>
      </c>
      <c r="Y46" s="41">
        <f t="shared" si="103"/>
        <v>-145501300</v>
      </c>
      <c r="Z46" s="38"/>
      <c r="AA46" s="188"/>
      <c r="AB46" s="36">
        <f t="shared" ref="AB46:AB51" si="106">SUM(AA46-AA45)*10000</f>
        <v>-223660000</v>
      </c>
      <c r="AC46" s="188"/>
      <c r="AD46" s="36">
        <f t="shared" ref="AD46:AD51" si="107">SUM(AC46-AC45)*0.1</f>
        <v>-59726020</v>
      </c>
      <c r="AE46" s="188"/>
      <c r="AF46" s="36">
        <f t="shared" ref="AF46:AF51" si="108">SUM(AE46-AE45)*10</f>
        <v>-1135370</v>
      </c>
      <c r="AG46" s="188"/>
      <c r="AH46" s="36">
        <f t="shared" ref="AH46:AH51" si="109">SUM(AG46-AG45)*10</f>
        <v>-35814260</v>
      </c>
      <c r="AI46" s="188"/>
      <c r="AJ46" s="36">
        <f t="shared" ref="AJ46:AJ51" si="110">SUM(AI46-AI45)</f>
        <v>-4337591</v>
      </c>
      <c r="AK46" s="188"/>
      <c r="AL46" s="36">
        <f t="shared" ref="AL46:AL51" si="111">SUM(AK46-AK45)*1000</f>
        <v>-22910000</v>
      </c>
      <c r="AM46" s="39"/>
      <c r="AN46" s="42">
        <f t="shared" ref="AN46:AN51" si="112">SUM(AM46-AM45)*1000</f>
        <v>-1190000</v>
      </c>
      <c r="AO46" s="188"/>
      <c r="AP46" s="36">
        <f t="shared" ref="AP46:AP51" si="113">SUM(AO46-AO45)*100</f>
        <v>-1286900</v>
      </c>
      <c r="AQ46" s="40"/>
      <c r="AR46" s="119">
        <f t="shared" si="0"/>
        <v>44459</v>
      </c>
      <c r="AS46" s="188"/>
      <c r="AT46" s="36">
        <f t="shared" ref="AT46:AT51" si="114">SUM(AS46-AS45)</f>
        <v>-2425</v>
      </c>
      <c r="AU46" s="40"/>
      <c r="AV46" s="188"/>
      <c r="AW46" s="36">
        <f t="shared" ref="AW46:AW51" si="115">SUM(AV46-AV45)</f>
        <v>-1299125</v>
      </c>
      <c r="AX46" s="188"/>
      <c r="AY46" s="43">
        <f t="shared" ref="AY46:AY51" si="116">SUM(AX46-AX45)/100</f>
        <v>-5879865.29</v>
      </c>
      <c r="AZ46" s="36">
        <f t="shared" ref="AZ46:AZ51" si="117">SUM(AW46-AY46)</f>
        <v>4580740.29</v>
      </c>
      <c r="BA46" s="188"/>
      <c r="BB46" s="36">
        <f t="shared" ref="BB46:BB51" si="118">SUM(BA46-BA45)</f>
        <v>-7079200</v>
      </c>
      <c r="BC46" s="190"/>
      <c r="BD46" s="36">
        <f t="shared" ref="BD46:BD51" si="119">SUM(BC46-BC45)</f>
        <v>-3776000</v>
      </c>
      <c r="BE46" s="188"/>
      <c r="BF46" s="36">
        <f t="shared" ref="BF46:BF51" si="120">SUM(BE46-BE45)</f>
        <v>-1132237</v>
      </c>
    </row>
    <row r="47" spans="2:114" x14ac:dyDescent="0.25">
      <c r="B47" s="72">
        <f t="shared" si="104"/>
        <v>44466</v>
      </c>
      <c r="C47" s="323"/>
      <c r="D47" s="324"/>
      <c r="E47" s="36"/>
      <c r="F47" s="323"/>
      <c r="G47" s="324"/>
      <c r="H47" s="36"/>
      <c r="I47" s="323"/>
      <c r="J47" s="324"/>
      <c r="K47" s="36"/>
      <c r="L47" s="323"/>
      <c r="M47" s="324"/>
      <c r="N47" s="36"/>
      <c r="O47" s="323"/>
      <c r="P47" s="324"/>
      <c r="Q47" s="36"/>
      <c r="R47" s="37"/>
      <c r="S47" s="323"/>
      <c r="T47" s="324"/>
      <c r="U47" s="36"/>
      <c r="V47" s="323"/>
      <c r="W47" s="324"/>
      <c r="X47" s="36"/>
      <c r="Y47" s="41"/>
      <c r="Z47" s="38"/>
      <c r="AA47" s="188"/>
      <c r="AB47" s="36"/>
      <c r="AC47" s="188"/>
      <c r="AD47" s="36"/>
      <c r="AE47" s="188"/>
      <c r="AF47" s="36"/>
      <c r="AG47" s="188"/>
      <c r="AH47" s="36"/>
      <c r="AI47" s="188"/>
      <c r="AJ47" s="36"/>
      <c r="AK47" s="188"/>
      <c r="AL47" s="36"/>
      <c r="AM47" s="39"/>
      <c r="AN47" s="42"/>
      <c r="AO47" s="188"/>
      <c r="AP47" s="36"/>
      <c r="AQ47" s="40"/>
      <c r="AR47" s="119">
        <f t="shared" si="0"/>
        <v>44466</v>
      </c>
      <c r="AS47" s="188"/>
      <c r="AT47" s="36"/>
      <c r="AU47" s="40"/>
      <c r="AV47" s="188"/>
      <c r="AW47" s="36"/>
      <c r="AX47" s="188"/>
      <c r="AY47" s="43"/>
      <c r="AZ47" s="36"/>
      <c r="BA47" s="188"/>
      <c r="BB47" s="36"/>
      <c r="BC47" s="190"/>
      <c r="BD47" s="36"/>
      <c r="BE47" s="188"/>
      <c r="BF47" s="36"/>
    </row>
    <row r="48" spans="2:114" x14ac:dyDescent="0.25">
      <c r="B48" s="72">
        <v>44470</v>
      </c>
      <c r="C48" s="323"/>
      <c r="D48" s="324"/>
      <c r="E48" s="36">
        <f>SUM(C48-C46)*10</f>
        <v>0</v>
      </c>
      <c r="F48" s="323"/>
      <c r="G48" s="324"/>
      <c r="H48" s="36">
        <f>SUM(F48-F46)*10</f>
        <v>0</v>
      </c>
      <c r="I48" s="323"/>
      <c r="J48" s="324"/>
      <c r="K48" s="36">
        <f>SUM(I48-I46)*10</f>
        <v>0</v>
      </c>
      <c r="L48" s="323"/>
      <c r="M48" s="324"/>
      <c r="N48" s="36">
        <f>SUM(L48-L46)*1000</f>
        <v>0</v>
      </c>
      <c r="O48" s="323"/>
      <c r="P48" s="324"/>
      <c r="Q48" s="36">
        <f>SUM(O48-O46)*100</f>
        <v>0</v>
      </c>
      <c r="R48" s="37"/>
      <c r="S48" s="323"/>
      <c r="T48" s="324"/>
      <c r="U48" s="36">
        <f>SUM(S48-S46)*100</f>
        <v>0</v>
      </c>
      <c r="V48" s="323"/>
      <c r="W48" s="324"/>
      <c r="X48" s="36">
        <f>SUM(V48-V46)*100</f>
        <v>0</v>
      </c>
      <c r="Y48" s="41">
        <f t="shared" si="103"/>
        <v>0</v>
      </c>
      <c r="Z48" s="38"/>
      <c r="AA48" s="188"/>
      <c r="AB48" s="36">
        <f>SUM(AA48-AA46)*10000</f>
        <v>0</v>
      </c>
      <c r="AC48" s="188"/>
      <c r="AD48" s="36">
        <f>SUM(AC48-AC46)*0.1</f>
        <v>0</v>
      </c>
      <c r="AE48" s="188"/>
      <c r="AF48" s="36">
        <f>SUM(AE48-AE46)*10</f>
        <v>0</v>
      </c>
      <c r="AG48" s="188"/>
      <c r="AH48" s="36">
        <f>SUM(AG48-AG46)*10</f>
        <v>0</v>
      </c>
      <c r="AI48" s="188"/>
      <c r="AJ48" s="36">
        <f>SUM(AI48-AI46)</f>
        <v>0</v>
      </c>
      <c r="AK48" s="188"/>
      <c r="AL48" s="36">
        <f>SUM(AK48-AK46)*1000</f>
        <v>0</v>
      </c>
      <c r="AM48" s="39"/>
      <c r="AN48" s="42">
        <f>SUM(AM48-AM46)*1000</f>
        <v>0</v>
      </c>
      <c r="AO48" s="188"/>
      <c r="AP48" s="36">
        <f>SUM(AO48-AO46)*100</f>
        <v>0</v>
      </c>
      <c r="AQ48" s="40"/>
      <c r="AR48" s="119">
        <f t="shared" si="0"/>
        <v>44470</v>
      </c>
      <c r="AS48" s="188"/>
      <c r="AT48" s="36">
        <f>SUM(AS48-AS46)</f>
        <v>0</v>
      </c>
      <c r="AU48" s="40"/>
      <c r="AV48" s="188"/>
      <c r="AW48" s="36">
        <f>SUM(AV48-AV46)</f>
        <v>0</v>
      </c>
      <c r="AX48" s="188"/>
      <c r="AY48" s="43">
        <f>SUM(AX48-AX46)/100</f>
        <v>0</v>
      </c>
      <c r="AZ48" s="36">
        <f t="shared" si="117"/>
        <v>0</v>
      </c>
      <c r="BA48" s="188"/>
      <c r="BB48" s="36">
        <f>SUM(BA48-BA46)</f>
        <v>0</v>
      </c>
      <c r="BC48" s="190"/>
      <c r="BD48" s="36">
        <f>SUM(BC48-BC46)</f>
        <v>0</v>
      </c>
      <c r="BE48" s="188"/>
      <c r="BF48" s="36">
        <f>SUM(BE48-BE46)</f>
        <v>0</v>
      </c>
    </row>
    <row r="49" spans="2:58" x14ac:dyDescent="0.25">
      <c r="B49" s="72">
        <v>44473</v>
      </c>
      <c r="C49" s="323"/>
      <c r="D49" s="324"/>
      <c r="E49" s="36">
        <f t="shared" si="101"/>
        <v>0</v>
      </c>
      <c r="F49" s="323"/>
      <c r="G49" s="324"/>
      <c r="H49" s="36">
        <f t="shared" si="102"/>
        <v>0</v>
      </c>
      <c r="I49" s="323"/>
      <c r="J49" s="324"/>
      <c r="K49" s="36">
        <f t="shared" si="27"/>
        <v>0</v>
      </c>
      <c r="L49" s="323"/>
      <c r="M49" s="324"/>
      <c r="N49" s="36">
        <f t="shared" si="13"/>
        <v>0</v>
      </c>
      <c r="O49" s="323"/>
      <c r="P49" s="324"/>
      <c r="Q49" s="36">
        <f t="shared" si="53"/>
        <v>0</v>
      </c>
      <c r="R49" s="37"/>
      <c r="S49" s="323"/>
      <c r="T49" s="324"/>
      <c r="U49" s="36">
        <f t="shared" si="54"/>
        <v>0</v>
      </c>
      <c r="V49" s="323"/>
      <c r="W49" s="324"/>
      <c r="X49" s="36">
        <f t="shared" si="105"/>
        <v>0</v>
      </c>
      <c r="Y49" s="41">
        <f t="shared" si="103"/>
        <v>0</v>
      </c>
      <c r="Z49" s="38"/>
      <c r="AA49" s="188"/>
      <c r="AB49" s="36">
        <f t="shared" si="106"/>
        <v>0</v>
      </c>
      <c r="AC49" s="188"/>
      <c r="AD49" s="36">
        <f t="shared" si="107"/>
        <v>0</v>
      </c>
      <c r="AE49" s="188"/>
      <c r="AF49" s="36">
        <f t="shared" si="108"/>
        <v>0</v>
      </c>
      <c r="AG49" s="188"/>
      <c r="AH49" s="36">
        <f t="shared" si="109"/>
        <v>0</v>
      </c>
      <c r="AI49" s="188"/>
      <c r="AJ49" s="36">
        <f t="shared" si="110"/>
        <v>0</v>
      </c>
      <c r="AK49" s="188"/>
      <c r="AL49" s="36">
        <f t="shared" si="111"/>
        <v>0</v>
      </c>
      <c r="AM49" s="39"/>
      <c r="AN49" s="42">
        <f t="shared" si="112"/>
        <v>0</v>
      </c>
      <c r="AO49" s="188"/>
      <c r="AP49" s="36">
        <f t="shared" si="113"/>
        <v>0</v>
      </c>
      <c r="AQ49" s="40"/>
      <c r="AR49" s="24">
        <v>44105</v>
      </c>
      <c r="AS49" s="188"/>
      <c r="AT49" s="36">
        <f t="shared" si="114"/>
        <v>0</v>
      </c>
      <c r="AU49" s="40"/>
      <c r="AV49" s="188"/>
      <c r="AW49" s="36">
        <f t="shared" si="115"/>
        <v>0</v>
      </c>
      <c r="AX49" s="188"/>
      <c r="AY49" s="43">
        <f t="shared" si="116"/>
        <v>0</v>
      </c>
      <c r="AZ49" s="36">
        <f t="shared" si="117"/>
        <v>0</v>
      </c>
      <c r="BA49" s="188"/>
      <c r="BB49" s="36">
        <f t="shared" si="118"/>
        <v>0</v>
      </c>
      <c r="BC49" s="190"/>
      <c r="BD49" s="36">
        <f t="shared" si="119"/>
        <v>0</v>
      </c>
      <c r="BE49" s="188"/>
      <c r="BF49" s="36">
        <f t="shared" si="120"/>
        <v>0</v>
      </c>
    </row>
    <row r="50" spans="2:58" x14ac:dyDescent="0.25">
      <c r="B50" s="72">
        <f>B49+7</f>
        <v>44480</v>
      </c>
      <c r="C50" s="323"/>
      <c r="D50" s="324"/>
      <c r="E50" s="36">
        <f t="shared" si="101"/>
        <v>0</v>
      </c>
      <c r="F50" s="323"/>
      <c r="G50" s="324"/>
      <c r="H50" s="36">
        <f t="shared" si="102"/>
        <v>0</v>
      </c>
      <c r="I50" s="323"/>
      <c r="J50" s="324"/>
      <c r="K50" s="36">
        <f t="shared" si="27"/>
        <v>0</v>
      </c>
      <c r="L50" s="323"/>
      <c r="M50" s="324"/>
      <c r="N50" s="36">
        <f t="shared" si="13"/>
        <v>0</v>
      </c>
      <c r="O50" s="323"/>
      <c r="P50" s="324"/>
      <c r="Q50" s="36">
        <f t="shared" si="53"/>
        <v>0</v>
      </c>
      <c r="R50" s="37"/>
      <c r="S50" s="323"/>
      <c r="T50" s="324"/>
      <c r="U50" s="36">
        <f t="shared" si="54"/>
        <v>0</v>
      </c>
      <c r="V50" s="323"/>
      <c r="W50" s="324"/>
      <c r="X50" s="36">
        <f t="shared" si="105"/>
        <v>0</v>
      </c>
      <c r="Y50" s="41">
        <f t="shared" si="103"/>
        <v>0</v>
      </c>
      <c r="Z50" s="38"/>
      <c r="AA50" s="188"/>
      <c r="AB50" s="36">
        <f t="shared" si="106"/>
        <v>0</v>
      </c>
      <c r="AC50" s="188"/>
      <c r="AD50" s="36">
        <f t="shared" si="107"/>
        <v>0</v>
      </c>
      <c r="AE50" s="188"/>
      <c r="AF50" s="36">
        <f t="shared" si="108"/>
        <v>0</v>
      </c>
      <c r="AG50" s="188"/>
      <c r="AH50" s="36">
        <f t="shared" si="109"/>
        <v>0</v>
      </c>
      <c r="AI50" s="188"/>
      <c r="AJ50" s="36">
        <f t="shared" si="110"/>
        <v>0</v>
      </c>
      <c r="AK50" s="188"/>
      <c r="AL50" s="36">
        <f t="shared" si="111"/>
        <v>0</v>
      </c>
      <c r="AM50" s="39"/>
      <c r="AN50" s="42">
        <f t="shared" si="112"/>
        <v>0</v>
      </c>
      <c r="AO50" s="188"/>
      <c r="AP50" s="36">
        <f t="shared" si="113"/>
        <v>0</v>
      </c>
      <c r="AQ50" s="40"/>
      <c r="AR50" s="24">
        <v>44109</v>
      </c>
      <c r="AS50" s="188"/>
      <c r="AT50" s="36">
        <f t="shared" si="114"/>
        <v>0</v>
      </c>
      <c r="AU50" s="40"/>
      <c r="AV50" s="188"/>
      <c r="AW50" s="36">
        <f t="shared" si="115"/>
        <v>0</v>
      </c>
      <c r="AX50" s="188"/>
      <c r="AY50" s="43">
        <f t="shared" si="116"/>
        <v>0</v>
      </c>
      <c r="AZ50" s="36">
        <f t="shared" si="117"/>
        <v>0</v>
      </c>
      <c r="BA50" s="188"/>
      <c r="BB50" s="36">
        <f t="shared" si="118"/>
        <v>0</v>
      </c>
      <c r="BC50" s="190"/>
      <c r="BD50" s="36">
        <f t="shared" si="119"/>
        <v>0</v>
      </c>
      <c r="BE50" s="188"/>
      <c r="BF50" s="36">
        <f t="shared" si="120"/>
        <v>0</v>
      </c>
    </row>
    <row r="51" spans="2:58" x14ac:dyDescent="0.25">
      <c r="B51" s="72">
        <f t="shared" ref="B51:B52" si="121">B50+7</f>
        <v>44487</v>
      </c>
      <c r="C51" s="323"/>
      <c r="D51" s="324"/>
      <c r="E51" s="36">
        <f t="shared" si="101"/>
        <v>0</v>
      </c>
      <c r="F51" s="323"/>
      <c r="G51" s="324"/>
      <c r="H51" s="36">
        <f t="shared" si="102"/>
        <v>0</v>
      </c>
      <c r="I51" s="323"/>
      <c r="J51" s="324"/>
      <c r="K51" s="36">
        <f t="shared" si="27"/>
        <v>0</v>
      </c>
      <c r="L51" s="323"/>
      <c r="M51" s="324"/>
      <c r="N51" s="36">
        <f t="shared" si="13"/>
        <v>0</v>
      </c>
      <c r="O51" s="323"/>
      <c r="P51" s="324"/>
      <c r="Q51" s="36">
        <f t="shared" si="53"/>
        <v>0</v>
      </c>
      <c r="R51" s="37"/>
      <c r="S51" s="323"/>
      <c r="T51" s="324"/>
      <c r="U51" s="36">
        <f t="shared" si="54"/>
        <v>0</v>
      </c>
      <c r="V51" s="323"/>
      <c r="W51" s="324"/>
      <c r="X51" s="36">
        <f t="shared" si="105"/>
        <v>0</v>
      </c>
      <c r="Y51" s="41">
        <f t="shared" si="103"/>
        <v>0</v>
      </c>
      <c r="Z51" s="38"/>
      <c r="AA51" s="188"/>
      <c r="AB51" s="36">
        <f t="shared" si="106"/>
        <v>0</v>
      </c>
      <c r="AC51" s="188"/>
      <c r="AD51" s="36">
        <f t="shared" si="107"/>
        <v>0</v>
      </c>
      <c r="AE51" s="188"/>
      <c r="AF51" s="36">
        <f t="shared" si="108"/>
        <v>0</v>
      </c>
      <c r="AG51" s="188"/>
      <c r="AH51" s="36">
        <f t="shared" si="109"/>
        <v>0</v>
      </c>
      <c r="AI51" s="188"/>
      <c r="AJ51" s="36">
        <f t="shared" si="110"/>
        <v>0</v>
      </c>
      <c r="AK51" s="188"/>
      <c r="AL51" s="36">
        <f t="shared" si="111"/>
        <v>0</v>
      </c>
      <c r="AM51" s="39"/>
      <c r="AN51" s="42">
        <f t="shared" si="112"/>
        <v>0</v>
      </c>
      <c r="AO51" s="188"/>
      <c r="AP51" s="36">
        <f t="shared" si="113"/>
        <v>0</v>
      </c>
      <c r="AQ51" s="40"/>
      <c r="AR51" s="24">
        <f>AR50+7</f>
        <v>44116</v>
      </c>
      <c r="AS51" s="188"/>
      <c r="AT51" s="36">
        <f t="shared" si="114"/>
        <v>0</v>
      </c>
      <c r="AU51" s="40"/>
      <c r="AV51" s="188"/>
      <c r="AW51" s="36">
        <f t="shared" si="115"/>
        <v>0</v>
      </c>
      <c r="AX51" s="188"/>
      <c r="AY51" s="43">
        <f t="shared" si="116"/>
        <v>0</v>
      </c>
      <c r="AZ51" s="36">
        <f t="shared" si="117"/>
        <v>0</v>
      </c>
      <c r="BA51" s="188"/>
      <c r="BB51" s="36">
        <f t="shared" si="118"/>
        <v>0</v>
      </c>
      <c r="BC51" s="190"/>
      <c r="BD51" s="36">
        <f t="shared" si="119"/>
        <v>0</v>
      </c>
      <c r="BE51" s="188"/>
      <c r="BF51" s="36">
        <f t="shared" si="120"/>
        <v>0</v>
      </c>
    </row>
    <row r="52" spans="2:58" x14ac:dyDescent="0.25">
      <c r="B52" s="72">
        <f t="shared" si="121"/>
        <v>44494</v>
      </c>
      <c r="AQ52" s="40"/>
      <c r="AR52" s="24">
        <f t="shared" ref="AR52:AR53" si="122">AR51+7</f>
        <v>44123</v>
      </c>
    </row>
    <row r="53" spans="2:58" x14ac:dyDescent="0.25">
      <c r="B53" s="72">
        <v>44501</v>
      </c>
      <c r="AR53" s="24">
        <f t="shared" si="122"/>
        <v>44130</v>
      </c>
    </row>
    <row r="54" spans="2:58" x14ac:dyDescent="0.25">
      <c r="B54" s="72">
        <v>44508</v>
      </c>
      <c r="AR54" s="24">
        <v>44136</v>
      </c>
    </row>
    <row r="55" spans="2:58" x14ac:dyDescent="0.25">
      <c r="B55" s="72">
        <f>B54+7</f>
        <v>44515</v>
      </c>
      <c r="AR55" s="24">
        <v>44137</v>
      </c>
    </row>
    <row r="56" spans="2:58" x14ac:dyDescent="0.25">
      <c r="B56" s="72">
        <f t="shared" ref="B56:B58" si="123">B55+7</f>
        <v>44522</v>
      </c>
      <c r="AR56" s="24">
        <f>AR55+7</f>
        <v>44144</v>
      </c>
    </row>
    <row r="57" spans="2:58" x14ac:dyDescent="0.25">
      <c r="B57" s="72">
        <f t="shared" si="123"/>
        <v>44529</v>
      </c>
      <c r="AR57" s="24">
        <f t="shared" ref="AR57:AR59" si="124">AR56+7</f>
        <v>44151</v>
      </c>
    </row>
    <row r="58" spans="2:58" x14ac:dyDescent="0.25">
      <c r="B58" s="72">
        <f t="shared" si="123"/>
        <v>44536</v>
      </c>
      <c r="AR58" s="24">
        <f t="shared" si="124"/>
        <v>44158</v>
      </c>
    </row>
    <row r="59" spans="2:58" x14ac:dyDescent="0.25">
      <c r="B59" s="72">
        <v>44531</v>
      </c>
      <c r="AR59" s="24">
        <f t="shared" si="124"/>
        <v>44165</v>
      </c>
    </row>
    <row r="60" spans="2:58" x14ac:dyDescent="0.25">
      <c r="B60" s="72">
        <v>44537</v>
      </c>
      <c r="AR60" s="24">
        <v>44166</v>
      </c>
    </row>
    <row r="61" spans="2:58" x14ac:dyDescent="0.25">
      <c r="B61" s="72">
        <f>B60+7</f>
        <v>44544</v>
      </c>
      <c r="AR61" s="24">
        <v>44172</v>
      </c>
    </row>
    <row r="62" spans="2:58" x14ac:dyDescent="0.25">
      <c r="B62" s="72">
        <f t="shared" ref="B62:B63" si="125">B61+7</f>
        <v>44551</v>
      </c>
      <c r="AR62" s="24">
        <f>AR61+7</f>
        <v>44179</v>
      </c>
    </row>
    <row r="63" spans="2:58" x14ac:dyDescent="0.25">
      <c r="B63" s="72">
        <f t="shared" si="125"/>
        <v>44558</v>
      </c>
      <c r="AR63" s="24">
        <f t="shared" ref="AR63:AR64" si="126">AR62+7</f>
        <v>44186</v>
      </c>
    </row>
    <row r="64" spans="2:58" x14ac:dyDescent="0.25">
      <c r="B64" s="72">
        <v>44562</v>
      </c>
      <c r="AR64" s="24">
        <f t="shared" si="126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8:D48"/>
    <mergeCell ref="C49:D49"/>
    <mergeCell ref="C50:D50"/>
    <mergeCell ref="C51:D51"/>
    <mergeCell ref="F45:G45"/>
    <mergeCell ref="F46:G46"/>
    <mergeCell ref="F48:G48"/>
    <mergeCell ref="F49:G49"/>
    <mergeCell ref="F50:G50"/>
    <mergeCell ref="F51:G51"/>
    <mergeCell ref="C47:D47"/>
    <mergeCell ref="F47:G47"/>
    <mergeCell ref="I45:J45"/>
    <mergeCell ref="I46:J46"/>
    <mergeCell ref="I48:J48"/>
    <mergeCell ref="I49:J49"/>
    <mergeCell ref="I50:J50"/>
    <mergeCell ref="I51:J51"/>
    <mergeCell ref="L45:M45"/>
    <mergeCell ref="L46:M46"/>
    <mergeCell ref="L48:M48"/>
    <mergeCell ref="L49:M49"/>
    <mergeCell ref="L50:M50"/>
    <mergeCell ref="L51:M51"/>
    <mergeCell ref="I47:J47"/>
    <mergeCell ref="L47:M47"/>
    <mergeCell ref="V45:W45"/>
    <mergeCell ref="V46:W46"/>
    <mergeCell ref="V48:W48"/>
    <mergeCell ref="V49:W49"/>
    <mergeCell ref="V50:W50"/>
    <mergeCell ref="V51:W51"/>
    <mergeCell ref="O45:P45"/>
    <mergeCell ref="O46:P46"/>
    <mergeCell ref="O48:P48"/>
    <mergeCell ref="O49:P49"/>
    <mergeCell ref="O50:P50"/>
    <mergeCell ref="O51:P51"/>
    <mergeCell ref="S45:T45"/>
    <mergeCell ref="S46:T46"/>
    <mergeCell ref="S48:T48"/>
    <mergeCell ref="S49:T49"/>
    <mergeCell ref="S50:T50"/>
    <mergeCell ref="S51:T51"/>
    <mergeCell ref="O47:P47"/>
    <mergeCell ref="S47:T47"/>
    <mergeCell ref="V47:W47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15" workbookViewId="0">
      <selection activeCell="K220" sqref="K220"/>
    </sheetView>
  </sheetViews>
  <sheetFormatPr defaultColWidth="13.28515625" defaultRowHeight="15" x14ac:dyDescent="0.25"/>
  <cols>
    <col min="1" max="1" width="18" style="201" customWidth="1"/>
    <col min="2" max="2" width="3" style="201" customWidth="1"/>
    <col min="3" max="3" width="17.42578125" style="201" customWidth="1"/>
    <col min="4" max="4" width="40.85546875" style="201" customWidth="1"/>
    <col min="5" max="10" width="14.28515625" style="201" customWidth="1"/>
    <col min="11" max="18" width="13.28515625" style="201"/>
    <col min="19" max="19" width="19" style="201" customWidth="1"/>
    <col min="20" max="16384" width="13.28515625" style="201"/>
  </cols>
  <sheetData>
    <row r="1" spans="1:10" x14ac:dyDescent="0.25">
      <c r="A1" s="200"/>
      <c r="B1" s="200"/>
      <c r="C1" s="200" t="s">
        <v>449</v>
      </c>
      <c r="D1" s="200" t="s">
        <v>450</v>
      </c>
      <c r="E1" s="200" t="s">
        <v>451</v>
      </c>
      <c r="F1" s="200" t="s">
        <v>452</v>
      </c>
      <c r="G1" s="200" t="s">
        <v>453</v>
      </c>
      <c r="H1" s="200"/>
      <c r="I1" s="200"/>
      <c r="J1" s="200"/>
    </row>
    <row r="2" spans="1:10" x14ac:dyDescent="0.25">
      <c r="A2" s="200"/>
      <c r="B2" s="200"/>
      <c r="C2" s="200" t="s">
        <v>454</v>
      </c>
      <c r="D2" s="200" t="s">
        <v>454</v>
      </c>
      <c r="E2" s="200" t="s">
        <v>454</v>
      </c>
      <c r="F2" s="200" t="s">
        <v>454</v>
      </c>
      <c r="G2" s="200" t="s">
        <v>454</v>
      </c>
      <c r="H2" s="200" t="s">
        <v>454</v>
      </c>
      <c r="I2" s="200" t="s">
        <v>454</v>
      </c>
      <c r="J2" s="200" t="s">
        <v>455</v>
      </c>
    </row>
    <row r="3" spans="1:10" x14ac:dyDescent="0.25">
      <c r="A3" s="200"/>
      <c r="B3" s="200"/>
      <c r="C3" s="200" t="s">
        <v>456</v>
      </c>
      <c r="D3" s="200" t="s">
        <v>456</v>
      </c>
      <c r="E3" s="200" t="s">
        <v>456</v>
      </c>
      <c r="F3" s="200" t="s">
        <v>456</v>
      </c>
      <c r="G3" s="200" t="s">
        <v>456</v>
      </c>
      <c r="H3" s="200" t="s">
        <v>456</v>
      </c>
      <c r="I3" s="200" t="s">
        <v>456</v>
      </c>
      <c r="J3" s="200" t="s">
        <v>457</v>
      </c>
    </row>
    <row r="4" spans="1:10" x14ac:dyDescent="0.25">
      <c r="A4" s="200"/>
      <c r="B4" s="200"/>
      <c r="C4" s="202" t="s">
        <v>458</v>
      </c>
      <c r="D4" s="202" t="s">
        <v>459</v>
      </c>
      <c r="E4" s="202" t="s">
        <v>460</v>
      </c>
      <c r="F4" s="202" t="s">
        <v>461</v>
      </c>
      <c r="G4" s="202" t="s">
        <v>462</v>
      </c>
      <c r="H4" s="202" t="s">
        <v>463</v>
      </c>
      <c r="I4" s="202" t="s">
        <v>464</v>
      </c>
      <c r="J4" s="202" t="s">
        <v>465</v>
      </c>
    </row>
    <row r="5" spans="1:10" x14ac:dyDescent="0.25">
      <c r="A5" s="200"/>
      <c r="B5" s="200"/>
      <c r="C5" s="200" t="s">
        <v>466</v>
      </c>
      <c r="D5" s="200" t="s">
        <v>466</v>
      </c>
      <c r="E5" s="200" t="s">
        <v>466</v>
      </c>
      <c r="F5" s="200" t="s">
        <v>466</v>
      </c>
      <c r="G5" s="200" t="s">
        <v>466</v>
      </c>
      <c r="H5" s="200" t="s">
        <v>466</v>
      </c>
      <c r="I5" s="200" t="s">
        <v>466</v>
      </c>
      <c r="J5" s="200" t="s">
        <v>466</v>
      </c>
    </row>
    <row r="6" spans="1:10" x14ac:dyDescent="0.25">
      <c r="A6" s="200"/>
      <c r="B6" s="200"/>
      <c r="C6" s="200" t="s">
        <v>307</v>
      </c>
      <c r="D6" s="200" t="s">
        <v>307</v>
      </c>
      <c r="E6" s="200" t="s">
        <v>307</v>
      </c>
      <c r="F6" s="200" t="s">
        <v>307</v>
      </c>
      <c r="G6" s="200" t="s">
        <v>307</v>
      </c>
      <c r="H6" s="200" t="s">
        <v>307</v>
      </c>
      <c r="I6" s="200" t="s">
        <v>307</v>
      </c>
      <c r="J6" s="200" t="s">
        <v>307</v>
      </c>
    </row>
    <row r="7" spans="1:10" x14ac:dyDescent="0.25">
      <c r="A7" s="200"/>
      <c r="B7" s="200"/>
      <c r="C7" s="200"/>
      <c r="D7" s="200"/>
      <c r="E7" s="200"/>
      <c r="F7" s="200"/>
      <c r="G7" s="200"/>
      <c r="H7" s="200"/>
      <c r="I7" s="200"/>
      <c r="J7" s="200"/>
    </row>
    <row r="8" spans="1:10" x14ac:dyDescent="0.25">
      <c r="A8" s="200" t="s">
        <v>313</v>
      </c>
      <c r="B8" s="202" t="s">
        <v>312</v>
      </c>
      <c r="C8" s="200">
        <v>0</v>
      </c>
      <c r="D8" s="200">
        <v>281</v>
      </c>
      <c r="E8" s="200">
        <v>359</v>
      </c>
      <c r="F8" s="200">
        <v>309</v>
      </c>
      <c r="G8" s="200">
        <v>368</v>
      </c>
      <c r="H8" s="200">
        <v>410</v>
      </c>
      <c r="I8" s="200">
        <v>377</v>
      </c>
      <c r="J8" s="200">
        <v>283</v>
      </c>
    </row>
    <row r="9" spans="1:10" x14ac:dyDescent="0.25">
      <c r="A9" s="200" t="s">
        <v>313</v>
      </c>
      <c r="B9" s="202" t="s">
        <v>314</v>
      </c>
      <c r="C9" s="200">
        <v>0</v>
      </c>
      <c r="D9" s="200">
        <v>281</v>
      </c>
      <c r="E9" s="200">
        <v>261</v>
      </c>
      <c r="F9" s="200">
        <v>232</v>
      </c>
      <c r="G9" s="200">
        <v>316</v>
      </c>
      <c r="H9" s="200">
        <v>427</v>
      </c>
      <c r="I9" s="200">
        <v>379</v>
      </c>
      <c r="J9" s="200">
        <v>194</v>
      </c>
    </row>
    <row r="10" spans="1:10" x14ac:dyDescent="0.25">
      <c r="A10" s="200" t="s">
        <v>313</v>
      </c>
      <c r="B10" s="202" t="s">
        <v>315</v>
      </c>
      <c r="C10" s="200">
        <v>0</v>
      </c>
      <c r="D10" s="200">
        <v>243</v>
      </c>
      <c r="E10" s="200">
        <v>237</v>
      </c>
      <c r="F10" s="200">
        <v>307</v>
      </c>
      <c r="G10" s="200">
        <v>382</v>
      </c>
      <c r="H10" s="200">
        <v>415</v>
      </c>
      <c r="I10" s="200">
        <v>314</v>
      </c>
      <c r="J10" s="200">
        <v>109</v>
      </c>
    </row>
    <row r="11" spans="1:10" x14ac:dyDescent="0.25">
      <c r="A11" s="200" t="s">
        <v>313</v>
      </c>
      <c r="B11" s="202" t="s">
        <v>316</v>
      </c>
      <c r="C11" s="200">
        <v>0</v>
      </c>
      <c r="D11" s="200">
        <v>206</v>
      </c>
      <c r="E11" s="200">
        <v>341</v>
      </c>
      <c r="F11" s="200">
        <v>350</v>
      </c>
      <c r="G11" s="200">
        <v>421</v>
      </c>
      <c r="H11" s="200">
        <v>388</v>
      </c>
      <c r="I11" s="200">
        <v>210</v>
      </c>
      <c r="J11" s="200">
        <v>85</v>
      </c>
    </row>
    <row r="12" spans="1:10" x14ac:dyDescent="0.25">
      <c r="A12" s="200" t="s">
        <v>313</v>
      </c>
      <c r="B12" s="202" t="s">
        <v>317</v>
      </c>
      <c r="C12" s="200">
        <v>0</v>
      </c>
      <c r="D12" s="200">
        <v>240</v>
      </c>
      <c r="E12" s="200">
        <v>414</v>
      </c>
      <c r="F12" s="200">
        <v>337</v>
      </c>
      <c r="G12" s="200">
        <v>400</v>
      </c>
      <c r="H12" s="200">
        <v>287</v>
      </c>
      <c r="I12" s="200">
        <v>157</v>
      </c>
      <c r="J12" s="200">
        <v>85</v>
      </c>
    </row>
    <row r="13" spans="1:10" x14ac:dyDescent="0.25">
      <c r="A13" s="200" t="s">
        <v>313</v>
      </c>
      <c r="B13" s="202" t="s">
        <v>318</v>
      </c>
      <c r="C13" s="200">
        <v>0</v>
      </c>
      <c r="D13" s="200">
        <v>296</v>
      </c>
      <c r="E13" s="200">
        <v>408</v>
      </c>
      <c r="F13" s="200">
        <v>342</v>
      </c>
      <c r="G13" s="200">
        <v>341</v>
      </c>
      <c r="H13" s="200">
        <v>250</v>
      </c>
      <c r="I13" s="200">
        <v>146</v>
      </c>
      <c r="J13" s="200">
        <v>87</v>
      </c>
    </row>
    <row r="14" spans="1:10" x14ac:dyDescent="0.25">
      <c r="A14" s="200" t="s">
        <v>313</v>
      </c>
      <c r="B14" s="202" t="s">
        <v>319</v>
      </c>
      <c r="C14" s="200">
        <v>0</v>
      </c>
      <c r="D14" s="200">
        <v>287</v>
      </c>
      <c r="E14" s="200">
        <v>428</v>
      </c>
      <c r="F14" s="200">
        <v>370</v>
      </c>
      <c r="G14" s="200">
        <v>337</v>
      </c>
      <c r="H14" s="200">
        <v>300</v>
      </c>
      <c r="I14" s="200">
        <v>174</v>
      </c>
      <c r="J14" s="200">
        <v>96</v>
      </c>
    </row>
    <row r="15" spans="1:10" x14ac:dyDescent="0.25">
      <c r="A15" s="200" t="s">
        <v>313</v>
      </c>
      <c r="B15" s="202" t="s">
        <v>320</v>
      </c>
      <c r="C15" s="200">
        <v>0</v>
      </c>
      <c r="D15" s="200">
        <v>294</v>
      </c>
      <c r="E15" s="200">
        <v>349</v>
      </c>
      <c r="F15" s="200">
        <v>302</v>
      </c>
      <c r="G15" s="200">
        <v>398</v>
      </c>
      <c r="H15" s="200">
        <v>385</v>
      </c>
      <c r="I15" s="200">
        <v>219</v>
      </c>
      <c r="J15" s="200">
        <v>111</v>
      </c>
    </row>
    <row r="16" spans="1:10" x14ac:dyDescent="0.25">
      <c r="A16" s="200" t="s">
        <v>313</v>
      </c>
      <c r="B16" s="202" t="s">
        <v>321</v>
      </c>
      <c r="C16" s="200">
        <v>0</v>
      </c>
      <c r="D16" s="200">
        <v>234</v>
      </c>
      <c r="E16" s="200">
        <v>377</v>
      </c>
      <c r="F16" s="200">
        <v>388</v>
      </c>
      <c r="G16" s="200">
        <v>413</v>
      </c>
      <c r="H16" s="200">
        <v>345</v>
      </c>
      <c r="I16" s="200">
        <v>190</v>
      </c>
      <c r="J16" s="200">
        <v>93</v>
      </c>
    </row>
    <row r="17" spans="1:10" x14ac:dyDescent="0.25">
      <c r="A17" s="200" t="s">
        <v>313</v>
      </c>
      <c r="B17" s="202" t="s">
        <v>322</v>
      </c>
      <c r="C17" s="200">
        <v>0</v>
      </c>
      <c r="D17" s="200">
        <v>317</v>
      </c>
      <c r="E17" s="200">
        <v>392</v>
      </c>
      <c r="F17" s="200">
        <v>429</v>
      </c>
      <c r="G17" s="200">
        <v>397</v>
      </c>
      <c r="H17" s="200">
        <v>340</v>
      </c>
      <c r="I17" s="200">
        <v>217</v>
      </c>
      <c r="J17" s="200">
        <v>130</v>
      </c>
    </row>
    <row r="18" spans="1:10" x14ac:dyDescent="0.25">
      <c r="A18" s="200" t="s">
        <v>313</v>
      </c>
      <c r="B18" s="202" t="s">
        <v>323</v>
      </c>
      <c r="C18" s="200">
        <v>0</v>
      </c>
      <c r="D18" s="200">
        <v>330</v>
      </c>
      <c r="E18" s="200">
        <v>379</v>
      </c>
      <c r="F18" s="200">
        <v>370</v>
      </c>
      <c r="G18" s="200">
        <v>324</v>
      </c>
      <c r="H18" s="200">
        <v>240</v>
      </c>
      <c r="I18" s="200">
        <v>232</v>
      </c>
      <c r="J18" s="200">
        <v>122</v>
      </c>
    </row>
    <row r="19" spans="1:10" x14ac:dyDescent="0.25">
      <c r="A19" s="200" t="s">
        <v>313</v>
      </c>
      <c r="B19" s="202" t="s">
        <v>324</v>
      </c>
      <c r="C19" s="200">
        <v>0</v>
      </c>
      <c r="D19" s="200">
        <v>346</v>
      </c>
      <c r="E19" s="200">
        <v>332</v>
      </c>
      <c r="F19" s="200">
        <v>332</v>
      </c>
      <c r="G19" s="200">
        <v>427</v>
      </c>
      <c r="H19" s="200">
        <v>227</v>
      </c>
      <c r="I19" s="200">
        <v>192</v>
      </c>
      <c r="J19" s="200">
        <v>53</v>
      </c>
    </row>
    <row r="20" spans="1:10" x14ac:dyDescent="0.25">
      <c r="A20" s="200" t="s">
        <v>313</v>
      </c>
      <c r="B20" s="202" t="s">
        <v>325</v>
      </c>
      <c r="C20" s="200">
        <v>0</v>
      </c>
      <c r="D20" s="200">
        <v>335</v>
      </c>
      <c r="E20" s="200">
        <v>244</v>
      </c>
      <c r="F20" s="200">
        <v>312</v>
      </c>
      <c r="G20" s="200">
        <v>357</v>
      </c>
      <c r="H20" s="200">
        <v>256</v>
      </c>
      <c r="I20" s="200">
        <v>369</v>
      </c>
      <c r="J20" s="200">
        <v>54</v>
      </c>
    </row>
    <row r="21" spans="1:10" x14ac:dyDescent="0.25">
      <c r="A21" s="200" t="s">
        <v>313</v>
      </c>
      <c r="B21" s="202" t="s">
        <v>326</v>
      </c>
      <c r="C21" s="200">
        <v>0</v>
      </c>
      <c r="D21" s="200">
        <v>282</v>
      </c>
      <c r="E21" s="200">
        <v>324</v>
      </c>
      <c r="F21" s="200">
        <v>363</v>
      </c>
      <c r="G21" s="200">
        <v>348</v>
      </c>
      <c r="H21" s="200">
        <v>324</v>
      </c>
      <c r="I21" s="200">
        <v>369</v>
      </c>
      <c r="J21" s="200">
        <v>88</v>
      </c>
    </row>
    <row r="22" spans="1:10" x14ac:dyDescent="0.25">
      <c r="A22" s="200" t="s">
        <v>313</v>
      </c>
      <c r="B22" s="202" t="s">
        <v>327</v>
      </c>
      <c r="C22" s="200">
        <v>0</v>
      </c>
      <c r="D22" s="200">
        <v>176</v>
      </c>
      <c r="E22" s="200">
        <v>319</v>
      </c>
      <c r="F22" s="200">
        <v>384</v>
      </c>
      <c r="G22" s="200">
        <v>382</v>
      </c>
      <c r="H22" s="200">
        <v>320</v>
      </c>
      <c r="I22" s="200">
        <v>407</v>
      </c>
      <c r="J22" s="200">
        <v>141</v>
      </c>
    </row>
    <row r="23" spans="1:10" x14ac:dyDescent="0.25">
      <c r="A23" s="200" t="s">
        <v>313</v>
      </c>
      <c r="B23" s="202" t="s">
        <v>328</v>
      </c>
      <c r="C23" s="200">
        <v>0</v>
      </c>
      <c r="D23" s="200">
        <v>253</v>
      </c>
      <c r="E23" s="200">
        <v>371</v>
      </c>
      <c r="F23" s="200">
        <v>319</v>
      </c>
      <c r="G23" s="200">
        <v>391</v>
      </c>
      <c r="H23" s="200">
        <v>314</v>
      </c>
      <c r="I23" s="200">
        <v>407</v>
      </c>
      <c r="J23" s="200">
        <v>181</v>
      </c>
    </row>
    <row r="24" spans="1:10" x14ac:dyDescent="0.25">
      <c r="A24" s="200" t="s">
        <v>313</v>
      </c>
      <c r="B24" s="202" t="s">
        <v>329</v>
      </c>
      <c r="C24" s="200">
        <v>0</v>
      </c>
      <c r="D24" s="200">
        <v>305</v>
      </c>
      <c r="E24" s="200">
        <v>337</v>
      </c>
      <c r="F24" s="200">
        <v>383</v>
      </c>
      <c r="G24" s="200">
        <v>275</v>
      </c>
      <c r="H24" s="200">
        <v>284</v>
      </c>
      <c r="I24" s="200">
        <v>388</v>
      </c>
      <c r="J24" s="200">
        <v>151</v>
      </c>
    </row>
    <row r="25" spans="1:10" x14ac:dyDescent="0.25">
      <c r="A25" s="200" t="s">
        <v>313</v>
      </c>
      <c r="B25" s="202" t="s">
        <v>330</v>
      </c>
      <c r="C25" s="200">
        <v>0</v>
      </c>
      <c r="D25" s="200">
        <v>267</v>
      </c>
      <c r="E25" s="200">
        <v>226</v>
      </c>
      <c r="F25" s="200">
        <v>377</v>
      </c>
      <c r="G25" s="200">
        <v>247</v>
      </c>
      <c r="H25" s="200">
        <v>413</v>
      </c>
      <c r="I25" s="200">
        <v>394</v>
      </c>
      <c r="J25" s="200">
        <v>104</v>
      </c>
    </row>
    <row r="26" spans="1:10" x14ac:dyDescent="0.25">
      <c r="A26" s="200" t="s">
        <v>313</v>
      </c>
      <c r="B26" s="202" t="s">
        <v>331</v>
      </c>
      <c r="C26" s="200">
        <v>0</v>
      </c>
      <c r="D26" s="200">
        <v>187</v>
      </c>
      <c r="E26" s="200">
        <v>346</v>
      </c>
      <c r="F26" s="200">
        <v>382</v>
      </c>
      <c r="G26" s="200">
        <v>219</v>
      </c>
      <c r="H26" s="200">
        <v>423</v>
      </c>
      <c r="I26" s="200">
        <v>377</v>
      </c>
      <c r="J26" s="200">
        <v>129</v>
      </c>
    </row>
    <row r="27" spans="1:10" x14ac:dyDescent="0.25">
      <c r="A27" s="200" t="s">
        <v>313</v>
      </c>
      <c r="B27" s="202" t="s">
        <v>332</v>
      </c>
      <c r="C27" s="200">
        <v>0</v>
      </c>
      <c r="D27" s="200">
        <v>221</v>
      </c>
      <c r="E27" s="200">
        <v>412</v>
      </c>
      <c r="F27" s="200">
        <v>427</v>
      </c>
      <c r="G27" s="200">
        <v>253</v>
      </c>
      <c r="H27" s="200">
        <v>400</v>
      </c>
      <c r="I27" s="200">
        <v>387</v>
      </c>
      <c r="J27" s="200">
        <v>144</v>
      </c>
    </row>
    <row r="28" spans="1:10" x14ac:dyDescent="0.25">
      <c r="A28" s="200" t="s">
        <v>313</v>
      </c>
      <c r="B28" s="202" t="s">
        <v>333</v>
      </c>
      <c r="C28" s="200">
        <v>0</v>
      </c>
      <c r="D28" s="200">
        <v>359</v>
      </c>
      <c r="E28" s="200">
        <v>409</v>
      </c>
      <c r="F28" s="200">
        <v>237</v>
      </c>
      <c r="G28" s="200">
        <v>225</v>
      </c>
      <c r="H28" s="200">
        <v>355</v>
      </c>
      <c r="I28" s="200">
        <v>344</v>
      </c>
      <c r="J28" s="200">
        <v>161</v>
      </c>
    </row>
    <row r="29" spans="1:10" x14ac:dyDescent="0.25">
      <c r="A29" s="200" t="s">
        <v>313</v>
      </c>
      <c r="B29" s="202" t="s">
        <v>334</v>
      </c>
      <c r="C29" s="200">
        <v>0</v>
      </c>
      <c r="D29" s="200">
        <v>307</v>
      </c>
      <c r="E29" s="200">
        <v>320</v>
      </c>
      <c r="F29" s="200">
        <v>198</v>
      </c>
      <c r="G29" s="200">
        <v>285</v>
      </c>
      <c r="H29" s="200">
        <v>403</v>
      </c>
      <c r="I29" s="200">
        <v>401</v>
      </c>
      <c r="J29" s="200">
        <v>286</v>
      </c>
    </row>
    <row r="30" spans="1:10" x14ac:dyDescent="0.25">
      <c r="A30" s="200" t="s">
        <v>313</v>
      </c>
      <c r="B30" s="202" t="s">
        <v>335</v>
      </c>
      <c r="C30" s="200">
        <v>0</v>
      </c>
      <c r="D30" s="200">
        <v>323</v>
      </c>
      <c r="E30" s="200">
        <v>313</v>
      </c>
      <c r="F30" s="200">
        <v>206</v>
      </c>
      <c r="G30" s="200">
        <v>323</v>
      </c>
      <c r="H30" s="200">
        <v>359</v>
      </c>
      <c r="I30" s="200">
        <v>392</v>
      </c>
      <c r="J30" s="200">
        <v>291</v>
      </c>
    </row>
    <row r="31" spans="1:10" x14ac:dyDescent="0.25">
      <c r="A31" s="200" t="s">
        <v>313</v>
      </c>
      <c r="B31" s="202" t="s">
        <v>337</v>
      </c>
      <c r="C31" s="200">
        <v>0</v>
      </c>
      <c r="D31" s="200">
        <v>214</v>
      </c>
      <c r="E31" s="200">
        <v>197</v>
      </c>
      <c r="F31" s="200">
        <v>395</v>
      </c>
      <c r="G31" s="200">
        <v>322</v>
      </c>
      <c r="H31" s="200">
        <v>381</v>
      </c>
      <c r="I31" s="200">
        <v>416</v>
      </c>
      <c r="J31" s="200">
        <v>233</v>
      </c>
    </row>
    <row r="32" spans="1:10" x14ac:dyDescent="0.25">
      <c r="A32" s="200" t="s">
        <v>313</v>
      </c>
      <c r="B32" s="202" t="s">
        <v>339</v>
      </c>
      <c r="C32" s="200">
        <v>0</v>
      </c>
      <c r="D32" s="200">
        <v>353</v>
      </c>
      <c r="E32" s="200">
        <v>253</v>
      </c>
      <c r="F32" s="200">
        <v>416</v>
      </c>
      <c r="G32" s="200">
        <v>264</v>
      </c>
      <c r="H32" s="200">
        <v>265</v>
      </c>
      <c r="I32" s="200">
        <v>237</v>
      </c>
      <c r="J32" s="200">
        <v>210</v>
      </c>
    </row>
    <row r="33" spans="1:10" x14ac:dyDescent="0.25">
      <c r="A33" s="200" t="s">
        <v>313</v>
      </c>
      <c r="B33" s="202" t="s">
        <v>341</v>
      </c>
      <c r="C33" s="200">
        <v>0</v>
      </c>
      <c r="D33" s="200">
        <v>358</v>
      </c>
      <c r="E33" s="200">
        <v>295</v>
      </c>
      <c r="F33" s="200">
        <v>413</v>
      </c>
      <c r="G33" s="200">
        <v>249</v>
      </c>
      <c r="H33" s="200">
        <v>352</v>
      </c>
      <c r="I33" s="200">
        <v>374</v>
      </c>
      <c r="J33" s="200">
        <v>73</v>
      </c>
    </row>
    <row r="34" spans="1:10" x14ac:dyDescent="0.25">
      <c r="A34" s="200" t="s">
        <v>313</v>
      </c>
      <c r="B34" s="202" t="s">
        <v>343</v>
      </c>
      <c r="C34" s="200">
        <v>0</v>
      </c>
      <c r="D34" s="200">
        <v>342</v>
      </c>
      <c r="E34" s="200">
        <v>331</v>
      </c>
      <c r="F34" s="200">
        <v>417</v>
      </c>
      <c r="G34" s="200">
        <v>345</v>
      </c>
      <c r="H34" s="200">
        <v>345</v>
      </c>
      <c r="I34" s="200">
        <v>383</v>
      </c>
      <c r="J34" s="200">
        <v>66</v>
      </c>
    </row>
    <row r="35" spans="1:10" x14ac:dyDescent="0.25">
      <c r="A35" s="200" t="s">
        <v>313</v>
      </c>
      <c r="B35" s="202" t="s">
        <v>345</v>
      </c>
      <c r="C35" s="200">
        <v>0</v>
      </c>
      <c r="D35" s="200">
        <v>172</v>
      </c>
      <c r="E35" s="200">
        <v>369</v>
      </c>
      <c r="F35" s="200">
        <v>382</v>
      </c>
      <c r="G35" s="200">
        <v>411</v>
      </c>
      <c r="H35" s="200">
        <v>364</v>
      </c>
      <c r="I35" s="200">
        <v>352</v>
      </c>
      <c r="J35" s="200">
        <v>88</v>
      </c>
    </row>
    <row r="36" spans="1:10" x14ac:dyDescent="0.25">
      <c r="A36" s="200" t="s">
        <v>313</v>
      </c>
      <c r="B36" s="202" t="s">
        <v>346</v>
      </c>
      <c r="C36" s="200">
        <v>0</v>
      </c>
      <c r="D36" s="200">
        <v>197</v>
      </c>
      <c r="E36" s="200">
        <v>383</v>
      </c>
      <c r="F36" s="200">
        <v>260</v>
      </c>
      <c r="G36" s="200">
        <v>383</v>
      </c>
      <c r="H36" s="200">
        <v>344</v>
      </c>
      <c r="I36" s="200">
        <v>407</v>
      </c>
      <c r="J36" s="200">
        <v>136</v>
      </c>
    </row>
    <row r="37" spans="1:10" x14ac:dyDescent="0.25">
      <c r="A37" s="200" t="s">
        <v>313</v>
      </c>
      <c r="B37" s="202" t="s">
        <v>348</v>
      </c>
      <c r="C37" s="200">
        <v>0</v>
      </c>
      <c r="D37" s="200">
        <v>121</v>
      </c>
      <c r="E37" s="200">
        <v>412</v>
      </c>
      <c r="F37" s="200">
        <v>413</v>
      </c>
      <c r="G37" s="200">
        <v>372</v>
      </c>
      <c r="H37" s="200">
        <v>340</v>
      </c>
      <c r="I37" s="200">
        <v>364</v>
      </c>
      <c r="J37" s="200">
        <v>150</v>
      </c>
    </row>
    <row r="38" spans="1:10" x14ac:dyDescent="0.25">
      <c r="A38" s="200" t="s">
        <v>313</v>
      </c>
      <c r="B38" s="202" t="s">
        <v>349</v>
      </c>
      <c r="C38" s="200">
        <v>0</v>
      </c>
      <c r="D38" s="200">
        <v>152</v>
      </c>
      <c r="E38" s="200">
        <v>256</v>
      </c>
      <c r="F38" s="200">
        <v>415</v>
      </c>
      <c r="G38" s="200">
        <v>274</v>
      </c>
      <c r="H38" s="200">
        <v>296</v>
      </c>
      <c r="I38" s="200">
        <v>246</v>
      </c>
      <c r="J38" s="200">
        <v>78</v>
      </c>
    </row>
    <row r="39" spans="1:10" x14ac:dyDescent="0.25">
      <c r="A39" s="200" t="s">
        <v>350</v>
      </c>
      <c r="B39" s="202" t="s">
        <v>312</v>
      </c>
      <c r="C39" s="200">
        <v>0</v>
      </c>
      <c r="D39" s="200">
        <v>208</v>
      </c>
      <c r="E39" s="200">
        <v>386</v>
      </c>
      <c r="F39" s="200">
        <v>226</v>
      </c>
      <c r="G39" s="200">
        <v>311</v>
      </c>
      <c r="H39" s="200">
        <v>305</v>
      </c>
      <c r="I39" s="200">
        <v>264</v>
      </c>
      <c r="J39" s="200">
        <v>110</v>
      </c>
    </row>
    <row r="40" spans="1:10" x14ac:dyDescent="0.25">
      <c r="A40" s="200" t="s">
        <v>350</v>
      </c>
      <c r="B40" s="202" t="s">
        <v>314</v>
      </c>
      <c r="C40" s="200">
        <v>0</v>
      </c>
      <c r="D40" s="200">
        <v>279</v>
      </c>
      <c r="E40" s="200">
        <v>398</v>
      </c>
      <c r="F40" s="200">
        <v>265</v>
      </c>
      <c r="G40" s="200">
        <v>239</v>
      </c>
      <c r="H40" s="200">
        <v>365</v>
      </c>
      <c r="I40" s="200">
        <v>271</v>
      </c>
      <c r="J40" s="200">
        <v>111</v>
      </c>
    </row>
    <row r="41" spans="1:10" x14ac:dyDescent="0.25">
      <c r="A41" s="200" t="s">
        <v>350</v>
      </c>
      <c r="B41" s="202" t="s">
        <v>315</v>
      </c>
      <c r="C41" s="200">
        <v>0</v>
      </c>
      <c r="D41" s="200">
        <v>263</v>
      </c>
      <c r="E41" s="200">
        <v>355</v>
      </c>
      <c r="F41" s="200">
        <v>296</v>
      </c>
      <c r="G41" s="200">
        <v>218</v>
      </c>
      <c r="H41" s="200">
        <v>268</v>
      </c>
      <c r="I41" s="200">
        <v>418</v>
      </c>
      <c r="J41" s="200">
        <v>132</v>
      </c>
    </row>
    <row r="42" spans="1:10" x14ac:dyDescent="0.25">
      <c r="A42" s="200" t="s">
        <v>350</v>
      </c>
      <c r="B42" s="202" t="s">
        <v>316</v>
      </c>
      <c r="C42" s="200">
        <v>0</v>
      </c>
      <c r="D42" s="200">
        <v>183</v>
      </c>
      <c r="E42" s="200">
        <v>206</v>
      </c>
      <c r="F42" s="200">
        <v>310</v>
      </c>
      <c r="G42" s="200">
        <v>212</v>
      </c>
      <c r="H42" s="200">
        <v>308</v>
      </c>
      <c r="I42" s="200">
        <v>417</v>
      </c>
      <c r="J42" s="200">
        <v>87</v>
      </c>
    </row>
    <row r="43" spans="1:10" x14ac:dyDescent="0.25">
      <c r="A43" s="200" t="s">
        <v>350</v>
      </c>
      <c r="B43" s="202" t="s">
        <v>317</v>
      </c>
      <c r="C43" s="200">
        <v>0</v>
      </c>
      <c r="D43" s="200">
        <v>134</v>
      </c>
      <c r="E43" s="200">
        <v>278</v>
      </c>
      <c r="F43" s="200">
        <v>317</v>
      </c>
      <c r="G43" s="200">
        <v>365</v>
      </c>
      <c r="H43" s="200">
        <v>231</v>
      </c>
      <c r="I43" s="200">
        <v>349</v>
      </c>
      <c r="J43" s="200">
        <v>111</v>
      </c>
    </row>
    <row r="44" spans="1:10" x14ac:dyDescent="0.25">
      <c r="A44" s="200" t="s">
        <v>350</v>
      </c>
      <c r="B44" s="202" t="s">
        <v>318</v>
      </c>
      <c r="C44" s="200">
        <v>0</v>
      </c>
      <c r="D44" s="200">
        <v>161</v>
      </c>
      <c r="E44" s="200">
        <v>285</v>
      </c>
      <c r="F44" s="200">
        <v>308</v>
      </c>
      <c r="G44" s="200">
        <v>393</v>
      </c>
      <c r="H44" s="200">
        <v>410</v>
      </c>
      <c r="I44" s="200">
        <v>354</v>
      </c>
      <c r="J44" s="200">
        <v>126</v>
      </c>
    </row>
    <row r="45" spans="1:10" x14ac:dyDescent="0.25">
      <c r="A45" s="200" t="s">
        <v>350</v>
      </c>
      <c r="B45" s="202" t="s">
        <v>319</v>
      </c>
      <c r="C45" s="200">
        <v>0</v>
      </c>
      <c r="D45" s="200">
        <v>175</v>
      </c>
      <c r="E45" s="200">
        <v>345</v>
      </c>
      <c r="F45" s="200">
        <v>332</v>
      </c>
      <c r="G45" s="200">
        <v>345</v>
      </c>
      <c r="H45" s="200">
        <v>404</v>
      </c>
      <c r="I45" s="200">
        <v>404</v>
      </c>
      <c r="J45" s="200">
        <v>71</v>
      </c>
    </row>
    <row r="46" spans="1:10" x14ac:dyDescent="0.25">
      <c r="A46" s="200" t="s">
        <v>350</v>
      </c>
      <c r="B46" s="202" t="s">
        <v>320</v>
      </c>
      <c r="C46" s="200">
        <v>0</v>
      </c>
      <c r="D46" s="200">
        <v>137</v>
      </c>
      <c r="E46" s="200">
        <v>419</v>
      </c>
      <c r="F46" s="200">
        <v>327</v>
      </c>
      <c r="G46" s="200">
        <v>364</v>
      </c>
      <c r="H46" s="200">
        <v>432</v>
      </c>
      <c r="I46" s="200">
        <v>349</v>
      </c>
      <c r="J46" s="200">
        <v>58</v>
      </c>
    </row>
    <row r="47" spans="1:10" x14ac:dyDescent="0.25">
      <c r="A47" s="200" t="s">
        <v>350</v>
      </c>
      <c r="B47" s="202" t="s">
        <v>321</v>
      </c>
      <c r="C47" s="200">
        <v>0</v>
      </c>
      <c r="D47" s="200">
        <v>230</v>
      </c>
      <c r="E47" s="200">
        <v>390</v>
      </c>
      <c r="F47" s="200">
        <v>327</v>
      </c>
      <c r="G47" s="200">
        <v>330</v>
      </c>
      <c r="H47" s="200">
        <v>216</v>
      </c>
      <c r="I47" s="200">
        <v>296</v>
      </c>
      <c r="J47" s="200">
        <v>62</v>
      </c>
    </row>
    <row r="48" spans="1:10" x14ac:dyDescent="0.25">
      <c r="A48" s="200" t="s">
        <v>350</v>
      </c>
      <c r="B48" s="202" t="s">
        <v>322</v>
      </c>
      <c r="C48" s="200">
        <v>0</v>
      </c>
      <c r="D48" s="200">
        <v>243</v>
      </c>
      <c r="E48" s="200">
        <v>395</v>
      </c>
      <c r="F48" s="200">
        <v>328</v>
      </c>
      <c r="G48" s="200">
        <v>332</v>
      </c>
      <c r="H48" s="200">
        <v>240</v>
      </c>
      <c r="I48" s="200">
        <v>290</v>
      </c>
      <c r="J48" s="200">
        <v>81</v>
      </c>
    </row>
    <row r="49" spans="1:10" x14ac:dyDescent="0.25">
      <c r="A49" s="200" t="s">
        <v>350</v>
      </c>
      <c r="B49" s="202" t="s">
        <v>323</v>
      </c>
      <c r="C49" s="200">
        <v>0</v>
      </c>
      <c r="D49" s="200">
        <v>212</v>
      </c>
      <c r="E49" s="200">
        <v>347</v>
      </c>
      <c r="F49" s="200">
        <v>263</v>
      </c>
      <c r="G49" s="200">
        <v>326</v>
      </c>
      <c r="H49" s="200">
        <v>407</v>
      </c>
      <c r="I49" s="200">
        <v>232</v>
      </c>
      <c r="J49" s="200">
        <v>133</v>
      </c>
    </row>
    <row r="50" spans="1:10" x14ac:dyDescent="0.25">
      <c r="A50" s="200" t="s">
        <v>350</v>
      </c>
      <c r="B50" s="202" t="s">
        <v>324</v>
      </c>
      <c r="C50" s="200">
        <v>0</v>
      </c>
      <c r="D50" s="200">
        <v>226</v>
      </c>
      <c r="E50" s="200">
        <v>331</v>
      </c>
      <c r="F50" s="200">
        <v>248</v>
      </c>
      <c r="G50" s="200">
        <v>340</v>
      </c>
      <c r="H50" s="200">
        <v>405</v>
      </c>
      <c r="I50" s="200">
        <v>267</v>
      </c>
      <c r="J50" s="200">
        <v>210</v>
      </c>
    </row>
    <row r="51" spans="1:10" x14ac:dyDescent="0.25">
      <c r="A51" s="200" t="s">
        <v>350</v>
      </c>
      <c r="B51" s="202" t="s">
        <v>325</v>
      </c>
      <c r="C51" s="200">
        <v>0</v>
      </c>
      <c r="D51" s="200">
        <v>321</v>
      </c>
      <c r="E51" s="200">
        <v>406</v>
      </c>
      <c r="F51" s="200">
        <v>327</v>
      </c>
      <c r="G51" s="200">
        <v>389</v>
      </c>
      <c r="H51" s="200">
        <v>242</v>
      </c>
      <c r="I51" s="200">
        <v>329</v>
      </c>
      <c r="J51" s="200">
        <v>218</v>
      </c>
    </row>
    <row r="52" spans="1:10" x14ac:dyDescent="0.25">
      <c r="A52" s="200" t="s">
        <v>350</v>
      </c>
      <c r="B52" s="202" t="s">
        <v>326</v>
      </c>
      <c r="C52" s="200">
        <v>0</v>
      </c>
      <c r="D52" s="200">
        <v>409</v>
      </c>
      <c r="E52" s="200">
        <v>428</v>
      </c>
      <c r="F52" s="200">
        <v>359</v>
      </c>
      <c r="G52" s="200">
        <v>317</v>
      </c>
      <c r="H52" s="200">
        <v>317</v>
      </c>
      <c r="I52" s="200">
        <v>377</v>
      </c>
      <c r="J52" s="200">
        <v>179</v>
      </c>
    </row>
    <row r="53" spans="1:10" x14ac:dyDescent="0.25">
      <c r="A53" s="200" t="s">
        <v>350</v>
      </c>
      <c r="B53" s="202" t="s">
        <v>327</v>
      </c>
      <c r="C53" s="200">
        <v>0</v>
      </c>
      <c r="D53" s="200">
        <v>381</v>
      </c>
      <c r="E53" s="200">
        <v>410</v>
      </c>
      <c r="F53" s="200">
        <v>392</v>
      </c>
      <c r="G53" s="200">
        <v>384</v>
      </c>
      <c r="H53" s="200">
        <v>404</v>
      </c>
      <c r="I53" s="200">
        <v>435</v>
      </c>
      <c r="J53" s="200">
        <v>145</v>
      </c>
    </row>
    <row r="54" spans="1:10" x14ac:dyDescent="0.25">
      <c r="A54" s="200" t="s">
        <v>350</v>
      </c>
      <c r="B54" s="202" t="s">
        <v>328</v>
      </c>
      <c r="C54" s="200">
        <v>0</v>
      </c>
      <c r="D54" s="200">
        <v>275</v>
      </c>
      <c r="E54" s="200">
        <v>386</v>
      </c>
      <c r="F54" s="200">
        <v>373</v>
      </c>
      <c r="G54" s="200">
        <v>433</v>
      </c>
      <c r="H54" s="200">
        <v>432</v>
      </c>
      <c r="I54" s="200">
        <v>425</v>
      </c>
      <c r="J54" s="200">
        <v>145</v>
      </c>
    </row>
    <row r="55" spans="1:10" x14ac:dyDescent="0.25">
      <c r="A55" s="200" t="s">
        <v>350</v>
      </c>
      <c r="B55" s="202" t="s">
        <v>329</v>
      </c>
      <c r="C55" s="200">
        <v>0</v>
      </c>
      <c r="D55" s="200">
        <v>208</v>
      </c>
      <c r="E55" s="200">
        <v>395</v>
      </c>
      <c r="F55" s="200">
        <v>424</v>
      </c>
      <c r="G55" s="200">
        <v>435</v>
      </c>
      <c r="H55" s="200">
        <v>406</v>
      </c>
      <c r="I55" s="200">
        <v>317</v>
      </c>
      <c r="J55" s="200">
        <v>152</v>
      </c>
    </row>
    <row r="56" spans="1:10" x14ac:dyDescent="0.25">
      <c r="A56" s="200" t="s">
        <v>350</v>
      </c>
      <c r="B56" s="202" t="s">
        <v>330</v>
      </c>
      <c r="C56" s="200">
        <v>0</v>
      </c>
      <c r="D56" s="200">
        <v>250</v>
      </c>
      <c r="E56" s="200">
        <v>373</v>
      </c>
      <c r="F56" s="200">
        <v>440</v>
      </c>
      <c r="G56" s="200">
        <v>433</v>
      </c>
      <c r="H56" s="200">
        <v>346</v>
      </c>
      <c r="I56" s="200">
        <v>317</v>
      </c>
      <c r="J56" s="200">
        <v>153</v>
      </c>
    </row>
    <row r="57" spans="1:10" x14ac:dyDescent="0.25">
      <c r="A57" s="200" t="s">
        <v>350</v>
      </c>
      <c r="B57" s="202" t="s">
        <v>331</v>
      </c>
      <c r="C57" s="200">
        <v>0</v>
      </c>
      <c r="D57" s="200">
        <v>254</v>
      </c>
      <c r="E57" s="200">
        <v>409</v>
      </c>
      <c r="F57" s="200">
        <v>440</v>
      </c>
      <c r="G57" s="200">
        <v>392</v>
      </c>
      <c r="H57" s="200">
        <v>434</v>
      </c>
      <c r="I57" s="200">
        <v>436</v>
      </c>
      <c r="J57" s="200">
        <v>197</v>
      </c>
    </row>
    <row r="58" spans="1:10" x14ac:dyDescent="0.25">
      <c r="A58" s="200" t="s">
        <v>350</v>
      </c>
      <c r="B58" s="202" t="s">
        <v>332</v>
      </c>
      <c r="C58" s="200">
        <v>0</v>
      </c>
      <c r="D58" s="200">
        <v>248</v>
      </c>
      <c r="E58" s="200">
        <v>399</v>
      </c>
      <c r="F58" s="200">
        <v>350</v>
      </c>
      <c r="G58" s="200">
        <v>415</v>
      </c>
      <c r="H58" s="200">
        <v>436</v>
      </c>
      <c r="I58" s="200">
        <v>432</v>
      </c>
      <c r="J58" s="200">
        <v>188</v>
      </c>
    </row>
    <row r="59" spans="1:10" x14ac:dyDescent="0.25">
      <c r="A59" s="200" t="s">
        <v>350</v>
      </c>
      <c r="B59" s="202" t="s">
        <v>333</v>
      </c>
      <c r="C59" s="200">
        <v>0</v>
      </c>
      <c r="D59" s="200">
        <v>225</v>
      </c>
      <c r="E59" s="200">
        <v>360</v>
      </c>
      <c r="F59" s="200">
        <v>305</v>
      </c>
      <c r="G59" s="200">
        <v>420</v>
      </c>
      <c r="H59" s="200">
        <v>309</v>
      </c>
      <c r="I59" s="200">
        <v>369</v>
      </c>
      <c r="J59" s="200">
        <v>104</v>
      </c>
    </row>
    <row r="60" spans="1:10" x14ac:dyDescent="0.25">
      <c r="A60" s="200" t="s">
        <v>350</v>
      </c>
      <c r="B60" s="202" t="s">
        <v>334</v>
      </c>
      <c r="C60" s="200">
        <v>0</v>
      </c>
      <c r="D60" s="200">
        <v>201</v>
      </c>
      <c r="E60" s="200">
        <v>219</v>
      </c>
      <c r="F60" s="200">
        <v>376</v>
      </c>
      <c r="G60" s="200">
        <v>342</v>
      </c>
      <c r="H60" s="200">
        <v>363</v>
      </c>
      <c r="I60" s="200">
        <v>388</v>
      </c>
      <c r="J60" s="200">
        <v>125</v>
      </c>
    </row>
    <row r="61" spans="1:10" x14ac:dyDescent="0.25">
      <c r="A61" s="200" t="s">
        <v>350</v>
      </c>
      <c r="B61" s="202" t="s">
        <v>335</v>
      </c>
      <c r="C61" s="200">
        <v>0</v>
      </c>
      <c r="D61" s="200">
        <v>256</v>
      </c>
      <c r="E61" s="200">
        <v>219</v>
      </c>
      <c r="F61" s="200">
        <v>422</v>
      </c>
      <c r="G61" s="200">
        <v>355</v>
      </c>
      <c r="H61" s="200">
        <v>390</v>
      </c>
      <c r="I61" s="200">
        <v>364</v>
      </c>
      <c r="J61" s="200">
        <v>131</v>
      </c>
    </row>
    <row r="62" spans="1:10" x14ac:dyDescent="0.25">
      <c r="A62" s="200" t="s">
        <v>350</v>
      </c>
      <c r="B62" s="202" t="s">
        <v>337</v>
      </c>
      <c r="C62" s="200">
        <v>0</v>
      </c>
      <c r="D62" s="200">
        <v>258</v>
      </c>
      <c r="E62" s="200">
        <v>352</v>
      </c>
      <c r="F62" s="200">
        <v>416</v>
      </c>
      <c r="G62" s="200">
        <v>390</v>
      </c>
      <c r="H62" s="200">
        <v>399</v>
      </c>
      <c r="I62" s="200">
        <v>382</v>
      </c>
      <c r="J62" s="200">
        <v>181</v>
      </c>
    </row>
    <row r="63" spans="1:10" x14ac:dyDescent="0.25">
      <c r="A63" s="200" t="s">
        <v>350</v>
      </c>
      <c r="B63" s="202" t="s">
        <v>339</v>
      </c>
      <c r="C63" s="200">
        <v>0</v>
      </c>
      <c r="D63" s="200">
        <v>156</v>
      </c>
      <c r="E63" s="200">
        <v>336</v>
      </c>
      <c r="F63" s="200">
        <v>390</v>
      </c>
      <c r="G63" s="200">
        <v>320</v>
      </c>
      <c r="H63" s="200">
        <v>370</v>
      </c>
      <c r="I63" s="200">
        <v>334</v>
      </c>
      <c r="J63" s="200">
        <v>236</v>
      </c>
    </row>
    <row r="64" spans="1:10" x14ac:dyDescent="0.25">
      <c r="A64" s="200" t="s">
        <v>350</v>
      </c>
      <c r="B64" s="202" t="s">
        <v>341</v>
      </c>
      <c r="C64" s="200">
        <v>0</v>
      </c>
      <c r="D64" s="200">
        <v>125</v>
      </c>
      <c r="E64" s="200">
        <v>227</v>
      </c>
      <c r="F64" s="200">
        <v>291</v>
      </c>
      <c r="G64" s="200">
        <v>309</v>
      </c>
      <c r="H64" s="200">
        <v>329</v>
      </c>
      <c r="I64" s="200">
        <v>389</v>
      </c>
      <c r="J64" s="200">
        <v>282</v>
      </c>
    </row>
    <row r="65" spans="1:10" x14ac:dyDescent="0.25">
      <c r="A65" s="200" t="s">
        <v>350</v>
      </c>
      <c r="B65" s="202" t="s">
        <v>343</v>
      </c>
      <c r="C65" s="200">
        <v>0</v>
      </c>
      <c r="D65" s="200">
        <v>138</v>
      </c>
      <c r="E65" s="200">
        <v>267</v>
      </c>
      <c r="F65" s="200">
        <v>384</v>
      </c>
      <c r="G65" s="200">
        <v>206</v>
      </c>
      <c r="H65" s="200">
        <v>343</v>
      </c>
      <c r="I65" s="200">
        <v>355</v>
      </c>
      <c r="J65" s="200">
        <v>284</v>
      </c>
    </row>
    <row r="66" spans="1:10" x14ac:dyDescent="0.25">
      <c r="A66" s="200" t="s">
        <v>350</v>
      </c>
      <c r="B66" s="202" t="s">
        <v>345</v>
      </c>
      <c r="C66" s="200">
        <v>0</v>
      </c>
      <c r="D66" s="200">
        <v>150</v>
      </c>
      <c r="E66" s="200">
        <v>293</v>
      </c>
      <c r="F66" s="200">
        <v>363</v>
      </c>
      <c r="G66" s="200">
        <v>408</v>
      </c>
      <c r="H66" s="200">
        <v>407</v>
      </c>
      <c r="I66" s="200">
        <v>274</v>
      </c>
      <c r="J66" s="200">
        <v>188</v>
      </c>
    </row>
    <row r="67" spans="1:10" x14ac:dyDescent="0.25">
      <c r="A67" s="200" t="s">
        <v>350</v>
      </c>
      <c r="B67" s="202" t="s">
        <v>346</v>
      </c>
      <c r="C67" s="200">
        <v>0</v>
      </c>
      <c r="D67" s="200">
        <v>0</v>
      </c>
      <c r="E67" s="200">
        <v>311</v>
      </c>
      <c r="F67" s="200">
        <v>0</v>
      </c>
      <c r="G67" s="200">
        <v>0</v>
      </c>
      <c r="H67" s="200">
        <v>0</v>
      </c>
      <c r="I67" s="200">
        <v>284</v>
      </c>
      <c r="J67" s="200">
        <v>0</v>
      </c>
    </row>
    <row r="68" spans="1:10" x14ac:dyDescent="0.25">
      <c r="A68" s="200" t="s">
        <v>351</v>
      </c>
      <c r="B68" s="202" t="s">
        <v>312</v>
      </c>
      <c r="C68" s="200">
        <v>0</v>
      </c>
      <c r="D68" s="200">
        <v>128</v>
      </c>
      <c r="E68" s="200">
        <v>325</v>
      </c>
      <c r="F68" s="200">
        <v>366</v>
      </c>
      <c r="G68" s="200">
        <v>414</v>
      </c>
      <c r="H68" s="200">
        <v>366</v>
      </c>
      <c r="I68" s="200">
        <v>260</v>
      </c>
      <c r="J68" s="200">
        <v>191</v>
      </c>
    </row>
    <row r="69" spans="1:10" x14ac:dyDescent="0.25">
      <c r="A69" s="200" t="s">
        <v>351</v>
      </c>
      <c r="B69" s="202" t="s">
        <v>314</v>
      </c>
      <c r="C69" s="200">
        <v>0</v>
      </c>
      <c r="D69" s="200">
        <v>115</v>
      </c>
      <c r="E69" s="200">
        <v>343</v>
      </c>
      <c r="F69" s="200">
        <v>336</v>
      </c>
      <c r="G69" s="200">
        <v>416</v>
      </c>
      <c r="H69" s="200">
        <v>407</v>
      </c>
      <c r="I69" s="200">
        <v>311</v>
      </c>
      <c r="J69" s="200">
        <v>141</v>
      </c>
    </row>
    <row r="70" spans="1:10" x14ac:dyDescent="0.25">
      <c r="A70" s="200" t="s">
        <v>351</v>
      </c>
      <c r="B70" s="202" t="s">
        <v>315</v>
      </c>
      <c r="C70" s="200">
        <v>0</v>
      </c>
      <c r="D70" s="200">
        <v>142</v>
      </c>
      <c r="E70" s="200">
        <v>372</v>
      </c>
      <c r="F70" s="200">
        <v>387</v>
      </c>
      <c r="G70" s="200">
        <v>277</v>
      </c>
      <c r="H70" s="200">
        <v>307</v>
      </c>
      <c r="I70" s="200">
        <v>314</v>
      </c>
      <c r="J70" s="200">
        <v>87</v>
      </c>
    </row>
    <row r="71" spans="1:10" x14ac:dyDescent="0.25">
      <c r="A71" s="200" t="s">
        <v>351</v>
      </c>
      <c r="B71" s="202" t="s">
        <v>316</v>
      </c>
      <c r="C71" s="200">
        <v>0</v>
      </c>
      <c r="D71" s="200">
        <v>168</v>
      </c>
      <c r="E71" s="200">
        <v>371</v>
      </c>
      <c r="F71" s="200">
        <v>419</v>
      </c>
      <c r="G71" s="200">
        <v>348</v>
      </c>
      <c r="H71" s="200">
        <v>392</v>
      </c>
      <c r="I71" s="200">
        <v>368</v>
      </c>
      <c r="J71" s="200">
        <v>122</v>
      </c>
    </row>
    <row r="72" spans="1:10" x14ac:dyDescent="0.25">
      <c r="A72" s="200" t="s">
        <v>351</v>
      </c>
      <c r="B72" s="202" t="s">
        <v>317</v>
      </c>
      <c r="C72" s="200">
        <v>0</v>
      </c>
      <c r="D72" s="200">
        <v>172</v>
      </c>
      <c r="E72" s="200">
        <v>396</v>
      </c>
      <c r="F72" s="200">
        <v>351</v>
      </c>
      <c r="G72" s="200">
        <v>408</v>
      </c>
      <c r="H72" s="200">
        <v>393</v>
      </c>
      <c r="I72" s="200">
        <v>332</v>
      </c>
      <c r="J72" s="200">
        <v>175</v>
      </c>
    </row>
    <row r="73" spans="1:10" x14ac:dyDescent="0.25">
      <c r="A73" s="200" t="s">
        <v>351</v>
      </c>
      <c r="B73" s="202" t="s">
        <v>318</v>
      </c>
      <c r="C73" s="200">
        <v>0</v>
      </c>
      <c r="D73" s="200">
        <v>184</v>
      </c>
      <c r="E73" s="200">
        <v>250</v>
      </c>
      <c r="F73" s="200">
        <v>367</v>
      </c>
      <c r="G73" s="200">
        <v>290</v>
      </c>
      <c r="H73" s="200">
        <v>407</v>
      </c>
      <c r="I73" s="200">
        <v>291</v>
      </c>
      <c r="J73" s="200">
        <v>203</v>
      </c>
    </row>
    <row r="74" spans="1:10" x14ac:dyDescent="0.25">
      <c r="A74" s="200" t="s">
        <v>351</v>
      </c>
      <c r="B74" s="202" t="s">
        <v>319</v>
      </c>
      <c r="C74" s="200">
        <v>0</v>
      </c>
      <c r="D74" s="200">
        <v>330</v>
      </c>
      <c r="E74" s="200">
        <v>248</v>
      </c>
      <c r="F74" s="200">
        <v>331</v>
      </c>
      <c r="G74" s="200">
        <v>356</v>
      </c>
      <c r="H74" s="200">
        <v>431</v>
      </c>
      <c r="I74" s="200">
        <v>220</v>
      </c>
      <c r="J74" s="200">
        <v>163</v>
      </c>
    </row>
    <row r="75" spans="1:10" x14ac:dyDescent="0.25">
      <c r="A75" s="200" t="s">
        <v>351</v>
      </c>
      <c r="B75" s="202" t="s">
        <v>320</v>
      </c>
      <c r="C75" s="200">
        <v>0</v>
      </c>
      <c r="D75" s="200">
        <v>408</v>
      </c>
      <c r="E75" s="200">
        <v>247</v>
      </c>
      <c r="F75" s="200">
        <v>293</v>
      </c>
      <c r="G75" s="200">
        <v>361</v>
      </c>
      <c r="H75" s="200">
        <v>358</v>
      </c>
      <c r="I75" s="200">
        <v>204</v>
      </c>
      <c r="J75" s="200">
        <v>154</v>
      </c>
    </row>
    <row r="76" spans="1:10" x14ac:dyDescent="0.25">
      <c r="A76" s="200" t="s">
        <v>351</v>
      </c>
      <c r="B76" s="202" t="s">
        <v>321</v>
      </c>
      <c r="C76" s="200">
        <v>0</v>
      </c>
      <c r="D76" s="200">
        <v>388</v>
      </c>
      <c r="E76" s="200">
        <v>261</v>
      </c>
      <c r="F76" s="200">
        <v>310</v>
      </c>
      <c r="G76" s="200">
        <v>331</v>
      </c>
      <c r="H76" s="200">
        <v>362</v>
      </c>
      <c r="I76" s="200">
        <v>229</v>
      </c>
      <c r="J76" s="200">
        <v>135</v>
      </c>
    </row>
    <row r="77" spans="1:10" x14ac:dyDescent="0.25">
      <c r="A77" s="200" t="s">
        <v>351</v>
      </c>
      <c r="B77" s="202" t="s">
        <v>322</v>
      </c>
      <c r="C77" s="200">
        <v>0</v>
      </c>
      <c r="D77" s="200">
        <v>202</v>
      </c>
      <c r="E77" s="200">
        <v>289</v>
      </c>
      <c r="F77" s="200">
        <v>373</v>
      </c>
      <c r="G77" s="200">
        <v>345</v>
      </c>
      <c r="H77" s="200">
        <v>327</v>
      </c>
      <c r="I77" s="200">
        <v>210</v>
      </c>
      <c r="J77" s="200">
        <v>151</v>
      </c>
    </row>
    <row r="78" spans="1:10" x14ac:dyDescent="0.25">
      <c r="A78" s="200" t="s">
        <v>351</v>
      </c>
      <c r="B78" s="202" t="s">
        <v>323</v>
      </c>
      <c r="C78" s="200">
        <v>0</v>
      </c>
      <c r="D78" s="200">
        <v>298</v>
      </c>
      <c r="E78" s="200">
        <v>315</v>
      </c>
      <c r="F78" s="200">
        <v>400</v>
      </c>
      <c r="G78" s="200">
        <v>322</v>
      </c>
      <c r="H78" s="200">
        <v>413</v>
      </c>
      <c r="I78" s="200">
        <v>198</v>
      </c>
      <c r="J78" s="200">
        <v>161</v>
      </c>
    </row>
    <row r="79" spans="1:10" x14ac:dyDescent="0.25">
      <c r="A79" s="200" t="s">
        <v>351</v>
      </c>
      <c r="B79" s="202" t="s">
        <v>324</v>
      </c>
      <c r="C79" s="200">
        <v>0</v>
      </c>
      <c r="D79" s="200">
        <v>229</v>
      </c>
      <c r="E79" s="200">
        <v>334</v>
      </c>
      <c r="F79" s="200">
        <v>395</v>
      </c>
      <c r="G79" s="200">
        <v>393</v>
      </c>
      <c r="H79" s="200">
        <v>409</v>
      </c>
      <c r="I79" s="200">
        <v>207</v>
      </c>
      <c r="J79" s="200">
        <v>209</v>
      </c>
    </row>
    <row r="80" spans="1:10" x14ac:dyDescent="0.25">
      <c r="A80" s="200" t="s">
        <v>351</v>
      </c>
      <c r="B80" s="202" t="s">
        <v>325</v>
      </c>
      <c r="C80" s="200">
        <v>0</v>
      </c>
      <c r="D80" s="200">
        <v>295</v>
      </c>
      <c r="E80" s="200">
        <v>317</v>
      </c>
      <c r="F80" s="200">
        <v>439</v>
      </c>
      <c r="G80" s="200">
        <v>399</v>
      </c>
      <c r="H80" s="200">
        <v>356</v>
      </c>
      <c r="I80" s="200">
        <v>234</v>
      </c>
      <c r="J80" s="200">
        <v>242</v>
      </c>
    </row>
    <row r="81" spans="1:10" x14ac:dyDescent="0.25">
      <c r="A81" s="200" t="s">
        <v>351</v>
      </c>
      <c r="B81" s="202" t="s">
        <v>326</v>
      </c>
      <c r="C81" s="200">
        <v>0</v>
      </c>
      <c r="D81" s="200">
        <v>383</v>
      </c>
      <c r="E81" s="200">
        <v>423</v>
      </c>
      <c r="F81" s="200">
        <v>436</v>
      </c>
      <c r="G81" s="200">
        <v>378</v>
      </c>
      <c r="H81" s="200">
        <v>324</v>
      </c>
      <c r="I81" s="200">
        <v>180</v>
      </c>
      <c r="J81" s="200">
        <v>233</v>
      </c>
    </row>
    <row r="82" spans="1:10" x14ac:dyDescent="0.25">
      <c r="A82" s="200" t="s">
        <v>351</v>
      </c>
      <c r="B82" s="202" t="s">
        <v>327</v>
      </c>
      <c r="C82" s="200">
        <v>0</v>
      </c>
      <c r="D82" s="200">
        <v>358</v>
      </c>
      <c r="E82" s="200">
        <v>433</v>
      </c>
      <c r="F82" s="200">
        <v>407</v>
      </c>
      <c r="G82" s="200">
        <v>372</v>
      </c>
      <c r="H82" s="200">
        <v>319</v>
      </c>
      <c r="I82" s="200">
        <v>96</v>
      </c>
      <c r="J82" s="200">
        <v>242</v>
      </c>
    </row>
    <row r="83" spans="1:10" x14ac:dyDescent="0.25">
      <c r="A83" s="200" t="s">
        <v>351</v>
      </c>
      <c r="B83" s="202" t="s">
        <v>328</v>
      </c>
      <c r="C83" s="200">
        <v>0</v>
      </c>
      <c r="D83" s="200">
        <v>414</v>
      </c>
      <c r="E83" s="200">
        <v>375</v>
      </c>
      <c r="F83" s="200">
        <v>410</v>
      </c>
      <c r="G83" s="200">
        <v>373</v>
      </c>
      <c r="H83" s="200">
        <v>290</v>
      </c>
      <c r="I83" s="200">
        <v>61</v>
      </c>
      <c r="J83" s="200">
        <v>244</v>
      </c>
    </row>
    <row r="84" spans="1:10" x14ac:dyDescent="0.25">
      <c r="A84" s="200" t="s">
        <v>351</v>
      </c>
      <c r="B84" s="202" t="s">
        <v>329</v>
      </c>
      <c r="C84" s="200">
        <v>0</v>
      </c>
      <c r="D84" s="200">
        <v>424</v>
      </c>
      <c r="E84" s="200">
        <v>286</v>
      </c>
      <c r="F84" s="200">
        <v>401</v>
      </c>
      <c r="G84" s="200">
        <v>394</v>
      </c>
      <c r="H84" s="200">
        <v>351</v>
      </c>
      <c r="I84" s="200">
        <v>58</v>
      </c>
      <c r="J84" s="200">
        <v>237</v>
      </c>
    </row>
    <row r="85" spans="1:10" x14ac:dyDescent="0.25">
      <c r="A85" s="200" t="s">
        <v>351</v>
      </c>
      <c r="B85" s="202" t="s">
        <v>330</v>
      </c>
      <c r="C85" s="200">
        <v>0</v>
      </c>
      <c r="D85" s="200">
        <v>351</v>
      </c>
      <c r="E85" s="200">
        <v>339</v>
      </c>
      <c r="F85" s="200">
        <v>411</v>
      </c>
      <c r="G85" s="200">
        <v>379</v>
      </c>
      <c r="H85" s="200">
        <v>373</v>
      </c>
      <c r="I85" s="200">
        <v>49</v>
      </c>
      <c r="J85" s="200">
        <v>233</v>
      </c>
    </row>
    <row r="86" spans="1:10" x14ac:dyDescent="0.25">
      <c r="A86" s="200" t="s">
        <v>351</v>
      </c>
      <c r="B86" s="202" t="s">
        <v>331</v>
      </c>
      <c r="C86" s="200">
        <v>0</v>
      </c>
      <c r="D86" s="200">
        <v>281</v>
      </c>
      <c r="E86" s="200">
        <v>417</v>
      </c>
      <c r="F86" s="200">
        <v>331</v>
      </c>
      <c r="G86" s="200">
        <v>408</v>
      </c>
      <c r="H86" s="200">
        <v>363</v>
      </c>
      <c r="I86" s="200">
        <v>32</v>
      </c>
      <c r="J86" s="200">
        <v>229</v>
      </c>
    </row>
    <row r="87" spans="1:10" x14ac:dyDescent="0.25">
      <c r="A87" s="200" t="s">
        <v>351</v>
      </c>
      <c r="B87" s="202" t="s">
        <v>332</v>
      </c>
      <c r="C87" s="200">
        <v>0</v>
      </c>
      <c r="D87" s="200">
        <v>284</v>
      </c>
      <c r="E87" s="200">
        <v>405</v>
      </c>
      <c r="F87" s="200">
        <v>396</v>
      </c>
      <c r="G87" s="200">
        <v>405</v>
      </c>
      <c r="H87" s="200">
        <v>377</v>
      </c>
      <c r="I87" s="200">
        <v>23</v>
      </c>
      <c r="J87" s="200">
        <v>237</v>
      </c>
    </row>
    <row r="88" spans="1:10" x14ac:dyDescent="0.25">
      <c r="A88" s="200" t="s">
        <v>351</v>
      </c>
      <c r="B88" s="202" t="s">
        <v>333</v>
      </c>
      <c r="C88" s="200">
        <v>0</v>
      </c>
      <c r="D88" s="200">
        <v>315</v>
      </c>
      <c r="E88" s="200">
        <v>426</v>
      </c>
      <c r="F88" s="200">
        <v>417</v>
      </c>
      <c r="G88" s="200">
        <v>406</v>
      </c>
      <c r="H88" s="200">
        <v>333</v>
      </c>
      <c r="I88" s="200">
        <v>14</v>
      </c>
      <c r="J88" s="200">
        <v>207</v>
      </c>
    </row>
    <row r="89" spans="1:10" x14ac:dyDescent="0.25">
      <c r="A89" s="200" t="s">
        <v>351</v>
      </c>
      <c r="B89" s="202" t="s">
        <v>334</v>
      </c>
      <c r="C89" s="200">
        <v>0</v>
      </c>
      <c r="D89" s="200">
        <v>248</v>
      </c>
      <c r="E89" s="200">
        <v>418</v>
      </c>
      <c r="F89" s="200">
        <v>425</v>
      </c>
      <c r="G89" s="200">
        <v>347</v>
      </c>
      <c r="H89" s="200">
        <v>397</v>
      </c>
      <c r="I89" s="200">
        <v>5</v>
      </c>
      <c r="J89" s="200">
        <v>213</v>
      </c>
    </row>
    <row r="90" spans="1:10" x14ac:dyDescent="0.25">
      <c r="A90" s="200" t="s">
        <v>351</v>
      </c>
      <c r="B90" s="202" t="s">
        <v>335</v>
      </c>
      <c r="C90" s="200">
        <v>0</v>
      </c>
      <c r="D90" s="200">
        <v>247</v>
      </c>
      <c r="E90" s="200">
        <v>411</v>
      </c>
      <c r="F90" s="200">
        <v>405</v>
      </c>
      <c r="G90" s="200">
        <v>354</v>
      </c>
      <c r="H90" s="200">
        <v>416</v>
      </c>
      <c r="I90" s="200">
        <v>0</v>
      </c>
      <c r="J90" s="200">
        <v>237</v>
      </c>
    </row>
    <row r="91" spans="1:10" x14ac:dyDescent="0.25">
      <c r="A91" s="200" t="s">
        <v>351</v>
      </c>
      <c r="B91" s="202" t="s">
        <v>337</v>
      </c>
      <c r="C91" s="200">
        <v>0</v>
      </c>
      <c r="D91" s="200">
        <v>255</v>
      </c>
      <c r="E91" s="200">
        <v>418</v>
      </c>
      <c r="F91" s="200">
        <v>366</v>
      </c>
      <c r="G91" s="200">
        <v>398</v>
      </c>
      <c r="H91" s="200">
        <v>351</v>
      </c>
      <c r="I91" s="200">
        <v>0</v>
      </c>
      <c r="J91" s="200">
        <v>209</v>
      </c>
    </row>
    <row r="92" spans="1:10" x14ac:dyDescent="0.25">
      <c r="A92" s="200" t="s">
        <v>351</v>
      </c>
      <c r="B92" s="202" t="s">
        <v>339</v>
      </c>
      <c r="C92" s="200">
        <v>0</v>
      </c>
      <c r="D92" s="200">
        <v>237</v>
      </c>
      <c r="E92" s="200">
        <v>414</v>
      </c>
      <c r="F92" s="200">
        <v>392</v>
      </c>
      <c r="G92" s="200">
        <v>373</v>
      </c>
      <c r="H92" s="200">
        <v>417</v>
      </c>
      <c r="I92" s="200">
        <v>0</v>
      </c>
      <c r="J92" s="200">
        <v>185</v>
      </c>
    </row>
    <row r="93" spans="1:10" x14ac:dyDescent="0.25">
      <c r="A93" s="200" t="s">
        <v>351</v>
      </c>
      <c r="B93" s="202" t="s">
        <v>341</v>
      </c>
      <c r="C93" s="200">
        <v>0</v>
      </c>
      <c r="D93" s="200">
        <v>246</v>
      </c>
      <c r="E93" s="200">
        <v>398</v>
      </c>
      <c r="F93" s="200">
        <v>319</v>
      </c>
      <c r="G93" s="200">
        <v>426</v>
      </c>
      <c r="H93" s="200">
        <v>422</v>
      </c>
      <c r="I93" s="200">
        <v>0</v>
      </c>
      <c r="J93" s="200">
        <v>222</v>
      </c>
    </row>
    <row r="94" spans="1:10" x14ac:dyDescent="0.25">
      <c r="A94" s="200" t="s">
        <v>351</v>
      </c>
      <c r="B94" s="202" t="s">
        <v>343</v>
      </c>
      <c r="C94" s="200">
        <v>0</v>
      </c>
      <c r="D94" s="200">
        <v>256</v>
      </c>
      <c r="E94" s="200">
        <v>345</v>
      </c>
      <c r="F94" s="200">
        <v>327</v>
      </c>
      <c r="G94" s="200">
        <v>434</v>
      </c>
      <c r="H94" s="200">
        <v>413</v>
      </c>
      <c r="I94" s="200">
        <v>0</v>
      </c>
      <c r="J94" s="200">
        <v>228</v>
      </c>
    </row>
    <row r="95" spans="1:10" x14ac:dyDescent="0.25">
      <c r="A95" s="200" t="s">
        <v>351</v>
      </c>
      <c r="B95" s="202" t="s">
        <v>345</v>
      </c>
      <c r="C95" s="200">
        <v>0</v>
      </c>
      <c r="D95" s="200">
        <v>265</v>
      </c>
      <c r="E95" s="200">
        <v>403</v>
      </c>
      <c r="F95" s="200">
        <v>359</v>
      </c>
      <c r="G95" s="200">
        <v>398</v>
      </c>
      <c r="H95" s="200">
        <v>383</v>
      </c>
      <c r="I95" s="200">
        <v>0</v>
      </c>
      <c r="J95" s="200">
        <v>215</v>
      </c>
    </row>
    <row r="96" spans="1:10" x14ac:dyDescent="0.25">
      <c r="A96" s="200" t="s">
        <v>351</v>
      </c>
      <c r="B96" s="202" t="s">
        <v>346</v>
      </c>
      <c r="C96" s="200">
        <v>0</v>
      </c>
      <c r="D96" s="200">
        <v>227</v>
      </c>
      <c r="E96" s="200">
        <v>409</v>
      </c>
      <c r="F96" s="200">
        <v>343</v>
      </c>
      <c r="G96" s="200">
        <v>429</v>
      </c>
      <c r="H96" s="200">
        <v>313</v>
      </c>
      <c r="I96" s="200">
        <v>0</v>
      </c>
      <c r="J96" s="200">
        <v>208</v>
      </c>
    </row>
    <row r="97" spans="1:10" x14ac:dyDescent="0.25">
      <c r="A97" s="200" t="s">
        <v>351</v>
      </c>
      <c r="B97" s="202" t="s">
        <v>348</v>
      </c>
      <c r="C97" s="200">
        <v>0</v>
      </c>
      <c r="D97" s="200">
        <v>282</v>
      </c>
      <c r="E97" s="200">
        <v>411</v>
      </c>
      <c r="F97" s="200">
        <v>364</v>
      </c>
      <c r="G97" s="200">
        <v>425</v>
      </c>
      <c r="H97" s="200">
        <v>319</v>
      </c>
      <c r="I97" s="200">
        <v>0</v>
      </c>
      <c r="J97" s="200">
        <v>210</v>
      </c>
    </row>
    <row r="98" spans="1:10" x14ac:dyDescent="0.25">
      <c r="A98" s="200" t="s">
        <v>351</v>
      </c>
      <c r="B98" s="202" t="s">
        <v>349</v>
      </c>
      <c r="C98" s="200">
        <v>0</v>
      </c>
      <c r="D98" s="200">
        <v>323</v>
      </c>
      <c r="E98" s="200">
        <v>400</v>
      </c>
      <c r="F98" s="200">
        <v>337</v>
      </c>
      <c r="G98" s="200">
        <v>424</v>
      </c>
      <c r="H98" s="200">
        <v>224</v>
      </c>
      <c r="I98" s="200">
        <v>0</v>
      </c>
      <c r="J98" s="200">
        <v>214</v>
      </c>
    </row>
    <row r="99" spans="1:10" x14ac:dyDescent="0.25">
      <c r="A99" s="200" t="s">
        <v>352</v>
      </c>
      <c r="B99" s="202" t="s">
        <v>312</v>
      </c>
      <c r="C99" s="200">
        <v>0</v>
      </c>
      <c r="D99" s="200">
        <v>371</v>
      </c>
      <c r="E99" s="200">
        <v>332</v>
      </c>
      <c r="F99" s="200">
        <v>363</v>
      </c>
      <c r="G99" s="200">
        <v>410</v>
      </c>
      <c r="H99" s="200">
        <v>292</v>
      </c>
      <c r="I99" s="200">
        <v>0</v>
      </c>
      <c r="J99" s="200">
        <v>225</v>
      </c>
    </row>
    <row r="100" spans="1:10" x14ac:dyDescent="0.25">
      <c r="A100" s="200" t="s">
        <v>352</v>
      </c>
      <c r="B100" s="202" t="s">
        <v>314</v>
      </c>
      <c r="C100" s="200">
        <v>0</v>
      </c>
      <c r="D100" s="200">
        <v>399</v>
      </c>
      <c r="E100" s="200">
        <v>402</v>
      </c>
      <c r="F100" s="200">
        <v>272</v>
      </c>
      <c r="G100" s="200">
        <v>431</v>
      </c>
      <c r="H100" s="200">
        <v>333</v>
      </c>
      <c r="I100" s="200">
        <v>0</v>
      </c>
      <c r="J100" s="200">
        <v>233</v>
      </c>
    </row>
    <row r="101" spans="1:10" x14ac:dyDescent="0.25">
      <c r="A101" s="200" t="s">
        <v>352</v>
      </c>
      <c r="B101" s="202" t="s">
        <v>315</v>
      </c>
      <c r="C101" s="200">
        <v>0</v>
      </c>
      <c r="D101" s="200">
        <v>405</v>
      </c>
      <c r="E101" s="200">
        <v>416</v>
      </c>
      <c r="F101" s="200">
        <v>286</v>
      </c>
      <c r="G101" s="200">
        <v>431</v>
      </c>
      <c r="H101" s="200">
        <v>373</v>
      </c>
      <c r="I101" s="200">
        <v>0</v>
      </c>
      <c r="J101" s="200">
        <v>220</v>
      </c>
    </row>
    <row r="102" spans="1:10" x14ac:dyDescent="0.25">
      <c r="A102" s="200" t="s">
        <v>352</v>
      </c>
      <c r="B102" s="202" t="s">
        <v>316</v>
      </c>
      <c r="C102" s="200">
        <v>0</v>
      </c>
      <c r="D102" s="200">
        <v>392</v>
      </c>
      <c r="E102" s="200">
        <v>394</v>
      </c>
      <c r="F102" s="200">
        <v>289</v>
      </c>
      <c r="G102" s="200">
        <v>431</v>
      </c>
      <c r="H102" s="200">
        <v>354</v>
      </c>
      <c r="I102" s="200">
        <v>0</v>
      </c>
      <c r="J102" s="200">
        <v>189</v>
      </c>
    </row>
    <row r="103" spans="1:10" x14ac:dyDescent="0.25">
      <c r="A103" s="200" t="s">
        <v>352</v>
      </c>
      <c r="B103" s="202" t="s">
        <v>317</v>
      </c>
      <c r="C103" s="200">
        <v>0</v>
      </c>
      <c r="D103" s="200">
        <v>346</v>
      </c>
      <c r="E103" s="200">
        <v>231</v>
      </c>
      <c r="F103" s="200">
        <v>302</v>
      </c>
      <c r="G103" s="200">
        <v>418</v>
      </c>
      <c r="H103" s="200">
        <v>328</v>
      </c>
      <c r="I103" s="200">
        <v>0</v>
      </c>
      <c r="J103" s="200">
        <v>183</v>
      </c>
    </row>
    <row r="104" spans="1:10" x14ac:dyDescent="0.25">
      <c r="A104" s="200" t="s">
        <v>352</v>
      </c>
      <c r="B104" s="202" t="s">
        <v>318</v>
      </c>
      <c r="C104" s="200">
        <v>0</v>
      </c>
      <c r="D104" s="200">
        <v>391</v>
      </c>
      <c r="E104" s="200">
        <v>266</v>
      </c>
      <c r="F104" s="200">
        <v>292</v>
      </c>
      <c r="G104" s="200">
        <v>366</v>
      </c>
      <c r="H104" s="200">
        <v>320</v>
      </c>
      <c r="I104" s="200">
        <v>0</v>
      </c>
      <c r="J104" s="200">
        <v>181</v>
      </c>
    </row>
    <row r="105" spans="1:10" x14ac:dyDescent="0.25">
      <c r="A105" s="200" t="s">
        <v>352</v>
      </c>
      <c r="B105" s="202" t="s">
        <v>319</v>
      </c>
      <c r="C105" s="200">
        <v>0</v>
      </c>
      <c r="D105" s="200">
        <v>398</v>
      </c>
      <c r="E105" s="200">
        <v>362</v>
      </c>
      <c r="F105" s="200">
        <v>338</v>
      </c>
      <c r="G105" s="200">
        <v>412</v>
      </c>
      <c r="H105" s="200">
        <v>286</v>
      </c>
      <c r="I105" s="200">
        <v>0</v>
      </c>
      <c r="J105" s="200">
        <v>190</v>
      </c>
    </row>
    <row r="106" spans="1:10" x14ac:dyDescent="0.25">
      <c r="A106" s="200" t="s">
        <v>352</v>
      </c>
      <c r="B106" s="202" t="s">
        <v>320</v>
      </c>
      <c r="C106" s="200">
        <v>0</v>
      </c>
      <c r="D106" s="200">
        <v>399</v>
      </c>
      <c r="E106" s="200">
        <v>377</v>
      </c>
      <c r="F106" s="200">
        <v>392</v>
      </c>
      <c r="G106" s="200">
        <v>425</v>
      </c>
      <c r="H106" s="200">
        <v>328</v>
      </c>
      <c r="I106" s="200">
        <v>0</v>
      </c>
      <c r="J106" s="200">
        <v>191</v>
      </c>
    </row>
    <row r="107" spans="1:10" x14ac:dyDescent="0.25">
      <c r="A107" s="200" t="s">
        <v>352</v>
      </c>
      <c r="B107" s="202" t="s">
        <v>321</v>
      </c>
      <c r="C107" s="200">
        <v>0</v>
      </c>
      <c r="D107" s="200">
        <v>418</v>
      </c>
      <c r="E107" s="200">
        <v>365</v>
      </c>
      <c r="F107" s="200">
        <v>387</v>
      </c>
      <c r="G107" s="200">
        <v>414</v>
      </c>
      <c r="H107" s="200">
        <v>383</v>
      </c>
      <c r="I107" s="200">
        <v>0</v>
      </c>
      <c r="J107" s="200">
        <v>208</v>
      </c>
    </row>
    <row r="108" spans="1:10" x14ac:dyDescent="0.25">
      <c r="A108" s="200" t="s">
        <v>352</v>
      </c>
      <c r="B108" s="202" t="s">
        <v>322</v>
      </c>
      <c r="C108" s="200">
        <v>0</v>
      </c>
      <c r="D108" s="200">
        <v>408</v>
      </c>
      <c r="E108" s="200">
        <v>250</v>
      </c>
      <c r="F108" s="200">
        <v>389</v>
      </c>
      <c r="G108" s="200">
        <v>205</v>
      </c>
      <c r="H108" s="200">
        <v>355</v>
      </c>
      <c r="I108" s="200">
        <v>0</v>
      </c>
      <c r="J108" s="200">
        <v>246</v>
      </c>
    </row>
    <row r="109" spans="1:10" x14ac:dyDescent="0.25">
      <c r="A109" s="200" t="s">
        <v>352</v>
      </c>
      <c r="B109" s="202" t="s">
        <v>323</v>
      </c>
      <c r="C109" s="200">
        <v>0</v>
      </c>
      <c r="D109" s="200">
        <v>383</v>
      </c>
      <c r="E109" s="200">
        <v>409</v>
      </c>
      <c r="F109" s="200">
        <v>391</v>
      </c>
      <c r="G109" s="200">
        <v>361</v>
      </c>
      <c r="H109" s="200">
        <v>361</v>
      </c>
      <c r="I109" s="200">
        <v>0</v>
      </c>
      <c r="J109" s="200">
        <v>178</v>
      </c>
    </row>
    <row r="110" spans="1:10" x14ac:dyDescent="0.25">
      <c r="A110" s="200" t="s">
        <v>352</v>
      </c>
      <c r="B110" s="202" t="s">
        <v>324</v>
      </c>
      <c r="C110" s="200">
        <v>0</v>
      </c>
      <c r="D110" s="200">
        <v>332</v>
      </c>
      <c r="E110" s="200">
        <v>416</v>
      </c>
      <c r="F110" s="200">
        <v>419</v>
      </c>
      <c r="G110" s="200">
        <v>419</v>
      </c>
      <c r="H110" s="200">
        <v>326</v>
      </c>
      <c r="I110" s="200">
        <v>0</v>
      </c>
      <c r="J110" s="200">
        <v>181</v>
      </c>
    </row>
    <row r="111" spans="1:10" x14ac:dyDescent="0.25">
      <c r="A111" s="200" t="s">
        <v>352</v>
      </c>
      <c r="B111" s="202" t="s">
        <v>325</v>
      </c>
      <c r="C111" s="200">
        <v>0</v>
      </c>
      <c r="D111" s="200">
        <v>398</v>
      </c>
      <c r="E111" s="200">
        <v>370</v>
      </c>
      <c r="F111" s="200">
        <v>436</v>
      </c>
      <c r="G111" s="200">
        <v>401</v>
      </c>
      <c r="H111" s="200">
        <v>400</v>
      </c>
      <c r="I111" s="200">
        <v>0</v>
      </c>
      <c r="J111" s="200">
        <v>139</v>
      </c>
    </row>
    <row r="112" spans="1:10" x14ac:dyDescent="0.25">
      <c r="A112" s="200" t="s">
        <v>352</v>
      </c>
      <c r="B112" s="202" t="s">
        <v>326</v>
      </c>
      <c r="C112" s="200">
        <v>0</v>
      </c>
      <c r="D112" s="200">
        <v>402</v>
      </c>
      <c r="E112" s="200">
        <v>374</v>
      </c>
      <c r="F112" s="200">
        <v>438</v>
      </c>
      <c r="G112" s="200">
        <v>407</v>
      </c>
      <c r="H112" s="200">
        <v>337</v>
      </c>
      <c r="I112" s="200">
        <v>0</v>
      </c>
      <c r="J112" s="200">
        <v>147</v>
      </c>
    </row>
    <row r="113" spans="1:10" x14ac:dyDescent="0.25">
      <c r="A113" s="200" t="s">
        <v>352</v>
      </c>
      <c r="B113" s="202" t="s">
        <v>327</v>
      </c>
      <c r="C113" s="200">
        <v>0</v>
      </c>
      <c r="D113" s="200">
        <v>320</v>
      </c>
      <c r="E113" s="200">
        <v>416</v>
      </c>
      <c r="F113" s="200">
        <v>397</v>
      </c>
      <c r="G113" s="200">
        <v>269</v>
      </c>
      <c r="H113" s="200">
        <v>384</v>
      </c>
      <c r="I113" s="200">
        <v>0</v>
      </c>
      <c r="J113" s="200">
        <v>164</v>
      </c>
    </row>
    <row r="114" spans="1:10" x14ac:dyDescent="0.25">
      <c r="A114" s="200" t="s">
        <v>352</v>
      </c>
      <c r="B114" s="202" t="s">
        <v>328</v>
      </c>
      <c r="C114" s="200">
        <v>0</v>
      </c>
      <c r="D114" s="200">
        <v>303</v>
      </c>
      <c r="E114" s="200">
        <v>382</v>
      </c>
      <c r="F114" s="200">
        <v>338</v>
      </c>
      <c r="G114" s="200">
        <v>260</v>
      </c>
      <c r="H114" s="200">
        <v>404</v>
      </c>
      <c r="I114" s="200">
        <v>0</v>
      </c>
      <c r="J114" s="200">
        <v>196</v>
      </c>
    </row>
    <row r="115" spans="1:10" x14ac:dyDescent="0.25">
      <c r="A115" s="200" t="s">
        <v>352</v>
      </c>
      <c r="B115" s="202" t="s">
        <v>329</v>
      </c>
      <c r="C115" s="200">
        <v>0</v>
      </c>
      <c r="D115" s="200">
        <v>233</v>
      </c>
      <c r="E115" s="200">
        <v>215</v>
      </c>
      <c r="F115" s="200">
        <v>356</v>
      </c>
      <c r="G115" s="200">
        <v>303</v>
      </c>
      <c r="H115" s="200">
        <v>408</v>
      </c>
      <c r="I115" s="200">
        <v>0</v>
      </c>
      <c r="J115" s="200">
        <v>219</v>
      </c>
    </row>
    <row r="116" spans="1:10" x14ac:dyDescent="0.25">
      <c r="A116" s="200" t="s">
        <v>352</v>
      </c>
      <c r="B116" s="202" t="s">
        <v>330</v>
      </c>
      <c r="C116" s="200">
        <v>0</v>
      </c>
      <c r="D116" s="200">
        <v>293</v>
      </c>
      <c r="E116" s="200">
        <v>313</v>
      </c>
      <c r="F116" s="200">
        <v>340</v>
      </c>
      <c r="G116" s="200">
        <v>315</v>
      </c>
      <c r="H116" s="200">
        <v>430</v>
      </c>
      <c r="I116" s="200">
        <v>0</v>
      </c>
      <c r="J116" s="200">
        <v>124</v>
      </c>
    </row>
    <row r="117" spans="1:10" x14ac:dyDescent="0.25">
      <c r="A117" s="200" t="s">
        <v>352</v>
      </c>
      <c r="B117" s="202" t="s">
        <v>331</v>
      </c>
      <c r="C117" s="200">
        <v>0</v>
      </c>
      <c r="D117" s="200">
        <v>326</v>
      </c>
      <c r="E117" s="200">
        <v>336</v>
      </c>
      <c r="F117" s="200">
        <v>429</v>
      </c>
      <c r="G117" s="200">
        <v>366</v>
      </c>
      <c r="H117" s="200">
        <v>421</v>
      </c>
      <c r="I117" s="200">
        <v>0</v>
      </c>
      <c r="J117" s="200">
        <v>125</v>
      </c>
    </row>
    <row r="118" spans="1:10" x14ac:dyDescent="0.25">
      <c r="A118" s="200" t="s">
        <v>352</v>
      </c>
      <c r="B118" s="202" t="s">
        <v>332</v>
      </c>
      <c r="C118" s="200">
        <v>0</v>
      </c>
      <c r="D118" s="200">
        <v>316</v>
      </c>
      <c r="E118" s="200">
        <v>327</v>
      </c>
      <c r="F118" s="200">
        <v>414</v>
      </c>
      <c r="G118" s="200">
        <v>400</v>
      </c>
      <c r="H118" s="200">
        <v>401</v>
      </c>
      <c r="I118" s="200">
        <v>0</v>
      </c>
      <c r="J118" s="200">
        <v>115</v>
      </c>
    </row>
    <row r="119" spans="1:10" x14ac:dyDescent="0.25">
      <c r="A119" s="200" t="s">
        <v>352</v>
      </c>
      <c r="B119" s="202" t="s">
        <v>333</v>
      </c>
      <c r="C119" s="200">
        <v>0</v>
      </c>
      <c r="D119" s="200">
        <v>314</v>
      </c>
      <c r="E119" s="200">
        <v>344</v>
      </c>
      <c r="F119" s="200">
        <v>408</v>
      </c>
      <c r="G119" s="200">
        <v>402</v>
      </c>
      <c r="H119" s="200">
        <v>284</v>
      </c>
      <c r="I119" s="200">
        <v>0</v>
      </c>
      <c r="J119" s="200">
        <v>123</v>
      </c>
    </row>
    <row r="120" spans="1:10" x14ac:dyDescent="0.25">
      <c r="A120" s="200" t="s">
        <v>352</v>
      </c>
      <c r="B120" s="202" t="s">
        <v>334</v>
      </c>
      <c r="C120" s="200">
        <v>0</v>
      </c>
      <c r="D120" s="200">
        <v>334</v>
      </c>
      <c r="E120" s="200">
        <v>282</v>
      </c>
      <c r="F120" s="200">
        <v>423</v>
      </c>
      <c r="G120" s="200">
        <v>199</v>
      </c>
      <c r="H120" s="200">
        <v>268</v>
      </c>
      <c r="I120" s="200">
        <v>0</v>
      </c>
      <c r="J120" s="200">
        <v>158</v>
      </c>
    </row>
    <row r="121" spans="1:10" x14ac:dyDescent="0.25">
      <c r="A121" s="200" t="s">
        <v>352</v>
      </c>
      <c r="B121" s="202" t="s">
        <v>335</v>
      </c>
      <c r="C121" s="200">
        <v>0</v>
      </c>
      <c r="D121" s="200">
        <v>255</v>
      </c>
      <c r="E121" s="200">
        <v>315</v>
      </c>
      <c r="F121" s="200">
        <v>366</v>
      </c>
      <c r="G121" s="200">
        <v>328</v>
      </c>
      <c r="H121" s="200">
        <v>246</v>
      </c>
      <c r="I121" s="200">
        <v>0</v>
      </c>
      <c r="J121" s="200">
        <v>221</v>
      </c>
    </row>
    <row r="122" spans="1:10" x14ac:dyDescent="0.25">
      <c r="A122" s="200" t="s">
        <v>352</v>
      </c>
      <c r="B122" s="202" t="s">
        <v>337</v>
      </c>
      <c r="C122" s="200">
        <v>0</v>
      </c>
      <c r="D122" s="200">
        <v>336</v>
      </c>
      <c r="E122" s="200">
        <v>293</v>
      </c>
      <c r="F122" s="200">
        <v>312</v>
      </c>
      <c r="G122" s="200">
        <v>347</v>
      </c>
      <c r="H122" s="200">
        <v>266</v>
      </c>
      <c r="I122" s="200">
        <v>0</v>
      </c>
      <c r="J122" s="200">
        <v>242</v>
      </c>
    </row>
    <row r="123" spans="1:10" x14ac:dyDescent="0.25">
      <c r="A123" s="200" t="s">
        <v>352</v>
      </c>
      <c r="B123" s="202" t="s">
        <v>339</v>
      </c>
      <c r="C123" s="200">
        <v>0</v>
      </c>
      <c r="D123" s="200">
        <v>351</v>
      </c>
      <c r="E123" s="200">
        <v>352</v>
      </c>
      <c r="F123" s="200">
        <v>338</v>
      </c>
      <c r="G123" s="200">
        <v>404</v>
      </c>
      <c r="H123" s="200">
        <v>310</v>
      </c>
      <c r="I123" s="200">
        <v>0</v>
      </c>
      <c r="J123" s="200">
        <v>209</v>
      </c>
    </row>
    <row r="124" spans="1:10" x14ac:dyDescent="0.25">
      <c r="A124" s="200" t="s">
        <v>352</v>
      </c>
      <c r="B124" s="202" t="s">
        <v>341</v>
      </c>
      <c r="C124" s="200">
        <v>0</v>
      </c>
      <c r="D124" s="200">
        <v>253</v>
      </c>
      <c r="E124" s="200">
        <v>357</v>
      </c>
      <c r="F124" s="200">
        <v>231</v>
      </c>
      <c r="G124" s="200">
        <v>379</v>
      </c>
      <c r="H124" s="200">
        <v>312</v>
      </c>
      <c r="I124" s="200">
        <v>0</v>
      </c>
      <c r="J124" s="200">
        <v>111</v>
      </c>
    </row>
    <row r="125" spans="1:10" x14ac:dyDescent="0.25">
      <c r="A125" s="200" t="s">
        <v>352</v>
      </c>
      <c r="B125" s="202" t="s">
        <v>343</v>
      </c>
      <c r="C125" s="200">
        <v>0</v>
      </c>
      <c r="D125" s="200">
        <v>249</v>
      </c>
      <c r="E125" s="200">
        <v>340</v>
      </c>
      <c r="F125" s="200">
        <v>265</v>
      </c>
      <c r="G125" s="200">
        <v>418</v>
      </c>
      <c r="H125" s="200">
        <v>307</v>
      </c>
      <c r="I125" s="200">
        <v>0</v>
      </c>
      <c r="J125" s="200">
        <v>94</v>
      </c>
    </row>
    <row r="126" spans="1:10" x14ac:dyDescent="0.25">
      <c r="A126" s="200" t="s">
        <v>352</v>
      </c>
      <c r="B126" s="202" t="s">
        <v>345</v>
      </c>
      <c r="C126" s="200">
        <v>0</v>
      </c>
      <c r="D126" s="200">
        <v>261</v>
      </c>
      <c r="E126" s="200">
        <v>397</v>
      </c>
      <c r="F126" s="200">
        <v>333</v>
      </c>
      <c r="G126" s="200">
        <v>416</v>
      </c>
      <c r="H126" s="200">
        <v>373</v>
      </c>
      <c r="I126" s="200">
        <v>0</v>
      </c>
      <c r="J126" s="200">
        <v>125</v>
      </c>
    </row>
    <row r="127" spans="1:10" x14ac:dyDescent="0.25">
      <c r="A127" s="200" t="s">
        <v>352</v>
      </c>
      <c r="B127" s="202" t="s">
        <v>346</v>
      </c>
      <c r="C127" s="200">
        <v>0</v>
      </c>
      <c r="D127" s="200">
        <v>261</v>
      </c>
      <c r="E127" s="200">
        <v>405</v>
      </c>
      <c r="F127" s="200">
        <v>412</v>
      </c>
      <c r="G127" s="200">
        <v>392</v>
      </c>
      <c r="H127" s="200">
        <v>419</v>
      </c>
      <c r="I127" s="200">
        <v>0</v>
      </c>
      <c r="J127" s="200">
        <v>164</v>
      </c>
    </row>
    <row r="128" spans="1:10" x14ac:dyDescent="0.25">
      <c r="A128" s="200" t="s">
        <v>352</v>
      </c>
      <c r="B128" s="202" t="s">
        <v>348</v>
      </c>
      <c r="C128" s="200">
        <v>0</v>
      </c>
      <c r="D128" s="200">
        <v>298</v>
      </c>
      <c r="E128" s="200">
        <v>383</v>
      </c>
      <c r="F128" s="200">
        <v>277</v>
      </c>
      <c r="G128" s="200">
        <v>419</v>
      </c>
      <c r="H128" s="200">
        <v>380</v>
      </c>
      <c r="I128" s="200">
        <v>0</v>
      </c>
      <c r="J128" s="200">
        <v>237</v>
      </c>
    </row>
    <row r="129" spans="1:10" x14ac:dyDescent="0.25">
      <c r="A129" s="200" t="s">
        <v>353</v>
      </c>
      <c r="B129" s="202" t="s">
        <v>312</v>
      </c>
      <c r="C129" s="200">
        <v>0</v>
      </c>
      <c r="D129" s="200">
        <v>280</v>
      </c>
      <c r="E129" s="200">
        <v>236</v>
      </c>
      <c r="F129" s="200">
        <v>389</v>
      </c>
      <c r="G129" s="200">
        <v>363</v>
      </c>
      <c r="H129" s="200">
        <v>226</v>
      </c>
      <c r="I129" s="200">
        <v>0</v>
      </c>
      <c r="J129" s="200">
        <v>277</v>
      </c>
    </row>
    <row r="130" spans="1:10" x14ac:dyDescent="0.25">
      <c r="A130" s="200" t="s">
        <v>353</v>
      </c>
      <c r="B130" s="202" t="s">
        <v>314</v>
      </c>
      <c r="C130" s="200">
        <v>0</v>
      </c>
      <c r="D130" s="200">
        <v>315</v>
      </c>
      <c r="E130" s="200">
        <v>220</v>
      </c>
      <c r="F130" s="200">
        <v>380</v>
      </c>
      <c r="G130" s="200">
        <v>248</v>
      </c>
      <c r="H130" s="200">
        <v>314</v>
      </c>
      <c r="I130" s="200">
        <v>0</v>
      </c>
      <c r="J130" s="200">
        <v>254</v>
      </c>
    </row>
    <row r="131" spans="1:10" x14ac:dyDescent="0.25">
      <c r="A131" s="200" t="s">
        <v>353</v>
      </c>
      <c r="B131" s="202" t="s">
        <v>315</v>
      </c>
      <c r="C131" s="200">
        <v>0</v>
      </c>
      <c r="D131" s="200">
        <v>180</v>
      </c>
      <c r="E131" s="200">
        <v>231</v>
      </c>
      <c r="F131" s="200">
        <v>428</v>
      </c>
      <c r="G131" s="200">
        <v>371</v>
      </c>
      <c r="H131" s="200">
        <v>396</v>
      </c>
      <c r="I131" s="200">
        <v>0</v>
      </c>
      <c r="J131" s="200">
        <v>279</v>
      </c>
    </row>
    <row r="132" spans="1:10" x14ac:dyDescent="0.25">
      <c r="A132" s="200" t="s">
        <v>353</v>
      </c>
      <c r="B132" s="202" t="s">
        <v>316</v>
      </c>
      <c r="C132" s="200">
        <v>0</v>
      </c>
      <c r="D132" s="200">
        <v>234</v>
      </c>
      <c r="E132" s="200">
        <v>364</v>
      </c>
      <c r="F132" s="200">
        <v>407</v>
      </c>
      <c r="G132" s="200">
        <v>397</v>
      </c>
      <c r="H132" s="200">
        <v>401</v>
      </c>
      <c r="I132" s="200">
        <v>0</v>
      </c>
      <c r="J132" s="200">
        <v>323</v>
      </c>
    </row>
    <row r="133" spans="1:10" x14ac:dyDescent="0.25">
      <c r="A133" s="200" t="s">
        <v>353</v>
      </c>
      <c r="B133" s="202" t="s">
        <v>317</v>
      </c>
      <c r="C133" s="200">
        <v>0</v>
      </c>
      <c r="D133" s="200">
        <v>338</v>
      </c>
      <c r="E133" s="200">
        <v>318</v>
      </c>
      <c r="F133" s="200">
        <v>430</v>
      </c>
      <c r="G133" s="200">
        <v>408</v>
      </c>
      <c r="H133" s="200">
        <v>343</v>
      </c>
      <c r="I133" s="200">
        <v>0</v>
      </c>
      <c r="J133" s="200">
        <v>332</v>
      </c>
    </row>
    <row r="134" spans="1:10" x14ac:dyDescent="0.25">
      <c r="A134" s="200" t="s">
        <v>353</v>
      </c>
      <c r="B134" s="202" t="s">
        <v>318</v>
      </c>
      <c r="C134" s="200">
        <v>0</v>
      </c>
      <c r="D134" s="200">
        <v>373</v>
      </c>
      <c r="E134" s="200">
        <v>309</v>
      </c>
      <c r="F134" s="200">
        <v>419</v>
      </c>
      <c r="G134" s="200">
        <v>301</v>
      </c>
      <c r="H134" s="200">
        <v>389</v>
      </c>
      <c r="I134" s="200">
        <v>0</v>
      </c>
      <c r="J134" s="200">
        <v>307</v>
      </c>
    </row>
    <row r="135" spans="1:10" x14ac:dyDescent="0.25">
      <c r="A135" s="200" t="s">
        <v>353</v>
      </c>
      <c r="B135" s="202" t="s">
        <v>319</v>
      </c>
      <c r="C135" s="200">
        <v>0</v>
      </c>
      <c r="D135" s="200">
        <v>347</v>
      </c>
      <c r="E135" s="200">
        <v>370</v>
      </c>
      <c r="F135" s="200">
        <v>235</v>
      </c>
      <c r="G135" s="200">
        <v>333</v>
      </c>
      <c r="H135" s="200">
        <v>395</v>
      </c>
      <c r="I135" s="200">
        <v>0</v>
      </c>
      <c r="J135" s="200">
        <v>266</v>
      </c>
    </row>
    <row r="136" spans="1:10" x14ac:dyDescent="0.25">
      <c r="A136" s="200" t="s">
        <v>353</v>
      </c>
      <c r="B136" s="202" t="s">
        <v>320</v>
      </c>
      <c r="C136" s="200">
        <v>0</v>
      </c>
      <c r="D136" s="200">
        <v>234</v>
      </c>
      <c r="E136" s="200">
        <v>255</v>
      </c>
      <c r="F136" s="200">
        <v>217</v>
      </c>
      <c r="G136" s="200">
        <v>289</v>
      </c>
      <c r="H136" s="200">
        <v>401</v>
      </c>
      <c r="I136" s="200">
        <v>0</v>
      </c>
      <c r="J136" s="200">
        <v>307</v>
      </c>
    </row>
    <row r="137" spans="1:10" x14ac:dyDescent="0.25">
      <c r="A137" s="200" t="s">
        <v>353</v>
      </c>
      <c r="B137" s="202" t="s">
        <v>321</v>
      </c>
      <c r="C137" s="200">
        <v>0</v>
      </c>
      <c r="D137" s="200">
        <v>247</v>
      </c>
      <c r="E137" s="200">
        <v>391</v>
      </c>
      <c r="F137" s="200">
        <v>211</v>
      </c>
      <c r="G137" s="200">
        <v>375</v>
      </c>
      <c r="H137" s="200">
        <v>373</v>
      </c>
      <c r="I137" s="200">
        <v>0</v>
      </c>
      <c r="J137" s="200">
        <v>218</v>
      </c>
    </row>
    <row r="138" spans="1:10" x14ac:dyDescent="0.25">
      <c r="A138" s="200" t="s">
        <v>353</v>
      </c>
      <c r="B138" s="202" t="s">
        <v>322</v>
      </c>
      <c r="C138" s="200">
        <v>0</v>
      </c>
      <c r="D138" s="200">
        <v>137</v>
      </c>
      <c r="E138" s="200">
        <v>395</v>
      </c>
      <c r="F138" s="200">
        <v>229</v>
      </c>
      <c r="G138" s="200">
        <v>398</v>
      </c>
      <c r="H138" s="200">
        <v>358</v>
      </c>
      <c r="I138" s="200">
        <v>0</v>
      </c>
      <c r="J138" s="200">
        <v>137</v>
      </c>
    </row>
    <row r="139" spans="1:10" x14ac:dyDescent="0.25">
      <c r="A139" s="200" t="s">
        <v>353</v>
      </c>
      <c r="B139" s="202" t="s">
        <v>323</v>
      </c>
      <c r="C139" s="200">
        <v>0</v>
      </c>
      <c r="D139" s="200">
        <v>110</v>
      </c>
      <c r="E139" s="200">
        <v>321</v>
      </c>
      <c r="F139" s="200">
        <v>273</v>
      </c>
      <c r="G139" s="200">
        <v>384</v>
      </c>
      <c r="H139" s="200">
        <v>423</v>
      </c>
      <c r="I139" s="200">
        <v>0</v>
      </c>
      <c r="J139" s="200">
        <v>134</v>
      </c>
    </row>
    <row r="140" spans="1:10" x14ac:dyDescent="0.25">
      <c r="A140" s="200" t="s">
        <v>353</v>
      </c>
      <c r="B140" s="202" t="s">
        <v>324</v>
      </c>
      <c r="C140" s="200">
        <v>0</v>
      </c>
      <c r="D140" s="200">
        <v>130</v>
      </c>
      <c r="E140" s="200">
        <v>368</v>
      </c>
      <c r="F140" s="200">
        <v>350</v>
      </c>
      <c r="G140" s="200">
        <v>357</v>
      </c>
      <c r="H140" s="200">
        <v>252</v>
      </c>
      <c r="I140" s="200">
        <v>0</v>
      </c>
      <c r="J140" s="200">
        <v>166</v>
      </c>
    </row>
    <row r="141" spans="1:10" x14ac:dyDescent="0.25">
      <c r="A141" s="200" t="s">
        <v>353</v>
      </c>
      <c r="B141" s="202" t="s">
        <v>325</v>
      </c>
      <c r="C141" s="200">
        <v>0</v>
      </c>
      <c r="D141" s="200">
        <v>141</v>
      </c>
      <c r="E141" s="200">
        <v>377</v>
      </c>
      <c r="F141" s="200">
        <v>392</v>
      </c>
      <c r="G141" s="200">
        <v>193</v>
      </c>
      <c r="H141" s="200">
        <v>339</v>
      </c>
      <c r="I141" s="200">
        <v>0</v>
      </c>
      <c r="J141" s="200">
        <v>232</v>
      </c>
    </row>
    <row r="142" spans="1:10" x14ac:dyDescent="0.25">
      <c r="A142" s="200" t="s">
        <v>353</v>
      </c>
      <c r="B142" s="202" t="s">
        <v>326</v>
      </c>
      <c r="C142" s="200">
        <v>0</v>
      </c>
      <c r="D142" s="200">
        <v>240</v>
      </c>
      <c r="E142" s="200">
        <v>364</v>
      </c>
      <c r="F142" s="200">
        <v>180</v>
      </c>
      <c r="G142" s="200">
        <v>307</v>
      </c>
      <c r="H142" s="200">
        <v>344</v>
      </c>
      <c r="I142" s="200">
        <v>0</v>
      </c>
      <c r="J142" s="200">
        <v>293</v>
      </c>
    </row>
    <row r="143" spans="1:10" x14ac:dyDescent="0.25">
      <c r="A143" s="200" t="s">
        <v>353</v>
      </c>
      <c r="B143" s="202" t="s">
        <v>327</v>
      </c>
      <c r="C143" s="200">
        <v>0</v>
      </c>
      <c r="D143" s="200">
        <v>304</v>
      </c>
      <c r="E143" s="200">
        <v>234</v>
      </c>
      <c r="F143" s="200">
        <v>201</v>
      </c>
      <c r="G143" s="200">
        <v>373</v>
      </c>
      <c r="H143" s="200">
        <v>325</v>
      </c>
      <c r="I143" s="200">
        <v>0</v>
      </c>
      <c r="J143" s="200">
        <v>276</v>
      </c>
    </row>
    <row r="144" spans="1:10" x14ac:dyDescent="0.25">
      <c r="A144" s="200" t="s">
        <v>353</v>
      </c>
      <c r="B144" s="202" t="s">
        <v>328</v>
      </c>
      <c r="C144" s="200">
        <v>0</v>
      </c>
      <c r="D144" s="200">
        <v>360</v>
      </c>
      <c r="E144" s="200">
        <v>280</v>
      </c>
      <c r="F144" s="200">
        <v>413</v>
      </c>
      <c r="G144" s="200">
        <v>382</v>
      </c>
      <c r="H144" s="200">
        <v>285</v>
      </c>
      <c r="I144" s="200">
        <v>0</v>
      </c>
      <c r="J144" s="200">
        <v>207</v>
      </c>
    </row>
    <row r="145" spans="1:11" x14ac:dyDescent="0.25">
      <c r="A145" s="200" t="s">
        <v>353</v>
      </c>
      <c r="B145" s="202" t="s">
        <v>329</v>
      </c>
      <c r="C145" s="200">
        <v>0</v>
      </c>
      <c r="D145" s="200">
        <v>292</v>
      </c>
      <c r="E145" s="200">
        <v>313</v>
      </c>
      <c r="F145" s="200">
        <v>408</v>
      </c>
      <c r="G145" s="200">
        <v>273</v>
      </c>
      <c r="H145" s="200">
        <v>327</v>
      </c>
      <c r="I145" s="200">
        <v>0</v>
      </c>
      <c r="J145" s="200">
        <v>211</v>
      </c>
    </row>
    <row r="146" spans="1:11" x14ac:dyDescent="0.25">
      <c r="A146" s="200" t="s">
        <v>353</v>
      </c>
      <c r="B146" s="202" t="s">
        <v>330</v>
      </c>
      <c r="C146" s="200">
        <v>0</v>
      </c>
      <c r="D146" s="200">
        <v>319</v>
      </c>
      <c r="E146" s="200">
        <v>303</v>
      </c>
      <c r="F146" s="200">
        <v>397</v>
      </c>
      <c r="G146" s="200">
        <v>336</v>
      </c>
      <c r="H146" s="200">
        <v>353</v>
      </c>
      <c r="I146" s="200">
        <v>0</v>
      </c>
      <c r="J146" s="200">
        <v>219</v>
      </c>
    </row>
    <row r="147" spans="1:11" x14ac:dyDescent="0.25">
      <c r="A147" s="200" t="s">
        <v>353</v>
      </c>
      <c r="B147" s="202" t="s">
        <v>331</v>
      </c>
      <c r="C147" s="200">
        <v>0</v>
      </c>
      <c r="D147" s="200">
        <v>277</v>
      </c>
      <c r="E147" s="200">
        <v>371</v>
      </c>
      <c r="F147" s="200">
        <v>293</v>
      </c>
      <c r="G147" s="200">
        <v>365</v>
      </c>
      <c r="H147" s="200">
        <v>371</v>
      </c>
      <c r="I147" s="200">
        <v>0</v>
      </c>
      <c r="J147" s="200">
        <v>204</v>
      </c>
    </row>
    <row r="148" spans="1:11" x14ac:dyDescent="0.25">
      <c r="A148" s="200" t="s">
        <v>353</v>
      </c>
      <c r="B148" s="202" t="s">
        <v>332</v>
      </c>
      <c r="C148" s="200">
        <v>0</v>
      </c>
      <c r="D148" s="200">
        <v>224</v>
      </c>
      <c r="E148" s="200">
        <v>351</v>
      </c>
      <c r="F148" s="200">
        <v>369</v>
      </c>
      <c r="G148" s="200">
        <v>303</v>
      </c>
      <c r="H148" s="200">
        <v>393</v>
      </c>
      <c r="I148" s="200">
        <v>0</v>
      </c>
      <c r="J148" s="200">
        <v>217</v>
      </c>
      <c r="K148" s="262"/>
    </row>
    <row r="149" spans="1:11" x14ac:dyDescent="0.25">
      <c r="A149" s="200" t="s">
        <v>353</v>
      </c>
      <c r="B149" s="202" t="s">
        <v>333</v>
      </c>
      <c r="C149" s="200">
        <v>0</v>
      </c>
      <c r="D149" s="200">
        <v>241</v>
      </c>
      <c r="E149" s="200">
        <v>321</v>
      </c>
      <c r="F149" s="200">
        <v>302</v>
      </c>
      <c r="G149" s="200">
        <v>284</v>
      </c>
      <c r="H149" s="200">
        <v>412</v>
      </c>
      <c r="I149" s="200">
        <v>0</v>
      </c>
      <c r="J149" s="200">
        <v>290</v>
      </c>
    </row>
    <row r="150" spans="1:11" x14ac:dyDescent="0.25">
      <c r="A150" s="200" t="s">
        <v>353</v>
      </c>
      <c r="B150" s="202" t="s">
        <v>334</v>
      </c>
      <c r="C150" s="200">
        <v>0</v>
      </c>
      <c r="D150" s="200">
        <v>313</v>
      </c>
      <c r="E150" s="200">
        <v>262</v>
      </c>
      <c r="F150" s="200">
        <v>347</v>
      </c>
      <c r="G150" s="200">
        <v>286</v>
      </c>
      <c r="H150" s="200">
        <v>262</v>
      </c>
      <c r="I150" s="200">
        <v>0</v>
      </c>
      <c r="J150" s="200">
        <v>286</v>
      </c>
    </row>
    <row r="151" spans="1:11" x14ac:dyDescent="0.25">
      <c r="A151" s="200" t="s">
        <v>353</v>
      </c>
      <c r="B151" s="202" t="s">
        <v>335</v>
      </c>
      <c r="C151" s="200">
        <v>0</v>
      </c>
      <c r="D151" s="200">
        <v>396</v>
      </c>
      <c r="E151" s="200">
        <v>379</v>
      </c>
      <c r="F151" s="200">
        <v>317</v>
      </c>
      <c r="G151" s="200">
        <v>268</v>
      </c>
      <c r="H151" s="200">
        <v>343</v>
      </c>
      <c r="I151" s="200">
        <v>0</v>
      </c>
      <c r="J151" s="200">
        <v>209</v>
      </c>
    </row>
    <row r="152" spans="1:11" x14ac:dyDescent="0.25">
      <c r="A152" s="200" t="s">
        <v>353</v>
      </c>
      <c r="B152" s="202" t="s">
        <v>337</v>
      </c>
      <c r="C152" s="200">
        <v>0</v>
      </c>
      <c r="D152" s="200">
        <v>381</v>
      </c>
      <c r="E152" s="200">
        <v>366</v>
      </c>
      <c r="F152" s="200">
        <v>303</v>
      </c>
      <c r="G152" s="200">
        <v>246</v>
      </c>
      <c r="H152" s="200">
        <v>378</v>
      </c>
      <c r="I152" s="200">
        <v>0</v>
      </c>
      <c r="J152" s="200">
        <v>174</v>
      </c>
    </row>
    <row r="153" spans="1:11" x14ac:dyDescent="0.25">
      <c r="A153" s="200" t="s">
        <v>353</v>
      </c>
      <c r="B153" s="202" t="s">
        <v>339</v>
      </c>
      <c r="C153" s="200">
        <v>0</v>
      </c>
      <c r="D153" s="200">
        <v>169</v>
      </c>
      <c r="E153" s="200">
        <v>365</v>
      </c>
      <c r="F153" s="200">
        <v>234</v>
      </c>
      <c r="G153" s="200">
        <v>378</v>
      </c>
      <c r="H153" s="200">
        <v>435</v>
      </c>
      <c r="I153" s="200">
        <v>0</v>
      </c>
      <c r="J153" s="200">
        <v>186</v>
      </c>
    </row>
    <row r="154" spans="1:11" x14ac:dyDescent="0.25">
      <c r="A154" s="200" t="s">
        <v>353</v>
      </c>
      <c r="B154" s="202" t="s">
        <v>341</v>
      </c>
      <c r="C154" s="200">
        <v>0</v>
      </c>
      <c r="D154" s="200">
        <v>136</v>
      </c>
      <c r="E154" s="200">
        <v>373</v>
      </c>
      <c r="F154" s="200">
        <v>387</v>
      </c>
      <c r="G154" s="200">
        <v>408</v>
      </c>
      <c r="H154" s="200">
        <v>423</v>
      </c>
      <c r="I154" s="200">
        <v>0</v>
      </c>
      <c r="J154" s="200">
        <v>165</v>
      </c>
    </row>
    <row r="155" spans="1:11" x14ac:dyDescent="0.25">
      <c r="A155" s="200" t="s">
        <v>353</v>
      </c>
      <c r="B155" s="202" t="s">
        <v>343</v>
      </c>
      <c r="C155" s="200">
        <v>0</v>
      </c>
      <c r="D155" s="200">
        <v>155</v>
      </c>
      <c r="E155" s="200">
        <v>367</v>
      </c>
      <c r="F155" s="200">
        <v>439</v>
      </c>
      <c r="G155" s="200">
        <v>381</v>
      </c>
      <c r="H155" s="200">
        <v>304</v>
      </c>
      <c r="I155" s="200">
        <v>0</v>
      </c>
      <c r="J155" s="200">
        <v>227</v>
      </c>
    </row>
    <row r="156" spans="1:11" x14ac:dyDescent="0.25">
      <c r="A156" s="200" t="s">
        <v>353</v>
      </c>
      <c r="B156" s="202" t="s">
        <v>345</v>
      </c>
      <c r="C156" s="200">
        <v>0</v>
      </c>
      <c r="D156" s="200">
        <v>164</v>
      </c>
      <c r="E156" s="200">
        <v>421</v>
      </c>
      <c r="F156" s="200">
        <v>418</v>
      </c>
      <c r="G156" s="200">
        <v>272</v>
      </c>
      <c r="H156" s="200">
        <v>270</v>
      </c>
      <c r="I156" s="200">
        <v>0</v>
      </c>
      <c r="J156" s="200">
        <v>275</v>
      </c>
    </row>
    <row r="157" spans="1:11" x14ac:dyDescent="0.25">
      <c r="A157" s="200" t="s">
        <v>353</v>
      </c>
      <c r="B157" s="202" t="s">
        <v>346</v>
      </c>
      <c r="C157" s="200">
        <v>0</v>
      </c>
      <c r="D157" s="200">
        <v>201</v>
      </c>
      <c r="E157" s="200">
        <v>411</v>
      </c>
      <c r="F157" s="200">
        <v>269</v>
      </c>
      <c r="G157" s="200">
        <v>366</v>
      </c>
      <c r="H157" s="200">
        <v>277</v>
      </c>
      <c r="I157" s="200">
        <v>0</v>
      </c>
      <c r="J157" s="200">
        <v>281</v>
      </c>
    </row>
    <row r="158" spans="1:11" x14ac:dyDescent="0.25">
      <c r="A158" s="200" t="s">
        <v>353</v>
      </c>
      <c r="B158" s="202" t="s">
        <v>348</v>
      </c>
      <c r="C158" s="200">
        <v>0</v>
      </c>
      <c r="D158" s="200">
        <v>234</v>
      </c>
      <c r="E158" s="200">
        <v>217</v>
      </c>
      <c r="F158" s="200">
        <v>261</v>
      </c>
      <c r="G158" s="200">
        <v>405</v>
      </c>
      <c r="H158" s="200">
        <v>298</v>
      </c>
      <c r="I158" s="200">
        <v>0</v>
      </c>
      <c r="J158" s="200">
        <v>279</v>
      </c>
    </row>
    <row r="159" spans="1:11" x14ac:dyDescent="0.25">
      <c r="A159" s="200" t="s">
        <v>353</v>
      </c>
      <c r="B159" s="202" t="s">
        <v>349</v>
      </c>
      <c r="C159" s="200">
        <v>0</v>
      </c>
      <c r="D159" s="200">
        <v>211</v>
      </c>
      <c r="E159" s="200">
        <v>223</v>
      </c>
      <c r="F159" s="200">
        <v>271</v>
      </c>
      <c r="G159" s="200">
        <v>396</v>
      </c>
      <c r="H159" s="200">
        <v>343</v>
      </c>
      <c r="I159" s="200">
        <v>0</v>
      </c>
      <c r="J159" s="200">
        <v>191</v>
      </c>
    </row>
    <row r="160" spans="1:11" x14ac:dyDescent="0.25">
      <c r="A160" s="200" t="s">
        <v>354</v>
      </c>
      <c r="B160" s="202" t="s">
        <v>312</v>
      </c>
      <c r="C160" s="200">
        <v>0</v>
      </c>
      <c r="D160" s="200">
        <v>272</v>
      </c>
      <c r="E160" s="200">
        <v>242</v>
      </c>
      <c r="F160" s="200">
        <v>275</v>
      </c>
      <c r="G160" s="200">
        <v>347</v>
      </c>
      <c r="H160" s="200">
        <v>386</v>
      </c>
      <c r="I160" s="200">
        <v>0</v>
      </c>
      <c r="J160" s="200">
        <v>211</v>
      </c>
    </row>
    <row r="161" spans="1:10" x14ac:dyDescent="0.25">
      <c r="A161" s="200" t="s">
        <v>354</v>
      </c>
      <c r="B161" s="202" t="s">
        <v>314</v>
      </c>
      <c r="C161" s="200">
        <v>0</v>
      </c>
      <c r="D161" s="200">
        <v>269</v>
      </c>
      <c r="E161" s="200">
        <v>279</v>
      </c>
      <c r="F161" s="200">
        <v>370</v>
      </c>
      <c r="G161" s="200">
        <v>344</v>
      </c>
      <c r="H161" s="200">
        <v>386</v>
      </c>
      <c r="I161" s="200">
        <v>0</v>
      </c>
      <c r="J161" s="200">
        <v>230</v>
      </c>
    </row>
    <row r="162" spans="1:10" x14ac:dyDescent="0.25">
      <c r="A162" s="200" t="s">
        <v>354</v>
      </c>
      <c r="B162" s="202" t="s">
        <v>315</v>
      </c>
      <c r="C162" s="200">
        <v>0</v>
      </c>
      <c r="D162" s="200">
        <v>209</v>
      </c>
      <c r="E162" s="200">
        <v>333</v>
      </c>
      <c r="F162" s="200">
        <v>338</v>
      </c>
      <c r="G162" s="200">
        <v>226</v>
      </c>
      <c r="H162" s="200">
        <v>388</v>
      </c>
      <c r="I162" s="200">
        <v>0</v>
      </c>
      <c r="J162" s="200">
        <v>247</v>
      </c>
    </row>
    <row r="163" spans="1:10" x14ac:dyDescent="0.25">
      <c r="A163" s="200" t="s">
        <v>354</v>
      </c>
      <c r="B163" s="202" t="s">
        <v>316</v>
      </c>
      <c r="C163" s="200">
        <v>0</v>
      </c>
      <c r="D163" s="200">
        <v>164</v>
      </c>
      <c r="E163" s="200">
        <v>342</v>
      </c>
      <c r="F163" s="200">
        <v>205</v>
      </c>
      <c r="G163" s="200">
        <v>263</v>
      </c>
      <c r="H163" s="200">
        <v>380</v>
      </c>
      <c r="I163" s="200">
        <v>0</v>
      </c>
      <c r="J163" s="200">
        <v>253</v>
      </c>
    </row>
    <row r="164" spans="1:10" x14ac:dyDescent="0.25">
      <c r="A164" s="200" t="s">
        <v>354</v>
      </c>
      <c r="B164" s="202" t="s">
        <v>317</v>
      </c>
      <c r="C164" s="200">
        <v>0</v>
      </c>
      <c r="D164" s="200">
        <v>191</v>
      </c>
      <c r="E164" s="200">
        <v>213</v>
      </c>
      <c r="F164" s="200">
        <v>217</v>
      </c>
      <c r="G164" s="200">
        <v>272</v>
      </c>
      <c r="H164" s="200">
        <v>364</v>
      </c>
      <c r="I164" s="200">
        <v>0</v>
      </c>
      <c r="J164" s="200">
        <v>241</v>
      </c>
    </row>
    <row r="165" spans="1:10" x14ac:dyDescent="0.25">
      <c r="A165" s="200" t="s">
        <v>354</v>
      </c>
      <c r="B165" s="202" t="s">
        <v>318</v>
      </c>
      <c r="C165" s="200">
        <v>0</v>
      </c>
      <c r="D165" s="200">
        <v>235</v>
      </c>
      <c r="E165" s="200">
        <v>191</v>
      </c>
      <c r="F165" s="200">
        <v>225</v>
      </c>
      <c r="G165" s="200">
        <v>362</v>
      </c>
      <c r="H165" s="200">
        <v>331</v>
      </c>
      <c r="I165" s="200">
        <v>0</v>
      </c>
      <c r="J165" s="200">
        <v>169</v>
      </c>
    </row>
    <row r="166" spans="1:10" x14ac:dyDescent="0.25">
      <c r="A166" s="200" t="s">
        <v>354</v>
      </c>
      <c r="B166" s="202" t="s">
        <v>319</v>
      </c>
      <c r="C166" s="200">
        <v>0</v>
      </c>
      <c r="D166" s="200">
        <v>159</v>
      </c>
      <c r="E166" s="200">
        <v>252</v>
      </c>
      <c r="F166" s="200">
        <v>243</v>
      </c>
      <c r="G166" s="200">
        <v>370</v>
      </c>
      <c r="H166" s="200">
        <v>277</v>
      </c>
      <c r="I166" s="200">
        <v>0</v>
      </c>
      <c r="J166" s="200">
        <v>172</v>
      </c>
    </row>
    <row r="167" spans="1:10" x14ac:dyDescent="0.25">
      <c r="A167" s="200" t="s">
        <v>354</v>
      </c>
      <c r="B167" s="202" t="s">
        <v>320</v>
      </c>
      <c r="C167" s="200">
        <v>0</v>
      </c>
      <c r="D167" s="200">
        <v>149</v>
      </c>
      <c r="E167" s="200">
        <v>325</v>
      </c>
      <c r="F167" s="200">
        <v>329</v>
      </c>
      <c r="G167" s="200">
        <v>329</v>
      </c>
      <c r="H167" s="200">
        <v>315</v>
      </c>
      <c r="I167" s="200">
        <v>0</v>
      </c>
      <c r="J167" s="200">
        <v>253</v>
      </c>
    </row>
    <row r="168" spans="1:10" x14ac:dyDescent="0.25">
      <c r="A168" s="200" t="s">
        <v>354</v>
      </c>
      <c r="B168" s="202" t="s">
        <v>321</v>
      </c>
      <c r="C168" s="200">
        <v>0</v>
      </c>
      <c r="D168" s="200">
        <v>140</v>
      </c>
      <c r="E168" s="200">
        <v>325</v>
      </c>
      <c r="F168" s="200">
        <v>402</v>
      </c>
      <c r="G168" s="200">
        <v>327</v>
      </c>
      <c r="H168" s="200">
        <v>322</v>
      </c>
      <c r="I168" s="200">
        <v>0</v>
      </c>
      <c r="J168" s="200">
        <v>324</v>
      </c>
    </row>
    <row r="169" spans="1:10" x14ac:dyDescent="0.25">
      <c r="A169" s="200" t="s">
        <v>354</v>
      </c>
      <c r="B169" s="202" t="s">
        <v>322</v>
      </c>
      <c r="C169" s="200">
        <v>0</v>
      </c>
      <c r="D169" s="200">
        <v>195</v>
      </c>
      <c r="E169" s="200">
        <v>291</v>
      </c>
      <c r="F169" s="200">
        <v>380</v>
      </c>
      <c r="G169" s="200">
        <v>335</v>
      </c>
      <c r="H169" s="200">
        <v>405</v>
      </c>
      <c r="I169" s="200">
        <v>0</v>
      </c>
      <c r="J169" s="200">
        <v>334</v>
      </c>
    </row>
    <row r="170" spans="1:10" x14ac:dyDescent="0.25">
      <c r="A170" s="200" t="s">
        <v>354</v>
      </c>
      <c r="B170" s="202" t="s">
        <v>323</v>
      </c>
      <c r="C170" s="200">
        <v>0</v>
      </c>
      <c r="D170" s="200">
        <v>245</v>
      </c>
      <c r="E170" s="200">
        <v>378</v>
      </c>
      <c r="F170" s="200">
        <v>236</v>
      </c>
      <c r="G170" s="200">
        <v>341</v>
      </c>
      <c r="H170" s="200">
        <v>380</v>
      </c>
      <c r="I170" s="200">
        <v>0</v>
      </c>
      <c r="J170" s="200">
        <v>279</v>
      </c>
    </row>
    <row r="171" spans="1:10" x14ac:dyDescent="0.25">
      <c r="A171" s="200" t="s">
        <v>354</v>
      </c>
      <c r="B171" s="202" t="s">
        <v>324</v>
      </c>
      <c r="C171" s="200">
        <v>0</v>
      </c>
      <c r="D171" s="200">
        <v>345</v>
      </c>
      <c r="E171" s="200">
        <v>370</v>
      </c>
      <c r="F171" s="200">
        <v>278</v>
      </c>
      <c r="G171" s="200">
        <v>330</v>
      </c>
      <c r="H171" s="200">
        <v>339</v>
      </c>
      <c r="I171" s="200">
        <v>0</v>
      </c>
      <c r="J171" s="200">
        <v>235</v>
      </c>
    </row>
    <row r="172" spans="1:10" x14ac:dyDescent="0.25">
      <c r="A172" s="200" t="s">
        <v>354</v>
      </c>
      <c r="B172" s="202" t="s">
        <v>325</v>
      </c>
      <c r="C172" s="200">
        <v>0</v>
      </c>
      <c r="D172" s="200">
        <v>324</v>
      </c>
      <c r="E172" s="200">
        <v>365</v>
      </c>
      <c r="F172" s="200">
        <v>380</v>
      </c>
      <c r="G172" s="200">
        <v>336</v>
      </c>
      <c r="H172" s="200">
        <v>292</v>
      </c>
      <c r="I172" s="200">
        <v>0</v>
      </c>
      <c r="J172" s="200">
        <v>213</v>
      </c>
    </row>
    <row r="173" spans="1:10" x14ac:dyDescent="0.25">
      <c r="A173" s="200" t="s">
        <v>354</v>
      </c>
      <c r="B173" s="202" t="s">
        <v>326</v>
      </c>
      <c r="C173" s="200">
        <v>0</v>
      </c>
      <c r="D173" s="200">
        <v>213</v>
      </c>
      <c r="E173" s="200">
        <v>376</v>
      </c>
      <c r="F173" s="200">
        <v>408</v>
      </c>
      <c r="G173" s="200">
        <v>351</v>
      </c>
      <c r="H173" s="200">
        <v>391</v>
      </c>
      <c r="I173" s="200">
        <v>0</v>
      </c>
      <c r="J173" s="200">
        <v>242</v>
      </c>
    </row>
    <row r="174" spans="1:10" x14ac:dyDescent="0.25">
      <c r="A174" s="200" t="s">
        <v>354</v>
      </c>
      <c r="B174" s="202" t="s">
        <v>327</v>
      </c>
      <c r="C174" s="200">
        <v>0</v>
      </c>
      <c r="D174" s="200">
        <v>176</v>
      </c>
      <c r="E174" s="200">
        <v>369</v>
      </c>
      <c r="F174" s="200">
        <v>409</v>
      </c>
      <c r="G174" s="200">
        <v>338</v>
      </c>
      <c r="H174" s="200">
        <v>406</v>
      </c>
      <c r="I174" s="200">
        <v>0</v>
      </c>
      <c r="J174" s="200">
        <v>250</v>
      </c>
    </row>
    <row r="175" spans="1:10" x14ac:dyDescent="0.25">
      <c r="A175" s="200" t="s">
        <v>354</v>
      </c>
      <c r="B175" s="202" t="s">
        <v>328</v>
      </c>
      <c r="C175" s="200">
        <v>0</v>
      </c>
      <c r="D175" s="200">
        <v>207</v>
      </c>
      <c r="E175" s="200">
        <v>288</v>
      </c>
      <c r="F175" s="200">
        <v>396</v>
      </c>
      <c r="G175" s="200">
        <v>366</v>
      </c>
      <c r="H175" s="200">
        <v>300</v>
      </c>
      <c r="I175" s="200">
        <v>0</v>
      </c>
      <c r="J175" s="200">
        <v>312</v>
      </c>
    </row>
    <row r="176" spans="1:10" x14ac:dyDescent="0.25">
      <c r="A176" s="200" t="s">
        <v>354</v>
      </c>
      <c r="B176" s="202" t="s">
        <v>329</v>
      </c>
      <c r="C176" s="200">
        <v>0</v>
      </c>
      <c r="D176" s="200">
        <v>196</v>
      </c>
      <c r="E176" s="200">
        <v>282</v>
      </c>
      <c r="F176" s="200">
        <v>400</v>
      </c>
      <c r="G176" s="200">
        <v>261</v>
      </c>
      <c r="H176" s="200">
        <v>405</v>
      </c>
      <c r="I176" s="200">
        <v>0</v>
      </c>
      <c r="J176" s="200">
        <v>318</v>
      </c>
    </row>
    <row r="177" spans="1:10" x14ac:dyDescent="0.25">
      <c r="A177" s="200" t="s">
        <v>354</v>
      </c>
      <c r="B177" s="202" t="s">
        <v>330</v>
      </c>
      <c r="C177" s="200">
        <v>0</v>
      </c>
      <c r="D177" s="200">
        <v>185</v>
      </c>
      <c r="E177" s="200">
        <v>288</v>
      </c>
      <c r="F177" s="200">
        <v>216</v>
      </c>
      <c r="G177" s="200">
        <v>253</v>
      </c>
      <c r="H177" s="200">
        <v>310</v>
      </c>
      <c r="I177" s="200">
        <v>0</v>
      </c>
      <c r="J177" s="200">
        <v>305</v>
      </c>
    </row>
    <row r="178" spans="1:10" x14ac:dyDescent="0.25">
      <c r="A178" s="200" t="s">
        <v>354</v>
      </c>
      <c r="B178" s="202" t="s">
        <v>331</v>
      </c>
      <c r="C178" s="200">
        <v>0</v>
      </c>
      <c r="D178" s="200">
        <v>215</v>
      </c>
      <c r="E178" s="200">
        <v>237</v>
      </c>
      <c r="F178" s="200">
        <v>299</v>
      </c>
      <c r="G178" s="200">
        <v>274</v>
      </c>
      <c r="H178" s="200">
        <v>404</v>
      </c>
      <c r="I178" s="200">
        <v>0</v>
      </c>
      <c r="J178" s="200">
        <v>306</v>
      </c>
    </row>
    <row r="179" spans="1:10" x14ac:dyDescent="0.25">
      <c r="A179" s="200" t="s">
        <v>354</v>
      </c>
      <c r="B179" s="202" t="s">
        <v>332</v>
      </c>
      <c r="C179" s="200">
        <v>0</v>
      </c>
      <c r="D179" s="200">
        <v>200</v>
      </c>
      <c r="E179" s="200">
        <v>298</v>
      </c>
      <c r="F179" s="200">
        <v>292</v>
      </c>
      <c r="G179" s="200">
        <v>361</v>
      </c>
      <c r="H179" s="200">
        <v>397</v>
      </c>
      <c r="I179" s="200">
        <v>0</v>
      </c>
      <c r="J179" s="200">
        <v>278</v>
      </c>
    </row>
    <row r="180" spans="1:10" x14ac:dyDescent="0.25">
      <c r="A180" s="200" t="s">
        <v>354</v>
      </c>
      <c r="B180" s="202" t="s">
        <v>333</v>
      </c>
      <c r="C180" s="200">
        <v>0</v>
      </c>
      <c r="D180" s="200">
        <v>189</v>
      </c>
      <c r="E180" s="200">
        <v>324</v>
      </c>
      <c r="F180" s="200">
        <v>396</v>
      </c>
      <c r="G180" s="200">
        <v>340</v>
      </c>
      <c r="H180" s="200">
        <v>316</v>
      </c>
      <c r="I180" s="200">
        <v>0</v>
      </c>
      <c r="J180" s="200">
        <v>312</v>
      </c>
    </row>
    <row r="181" spans="1:10" x14ac:dyDescent="0.25">
      <c r="A181" s="200" t="s">
        <v>354</v>
      </c>
      <c r="B181" s="202" t="s">
        <v>334</v>
      </c>
      <c r="C181" s="200">
        <v>0</v>
      </c>
      <c r="D181" s="200">
        <v>263</v>
      </c>
      <c r="E181" s="200">
        <v>295</v>
      </c>
      <c r="F181" s="200">
        <v>407</v>
      </c>
      <c r="G181" s="200">
        <v>391</v>
      </c>
      <c r="H181" s="200">
        <v>368</v>
      </c>
      <c r="I181" s="200">
        <v>0</v>
      </c>
      <c r="J181" s="200">
        <v>317</v>
      </c>
    </row>
    <row r="182" spans="1:10" x14ac:dyDescent="0.25">
      <c r="A182" s="200" t="s">
        <v>354</v>
      </c>
      <c r="B182" s="202" t="s">
        <v>335</v>
      </c>
      <c r="C182" s="200">
        <v>0</v>
      </c>
      <c r="D182" s="200">
        <v>245</v>
      </c>
      <c r="E182" s="200">
        <v>307</v>
      </c>
      <c r="F182" s="200">
        <v>418</v>
      </c>
      <c r="G182" s="200">
        <v>401</v>
      </c>
      <c r="H182" s="200">
        <v>411</v>
      </c>
      <c r="I182" s="200">
        <v>0</v>
      </c>
      <c r="J182" s="200">
        <v>313</v>
      </c>
    </row>
    <row r="183" spans="1:10" x14ac:dyDescent="0.25">
      <c r="A183" s="200" t="s">
        <v>354</v>
      </c>
      <c r="B183" s="202" t="s">
        <v>337</v>
      </c>
      <c r="C183" s="200">
        <v>0</v>
      </c>
      <c r="D183" s="200">
        <v>256</v>
      </c>
      <c r="E183" s="200">
        <v>338</v>
      </c>
      <c r="F183" s="200">
        <v>422</v>
      </c>
      <c r="G183" s="200">
        <v>279</v>
      </c>
      <c r="H183" s="200">
        <v>409</v>
      </c>
      <c r="I183" s="200">
        <v>0</v>
      </c>
      <c r="J183" s="200">
        <v>303</v>
      </c>
    </row>
    <row r="184" spans="1:10" x14ac:dyDescent="0.25">
      <c r="A184" s="200" t="s">
        <v>354</v>
      </c>
      <c r="B184" s="202" t="s">
        <v>339</v>
      </c>
      <c r="C184" s="200">
        <v>0</v>
      </c>
      <c r="D184" s="200">
        <v>284</v>
      </c>
      <c r="E184" s="200">
        <v>340</v>
      </c>
      <c r="F184" s="200">
        <v>212</v>
      </c>
      <c r="G184" s="200">
        <v>392</v>
      </c>
      <c r="H184" s="200">
        <v>409</v>
      </c>
      <c r="I184" s="200">
        <v>0</v>
      </c>
      <c r="J184" s="200">
        <v>277</v>
      </c>
    </row>
    <row r="185" spans="1:10" x14ac:dyDescent="0.25">
      <c r="A185" s="200" t="s">
        <v>354</v>
      </c>
      <c r="B185" s="202" t="s">
        <v>341</v>
      </c>
      <c r="C185" s="200">
        <v>0</v>
      </c>
      <c r="D185" s="200">
        <v>303</v>
      </c>
      <c r="E185" s="200">
        <v>399</v>
      </c>
      <c r="F185" s="200">
        <v>264</v>
      </c>
      <c r="G185" s="200">
        <v>399</v>
      </c>
      <c r="H185" s="200">
        <v>410</v>
      </c>
      <c r="I185" s="200">
        <v>0</v>
      </c>
      <c r="J185" s="200">
        <v>273</v>
      </c>
    </row>
    <row r="186" spans="1:10" x14ac:dyDescent="0.25">
      <c r="A186" s="200" t="s">
        <v>354</v>
      </c>
      <c r="B186" s="202" t="s">
        <v>343</v>
      </c>
      <c r="C186" s="200">
        <v>0</v>
      </c>
      <c r="D186" s="200">
        <v>316</v>
      </c>
      <c r="E186" s="200">
        <v>408</v>
      </c>
      <c r="F186" s="200">
        <v>298</v>
      </c>
      <c r="G186" s="200">
        <v>403</v>
      </c>
      <c r="H186" s="200">
        <v>323</v>
      </c>
      <c r="I186" s="200">
        <v>0</v>
      </c>
      <c r="J186" s="200">
        <v>232</v>
      </c>
    </row>
    <row r="187" spans="1:10" x14ac:dyDescent="0.25">
      <c r="A187" s="200" t="s">
        <v>354</v>
      </c>
      <c r="B187" s="202" t="s">
        <v>345</v>
      </c>
      <c r="C187" s="200">
        <v>0</v>
      </c>
      <c r="D187" s="200">
        <v>162</v>
      </c>
      <c r="E187" s="200">
        <v>421</v>
      </c>
      <c r="F187" s="200">
        <v>321</v>
      </c>
      <c r="G187" s="200">
        <v>281</v>
      </c>
      <c r="H187" s="200">
        <v>327</v>
      </c>
      <c r="I187" s="200">
        <v>0</v>
      </c>
      <c r="J187" s="200">
        <v>278</v>
      </c>
    </row>
    <row r="188" spans="1:10" x14ac:dyDescent="0.25">
      <c r="A188" s="200" t="s">
        <v>354</v>
      </c>
      <c r="B188" s="202" t="s">
        <v>346</v>
      </c>
      <c r="C188" s="200">
        <v>0</v>
      </c>
      <c r="D188" s="200">
        <v>138</v>
      </c>
      <c r="E188" s="200">
        <v>231</v>
      </c>
      <c r="F188" s="200">
        <v>396</v>
      </c>
      <c r="G188" s="200">
        <v>333</v>
      </c>
      <c r="H188" s="200">
        <v>335</v>
      </c>
      <c r="I188" s="200">
        <v>0</v>
      </c>
      <c r="J188" s="200">
        <v>272</v>
      </c>
    </row>
    <row r="189" spans="1:10" x14ac:dyDescent="0.25">
      <c r="A189" s="200" t="s">
        <v>354</v>
      </c>
      <c r="B189" s="202" t="s">
        <v>348</v>
      </c>
      <c r="C189" s="200">
        <v>0</v>
      </c>
      <c r="D189" s="200">
        <v>124</v>
      </c>
      <c r="E189" s="200">
        <v>248</v>
      </c>
      <c r="F189" s="200">
        <v>417</v>
      </c>
      <c r="G189" s="200">
        <v>320</v>
      </c>
      <c r="H189" s="200">
        <v>276</v>
      </c>
      <c r="I189" s="200">
        <v>0</v>
      </c>
      <c r="J189" s="200">
        <v>282</v>
      </c>
    </row>
    <row r="190" spans="1:10" x14ac:dyDescent="0.25">
      <c r="A190" s="200" t="s">
        <v>355</v>
      </c>
      <c r="B190" s="202" t="s">
        <v>312</v>
      </c>
      <c r="C190" s="200">
        <v>0</v>
      </c>
      <c r="D190" s="200">
        <v>142</v>
      </c>
      <c r="E190" s="200">
        <v>313</v>
      </c>
      <c r="F190" s="200">
        <v>397</v>
      </c>
      <c r="G190" s="200">
        <v>285</v>
      </c>
      <c r="H190" s="200">
        <v>416</v>
      </c>
      <c r="I190" s="200">
        <v>79</v>
      </c>
      <c r="J190" s="200">
        <v>265</v>
      </c>
    </row>
    <row r="191" spans="1:10" x14ac:dyDescent="0.25">
      <c r="A191" s="200" t="s">
        <v>355</v>
      </c>
      <c r="B191" s="202" t="s">
        <v>314</v>
      </c>
      <c r="C191" s="200">
        <v>0</v>
      </c>
      <c r="D191" s="200">
        <v>175</v>
      </c>
      <c r="E191" s="200">
        <v>382</v>
      </c>
      <c r="F191" s="200">
        <v>312</v>
      </c>
      <c r="G191" s="200">
        <v>298</v>
      </c>
      <c r="H191" s="200">
        <v>413</v>
      </c>
      <c r="I191" s="200">
        <v>124</v>
      </c>
      <c r="J191" s="200">
        <v>272</v>
      </c>
    </row>
    <row r="192" spans="1:10" x14ac:dyDescent="0.25">
      <c r="A192" s="200" t="s">
        <v>355</v>
      </c>
      <c r="B192" s="202" t="s">
        <v>315</v>
      </c>
      <c r="C192" s="200">
        <v>0</v>
      </c>
      <c r="D192" s="200">
        <v>199</v>
      </c>
      <c r="E192" s="200">
        <v>402</v>
      </c>
      <c r="F192" s="200">
        <v>316</v>
      </c>
      <c r="G192" s="200">
        <v>327</v>
      </c>
      <c r="H192" s="200">
        <v>337</v>
      </c>
      <c r="I192" s="200">
        <v>208</v>
      </c>
      <c r="J192" s="200">
        <v>299</v>
      </c>
    </row>
    <row r="193" spans="1:11" x14ac:dyDescent="0.25">
      <c r="A193" s="200" t="s">
        <v>355</v>
      </c>
      <c r="B193" s="202" t="s">
        <v>316</v>
      </c>
      <c r="C193" s="200">
        <v>0</v>
      </c>
      <c r="D193" s="200">
        <v>229</v>
      </c>
      <c r="E193" s="200">
        <v>348</v>
      </c>
      <c r="F193" s="200">
        <v>287</v>
      </c>
      <c r="G193" s="200">
        <v>350</v>
      </c>
      <c r="H193" s="200">
        <v>401</v>
      </c>
      <c r="I193" s="200">
        <v>218</v>
      </c>
      <c r="J193" s="200">
        <v>282</v>
      </c>
    </row>
    <row r="194" spans="1:11" x14ac:dyDescent="0.25">
      <c r="A194" s="200" t="s">
        <v>355</v>
      </c>
      <c r="B194" s="202" t="s">
        <v>317</v>
      </c>
      <c r="C194" s="200">
        <v>0</v>
      </c>
      <c r="D194" s="200">
        <v>142</v>
      </c>
      <c r="E194" s="200">
        <v>389</v>
      </c>
      <c r="F194" s="200">
        <v>386</v>
      </c>
      <c r="G194" s="200">
        <v>325</v>
      </c>
      <c r="H194" s="200">
        <v>399</v>
      </c>
      <c r="I194" s="200">
        <v>88</v>
      </c>
      <c r="J194" s="200">
        <v>218</v>
      </c>
      <c r="K194" s="261"/>
    </row>
    <row r="195" spans="1:11" x14ac:dyDescent="0.25">
      <c r="A195" s="200" t="s">
        <v>355</v>
      </c>
      <c r="B195" s="202" t="s">
        <v>318</v>
      </c>
      <c r="C195" s="200">
        <v>0</v>
      </c>
      <c r="D195" s="200">
        <v>156</v>
      </c>
      <c r="E195" s="200">
        <v>387</v>
      </c>
      <c r="F195" s="200">
        <v>388</v>
      </c>
      <c r="G195" s="200">
        <v>329</v>
      </c>
      <c r="H195" s="200">
        <v>416</v>
      </c>
      <c r="I195" s="200">
        <v>69</v>
      </c>
      <c r="J195" s="200">
        <v>213</v>
      </c>
    </row>
    <row r="196" spans="1:11" x14ac:dyDescent="0.25">
      <c r="A196" s="200" t="s">
        <v>355</v>
      </c>
      <c r="B196" s="202" t="s">
        <v>319</v>
      </c>
      <c r="C196" s="200">
        <v>0</v>
      </c>
      <c r="D196" s="200">
        <v>164</v>
      </c>
      <c r="E196" s="200">
        <v>256</v>
      </c>
      <c r="F196" s="200">
        <v>267</v>
      </c>
      <c r="G196" s="200">
        <v>305</v>
      </c>
      <c r="H196" s="200">
        <v>316</v>
      </c>
      <c r="I196" s="200">
        <v>55</v>
      </c>
      <c r="J196" s="200">
        <v>268</v>
      </c>
    </row>
    <row r="197" spans="1:11" x14ac:dyDescent="0.25">
      <c r="A197" s="200" t="s">
        <v>355</v>
      </c>
      <c r="B197" s="202" t="s">
        <v>320</v>
      </c>
      <c r="C197" s="200">
        <v>0</v>
      </c>
      <c r="D197" s="200">
        <v>170</v>
      </c>
      <c r="E197" s="200">
        <v>346</v>
      </c>
      <c r="F197" s="200">
        <v>289</v>
      </c>
      <c r="G197" s="200">
        <v>242</v>
      </c>
      <c r="H197" s="200">
        <v>332</v>
      </c>
      <c r="I197" s="200">
        <v>48</v>
      </c>
      <c r="J197" s="200">
        <v>314</v>
      </c>
    </row>
    <row r="198" spans="1:11" x14ac:dyDescent="0.25">
      <c r="A198" s="200" t="s">
        <v>355</v>
      </c>
      <c r="B198" s="202" t="s">
        <v>321</v>
      </c>
      <c r="C198" s="200">
        <v>0</v>
      </c>
      <c r="D198" s="200">
        <v>161</v>
      </c>
      <c r="E198" s="200">
        <v>356</v>
      </c>
      <c r="F198" s="200">
        <v>259</v>
      </c>
      <c r="G198" s="200">
        <v>318</v>
      </c>
      <c r="H198" s="200">
        <v>384</v>
      </c>
      <c r="I198" s="200">
        <v>67</v>
      </c>
      <c r="J198" s="200">
        <v>315</v>
      </c>
    </row>
    <row r="199" spans="1:11" x14ac:dyDescent="0.25">
      <c r="A199" s="200" t="s">
        <v>355</v>
      </c>
      <c r="B199" s="202" t="s">
        <v>322</v>
      </c>
      <c r="C199" s="200">
        <v>0</v>
      </c>
      <c r="D199" s="200">
        <v>168</v>
      </c>
      <c r="E199" s="200">
        <v>310</v>
      </c>
      <c r="F199" s="200">
        <v>295</v>
      </c>
      <c r="G199" s="200">
        <v>316</v>
      </c>
      <c r="H199" s="200">
        <v>420</v>
      </c>
      <c r="I199" s="200">
        <v>100</v>
      </c>
      <c r="J199" s="200">
        <v>296</v>
      </c>
    </row>
    <row r="200" spans="1:11" x14ac:dyDescent="0.25">
      <c r="A200" s="200" t="s">
        <v>355</v>
      </c>
      <c r="B200" s="202" t="s">
        <v>323</v>
      </c>
      <c r="C200" s="200">
        <v>0</v>
      </c>
      <c r="D200" s="200">
        <v>183</v>
      </c>
      <c r="E200" s="200">
        <v>354</v>
      </c>
      <c r="F200" s="200">
        <v>312</v>
      </c>
      <c r="G200" s="200">
        <v>388</v>
      </c>
      <c r="H200" s="200">
        <v>394</v>
      </c>
      <c r="I200" s="200">
        <v>111</v>
      </c>
      <c r="J200" s="200">
        <v>210</v>
      </c>
    </row>
    <row r="201" spans="1:11" x14ac:dyDescent="0.25">
      <c r="A201" s="200" t="s">
        <v>355</v>
      </c>
      <c r="B201" s="202" t="s">
        <v>324</v>
      </c>
      <c r="C201" s="200">
        <v>0</v>
      </c>
      <c r="D201" s="200">
        <v>178</v>
      </c>
      <c r="E201" s="200">
        <v>409</v>
      </c>
      <c r="F201" s="200">
        <v>353</v>
      </c>
      <c r="G201" s="200">
        <v>388</v>
      </c>
      <c r="H201" s="200">
        <v>284</v>
      </c>
      <c r="I201" s="200">
        <v>59</v>
      </c>
      <c r="J201" s="200">
        <v>248</v>
      </c>
    </row>
    <row r="202" spans="1:11" x14ac:dyDescent="0.25">
      <c r="A202" s="200" t="s">
        <v>355</v>
      </c>
      <c r="B202" s="202" t="s">
        <v>325</v>
      </c>
      <c r="C202" s="200">
        <v>0</v>
      </c>
      <c r="D202" s="200">
        <v>214</v>
      </c>
      <c r="E202" s="200">
        <v>391</v>
      </c>
      <c r="F202" s="200">
        <v>403</v>
      </c>
      <c r="G202" s="200">
        <v>274</v>
      </c>
      <c r="H202" s="200">
        <v>291</v>
      </c>
      <c r="I202" s="200">
        <v>39</v>
      </c>
      <c r="J202" s="200">
        <v>261</v>
      </c>
    </row>
    <row r="203" spans="1:11" x14ac:dyDescent="0.25">
      <c r="A203" s="200" t="s">
        <v>355</v>
      </c>
      <c r="B203" s="202" t="s">
        <v>326</v>
      </c>
      <c r="C203" s="200">
        <v>0</v>
      </c>
      <c r="D203" s="200">
        <v>250</v>
      </c>
      <c r="E203" s="200">
        <v>383</v>
      </c>
      <c r="F203" s="200">
        <v>418</v>
      </c>
      <c r="G203" s="200">
        <v>333</v>
      </c>
      <c r="H203" s="200">
        <v>282</v>
      </c>
      <c r="I203" s="200">
        <v>42</v>
      </c>
      <c r="J203" s="200">
        <v>265</v>
      </c>
    </row>
    <row r="204" spans="1:11" x14ac:dyDescent="0.25">
      <c r="A204" s="200" t="s">
        <v>355</v>
      </c>
      <c r="B204" s="202" t="s">
        <v>327</v>
      </c>
      <c r="C204" s="200">
        <v>0</v>
      </c>
      <c r="D204" s="200">
        <v>257</v>
      </c>
      <c r="E204" s="200">
        <v>362</v>
      </c>
      <c r="F204" s="200">
        <v>421</v>
      </c>
      <c r="G204" s="200">
        <v>286</v>
      </c>
      <c r="H204" s="200">
        <v>300</v>
      </c>
      <c r="I204" s="200">
        <v>55</v>
      </c>
      <c r="J204" s="200">
        <v>290</v>
      </c>
    </row>
    <row r="205" spans="1:11" x14ac:dyDescent="0.25">
      <c r="A205" s="200" t="s">
        <v>355</v>
      </c>
      <c r="B205" s="202" t="s">
        <v>328</v>
      </c>
      <c r="C205" s="200">
        <v>0</v>
      </c>
      <c r="D205" s="200">
        <v>251</v>
      </c>
      <c r="E205" s="200">
        <v>378</v>
      </c>
      <c r="F205" s="200">
        <v>261</v>
      </c>
      <c r="G205" s="200">
        <v>287</v>
      </c>
      <c r="H205" s="200">
        <v>314</v>
      </c>
      <c r="I205" s="200">
        <v>84</v>
      </c>
      <c r="J205" s="200">
        <v>309</v>
      </c>
    </row>
    <row r="206" spans="1:11" x14ac:dyDescent="0.25">
      <c r="A206" s="200" t="s">
        <v>355</v>
      </c>
      <c r="B206" s="202" t="s">
        <v>329</v>
      </c>
      <c r="C206" s="200">
        <v>0</v>
      </c>
      <c r="D206" s="200">
        <v>280</v>
      </c>
      <c r="E206" s="200">
        <v>333</v>
      </c>
      <c r="F206" s="200">
        <v>235</v>
      </c>
      <c r="G206" s="200">
        <v>286</v>
      </c>
      <c r="H206" s="200">
        <v>317</v>
      </c>
      <c r="I206" s="200">
        <v>123</v>
      </c>
      <c r="J206" s="200">
        <v>314</v>
      </c>
    </row>
    <row r="207" spans="1:11" x14ac:dyDescent="0.25">
      <c r="A207" s="200" t="s">
        <v>355</v>
      </c>
      <c r="B207" s="202" t="s">
        <v>330</v>
      </c>
      <c r="C207" s="200">
        <v>0</v>
      </c>
      <c r="D207" s="200">
        <v>311</v>
      </c>
      <c r="E207" s="200">
        <v>340</v>
      </c>
      <c r="F207" s="200">
        <v>255</v>
      </c>
      <c r="G207" s="200">
        <v>278</v>
      </c>
      <c r="H207" s="200">
        <v>360</v>
      </c>
      <c r="I207" s="200">
        <v>152</v>
      </c>
      <c r="J207" s="200">
        <v>262</v>
      </c>
    </row>
    <row r="208" spans="1:11" x14ac:dyDescent="0.25">
      <c r="A208" s="200" t="s">
        <v>355</v>
      </c>
      <c r="B208" s="202" t="s">
        <v>331</v>
      </c>
      <c r="C208" s="200">
        <v>0</v>
      </c>
      <c r="D208" s="200">
        <v>198</v>
      </c>
      <c r="E208" s="200">
        <v>323</v>
      </c>
      <c r="F208" s="200">
        <v>371</v>
      </c>
      <c r="G208" s="200">
        <v>275</v>
      </c>
      <c r="H208" s="200">
        <v>424</v>
      </c>
      <c r="I208" s="200">
        <v>92</v>
      </c>
      <c r="J208" s="200">
        <v>274</v>
      </c>
    </row>
    <row r="209" spans="1:10" x14ac:dyDescent="0.25">
      <c r="A209" s="200" t="s">
        <v>355</v>
      </c>
      <c r="B209" s="202" t="s">
        <v>332</v>
      </c>
      <c r="C209" s="200">
        <v>0</v>
      </c>
      <c r="D209" s="200">
        <v>206</v>
      </c>
      <c r="E209" s="200">
        <v>373</v>
      </c>
      <c r="F209" s="200">
        <v>402</v>
      </c>
      <c r="G209" s="200">
        <v>274</v>
      </c>
      <c r="H209" s="200">
        <v>416</v>
      </c>
      <c r="I209" s="200">
        <v>63</v>
      </c>
      <c r="J209" s="200">
        <v>298</v>
      </c>
    </row>
    <row r="210" spans="1:10" x14ac:dyDescent="0.25">
      <c r="A210" s="200" t="s">
        <v>355</v>
      </c>
      <c r="B210" s="202" t="s">
        <v>333</v>
      </c>
      <c r="C210" s="200">
        <v>0</v>
      </c>
      <c r="D210" s="200">
        <v>215</v>
      </c>
      <c r="E210" s="200">
        <v>368</v>
      </c>
      <c r="F210" s="200">
        <v>368</v>
      </c>
      <c r="G210" s="200">
        <v>324</v>
      </c>
      <c r="H210" s="200">
        <v>392</v>
      </c>
      <c r="I210" s="200">
        <v>50</v>
      </c>
      <c r="J210" s="200">
        <v>318</v>
      </c>
    </row>
    <row r="211" spans="1:10" x14ac:dyDescent="0.25">
      <c r="A211" s="200" t="s">
        <v>355</v>
      </c>
      <c r="B211" s="202" t="s">
        <v>334</v>
      </c>
      <c r="C211" s="200">
        <v>0</v>
      </c>
      <c r="D211" s="200">
        <v>257</v>
      </c>
      <c r="E211" s="200">
        <v>351</v>
      </c>
      <c r="F211" s="200">
        <v>403</v>
      </c>
      <c r="G211" s="200">
        <v>377</v>
      </c>
      <c r="H211" s="200">
        <v>341</v>
      </c>
      <c r="I211" s="200">
        <v>66</v>
      </c>
      <c r="J211" s="200">
        <v>314</v>
      </c>
    </row>
    <row r="212" spans="1:10" x14ac:dyDescent="0.25">
      <c r="A212" s="200" t="s">
        <v>355</v>
      </c>
      <c r="B212" s="202" t="s">
        <v>335</v>
      </c>
      <c r="C212" s="200">
        <v>0</v>
      </c>
      <c r="D212" s="200">
        <v>299</v>
      </c>
      <c r="E212" s="200">
        <v>362</v>
      </c>
      <c r="F212" s="200">
        <v>246</v>
      </c>
      <c r="G212" s="200">
        <v>400</v>
      </c>
      <c r="H212" s="200">
        <v>312</v>
      </c>
      <c r="I212" s="200">
        <v>72</v>
      </c>
      <c r="J212" s="200">
        <v>326</v>
      </c>
    </row>
    <row r="213" spans="1:10" x14ac:dyDescent="0.25">
      <c r="A213" s="200" t="s">
        <v>355</v>
      </c>
      <c r="B213" s="202" t="s">
        <v>337</v>
      </c>
      <c r="C213" s="200">
        <v>0</v>
      </c>
      <c r="D213" s="200">
        <v>346</v>
      </c>
      <c r="E213" s="200">
        <v>305</v>
      </c>
      <c r="F213" s="200">
        <v>281</v>
      </c>
      <c r="G213" s="200">
        <v>368</v>
      </c>
      <c r="H213" s="200">
        <v>325</v>
      </c>
      <c r="I213" s="200">
        <v>125</v>
      </c>
      <c r="J213" s="200">
        <v>326</v>
      </c>
    </row>
    <row r="214" spans="1:10" x14ac:dyDescent="0.25">
      <c r="A214" s="200" t="s">
        <v>355</v>
      </c>
      <c r="B214" s="202" t="s">
        <v>339</v>
      </c>
      <c r="C214" s="200">
        <v>74</v>
      </c>
      <c r="D214" s="200">
        <v>378</v>
      </c>
      <c r="E214" s="200">
        <v>240</v>
      </c>
      <c r="F214" s="200">
        <v>302</v>
      </c>
      <c r="G214" s="200">
        <v>269</v>
      </c>
      <c r="H214" s="200">
        <v>378</v>
      </c>
      <c r="I214" s="200">
        <v>138</v>
      </c>
      <c r="J214" s="200">
        <v>258</v>
      </c>
    </row>
    <row r="215" spans="1:10" x14ac:dyDescent="0.25">
      <c r="A215" s="200" t="s">
        <v>355</v>
      </c>
      <c r="B215" s="202" t="s">
        <v>341</v>
      </c>
      <c r="C215" s="200">
        <v>101</v>
      </c>
      <c r="D215" s="200">
        <v>309</v>
      </c>
      <c r="E215" s="200">
        <v>251</v>
      </c>
      <c r="F215" s="200">
        <v>312</v>
      </c>
      <c r="G215" s="200">
        <v>270</v>
      </c>
      <c r="H215" s="200">
        <v>411</v>
      </c>
      <c r="I215" s="200">
        <v>78</v>
      </c>
      <c r="J215" s="200">
        <v>270</v>
      </c>
    </row>
    <row r="216" spans="1:10" x14ac:dyDescent="0.25">
      <c r="A216" s="200" t="s">
        <v>355</v>
      </c>
      <c r="B216" s="202" t="s">
        <v>343</v>
      </c>
      <c r="C216" s="200">
        <v>96</v>
      </c>
      <c r="D216" s="200">
        <v>335</v>
      </c>
      <c r="E216" s="200">
        <v>268</v>
      </c>
      <c r="F216" s="200">
        <v>394</v>
      </c>
      <c r="G216" s="200">
        <v>287</v>
      </c>
      <c r="H216" s="200">
        <v>411</v>
      </c>
      <c r="I216" s="200">
        <v>68</v>
      </c>
      <c r="J216" s="200">
        <v>272</v>
      </c>
    </row>
    <row r="217" spans="1:10" x14ac:dyDescent="0.25">
      <c r="A217" s="200" t="s">
        <v>355</v>
      </c>
      <c r="B217" s="202" t="s">
        <v>345</v>
      </c>
      <c r="C217" s="200">
        <v>93</v>
      </c>
      <c r="D217" s="200">
        <v>318</v>
      </c>
      <c r="E217" s="200">
        <v>286</v>
      </c>
      <c r="F217" s="200">
        <v>430</v>
      </c>
      <c r="G217" s="200">
        <v>310</v>
      </c>
      <c r="H217" s="200">
        <v>334</v>
      </c>
      <c r="I217" s="200">
        <v>71</v>
      </c>
      <c r="J217" s="200">
        <v>278</v>
      </c>
    </row>
    <row r="218" spans="1:10" x14ac:dyDescent="0.25">
      <c r="A218" s="200" t="s">
        <v>355</v>
      </c>
      <c r="B218" s="202" t="s">
        <v>346</v>
      </c>
      <c r="C218" s="200">
        <v>72</v>
      </c>
      <c r="D218" s="200">
        <v>258</v>
      </c>
      <c r="E218" s="200">
        <v>397</v>
      </c>
      <c r="F218" s="200">
        <v>422</v>
      </c>
      <c r="G218" s="200">
        <v>287</v>
      </c>
      <c r="H218" s="200">
        <v>338</v>
      </c>
      <c r="I218" s="200">
        <v>68</v>
      </c>
      <c r="J218" s="200">
        <v>271</v>
      </c>
    </row>
    <row r="219" spans="1:10" x14ac:dyDescent="0.25">
      <c r="A219" s="200" t="s">
        <v>355</v>
      </c>
      <c r="B219" s="202" t="s">
        <v>348</v>
      </c>
      <c r="C219" s="200">
        <v>73</v>
      </c>
      <c r="D219" s="200">
        <v>295</v>
      </c>
      <c r="E219" s="200">
        <v>363</v>
      </c>
      <c r="F219" s="200">
        <v>298</v>
      </c>
      <c r="G219" s="200">
        <v>352</v>
      </c>
      <c r="H219" s="200">
        <v>327</v>
      </c>
      <c r="I219" s="200">
        <v>84</v>
      </c>
      <c r="J219" s="200">
        <v>313</v>
      </c>
    </row>
    <row r="220" spans="1:10" x14ac:dyDescent="0.25">
      <c r="A220" s="200" t="s">
        <v>355</v>
      </c>
      <c r="B220" s="202" t="s">
        <v>349</v>
      </c>
      <c r="C220" s="200">
        <v>86</v>
      </c>
      <c r="D220" s="200">
        <v>342</v>
      </c>
      <c r="E220" s="200">
        <v>253</v>
      </c>
      <c r="F220" s="200">
        <v>251</v>
      </c>
      <c r="G220" s="200">
        <v>339</v>
      </c>
      <c r="H220" s="200">
        <v>335</v>
      </c>
      <c r="I220" s="200">
        <v>120</v>
      </c>
      <c r="J220" s="200">
        <v>324</v>
      </c>
    </row>
    <row r="221" spans="1:10" x14ac:dyDescent="0.25">
      <c r="A221" s="200" t="s">
        <v>356</v>
      </c>
      <c r="B221" s="202" t="s">
        <v>312</v>
      </c>
      <c r="C221" s="200">
        <v>81</v>
      </c>
      <c r="D221" s="200">
        <v>355</v>
      </c>
      <c r="E221" s="200">
        <v>238</v>
      </c>
      <c r="F221" s="200">
        <v>314</v>
      </c>
      <c r="G221" s="200">
        <v>379</v>
      </c>
      <c r="H221" s="200">
        <v>339</v>
      </c>
      <c r="I221" s="200">
        <v>124</v>
      </c>
      <c r="J221" s="200">
        <v>273</v>
      </c>
    </row>
    <row r="222" spans="1:10" x14ac:dyDescent="0.25">
      <c r="A222" s="200" t="s">
        <v>356</v>
      </c>
      <c r="B222" s="202" t="s">
        <v>314</v>
      </c>
      <c r="C222" s="200">
        <v>28</v>
      </c>
      <c r="D222" s="200">
        <v>299</v>
      </c>
      <c r="E222" s="200">
        <v>251</v>
      </c>
      <c r="F222" s="200">
        <v>352</v>
      </c>
      <c r="G222" s="200">
        <v>342</v>
      </c>
      <c r="H222" s="200">
        <v>366</v>
      </c>
      <c r="I222" s="200">
        <v>67</v>
      </c>
      <c r="J222" s="200">
        <v>285</v>
      </c>
    </row>
    <row r="223" spans="1:10" x14ac:dyDescent="0.25">
      <c r="A223" s="200" t="s">
        <v>356</v>
      </c>
      <c r="B223" s="202" t="s">
        <v>315</v>
      </c>
      <c r="C223" s="200">
        <v>86</v>
      </c>
      <c r="D223" s="200">
        <v>315</v>
      </c>
      <c r="E223" s="200">
        <v>281</v>
      </c>
      <c r="F223" s="200">
        <v>355</v>
      </c>
      <c r="G223" s="200">
        <v>339</v>
      </c>
      <c r="H223" s="200">
        <v>387</v>
      </c>
      <c r="I223" s="200">
        <v>69</v>
      </c>
      <c r="J223" s="200">
        <v>268</v>
      </c>
    </row>
    <row r="224" spans="1:10" x14ac:dyDescent="0.25">
      <c r="A224" s="200" t="s">
        <v>356</v>
      </c>
      <c r="B224" s="202" t="s">
        <v>316</v>
      </c>
      <c r="C224" s="200">
        <v>113</v>
      </c>
      <c r="D224" s="200">
        <v>303</v>
      </c>
      <c r="E224" s="200">
        <v>306</v>
      </c>
      <c r="F224" s="200">
        <v>416</v>
      </c>
      <c r="G224" s="200">
        <v>362</v>
      </c>
      <c r="H224" s="200">
        <v>328</v>
      </c>
      <c r="I224" s="200">
        <v>92</v>
      </c>
      <c r="J224" s="200">
        <v>284</v>
      </c>
    </row>
    <row r="225" spans="1:11" x14ac:dyDescent="0.25">
      <c r="A225" s="200" t="s">
        <v>356</v>
      </c>
      <c r="B225" s="202" t="s">
        <v>317</v>
      </c>
      <c r="C225" s="200">
        <v>143</v>
      </c>
      <c r="D225" s="200">
        <v>359</v>
      </c>
      <c r="E225" s="200">
        <v>346</v>
      </c>
      <c r="F225" s="200">
        <v>436</v>
      </c>
      <c r="G225" s="200">
        <v>368</v>
      </c>
      <c r="H225" s="200">
        <v>359</v>
      </c>
      <c r="I225" s="200">
        <v>122</v>
      </c>
      <c r="J225" s="200">
        <v>279</v>
      </c>
      <c r="K225" s="261"/>
    </row>
    <row r="226" spans="1:11" x14ac:dyDescent="0.25">
      <c r="A226" s="200" t="s">
        <v>356</v>
      </c>
      <c r="B226" s="202" t="s">
        <v>318</v>
      </c>
      <c r="C226" s="200">
        <v>131</v>
      </c>
      <c r="D226" s="200">
        <v>368</v>
      </c>
      <c r="E226" s="200">
        <v>348</v>
      </c>
      <c r="F226" s="200">
        <v>311</v>
      </c>
      <c r="G226" s="200">
        <v>332</v>
      </c>
      <c r="H226" s="200">
        <v>333</v>
      </c>
      <c r="I226" s="200">
        <v>141</v>
      </c>
      <c r="J226" s="200">
        <v>269</v>
      </c>
    </row>
    <row r="227" spans="1:11" x14ac:dyDescent="0.25">
      <c r="A227" s="200" t="s">
        <v>356</v>
      </c>
      <c r="B227" s="202" t="s">
        <v>319</v>
      </c>
      <c r="C227" s="200">
        <v>136</v>
      </c>
      <c r="D227" s="200">
        <v>385</v>
      </c>
      <c r="E227" s="200">
        <v>303</v>
      </c>
      <c r="F227" s="200">
        <v>315</v>
      </c>
      <c r="G227" s="200">
        <v>271</v>
      </c>
      <c r="H227" s="200">
        <v>342</v>
      </c>
      <c r="I227" s="200">
        <v>194</v>
      </c>
      <c r="J227" s="200">
        <v>266</v>
      </c>
    </row>
    <row r="228" spans="1:11" x14ac:dyDescent="0.25">
      <c r="A228" s="200" t="s">
        <v>356</v>
      </c>
      <c r="B228" s="202" t="s">
        <v>320</v>
      </c>
      <c r="C228" s="200">
        <v>135</v>
      </c>
      <c r="D228" s="200">
        <v>328</v>
      </c>
      <c r="E228" s="200">
        <v>314</v>
      </c>
      <c r="F228" s="200">
        <v>321</v>
      </c>
      <c r="G228" s="200">
        <v>257</v>
      </c>
      <c r="H228" s="200">
        <v>356</v>
      </c>
      <c r="I228" s="200">
        <v>183</v>
      </c>
      <c r="J228" s="200">
        <v>210</v>
      </c>
    </row>
    <row r="229" spans="1:11" x14ac:dyDescent="0.25">
      <c r="A229" s="200" t="s">
        <v>356</v>
      </c>
      <c r="B229" s="202" t="s">
        <v>321</v>
      </c>
      <c r="C229" s="200">
        <v>137</v>
      </c>
      <c r="D229" s="200">
        <v>278</v>
      </c>
      <c r="E229" s="200">
        <v>364</v>
      </c>
      <c r="F229" s="200">
        <v>349</v>
      </c>
      <c r="G229" s="200">
        <v>287</v>
      </c>
      <c r="H229" s="200">
        <v>353</v>
      </c>
      <c r="I229" s="200">
        <v>106</v>
      </c>
      <c r="J229" s="200">
        <v>193</v>
      </c>
    </row>
    <row r="230" spans="1:11" x14ac:dyDescent="0.25">
      <c r="A230" s="200" t="s">
        <v>356</v>
      </c>
      <c r="B230" s="202" t="s">
        <v>322</v>
      </c>
      <c r="C230" s="200">
        <v>140</v>
      </c>
      <c r="D230" s="200">
        <v>288</v>
      </c>
      <c r="E230" s="200">
        <v>402</v>
      </c>
      <c r="F230" s="200">
        <v>337</v>
      </c>
      <c r="G230" s="200">
        <v>334</v>
      </c>
      <c r="H230" s="200">
        <v>322</v>
      </c>
      <c r="I230" s="200">
        <v>102</v>
      </c>
      <c r="J230" s="200">
        <v>184</v>
      </c>
    </row>
    <row r="231" spans="1:11" x14ac:dyDescent="0.25">
      <c r="A231" s="200" t="s">
        <v>356</v>
      </c>
      <c r="B231" s="202" t="s">
        <v>323</v>
      </c>
      <c r="C231" s="200">
        <v>144</v>
      </c>
      <c r="D231" s="200">
        <v>288</v>
      </c>
      <c r="E231" s="200">
        <v>422</v>
      </c>
      <c r="F231" s="200">
        <v>349</v>
      </c>
      <c r="G231" s="200">
        <v>364</v>
      </c>
      <c r="H231" s="200">
        <v>285</v>
      </c>
      <c r="I231" s="200">
        <v>95</v>
      </c>
      <c r="J231" s="200">
        <v>242</v>
      </c>
    </row>
    <row r="232" spans="1:11" x14ac:dyDescent="0.25">
      <c r="A232" s="200" t="s">
        <v>356</v>
      </c>
      <c r="B232" s="202" t="s">
        <v>324</v>
      </c>
      <c r="C232" s="200">
        <v>146</v>
      </c>
      <c r="D232" s="200">
        <v>283</v>
      </c>
      <c r="E232" s="200">
        <v>424</v>
      </c>
      <c r="F232" s="200">
        <v>345</v>
      </c>
      <c r="G232" s="200">
        <v>346</v>
      </c>
      <c r="H232" s="200">
        <v>315</v>
      </c>
      <c r="I232" s="200">
        <v>95</v>
      </c>
      <c r="J232" s="200">
        <v>245</v>
      </c>
    </row>
    <row r="233" spans="1:11" x14ac:dyDescent="0.25">
      <c r="A233" s="200" t="s">
        <v>356</v>
      </c>
      <c r="B233" s="202" t="s">
        <v>325</v>
      </c>
      <c r="C233" s="200">
        <v>160</v>
      </c>
      <c r="D233" s="200">
        <v>250</v>
      </c>
      <c r="E233" s="200">
        <v>410</v>
      </c>
      <c r="F233" s="200">
        <v>295</v>
      </c>
      <c r="G233" s="200">
        <v>367</v>
      </c>
      <c r="H233" s="200">
        <v>277</v>
      </c>
      <c r="I233" s="200">
        <v>125</v>
      </c>
      <c r="J233" s="200">
        <v>243</v>
      </c>
    </row>
    <row r="234" spans="1:11" x14ac:dyDescent="0.25">
      <c r="A234" s="200" t="s">
        <v>356</v>
      </c>
      <c r="B234" s="202" t="s">
        <v>326</v>
      </c>
      <c r="C234" s="200">
        <v>151</v>
      </c>
      <c r="D234" s="200">
        <v>273</v>
      </c>
      <c r="E234" s="200">
        <v>222</v>
      </c>
      <c r="F234" s="200">
        <v>305</v>
      </c>
      <c r="G234" s="200">
        <v>332</v>
      </c>
      <c r="H234" s="200">
        <v>262</v>
      </c>
      <c r="I234" s="200">
        <v>195</v>
      </c>
      <c r="J234" s="200">
        <v>242</v>
      </c>
    </row>
    <row r="235" spans="1:11" x14ac:dyDescent="0.25">
      <c r="A235" s="200" t="s">
        <v>356</v>
      </c>
      <c r="B235" s="202" t="s">
        <v>327</v>
      </c>
      <c r="C235" s="200">
        <v>161</v>
      </c>
      <c r="D235" s="200">
        <v>293</v>
      </c>
      <c r="E235" s="200">
        <v>279</v>
      </c>
      <c r="F235" s="200">
        <v>302</v>
      </c>
      <c r="G235" s="200">
        <v>346</v>
      </c>
      <c r="H235" s="200">
        <v>307</v>
      </c>
      <c r="I235" s="200">
        <v>209</v>
      </c>
      <c r="J235" s="200">
        <v>148</v>
      </c>
    </row>
    <row r="236" spans="1:11" x14ac:dyDescent="0.25">
      <c r="A236" s="200" t="s">
        <v>356</v>
      </c>
      <c r="B236" s="202" t="s">
        <v>328</v>
      </c>
      <c r="C236" s="200">
        <v>147</v>
      </c>
      <c r="D236" s="200">
        <v>255</v>
      </c>
      <c r="E236" s="200">
        <v>288</v>
      </c>
      <c r="F236" s="200">
        <v>270</v>
      </c>
      <c r="G236" s="200">
        <v>329</v>
      </c>
      <c r="H236" s="200">
        <v>319</v>
      </c>
      <c r="I236" s="200">
        <v>77</v>
      </c>
      <c r="J236" s="200">
        <v>125</v>
      </c>
    </row>
    <row r="237" spans="1:11" x14ac:dyDescent="0.25">
      <c r="A237" s="200" t="s">
        <v>356</v>
      </c>
      <c r="B237" s="202" t="s">
        <v>329</v>
      </c>
      <c r="C237" s="200">
        <v>132</v>
      </c>
      <c r="D237" s="200">
        <v>241</v>
      </c>
      <c r="E237" s="200">
        <v>264</v>
      </c>
      <c r="F237" s="200">
        <v>308</v>
      </c>
      <c r="G237" s="200">
        <v>357</v>
      </c>
      <c r="H237" s="200">
        <v>367</v>
      </c>
      <c r="I237" s="200">
        <v>60</v>
      </c>
      <c r="J237" s="200">
        <v>128</v>
      </c>
    </row>
    <row r="238" spans="1:11" x14ac:dyDescent="0.25">
      <c r="A238" s="200" t="s">
        <v>356</v>
      </c>
      <c r="B238" s="202" t="s">
        <v>330</v>
      </c>
      <c r="C238" s="200">
        <v>121</v>
      </c>
      <c r="D238" s="200">
        <v>233</v>
      </c>
      <c r="E238" s="200">
        <v>267</v>
      </c>
      <c r="F238" s="200">
        <v>365</v>
      </c>
      <c r="G238" s="200">
        <v>390</v>
      </c>
      <c r="H238" s="200">
        <v>265</v>
      </c>
      <c r="I238" s="200">
        <v>75</v>
      </c>
      <c r="J238" s="200">
        <v>128</v>
      </c>
    </row>
    <row r="239" spans="1:11" x14ac:dyDescent="0.25">
      <c r="A239" s="200" t="s">
        <v>356</v>
      </c>
      <c r="B239" s="202" t="s">
        <v>331</v>
      </c>
      <c r="C239" s="200">
        <v>133</v>
      </c>
      <c r="D239" s="200">
        <v>227</v>
      </c>
      <c r="E239" s="200">
        <v>332</v>
      </c>
      <c r="F239" s="200">
        <v>402</v>
      </c>
      <c r="G239" s="200">
        <v>238</v>
      </c>
      <c r="H239" s="200">
        <v>250</v>
      </c>
      <c r="I239" s="200">
        <v>68</v>
      </c>
      <c r="J239" s="200">
        <v>152</v>
      </c>
    </row>
    <row r="240" spans="1:11" x14ac:dyDescent="0.25">
      <c r="A240" s="200" t="s">
        <v>356</v>
      </c>
      <c r="B240" s="202" t="s">
        <v>332</v>
      </c>
      <c r="C240" s="200">
        <v>134</v>
      </c>
      <c r="D240" s="200">
        <v>235</v>
      </c>
      <c r="E240" s="200">
        <v>344</v>
      </c>
      <c r="F240" s="200">
        <v>253</v>
      </c>
      <c r="G240" s="200">
        <v>257</v>
      </c>
      <c r="H240" s="200">
        <v>300</v>
      </c>
      <c r="I240" s="200">
        <v>90</v>
      </c>
      <c r="J240" s="200">
        <v>219</v>
      </c>
    </row>
    <row r="241" spans="1:10" x14ac:dyDescent="0.25">
      <c r="A241" s="200" t="s">
        <v>356</v>
      </c>
      <c r="B241" s="202" t="s">
        <v>333</v>
      </c>
      <c r="C241" s="200">
        <v>143</v>
      </c>
      <c r="D241" s="200">
        <v>285</v>
      </c>
      <c r="E241" s="200">
        <v>268</v>
      </c>
      <c r="F241" s="200">
        <v>274</v>
      </c>
      <c r="G241" s="200">
        <v>249</v>
      </c>
      <c r="H241" s="200">
        <v>281</v>
      </c>
      <c r="I241" s="200">
        <v>180</v>
      </c>
      <c r="J241" s="200">
        <v>225</v>
      </c>
    </row>
    <row r="242" spans="1:10" x14ac:dyDescent="0.25">
      <c r="A242" s="200" t="s">
        <v>356</v>
      </c>
      <c r="B242" s="202" t="s">
        <v>334</v>
      </c>
      <c r="C242" s="200">
        <v>159</v>
      </c>
      <c r="D242" s="200">
        <v>318</v>
      </c>
      <c r="E242" s="200">
        <v>279</v>
      </c>
      <c r="F242" s="200">
        <v>290</v>
      </c>
      <c r="G242" s="200">
        <v>258</v>
      </c>
      <c r="H242" s="200">
        <v>264</v>
      </c>
      <c r="I242" s="200">
        <v>223</v>
      </c>
      <c r="J242" s="200">
        <v>411</v>
      </c>
    </row>
    <row r="243" spans="1:10" x14ac:dyDescent="0.25">
      <c r="A243" s="200" t="s">
        <v>356</v>
      </c>
      <c r="B243" s="202" t="s">
        <v>335</v>
      </c>
      <c r="C243" s="200">
        <v>156</v>
      </c>
      <c r="D243" s="200">
        <v>189</v>
      </c>
      <c r="E243" s="200">
        <v>246</v>
      </c>
      <c r="F243" s="200">
        <v>429</v>
      </c>
      <c r="G243" s="200">
        <v>282</v>
      </c>
      <c r="H243" s="200">
        <v>356</v>
      </c>
      <c r="I243" s="200">
        <v>99</v>
      </c>
      <c r="J243" s="200">
        <v>423</v>
      </c>
    </row>
    <row r="244" spans="1:10" x14ac:dyDescent="0.25">
      <c r="A244" s="200" t="s">
        <v>356</v>
      </c>
      <c r="B244" s="202" t="s">
        <v>337</v>
      </c>
      <c r="C244" s="200">
        <v>102</v>
      </c>
      <c r="D244" s="200">
        <v>199</v>
      </c>
      <c r="E244" s="200">
        <v>250</v>
      </c>
      <c r="F244" s="200">
        <v>296</v>
      </c>
      <c r="G244" s="200">
        <v>341</v>
      </c>
      <c r="H244" s="200">
        <v>390</v>
      </c>
      <c r="I244" s="200">
        <v>60</v>
      </c>
      <c r="J244" s="200">
        <v>182</v>
      </c>
    </row>
    <row r="245" spans="1:10" x14ac:dyDescent="0.25">
      <c r="A245" s="200" t="s">
        <v>356</v>
      </c>
      <c r="B245" s="202" t="s">
        <v>339</v>
      </c>
      <c r="C245" s="200">
        <v>98</v>
      </c>
      <c r="D245" s="200">
        <v>193</v>
      </c>
      <c r="E245" s="200">
        <v>274</v>
      </c>
      <c r="F245" s="200">
        <v>338</v>
      </c>
      <c r="G245" s="200">
        <v>366</v>
      </c>
      <c r="H245" s="200">
        <v>242</v>
      </c>
      <c r="I245" s="200">
        <v>56</v>
      </c>
      <c r="J245" s="200">
        <v>190</v>
      </c>
    </row>
    <row r="246" spans="1:10" x14ac:dyDescent="0.25">
      <c r="A246" s="200" t="s">
        <v>356</v>
      </c>
      <c r="B246" s="202" t="s">
        <v>341</v>
      </c>
      <c r="C246" s="200">
        <v>88</v>
      </c>
      <c r="D246" s="200">
        <v>184</v>
      </c>
      <c r="E246" s="200">
        <v>300</v>
      </c>
      <c r="F246" s="200">
        <v>386</v>
      </c>
      <c r="G246" s="200">
        <v>250</v>
      </c>
      <c r="H246" s="200">
        <v>223</v>
      </c>
      <c r="I246" s="200">
        <v>67</v>
      </c>
      <c r="J246" s="200">
        <v>194</v>
      </c>
    </row>
    <row r="247" spans="1:10" x14ac:dyDescent="0.25">
      <c r="A247" s="200" t="s">
        <v>356</v>
      </c>
      <c r="B247" s="202" t="s">
        <v>343</v>
      </c>
      <c r="C247" s="200">
        <v>89</v>
      </c>
      <c r="D247" s="200">
        <v>185</v>
      </c>
      <c r="E247" s="200">
        <v>316</v>
      </c>
      <c r="F247" s="200">
        <v>270</v>
      </c>
      <c r="G247" s="200">
        <v>327</v>
      </c>
      <c r="H247" s="200">
        <v>215</v>
      </c>
      <c r="I247" s="200">
        <v>82</v>
      </c>
      <c r="J247" s="200">
        <v>183</v>
      </c>
    </row>
    <row r="248" spans="1:10" x14ac:dyDescent="0.25">
      <c r="A248" s="200" t="s">
        <v>356</v>
      </c>
      <c r="B248" s="202" t="s">
        <v>345</v>
      </c>
      <c r="C248" s="200">
        <v>113</v>
      </c>
      <c r="D248" s="200">
        <v>218</v>
      </c>
      <c r="E248" s="200">
        <v>256</v>
      </c>
      <c r="F248" s="200">
        <v>294</v>
      </c>
      <c r="G248" s="200">
        <v>306</v>
      </c>
      <c r="H248" s="200">
        <v>201</v>
      </c>
      <c r="I248" s="200">
        <v>145</v>
      </c>
      <c r="J248" s="200">
        <v>181</v>
      </c>
    </row>
    <row r="249" spans="1:10" x14ac:dyDescent="0.25">
      <c r="A249" s="200" t="s">
        <v>356</v>
      </c>
      <c r="B249" s="202" t="s">
        <v>346</v>
      </c>
      <c r="C249" s="200">
        <v>144</v>
      </c>
      <c r="D249" s="200">
        <v>200</v>
      </c>
      <c r="E249" s="200">
        <v>207</v>
      </c>
      <c r="F249" s="200">
        <v>289</v>
      </c>
      <c r="G249" s="200">
        <v>307</v>
      </c>
      <c r="H249" s="200">
        <v>194</v>
      </c>
      <c r="I249" s="200">
        <v>185</v>
      </c>
      <c r="J249" s="200">
        <v>99</v>
      </c>
    </row>
    <row r="250" spans="1:10" x14ac:dyDescent="0.25">
      <c r="A250" s="200" t="s">
        <v>356</v>
      </c>
      <c r="B250" s="202" t="s">
        <v>348</v>
      </c>
      <c r="C250" s="200">
        <v>163</v>
      </c>
      <c r="D250" s="200">
        <v>141</v>
      </c>
      <c r="E250" s="200">
        <v>220</v>
      </c>
      <c r="F250" s="200">
        <v>325</v>
      </c>
      <c r="G250" s="200">
        <v>256</v>
      </c>
      <c r="H250" s="200">
        <v>211</v>
      </c>
      <c r="I250" s="200">
        <v>68</v>
      </c>
      <c r="J250" s="200">
        <v>100</v>
      </c>
    </row>
    <row r="251" spans="1:10" x14ac:dyDescent="0.25">
      <c r="A251" s="200" t="s">
        <v>356</v>
      </c>
      <c r="B251" s="202" t="s">
        <v>349</v>
      </c>
      <c r="C251" s="200">
        <v>156</v>
      </c>
      <c r="D251" s="200">
        <v>125</v>
      </c>
      <c r="E251" s="200">
        <v>218</v>
      </c>
      <c r="F251" s="200">
        <v>286</v>
      </c>
      <c r="G251" s="200">
        <v>349</v>
      </c>
      <c r="H251" s="200">
        <v>206</v>
      </c>
      <c r="I251" s="200">
        <v>56</v>
      </c>
      <c r="J251" s="200">
        <v>100</v>
      </c>
    </row>
    <row r="252" spans="1:10" x14ac:dyDescent="0.25">
      <c r="A252" s="200" t="s">
        <v>357</v>
      </c>
      <c r="B252" s="202" t="s">
        <v>312</v>
      </c>
      <c r="C252" s="200">
        <v>68</v>
      </c>
      <c r="D252" s="200">
        <v>120</v>
      </c>
      <c r="E252" s="200">
        <v>248</v>
      </c>
      <c r="F252" s="200">
        <v>374</v>
      </c>
      <c r="G252" s="200">
        <v>419</v>
      </c>
      <c r="H252" s="200">
        <v>195</v>
      </c>
      <c r="I252" s="200">
        <v>45</v>
      </c>
      <c r="J252" s="200">
        <v>204</v>
      </c>
    </row>
    <row r="253" spans="1:10" x14ac:dyDescent="0.25">
      <c r="A253" s="200" t="s">
        <v>357</v>
      </c>
      <c r="B253" s="202" t="s">
        <v>314</v>
      </c>
      <c r="C253" s="200">
        <v>63</v>
      </c>
      <c r="D253" s="200">
        <v>152</v>
      </c>
      <c r="E253" s="200">
        <v>313</v>
      </c>
      <c r="F253" s="200">
        <v>439</v>
      </c>
      <c r="G253" s="200">
        <v>375</v>
      </c>
      <c r="H253" s="200">
        <v>151</v>
      </c>
      <c r="I253" s="200">
        <v>53</v>
      </c>
      <c r="J253" s="200">
        <v>223</v>
      </c>
    </row>
    <row r="254" spans="1:10" x14ac:dyDescent="0.25">
      <c r="A254" s="200" t="s">
        <v>357</v>
      </c>
      <c r="B254" s="202" t="s">
        <v>315</v>
      </c>
      <c r="C254" s="200">
        <v>74</v>
      </c>
      <c r="D254" s="200">
        <v>145</v>
      </c>
      <c r="E254" s="200">
        <v>390</v>
      </c>
      <c r="F254" s="200">
        <v>401</v>
      </c>
      <c r="G254" s="200">
        <v>90</v>
      </c>
      <c r="H254" s="200">
        <v>121</v>
      </c>
      <c r="I254" s="200">
        <v>69</v>
      </c>
      <c r="J254" s="200">
        <v>282</v>
      </c>
    </row>
    <row r="255" spans="1:10" x14ac:dyDescent="0.25">
      <c r="A255" s="200" t="s">
        <v>357</v>
      </c>
      <c r="B255" s="202" t="s">
        <v>316</v>
      </c>
      <c r="C255" s="200">
        <v>89</v>
      </c>
      <c r="D255" s="200">
        <v>220</v>
      </c>
      <c r="E255" s="200">
        <v>365</v>
      </c>
      <c r="F255" s="200">
        <v>138</v>
      </c>
      <c r="G255" s="200">
        <v>93</v>
      </c>
      <c r="H255" s="200">
        <v>95</v>
      </c>
      <c r="I255" s="200">
        <v>177</v>
      </c>
      <c r="J255" s="200">
        <v>350</v>
      </c>
    </row>
    <row r="256" spans="1:10" x14ac:dyDescent="0.25">
      <c r="A256" s="200" t="s">
        <v>357</v>
      </c>
      <c r="B256" s="202" t="s">
        <v>317</v>
      </c>
      <c r="C256" s="200">
        <v>114</v>
      </c>
      <c r="D256" s="200">
        <v>327</v>
      </c>
      <c r="E256" s="200">
        <v>172</v>
      </c>
      <c r="F256" s="200">
        <v>114</v>
      </c>
      <c r="G256" s="200">
        <v>145</v>
      </c>
      <c r="H256" s="200">
        <v>104</v>
      </c>
      <c r="I256" s="200">
        <v>244</v>
      </c>
      <c r="J256" s="200">
        <v>339</v>
      </c>
    </row>
    <row r="257" spans="1:10" x14ac:dyDescent="0.25">
      <c r="A257" s="200" t="s">
        <v>357</v>
      </c>
      <c r="B257" s="202" t="s">
        <v>318</v>
      </c>
      <c r="C257" s="200">
        <v>123</v>
      </c>
      <c r="D257" s="200">
        <v>287</v>
      </c>
      <c r="E257" s="200">
        <v>152</v>
      </c>
      <c r="F257" s="200">
        <v>216</v>
      </c>
      <c r="G257" s="200">
        <v>182</v>
      </c>
      <c r="H257" s="200">
        <v>196</v>
      </c>
      <c r="I257" s="200">
        <v>235</v>
      </c>
      <c r="J257" s="200">
        <v>146</v>
      </c>
    </row>
    <row r="258" spans="1:10" x14ac:dyDescent="0.25">
      <c r="A258" s="200" t="s">
        <v>357</v>
      </c>
      <c r="B258" s="202" t="s">
        <v>319</v>
      </c>
      <c r="C258" s="200">
        <v>100</v>
      </c>
      <c r="D258" s="200">
        <v>90</v>
      </c>
      <c r="E258" s="200">
        <v>165</v>
      </c>
      <c r="F258" s="200">
        <v>233</v>
      </c>
      <c r="G258" s="200">
        <v>228</v>
      </c>
      <c r="H258" s="200">
        <v>243</v>
      </c>
      <c r="I258" s="200">
        <v>59</v>
      </c>
      <c r="J258" s="200">
        <v>129</v>
      </c>
    </row>
    <row r="259" spans="1:10" x14ac:dyDescent="0.25">
      <c r="A259" s="200" t="s">
        <v>357</v>
      </c>
      <c r="B259" s="202" t="s">
        <v>320</v>
      </c>
      <c r="C259" s="200">
        <v>165</v>
      </c>
      <c r="D259" s="200">
        <v>81</v>
      </c>
      <c r="E259" s="200">
        <v>183</v>
      </c>
      <c r="F259" s="200">
        <v>204</v>
      </c>
      <c r="G259" s="200">
        <v>301</v>
      </c>
      <c r="H259" s="200">
        <v>153</v>
      </c>
      <c r="I259" s="200">
        <v>65</v>
      </c>
      <c r="J259" s="200">
        <v>120</v>
      </c>
    </row>
    <row r="260" spans="1:10" x14ac:dyDescent="0.25">
      <c r="A260" s="200" t="s">
        <v>357</v>
      </c>
      <c r="B260" s="202" t="s">
        <v>321</v>
      </c>
      <c r="C260" s="200">
        <v>161</v>
      </c>
      <c r="D260" s="200">
        <v>98</v>
      </c>
      <c r="E260" s="200">
        <v>204</v>
      </c>
      <c r="F260" s="200">
        <v>202</v>
      </c>
      <c r="G260" s="200">
        <v>164</v>
      </c>
      <c r="H260" s="200">
        <v>192</v>
      </c>
      <c r="I260" s="200">
        <v>77</v>
      </c>
      <c r="J260" s="200">
        <v>119</v>
      </c>
    </row>
    <row r="261" spans="1:10" x14ac:dyDescent="0.25">
      <c r="A261" s="200" t="s">
        <v>357</v>
      </c>
      <c r="B261" s="202" t="s">
        <v>322</v>
      </c>
      <c r="C261" s="200">
        <v>99</v>
      </c>
      <c r="D261" s="200">
        <v>128</v>
      </c>
      <c r="E261" s="200">
        <v>211</v>
      </c>
      <c r="F261" s="200">
        <v>197</v>
      </c>
      <c r="G261" s="200">
        <v>220</v>
      </c>
      <c r="H261" s="200">
        <v>378</v>
      </c>
      <c r="I261" s="200">
        <v>90</v>
      </c>
      <c r="J261" s="200">
        <v>250</v>
      </c>
    </row>
    <row r="262" spans="1:10" x14ac:dyDescent="0.25">
      <c r="A262" s="200" t="s">
        <v>357</v>
      </c>
      <c r="B262" s="202" t="s">
        <v>323</v>
      </c>
      <c r="C262" s="200">
        <v>70</v>
      </c>
      <c r="D262" s="200">
        <v>213</v>
      </c>
      <c r="E262" s="200">
        <v>215</v>
      </c>
      <c r="F262" s="200">
        <v>176</v>
      </c>
      <c r="G262" s="200">
        <v>250</v>
      </c>
      <c r="H262" s="200">
        <v>360</v>
      </c>
      <c r="I262" s="200">
        <v>165</v>
      </c>
      <c r="J262" s="200">
        <v>262</v>
      </c>
    </row>
    <row r="263" spans="1:10" x14ac:dyDescent="0.25">
      <c r="A263" s="200" t="s">
        <v>357</v>
      </c>
      <c r="B263" s="202" t="s">
        <v>324</v>
      </c>
      <c r="C263" s="200">
        <v>118</v>
      </c>
      <c r="D263" s="200">
        <v>287</v>
      </c>
      <c r="E263" s="200">
        <v>277</v>
      </c>
      <c r="F263" s="200">
        <v>103</v>
      </c>
      <c r="G263" s="200">
        <v>394</v>
      </c>
      <c r="H263" s="200">
        <v>334</v>
      </c>
      <c r="I263" s="200">
        <v>199</v>
      </c>
      <c r="J263" s="200">
        <v>145</v>
      </c>
    </row>
    <row r="264" spans="1:10" x14ac:dyDescent="0.25">
      <c r="A264" s="200" t="s">
        <v>357</v>
      </c>
      <c r="B264" s="202" t="s">
        <v>325</v>
      </c>
      <c r="C264" s="200">
        <v>153</v>
      </c>
      <c r="D264" s="200">
        <v>235</v>
      </c>
      <c r="E264" s="200">
        <v>298</v>
      </c>
      <c r="F264" s="200">
        <v>90</v>
      </c>
      <c r="G264" s="200">
        <v>396</v>
      </c>
      <c r="H264" s="200">
        <v>195</v>
      </c>
      <c r="I264" s="200">
        <v>64</v>
      </c>
      <c r="J264" s="200">
        <v>141</v>
      </c>
    </row>
    <row r="265" spans="1:10" x14ac:dyDescent="0.25">
      <c r="A265" s="200" t="s">
        <v>357</v>
      </c>
      <c r="B265" s="202" t="s">
        <v>326</v>
      </c>
      <c r="C265" s="200">
        <v>153</v>
      </c>
      <c r="D265" s="200">
        <v>238</v>
      </c>
      <c r="E265" s="200">
        <v>300</v>
      </c>
      <c r="F265" s="200">
        <v>159</v>
      </c>
      <c r="G265" s="200">
        <v>250</v>
      </c>
      <c r="H265" s="200">
        <v>227</v>
      </c>
      <c r="I265" s="200">
        <v>40</v>
      </c>
      <c r="J265" s="200">
        <v>232</v>
      </c>
    </row>
    <row r="266" spans="1:10" x14ac:dyDescent="0.25">
      <c r="A266" s="200" t="s">
        <v>357</v>
      </c>
      <c r="B266" s="202" t="s">
        <v>327</v>
      </c>
      <c r="C266" s="200">
        <v>206</v>
      </c>
      <c r="D266" s="200">
        <v>205</v>
      </c>
      <c r="E266" s="200">
        <v>256</v>
      </c>
      <c r="F266" s="200">
        <v>329</v>
      </c>
      <c r="G266" s="200">
        <v>285</v>
      </c>
      <c r="H266" s="200">
        <v>280</v>
      </c>
      <c r="I266" s="200">
        <v>41</v>
      </c>
      <c r="J266" s="200">
        <v>255</v>
      </c>
    </row>
    <row r="267" spans="1:10" x14ac:dyDescent="0.25">
      <c r="A267" s="200" t="s">
        <v>357</v>
      </c>
      <c r="B267" s="202" t="s">
        <v>328</v>
      </c>
      <c r="C267" s="200">
        <v>190</v>
      </c>
      <c r="D267" s="200">
        <v>177</v>
      </c>
      <c r="E267" s="200">
        <v>251</v>
      </c>
      <c r="F267" s="200">
        <v>285</v>
      </c>
      <c r="G267" s="200">
        <v>155</v>
      </c>
      <c r="H267" s="200">
        <v>385</v>
      </c>
      <c r="I267" s="200">
        <v>36</v>
      </c>
      <c r="J267" s="200">
        <v>165</v>
      </c>
    </row>
    <row r="268" spans="1:10" x14ac:dyDescent="0.25">
      <c r="A268" s="200" t="s">
        <v>357</v>
      </c>
      <c r="B268" s="202" t="s">
        <v>329</v>
      </c>
      <c r="C268" s="200">
        <v>192</v>
      </c>
      <c r="D268" s="200">
        <v>223</v>
      </c>
      <c r="E268" s="200">
        <v>295</v>
      </c>
      <c r="F268" s="200">
        <v>256</v>
      </c>
      <c r="G268" s="200">
        <v>153</v>
      </c>
      <c r="H268" s="200">
        <v>382</v>
      </c>
      <c r="I268" s="200">
        <v>57</v>
      </c>
      <c r="J268" s="200">
        <v>186</v>
      </c>
    </row>
    <row r="269" spans="1:10" x14ac:dyDescent="0.25">
      <c r="A269" s="200" t="s">
        <v>357</v>
      </c>
      <c r="B269" s="202" t="s">
        <v>330</v>
      </c>
      <c r="C269" s="200">
        <v>109</v>
      </c>
      <c r="D269" s="200">
        <v>236</v>
      </c>
      <c r="E269" s="200">
        <v>199</v>
      </c>
      <c r="F269" s="200">
        <v>274</v>
      </c>
      <c r="G269" s="200">
        <v>147</v>
      </c>
      <c r="H269" s="200">
        <v>391</v>
      </c>
      <c r="I269" s="200">
        <v>157</v>
      </c>
      <c r="J269" s="200">
        <v>191</v>
      </c>
    </row>
    <row r="270" spans="1:10" x14ac:dyDescent="0.25">
      <c r="A270" s="200" t="s">
        <v>357</v>
      </c>
      <c r="B270" s="202" t="s">
        <v>331</v>
      </c>
      <c r="C270" s="200">
        <v>146</v>
      </c>
      <c r="D270" s="200">
        <v>374</v>
      </c>
      <c r="E270" s="200">
        <v>266</v>
      </c>
      <c r="F270" s="200">
        <v>287</v>
      </c>
      <c r="G270" s="200">
        <v>170</v>
      </c>
      <c r="H270" s="200">
        <v>118</v>
      </c>
      <c r="I270" s="200">
        <v>196</v>
      </c>
      <c r="J270" s="200">
        <v>146</v>
      </c>
    </row>
    <row r="271" spans="1:10" x14ac:dyDescent="0.25">
      <c r="A271" s="200" t="s">
        <v>357</v>
      </c>
      <c r="B271" s="202" t="s">
        <v>332</v>
      </c>
      <c r="C271" s="200">
        <v>157</v>
      </c>
      <c r="D271" s="200">
        <v>287</v>
      </c>
      <c r="E271" s="200">
        <v>266</v>
      </c>
      <c r="F271" s="200">
        <v>372</v>
      </c>
      <c r="G271" s="200">
        <v>191</v>
      </c>
      <c r="H271" s="200">
        <v>231</v>
      </c>
      <c r="I271" s="200">
        <v>69</v>
      </c>
      <c r="J271" s="200">
        <v>157</v>
      </c>
    </row>
    <row r="272" spans="1:10" x14ac:dyDescent="0.25">
      <c r="A272" s="200" t="s">
        <v>357</v>
      </c>
      <c r="B272" s="202" t="s">
        <v>333</v>
      </c>
      <c r="C272" s="200">
        <v>208</v>
      </c>
      <c r="D272" s="200">
        <v>283</v>
      </c>
      <c r="E272" s="200">
        <v>291</v>
      </c>
      <c r="F272" s="200">
        <v>360</v>
      </c>
      <c r="G272" s="200">
        <v>261</v>
      </c>
      <c r="H272" s="200">
        <v>275</v>
      </c>
      <c r="I272" s="200">
        <v>69</v>
      </c>
      <c r="J272" s="200">
        <v>280</v>
      </c>
    </row>
    <row r="273" spans="1:10" x14ac:dyDescent="0.25">
      <c r="A273" s="200" t="s">
        <v>357</v>
      </c>
      <c r="B273" s="202" t="s">
        <v>334</v>
      </c>
      <c r="C273" s="200">
        <v>200</v>
      </c>
      <c r="D273" s="200">
        <v>244</v>
      </c>
      <c r="E273" s="200">
        <v>202</v>
      </c>
      <c r="F273" s="200">
        <v>356</v>
      </c>
      <c r="G273" s="200">
        <v>306</v>
      </c>
      <c r="H273" s="200">
        <v>174</v>
      </c>
      <c r="I273" s="200">
        <v>65</v>
      </c>
      <c r="J273" s="200">
        <v>271</v>
      </c>
    </row>
    <row r="274" spans="1:10" x14ac:dyDescent="0.25">
      <c r="A274" s="200" t="s">
        <v>357</v>
      </c>
      <c r="B274" s="202" t="s">
        <v>335</v>
      </c>
      <c r="C274" s="200">
        <v>204</v>
      </c>
      <c r="D274" s="200">
        <v>263</v>
      </c>
      <c r="E274" s="200">
        <v>243</v>
      </c>
      <c r="F274" s="200">
        <v>369</v>
      </c>
      <c r="G274" s="200">
        <v>290</v>
      </c>
      <c r="H274" s="200">
        <v>171</v>
      </c>
      <c r="I274" s="200">
        <v>79</v>
      </c>
      <c r="J274" s="200">
        <v>231</v>
      </c>
    </row>
    <row r="275" spans="1:10" x14ac:dyDescent="0.25">
      <c r="A275" s="200" t="s">
        <v>357</v>
      </c>
      <c r="B275" s="202" t="s">
        <v>337</v>
      </c>
      <c r="C275" s="200">
        <v>105</v>
      </c>
      <c r="D275" s="200">
        <v>338</v>
      </c>
      <c r="E275" s="200">
        <v>375</v>
      </c>
      <c r="F275" s="200">
        <v>306</v>
      </c>
      <c r="G275" s="200">
        <v>347</v>
      </c>
      <c r="H275" s="200">
        <v>232</v>
      </c>
      <c r="I275" s="200">
        <v>142</v>
      </c>
      <c r="J275" s="200">
        <v>183</v>
      </c>
    </row>
    <row r="276" spans="1:10" x14ac:dyDescent="0.25">
      <c r="A276" s="200" t="s">
        <v>357</v>
      </c>
      <c r="B276" s="202" t="s">
        <v>339</v>
      </c>
      <c r="C276" s="200">
        <v>151</v>
      </c>
      <c r="D276" s="200">
        <v>293</v>
      </c>
      <c r="E276" s="200">
        <v>341</v>
      </c>
      <c r="F276" s="200">
        <v>331</v>
      </c>
      <c r="G276" s="200">
        <v>381</v>
      </c>
      <c r="H276" s="200">
        <v>318</v>
      </c>
      <c r="I276" s="200">
        <v>226</v>
      </c>
      <c r="J276" s="200">
        <v>207</v>
      </c>
    </row>
    <row r="277" spans="1:10" x14ac:dyDescent="0.25">
      <c r="A277" s="200" t="s">
        <v>357</v>
      </c>
      <c r="B277" s="202" t="s">
        <v>341</v>
      </c>
      <c r="C277" s="200">
        <v>178</v>
      </c>
      <c r="D277" s="200">
        <v>326</v>
      </c>
      <c r="E277" s="200">
        <v>364</v>
      </c>
      <c r="F277" s="200">
        <v>321</v>
      </c>
      <c r="G277" s="200">
        <v>354</v>
      </c>
      <c r="H277" s="200">
        <v>379</v>
      </c>
      <c r="I277" s="200">
        <v>239</v>
      </c>
      <c r="J277" s="200">
        <v>255</v>
      </c>
    </row>
    <row r="278" spans="1:10" x14ac:dyDescent="0.25">
      <c r="A278" s="200" t="s">
        <v>357</v>
      </c>
      <c r="B278" s="202" t="s">
        <v>343</v>
      </c>
      <c r="C278" s="200">
        <v>182</v>
      </c>
      <c r="D278" s="200">
        <v>305</v>
      </c>
      <c r="E278" s="200">
        <v>345</v>
      </c>
      <c r="F278" s="200">
        <v>237</v>
      </c>
      <c r="G278" s="200">
        <v>332</v>
      </c>
      <c r="H278" s="200">
        <v>414</v>
      </c>
      <c r="I278" s="200">
        <v>136</v>
      </c>
      <c r="J278" s="200">
        <v>288</v>
      </c>
    </row>
    <row r="279" spans="1:10" x14ac:dyDescent="0.25">
      <c r="A279" s="200" t="s">
        <v>357</v>
      </c>
      <c r="B279" s="202" t="s">
        <v>345</v>
      </c>
      <c r="C279" s="200">
        <v>140</v>
      </c>
      <c r="D279" s="200">
        <v>410</v>
      </c>
      <c r="E279" s="200">
        <v>379</v>
      </c>
      <c r="F279" s="200">
        <v>237</v>
      </c>
      <c r="G279" s="200">
        <v>395</v>
      </c>
      <c r="H279" s="200">
        <v>427</v>
      </c>
      <c r="I279" s="200">
        <v>93</v>
      </c>
      <c r="J279" s="200">
        <v>276</v>
      </c>
    </row>
    <row r="280" spans="1:10" x14ac:dyDescent="0.25">
      <c r="A280" s="200" t="s">
        <v>357</v>
      </c>
      <c r="B280" s="202" t="s">
        <v>346</v>
      </c>
      <c r="C280" s="200">
        <v>164</v>
      </c>
      <c r="D280" s="200">
        <v>404</v>
      </c>
      <c r="E280" s="200">
        <v>371</v>
      </c>
      <c r="F280" s="200">
        <v>312</v>
      </c>
      <c r="G280" s="200">
        <v>364</v>
      </c>
      <c r="H280" s="200">
        <v>425</v>
      </c>
      <c r="I280" s="200">
        <v>67</v>
      </c>
      <c r="J280" s="200">
        <v>268</v>
      </c>
    </row>
    <row r="281" spans="1:10" x14ac:dyDescent="0.25">
      <c r="A281" s="200" t="s">
        <v>357</v>
      </c>
      <c r="B281" s="202" t="s">
        <v>348</v>
      </c>
      <c r="C281" s="200">
        <v>178</v>
      </c>
      <c r="D281" s="200">
        <v>404</v>
      </c>
      <c r="E281" s="200">
        <v>289</v>
      </c>
      <c r="F281" s="200">
        <v>374</v>
      </c>
      <c r="G281" s="200">
        <v>227</v>
      </c>
      <c r="H281" s="200">
        <v>283</v>
      </c>
      <c r="I281" s="200">
        <v>68</v>
      </c>
      <c r="J281" s="200">
        <v>164</v>
      </c>
    </row>
    <row r="282" spans="1:10" x14ac:dyDescent="0.25">
      <c r="A282" s="200" t="s">
        <v>358</v>
      </c>
      <c r="B282" s="202" t="s">
        <v>312</v>
      </c>
      <c r="C282" s="200">
        <v>175</v>
      </c>
      <c r="D282" s="200">
        <v>316</v>
      </c>
      <c r="E282" s="200">
        <v>367</v>
      </c>
      <c r="F282" s="200">
        <v>221</v>
      </c>
      <c r="G282" s="200">
        <v>351</v>
      </c>
      <c r="H282" s="200">
        <v>245</v>
      </c>
      <c r="I282" s="200">
        <v>74</v>
      </c>
      <c r="J282" s="200">
        <v>319</v>
      </c>
    </row>
    <row r="283" spans="1:10" x14ac:dyDescent="0.25">
      <c r="A283" s="200" t="s">
        <v>358</v>
      </c>
      <c r="B283" s="202" t="s">
        <v>314</v>
      </c>
      <c r="C283" s="200">
        <v>227</v>
      </c>
      <c r="D283" s="200">
        <v>310</v>
      </c>
      <c r="E283" s="200">
        <v>232</v>
      </c>
      <c r="F283" s="200">
        <v>371</v>
      </c>
      <c r="G283" s="200">
        <v>367</v>
      </c>
      <c r="H283" s="200">
        <v>276</v>
      </c>
      <c r="I283" s="200">
        <v>122</v>
      </c>
      <c r="J283" s="200">
        <v>317</v>
      </c>
    </row>
    <row r="284" spans="1:10" x14ac:dyDescent="0.25">
      <c r="A284" s="200" t="s">
        <v>358</v>
      </c>
      <c r="B284" s="202" t="s">
        <v>315</v>
      </c>
      <c r="C284" s="200">
        <v>281</v>
      </c>
      <c r="D284" s="200">
        <v>389</v>
      </c>
      <c r="E284" s="200">
        <v>122</v>
      </c>
      <c r="F284" s="200">
        <v>382</v>
      </c>
      <c r="G284" s="200">
        <v>386</v>
      </c>
      <c r="H284" s="200">
        <v>271</v>
      </c>
      <c r="I284" s="200">
        <v>131</v>
      </c>
      <c r="J284" s="200">
        <v>298</v>
      </c>
    </row>
    <row r="285" spans="1:10" x14ac:dyDescent="0.25">
      <c r="A285" s="200" t="s">
        <v>358</v>
      </c>
      <c r="B285" s="202" t="s">
        <v>316</v>
      </c>
      <c r="C285" s="200">
        <v>300</v>
      </c>
      <c r="D285" s="200">
        <v>244</v>
      </c>
      <c r="E285" s="200">
        <v>85</v>
      </c>
      <c r="F285" s="200">
        <v>199</v>
      </c>
      <c r="G285" s="200">
        <v>389</v>
      </c>
      <c r="H285" s="200">
        <v>343</v>
      </c>
      <c r="I285" s="200">
        <v>65</v>
      </c>
      <c r="J285" s="200">
        <v>285</v>
      </c>
    </row>
    <row r="286" spans="1:10" x14ac:dyDescent="0.25">
      <c r="A286" s="200" t="s">
        <v>358</v>
      </c>
      <c r="B286" s="202" t="s">
        <v>317</v>
      </c>
      <c r="C286" s="200">
        <v>188</v>
      </c>
      <c r="D286" s="200">
        <v>390</v>
      </c>
      <c r="E286" s="200">
        <v>170</v>
      </c>
      <c r="F286" s="200">
        <v>249</v>
      </c>
      <c r="G286" s="200">
        <v>329</v>
      </c>
      <c r="H286" s="200">
        <v>315</v>
      </c>
      <c r="I286" s="200">
        <v>70</v>
      </c>
      <c r="J286" s="200">
        <v>291</v>
      </c>
    </row>
    <row r="287" spans="1:10" x14ac:dyDescent="0.25">
      <c r="A287" s="200" t="s">
        <v>358</v>
      </c>
      <c r="B287" s="202" t="s">
        <v>318</v>
      </c>
      <c r="C287" s="200">
        <v>201</v>
      </c>
      <c r="D287" s="200">
        <v>354</v>
      </c>
      <c r="E287" s="200">
        <v>223</v>
      </c>
      <c r="F287" s="200">
        <v>393</v>
      </c>
      <c r="G287" s="200">
        <v>385</v>
      </c>
      <c r="H287" s="200">
        <v>180</v>
      </c>
      <c r="I287" s="200">
        <v>67</v>
      </c>
      <c r="J287" s="200">
        <v>148</v>
      </c>
    </row>
    <row r="288" spans="1:10" x14ac:dyDescent="0.25">
      <c r="A288" s="200" t="s">
        <v>358</v>
      </c>
      <c r="B288" s="202" t="s">
        <v>319</v>
      </c>
      <c r="C288" s="200">
        <v>217</v>
      </c>
      <c r="D288" s="200">
        <v>345</v>
      </c>
      <c r="E288" s="200">
        <v>232</v>
      </c>
      <c r="F288" s="200">
        <v>418</v>
      </c>
      <c r="G288" s="200">
        <v>302</v>
      </c>
      <c r="H288" s="200">
        <v>151</v>
      </c>
      <c r="I288" s="200">
        <v>81</v>
      </c>
      <c r="J288" s="200">
        <v>186</v>
      </c>
    </row>
    <row r="289" spans="1:10" x14ac:dyDescent="0.25">
      <c r="A289" s="200" t="s">
        <v>358</v>
      </c>
      <c r="B289" s="202" t="s">
        <v>320</v>
      </c>
      <c r="C289" s="200">
        <v>258</v>
      </c>
      <c r="D289" s="200">
        <v>378</v>
      </c>
      <c r="E289" s="200">
        <v>254</v>
      </c>
      <c r="F289" s="200">
        <v>365</v>
      </c>
      <c r="G289" s="200">
        <v>204</v>
      </c>
      <c r="H289" s="200">
        <v>216</v>
      </c>
      <c r="I289" s="200">
        <v>125</v>
      </c>
      <c r="J289" s="200">
        <v>294</v>
      </c>
    </row>
    <row r="290" spans="1:10" x14ac:dyDescent="0.25">
      <c r="A290" s="200" t="s">
        <v>358</v>
      </c>
      <c r="B290" s="202" t="s">
        <v>321</v>
      </c>
      <c r="C290" s="200">
        <v>307</v>
      </c>
      <c r="D290" s="200">
        <v>337</v>
      </c>
      <c r="E290" s="200">
        <v>238</v>
      </c>
      <c r="F290" s="200">
        <v>256</v>
      </c>
      <c r="G290" s="200">
        <v>171</v>
      </c>
      <c r="H290" s="200">
        <v>270</v>
      </c>
      <c r="I290" s="200">
        <v>200</v>
      </c>
      <c r="J290" s="200">
        <v>357</v>
      </c>
    </row>
    <row r="291" spans="1:10" x14ac:dyDescent="0.25">
      <c r="A291" s="200" t="s">
        <v>358</v>
      </c>
      <c r="B291" s="202" t="s">
        <v>322</v>
      </c>
      <c r="C291" s="200">
        <v>294</v>
      </c>
      <c r="D291" s="200">
        <v>376</v>
      </c>
      <c r="E291" s="200">
        <v>255</v>
      </c>
      <c r="F291" s="200">
        <v>235</v>
      </c>
      <c r="G291" s="200">
        <v>223</v>
      </c>
      <c r="H291" s="200">
        <v>348</v>
      </c>
      <c r="I291" s="200">
        <v>205</v>
      </c>
      <c r="J291" s="200">
        <v>355</v>
      </c>
    </row>
    <row r="292" spans="1:10" x14ac:dyDescent="0.25">
      <c r="A292" s="200" t="s">
        <v>358</v>
      </c>
      <c r="B292" s="202" t="s">
        <v>323</v>
      </c>
      <c r="C292" s="200">
        <v>306</v>
      </c>
      <c r="D292" s="200">
        <v>359</v>
      </c>
      <c r="E292" s="200">
        <v>265</v>
      </c>
      <c r="F292" s="200">
        <v>253</v>
      </c>
      <c r="G292" s="200">
        <v>276</v>
      </c>
      <c r="H292" s="200">
        <v>394</v>
      </c>
      <c r="I292" s="200">
        <v>124</v>
      </c>
      <c r="J292" s="200">
        <v>212</v>
      </c>
    </row>
    <row r="293" spans="1:10" x14ac:dyDescent="0.25">
      <c r="A293" s="200" t="s">
        <v>358</v>
      </c>
      <c r="B293" s="202" t="s">
        <v>324</v>
      </c>
      <c r="C293" s="200">
        <v>307</v>
      </c>
      <c r="D293" s="200">
        <v>317</v>
      </c>
      <c r="E293" s="200">
        <v>251</v>
      </c>
      <c r="F293" s="200">
        <v>340</v>
      </c>
      <c r="G293" s="200">
        <v>335</v>
      </c>
      <c r="H293" s="200">
        <v>405</v>
      </c>
      <c r="I293" s="200">
        <v>82</v>
      </c>
      <c r="J293" s="200">
        <v>224</v>
      </c>
    </row>
    <row r="294" spans="1:10" x14ac:dyDescent="0.25">
      <c r="A294" s="200" t="s">
        <v>358</v>
      </c>
      <c r="B294" s="202" t="s">
        <v>325</v>
      </c>
      <c r="C294" s="200">
        <v>220</v>
      </c>
      <c r="D294" s="200">
        <v>333</v>
      </c>
      <c r="E294" s="200">
        <v>307</v>
      </c>
      <c r="F294" s="200">
        <v>405</v>
      </c>
      <c r="G294" s="200">
        <v>352</v>
      </c>
      <c r="H294" s="200">
        <v>354</v>
      </c>
      <c r="I294" s="200">
        <v>51</v>
      </c>
      <c r="J294" s="200">
        <v>390</v>
      </c>
    </row>
    <row r="295" spans="1:10" x14ac:dyDescent="0.25">
      <c r="A295" s="200" t="s">
        <v>358</v>
      </c>
      <c r="B295" s="202" t="s">
        <v>326</v>
      </c>
      <c r="C295" s="200">
        <v>262</v>
      </c>
      <c r="D295" s="200">
        <v>368</v>
      </c>
      <c r="E295" s="200">
        <v>356</v>
      </c>
      <c r="F295" s="200">
        <v>426</v>
      </c>
      <c r="G295" s="200">
        <v>282</v>
      </c>
      <c r="H295" s="200">
        <v>249</v>
      </c>
      <c r="I295" s="200">
        <v>90</v>
      </c>
      <c r="J295" s="200">
        <v>398</v>
      </c>
    </row>
    <row r="296" spans="1:10" x14ac:dyDescent="0.25">
      <c r="A296" s="200" t="s">
        <v>358</v>
      </c>
      <c r="B296" s="202" t="s">
        <v>327</v>
      </c>
      <c r="C296" s="200">
        <v>302</v>
      </c>
      <c r="D296" s="200">
        <v>316</v>
      </c>
      <c r="E296" s="200">
        <v>348</v>
      </c>
      <c r="F296" s="200">
        <v>200</v>
      </c>
      <c r="G296" s="200">
        <v>264</v>
      </c>
      <c r="H296" s="200">
        <v>268</v>
      </c>
      <c r="I296" s="200">
        <v>111</v>
      </c>
      <c r="J296" s="200">
        <v>251</v>
      </c>
    </row>
    <row r="297" spans="1:10" x14ac:dyDescent="0.25">
      <c r="A297" s="200" t="s">
        <v>358</v>
      </c>
      <c r="B297" s="202" t="s">
        <v>328</v>
      </c>
      <c r="C297" s="200">
        <v>340</v>
      </c>
      <c r="D297" s="200">
        <v>334</v>
      </c>
      <c r="E297" s="200">
        <v>262</v>
      </c>
      <c r="F297" s="200">
        <v>149</v>
      </c>
      <c r="G297" s="200">
        <v>277</v>
      </c>
      <c r="H297" s="200">
        <v>404</v>
      </c>
      <c r="I297" s="200">
        <v>149</v>
      </c>
      <c r="J297" s="200">
        <v>267</v>
      </c>
    </row>
    <row r="298" spans="1:10" x14ac:dyDescent="0.25">
      <c r="A298" s="200" t="s">
        <v>358</v>
      </c>
      <c r="B298" s="202" t="s">
        <v>329</v>
      </c>
      <c r="C298" s="200">
        <v>349</v>
      </c>
      <c r="D298" s="200">
        <v>386</v>
      </c>
      <c r="E298" s="200">
        <v>415</v>
      </c>
      <c r="F298" s="200">
        <v>151</v>
      </c>
      <c r="G298" s="200">
        <v>284</v>
      </c>
      <c r="H298" s="200">
        <v>433</v>
      </c>
      <c r="I298" s="200">
        <v>165</v>
      </c>
      <c r="J298" s="200">
        <v>420</v>
      </c>
    </row>
    <row r="299" spans="1:10" x14ac:dyDescent="0.25">
      <c r="A299" s="200" t="s">
        <v>358</v>
      </c>
      <c r="B299" s="202" t="s">
        <v>330</v>
      </c>
      <c r="C299" s="200">
        <v>374</v>
      </c>
      <c r="D299" s="200">
        <v>353</v>
      </c>
      <c r="E299" s="200">
        <v>402</v>
      </c>
      <c r="F299" s="200">
        <v>194</v>
      </c>
      <c r="G299" s="200">
        <v>277</v>
      </c>
      <c r="H299" s="200">
        <v>355</v>
      </c>
      <c r="I299" s="200">
        <v>95</v>
      </c>
      <c r="J299" s="200">
        <v>420</v>
      </c>
    </row>
    <row r="300" spans="1:10" x14ac:dyDescent="0.25">
      <c r="A300" s="200" t="s">
        <v>358</v>
      </c>
      <c r="B300" s="202" t="s">
        <v>331</v>
      </c>
      <c r="C300" s="200">
        <v>184</v>
      </c>
      <c r="D300" s="200">
        <v>329</v>
      </c>
      <c r="E300" s="200">
        <v>296</v>
      </c>
      <c r="F300" s="200">
        <v>274</v>
      </c>
      <c r="G300" s="200">
        <v>344</v>
      </c>
      <c r="H300" s="200">
        <v>430</v>
      </c>
      <c r="I300" s="200">
        <v>70</v>
      </c>
      <c r="J300" s="200">
        <v>400</v>
      </c>
    </row>
    <row r="301" spans="1:10" x14ac:dyDescent="0.25">
      <c r="A301" s="200" t="s">
        <v>358</v>
      </c>
      <c r="B301" s="202" t="s">
        <v>332</v>
      </c>
      <c r="C301" s="200">
        <v>275</v>
      </c>
      <c r="D301" s="200">
        <v>348</v>
      </c>
      <c r="E301" s="200">
        <v>382</v>
      </c>
      <c r="F301" s="200">
        <v>377</v>
      </c>
      <c r="G301" s="200">
        <v>379</v>
      </c>
      <c r="H301" s="200">
        <v>337</v>
      </c>
      <c r="I301" s="200">
        <v>68</v>
      </c>
      <c r="J301" s="200">
        <v>397</v>
      </c>
    </row>
    <row r="302" spans="1:10" x14ac:dyDescent="0.25">
      <c r="A302" s="200" t="s">
        <v>358</v>
      </c>
      <c r="B302" s="202" t="s">
        <v>333</v>
      </c>
      <c r="C302" s="200">
        <v>287</v>
      </c>
      <c r="D302" s="200">
        <v>382</v>
      </c>
      <c r="E302" s="200">
        <v>398</v>
      </c>
      <c r="F302" s="200">
        <v>399</v>
      </c>
      <c r="G302" s="200">
        <v>387</v>
      </c>
      <c r="H302" s="200">
        <v>389</v>
      </c>
      <c r="I302" s="200">
        <v>58</v>
      </c>
      <c r="J302" s="200">
        <v>213</v>
      </c>
    </row>
    <row r="303" spans="1:10" x14ac:dyDescent="0.25">
      <c r="A303" s="200" t="s">
        <v>358</v>
      </c>
      <c r="B303" s="202" t="s">
        <v>334</v>
      </c>
      <c r="C303" s="200">
        <v>235</v>
      </c>
      <c r="D303" s="200">
        <v>309</v>
      </c>
      <c r="E303" s="200">
        <v>431</v>
      </c>
      <c r="F303" s="200">
        <v>426</v>
      </c>
      <c r="G303" s="200">
        <v>388</v>
      </c>
      <c r="H303" s="200">
        <v>399</v>
      </c>
      <c r="I303" s="200">
        <v>83</v>
      </c>
      <c r="J303" s="200">
        <v>242</v>
      </c>
    </row>
    <row r="304" spans="1:10" x14ac:dyDescent="0.25">
      <c r="A304" s="200" t="s">
        <v>358</v>
      </c>
      <c r="B304" s="202" t="s">
        <v>335</v>
      </c>
      <c r="C304" s="200">
        <v>246</v>
      </c>
      <c r="D304" s="200">
        <v>357</v>
      </c>
      <c r="E304" s="200">
        <v>331</v>
      </c>
      <c r="F304" s="200">
        <v>390</v>
      </c>
      <c r="G304" s="200">
        <v>253</v>
      </c>
      <c r="H304" s="200">
        <v>362</v>
      </c>
      <c r="I304" s="200">
        <v>131</v>
      </c>
      <c r="J304" s="200">
        <v>285</v>
      </c>
    </row>
    <row r="305" spans="1:10" x14ac:dyDescent="0.25">
      <c r="A305" s="200" t="s">
        <v>358</v>
      </c>
      <c r="B305" s="202" t="s">
        <v>337</v>
      </c>
      <c r="C305" s="200">
        <v>228</v>
      </c>
      <c r="D305" s="200">
        <v>369</v>
      </c>
      <c r="E305" s="200">
        <v>346</v>
      </c>
      <c r="F305" s="200">
        <v>407</v>
      </c>
      <c r="G305" s="200">
        <v>264</v>
      </c>
      <c r="H305" s="200">
        <v>345</v>
      </c>
      <c r="I305" s="200">
        <v>151</v>
      </c>
      <c r="J305" s="200">
        <v>238</v>
      </c>
    </row>
    <row r="306" spans="1:10" x14ac:dyDescent="0.25">
      <c r="A306" s="200" t="s">
        <v>358</v>
      </c>
      <c r="B306" s="202" t="s">
        <v>339</v>
      </c>
      <c r="C306" s="200">
        <v>204</v>
      </c>
      <c r="D306" s="200">
        <v>309</v>
      </c>
      <c r="E306" s="200">
        <v>266</v>
      </c>
      <c r="F306" s="200">
        <v>296</v>
      </c>
      <c r="G306" s="200">
        <v>340</v>
      </c>
      <c r="H306" s="200">
        <v>407</v>
      </c>
      <c r="I306" s="200">
        <v>62</v>
      </c>
      <c r="J306" s="200">
        <v>206</v>
      </c>
    </row>
    <row r="307" spans="1:10" x14ac:dyDescent="0.25">
      <c r="A307" s="200" t="s">
        <v>358</v>
      </c>
      <c r="B307" s="202" t="s">
        <v>341</v>
      </c>
      <c r="C307" s="200">
        <v>214</v>
      </c>
      <c r="D307" s="200">
        <v>313</v>
      </c>
      <c r="E307" s="200">
        <v>241</v>
      </c>
      <c r="F307" s="200">
        <v>373</v>
      </c>
      <c r="G307" s="200">
        <v>391</v>
      </c>
      <c r="H307" s="200">
        <v>421</v>
      </c>
      <c r="I307" s="200">
        <v>59</v>
      </c>
      <c r="J307" s="200">
        <v>249</v>
      </c>
    </row>
    <row r="308" spans="1:10" x14ac:dyDescent="0.25">
      <c r="A308" s="200" t="s">
        <v>358</v>
      </c>
      <c r="B308" s="202" t="s">
        <v>343</v>
      </c>
      <c r="C308" s="200">
        <v>197</v>
      </c>
      <c r="D308" s="200">
        <v>379</v>
      </c>
      <c r="E308" s="200">
        <v>266</v>
      </c>
      <c r="F308" s="200">
        <v>418</v>
      </c>
      <c r="G308" s="200">
        <v>398</v>
      </c>
      <c r="H308" s="200">
        <v>313</v>
      </c>
      <c r="I308" s="200">
        <v>56</v>
      </c>
      <c r="J308" s="200">
        <v>345</v>
      </c>
    </row>
    <row r="309" spans="1:10" x14ac:dyDescent="0.25">
      <c r="A309" s="200" t="s">
        <v>358</v>
      </c>
      <c r="B309" s="202" t="s">
        <v>345</v>
      </c>
      <c r="C309" s="200">
        <v>202</v>
      </c>
      <c r="D309" s="200">
        <v>325</v>
      </c>
      <c r="E309" s="200">
        <v>354</v>
      </c>
      <c r="F309" s="200">
        <v>361</v>
      </c>
      <c r="G309" s="200">
        <v>296</v>
      </c>
      <c r="H309" s="200">
        <v>266</v>
      </c>
      <c r="I309" s="200">
        <v>57</v>
      </c>
      <c r="J309" s="200">
        <v>358</v>
      </c>
    </row>
    <row r="310" spans="1:10" x14ac:dyDescent="0.25">
      <c r="A310" s="200" t="s">
        <v>358</v>
      </c>
      <c r="B310" s="202" t="s">
        <v>346</v>
      </c>
      <c r="C310" s="200">
        <v>174</v>
      </c>
      <c r="D310" s="200">
        <v>365</v>
      </c>
      <c r="E310" s="200">
        <v>371</v>
      </c>
      <c r="F310" s="200">
        <v>229</v>
      </c>
      <c r="G310" s="200">
        <v>273</v>
      </c>
      <c r="H310" s="200">
        <v>262</v>
      </c>
      <c r="I310" s="200">
        <v>66</v>
      </c>
      <c r="J310" s="200">
        <v>244</v>
      </c>
    </row>
    <row r="311" spans="1:10" x14ac:dyDescent="0.25">
      <c r="A311" s="200" t="s">
        <v>358</v>
      </c>
      <c r="B311" s="202" t="s">
        <v>348</v>
      </c>
      <c r="C311" s="200">
        <v>149</v>
      </c>
      <c r="D311" s="200">
        <v>262</v>
      </c>
      <c r="E311" s="200">
        <v>280</v>
      </c>
      <c r="F311" s="200">
        <v>207</v>
      </c>
      <c r="G311" s="200">
        <v>252</v>
      </c>
      <c r="H311" s="200">
        <v>326</v>
      </c>
      <c r="I311" s="200">
        <v>110</v>
      </c>
      <c r="J311" s="200">
        <v>190</v>
      </c>
    </row>
    <row r="312" spans="1:10" x14ac:dyDescent="0.25">
      <c r="A312" s="200" t="s">
        <v>358</v>
      </c>
      <c r="B312" s="202" t="s">
        <v>349</v>
      </c>
      <c r="C312" s="200">
        <v>154</v>
      </c>
      <c r="D312" s="200">
        <v>266</v>
      </c>
      <c r="E312" s="200">
        <v>288</v>
      </c>
      <c r="F312" s="200">
        <v>261</v>
      </c>
      <c r="G312" s="200">
        <v>254</v>
      </c>
      <c r="H312" s="200">
        <v>331</v>
      </c>
      <c r="I312" s="200">
        <v>125</v>
      </c>
      <c r="J312" s="200">
        <v>126</v>
      </c>
    </row>
    <row r="313" spans="1:10" x14ac:dyDescent="0.25">
      <c r="A313" s="200" t="s">
        <v>467</v>
      </c>
      <c r="B313" s="202" t="s">
        <v>312</v>
      </c>
      <c r="C313" s="200">
        <v>178</v>
      </c>
      <c r="D313" s="200">
        <v>272</v>
      </c>
      <c r="E313" s="200">
        <v>325</v>
      </c>
      <c r="F313" s="200">
        <v>352</v>
      </c>
      <c r="G313" s="200">
        <v>285</v>
      </c>
      <c r="H313" s="200">
        <v>333</v>
      </c>
      <c r="I313" s="200">
        <v>78</v>
      </c>
      <c r="J313" s="200">
        <v>243</v>
      </c>
    </row>
    <row r="314" spans="1:10" x14ac:dyDescent="0.25">
      <c r="A314" s="200" t="s">
        <v>467</v>
      </c>
      <c r="B314" s="202" t="s">
        <v>314</v>
      </c>
      <c r="C314" s="200">
        <v>221</v>
      </c>
      <c r="D314" s="200">
        <v>267</v>
      </c>
      <c r="E314" s="200">
        <v>417</v>
      </c>
      <c r="F314" s="200">
        <v>341</v>
      </c>
      <c r="G314" s="200">
        <v>327</v>
      </c>
      <c r="H314" s="200">
        <v>331</v>
      </c>
      <c r="I314" s="200">
        <v>56</v>
      </c>
      <c r="J314" s="200">
        <v>242</v>
      </c>
    </row>
    <row r="315" spans="1:10" x14ac:dyDescent="0.25">
      <c r="A315" s="200" t="s">
        <v>467</v>
      </c>
      <c r="B315" s="202" t="s">
        <v>315</v>
      </c>
      <c r="C315" s="200">
        <v>376</v>
      </c>
      <c r="D315" s="200">
        <v>255</v>
      </c>
      <c r="E315" s="200">
        <v>426</v>
      </c>
      <c r="F315" s="200">
        <v>417</v>
      </c>
      <c r="G315" s="200">
        <v>341</v>
      </c>
      <c r="H315" s="200">
        <v>181</v>
      </c>
      <c r="I315" s="200">
        <v>58</v>
      </c>
      <c r="J315" s="200">
        <v>242</v>
      </c>
    </row>
    <row r="316" spans="1:10" x14ac:dyDescent="0.25">
      <c r="A316" s="200" t="s">
        <v>467</v>
      </c>
      <c r="B316" s="202" t="s">
        <v>316</v>
      </c>
      <c r="C316" s="200">
        <v>379</v>
      </c>
      <c r="D316" s="200">
        <v>296</v>
      </c>
      <c r="E316" s="200">
        <v>356</v>
      </c>
      <c r="F316" s="200">
        <v>417</v>
      </c>
      <c r="G316" s="200">
        <v>279</v>
      </c>
      <c r="H316" s="200">
        <v>199</v>
      </c>
      <c r="I316" s="200">
        <v>75</v>
      </c>
      <c r="J316" s="200">
        <v>207</v>
      </c>
    </row>
    <row r="317" spans="1:10" x14ac:dyDescent="0.25">
      <c r="A317" s="200" t="s">
        <v>467</v>
      </c>
      <c r="B317" s="202" t="s">
        <v>317</v>
      </c>
      <c r="C317" s="200">
        <v>233</v>
      </c>
      <c r="D317" s="200">
        <v>394</v>
      </c>
      <c r="E317" s="200">
        <v>304</v>
      </c>
      <c r="F317" s="200">
        <v>258</v>
      </c>
      <c r="G317" s="200">
        <v>289</v>
      </c>
      <c r="H317" s="200">
        <v>256</v>
      </c>
      <c r="I317" s="200">
        <v>98</v>
      </c>
      <c r="J317" s="200">
        <v>215</v>
      </c>
    </row>
    <row r="318" spans="1:10" x14ac:dyDescent="0.25">
      <c r="A318" s="200" t="s">
        <v>467</v>
      </c>
      <c r="B318" s="202" t="s">
        <v>318</v>
      </c>
      <c r="C318" s="200">
        <v>252</v>
      </c>
      <c r="D318" s="200">
        <v>336</v>
      </c>
      <c r="E318" s="200">
        <v>344</v>
      </c>
      <c r="F318" s="200">
        <v>245</v>
      </c>
      <c r="G318" s="200">
        <v>284</v>
      </c>
      <c r="H318" s="200">
        <v>352</v>
      </c>
      <c r="I318" s="200">
        <v>162</v>
      </c>
      <c r="J318" s="200">
        <v>236</v>
      </c>
    </row>
    <row r="319" spans="1:10" x14ac:dyDescent="0.25">
      <c r="A319" s="200" t="s">
        <v>467</v>
      </c>
      <c r="B319" s="202" t="s">
        <v>319</v>
      </c>
      <c r="C319" s="200">
        <v>320</v>
      </c>
      <c r="D319" s="200">
        <v>373</v>
      </c>
      <c r="E319" s="200">
        <v>356</v>
      </c>
      <c r="F319" s="200">
        <v>231</v>
      </c>
      <c r="G319" s="200">
        <v>333</v>
      </c>
      <c r="H319" s="200">
        <v>408</v>
      </c>
      <c r="I319" s="200">
        <v>165</v>
      </c>
      <c r="J319" s="200">
        <v>153</v>
      </c>
    </row>
    <row r="320" spans="1:10" x14ac:dyDescent="0.25">
      <c r="A320" s="200" t="s">
        <v>467</v>
      </c>
      <c r="B320" s="202" t="s">
        <v>320</v>
      </c>
      <c r="C320" s="200">
        <v>351</v>
      </c>
      <c r="D320" s="200">
        <v>382</v>
      </c>
      <c r="E320" s="200">
        <v>352</v>
      </c>
      <c r="F320" s="200">
        <v>352</v>
      </c>
      <c r="G320" s="200">
        <v>364</v>
      </c>
      <c r="H320" s="200">
        <v>434</v>
      </c>
      <c r="I320" s="200">
        <v>76</v>
      </c>
      <c r="J320" s="200">
        <v>253</v>
      </c>
    </row>
    <row r="321" spans="1:10" x14ac:dyDescent="0.25">
      <c r="A321" s="200" t="s">
        <v>467</v>
      </c>
      <c r="B321" s="202" t="s">
        <v>321</v>
      </c>
      <c r="C321" s="200">
        <v>232</v>
      </c>
      <c r="D321" s="200">
        <v>395</v>
      </c>
      <c r="E321" s="200">
        <v>277</v>
      </c>
      <c r="F321" s="200">
        <v>418</v>
      </c>
      <c r="G321" s="200">
        <v>326</v>
      </c>
      <c r="H321" s="200">
        <v>430</v>
      </c>
      <c r="I321" s="200">
        <v>51</v>
      </c>
      <c r="J321" s="200">
        <v>256</v>
      </c>
    </row>
    <row r="322" spans="1:10" x14ac:dyDescent="0.25">
      <c r="A322" s="200" t="s">
        <v>467</v>
      </c>
      <c r="B322" s="202" t="s">
        <v>322</v>
      </c>
      <c r="C322" s="200">
        <v>208</v>
      </c>
      <c r="D322" s="200">
        <v>385</v>
      </c>
      <c r="E322" s="200">
        <v>357</v>
      </c>
      <c r="F322" s="200">
        <v>425</v>
      </c>
      <c r="G322" s="200">
        <v>369</v>
      </c>
      <c r="H322" s="200">
        <v>263</v>
      </c>
      <c r="I322" s="200">
        <v>45</v>
      </c>
      <c r="J322" s="200">
        <v>264</v>
      </c>
    </row>
    <row r="323" spans="1:10" x14ac:dyDescent="0.25">
      <c r="A323" s="200" t="s">
        <v>467</v>
      </c>
      <c r="B323" s="202" t="s">
        <v>323</v>
      </c>
      <c r="C323" s="200">
        <v>224</v>
      </c>
      <c r="D323" s="200">
        <v>408</v>
      </c>
      <c r="E323" s="200">
        <v>363</v>
      </c>
      <c r="F323" s="200">
        <v>423</v>
      </c>
      <c r="G323" s="200">
        <v>270</v>
      </c>
      <c r="H323" s="200">
        <v>359</v>
      </c>
      <c r="I323" s="200">
        <v>46</v>
      </c>
      <c r="J323" s="200">
        <v>290</v>
      </c>
    </row>
    <row r="324" spans="1:10" x14ac:dyDescent="0.25">
      <c r="A324" s="200" t="s">
        <v>467</v>
      </c>
      <c r="B324" s="202" t="s">
        <v>324</v>
      </c>
      <c r="C324" s="200">
        <v>309</v>
      </c>
      <c r="D324" s="200">
        <v>299</v>
      </c>
      <c r="E324" s="200">
        <v>385</v>
      </c>
      <c r="F324" s="200">
        <v>217</v>
      </c>
      <c r="G324" s="200">
        <v>346</v>
      </c>
      <c r="H324" s="200">
        <v>324</v>
      </c>
      <c r="I324" s="200">
        <v>87</v>
      </c>
      <c r="J324" s="200">
        <v>319</v>
      </c>
    </row>
    <row r="325" spans="1:10" x14ac:dyDescent="0.25">
      <c r="A325" s="200" t="s">
        <v>467</v>
      </c>
      <c r="B325" s="202" t="s">
        <v>325</v>
      </c>
      <c r="C325" s="200">
        <v>252</v>
      </c>
      <c r="D325" s="200">
        <v>368</v>
      </c>
      <c r="E325" s="200">
        <v>338</v>
      </c>
      <c r="F325" s="200">
        <v>397</v>
      </c>
      <c r="G325" s="200">
        <v>350</v>
      </c>
      <c r="H325" s="200">
        <v>349</v>
      </c>
      <c r="I325" s="200">
        <v>134</v>
      </c>
      <c r="J325" s="200">
        <v>346</v>
      </c>
    </row>
    <row r="326" spans="1:10" x14ac:dyDescent="0.25">
      <c r="A326" s="200" t="s">
        <v>467</v>
      </c>
      <c r="B326" s="202" t="s">
        <v>326</v>
      </c>
      <c r="C326" s="200">
        <v>273</v>
      </c>
      <c r="D326" s="200">
        <v>386</v>
      </c>
      <c r="E326" s="200">
        <v>373</v>
      </c>
      <c r="F326" s="200">
        <v>414</v>
      </c>
      <c r="G326" s="200">
        <v>403</v>
      </c>
      <c r="H326" s="200">
        <v>395</v>
      </c>
      <c r="I326" s="200">
        <v>154</v>
      </c>
      <c r="J326" s="200">
        <v>235</v>
      </c>
    </row>
    <row r="327" spans="1:10" x14ac:dyDescent="0.25">
      <c r="A327" s="200" t="s">
        <v>467</v>
      </c>
      <c r="B327" s="202" t="s">
        <v>327</v>
      </c>
      <c r="C327" s="200">
        <v>258</v>
      </c>
      <c r="D327" s="200">
        <v>216</v>
      </c>
      <c r="E327" s="200">
        <v>396</v>
      </c>
      <c r="F327" s="200">
        <v>327</v>
      </c>
      <c r="G327" s="200">
        <v>347</v>
      </c>
      <c r="H327" s="200">
        <v>330</v>
      </c>
      <c r="I327" s="200">
        <v>66</v>
      </c>
      <c r="J327" s="200">
        <v>225</v>
      </c>
    </row>
    <row r="328" spans="1:10" x14ac:dyDescent="0.25">
      <c r="A328" s="200" t="s">
        <v>467</v>
      </c>
      <c r="B328" s="202" t="s">
        <v>328</v>
      </c>
      <c r="C328" s="200">
        <v>184</v>
      </c>
      <c r="D328" s="200">
        <v>300</v>
      </c>
      <c r="E328" s="200">
        <v>202</v>
      </c>
      <c r="F328" s="200">
        <v>287</v>
      </c>
      <c r="G328" s="200">
        <v>334</v>
      </c>
      <c r="H328" s="200">
        <v>383</v>
      </c>
      <c r="I328" s="200">
        <v>54</v>
      </c>
      <c r="J328" s="200">
        <v>201</v>
      </c>
    </row>
    <row r="329" spans="1:10" x14ac:dyDescent="0.25">
      <c r="A329" s="200" t="s">
        <v>467</v>
      </c>
      <c r="B329" s="202" t="s">
        <v>329</v>
      </c>
      <c r="C329" s="200">
        <v>227</v>
      </c>
      <c r="D329" s="200">
        <v>396</v>
      </c>
      <c r="E329" s="200">
        <v>205</v>
      </c>
      <c r="F329" s="200">
        <v>348</v>
      </c>
      <c r="G329" s="200">
        <v>374</v>
      </c>
      <c r="H329" s="200">
        <v>330</v>
      </c>
      <c r="I329" s="200">
        <v>60</v>
      </c>
      <c r="J329" s="200">
        <v>206</v>
      </c>
    </row>
    <row r="330" spans="1:10" x14ac:dyDescent="0.25">
      <c r="A330" s="200" t="s">
        <v>467</v>
      </c>
      <c r="B330" s="202" t="s">
        <v>330</v>
      </c>
      <c r="C330" s="200">
        <v>234</v>
      </c>
      <c r="D330" s="200">
        <v>385</v>
      </c>
      <c r="E330" s="200">
        <v>291</v>
      </c>
      <c r="F330" s="200">
        <v>414</v>
      </c>
      <c r="G330" s="200">
        <v>364</v>
      </c>
      <c r="H330" s="200">
        <v>332</v>
      </c>
      <c r="I330" s="200">
        <v>70</v>
      </c>
      <c r="J330" s="200">
        <v>268</v>
      </c>
    </row>
    <row r="331" spans="1:10" x14ac:dyDescent="0.25">
      <c r="A331" s="200" t="s">
        <v>467</v>
      </c>
      <c r="B331" s="202" t="s">
        <v>331</v>
      </c>
      <c r="C331" s="200">
        <v>232</v>
      </c>
      <c r="D331" s="200">
        <v>401</v>
      </c>
      <c r="E331" s="200">
        <v>348</v>
      </c>
      <c r="F331" s="200">
        <v>363</v>
      </c>
      <c r="G331" s="200">
        <v>348</v>
      </c>
      <c r="H331" s="200">
        <v>324</v>
      </c>
      <c r="I331" s="200">
        <v>72</v>
      </c>
      <c r="J331" s="200">
        <v>341</v>
      </c>
    </row>
    <row r="332" spans="1:10" x14ac:dyDescent="0.25">
      <c r="A332" s="200" t="s">
        <v>467</v>
      </c>
      <c r="B332" s="202" t="s">
        <v>332</v>
      </c>
      <c r="C332" s="200">
        <v>291</v>
      </c>
      <c r="D332" s="200">
        <v>364</v>
      </c>
      <c r="E332" s="200">
        <v>237</v>
      </c>
      <c r="F332" s="200">
        <v>332</v>
      </c>
      <c r="G332" s="200">
        <v>350</v>
      </c>
      <c r="H332" s="200">
        <v>299</v>
      </c>
      <c r="I332" s="200">
        <v>194</v>
      </c>
      <c r="J332" s="200">
        <v>318</v>
      </c>
    </row>
    <row r="333" spans="1:10" x14ac:dyDescent="0.25">
      <c r="A333" s="200" t="s">
        <v>467</v>
      </c>
      <c r="B333" s="202" t="s">
        <v>333</v>
      </c>
      <c r="C333" s="200">
        <v>250</v>
      </c>
      <c r="D333" s="200">
        <v>353</v>
      </c>
      <c r="E333" s="200">
        <v>221</v>
      </c>
      <c r="F333" s="200">
        <v>332</v>
      </c>
      <c r="G333" s="200">
        <v>387</v>
      </c>
      <c r="H333" s="200">
        <v>172</v>
      </c>
      <c r="I333" s="200">
        <v>246</v>
      </c>
      <c r="J333" s="200">
        <v>232</v>
      </c>
    </row>
    <row r="334" spans="1:10" x14ac:dyDescent="0.25">
      <c r="A334" s="200" t="s">
        <v>467</v>
      </c>
      <c r="B334" s="202" t="s">
        <v>334</v>
      </c>
      <c r="C334" s="200">
        <v>290</v>
      </c>
      <c r="D334" s="200">
        <v>335</v>
      </c>
      <c r="E334" s="200">
        <v>277</v>
      </c>
      <c r="F334" s="200">
        <v>376</v>
      </c>
      <c r="G334" s="200">
        <v>383</v>
      </c>
      <c r="H334" s="200">
        <v>323</v>
      </c>
      <c r="I334" s="200">
        <v>156</v>
      </c>
      <c r="J334" s="200">
        <v>265</v>
      </c>
    </row>
    <row r="335" spans="1:10" x14ac:dyDescent="0.25">
      <c r="A335" s="200" t="s">
        <v>467</v>
      </c>
      <c r="B335" s="202" t="s">
        <v>335</v>
      </c>
      <c r="C335" s="200">
        <v>205</v>
      </c>
      <c r="D335" s="200">
        <v>357</v>
      </c>
      <c r="E335" s="200">
        <v>302</v>
      </c>
      <c r="F335" s="200">
        <v>415</v>
      </c>
      <c r="G335" s="200">
        <v>390</v>
      </c>
      <c r="H335" s="200">
        <v>381</v>
      </c>
      <c r="I335" s="200">
        <v>144</v>
      </c>
      <c r="J335" s="200">
        <v>282</v>
      </c>
    </row>
    <row r="336" spans="1:10" x14ac:dyDescent="0.25">
      <c r="A336" s="200" t="s">
        <v>467</v>
      </c>
      <c r="B336" s="202" t="s">
        <v>337</v>
      </c>
      <c r="C336" s="200">
        <v>203</v>
      </c>
      <c r="D336" s="200">
        <v>324</v>
      </c>
      <c r="E336" s="200">
        <v>321</v>
      </c>
      <c r="F336" s="200">
        <v>429</v>
      </c>
      <c r="G336" s="200">
        <v>346</v>
      </c>
      <c r="H336" s="200">
        <v>294</v>
      </c>
      <c r="I336" s="200">
        <v>161</v>
      </c>
      <c r="J336" s="200">
        <v>325</v>
      </c>
    </row>
    <row r="337" spans="1:10" x14ac:dyDescent="0.25">
      <c r="A337" s="200" t="s">
        <v>467</v>
      </c>
      <c r="B337" s="202" t="s">
        <v>339</v>
      </c>
      <c r="C337" s="200">
        <v>247</v>
      </c>
      <c r="D337" s="200">
        <v>329</v>
      </c>
      <c r="E337" s="200">
        <v>340</v>
      </c>
      <c r="F337" s="200">
        <v>349</v>
      </c>
      <c r="G337" s="200">
        <v>195</v>
      </c>
      <c r="H337" s="200">
        <v>281</v>
      </c>
      <c r="I337" s="200">
        <v>181</v>
      </c>
      <c r="J337" s="200">
        <v>334</v>
      </c>
    </row>
    <row r="338" spans="1:10" x14ac:dyDescent="0.25">
      <c r="A338" s="200" t="s">
        <v>467</v>
      </c>
      <c r="B338" s="202" t="s">
        <v>341</v>
      </c>
      <c r="C338" s="200">
        <v>293</v>
      </c>
      <c r="D338" s="200">
        <v>361</v>
      </c>
      <c r="E338" s="200">
        <v>255</v>
      </c>
      <c r="F338" s="200">
        <v>113</v>
      </c>
      <c r="G338" s="200">
        <v>190</v>
      </c>
      <c r="H338" s="200">
        <v>297</v>
      </c>
      <c r="I338" s="200">
        <v>195</v>
      </c>
      <c r="J338" s="200">
        <v>331</v>
      </c>
    </row>
    <row r="339" spans="1:10" x14ac:dyDescent="0.25">
      <c r="A339" s="200" t="s">
        <v>467</v>
      </c>
      <c r="B339" s="202" t="s">
        <v>343</v>
      </c>
      <c r="C339" s="200">
        <v>329</v>
      </c>
      <c r="D339" s="200">
        <v>376</v>
      </c>
      <c r="E339" s="200">
        <v>100</v>
      </c>
      <c r="F339" s="200">
        <v>128</v>
      </c>
      <c r="G339" s="200">
        <v>417</v>
      </c>
      <c r="H339" s="200">
        <v>330</v>
      </c>
      <c r="I339" s="200">
        <v>222</v>
      </c>
      <c r="J339" s="200">
        <v>300</v>
      </c>
    </row>
    <row r="340" spans="1:10" x14ac:dyDescent="0.25">
      <c r="A340" s="200" t="s">
        <v>467</v>
      </c>
      <c r="B340" s="202" t="s">
        <v>345</v>
      </c>
      <c r="C340" s="200">
        <v>332</v>
      </c>
      <c r="D340" s="200">
        <v>311</v>
      </c>
      <c r="E340" s="200">
        <v>121</v>
      </c>
      <c r="F340" s="200">
        <v>410</v>
      </c>
      <c r="G340" s="200">
        <v>401</v>
      </c>
      <c r="H340" s="200">
        <v>370</v>
      </c>
      <c r="I340" s="200">
        <v>188</v>
      </c>
      <c r="J340" s="200">
        <v>185</v>
      </c>
    </row>
    <row r="341" spans="1:10" x14ac:dyDescent="0.25">
      <c r="A341" s="200" t="s">
        <v>467</v>
      </c>
      <c r="B341" s="202" t="s">
        <v>346</v>
      </c>
      <c r="C341" s="200">
        <v>268</v>
      </c>
      <c r="D341" s="200">
        <v>171</v>
      </c>
      <c r="E341" s="200">
        <v>393</v>
      </c>
      <c r="F341" s="200">
        <v>419</v>
      </c>
      <c r="G341" s="200">
        <v>256</v>
      </c>
      <c r="H341" s="200">
        <v>384</v>
      </c>
      <c r="I341" s="200">
        <v>87</v>
      </c>
      <c r="J341" s="200">
        <v>195</v>
      </c>
    </row>
    <row r="342" spans="1:10" x14ac:dyDescent="0.25">
      <c r="A342" s="200" t="s">
        <v>467</v>
      </c>
      <c r="B342" s="202" t="s">
        <v>348</v>
      </c>
      <c r="C342" s="200">
        <v>209</v>
      </c>
      <c r="D342" s="200">
        <v>141</v>
      </c>
      <c r="E342" s="200">
        <v>406</v>
      </c>
      <c r="F342" s="200">
        <v>207</v>
      </c>
      <c r="G342" s="200">
        <v>273</v>
      </c>
      <c r="H342" s="200">
        <v>312</v>
      </c>
      <c r="I342" s="200">
        <v>97</v>
      </c>
      <c r="J342" s="200">
        <v>176</v>
      </c>
    </row>
    <row r="343" spans="1:10" x14ac:dyDescent="0.25">
      <c r="A343" s="200" t="s">
        <v>468</v>
      </c>
      <c r="B343" s="202" t="s">
        <v>312</v>
      </c>
      <c r="C343" s="200">
        <v>240</v>
      </c>
      <c r="D343" s="200">
        <v>304</v>
      </c>
      <c r="E343" s="200">
        <v>265</v>
      </c>
      <c r="F343" s="200">
        <v>296</v>
      </c>
      <c r="G343" s="200">
        <v>276</v>
      </c>
      <c r="H343" s="200">
        <v>208</v>
      </c>
      <c r="I343" s="200">
        <v>58</v>
      </c>
      <c r="J343" s="200">
        <v>165</v>
      </c>
    </row>
    <row r="344" spans="1:10" x14ac:dyDescent="0.25">
      <c r="A344" s="200" t="s">
        <v>468</v>
      </c>
      <c r="B344" s="202" t="s">
        <v>314</v>
      </c>
      <c r="C344" s="200">
        <v>286</v>
      </c>
      <c r="D344" s="200">
        <v>339</v>
      </c>
      <c r="E344" s="200">
        <v>356</v>
      </c>
      <c r="F344" s="200">
        <v>301</v>
      </c>
      <c r="G344" s="200">
        <v>151</v>
      </c>
      <c r="H344" s="200">
        <v>229</v>
      </c>
      <c r="I344" s="200">
        <v>67</v>
      </c>
      <c r="J344" s="200">
        <v>111</v>
      </c>
    </row>
    <row r="345" spans="1:10" x14ac:dyDescent="0.25">
      <c r="A345" s="200" t="s">
        <v>468</v>
      </c>
      <c r="B345" s="202" t="s">
        <v>315</v>
      </c>
      <c r="C345" s="200">
        <v>310</v>
      </c>
      <c r="D345" s="200">
        <v>394</v>
      </c>
      <c r="E345" s="200">
        <v>346</v>
      </c>
      <c r="F345" s="200">
        <v>236</v>
      </c>
      <c r="G345" s="200">
        <v>194</v>
      </c>
      <c r="H345" s="200">
        <v>230</v>
      </c>
      <c r="I345" s="200">
        <v>89</v>
      </c>
      <c r="J345" s="200">
        <v>187</v>
      </c>
    </row>
    <row r="346" spans="1:10" x14ac:dyDescent="0.25">
      <c r="A346" s="200" t="s">
        <v>468</v>
      </c>
      <c r="B346" s="202" t="s">
        <v>316</v>
      </c>
      <c r="C346" s="200">
        <v>357</v>
      </c>
      <c r="D346" s="200">
        <v>376</v>
      </c>
      <c r="E346" s="200">
        <v>172</v>
      </c>
      <c r="F346" s="200">
        <v>248</v>
      </c>
      <c r="G346" s="200">
        <v>243</v>
      </c>
      <c r="H346" s="200">
        <v>302</v>
      </c>
      <c r="I346" s="200">
        <v>157</v>
      </c>
      <c r="J346" s="200">
        <v>210</v>
      </c>
    </row>
    <row r="347" spans="1:10" x14ac:dyDescent="0.25">
      <c r="A347" s="200" t="s">
        <v>468</v>
      </c>
      <c r="B347" s="202" t="s">
        <v>317</v>
      </c>
      <c r="C347" s="200">
        <v>306</v>
      </c>
      <c r="D347" s="200">
        <v>390</v>
      </c>
      <c r="E347" s="200">
        <v>291</v>
      </c>
      <c r="F347" s="200">
        <v>277</v>
      </c>
      <c r="G347" s="200">
        <v>299</v>
      </c>
      <c r="H347" s="200">
        <v>358</v>
      </c>
      <c r="I347" s="200">
        <v>192</v>
      </c>
      <c r="J347" s="200">
        <v>253</v>
      </c>
    </row>
    <row r="348" spans="1:10" x14ac:dyDescent="0.25">
      <c r="A348" s="200" t="s">
        <v>468</v>
      </c>
      <c r="B348" s="202" t="s">
        <v>318</v>
      </c>
      <c r="C348" s="200">
        <v>353</v>
      </c>
      <c r="D348" s="200">
        <v>386</v>
      </c>
      <c r="E348" s="200">
        <v>289</v>
      </c>
      <c r="F348" s="200">
        <v>261</v>
      </c>
      <c r="G348" s="200">
        <v>370</v>
      </c>
      <c r="H348" s="200">
        <v>383</v>
      </c>
      <c r="I348" s="200">
        <v>81</v>
      </c>
      <c r="J348" s="200">
        <v>231</v>
      </c>
    </row>
    <row r="349" spans="1:10" x14ac:dyDescent="0.25">
      <c r="A349" s="200" t="s">
        <v>468</v>
      </c>
      <c r="B349" s="202" t="s">
        <v>319</v>
      </c>
      <c r="C349" s="200">
        <v>256</v>
      </c>
      <c r="D349" s="200">
        <v>235</v>
      </c>
      <c r="E349" s="200">
        <v>180</v>
      </c>
      <c r="F349" s="200">
        <v>383</v>
      </c>
      <c r="G349" s="200">
        <v>392</v>
      </c>
      <c r="H349" s="200">
        <v>408</v>
      </c>
      <c r="I349" s="200">
        <v>59</v>
      </c>
      <c r="J349" s="200">
        <v>234</v>
      </c>
    </row>
    <row r="350" spans="1:10" x14ac:dyDescent="0.25">
      <c r="A350" s="200" t="s">
        <v>468</v>
      </c>
      <c r="B350" s="202" t="s">
        <v>320</v>
      </c>
      <c r="C350" s="200">
        <v>256</v>
      </c>
      <c r="D350" s="200">
        <v>165</v>
      </c>
      <c r="E350" s="200">
        <v>216</v>
      </c>
      <c r="F350" s="200">
        <v>344</v>
      </c>
      <c r="G350" s="200">
        <v>257</v>
      </c>
      <c r="H350" s="200">
        <v>254</v>
      </c>
      <c r="I350" s="200">
        <v>45</v>
      </c>
      <c r="J350" s="200">
        <v>181</v>
      </c>
    </row>
    <row r="351" spans="1:10" x14ac:dyDescent="0.25">
      <c r="A351" s="200" t="s">
        <v>468</v>
      </c>
      <c r="B351" s="202" t="s">
        <v>321</v>
      </c>
      <c r="C351" s="200">
        <v>258</v>
      </c>
      <c r="D351" s="200">
        <v>162</v>
      </c>
      <c r="E351" s="200">
        <v>261</v>
      </c>
      <c r="F351" s="200">
        <v>389</v>
      </c>
      <c r="G351" s="200">
        <v>158</v>
      </c>
      <c r="H351" s="200">
        <v>222</v>
      </c>
      <c r="I351" s="200">
        <v>43</v>
      </c>
      <c r="J351" s="200">
        <v>249</v>
      </c>
    </row>
    <row r="352" spans="1:10" x14ac:dyDescent="0.25">
      <c r="A352" s="200" t="s">
        <v>468</v>
      </c>
      <c r="B352" s="202" t="s">
        <v>322</v>
      </c>
      <c r="C352" s="200">
        <v>172</v>
      </c>
      <c r="D352" s="200">
        <v>206</v>
      </c>
      <c r="E352" s="200">
        <v>322</v>
      </c>
      <c r="F352" s="200">
        <v>198</v>
      </c>
      <c r="G352" s="200">
        <v>147</v>
      </c>
      <c r="H352" s="200">
        <v>195</v>
      </c>
      <c r="I352" s="200">
        <v>66</v>
      </c>
      <c r="J352" s="200">
        <v>282</v>
      </c>
    </row>
    <row r="353" spans="1:10" x14ac:dyDescent="0.25">
      <c r="A353" s="200" t="s">
        <v>468</v>
      </c>
      <c r="B353" s="202" t="s">
        <v>323</v>
      </c>
      <c r="C353" s="200">
        <v>190</v>
      </c>
      <c r="D353" s="200">
        <v>281</v>
      </c>
      <c r="E353" s="200">
        <v>193</v>
      </c>
      <c r="F353" s="200">
        <v>170</v>
      </c>
      <c r="G353" s="200">
        <v>151</v>
      </c>
      <c r="H353" s="200">
        <v>181</v>
      </c>
      <c r="I353" s="200">
        <v>112</v>
      </c>
      <c r="J353" s="200">
        <v>287</v>
      </c>
    </row>
    <row r="354" spans="1:10" x14ac:dyDescent="0.25">
      <c r="A354" s="200" t="s">
        <v>468</v>
      </c>
      <c r="B354" s="202" t="s">
        <v>324</v>
      </c>
      <c r="C354" s="200">
        <v>267</v>
      </c>
      <c r="D354" s="200">
        <v>327</v>
      </c>
      <c r="E354" s="200">
        <v>309</v>
      </c>
      <c r="F354" s="200">
        <v>170</v>
      </c>
      <c r="G354" s="200">
        <v>178</v>
      </c>
      <c r="H354" s="200">
        <v>234</v>
      </c>
      <c r="I354" s="200">
        <v>112</v>
      </c>
      <c r="J354" s="200">
        <v>235</v>
      </c>
    </row>
    <row r="355" spans="1:10" x14ac:dyDescent="0.25">
      <c r="A355" s="200" t="s">
        <v>468</v>
      </c>
      <c r="B355" s="202" t="s">
        <v>325</v>
      </c>
      <c r="C355" s="200">
        <v>345</v>
      </c>
      <c r="D355" s="200">
        <v>138</v>
      </c>
      <c r="E355" s="200">
        <v>331</v>
      </c>
      <c r="F355" s="200">
        <v>236</v>
      </c>
      <c r="G355" s="200">
        <v>219</v>
      </c>
      <c r="H355" s="200">
        <v>310</v>
      </c>
      <c r="I355" s="200">
        <v>65</v>
      </c>
      <c r="J355" s="200">
        <v>221</v>
      </c>
    </row>
    <row r="356" spans="1:10" x14ac:dyDescent="0.25">
      <c r="A356" s="200" t="s">
        <v>468</v>
      </c>
      <c r="B356" s="202" t="s">
        <v>326</v>
      </c>
      <c r="C356" s="200">
        <v>207</v>
      </c>
      <c r="D356" s="200">
        <v>132</v>
      </c>
      <c r="E356" s="200">
        <v>299</v>
      </c>
      <c r="F356" s="200">
        <v>307</v>
      </c>
      <c r="G356" s="200">
        <v>330</v>
      </c>
      <c r="H356" s="200">
        <v>331</v>
      </c>
      <c r="I356" s="200">
        <v>56</v>
      </c>
      <c r="J356" s="200">
        <v>231</v>
      </c>
    </row>
    <row r="357" spans="1:10" x14ac:dyDescent="0.25">
      <c r="A357" s="200" t="s">
        <v>468</v>
      </c>
      <c r="B357" s="202" t="s">
        <v>327</v>
      </c>
      <c r="C357" s="200">
        <v>124</v>
      </c>
      <c r="D357" s="200">
        <v>156</v>
      </c>
      <c r="E357" s="200">
        <v>186</v>
      </c>
      <c r="F357" s="200">
        <v>351</v>
      </c>
      <c r="G357" s="200">
        <v>363</v>
      </c>
      <c r="H357" s="200">
        <v>202</v>
      </c>
      <c r="I357" s="200">
        <v>52</v>
      </c>
      <c r="J357" s="200">
        <v>191</v>
      </c>
    </row>
    <row r="358" spans="1:10" x14ac:dyDescent="0.25">
      <c r="A358" s="200" t="s">
        <v>468</v>
      </c>
      <c r="B358" s="202" t="s">
        <v>328</v>
      </c>
      <c r="C358" s="200">
        <v>103</v>
      </c>
      <c r="D358" s="200">
        <v>173</v>
      </c>
      <c r="E358" s="200">
        <v>234</v>
      </c>
      <c r="F358" s="200">
        <v>364</v>
      </c>
      <c r="G358" s="200">
        <v>238</v>
      </c>
      <c r="H358" s="200">
        <v>212</v>
      </c>
      <c r="I358" s="200">
        <v>47</v>
      </c>
      <c r="J358" s="200">
        <v>183</v>
      </c>
    </row>
    <row r="359" spans="1:10" x14ac:dyDescent="0.25">
      <c r="A359" s="200" t="s">
        <v>468</v>
      </c>
      <c r="B359" s="202" t="s">
        <v>329</v>
      </c>
      <c r="C359" s="200">
        <v>87</v>
      </c>
      <c r="D359" s="200">
        <v>207</v>
      </c>
      <c r="E359" s="200">
        <v>302</v>
      </c>
      <c r="F359" s="200">
        <v>267</v>
      </c>
      <c r="G359" s="200">
        <v>203</v>
      </c>
      <c r="H359" s="200">
        <v>141</v>
      </c>
      <c r="I359" s="200">
        <v>66</v>
      </c>
      <c r="J359" s="200">
        <v>225</v>
      </c>
    </row>
    <row r="360" spans="1:10" x14ac:dyDescent="0.25">
      <c r="A360" s="200" t="s">
        <v>468</v>
      </c>
      <c r="B360" s="202" t="s">
        <v>330</v>
      </c>
      <c r="C360" s="200">
        <v>118</v>
      </c>
      <c r="D360" s="200">
        <v>281</v>
      </c>
      <c r="E360" s="200">
        <v>247</v>
      </c>
      <c r="F360" s="200">
        <v>263</v>
      </c>
      <c r="G360" s="200">
        <v>195</v>
      </c>
      <c r="H360" s="200">
        <v>154</v>
      </c>
      <c r="I360" s="200">
        <v>122</v>
      </c>
      <c r="J360" s="200">
        <v>264</v>
      </c>
    </row>
    <row r="361" spans="1:10" x14ac:dyDescent="0.25">
      <c r="A361" s="200" t="s">
        <v>468</v>
      </c>
      <c r="B361" s="202" t="s">
        <v>331</v>
      </c>
      <c r="C361" s="200">
        <v>157</v>
      </c>
      <c r="D361" s="200">
        <v>335</v>
      </c>
      <c r="E361" s="200">
        <v>239</v>
      </c>
      <c r="F361" s="200">
        <v>284</v>
      </c>
      <c r="G361" s="200">
        <v>206</v>
      </c>
      <c r="H361" s="200">
        <v>239</v>
      </c>
      <c r="I361" s="200">
        <v>173</v>
      </c>
      <c r="J361" s="200">
        <v>165</v>
      </c>
    </row>
    <row r="362" spans="1:10" x14ac:dyDescent="0.25">
      <c r="A362" s="200" t="s">
        <v>468</v>
      </c>
      <c r="B362" s="202" t="s">
        <v>332</v>
      </c>
      <c r="C362" s="200">
        <v>172</v>
      </c>
      <c r="D362" s="200">
        <v>310</v>
      </c>
      <c r="E362" s="200">
        <v>257</v>
      </c>
      <c r="F362" s="200">
        <v>290</v>
      </c>
      <c r="G362" s="200">
        <v>251</v>
      </c>
      <c r="H362" s="200">
        <v>352</v>
      </c>
      <c r="I362" s="200">
        <v>166</v>
      </c>
      <c r="J362" s="200">
        <v>166</v>
      </c>
    </row>
    <row r="363" spans="1:10" x14ac:dyDescent="0.25">
      <c r="A363" s="200" t="s">
        <v>468</v>
      </c>
      <c r="B363" s="202" t="s">
        <v>333</v>
      </c>
      <c r="C363" s="200">
        <v>177</v>
      </c>
      <c r="D363" s="200">
        <v>263</v>
      </c>
      <c r="E363" s="200">
        <v>258</v>
      </c>
      <c r="F363" s="200">
        <v>324</v>
      </c>
      <c r="G363" s="200">
        <v>266</v>
      </c>
      <c r="H363" s="200">
        <v>370</v>
      </c>
      <c r="I363" s="200">
        <v>168</v>
      </c>
      <c r="J363" s="200">
        <v>166</v>
      </c>
    </row>
    <row r="364" spans="1:10" x14ac:dyDescent="0.25">
      <c r="A364" s="200" t="s">
        <v>468</v>
      </c>
      <c r="B364" s="202" t="s">
        <v>334</v>
      </c>
      <c r="C364" s="200">
        <v>177</v>
      </c>
      <c r="D364" s="200">
        <v>234</v>
      </c>
      <c r="E364" s="200">
        <v>216</v>
      </c>
      <c r="F364" s="200">
        <v>342</v>
      </c>
      <c r="G364" s="200">
        <v>279</v>
      </c>
      <c r="H364" s="200">
        <v>343</v>
      </c>
      <c r="I364" s="200">
        <v>160</v>
      </c>
      <c r="J364" s="200">
        <v>170</v>
      </c>
    </row>
    <row r="365" spans="1:10" x14ac:dyDescent="0.25">
      <c r="A365" s="200" t="s">
        <v>468</v>
      </c>
      <c r="B365" s="202" t="s">
        <v>335</v>
      </c>
      <c r="C365" s="200">
        <v>152</v>
      </c>
      <c r="D365" s="200">
        <v>216</v>
      </c>
      <c r="E365" s="200">
        <v>224</v>
      </c>
      <c r="F365" s="200">
        <v>334</v>
      </c>
      <c r="G365" s="200">
        <v>292</v>
      </c>
      <c r="H365" s="200">
        <v>309</v>
      </c>
      <c r="I365" s="200">
        <v>166</v>
      </c>
      <c r="J365" s="200">
        <v>196</v>
      </c>
    </row>
    <row r="366" spans="1:10" x14ac:dyDescent="0.25">
      <c r="A366" s="200" t="s">
        <v>468</v>
      </c>
      <c r="B366" s="202" t="s">
        <v>337</v>
      </c>
      <c r="C366" s="200">
        <v>146</v>
      </c>
      <c r="D366" s="200">
        <v>200</v>
      </c>
      <c r="E366" s="200">
        <v>226</v>
      </c>
      <c r="F366" s="200">
        <v>333</v>
      </c>
      <c r="G366" s="200">
        <v>291</v>
      </c>
      <c r="H366" s="200">
        <v>290</v>
      </c>
      <c r="I366" s="200">
        <v>172</v>
      </c>
      <c r="J366" s="200">
        <v>270</v>
      </c>
    </row>
    <row r="367" spans="1:10" x14ac:dyDescent="0.25">
      <c r="A367" s="200" t="s">
        <v>468</v>
      </c>
      <c r="B367" s="202" t="s">
        <v>339</v>
      </c>
      <c r="C367" s="200">
        <v>152</v>
      </c>
      <c r="D367" s="200">
        <v>207</v>
      </c>
      <c r="E367" s="200">
        <v>213</v>
      </c>
      <c r="F367" s="200">
        <v>335</v>
      </c>
      <c r="G367" s="200">
        <v>288</v>
      </c>
      <c r="H367" s="200">
        <v>294</v>
      </c>
      <c r="I367" s="200">
        <v>194</v>
      </c>
      <c r="J367" s="200">
        <v>268</v>
      </c>
    </row>
    <row r="368" spans="1:10" x14ac:dyDescent="0.25">
      <c r="A368" s="200" t="s">
        <v>468</v>
      </c>
      <c r="B368" s="202" t="s">
        <v>341</v>
      </c>
      <c r="C368" s="200">
        <v>183</v>
      </c>
      <c r="D368" s="200">
        <v>256</v>
      </c>
      <c r="E368" s="200">
        <v>247</v>
      </c>
      <c r="F368" s="200">
        <v>372</v>
      </c>
      <c r="G368" s="200">
        <v>390</v>
      </c>
      <c r="H368" s="200">
        <v>327</v>
      </c>
      <c r="I368" s="200">
        <v>203</v>
      </c>
      <c r="J368" s="200">
        <v>329</v>
      </c>
    </row>
    <row r="369" spans="1:10" x14ac:dyDescent="0.25">
      <c r="A369" s="200" t="s">
        <v>468</v>
      </c>
      <c r="B369" s="202" t="s">
        <v>343</v>
      </c>
      <c r="C369" s="200">
        <v>220</v>
      </c>
      <c r="D369" s="200">
        <v>308</v>
      </c>
      <c r="E369" s="200">
        <v>289</v>
      </c>
      <c r="F369" s="200">
        <v>415</v>
      </c>
      <c r="G369" s="200">
        <v>427</v>
      </c>
      <c r="H369" s="200">
        <v>394</v>
      </c>
      <c r="I369" s="200">
        <v>213</v>
      </c>
      <c r="J369" s="200">
        <v>356</v>
      </c>
    </row>
    <row r="370" spans="1:10" x14ac:dyDescent="0.25">
      <c r="A370" s="200" t="s">
        <v>468</v>
      </c>
      <c r="B370" s="202" t="s">
        <v>345</v>
      </c>
      <c r="C370" s="200">
        <v>257</v>
      </c>
      <c r="D370" s="200">
        <v>353</v>
      </c>
      <c r="E370" s="200">
        <v>360</v>
      </c>
      <c r="F370" s="200">
        <v>430</v>
      </c>
      <c r="G370" s="200">
        <v>430</v>
      </c>
      <c r="H370" s="200">
        <v>412</v>
      </c>
      <c r="I370" s="200">
        <v>263</v>
      </c>
      <c r="J370" s="200">
        <v>356</v>
      </c>
    </row>
    <row r="371" spans="1:10" x14ac:dyDescent="0.25">
      <c r="A371" s="200" t="s">
        <v>468</v>
      </c>
      <c r="B371" s="202" t="s">
        <v>346</v>
      </c>
      <c r="C371" s="200">
        <v>284</v>
      </c>
      <c r="D371" s="200">
        <v>365</v>
      </c>
      <c r="E371" s="200">
        <v>413</v>
      </c>
      <c r="F371" s="200">
        <v>439</v>
      </c>
      <c r="G371" s="200">
        <v>442</v>
      </c>
      <c r="H371" s="200">
        <v>397</v>
      </c>
      <c r="I371" s="200">
        <v>267</v>
      </c>
      <c r="J371" s="200">
        <v>355</v>
      </c>
    </row>
    <row r="372" spans="1:10" x14ac:dyDescent="0.25">
      <c r="A372" s="200" t="s">
        <v>468</v>
      </c>
      <c r="B372" s="202" t="s">
        <v>348</v>
      </c>
      <c r="C372" s="200">
        <v>286</v>
      </c>
      <c r="D372" s="200">
        <v>386</v>
      </c>
      <c r="E372" s="200">
        <v>394</v>
      </c>
      <c r="F372" s="200">
        <v>440</v>
      </c>
      <c r="G372" s="200">
        <v>433</v>
      </c>
      <c r="H372" s="200">
        <v>378</v>
      </c>
      <c r="I372" s="200">
        <v>293</v>
      </c>
      <c r="J372" s="200">
        <v>359</v>
      </c>
    </row>
    <row r="373" spans="1:10" x14ac:dyDescent="0.25">
      <c r="A373" s="200" t="s">
        <v>468</v>
      </c>
      <c r="B373" s="202" t="s">
        <v>349</v>
      </c>
      <c r="C373" s="200">
        <v>271</v>
      </c>
      <c r="D373" s="200">
        <v>414</v>
      </c>
      <c r="E373" s="200">
        <v>398</v>
      </c>
      <c r="F373" s="200">
        <v>441</v>
      </c>
      <c r="G373" s="200">
        <v>441</v>
      </c>
      <c r="H373" s="200">
        <v>402</v>
      </c>
      <c r="I373" s="200">
        <v>309</v>
      </c>
      <c r="J373" s="200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2021-09-13T17:43:19Z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