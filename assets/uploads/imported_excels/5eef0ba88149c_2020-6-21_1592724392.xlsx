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3" i="3"/>
  <c r="E24" i="3"/>
  <c r="E25" i="3"/>
  <c r="E26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E21" i="3" s="1"/>
  <c r="J22" i="6"/>
  <c r="E22" i="3" s="1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0" i="3" l="1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<sst xmlns="http://schemas.openxmlformats.org/spreadsheetml/2006/main" count="296" uniqueCount="138">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</sst>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3800.0000000005903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17.899999999999999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3709.9999999997844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29.7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3970.000000000231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26.9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 t="e">
        <f>Submetering!E22+Submetering!F22+Submetering!G22+Submetering!H22+Submetering!J22-Submetering!AV22</f>
        <v>#VALUE!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7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0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0.12000000000000455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600.00000000015598</v>
      </c>
      <c r="F19" s="33">
        <f>'FS Desroches Daily'!F21</f>
        <v>500.00000000016701</v>
      </c>
      <c r="G19" s="32">
        <f>'FS Desroches Daily'!H21</f>
        <v>1600.0000000002678</v>
      </c>
      <c r="H19" s="33">
        <f>'FS Desroches Daily'!J21</f>
        <v>899.99999999990087</v>
      </c>
      <c r="I19" s="32">
        <f>'FS Desroches Daily'!L21</f>
        <v>1900.0000000000127</v>
      </c>
      <c r="J19" s="33">
        <f>'FS Desroches Daily'!N21</f>
        <v>500.00000000016701</v>
      </c>
      <c r="K19" s="13">
        <f>'FS Desroches Daily'!P21</f>
        <v>0</v>
      </c>
      <c r="L19" s="32">
        <f>'FS Desroches Daily'!R21</f>
        <v>4</v>
      </c>
      <c r="M19" s="32">
        <f>'FS Desroches Daily'!T21</f>
        <v>171</v>
      </c>
      <c r="N19" s="32">
        <f>'FS Desroches Daily'!V21</f>
        <v>139</v>
      </c>
      <c r="O19" s="32">
        <f>'FS Desroches Daily'!X21</f>
        <v>69.999999999993179</v>
      </c>
      <c r="P19" s="32">
        <f>'FS Desroches Daily'!Z21</f>
        <v>399.99999999995595</v>
      </c>
      <c r="Q19" s="32">
        <f>'FS Desroches Daily'!AB21</f>
        <v>69.999999999993179</v>
      </c>
      <c r="R19" s="32">
        <f>'FS Desroches Daily'!AD21</f>
        <v>110.00000000001364</v>
      </c>
      <c r="S19" s="32">
        <f>'FS Desroches Daily'!AF21</f>
        <v>129.99999999999545</v>
      </c>
      <c r="T19" s="32">
        <f>'FS Desroches Daily'!AH21</f>
        <v>1.1000000000001364</v>
      </c>
      <c r="U19" s="36">
        <f>'FS Desroches Daily'!AJ21</f>
        <v>269.99999999998181</v>
      </c>
      <c r="V19" s="36">
        <f>'FS Desroches Daily'!AL21</f>
        <v>3.0000000000001137E-2</v>
      </c>
      <c r="W19" s="36">
        <f>'FS Desroches Daily'!AN21</f>
        <v>3.0000000000001137E-2</v>
      </c>
      <c r="X19" s="36">
        <f>'FS Desroches Daily'!AP21</f>
        <v>0.20000000000001705</v>
      </c>
      <c r="Y19" s="36">
        <f>'FS Desroches Daily'!AR21</f>
        <v>20.000000000010232</v>
      </c>
      <c r="Z19" s="36">
        <f>'FS Desroches Daily'!AT21</f>
        <v>19.99999999998181</v>
      </c>
      <c r="AA19" s="36">
        <f>'FS Desroches Daily'!AT21</f>
        <v>19.99999999998181</v>
      </c>
      <c r="AB19" s="36">
        <f>'FS Desroches Daily'!AV21</f>
        <v>19.99999999998181</v>
      </c>
      <c r="AC19" s="36">
        <f>'FS Desroches Daily'!AZ21</f>
        <v>20.000000000038654</v>
      </c>
      <c r="AD19" s="36">
        <f>'FS Desroches Daily'!BB21</f>
        <v>9.9999999999909051</v>
      </c>
      <c r="AE19" s="36">
        <f>'FS Desroches Daily'!BD21</f>
        <v>9.9999999999909051</v>
      </c>
      <c r="AF19" s="32">
        <f>'FS Desroches Daily'!BF21</f>
        <v>24</v>
      </c>
      <c r="AG19" s="33">
        <f>'FS Desroches Daily'!BH21</f>
        <v>10.000000000019327</v>
      </c>
      <c r="AH19" s="33">
        <f>'FS Desroches Daily'!BJ21</f>
        <v>30.000000000029559</v>
      </c>
      <c r="AI19" s="33">
        <f>'FS Desroches Daily'!BL21</f>
        <v>20.000000000010232</v>
      </c>
      <c r="AJ19" s="33">
        <f>'FS Desroches Daily'!BN21</f>
        <v>29.999999999972715</v>
      </c>
      <c r="AK19" s="33">
        <f>'FS Desroches Daily'!BP21</f>
        <v>40.000000000020464</v>
      </c>
      <c r="AL19" s="33">
        <f>'FS Desroches Daily'!BR21</f>
        <v>12</v>
      </c>
      <c r="AM19" s="33">
        <f>'FS Desroches Daily'!BT21</f>
        <v>19.99999999998181</v>
      </c>
      <c r="AN19" s="33">
        <f>'FS Desroches Daily'!BV21</f>
        <v>19</v>
      </c>
      <c r="AO19" s="33">
        <f>'FS Desroches Daily'!BX21</f>
        <v>19.99999999998181</v>
      </c>
      <c r="AP19" s="33">
        <f>'FS Desroches Daily'!BZ21</f>
        <v>27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53.400000000001455</v>
      </c>
      <c r="AU19" s="32">
        <f>'FS Desroches Daily'!CJ21</f>
        <v>210</v>
      </c>
      <c r="AV19" s="32">
        <f>'FS Desroches Daily'!CL21</f>
        <v>300.00000000006821</v>
      </c>
      <c r="AW19" s="32">
        <f>'FS Desroches Daily'!CM21</f>
        <v>17.899999999999999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699.99999999992292</v>
      </c>
      <c r="F20" s="33">
        <f>'FS Desroches Daily'!F22</f>
        <v>599.99999999993395</v>
      </c>
      <c r="G20" s="32">
        <f>'FS Desroches Daily'!H22</f>
        <v>1500.0000000000568</v>
      </c>
      <c r="H20" s="33">
        <f>'FS Desroches Daily'!J22</f>
        <v>899.99999999990087</v>
      </c>
      <c r="I20" s="32">
        <f>'FS Desroches Daily'!L22</f>
        <v>2099.9999999999909</v>
      </c>
      <c r="J20" s="33">
        <f>'FS Desroches Daily'!N22</f>
        <v>399.99999999995595</v>
      </c>
      <c r="K20" s="13">
        <f>'FS Desroches Daily'!P22</f>
        <v>0</v>
      </c>
      <c r="L20" s="32">
        <f>'FS Desroches Daily'!R22</f>
        <v>4</v>
      </c>
      <c r="M20" s="32">
        <f>'FS Desroches Daily'!T22</f>
        <v>209.40000000002328</v>
      </c>
      <c r="N20" s="32">
        <f>'FS Desroches Daily'!V22</f>
        <v>82</v>
      </c>
      <c r="O20" s="32">
        <f>'FS Desroches Daily'!X22</f>
        <v>79.999999999984084</v>
      </c>
      <c r="P20" s="32">
        <f>'FS Desroches Daily'!Z22</f>
        <v>399.99999999995595</v>
      </c>
      <c r="Q20" s="32">
        <f>'FS Desroches Daily'!AB22</f>
        <v>69.999999999993179</v>
      </c>
      <c r="R20" s="32">
        <f>'FS Desroches Daily'!AD22</f>
        <v>110.00000000001364</v>
      </c>
      <c r="S20" s="32">
        <f>'FS Desroches Daily'!AF22</f>
        <v>199.99999999998863</v>
      </c>
      <c r="T20" s="32">
        <f>'FS Desroches Daily'!AH22</f>
        <v>1.2999999999999545</v>
      </c>
      <c r="U20" s="36">
        <f>'FS Desroches Daily'!AJ22</f>
        <v>220.00000000002728</v>
      </c>
      <c r="V20" s="36">
        <f>'FS Desroches Daily'!AL22</f>
        <v>3.0000000000001137E-2</v>
      </c>
      <c r="W20" s="36">
        <f>'FS Desroches Daily'!AN22</f>
        <v>3.0000000000001137E-2</v>
      </c>
      <c r="X20" s="36">
        <f>'FS Desroches Daily'!AP22</f>
        <v>0.29999999999998295</v>
      </c>
      <c r="Y20" s="36">
        <f>'FS Desroches Daily'!AR22</f>
        <v>30.000000000001137</v>
      </c>
      <c r="Z20" s="36">
        <f>'FS Desroches Daily'!AT22</f>
        <v>30.000000000029559</v>
      </c>
      <c r="AA20" s="36">
        <f>'FS Desroches Daily'!AT22</f>
        <v>30.000000000029559</v>
      </c>
      <c r="AB20" s="36">
        <f>'FS Desroches Daily'!AV22</f>
        <v>20.000000000038654</v>
      </c>
      <c r="AC20" s="36">
        <f>'FS Desroches Daily'!AZ22</f>
        <v>29.999999999972715</v>
      </c>
      <c r="AD20" s="36">
        <f>'FS Desroches Daily'!BB22</f>
        <v>19.99999999998181</v>
      </c>
      <c r="AE20" s="36">
        <f>'FS Desroches Daily'!BD22</f>
        <v>20.000000000010232</v>
      </c>
      <c r="AF20" s="32">
        <f>'FS Desroches Daily'!BF22</f>
        <v>22</v>
      </c>
      <c r="AG20" s="33">
        <f>'FS Desroches Daily'!BH22</f>
        <v>19.99999999998181</v>
      </c>
      <c r="AH20" s="33">
        <f>'FS Desroches Daily'!BJ22</f>
        <v>19.99999999998181</v>
      </c>
      <c r="AI20" s="33">
        <f>'FS Desroches Daily'!BL22</f>
        <v>9.9999999999909051</v>
      </c>
      <c r="AJ20" s="33">
        <f>'FS Desroches Daily'!BN22</f>
        <v>20.000000000010232</v>
      </c>
      <c r="AK20" s="33">
        <f>'FS Desroches Daily'!BP22</f>
        <v>30.000000000029559</v>
      </c>
      <c r="AL20" s="33">
        <f>'FS Desroches Daily'!BR22</f>
        <v>10</v>
      </c>
      <c r="AM20" s="33">
        <f>'FS Desroches Daily'!BT22</f>
        <v>10.000000000019327</v>
      </c>
      <c r="AN20" s="33">
        <f>'FS Desroches Daily'!BV22</f>
        <v>18</v>
      </c>
      <c r="AO20" s="33">
        <f>'FS Desroches Daily'!BX22</f>
        <v>9.9999999999909051</v>
      </c>
      <c r="AP20" s="33">
        <f>'FS Desroches Daily'!BZ22</f>
        <v>27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58.69999999999709</v>
      </c>
      <c r="AU20" s="32">
        <f>'FS Desroches Daily'!CJ22</f>
        <v>200</v>
      </c>
      <c r="AV20" s="32">
        <f>'FS Desroches Daily'!CL22</f>
        <v>389.99999999998636</v>
      </c>
      <c r="AW20" s="32">
        <f>'FS Desroches Daily'!CM22</f>
        <v>29.7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699.99999999992292</v>
      </c>
      <c r="F21" s="33">
        <f>'FS Desroches Daily'!F23</f>
        <v>500.00000000016701</v>
      </c>
      <c r="G21" s="32">
        <f>'FS Desroches Daily'!H23</f>
        <v>1700.0000000000348</v>
      </c>
      <c r="H21" s="33">
        <f>'FS Desroches Daily'!J23</f>
        <v>1000.0000000001119</v>
      </c>
      <c r="I21" s="32">
        <f>'FS Desroches Daily'!L23</f>
        <v>2099.9999999999909</v>
      </c>
      <c r="J21" s="33">
        <f>'FS Desroches Daily'!N23</f>
        <v>499.99999999994492</v>
      </c>
      <c r="K21" s="13">
        <f>'FS Desroches Daily'!P23</f>
        <v>0</v>
      </c>
      <c r="L21" s="32">
        <f>'FS Desroches Daily'!R23</f>
        <v>4</v>
      </c>
      <c r="M21" s="32">
        <f>'FS Desroches Daily'!T23</f>
        <v>150.59999999997672</v>
      </c>
      <c r="N21" s="32">
        <f>'FS Desroches Daily'!V23</f>
        <v>105</v>
      </c>
      <c r="O21" s="32">
        <f>'FS Desroches Daily'!X23</f>
        <v>80.000000000040927</v>
      </c>
      <c r="P21" s="32">
        <f>'FS Desroches Daily'!Z23</f>
        <v>300.000000000189</v>
      </c>
      <c r="Q21" s="32">
        <f>'FS Desroches Daily'!AB23</f>
        <v>69.999999999993179</v>
      </c>
      <c r="R21" s="32">
        <f>'FS Desroches Daily'!AD23</f>
        <v>109.9999999999568</v>
      </c>
      <c r="S21" s="32">
        <f>'FS Desroches Daily'!AF23</f>
        <v>180.00000000000682</v>
      </c>
      <c r="T21" s="32">
        <f>'FS Desroches Daily'!AH23</f>
        <v>1.2000000000000455</v>
      </c>
      <c r="U21" s="36">
        <f>'FS Desroches Daily'!AJ23</f>
        <v>250</v>
      </c>
      <c r="V21" s="36">
        <f>'FS Desroches Daily'!AL23</f>
        <v>4.0000000000020464E-2</v>
      </c>
      <c r="W21" s="36">
        <f>'FS Desroches Daily'!AN23</f>
        <v>3.0000000000001137E-2</v>
      </c>
      <c r="X21" s="36">
        <f>'FS Desroches Daily'!AP23</f>
        <v>0.30000000000001137</v>
      </c>
      <c r="Y21" s="36">
        <f>'FS Desroches Daily'!AR23</f>
        <v>20.000000000010232</v>
      </c>
      <c r="Z21" s="36">
        <f>'FS Desroches Daily'!AT23</f>
        <v>39.99999999996362</v>
      </c>
      <c r="AA21" s="36">
        <f>'FS Desroches Daily'!AT23</f>
        <v>39.99999999996362</v>
      </c>
      <c r="AB21" s="36">
        <f>'FS Desroches Daily'!AV23</f>
        <v>29.999999999972715</v>
      </c>
      <c r="AC21" s="36">
        <f>'FS Desroches Daily'!AZ23</f>
        <v>30.000000000029559</v>
      </c>
      <c r="AD21" s="36">
        <f>'FS Desroches Daily'!BB23</f>
        <v>19.99999999998181</v>
      </c>
      <c r="AE21" s="36">
        <f>'FS Desroches Daily'!BD23</f>
        <v>19.99999999998181</v>
      </c>
      <c r="AF21" s="32">
        <f>'FS Desroches Daily'!BF23</f>
        <v>15</v>
      </c>
      <c r="AG21" s="33">
        <f>'FS Desroches Daily'!BH23</f>
        <v>10.000000000019327</v>
      </c>
      <c r="AH21" s="33">
        <f>'FS Desroches Daily'!BJ23</f>
        <v>30.000000000029559</v>
      </c>
      <c r="AI21" s="33">
        <f>'FS Desroches Daily'!BL23</f>
        <v>10.000000000019327</v>
      </c>
      <c r="AJ21" s="33">
        <f>'FS Desroches Daily'!BN23</f>
        <v>20.000000000010232</v>
      </c>
      <c r="AK21" s="33">
        <f>'FS Desroches Daily'!BP23</f>
        <v>29.999999999972715</v>
      </c>
      <c r="AL21" s="33">
        <f>'FS Desroches Daily'!BR23</f>
        <v>11</v>
      </c>
      <c r="AM21" s="33">
        <f>'FS Desroches Daily'!BT23</f>
        <v>19.99999999998181</v>
      </c>
      <c r="AN21" s="33">
        <f>'FS Desroches Daily'!BV23</f>
        <v>18</v>
      </c>
      <c r="AO21" s="33">
        <f>'FS Desroches Daily'!BX23</f>
        <v>20.000000000010232</v>
      </c>
      <c r="AP21" s="33">
        <f>'FS Desroches Daily'!BZ23</f>
        <v>20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62.5</v>
      </c>
      <c r="AU21" s="32">
        <f>'FS Desroches Daily'!CJ23</f>
        <v>204</v>
      </c>
      <c r="AV21" s="32">
        <f>'FS Desroches Daily'!CL23</f>
        <v>429.99999999994998</v>
      </c>
      <c r="AW21" s="32">
        <f>'FS Desroches Daily'!CM23</f>
        <v>26.9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 t="str">
        <f>'FS Desroches Daily'!D24</f>
        <v>0</v>
      </c>
      <c r="F22" s="33" t="str">
        <f>'FS Desroches Daily'!F24</f>
        <v>0</v>
      </c>
      <c r="G22" s="32" t="str">
        <f>'FS Desroches Daily'!H24</f>
        <v>0</v>
      </c>
      <c r="H22" s="33" t="str">
        <f>'FS Desroches Daily'!J24</f>
        <v>0</v>
      </c>
      <c r="I22" s="32" t="str">
        <f>'FS Desroches Daily'!L24</f>
        <v>0</v>
      </c>
      <c r="J22" s="33" t="str">
        <f>'FS Desroches Daily'!N24</f>
        <v/>
      </c>
      <c r="K22" s="13" t="str">
        <f>'FS Desroches Daily'!P24</f>
        <v/>
      </c>
      <c r="L22" s="32" t="str">
        <f>'FS Desroches Daily'!R24</f>
        <v/>
      </c>
      <c r="M22" s="32" t="str">
        <f>'FS Desroches Daily'!T24</f>
        <v/>
      </c>
      <c r="N22" s="32" t="str">
        <f>'FS Desroches Daily'!V24</f>
        <v/>
      </c>
      <c r="O22" s="32" t="str">
        <f>'FS Desroches Daily'!X24</f>
        <v/>
      </c>
      <c r="P22" s="32" t="str">
        <f>'FS Desroches Daily'!Z24</f>
        <v/>
      </c>
      <c r="Q22" s="32" t="str">
        <f>'FS Desroches Daily'!AB24</f>
        <v/>
      </c>
      <c r="R22" s="32" t="str">
        <f>'FS Desroches Daily'!AD24</f>
        <v/>
      </c>
      <c r="S22" s="32" t="str">
        <f>'FS Desroches Daily'!AF24</f>
        <v/>
      </c>
      <c r="T22" s="32" t="str">
        <f>'FS Desroches Daily'!AH24</f>
        <v/>
      </c>
      <c r="U22" s="36" t="str">
        <f>'FS Desroches Daily'!AJ24</f>
        <v/>
      </c>
      <c r="V22" s="36" t="str">
        <f>'FS Desroches Daily'!AL24</f>
        <v/>
      </c>
      <c r="W22" s="36" t="str">
        <f>'FS Desroches Daily'!AN24</f>
        <v/>
      </c>
      <c r="X22" s="36" t="str">
        <f>'FS Desroches Daily'!AP24</f>
        <v/>
      </c>
      <c r="Y22" s="36" t="str">
        <f>'FS Desroches Daily'!AR24</f>
        <v/>
      </c>
      <c r="Z22" s="36" t="str">
        <f>'FS Desroches Daily'!AT24</f>
        <v/>
      </c>
      <c r="AA22" s="36" t="str">
        <f>'FS Desroches Daily'!AT24</f>
        <v/>
      </c>
      <c r="AB22" s="36" t="str">
        <f>'FS Desroches Daily'!AV24</f>
        <v/>
      </c>
      <c r="AC22" s="36" t="str">
        <f>'FS Desroches Daily'!AZ24</f>
        <v/>
      </c>
      <c r="AD22" s="36" t="str">
        <f>'FS Desroches Daily'!BB24</f>
        <v/>
      </c>
      <c r="AE22" s="36" t="str">
        <f>'FS Desroches Daily'!BD24</f>
        <v/>
      </c>
      <c r="AF22" s="32" t="str">
        <f>'FS Desroches Daily'!BF24</f>
        <v/>
      </c>
      <c r="AG22" s="33" t="str">
        <f>'FS Desroches Daily'!BH24</f>
        <v/>
      </c>
      <c r="AH22" s="33" t="str">
        <f>'FS Desroches Daily'!BJ24</f>
        <v/>
      </c>
      <c r="AI22" s="33" t="str">
        <f>'FS Desroches Daily'!BL24</f>
        <v/>
      </c>
      <c r="AJ22" s="33" t="str">
        <f>'FS Desroches Daily'!BN24</f>
        <v/>
      </c>
      <c r="AK22" s="33" t="str">
        <f>'FS Desroches Daily'!BP24</f>
        <v/>
      </c>
      <c r="AL22" s="33" t="str">
        <f>'FS Desroches Daily'!BR24</f>
        <v/>
      </c>
      <c r="AM22" s="33" t="str">
        <f>'FS Desroches Daily'!BT24</f>
        <v/>
      </c>
      <c r="AN22" s="33" t="str">
        <f>'FS Desroches Daily'!BV24</f>
        <v/>
      </c>
      <c r="AO22" s="33" t="str">
        <f>'FS Desroches Daily'!BX24</f>
        <v/>
      </c>
      <c r="AP22" s="33" t="str">
        <f>'FS Desroches Daily'!BZ24</f>
        <v/>
      </c>
      <c r="AQ22" s="32" t="str">
        <f>'FS Desroches Daily'!CB24</f>
        <v/>
      </c>
      <c r="AR22" s="32" t="str">
        <f>'FS Desroches Daily'!CD24</f>
        <v/>
      </c>
      <c r="AS22" s="32" t="str">
        <f>'FS Desroches Daily'!CF24</f>
        <v/>
      </c>
      <c r="AT22" s="32" t="str">
        <f>'FS Desroches Daily'!CH24</f>
        <v/>
      </c>
      <c r="AU22" s="32" t="str">
        <f>'FS Desroches Daily'!CJ24</f>
        <v/>
      </c>
      <c r="AV22" s="32" t="str">
        <f>'FS Desroches Daily'!CL24</f>
        <v/>
      </c>
      <c r="AW22" s="32">
        <f>'FS Desroches Daily'!CM24</f>
        <v>0</v>
      </c>
      <c r="AX22" s="32" t="str">
        <f>IF(LPG!F29-LPG!F28&lt;0,"0",(LPG!F29-LPG!F28)*1.8315)</f>
        <v>0</v>
      </c>
      <c r="AY22" s="32" t="str">
        <f>IF(LPG!H29-LPG!H28&lt;0,"0",(LPG!H29-LPG!H28)*1.8315)</f>
        <v>0</v>
      </c>
      <c r="AZ22" s="32" t="str">
        <f>IF(LPG!J29-LPG!J28&lt;0,"0",(LPG!J29-LPG!J28)*1.8315)</f>
        <v>0</v>
      </c>
      <c r="BA22" s="32" t="str">
        <f>IF(LPG!M29-LPG!M28&lt;0,"0",(LPG!M29-LPG!M28)*1.8315)</f>
        <v>0</v>
      </c>
      <c r="BB22" s="32" t="str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13099.999999999894</v>
      </c>
      <c r="F33" s="17">
        <f t="shared" ref="F33:BC33" si="1">SUM(F2:F32)</f>
        <v>11400.000000000078</v>
      </c>
      <c r="G33" s="17">
        <f t="shared" si="1"/>
        <v>32100.000000000251</v>
      </c>
      <c r="H33" s="17">
        <f t="shared" si="1"/>
        <v>19600.000000000062</v>
      </c>
      <c r="I33" s="17">
        <f t="shared" si="1"/>
        <v>38100.000000000029</v>
      </c>
      <c r="J33" s="17">
        <f t="shared" si="1"/>
        <v>9200.0000000000982</v>
      </c>
      <c r="K33" s="17">
        <f t="shared" si="1"/>
        <v>14</v>
      </c>
      <c r="L33" s="17">
        <f t="shared" si="1"/>
        <v>79</v>
      </c>
      <c r="M33" s="17">
        <f t="shared" si="1"/>
        <v>3410</v>
      </c>
      <c r="N33" s="17">
        <f t="shared" si="1"/>
        <v>1978</v>
      </c>
      <c r="O33" s="17">
        <f t="shared" si="1"/>
        <v>1490.0000000000091</v>
      </c>
      <c r="P33" s="17">
        <f t="shared" si="1"/>
        <v>8000.0000000000091</v>
      </c>
      <c r="Q33" s="17">
        <f t="shared" si="1"/>
        <v>1379.9999999999955</v>
      </c>
      <c r="R33" s="17">
        <f t="shared" si="1"/>
        <v>2409.9999999999682</v>
      </c>
      <c r="S33" s="17">
        <f t="shared" si="1"/>
        <v>3230.0000000000182</v>
      </c>
      <c r="T33" s="17">
        <f t="shared" si="1"/>
        <v>24.600000000000136</v>
      </c>
      <c r="U33" s="36">
        <f t="shared" si="1"/>
        <v>4000</v>
      </c>
      <c r="V33" s="36">
        <f t="shared" si="1"/>
        <v>360.41000000001355</v>
      </c>
      <c r="W33" s="36">
        <f t="shared" si="1"/>
        <v>350.30999999999403</v>
      </c>
      <c r="X33" s="36">
        <f t="shared" si="1"/>
        <v>311.09000000000214</v>
      </c>
      <c r="Y33" s="36">
        <f t="shared" si="1"/>
        <v>670.00000000001592</v>
      </c>
      <c r="Z33" s="36">
        <f t="shared" si="1"/>
        <v>895.74999999999545</v>
      </c>
      <c r="AA33" s="36">
        <f t="shared" si="1"/>
        <v>895.74999999999545</v>
      </c>
      <c r="AB33" s="36">
        <f t="shared" si="1"/>
        <v>389.99999999998636</v>
      </c>
      <c r="AC33" s="36">
        <f t="shared" si="1"/>
        <v>510.00000000004775</v>
      </c>
      <c r="AD33" s="36">
        <f t="shared" si="1"/>
        <v>370.00000000000455</v>
      </c>
      <c r="AE33" s="36">
        <f t="shared" si="1"/>
        <v>289.99999999999204</v>
      </c>
      <c r="AF33" s="17">
        <f t="shared" si="1"/>
        <v>495</v>
      </c>
      <c r="AG33" s="33">
        <f t="shared" si="1"/>
        <v>469.99999999999886</v>
      </c>
      <c r="AH33" s="33">
        <f t="shared" si="1"/>
        <v>560.00000000000227</v>
      </c>
      <c r="AI33" s="33">
        <f t="shared" si="1"/>
        <v>480.00000000001819</v>
      </c>
      <c r="AJ33" s="33">
        <f t="shared" si="1"/>
        <v>530.00000000000114</v>
      </c>
      <c r="AK33" s="33">
        <f t="shared" si="1"/>
        <v>790.00000000002046</v>
      </c>
      <c r="AL33" s="33">
        <f t="shared" si="1"/>
        <v>208</v>
      </c>
      <c r="AM33" s="33">
        <f t="shared" si="1"/>
        <v>219.99999999999886</v>
      </c>
      <c r="AN33" s="33">
        <f t="shared" si="1"/>
        <v>398</v>
      </c>
      <c r="AO33" s="33">
        <f t="shared" si="1"/>
        <v>569.99999999999318</v>
      </c>
      <c r="AP33" s="33">
        <f t="shared" si="1"/>
        <v>516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1139.5999999999985</v>
      </c>
      <c r="AU33" s="17">
        <f t="shared" si="1"/>
        <v>4024</v>
      </c>
      <c r="AV33" s="17">
        <f t="shared" si="1"/>
        <v>7769.9999999999818</v>
      </c>
      <c r="AW33" s="17">
        <f t="shared" si="1"/>
        <v>565.5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142.85699999999997</v>
      </c>
      <c r="BC33" s="17">
        <f t="shared" si="1"/>
        <v>0</v>
      </c>
    </row>
    <row r="35" spans="5:55" x14ac:dyDescent="0.25">
      <c r="E35" s="39">
        <f>E33/E37</f>
        <v>0.17115681099584298</v>
      </c>
      <c r="G35" s="30">
        <f>G33-M36</f>
        <v>26712.000000000251</v>
      </c>
      <c r="AE35" s="36">
        <f>SUM(U33:AE33)</f>
        <v>9043.3100000000486</v>
      </c>
      <c r="AG35" s="33">
        <f>SUM(AG33:AP33)</f>
        <v>4742.0000000000327</v>
      </c>
    </row>
    <row r="36" spans="5:55" x14ac:dyDescent="0.25">
      <c r="G36" s="30">
        <f>G35-633*14</f>
        <v>17850.000000000251</v>
      </c>
      <c r="M36" s="30">
        <f>M33+N33</f>
        <v>5388</v>
      </c>
    </row>
    <row r="37" spans="5:55" x14ac:dyDescent="0.25">
      <c r="E37" s="17">
        <f>E33+F33+G33+H33+J33-633*14</f>
        <v>76538.000000000378</v>
      </c>
      <c r="G37" s="38">
        <f>M36/E37</f>
        <v>7.03964044004282E-2</v>
      </c>
      <c r="M37" s="36">
        <f>AE35</f>
        <v>9043.3100000000486</v>
      </c>
    </row>
    <row r="38" spans="5:55" x14ac:dyDescent="0.25">
      <c r="L38" s="28">
        <f>M38/E37</f>
        <v>6.1956152499412179E-2</v>
      </c>
      <c r="M38" s="30">
        <f>AG35</f>
        <v>4742.0000000000327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zoomScale="60" zoomScaleNormal="60" workbookViewId="0">
      <pane ySplit="1" topLeftCell="A2" activePane="bottomLeft" state="frozen"/>
      <selection pane="bottomLeft" activeCell="CM27" sqref="CM27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12590</v>
      </c>
      <c r="P20" s="69">
        <f t="shared" si="42"/>
        <v>0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147.1</v>
      </c>
      <c r="AP20" s="67">
        <f t="shared" si="45"/>
        <v>0.12000000000000455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>
        <v>1.7211000000000001</v>
      </c>
      <c r="D21" s="66">
        <f t="shared" si="0"/>
        <v>600.00000000015598</v>
      </c>
      <c r="E21" s="60">
        <v>2.7208000000000001</v>
      </c>
      <c r="F21" s="66">
        <f t="shared" si="1"/>
        <v>500.00000000016701</v>
      </c>
      <c r="G21" s="60">
        <v>2.58</v>
      </c>
      <c r="H21" s="66">
        <f t="shared" si="2"/>
        <v>1600.0000000002678</v>
      </c>
      <c r="I21" s="60">
        <v>1.2479</v>
      </c>
      <c r="J21" s="66">
        <f t="shared" si="3"/>
        <v>899.99999999990087</v>
      </c>
      <c r="K21" s="60">
        <v>1.9337</v>
      </c>
      <c r="L21" s="66">
        <f t="shared" si="4"/>
        <v>1900.0000000000127</v>
      </c>
      <c r="M21" s="60">
        <v>1.2087000000000001</v>
      </c>
      <c r="N21" s="66">
        <f t="shared" si="5"/>
        <v>500.00000000016701</v>
      </c>
      <c r="O21" s="60">
        <v>12590</v>
      </c>
      <c r="P21" s="69"/>
      <c r="Q21" s="60">
        <v>5493</v>
      </c>
      <c r="R21" s="69">
        <f t="shared" si="6"/>
        <v>4</v>
      </c>
      <c r="S21" s="60">
        <v>833888</v>
      </c>
      <c r="T21" s="69">
        <f t="shared" si="7"/>
        <v>171</v>
      </c>
      <c r="U21" s="60">
        <v>339655</v>
      </c>
      <c r="V21" s="69">
        <f t="shared" si="8"/>
        <v>139</v>
      </c>
      <c r="W21" s="60">
        <v>333.5</v>
      </c>
      <c r="X21" s="67">
        <f t="shared" si="9"/>
        <v>69.999999999993179</v>
      </c>
      <c r="Y21" s="60">
        <v>2.3984999999999999</v>
      </c>
      <c r="Z21" s="67">
        <f t="shared" si="10"/>
        <v>399.99999999995595</v>
      </c>
      <c r="AA21" s="60">
        <v>327.98</v>
      </c>
      <c r="AB21" s="67">
        <f t="shared" si="11"/>
        <v>69.999999999993179</v>
      </c>
      <c r="AC21" s="60">
        <v>310.3</v>
      </c>
      <c r="AD21" s="67">
        <f t="shared" si="12"/>
        <v>110.00000000001364</v>
      </c>
      <c r="AE21" s="60">
        <v>485.5</v>
      </c>
      <c r="AF21" s="67">
        <f t="shared" si="13"/>
        <v>129.99999999999545</v>
      </c>
      <c r="AG21" s="60">
        <v>1255.4000000000001</v>
      </c>
      <c r="AH21" s="69">
        <f t="shared" si="14"/>
        <v>1.1000000000001364</v>
      </c>
      <c r="AI21" s="60">
        <v>421.01</v>
      </c>
      <c r="AJ21" s="67">
        <f t="shared" si="15"/>
        <v>269.99999999998181</v>
      </c>
      <c r="AK21" s="60">
        <v>150.91999999999999</v>
      </c>
      <c r="AL21" s="67">
        <f t="shared" si="43"/>
        <v>3.0000000000001137E-2</v>
      </c>
      <c r="AM21" s="60">
        <v>150.47</v>
      </c>
      <c r="AN21" s="67">
        <f t="shared" si="44"/>
        <v>3.0000000000001137E-2</v>
      </c>
      <c r="AO21" s="60">
        <v>147.30000000000001</v>
      </c>
      <c r="AP21" s="67">
        <f t="shared" si="45"/>
        <v>0.20000000000001705</v>
      </c>
      <c r="AQ21" s="60">
        <v>218.16</v>
      </c>
      <c r="AR21" s="67">
        <f t="shared" si="16"/>
        <v>20.000000000010232</v>
      </c>
      <c r="AS21" s="60">
        <v>344.51</v>
      </c>
      <c r="AT21" s="67">
        <f t="shared" si="17"/>
        <v>19.99999999998181</v>
      </c>
      <c r="AU21" s="60">
        <v>265.77</v>
      </c>
      <c r="AV21" s="67">
        <f t="shared" si="18"/>
        <v>19.99999999998181</v>
      </c>
      <c r="AW21" s="60">
        <v>293.35000000000002</v>
      </c>
      <c r="AX21" s="67">
        <f t="shared" si="19"/>
        <v>20.000000000038654</v>
      </c>
      <c r="AY21" s="60">
        <v>344.54</v>
      </c>
      <c r="AZ21" s="67">
        <f t="shared" si="20"/>
        <v>20.000000000038654</v>
      </c>
      <c r="BA21" s="60">
        <v>364.42</v>
      </c>
      <c r="BB21" s="67">
        <f t="shared" si="21"/>
        <v>9.9999999999909051</v>
      </c>
      <c r="BC21" s="60">
        <v>231.06</v>
      </c>
      <c r="BD21" s="67">
        <f t="shared" si="22"/>
        <v>9.9999999999909051</v>
      </c>
      <c r="BE21" s="61">
        <v>29315</v>
      </c>
      <c r="BF21" s="69">
        <f t="shared" si="38"/>
        <v>24</v>
      </c>
      <c r="BG21" s="62">
        <v>224.96</v>
      </c>
      <c r="BH21" s="67">
        <f t="shared" si="23"/>
        <v>10.000000000019327</v>
      </c>
      <c r="BI21" s="62">
        <v>282.56</v>
      </c>
      <c r="BJ21" s="67">
        <f t="shared" si="39"/>
        <v>30.000000000029559</v>
      </c>
      <c r="BK21" s="62">
        <v>230.5</v>
      </c>
      <c r="BL21" s="67">
        <f t="shared" si="24"/>
        <v>20.000000000010232</v>
      </c>
      <c r="BM21" s="62">
        <v>213.64</v>
      </c>
      <c r="BN21" s="67">
        <f t="shared" si="25"/>
        <v>29.999999999972715</v>
      </c>
      <c r="BO21" s="62">
        <v>278.38</v>
      </c>
      <c r="BP21" s="67">
        <f t="shared" si="26"/>
        <v>40.000000000020464</v>
      </c>
      <c r="BQ21" s="62">
        <v>38863</v>
      </c>
      <c r="BR21" s="67">
        <f t="shared" si="27"/>
        <v>12</v>
      </c>
      <c r="BS21" s="62">
        <v>193.35</v>
      </c>
      <c r="BT21" s="67">
        <f t="shared" si="41"/>
        <v>19.99999999998181</v>
      </c>
      <c r="BU21" s="62">
        <v>30083</v>
      </c>
      <c r="BV21" s="67">
        <f t="shared" si="29"/>
        <v>19</v>
      </c>
      <c r="BW21" s="62">
        <v>223.88</v>
      </c>
      <c r="BX21" s="67">
        <f t="shared" si="30"/>
        <v>19.99999999998181</v>
      </c>
      <c r="BY21" s="62">
        <v>48934</v>
      </c>
      <c r="BZ21" s="69">
        <f t="shared" si="31"/>
        <v>27</v>
      </c>
      <c r="CA21" s="62">
        <v>27508.400000000001</v>
      </c>
      <c r="CB21" s="69">
        <f t="shared" si="32"/>
        <v>0</v>
      </c>
      <c r="CC21" s="62">
        <v>11251.4</v>
      </c>
      <c r="CD21" s="69">
        <f t="shared" si="33"/>
        <v>0</v>
      </c>
      <c r="CE21" s="62">
        <v>5488.9</v>
      </c>
      <c r="CF21" s="69">
        <f t="shared" si="34"/>
        <v>0</v>
      </c>
      <c r="CG21" s="62">
        <v>46432.3</v>
      </c>
      <c r="CH21" s="69">
        <f t="shared" si="35"/>
        <v>53.400000000001455</v>
      </c>
      <c r="CI21" s="62">
        <v>860015</v>
      </c>
      <c r="CJ21" s="69">
        <f t="shared" si="36"/>
        <v>210</v>
      </c>
      <c r="CK21" s="62">
        <v>573.98</v>
      </c>
      <c r="CL21" s="66">
        <f t="shared" si="37"/>
        <v>300.00000000006821</v>
      </c>
      <c r="CM21" s="67">
        <v>17.899999999999999</v>
      </c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>
        <v>1.7218</v>
      </c>
      <c r="D22" s="66">
        <f t="shared" si="0"/>
        <v>699.99999999992292</v>
      </c>
      <c r="E22" s="60">
        <v>2.7214</v>
      </c>
      <c r="F22" s="66">
        <f t="shared" si="1"/>
        <v>599.99999999993395</v>
      </c>
      <c r="G22" s="60">
        <v>2.5815000000000001</v>
      </c>
      <c r="H22" s="66">
        <f t="shared" si="2"/>
        <v>1500.0000000000568</v>
      </c>
      <c r="I22" s="60">
        <v>1.2487999999999999</v>
      </c>
      <c r="J22" s="66">
        <f t="shared" si="3"/>
        <v>899.99999999990087</v>
      </c>
      <c r="K22" s="60">
        <v>1.9358</v>
      </c>
      <c r="L22" s="66">
        <f t="shared" si="4"/>
        <v>2099.9999999999909</v>
      </c>
      <c r="M22" s="60">
        <v>1.2091000000000001</v>
      </c>
      <c r="N22" s="66">
        <f t="shared" si="5"/>
        <v>399.99999999995595</v>
      </c>
      <c r="O22" s="60">
        <v>12590</v>
      </c>
      <c r="P22" s="69">
        <f t="shared" si="42"/>
        <v>0</v>
      </c>
      <c r="Q22" s="60">
        <v>5497</v>
      </c>
      <c r="R22" s="69">
        <f t="shared" si="6"/>
        <v>4</v>
      </c>
      <c r="S22" s="60">
        <v>834097.4</v>
      </c>
      <c r="T22" s="69">
        <f t="shared" si="7"/>
        <v>209.40000000002328</v>
      </c>
      <c r="U22" s="60">
        <v>339737</v>
      </c>
      <c r="V22" s="69">
        <f t="shared" si="8"/>
        <v>82</v>
      </c>
      <c r="W22" s="60">
        <v>333.58</v>
      </c>
      <c r="X22" s="67">
        <f t="shared" si="9"/>
        <v>79.999999999984084</v>
      </c>
      <c r="Y22" s="60">
        <v>2.3988999999999998</v>
      </c>
      <c r="Z22" s="67">
        <f t="shared" si="10"/>
        <v>399.99999999995595</v>
      </c>
      <c r="AA22" s="60">
        <v>328.05</v>
      </c>
      <c r="AB22" s="67">
        <f t="shared" si="11"/>
        <v>69.999999999993179</v>
      </c>
      <c r="AC22" s="60">
        <v>310.41000000000003</v>
      </c>
      <c r="AD22" s="67">
        <f t="shared" si="12"/>
        <v>110.00000000001364</v>
      </c>
      <c r="AE22" s="60">
        <v>485.7</v>
      </c>
      <c r="AF22" s="67">
        <f t="shared" si="13"/>
        <v>199.99999999998863</v>
      </c>
      <c r="AG22" s="60">
        <v>1256.7</v>
      </c>
      <c r="AH22" s="69">
        <f t="shared" si="14"/>
        <v>1.2999999999999545</v>
      </c>
      <c r="AI22" s="60">
        <v>421.23</v>
      </c>
      <c r="AJ22" s="67">
        <f t="shared" si="15"/>
        <v>220.00000000002728</v>
      </c>
      <c r="AK22" s="60">
        <v>150.94999999999999</v>
      </c>
      <c r="AL22" s="67">
        <f t="shared" si="43"/>
        <v>3.0000000000001137E-2</v>
      </c>
      <c r="AM22" s="60">
        <v>150.5</v>
      </c>
      <c r="AN22" s="67">
        <f t="shared" si="44"/>
        <v>3.0000000000001137E-2</v>
      </c>
      <c r="AO22" s="60">
        <v>147.6</v>
      </c>
      <c r="AP22" s="67">
        <f t="shared" si="45"/>
        <v>0.29999999999998295</v>
      </c>
      <c r="AQ22" s="60">
        <v>218.19</v>
      </c>
      <c r="AR22" s="67">
        <f t="shared" si="16"/>
        <v>30.000000000001137</v>
      </c>
      <c r="AS22" s="60">
        <v>344.54</v>
      </c>
      <c r="AT22" s="67">
        <f t="shared" si="17"/>
        <v>30.000000000029559</v>
      </c>
      <c r="AU22" s="60">
        <v>265.79000000000002</v>
      </c>
      <c r="AV22" s="67">
        <f t="shared" si="18"/>
        <v>20.000000000038654</v>
      </c>
      <c r="AW22" s="60">
        <v>293.37</v>
      </c>
      <c r="AX22" s="67">
        <f t="shared" si="19"/>
        <v>19.99999999998181</v>
      </c>
      <c r="AY22" s="60">
        <v>344.57</v>
      </c>
      <c r="AZ22" s="67">
        <f t="shared" si="20"/>
        <v>29.999999999972715</v>
      </c>
      <c r="BA22" s="60">
        <v>364.44</v>
      </c>
      <c r="BB22" s="67">
        <f t="shared" si="21"/>
        <v>19.99999999998181</v>
      </c>
      <c r="BC22" s="60">
        <v>231.08</v>
      </c>
      <c r="BD22" s="67">
        <f t="shared" si="22"/>
        <v>20.000000000010232</v>
      </c>
      <c r="BE22" s="61">
        <v>29337</v>
      </c>
      <c r="BF22" s="69">
        <f t="shared" si="38"/>
        <v>22</v>
      </c>
      <c r="BG22" s="62">
        <v>224.98</v>
      </c>
      <c r="BH22" s="67">
        <f t="shared" si="23"/>
        <v>19.99999999998181</v>
      </c>
      <c r="BI22" s="62">
        <v>282.58</v>
      </c>
      <c r="BJ22" s="67">
        <f t="shared" si="39"/>
        <v>19.99999999998181</v>
      </c>
      <c r="BK22" s="62">
        <v>230.51</v>
      </c>
      <c r="BL22" s="67">
        <f t="shared" si="24"/>
        <v>9.9999999999909051</v>
      </c>
      <c r="BM22" s="62">
        <v>213.66</v>
      </c>
      <c r="BN22" s="67">
        <f t="shared" si="25"/>
        <v>20.000000000010232</v>
      </c>
      <c r="BO22" s="62">
        <v>278.41000000000003</v>
      </c>
      <c r="BP22" s="67">
        <f t="shared" si="26"/>
        <v>30.000000000029559</v>
      </c>
      <c r="BQ22" s="62">
        <v>38873</v>
      </c>
      <c r="BR22" s="67">
        <f t="shared" si="27"/>
        <v>10</v>
      </c>
      <c r="BS22" s="62">
        <v>193.36</v>
      </c>
      <c r="BT22" s="67">
        <f t="shared" si="41"/>
        <v>10.000000000019327</v>
      </c>
      <c r="BU22" s="62">
        <v>30101</v>
      </c>
      <c r="BV22" s="67">
        <f t="shared" si="29"/>
        <v>18</v>
      </c>
      <c r="BW22" s="62">
        <v>223.89</v>
      </c>
      <c r="BX22" s="67">
        <f t="shared" si="30"/>
        <v>9.9999999999909051</v>
      </c>
      <c r="BY22" s="62">
        <v>48961</v>
      </c>
      <c r="BZ22" s="69">
        <f t="shared" si="31"/>
        <v>27</v>
      </c>
      <c r="CA22" s="62">
        <v>27508.400000000001</v>
      </c>
      <c r="CB22" s="69">
        <f t="shared" si="32"/>
        <v>0</v>
      </c>
      <c r="CC22" s="62">
        <v>11251.4</v>
      </c>
      <c r="CD22" s="69">
        <f t="shared" si="33"/>
        <v>0</v>
      </c>
      <c r="CE22" s="62">
        <v>5488.9</v>
      </c>
      <c r="CF22" s="69">
        <f t="shared" si="34"/>
        <v>0</v>
      </c>
      <c r="CG22" s="62">
        <v>46491</v>
      </c>
      <c r="CH22" s="69">
        <f t="shared" si="35"/>
        <v>58.69999999999709</v>
      </c>
      <c r="CI22" s="62">
        <v>860215</v>
      </c>
      <c r="CJ22" s="69">
        <f t="shared" si="36"/>
        <v>200</v>
      </c>
      <c r="CK22" s="62">
        <v>574.37</v>
      </c>
      <c r="CL22" s="66">
        <f t="shared" si="37"/>
        <v>389.99999999998636</v>
      </c>
      <c r="CM22" s="67">
        <v>29.7</v>
      </c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>
        <v>1.7224999999999999</v>
      </c>
      <c r="D23" s="66">
        <f t="shared" si="0"/>
        <v>699.99999999992292</v>
      </c>
      <c r="E23" s="60">
        <v>2.7219000000000002</v>
      </c>
      <c r="F23" s="66">
        <f t="shared" si="1"/>
        <v>500.00000000016701</v>
      </c>
      <c r="G23" s="60">
        <v>2.5832000000000002</v>
      </c>
      <c r="H23" s="66">
        <f t="shared" si="2"/>
        <v>1700.0000000000348</v>
      </c>
      <c r="I23" s="60">
        <v>1.2498</v>
      </c>
      <c r="J23" s="66">
        <f t="shared" si="3"/>
        <v>1000.0000000001119</v>
      </c>
      <c r="K23" s="60">
        <v>1.9379</v>
      </c>
      <c r="L23" s="66">
        <f t="shared" si="4"/>
        <v>2099.9999999999909</v>
      </c>
      <c r="M23" s="60">
        <v>1.2096</v>
      </c>
      <c r="N23" s="66">
        <f t="shared" si="5"/>
        <v>499.99999999994492</v>
      </c>
      <c r="O23" s="60">
        <v>12590</v>
      </c>
      <c r="P23" s="69">
        <f t="shared" si="42"/>
        <v>0</v>
      </c>
      <c r="Q23" s="60">
        <v>5501</v>
      </c>
      <c r="R23" s="69">
        <f t="shared" si="6"/>
        <v>4</v>
      </c>
      <c r="S23" s="60">
        <v>834248</v>
      </c>
      <c r="T23" s="69">
        <f t="shared" si="7"/>
        <v>150.59999999997672</v>
      </c>
      <c r="U23" s="60">
        <v>339842</v>
      </c>
      <c r="V23" s="69">
        <f t="shared" si="8"/>
        <v>105</v>
      </c>
      <c r="W23" s="60">
        <v>333.66</v>
      </c>
      <c r="X23" s="67">
        <f t="shared" si="9"/>
        <v>80.000000000040927</v>
      </c>
      <c r="Y23" s="60">
        <v>2.3992</v>
      </c>
      <c r="Z23" s="67">
        <f t="shared" si="10"/>
        <v>300.000000000189</v>
      </c>
      <c r="AA23" s="60">
        <v>328.12</v>
      </c>
      <c r="AB23" s="67">
        <f t="shared" si="11"/>
        <v>69.999999999993179</v>
      </c>
      <c r="AC23" s="60">
        <v>310.52</v>
      </c>
      <c r="AD23" s="67">
        <f t="shared" si="12"/>
        <v>109.9999999999568</v>
      </c>
      <c r="AE23" s="60">
        <v>485.88</v>
      </c>
      <c r="AF23" s="67">
        <f t="shared" si="13"/>
        <v>180.00000000000682</v>
      </c>
      <c r="AG23" s="60">
        <v>1257.9000000000001</v>
      </c>
      <c r="AH23" s="69">
        <f t="shared" si="14"/>
        <v>1.2000000000000455</v>
      </c>
      <c r="AI23" s="60">
        <v>421.48</v>
      </c>
      <c r="AJ23" s="67">
        <f t="shared" si="15"/>
        <v>250</v>
      </c>
      <c r="AK23" s="60">
        <v>150.99</v>
      </c>
      <c r="AL23" s="67">
        <f t="shared" si="43"/>
        <v>4.0000000000020464E-2</v>
      </c>
      <c r="AM23" s="60">
        <v>150.53</v>
      </c>
      <c r="AN23" s="67">
        <f t="shared" si="44"/>
        <v>3.0000000000001137E-2</v>
      </c>
      <c r="AO23" s="60">
        <v>147.9</v>
      </c>
      <c r="AP23" s="67">
        <f t="shared" si="45"/>
        <v>0.30000000000001137</v>
      </c>
      <c r="AQ23" s="60">
        <v>218.21</v>
      </c>
      <c r="AR23" s="67">
        <f t="shared" si="16"/>
        <v>20.000000000010232</v>
      </c>
      <c r="AS23" s="60">
        <v>344.58</v>
      </c>
      <c r="AT23" s="67">
        <f t="shared" si="17"/>
        <v>39.99999999996362</v>
      </c>
      <c r="AU23" s="60">
        <v>265.82</v>
      </c>
      <c r="AV23" s="67">
        <f t="shared" si="18"/>
        <v>29.999999999972715</v>
      </c>
      <c r="AW23" s="60">
        <v>293.39</v>
      </c>
      <c r="AX23" s="67">
        <f t="shared" si="19"/>
        <v>19.99999999998181</v>
      </c>
      <c r="AY23" s="60">
        <v>344.6</v>
      </c>
      <c r="AZ23" s="67">
        <f t="shared" si="20"/>
        <v>30.000000000029559</v>
      </c>
      <c r="BA23" s="60">
        <v>364.46</v>
      </c>
      <c r="BB23" s="67">
        <f t="shared" si="21"/>
        <v>19.99999999998181</v>
      </c>
      <c r="BC23" s="60">
        <v>231.1</v>
      </c>
      <c r="BD23" s="67">
        <f t="shared" si="22"/>
        <v>19.99999999998181</v>
      </c>
      <c r="BE23" s="61">
        <v>29352</v>
      </c>
      <c r="BF23" s="69">
        <f t="shared" si="38"/>
        <v>15</v>
      </c>
      <c r="BG23" s="62">
        <v>224.99</v>
      </c>
      <c r="BH23" s="67">
        <f t="shared" si="23"/>
        <v>10.000000000019327</v>
      </c>
      <c r="BI23" s="62">
        <v>282.61</v>
      </c>
      <c r="BJ23" s="67">
        <f t="shared" si="39"/>
        <v>30.000000000029559</v>
      </c>
      <c r="BK23" s="62">
        <v>230.52</v>
      </c>
      <c r="BL23" s="67">
        <f t="shared" si="24"/>
        <v>10.000000000019327</v>
      </c>
      <c r="BM23" s="62">
        <v>213.68</v>
      </c>
      <c r="BN23" s="67">
        <f t="shared" si="25"/>
        <v>20.000000000010232</v>
      </c>
      <c r="BO23" s="62">
        <v>278.44</v>
      </c>
      <c r="BP23" s="67">
        <f t="shared" si="26"/>
        <v>29.999999999972715</v>
      </c>
      <c r="BQ23" s="62">
        <v>38884</v>
      </c>
      <c r="BR23" s="67">
        <f t="shared" si="27"/>
        <v>11</v>
      </c>
      <c r="BS23" s="62">
        <v>193.38</v>
      </c>
      <c r="BT23" s="67">
        <f t="shared" si="41"/>
        <v>19.99999999998181</v>
      </c>
      <c r="BU23" s="62">
        <v>30119</v>
      </c>
      <c r="BV23" s="67">
        <f t="shared" si="29"/>
        <v>18</v>
      </c>
      <c r="BW23" s="62">
        <v>223.91</v>
      </c>
      <c r="BX23" s="67">
        <f t="shared" si="30"/>
        <v>20.000000000010232</v>
      </c>
      <c r="BY23" s="62">
        <v>48981</v>
      </c>
      <c r="BZ23" s="69">
        <f t="shared" si="31"/>
        <v>20</v>
      </c>
      <c r="CA23" s="62">
        <v>27508.400000000001</v>
      </c>
      <c r="CB23" s="69">
        <f t="shared" si="32"/>
        <v>0</v>
      </c>
      <c r="CC23" s="62">
        <v>11251.4</v>
      </c>
      <c r="CD23" s="69">
        <f t="shared" si="33"/>
        <v>0</v>
      </c>
      <c r="CE23" s="62">
        <v>5488.9</v>
      </c>
      <c r="CF23" s="69">
        <f t="shared" si="34"/>
        <v>0</v>
      </c>
      <c r="CG23" s="62">
        <v>46553.5</v>
      </c>
      <c r="CH23" s="69">
        <f t="shared" si="35"/>
        <v>62.5</v>
      </c>
      <c r="CI23" s="62">
        <v>860419</v>
      </c>
      <c r="CJ23" s="69">
        <f t="shared" si="36"/>
        <v>204</v>
      </c>
      <c r="CK23" s="62">
        <v>574.79999999999995</v>
      </c>
      <c r="CL23" s="66">
        <f t="shared" si="37"/>
        <v>429.99999999994998</v>
      </c>
      <c r="CM23" s="67">
        <v>26.9</v>
      </c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 t="str">
        <f t="shared" si="0"/>
        <v>0</v>
      </c>
      <c r="E24" s="60"/>
      <c r="F24" s="66" t="str">
        <f t="shared" si="1"/>
        <v>0</v>
      </c>
      <c r="G24" s="60"/>
      <c r="H24" s="66" t="str">
        <f t="shared" si="2"/>
        <v>0</v>
      </c>
      <c r="I24" s="60"/>
      <c r="J24" s="66" t="str">
        <f t="shared" si="3"/>
        <v>0</v>
      </c>
      <c r="K24" s="60"/>
      <c r="L24" s="66" t="str">
        <f t="shared" si="4"/>
        <v>0</v>
      </c>
      <c r="M24" s="60"/>
      <c r="N24" s="66" t="str">
        <f t="shared" si="5"/>
        <v/>
      </c>
      <c r="O24" s="60"/>
      <c r="P24" s="69" t="str">
        <f t="shared" si="42"/>
        <v/>
      </c>
      <c r="Q24" s="60"/>
      <c r="R24" s="69" t="str">
        <f t="shared" si="6"/>
        <v/>
      </c>
      <c r="S24" s="60"/>
      <c r="T24" s="69" t="str">
        <f t="shared" si="7"/>
        <v/>
      </c>
      <c r="U24" s="60"/>
      <c r="V24" s="69" t="str">
        <f t="shared" si="8"/>
        <v/>
      </c>
      <c r="W24" s="60"/>
      <c r="X24" s="67" t="str">
        <f t="shared" si="9"/>
        <v/>
      </c>
      <c r="Y24" s="60"/>
      <c r="Z24" s="67" t="str">
        <f t="shared" si="10"/>
        <v/>
      </c>
      <c r="AA24" s="60"/>
      <c r="AB24" s="67" t="str">
        <f t="shared" si="11"/>
        <v/>
      </c>
      <c r="AC24" s="60"/>
      <c r="AD24" s="67" t="str">
        <f t="shared" si="12"/>
        <v/>
      </c>
      <c r="AE24" s="60"/>
      <c r="AF24" s="67" t="str">
        <f t="shared" si="13"/>
        <v/>
      </c>
      <c r="AG24" s="60"/>
      <c r="AH24" s="69" t="str">
        <f t="shared" si="14"/>
        <v/>
      </c>
      <c r="AI24" s="60"/>
      <c r="AJ24" s="67" t="str">
        <f t="shared" si="15"/>
        <v/>
      </c>
      <c r="AK24" s="60"/>
      <c r="AL24" s="67" t="str">
        <f t="shared" si="43"/>
        <v/>
      </c>
      <c r="AM24" s="60"/>
      <c r="AN24" s="67" t="str">
        <f t="shared" si="44"/>
        <v/>
      </c>
      <c r="AO24" s="60"/>
      <c r="AP24" s="67" t="str">
        <f t="shared" si="45"/>
        <v/>
      </c>
      <c r="AQ24" s="60"/>
      <c r="AR24" s="67" t="str">
        <f t="shared" si="16"/>
        <v/>
      </c>
      <c r="AS24" s="60"/>
      <c r="AT24" s="67" t="str">
        <f t="shared" si="17"/>
        <v/>
      </c>
      <c r="AU24" s="60"/>
      <c r="AV24" s="67" t="str">
        <f t="shared" si="18"/>
        <v/>
      </c>
      <c r="AW24" s="60"/>
      <c r="AX24" s="67" t="str">
        <f t="shared" si="19"/>
        <v/>
      </c>
      <c r="AY24" s="60"/>
      <c r="AZ24" s="67" t="str">
        <f t="shared" si="20"/>
        <v/>
      </c>
      <c r="BA24" s="60"/>
      <c r="BB24" s="67" t="str">
        <f t="shared" si="21"/>
        <v/>
      </c>
      <c r="BC24" s="60"/>
      <c r="BD24" s="67" t="str">
        <f t="shared" si="22"/>
        <v/>
      </c>
      <c r="BE24" s="61"/>
      <c r="BF24" s="69" t="str">
        <f t="shared" si="38"/>
        <v/>
      </c>
      <c r="BG24" s="62"/>
      <c r="BH24" s="67" t="str">
        <f t="shared" si="23"/>
        <v/>
      </c>
      <c r="BI24" s="62"/>
      <c r="BJ24" s="67" t="str">
        <f t="shared" si="39"/>
        <v/>
      </c>
      <c r="BK24" s="62"/>
      <c r="BL24" s="67" t="str">
        <f t="shared" si="24"/>
        <v/>
      </c>
      <c r="BM24" s="62"/>
      <c r="BN24" s="67" t="str">
        <f t="shared" si="25"/>
        <v/>
      </c>
      <c r="BO24" s="62"/>
      <c r="BP24" s="67" t="str">
        <f t="shared" si="26"/>
        <v/>
      </c>
      <c r="BQ24" s="62"/>
      <c r="BR24" s="67" t="str">
        <f t="shared" si="27"/>
        <v/>
      </c>
      <c r="BS24" s="62"/>
      <c r="BT24" s="67" t="str">
        <f t="shared" si="41"/>
        <v/>
      </c>
      <c r="BU24" s="62"/>
      <c r="BV24" s="67" t="str">
        <f t="shared" si="29"/>
        <v/>
      </c>
      <c r="BW24" s="62"/>
      <c r="BX24" s="67" t="str">
        <f t="shared" si="30"/>
        <v/>
      </c>
      <c r="BY24" s="62"/>
      <c r="BZ24" s="69" t="str">
        <f t="shared" si="31"/>
        <v/>
      </c>
      <c r="CA24" s="62"/>
      <c r="CB24" s="69" t="str">
        <f t="shared" si="32"/>
        <v/>
      </c>
      <c r="CC24" s="62"/>
      <c r="CD24" s="69" t="str">
        <f t="shared" si="33"/>
        <v/>
      </c>
      <c r="CE24" s="62"/>
      <c r="CF24" s="69" t="str">
        <f t="shared" si="34"/>
        <v/>
      </c>
      <c r="CG24" s="62"/>
      <c r="CH24" s="69" t="str">
        <f t="shared" si="35"/>
        <v/>
      </c>
      <c r="CI24" s="62"/>
      <c r="CJ24" s="69" t="str">
        <f t="shared" si="36"/>
        <v/>
      </c>
      <c r="CK24" s="62"/>
      <c r="CL24" s="66" t="str">
        <f t="shared" si="37"/>
        <v/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Q28" sqref="Q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20</v>
      </c>
      <c r="O26" s="40">
        <v>0</v>
      </c>
      <c r="P26" s="40">
        <v>85</v>
      </c>
      <c r="Q26" s="40">
        <v>2585</v>
      </c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17</v>
      </c>
      <c r="O27" s="40">
        <v>0</v>
      </c>
      <c r="P27" s="40">
        <v>85</v>
      </c>
      <c r="Q27" s="40">
        <v>2589</v>
      </c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16</v>
      </c>
      <c r="O28" s="40">
        <v>0</v>
      </c>
      <c r="P28" s="40">
        <v>85</v>
      </c>
      <c r="Q28" s="40">
        <v>2592</v>
      </c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2020-06-21T06:26:59Z</dcterms:modified>
</cp:coreProperties>
</file>