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2\"/>
    </mc:Choice>
  </mc:AlternateContent>
  <xr:revisionPtr revIDLastSave="0" documentId="13_ncr:1_{61E0893F-4413-4FC2-9402-5509E7542D66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September" sheetId="2" r:id="rId2"/>
  </sheets>
  <calcPr calcId="191029"/>
</workbook>
</file>

<file path=xl/calcChain.xml><?xml version="1.0" encoding="utf-8"?>
<calcChain xmlns="http://schemas.openxmlformats.org/spreadsheetml/2006/main">
  <c r="U37" i="2" l="1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V37" i="2" l="1"/>
  <c r="V36" i="2"/>
  <c r="W36" i="2"/>
  <c r="V35" i="2"/>
  <c r="V34" i="2"/>
  <c r="V33" i="2"/>
  <c r="V32" i="2"/>
  <c r="W31" i="2"/>
  <c r="W30" i="2"/>
  <c r="V29" i="2"/>
  <c r="W29" i="2"/>
  <c r="V28" i="2"/>
  <c r="W28" i="2"/>
  <c r="V27" i="2"/>
  <c r="W27" i="2"/>
  <c r="W26" i="2"/>
  <c r="V25" i="2"/>
  <c r="W25" i="2"/>
  <c r="V24" i="2"/>
  <c r="V22" i="2"/>
  <c r="W21" i="2"/>
  <c r="V20" i="2"/>
  <c r="V19" i="2"/>
  <c r="W18" i="2"/>
  <c r="W17" i="2"/>
  <c r="W16" i="2"/>
  <c r="W15" i="2"/>
  <c r="W14" i="2"/>
  <c r="W12" i="2"/>
  <c r="V10" i="2"/>
  <c r="W13" i="2"/>
  <c r="V9" i="2"/>
  <c r="V8" i="2"/>
  <c r="W8" i="2"/>
  <c r="R39" i="2"/>
  <c r="V40" i="2" l="1"/>
  <c r="W40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Q37" i="2"/>
  <c r="O37" i="2"/>
  <c r="M37" i="2"/>
  <c r="K37" i="2"/>
  <c r="I37" i="2"/>
  <c r="G37" i="2"/>
  <c r="E37" i="2"/>
  <c r="G31" i="1" s="1"/>
  <c r="C37" i="2"/>
  <c r="E31" i="1" s="1"/>
  <c r="Q36" i="2"/>
  <c r="O36" i="2"/>
  <c r="M36" i="2"/>
  <c r="K36" i="2"/>
  <c r="I36" i="2"/>
  <c r="G36" i="2"/>
  <c r="E36" i="2"/>
  <c r="G30" i="1" s="1"/>
  <c r="C36" i="2"/>
  <c r="E30" i="1" s="1"/>
  <c r="Q35" i="2"/>
  <c r="O35" i="2"/>
  <c r="M35" i="2"/>
  <c r="K35" i="2"/>
  <c r="I35" i="2"/>
  <c r="G35" i="2"/>
  <c r="E35" i="2"/>
  <c r="G29" i="1" s="1"/>
  <c r="C35" i="2"/>
  <c r="E29" i="1" s="1"/>
  <c r="Q34" i="2"/>
  <c r="O34" i="2"/>
  <c r="M34" i="2"/>
  <c r="K34" i="2"/>
  <c r="I34" i="2"/>
  <c r="G34" i="2"/>
  <c r="E34" i="2"/>
  <c r="G28" i="1" s="1"/>
  <c r="C34" i="2"/>
  <c r="E28" i="1" s="1"/>
  <c r="Q33" i="2"/>
  <c r="O33" i="2"/>
  <c r="M33" i="2"/>
  <c r="K33" i="2"/>
  <c r="I33" i="2"/>
  <c r="G33" i="2"/>
  <c r="E33" i="2"/>
  <c r="G27" i="1" s="1"/>
  <c r="C33" i="2"/>
  <c r="E27" i="1" s="1"/>
  <c r="Q32" i="2"/>
  <c r="O32" i="2"/>
  <c r="M32" i="2"/>
  <c r="K32" i="2"/>
  <c r="I32" i="2"/>
  <c r="G32" i="2"/>
  <c r="E32" i="2"/>
  <c r="G26" i="1" s="1"/>
  <c r="C32" i="2"/>
  <c r="E26" i="1" s="1"/>
  <c r="Q31" i="2"/>
  <c r="O31" i="2"/>
  <c r="M31" i="2"/>
  <c r="K31" i="2"/>
  <c r="I31" i="2"/>
  <c r="G31" i="2"/>
  <c r="E31" i="2"/>
  <c r="G25" i="1" s="1"/>
  <c r="C31" i="2"/>
  <c r="E25" i="1" s="1"/>
  <c r="Q30" i="2"/>
  <c r="O30" i="2"/>
  <c r="M30" i="2"/>
  <c r="K30" i="2"/>
  <c r="I30" i="2"/>
  <c r="G30" i="2"/>
  <c r="E30" i="2"/>
  <c r="G24" i="1" s="1"/>
  <c r="C30" i="2"/>
  <c r="E24" i="1" s="1"/>
  <c r="Q29" i="2"/>
  <c r="O29" i="2"/>
  <c r="M29" i="2"/>
  <c r="K29" i="2"/>
  <c r="I29" i="2"/>
  <c r="G29" i="2"/>
  <c r="E29" i="2"/>
  <c r="G23" i="1" s="1"/>
  <c r="C29" i="2"/>
  <c r="E23" i="1" s="1"/>
  <c r="Q28" i="2"/>
  <c r="O28" i="2"/>
  <c r="M28" i="2"/>
  <c r="K28" i="2"/>
  <c r="I28" i="2"/>
  <c r="G28" i="2"/>
  <c r="E28" i="2"/>
  <c r="G22" i="1" s="1"/>
  <c r="C28" i="2"/>
  <c r="E22" i="1" s="1"/>
  <c r="Q27" i="2"/>
  <c r="O27" i="2"/>
  <c r="M27" i="2"/>
  <c r="K27" i="2"/>
  <c r="I27" i="2"/>
  <c r="G27" i="2"/>
  <c r="E27" i="2"/>
  <c r="G21" i="1" s="1"/>
  <c r="C27" i="2"/>
  <c r="E21" i="1" s="1"/>
  <c r="Q26" i="2"/>
  <c r="O26" i="2"/>
  <c r="M26" i="2"/>
  <c r="K26" i="2"/>
  <c r="I26" i="2"/>
  <c r="G26" i="2"/>
  <c r="E26" i="2"/>
  <c r="G20" i="1" s="1"/>
  <c r="C26" i="2"/>
  <c r="E20" i="1" s="1"/>
  <c r="Q25" i="2"/>
  <c r="O25" i="2"/>
  <c r="M25" i="2"/>
  <c r="K25" i="2"/>
  <c r="I25" i="2"/>
  <c r="G25" i="2"/>
  <c r="E25" i="2"/>
  <c r="G19" i="1" s="1"/>
  <c r="C25" i="2"/>
  <c r="E19" i="1" s="1"/>
  <c r="Q24" i="2"/>
  <c r="O24" i="2"/>
  <c r="M24" i="2"/>
  <c r="K24" i="2"/>
  <c r="I24" i="2"/>
  <c r="G24" i="2"/>
  <c r="E24" i="2"/>
  <c r="G18" i="1" s="1"/>
  <c r="C24" i="2"/>
  <c r="E18" i="1" s="1"/>
  <c r="Q23" i="2"/>
  <c r="O23" i="2"/>
  <c r="M23" i="2"/>
  <c r="K23" i="2"/>
  <c r="I23" i="2"/>
  <c r="G23" i="2"/>
  <c r="E23" i="2"/>
  <c r="G17" i="1" s="1"/>
  <c r="C23" i="2"/>
  <c r="E17" i="1" s="1"/>
  <c r="Q22" i="2"/>
  <c r="O22" i="2"/>
  <c r="M22" i="2"/>
  <c r="K22" i="2"/>
  <c r="I22" i="2"/>
  <c r="G22" i="2"/>
  <c r="E22" i="2"/>
  <c r="G16" i="1" s="1"/>
  <c r="C22" i="2"/>
  <c r="E16" i="1" s="1"/>
  <c r="Q21" i="2"/>
  <c r="O21" i="2"/>
  <c r="M21" i="2"/>
  <c r="K21" i="2"/>
  <c r="I21" i="2"/>
  <c r="G21" i="2"/>
  <c r="E21" i="2"/>
  <c r="G15" i="1" s="1"/>
  <c r="C21" i="2"/>
  <c r="E15" i="1" s="1"/>
  <c r="Q20" i="2"/>
  <c r="O20" i="2"/>
  <c r="M20" i="2"/>
  <c r="K20" i="2"/>
  <c r="I20" i="2"/>
  <c r="G20" i="2"/>
  <c r="E20" i="2"/>
  <c r="G14" i="1" s="1"/>
  <c r="C20" i="2"/>
  <c r="E14" i="1" s="1"/>
  <c r="Q19" i="2"/>
  <c r="O19" i="2"/>
  <c r="M19" i="2"/>
  <c r="K19" i="2"/>
  <c r="I19" i="2"/>
  <c r="G19" i="2"/>
  <c r="E19" i="2"/>
  <c r="G13" i="1" s="1"/>
  <c r="C19" i="2"/>
  <c r="E13" i="1" s="1"/>
  <c r="Q18" i="2"/>
  <c r="O18" i="2"/>
  <c r="M18" i="2"/>
  <c r="K18" i="2"/>
  <c r="I18" i="2"/>
  <c r="G18" i="2"/>
  <c r="E18" i="2"/>
  <c r="G12" i="1" s="1"/>
  <c r="C18" i="2"/>
  <c r="E12" i="1" s="1"/>
  <c r="Q17" i="2"/>
  <c r="O17" i="2"/>
  <c r="M17" i="2"/>
  <c r="K17" i="2"/>
  <c r="I17" i="2"/>
  <c r="G17" i="2"/>
  <c r="E17" i="2"/>
  <c r="G11" i="1" s="1"/>
  <c r="C17" i="2"/>
  <c r="E11" i="1" s="1"/>
  <c r="Q16" i="2"/>
  <c r="O16" i="2"/>
  <c r="M16" i="2"/>
  <c r="K16" i="2"/>
  <c r="I16" i="2"/>
  <c r="G16" i="2"/>
  <c r="E16" i="2"/>
  <c r="G10" i="1" s="1"/>
  <c r="C16" i="2"/>
  <c r="E10" i="1" s="1"/>
  <c r="Q15" i="2"/>
  <c r="O15" i="2"/>
  <c r="M15" i="2"/>
  <c r="K15" i="2"/>
  <c r="I15" i="2"/>
  <c r="G15" i="2"/>
  <c r="E15" i="2"/>
  <c r="G9" i="1" s="1"/>
  <c r="C15" i="2"/>
  <c r="E9" i="1" s="1"/>
  <c r="Q14" i="2"/>
  <c r="O14" i="2"/>
  <c r="M14" i="2"/>
  <c r="K14" i="2"/>
  <c r="I14" i="2"/>
  <c r="G14" i="2"/>
  <c r="E14" i="2"/>
  <c r="G8" i="1" s="1"/>
  <c r="C14" i="2"/>
  <c r="E8" i="1" s="1"/>
  <c r="Q13" i="2"/>
  <c r="O13" i="2"/>
  <c r="M13" i="2"/>
  <c r="K13" i="2"/>
  <c r="I13" i="2"/>
  <c r="G13" i="2"/>
  <c r="E13" i="2"/>
  <c r="G7" i="1" s="1"/>
  <c r="C13" i="2"/>
  <c r="E7" i="1" s="1"/>
  <c r="Q12" i="2"/>
  <c r="O12" i="2"/>
  <c r="M12" i="2"/>
  <c r="K12" i="2"/>
  <c r="I12" i="2"/>
  <c r="G12" i="2"/>
  <c r="E12" i="2"/>
  <c r="G6" i="1" s="1"/>
  <c r="C12" i="2"/>
  <c r="E6" i="1" s="1"/>
  <c r="Q11" i="2"/>
  <c r="O11" i="2"/>
  <c r="M11" i="2"/>
  <c r="K11" i="2"/>
  <c r="I11" i="2"/>
  <c r="G11" i="2"/>
  <c r="E11" i="2"/>
  <c r="G5" i="1" s="1"/>
  <c r="C11" i="2"/>
  <c r="E5" i="1" s="1"/>
  <c r="Q10" i="2"/>
  <c r="O10" i="2"/>
  <c r="M10" i="2"/>
  <c r="K10" i="2"/>
  <c r="I10" i="2"/>
  <c r="G10" i="2"/>
  <c r="E10" i="2"/>
  <c r="G4" i="1" s="1"/>
  <c r="C10" i="2"/>
  <c r="E4" i="1" s="1"/>
  <c r="Q9" i="2"/>
  <c r="O9" i="2"/>
  <c r="M9" i="2"/>
  <c r="K9" i="2"/>
  <c r="I9" i="2"/>
  <c r="G9" i="2"/>
  <c r="E9" i="2"/>
  <c r="G3" i="1" s="1"/>
  <c r="C9" i="2"/>
  <c r="E3" i="1" s="1"/>
  <c r="Q8" i="2"/>
  <c r="O8" i="2"/>
  <c r="M8" i="2"/>
  <c r="K8" i="2"/>
  <c r="I8" i="2"/>
  <c r="G8" i="2"/>
  <c r="E8" i="2"/>
  <c r="C8" i="2"/>
  <c r="O39" i="2" l="1"/>
  <c r="I4" i="1"/>
  <c r="I10" i="1"/>
  <c r="I13" i="1"/>
  <c r="I16" i="1"/>
  <c r="I19" i="1"/>
  <c r="I22" i="1"/>
  <c r="I28" i="1"/>
  <c r="I31" i="1"/>
  <c r="M39" i="2"/>
  <c r="K4" i="1"/>
  <c r="K10" i="1"/>
  <c r="K13" i="1"/>
  <c r="K16" i="1"/>
  <c r="K22" i="1"/>
  <c r="K25" i="1"/>
  <c r="K28" i="1"/>
  <c r="I5" i="1"/>
  <c r="I8" i="1"/>
  <c r="I11" i="1"/>
  <c r="I14" i="1"/>
  <c r="I17" i="1"/>
  <c r="I20" i="1"/>
  <c r="I23" i="1"/>
  <c r="I26" i="1"/>
  <c r="I29" i="1"/>
  <c r="K3" i="1"/>
  <c r="K9" i="1"/>
  <c r="K15" i="1"/>
  <c r="K21" i="1"/>
  <c r="K27" i="1"/>
  <c r="G39" i="2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39" i="2"/>
  <c r="I6" i="1"/>
  <c r="I12" i="1"/>
  <c r="I18" i="1"/>
  <c r="I24" i="1"/>
  <c r="I30" i="1"/>
  <c r="I2" i="1"/>
  <c r="K8" i="1"/>
  <c r="K39" i="2"/>
  <c r="I39" i="2"/>
  <c r="E39" i="2"/>
  <c r="G2" i="1"/>
  <c r="C39" i="2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<sst xmlns="http://schemas.openxmlformats.org/spreadsheetml/2006/main" count="69" uniqueCount="37">
  <si>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</si>
  <si>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</si>
  <si>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</si>
  <si>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</si>
  <si>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</si>
  <si>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</si>
  <si>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</si>
  <si>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</si>
  <si>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</si>
  <si>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</si>
  <si>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Usage (kWh)</t>
  </si>
  <si>
    <t>Usage   (Therms)</t>
  </si>
  <si>
    <t>Usage (Mlbs)</t>
  </si>
  <si>
    <t>Usage      (Gallons)</t>
  </si>
  <si>
    <t>Usage (Gallons)</t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</si>
  <si>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</si>
  <si>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</si>
  <si>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</si>
  <si>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</si>
  <si>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</si>
  <si>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</si>
  <si>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</si>
  <si>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</si>
  <si>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September 2022</t>
  </si>
  <si>
    <r>
      <rPr>
        <b/>
        <sz val="9.5"/>
        <color theme="1"/>
        <rFont val="Calibri Light"/>
        <family val="2"/>
        <scheme val="major"/>
      </rPr>
      <t>1B ELECTRIC</t>
    </r>
    <r>
      <rPr>
        <sz val="9.5"/>
        <color theme="1"/>
        <rFont val="Calibri Light"/>
        <family val="2"/>
        <scheme val="major"/>
      </rPr>
      <t xml:space="preserve"> (kWh)</t>
    </r>
  </si>
  <si>
    <r>
      <rPr>
        <b/>
        <sz val="9.5"/>
        <color theme="1"/>
        <rFont val="Calibri Light"/>
        <family val="2"/>
        <scheme val="major"/>
      </rPr>
      <t>1B GAS</t>
    </r>
    <r>
      <rPr>
        <sz val="9.5"/>
        <color theme="1"/>
        <rFont val="Calibri Light"/>
        <family val="2"/>
        <scheme val="major"/>
      </rPr>
      <t xml:space="preserve">      (CCF)</t>
    </r>
  </si>
  <si>
    <r>
      <t xml:space="preserve">1B STEAM </t>
    </r>
    <r>
      <rPr>
        <sz val="9.5"/>
        <color theme="1"/>
        <rFont val="Calibri Light"/>
        <family val="2"/>
        <scheme val="major"/>
      </rPr>
      <t>(Mlbs)</t>
    </r>
  </si>
  <si>
    <r>
      <rPr>
        <b/>
        <sz val="9.5"/>
        <color theme="1"/>
        <rFont val="Calibri Light"/>
        <family val="2"/>
        <scheme val="major"/>
      </rPr>
      <t>1B WATER</t>
    </r>
    <r>
      <rPr>
        <sz val="9.5"/>
        <color theme="1"/>
        <rFont val="Calibri Light"/>
        <family val="2"/>
        <scheme val="major"/>
      </rPr>
      <t xml:space="preserve">    (Gallons)</t>
    </r>
  </si>
  <si>
    <r>
      <t xml:space="preserve">4TH CT - 5    </t>
    </r>
    <r>
      <rPr>
        <sz val="9.5"/>
        <color theme="1"/>
        <rFont val="Calibri Light"/>
        <family val="2"/>
        <scheme val="major"/>
      </rPr>
      <t>(Gallons)</t>
    </r>
  </si>
  <si>
    <r>
      <t xml:space="preserve">36TH STEAM </t>
    </r>
    <r>
      <rPr>
        <sz val="9.5"/>
        <color theme="1"/>
        <rFont val="Calibri Light"/>
        <family val="2"/>
        <scheme val="major"/>
      </rPr>
      <t>(Mlbs)</t>
    </r>
  </si>
  <si>
    <r>
      <t xml:space="preserve">36TH 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</si>
  <si>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EAST PENT.CT -3    </t>
    </r>
    <r>
      <rPr>
        <sz val="9.5"/>
        <color theme="1"/>
        <rFont val="Calibri Light"/>
        <family val="2"/>
        <scheme val="major"/>
      </rPr>
      <t>(Gallons)</t>
    </r>
  </si>
  <si>
    <t>High Temp</t>
  </si>
  <si>
    <t>Low Temp</t>
  </si>
  <si>
    <t>Avg Temp</t>
  </si>
  <si>
    <r>
      <t xml:space="preserve">Heating Degree Day </t>
    </r>
    <r>
      <rPr>
        <b/>
        <sz val="10"/>
        <color theme="1"/>
        <rFont val="Calibri Light"/>
        <family val="2"/>
        <scheme val="major"/>
      </rPr>
      <t>(HDD)</t>
    </r>
  </si>
  <si>
    <r>
      <t xml:space="preserve">Cooling Degree Day </t>
    </r>
    <r>
      <rPr>
        <b/>
        <sz val="10"/>
        <color theme="1"/>
        <rFont val="Calibri Light"/>
        <family val="2"/>
        <scheme val="major"/>
      </rPr>
      <t>(CDD)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</si>
</sst>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 shrinkToFi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  <xdr:oneCellAnchor>
    <xdr:from>
      <xdr:col>15</xdr:col>
      <xdr:colOff>28575</xdr:colOff>
      <xdr:row>0</xdr:row>
      <xdr:rowOff>0</xdr:rowOff>
    </xdr:from>
    <xdr:ext cx="1752600" cy="1123951"/>
    <xdr:pic>
      <xdr:nvPicPr>
        <xdr:cNvPr id="3" name="Picture 2">
          <a:extLst>
            <a:ext uri="{FF2B5EF4-FFF2-40B4-BE49-F238E27FC236}">
              <a16:creationId xmlns:a16="http://schemas.microsoft.com/office/drawing/2014/main" id="{4083EB60-53FB-40E3-AD54-C50378999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5700" y="0"/>
          <a:ext cx="1752600" cy="1123951"/>
        </a:xfrm>
        <a:prstGeom prst="rect">
          <a:avLst/>
        </a:prstGeom>
      </xdr:spPr>
    </xdr:pic>
    <xdr:clientData/>
  </xdr:oneCellAnchor>
  <xdr:oneCellAnchor>
    <xdr:from>
      <xdr:col>15</xdr:col>
      <xdr:colOff>28575</xdr:colOff>
      <xdr:row>0</xdr:row>
      <xdr:rowOff>0</xdr:rowOff>
    </xdr:from>
    <xdr:ext cx="1752600" cy="1123951"/>
    <xdr:pic>
      <xdr:nvPicPr>
        <xdr:cNvPr id="4" name="Picture 3">
          <a:extLst>
            <a:ext uri="{FF2B5EF4-FFF2-40B4-BE49-F238E27FC236}">
              <a16:creationId xmlns:a16="http://schemas.microsoft.com/office/drawing/2014/main" id="{357E04A0-C031-442C-9C9A-4EE0DFE43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5700" y="0"/>
          <a:ext cx="1752600" cy="11239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1"/>
  <sheetViews>
    <sheetView tabSelected="1" topLeftCell="D1" workbookViewId="0">
      <selection activeCell="N1" sqref="N1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16</v>
      </c>
      <c r="H1" s="8" t="s">
        <v>17</v>
      </c>
      <c r="I1" s="7" t="s">
        <v>18</v>
      </c>
      <c r="J1" s="11" t="s">
        <v>19</v>
      </c>
      <c r="K1" s="7" t="s">
        <v>20</v>
      </c>
      <c r="L1" s="8" t="s">
        <v>21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9</v>
      </c>
      <c r="D2" s="2">
        <v>2022</v>
      </c>
      <c r="E2" s="4">
        <f>IF(September!C8&gt;0,September!C8,0)</f>
        <v>7200</v>
      </c>
      <c r="F2" s="9">
        <v>0.31</v>
      </c>
      <c r="G2" s="4">
        <f>IF(September!E8&gt;0,September!E8,0)</f>
        <v>46.067999999999998</v>
      </c>
      <c r="H2" s="10">
        <v>1.98</v>
      </c>
      <c r="I2" s="4">
        <f>IF((September!I8+September!O8)&gt;0,(September!I8+September!O8),0)</f>
        <v>9424</v>
      </c>
      <c r="J2" s="10">
        <v>0.03</v>
      </c>
      <c r="K2" s="4">
        <f>IF((September!G8+September!M8)&gt;0,(September!G8+September!M8),0)</f>
        <v>11.5</v>
      </c>
      <c r="L2" s="10">
        <v>41.94</v>
      </c>
      <c r="M2" s="4">
        <f>September!R8</f>
        <v>84</v>
      </c>
    </row>
    <row r="3" spans="1:25" x14ac:dyDescent="0.25">
      <c r="A3" s="3" t="s">
        <v>7</v>
      </c>
      <c r="B3" s="2">
        <f>B2+1</f>
        <v>2</v>
      </c>
      <c r="C3" s="14">
        <v>9</v>
      </c>
      <c r="D3" s="14">
        <v>2022</v>
      </c>
      <c r="E3" s="4">
        <f>IF(September!C9&gt;0,September!C9,0)</f>
        <v>6900</v>
      </c>
      <c r="F3" s="9">
        <v>0.31</v>
      </c>
      <c r="G3" s="4">
        <f>IF(September!E9&gt;0,September!E9,0)</f>
        <v>43.973999999999997</v>
      </c>
      <c r="H3" s="14">
        <v>1.98</v>
      </c>
      <c r="I3" s="4">
        <f>IF((September!I9+September!O9)&gt;0,(September!I9+September!O9),0)</f>
        <v>10665</v>
      </c>
      <c r="J3" s="10">
        <v>0.03</v>
      </c>
      <c r="K3" s="4">
        <f>IF((September!G9+September!M9)&gt;0,(September!G9+September!M9),0)</f>
        <v>11.700000000000001</v>
      </c>
      <c r="L3" s="14">
        <v>41.94</v>
      </c>
      <c r="M3" s="4">
        <f>September!R9</f>
        <v>50</v>
      </c>
      <c r="O3" s="4"/>
    </row>
    <row r="4" spans="1:25" x14ac:dyDescent="0.25">
      <c r="A4" s="3" t="s">
        <v>7</v>
      </c>
      <c r="B4" s="2">
        <f t="shared" ref="B4:B31" si="0">B3+1</f>
        <v>3</v>
      </c>
      <c r="C4" s="14">
        <v>9</v>
      </c>
      <c r="D4" s="14">
        <v>2022</v>
      </c>
      <c r="E4" s="4">
        <f>IF(September!C10&gt;0,September!C10,0)</f>
        <v>6300</v>
      </c>
      <c r="F4" s="9">
        <v>0.31</v>
      </c>
      <c r="G4" s="4">
        <f>IF(September!E10&gt;0,September!E10,0)</f>
        <v>46.067999999999998</v>
      </c>
      <c r="H4" s="14">
        <v>1.98</v>
      </c>
      <c r="I4" s="4">
        <f>IF((September!I10+September!O10)&gt;0,(September!I10+September!O10),0)</f>
        <v>10800</v>
      </c>
      <c r="J4" s="10">
        <v>0.03</v>
      </c>
      <c r="K4" s="4">
        <f>IF((September!G10+September!M10)&gt;0,(September!G10+September!M10),0)</f>
        <v>12.3</v>
      </c>
      <c r="L4" s="14">
        <v>41.94</v>
      </c>
      <c r="M4" s="4">
        <f>September!R10</f>
        <v>25</v>
      </c>
    </row>
    <row r="5" spans="1:25" x14ac:dyDescent="0.25">
      <c r="A5" s="3" t="s">
        <v>7</v>
      </c>
      <c r="B5" s="2">
        <f t="shared" si="0"/>
        <v>4</v>
      </c>
      <c r="C5" s="14">
        <v>9</v>
      </c>
      <c r="D5" s="14">
        <v>2022</v>
      </c>
      <c r="E5" s="4">
        <f>IF(September!C11&gt;0,September!C11,0)</f>
        <v>7800</v>
      </c>
      <c r="F5" s="9">
        <v>0.31</v>
      </c>
      <c r="G5" s="4">
        <f>IF(September!E11&gt;0,September!E11,0)</f>
        <v>28.268999999999998</v>
      </c>
      <c r="H5" s="14">
        <v>1.98</v>
      </c>
      <c r="I5" s="4">
        <f>IF((September!I11+September!O11)&gt;0,(September!I11+September!O11),0)</f>
        <v>8764</v>
      </c>
      <c r="J5" s="10">
        <v>0.03</v>
      </c>
      <c r="K5" s="4">
        <f>IF((September!G11+September!M11)&gt;0,(September!G11+September!M11),0)</f>
        <v>12.700000000000001</v>
      </c>
      <c r="L5" s="14">
        <v>41.94</v>
      </c>
      <c r="M5" s="4">
        <f>September!R11</f>
        <v>0</v>
      </c>
    </row>
    <row r="6" spans="1:25" x14ac:dyDescent="0.25">
      <c r="A6" s="3" t="s">
        <v>7</v>
      </c>
      <c r="B6" s="2">
        <f t="shared" si="0"/>
        <v>5</v>
      </c>
      <c r="C6" s="14">
        <v>9</v>
      </c>
      <c r="D6" s="14">
        <v>2022</v>
      </c>
      <c r="E6" s="4">
        <f>IF(September!C12&gt;0,September!C12,0)</f>
        <v>7500</v>
      </c>
      <c r="F6" s="9">
        <v>0.31</v>
      </c>
      <c r="G6" s="4">
        <f>IF(September!E12&gt;0,September!E12,0)</f>
        <v>33.503999999999998</v>
      </c>
      <c r="H6" s="14">
        <v>1.98</v>
      </c>
      <c r="I6" s="4">
        <f>IF((September!I12+September!O12)&gt;0,(September!I12+September!O12),0)</f>
        <v>9540</v>
      </c>
      <c r="J6" s="10">
        <v>0.03</v>
      </c>
      <c r="K6" s="4">
        <f>IF((September!G12+September!M12)&gt;0,(September!G12+September!M12),0)</f>
        <v>10.5</v>
      </c>
      <c r="L6" s="14">
        <v>41.94</v>
      </c>
      <c r="M6" s="4">
        <f>September!R12</f>
        <v>47</v>
      </c>
    </row>
    <row r="7" spans="1:25" x14ac:dyDescent="0.25">
      <c r="A7" s="3" t="s">
        <v>7</v>
      </c>
      <c r="B7" s="2">
        <f t="shared" si="0"/>
        <v>6</v>
      </c>
      <c r="C7" s="14">
        <v>9</v>
      </c>
      <c r="D7" s="14">
        <v>2022</v>
      </c>
      <c r="E7" s="4">
        <f>IF(September!C13&gt;0,September!C13,0)</f>
        <v>12900</v>
      </c>
      <c r="F7" s="9">
        <v>0.31</v>
      </c>
      <c r="G7" s="4">
        <f>IF(September!E13&gt;0,September!E13,0)</f>
        <v>54.443999999999996</v>
      </c>
      <c r="H7" s="14">
        <v>1.98</v>
      </c>
      <c r="I7" s="4">
        <f>IF((September!I13+September!O13)&gt;0,(September!I13+September!O13),0)</f>
        <v>14743</v>
      </c>
      <c r="J7" s="10">
        <v>0.03</v>
      </c>
      <c r="K7" s="4">
        <f>IF((September!G13+September!M13)&gt;0,(September!G13+September!M13),0)</f>
        <v>13.100000000000001</v>
      </c>
      <c r="L7" s="14">
        <v>41.94</v>
      </c>
      <c r="M7" s="4">
        <f>September!R13</f>
        <v>56</v>
      </c>
    </row>
    <row r="8" spans="1:25" x14ac:dyDescent="0.25">
      <c r="A8" s="3" t="s">
        <v>7</v>
      </c>
      <c r="B8" s="2">
        <f t="shared" si="0"/>
        <v>7</v>
      </c>
      <c r="C8" s="14">
        <v>9</v>
      </c>
      <c r="D8" s="14">
        <v>2022</v>
      </c>
      <c r="E8" s="4">
        <f>IF(September!C14&gt;0,September!C14,0)</f>
        <v>3900</v>
      </c>
      <c r="F8" s="9">
        <v>0.31</v>
      </c>
      <c r="G8" s="4">
        <f>IF(September!E14&gt;0,September!E14,0)</f>
        <v>3.141</v>
      </c>
      <c r="H8" s="14">
        <v>1.98</v>
      </c>
      <c r="I8" s="4">
        <f>IF((September!I14+September!O14)&gt;0,(September!I14+September!O14),0)</f>
        <v>4515</v>
      </c>
      <c r="J8" s="10">
        <v>0.03</v>
      </c>
      <c r="K8" s="4">
        <f>IF((September!G14+September!M14)&gt;0,(September!G14+September!M14),0)</f>
        <v>5.0999999999999996</v>
      </c>
      <c r="L8" s="14">
        <v>41.94</v>
      </c>
      <c r="M8" s="4">
        <f>September!R14</f>
        <v>86</v>
      </c>
    </row>
    <row r="9" spans="1:25" x14ac:dyDescent="0.25">
      <c r="A9" s="3" t="s">
        <v>7</v>
      </c>
      <c r="B9" s="2">
        <f t="shared" si="0"/>
        <v>8</v>
      </c>
      <c r="C9" s="14">
        <v>9</v>
      </c>
      <c r="D9" s="14">
        <v>2022</v>
      </c>
      <c r="E9" s="4">
        <f>IF(September!C15&gt;0,September!C15,0)</f>
        <v>10200</v>
      </c>
      <c r="F9" s="9">
        <v>0.31</v>
      </c>
      <c r="G9" s="4">
        <f>IF(September!E15&gt;0,September!E15,0)</f>
        <v>54.443999999999996</v>
      </c>
      <c r="H9" s="14">
        <v>1.98</v>
      </c>
      <c r="I9" s="4">
        <f>IF((September!I15+September!O15)&gt;0,(September!I15+September!O15),0)</f>
        <v>12298</v>
      </c>
      <c r="J9" s="10">
        <v>0.03</v>
      </c>
      <c r="K9" s="4">
        <f>IF((September!G15+September!M15)&gt;0,(September!G15+September!M15),0)</f>
        <v>10.9</v>
      </c>
      <c r="L9" s="14">
        <v>41.94</v>
      </c>
      <c r="M9" s="4">
        <f>September!R15</f>
        <v>98</v>
      </c>
    </row>
    <row r="10" spans="1:25" x14ac:dyDescent="0.25">
      <c r="A10" s="3" t="s">
        <v>7</v>
      </c>
      <c r="B10" s="2">
        <f t="shared" si="0"/>
        <v>9</v>
      </c>
      <c r="C10" s="14">
        <v>9</v>
      </c>
      <c r="D10" s="14">
        <v>2022</v>
      </c>
      <c r="E10" s="4">
        <f>IF(September!C16&gt;0,September!C16,0)</f>
        <v>10500</v>
      </c>
      <c r="F10" s="9">
        <v>0.31</v>
      </c>
      <c r="G10" s="4">
        <f>IF(September!E16&gt;0,September!E16,0)</f>
        <v>46.067999999999998</v>
      </c>
      <c r="H10" s="14">
        <v>1.98</v>
      </c>
      <c r="I10" s="4">
        <f>IF((September!I16+September!O16)&gt;0,(September!I16+September!O16),0)</f>
        <v>11610</v>
      </c>
      <c r="J10" s="10">
        <v>0.03</v>
      </c>
      <c r="K10" s="4">
        <f>IF((September!G16+September!M16)&gt;0,(September!G16+September!M16),0)</f>
        <v>10.600000000000001</v>
      </c>
      <c r="L10" s="14">
        <v>41.94</v>
      </c>
      <c r="M10" s="4">
        <f>September!R16</f>
        <v>98</v>
      </c>
    </row>
    <row r="11" spans="1:25" x14ac:dyDescent="0.25">
      <c r="A11" s="3" t="s">
        <v>7</v>
      </c>
      <c r="B11" s="2">
        <f t="shared" si="0"/>
        <v>10</v>
      </c>
      <c r="C11" s="14">
        <v>9</v>
      </c>
      <c r="D11" s="14">
        <v>2022</v>
      </c>
      <c r="E11" s="4">
        <f>IF(September!C17&gt;0,September!C17,0)</f>
        <v>8400</v>
      </c>
      <c r="F11" s="9">
        <v>0.31</v>
      </c>
      <c r="G11" s="4">
        <f>IF(September!E17&gt;0,September!E17,0)</f>
        <v>48.161999999999999</v>
      </c>
      <c r="H11" s="14">
        <v>1.98</v>
      </c>
      <c r="I11" s="4">
        <f>IF((September!I17+September!O17)&gt;0,(September!I17+September!O17),0)</f>
        <v>11090</v>
      </c>
      <c r="J11" s="10">
        <v>0.03</v>
      </c>
      <c r="K11" s="4">
        <f>IF((September!G17+September!M17)&gt;0,(September!G17+September!M17),0)</f>
        <v>11.600000000000001</v>
      </c>
      <c r="L11" s="14">
        <v>41.94</v>
      </c>
      <c r="M11" s="4">
        <f>September!R17</f>
        <v>65</v>
      </c>
    </row>
    <row r="12" spans="1:25" x14ac:dyDescent="0.25">
      <c r="A12" s="3" t="s">
        <v>7</v>
      </c>
      <c r="B12" s="2">
        <f t="shared" si="0"/>
        <v>11</v>
      </c>
      <c r="C12" s="14">
        <v>9</v>
      </c>
      <c r="D12" s="14">
        <v>2022</v>
      </c>
      <c r="E12" s="4">
        <f>IF(September!C18&gt;0,September!C18,0)</f>
        <v>9900</v>
      </c>
      <c r="F12" s="9">
        <v>0.31</v>
      </c>
      <c r="G12" s="4">
        <f>IF(September!E18&gt;0,September!E18,0)</f>
        <v>57.584999999999994</v>
      </c>
      <c r="H12" s="14">
        <v>1.98</v>
      </c>
      <c r="I12" s="4">
        <f>IF((September!I18+September!O18)&gt;0,(September!I18+September!O18),0)</f>
        <v>13080</v>
      </c>
      <c r="J12" s="10">
        <v>0.03</v>
      </c>
      <c r="K12" s="4">
        <f>IF((September!G18+September!M18)&gt;0,(September!G18+September!M18),0)</f>
        <v>13.400000000000002</v>
      </c>
      <c r="L12" s="14">
        <v>41.94</v>
      </c>
      <c r="M12" s="4">
        <f>September!R18</f>
        <v>82</v>
      </c>
    </row>
    <row r="13" spans="1:25" x14ac:dyDescent="0.25">
      <c r="A13" s="3" t="s">
        <v>7</v>
      </c>
      <c r="B13" s="2">
        <f t="shared" si="0"/>
        <v>12</v>
      </c>
      <c r="C13" s="14">
        <v>9</v>
      </c>
      <c r="D13" s="14">
        <v>2022</v>
      </c>
      <c r="E13" s="4">
        <f>IF(September!C19&gt;0,September!C19,0)</f>
        <v>5700</v>
      </c>
      <c r="F13" s="9">
        <v>0.31</v>
      </c>
      <c r="G13" s="4">
        <f>IF(September!E19&gt;0,September!E19,0)</f>
        <v>33.503999999999998</v>
      </c>
      <c r="H13" s="14">
        <v>1.98</v>
      </c>
      <c r="I13" s="4">
        <f>IF((September!I19+September!O19)&gt;0,(September!I19+September!O19),0)</f>
        <v>6772</v>
      </c>
      <c r="J13" s="10">
        <v>0.03</v>
      </c>
      <c r="K13" s="4">
        <f>IF((September!G19+September!M19)&gt;0,(September!G19+September!M19),0)</f>
        <v>8.6000000000000014</v>
      </c>
      <c r="L13" s="14">
        <v>41.94</v>
      </c>
      <c r="M13" s="4">
        <f>September!R19</f>
        <v>86</v>
      </c>
    </row>
    <row r="14" spans="1:25" x14ac:dyDescent="0.25">
      <c r="A14" s="3" t="s">
        <v>7</v>
      </c>
      <c r="B14" s="2">
        <f t="shared" si="0"/>
        <v>13</v>
      </c>
      <c r="C14" s="14">
        <v>9</v>
      </c>
      <c r="D14" s="14">
        <v>2022</v>
      </c>
      <c r="E14" s="4">
        <f>IF(September!C20&gt;0,September!C20,0)</f>
        <v>8100</v>
      </c>
      <c r="F14" s="9">
        <v>0.31</v>
      </c>
      <c r="G14" s="4">
        <f>IF(September!E20&gt;0,September!E20,0)</f>
        <v>46.067999999999998</v>
      </c>
      <c r="H14" s="14">
        <v>1.98</v>
      </c>
      <c r="I14" s="4">
        <f>IF((September!I20+September!O20)&gt;0,(September!I20+September!O20),0)</f>
        <v>9297</v>
      </c>
      <c r="J14" s="10">
        <v>0.03</v>
      </c>
      <c r="K14" s="4">
        <f>IF((September!G20+September!M20)&gt;0,(September!G20+September!M20),0)</f>
        <v>11.3</v>
      </c>
      <c r="L14" s="14">
        <v>41.94</v>
      </c>
      <c r="M14" s="4">
        <f>September!R20</f>
        <v>118</v>
      </c>
    </row>
    <row r="15" spans="1:25" x14ac:dyDescent="0.25">
      <c r="A15" s="3" t="s">
        <v>7</v>
      </c>
      <c r="B15" s="2">
        <f t="shared" si="0"/>
        <v>14</v>
      </c>
      <c r="C15" s="14">
        <v>9</v>
      </c>
      <c r="D15" s="14">
        <v>2022</v>
      </c>
      <c r="E15" s="4">
        <f>IF(September!C21&gt;0,September!C21,0)</f>
        <v>7500</v>
      </c>
      <c r="F15" s="9">
        <v>0.31</v>
      </c>
      <c r="G15" s="4">
        <f>IF(September!E21&gt;0,September!E21,0)</f>
        <v>48.161999999999999</v>
      </c>
      <c r="H15" s="14">
        <v>1.98</v>
      </c>
      <c r="I15" s="4">
        <f>IF((September!I21+September!O21)&gt;0,(September!I21+September!O21),0)</f>
        <v>9941</v>
      </c>
      <c r="J15" s="10">
        <v>0.03</v>
      </c>
      <c r="K15" s="4">
        <f>IF((September!G21+September!M21)&gt;0,(September!G21+September!M21),0)</f>
        <v>11.3</v>
      </c>
      <c r="L15" s="14">
        <v>41.94</v>
      </c>
      <c r="M15" s="4">
        <f>September!R21</f>
        <v>148</v>
      </c>
    </row>
    <row r="16" spans="1:25" x14ac:dyDescent="0.25">
      <c r="A16" s="3" t="s">
        <v>7</v>
      </c>
      <c r="B16" s="2">
        <f t="shared" si="0"/>
        <v>15</v>
      </c>
      <c r="C16" s="14">
        <v>9</v>
      </c>
      <c r="D16" s="14">
        <v>2022</v>
      </c>
      <c r="E16" s="4">
        <f>IF(September!C22&gt;0,September!C22,0)</f>
        <v>8400</v>
      </c>
      <c r="F16" s="9">
        <v>0.31</v>
      </c>
      <c r="G16" s="4">
        <f>IF(September!E22&gt;0,September!E22,0)</f>
        <v>50.256</v>
      </c>
      <c r="H16" s="14">
        <v>1.98</v>
      </c>
      <c r="I16" s="4">
        <f>IF((September!I22+September!O22)&gt;0,(September!I22+September!O22),0)</f>
        <v>11140</v>
      </c>
      <c r="J16" s="10">
        <v>0.03</v>
      </c>
      <c r="K16" s="4">
        <f>IF((September!G22+September!M22)&gt;0,(September!G22+September!M22),0)</f>
        <v>12.9</v>
      </c>
      <c r="L16" s="14">
        <v>41.94</v>
      </c>
      <c r="M16" s="4">
        <f>September!R22</f>
        <v>147</v>
      </c>
    </row>
    <row r="17" spans="1:13" x14ac:dyDescent="0.25">
      <c r="A17" s="3" t="s">
        <v>7</v>
      </c>
      <c r="B17" s="2">
        <f t="shared" si="0"/>
        <v>16</v>
      </c>
      <c r="C17" s="14">
        <v>9</v>
      </c>
      <c r="D17" s="14">
        <v>2022</v>
      </c>
      <c r="E17" s="4">
        <f>IF(September!C23&gt;0,September!C23,0)</f>
        <v>7500</v>
      </c>
      <c r="F17" s="9">
        <v>0.31</v>
      </c>
      <c r="G17" s="4">
        <f>IF(September!E23&gt;0,September!E23,0)</f>
        <v>49.208999999999996</v>
      </c>
      <c r="H17" s="14">
        <v>1.98</v>
      </c>
      <c r="I17" s="4">
        <f>IF((September!I23+September!O23)&gt;0,(September!I23+September!O23),0)</f>
        <v>11695</v>
      </c>
      <c r="J17" s="10">
        <v>0.03</v>
      </c>
      <c r="K17" s="4">
        <f>IF((September!G23+September!M23)&gt;0,(September!G23+September!M23),0)</f>
        <v>12.9</v>
      </c>
      <c r="L17" s="14">
        <v>41.94</v>
      </c>
      <c r="M17" s="4">
        <f>September!R23</f>
        <v>0</v>
      </c>
    </row>
    <row r="18" spans="1:13" x14ac:dyDescent="0.25">
      <c r="A18" s="3" t="s">
        <v>7</v>
      </c>
      <c r="B18" s="2">
        <f t="shared" si="0"/>
        <v>17</v>
      </c>
      <c r="C18" s="14">
        <v>9</v>
      </c>
      <c r="D18" s="14">
        <v>2022</v>
      </c>
      <c r="E18" s="4">
        <f>IF(September!C24&gt;0,September!C24,0)</f>
        <v>7500</v>
      </c>
      <c r="F18" s="9">
        <v>0.31</v>
      </c>
      <c r="G18" s="4">
        <f>IF(September!E24&gt;0,September!E24,0)</f>
        <v>49.208999999999996</v>
      </c>
      <c r="H18" s="14">
        <v>1.98</v>
      </c>
      <c r="I18" s="4">
        <f>IF((September!I24+September!O24)&gt;0,(September!I24+September!O24),0)</f>
        <v>9660</v>
      </c>
      <c r="J18" s="10">
        <v>0.03</v>
      </c>
      <c r="K18" s="4">
        <f>IF((September!G24+September!M24)&gt;0,(September!G24+September!M24),0)</f>
        <v>12.9</v>
      </c>
      <c r="L18" s="14">
        <v>41.94</v>
      </c>
      <c r="M18" s="4">
        <f>September!R24</f>
        <v>104</v>
      </c>
    </row>
    <row r="19" spans="1:13" x14ac:dyDescent="0.25">
      <c r="A19" s="3" t="s">
        <v>7</v>
      </c>
      <c r="B19" s="2">
        <f t="shared" si="0"/>
        <v>18</v>
      </c>
      <c r="C19" s="14">
        <v>9</v>
      </c>
      <c r="D19" s="14">
        <v>2022</v>
      </c>
      <c r="E19" s="4">
        <f>IF(September!C25&gt;0,September!C25,0)</f>
        <v>8100</v>
      </c>
      <c r="F19" s="9">
        <v>0.31</v>
      </c>
      <c r="G19" s="4">
        <f>IF(September!E25&gt;0,September!E25,0)</f>
        <v>53.396999999999998</v>
      </c>
      <c r="H19" s="14">
        <v>1.98</v>
      </c>
      <c r="I19" s="4">
        <f>IF((September!I25+September!O25)&gt;0,(September!I25+September!O25),0)</f>
        <v>12959</v>
      </c>
      <c r="J19" s="10">
        <v>0.03</v>
      </c>
      <c r="K19" s="4">
        <f>IF((September!G25+September!M25)&gt;0,(September!G25+September!M25),0)</f>
        <v>14.8</v>
      </c>
      <c r="L19" s="14">
        <v>41.94</v>
      </c>
      <c r="M19" s="4">
        <f>September!R25</f>
        <v>123</v>
      </c>
    </row>
    <row r="20" spans="1:13" x14ac:dyDescent="0.25">
      <c r="A20" s="3" t="s">
        <v>7</v>
      </c>
      <c r="B20" s="2">
        <f t="shared" si="0"/>
        <v>19</v>
      </c>
      <c r="C20" s="14">
        <v>9</v>
      </c>
      <c r="D20" s="14">
        <v>2022</v>
      </c>
      <c r="E20" s="4">
        <f>IF(September!C26&gt;0,September!C26,0)</f>
        <v>8700</v>
      </c>
      <c r="F20" s="9">
        <v>0.31</v>
      </c>
      <c r="G20" s="4">
        <f>IF(September!E26&gt;0,September!E26,0)</f>
        <v>81.665999999999997</v>
      </c>
      <c r="H20" s="14">
        <v>1.98</v>
      </c>
      <c r="I20" s="4">
        <f>IF((September!I26+September!O26)&gt;0,(September!I26+September!O26),0)</f>
        <v>13392</v>
      </c>
      <c r="J20" s="10">
        <v>0.03</v>
      </c>
      <c r="K20" s="4">
        <f>IF((September!G26+September!M26)&gt;0,(September!G26+September!M26),0)</f>
        <v>17.900000000000002</v>
      </c>
      <c r="L20" s="14">
        <v>41.94</v>
      </c>
      <c r="M20" s="4">
        <f>September!R26</f>
        <v>72</v>
      </c>
    </row>
    <row r="21" spans="1:13" x14ac:dyDescent="0.25">
      <c r="A21" s="3" t="s">
        <v>7</v>
      </c>
      <c r="B21" s="2">
        <f t="shared" si="0"/>
        <v>20</v>
      </c>
      <c r="C21" s="14">
        <v>9</v>
      </c>
      <c r="D21" s="14">
        <v>2022</v>
      </c>
      <c r="E21" s="4">
        <f>IF(September!C27&gt;0,September!C27,0)</f>
        <v>9300</v>
      </c>
      <c r="F21" s="9">
        <v>0.31</v>
      </c>
      <c r="G21" s="4">
        <f>IF(September!E27&gt;0,September!E27,0)</f>
        <v>34.550999999999995</v>
      </c>
      <c r="H21" s="14">
        <v>1.98</v>
      </c>
      <c r="I21" s="4">
        <f>IF((September!I27+September!O27)&gt;0,(September!I27+September!O27),0)</f>
        <v>8234</v>
      </c>
      <c r="J21" s="10">
        <v>0.03</v>
      </c>
      <c r="K21" s="4">
        <f>IF((September!G27+September!M27)&gt;0,(September!G27+September!M27),0)</f>
        <v>10.900000000000002</v>
      </c>
      <c r="L21" s="14">
        <v>41.94</v>
      </c>
      <c r="M21" s="4">
        <f>September!R27</f>
        <v>133</v>
      </c>
    </row>
    <row r="22" spans="1:13" x14ac:dyDescent="0.25">
      <c r="A22" s="3" t="s">
        <v>7</v>
      </c>
      <c r="B22" s="2">
        <f t="shared" si="0"/>
        <v>21</v>
      </c>
      <c r="C22" s="14">
        <v>9</v>
      </c>
      <c r="D22" s="14">
        <v>2022</v>
      </c>
      <c r="E22" s="4">
        <f>IF(September!C28&gt;0,September!C28,0)</f>
        <v>5400</v>
      </c>
      <c r="F22" s="9">
        <v>0.31</v>
      </c>
      <c r="G22" s="4">
        <f>IF(September!E28&gt;0,September!E28,0)</f>
        <v>35.597999999999999</v>
      </c>
      <c r="H22" s="14">
        <v>1.98</v>
      </c>
      <c r="I22" s="4">
        <f>IF((September!I28+September!O28)&gt;0,(September!I28+September!O28),0)</f>
        <v>7028</v>
      </c>
      <c r="J22" s="10">
        <v>0.03</v>
      </c>
      <c r="K22" s="4">
        <f>IF((September!G28+September!M28)&gt;0,(September!G28+September!M28),0)</f>
        <v>9.5</v>
      </c>
      <c r="L22" s="14">
        <v>41.94</v>
      </c>
      <c r="M22" s="4">
        <f>September!R28</f>
        <v>148</v>
      </c>
    </row>
    <row r="23" spans="1:13" x14ac:dyDescent="0.25">
      <c r="A23" s="3" t="s">
        <v>7</v>
      </c>
      <c r="B23" s="2">
        <f t="shared" si="0"/>
        <v>22</v>
      </c>
      <c r="C23" s="14">
        <v>9</v>
      </c>
      <c r="D23" s="14">
        <v>2022</v>
      </c>
      <c r="E23" s="4">
        <f>IF(September!C29&gt;0,September!C29,0)</f>
        <v>8400</v>
      </c>
      <c r="F23" s="9">
        <v>0.31</v>
      </c>
      <c r="G23" s="4">
        <f>IF(September!E29&gt;0,September!E29,0)</f>
        <v>56.537999999999997</v>
      </c>
      <c r="H23" s="14">
        <v>1.98</v>
      </c>
      <c r="I23" s="4">
        <f>IF((September!I29+September!O29)&gt;0,(September!I29+September!O29),0)</f>
        <v>11012</v>
      </c>
      <c r="J23" s="10">
        <v>0.03</v>
      </c>
      <c r="K23" s="4">
        <f>IF((September!G29+September!M29)&gt;0,(September!G29+September!M29),0)</f>
        <v>13.8</v>
      </c>
      <c r="L23" s="14">
        <v>41.94</v>
      </c>
      <c r="M23" s="4">
        <f>September!R29</f>
        <v>151</v>
      </c>
    </row>
    <row r="24" spans="1:13" x14ac:dyDescent="0.25">
      <c r="A24" s="3" t="s">
        <v>7</v>
      </c>
      <c r="B24" s="2">
        <f t="shared" si="0"/>
        <v>23</v>
      </c>
      <c r="C24" s="14">
        <v>9</v>
      </c>
      <c r="D24" s="14">
        <v>2022</v>
      </c>
      <c r="E24" s="4">
        <f>IF(September!C30&gt;0,September!C30,0)</f>
        <v>8100</v>
      </c>
      <c r="F24" s="9">
        <v>0.31</v>
      </c>
      <c r="G24" s="4">
        <f>IF(September!E30&gt;0,September!E30,0)</f>
        <v>49.208999999999996</v>
      </c>
      <c r="H24" s="14">
        <v>1.98</v>
      </c>
      <c r="I24" s="4">
        <f>IF((September!I30+September!O30)&gt;0,(September!I30+September!O30),0)</f>
        <v>11930</v>
      </c>
      <c r="J24" s="10">
        <v>0.03</v>
      </c>
      <c r="K24" s="4">
        <f>IF((September!G30+September!M30)&gt;0,(September!G30+September!M30),0)</f>
        <v>12.5</v>
      </c>
      <c r="L24" s="14">
        <v>41.94</v>
      </c>
      <c r="M24" s="4">
        <f>September!R30</f>
        <v>131</v>
      </c>
    </row>
    <row r="25" spans="1:13" x14ac:dyDescent="0.25">
      <c r="A25" s="3" t="s">
        <v>7</v>
      </c>
      <c r="B25" s="2">
        <f t="shared" si="0"/>
        <v>24</v>
      </c>
      <c r="C25" s="14">
        <v>9</v>
      </c>
      <c r="D25" s="14">
        <v>2022</v>
      </c>
      <c r="E25" s="4">
        <f>IF(September!C31&gt;0,September!C31,0)</f>
        <v>9600</v>
      </c>
      <c r="F25" s="9">
        <v>0.31</v>
      </c>
      <c r="G25" s="4">
        <f>IF(September!E31&gt;0,September!E31,0)</f>
        <v>58.631999999999998</v>
      </c>
      <c r="H25" s="14">
        <v>1.98</v>
      </c>
      <c r="I25" s="4">
        <f>IF((September!I31+September!O31)&gt;0,(September!I31+September!O31),0)</f>
        <v>16070</v>
      </c>
      <c r="J25" s="10">
        <v>0.03</v>
      </c>
      <c r="K25" s="4">
        <f>IF((September!G31+September!M31)&gt;0,(September!G31+September!M31),0)</f>
        <v>15.100000000000001</v>
      </c>
      <c r="L25" s="14">
        <v>41.94</v>
      </c>
      <c r="M25" s="4">
        <f>September!R31</f>
        <v>123</v>
      </c>
    </row>
    <row r="26" spans="1:13" x14ac:dyDescent="0.25">
      <c r="A26" s="3" t="s">
        <v>7</v>
      </c>
      <c r="B26" s="2">
        <f>B25+1</f>
        <v>25</v>
      </c>
      <c r="C26" s="14">
        <v>9</v>
      </c>
      <c r="D26" s="14">
        <v>2022</v>
      </c>
      <c r="E26" s="4">
        <f>IF(September!C32&gt;0,September!C32,0)</f>
        <v>8700</v>
      </c>
      <c r="F26" s="9">
        <v>0.31</v>
      </c>
      <c r="G26" s="4">
        <f>IF(September!E32&gt;0,September!E32,0)</f>
        <v>50.256</v>
      </c>
      <c r="H26" s="14">
        <v>1.98</v>
      </c>
      <c r="I26" s="4">
        <f>IF((September!I32+September!O32)&gt;0,(September!I32+September!O32),0)</f>
        <v>12512</v>
      </c>
      <c r="J26" s="10">
        <v>0.03</v>
      </c>
      <c r="K26" s="4">
        <f>IF((September!G32+September!M32)&gt;0,(September!G32+September!M32),0)</f>
        <v>12.100000000000001</v>
      </c>
      <c r="L26" s="14">
        <v>41.94</v>
      </c>
      <c r="M26" s="4">
        <f>September!R32</f>
        <v>113</v>
      </c>
    </row>
    <row r="27" spans="1:13" x14ac:dyDescent="0.25">
      <c r="A27" s="3" t="s">
        <v>7</v>
      </c>
      <c r="B27" s="2">
        <f t="shared" si="0"/>
        <v>26</v>
      </c>
      <c r="C27" s="14">
        <v>9</v>
      </c>
      <c r="D27" s="14">
        <v>2022</v>
      </c>
      <c r="E27" s="4">
        <f>IF(September!C33&gt;0,September!C33,0)</f>
        <v>7500</v>
      </c>
      <c r="F27" s="9">
        <v>0.31</v>
      </c>
      <c r="G27" s="4">
        <f>IF(September!E33&gt;0,September!E33,0)</f>
        <v>46.067999999999998</v>
      </c>
      <c r="H27" s="14">
        <v>1.98</v>
      </c>
      <c r="I27" s="4">
        <f>IF((September!I33+September!O33)&gt;0,(September!I33+September!O33),0)</f>
        <v>10110</v>
      </c>
      <c r="J27" s="10">
        <v>0.03</v>
      </c>
      <c r="K27" s="4">
        <f>IF((September!G33+September!M33)&gt;0,(September!G33+September!M33),0)</f>
        <v>12</v>
      </c>
      <c r="L27" s="14">
        <v>41.94</v>
      </c>
      <c r="M27" s="4">
        <f>September!R33</f>
        <v>91</v>
      </c>
    </row>
    <row r="28" spans="1:13" x14ac:dyDescent="0.25">
      <c r="A28" s="3" t="s">
        <v>7</v>
      </c>
      <c r="B28" s="2">
        <f t="shared" si="0"/>
        <v>27</v>
      </c>
      <c r="C28" s="14">
        <v>9</v>
      </c>
      <c r="D28" s="14">
        <v>2022</v>
      </c>
      <c r="E28" s="4">
        <f>IF(September!C34&gt;0,September!C34,0)</f>
        <v>6900</v>
      </c>
      <c r="F28" s="9">
        <v>0.31</v>
      </c>
      <c r="G28" s="4">
        <f>IF(September!E34&gt;0,September!E34,0)</f>
        <v>48.161999999999999</v>
      </c>
      <c r="H28" s="14">
        <v>1.98</v>
      </c>
      <c r="I28" s="4">
        <f>IF((September!I34+September!O34)&gt;0,(September!I34+September!O34),0)</f>
        <v>2160</v>
      </c>
      <c r="J28" s="10">
        <v>0.03</v>
      </c>
      <c r="K28" s="4">
        <f>IF((September!G34+September!M34)&gt;0,(September!G34+September!M34),0)</f>
        <v>13.3</v>
      </c>
      <c r="L28" s="14">
        <v>41.94</v>
      </c>
      <c r="M28" s="4">
        <f>September!R34</f>
        <v>95</v>
      </c>
    </row>
    <row r="29" spans="1:13" x14ac:dyDescent="0.25">
      <c r="A29" s="3" t="s">
        <v>7</v>
      </c>
      <c r="B29" s="2">
        <f t="shared" si="0"/>
        <v>28</v>
      </c>
      <c r="C29" s="14">
        <v>9</v>
      </c>
      <c r="D29" s="14">
        <v>2022</v>
      </c>
      <c r="E29" s="4">
        <f>IF(September!C35&gt;0,September!C35,0)</f>
        <v>6900</v>
      </c>
      <c r="F29" s="9">
        <v>0.31</v>
      </c>
      <c r="G29" s="4">
        <f>IF(September!E35&gt;0,September!E35,0)</f>
        <v>53.396999999999998</v>
      </c>
      <c r="H29" s="14">
        <v>1.98</v>
      </c>
      <c r="I29" s="4">
        <f>IF((September!I35+September!O35)&gt;0,(September!I35+September!O35),0)</f>
        <v>13970</v>
      </c>
      <c r="J29" s="10">
        <v>0.03</v>
      </c>
      <c r="K29" s="4">
        <f>IF((September!G35+September!M35)&gt;0,(September!G35+September!M35),0)</f>
        <v>14.200000000000001</v>
      </c>
      <c r="L29" s="14">
        <v>41.94</v>
      </c>
      <c r="M29" s="4">
        <f>September!R35</f>
        <v>113</v>
      </c>
    </row>
    <row r="30" spans="1:13" x14ac:dyDescent="0.25">
      <c r="A30" s="3" t="s">
        <v>7</v>
      </c>
      <c r="B30" s="2">
        <f t="shared" si="0"/>
        <v>29</v>
      </c>
      <c r="C30" s="14">
        <v>9</v>
      </c>
      <c r="D30" s="14">
        <v>2022</v>
      </c>
      <c r="E30" s="4">
        <f>IF(September!C36&gt;0,September!C36,0)</f>
        <v>7500</v>
      </c>
      <c r="F30" s="9">
        <v>0.31</v>
      </c>
      <c r="G30" s="4">
        <f>IF(September!E36&gt;0,September!E36,0)</f>
        <v>55.491</v>
      </c>
      <c r="H30" s="14">
        <v>1.98</v>
      </c>
      <c r="I30" s="4">
        <f>IF((September!I36+September!O36)&gt;0,(September!I36+September!O36),0)</f>
        <v>9388</v>
      </c>
      <c r="J30" s="10">
        <v>0.03</v>
      </c>
      <c r="K30" s="4">
        <f>IF((September!G36+September!M36)&gt;0,(September!G36+September!M36),0)</f>
        <v>14.9</v>
      </c>
      <c r="L30" s="14">
        <v>41.94</v>
      </c>
      <c r="M30" s="4">
        <f>September!R36</f>
        <v>130</v>
      </c>
    </row>
    <row r="31" spans="1:13" x14ac:dyDescent="0.25">
      <c r="A31" s="3" t="s">
        <v>7</v>
      </c>
      <c r="B31" s="2">
        <f t="shared" si="0"/>
        <v>30</v>
      </c>
      <c r="C31" s="14">
        <v>9</v>
      </c>
      <c r="D31" s="14">
        <v>2022</v>
      </c>
      <c r="E31" s="4">
        <f>IF(September!C37&gt;0,September!C37,0)</f>
        <v>8400</v>
      </c>
      <c r="F31" s="9">
        <v>0.31</v>
      </c>
      <c r="G31" s="4">
        <f>IF(September!E37&gt;0,September!E37,0)</f>
        <v>52.349999999999994</v>
      </c>
      <c r="H31" s="14">
        <v>1.98</v>
      </c>
      <c r="I31" s="4">
        <f>IF((September!I37+September!O37)&gt;0,(September!I37+September!O37),0)</f>
        <v>12150</v>
      </c>
      <c r="J31" s="10">
        <v>0.03</v>
      </c>
      <c r="K31" s="4">
        <f>IF((September!G37+September!M37)&gt;0,(September!G37+September!M37),0)</f>
        <v>14.2</v>
      </c>
      <c r="L31" s="14">
        <v>41.94</v>
      </c>
      <c r="M31" s="4">
        <f>September!R37</f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W40"/>
  <sheetViews>
    <sheetView showWhiteSpace="0" topLeftCell="L22" zoomScaleNormal="100" workbookViewId="0">
      <selection activeCell="V44" sqref="V44"/>
    </sheetView>
  </sheetViews>
  <sheetFormatPr defaultColWidth="9.140625" defaultRowHeight="12.75" x14ac:dyDescent="0.25"/>
  <cols>
    <col min="1" max="1" width="9.85546875" style="16" bestFit="1" customWidth="1"/>
    <col min="2" max="7" width="9.7109375" style="16" customWidth="1"/>
    <col min="8" max="10" width="13.7109375" style="16" customWidth="1"/>
    <col min="11" max="11" width="8.7109375" style="16" customWidth="1"/>
    <col min="12" max="13" width="9.7109375" style="16" customWidth="1"/>
    <col min="14" max="15" width="13.7109375" style="16" customWidth="1"/>
    <col min="16" max="16" width="15.85546875" style="16" customWidth="1"/>
    <col min="17" max="17" width="13.7109375" style="16" customWidth="1"/>
    <col min="18" max="19" width="9.140625" style="16"/>
    <col min="20" max="20" width="6.85546875" style="16" customWidth="1"/>
    <col min="21" max="21" width="8.140625" style="16" customWidth="1"/>
    <col min="22" max="22" width="9.140625" style="16"/>
    <col min="23" max="23" width="10.5703125" style="16" customWidth="1"/>
    <col min="24" max="16384" width="9.140625" style="16"/>
  </cols>
  <sheetData>
    <row r="1" spans="1:23" ht="18" customHeight="1" x14ac:dyDescent="0.25">
      <c r="A1" s="52"/>
      <c r="B1" s="52"/>
      <c r="C1" s="15"/>
    </row>
    <row r="2" spans="1:23" ht="21" x14ac:dyDescent="0.35">
      <c r="A2" s="53" t="s">
        <v>23</v>
      </c>
      <c r="B2" s="53"/>
      <c r="C2" s="53"/>
      <c r="D2" s="53"/>
      <c r="E2" s="53"/>
      <c r="F2" s="53"/>
      <c r="G2" s="53"/>
      <c r="H2" s="53"/>
      <c r="I2" s="53"/>
      <c r="J2" s="53"/>
      <c r="K2" s="17"/>
    </row>
    <row r="3" spans="1:23" ht="16.5" customHeight="1" x14ac:dyDescent="0.35">
      <c r="A3" s="53"/>
      <c r="B3" s="53"/>
      <c r="C3" s="53"/>
      <c r="D3" s="53"/>
      <c r="E3" s="53"/>
      <c r="F3" s="53"/>
      <c r="G3" s="53"/>
      <c r="H3" s="53"/>
      <c r="I3" s="53"/>
      <c r="J3" s="53"/>
      <c r="K3" s="17"/>
    </row>
    <row r="4" spans="1:23" s="19" customFormat="1" ht="24.75" customHeight="1" x14ac:dyDescent="0.25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18"/>
    </row>
    <row r="5" spans="1:23" s="19" customFormat="1" ht="16.5" customHeight="1" x14ac:dyDescent="0.25">
      <c r="A5" s="18"/>
      <c r="B5" s="43"/>
      <c r="C5" s="18"/>
      <c r="D5" s="43"/>
      <c r="E5" s="18"/>
      <c r="F5" s="43"/>
      <c r="G5" s="18"/>
      <c r="H5" s="43"/>
      <c r="I5" s="18"/>
      <c r="J5" s="43"/>
      <c r="K5" s="18"/>
      <c r="L5" s="43"/>
      <c r="M5" s="18"/>
    </row>
    <row r="6" spans="1:23" s="19" customFormat="1" ht="49.5" customHeight="1" thickBot="1" x14ac:dyDescent="0.3">
      <c r="A6" s="51" t="s">
        <v>8</v>
      </c>
      <c r="B6" s="49">
        <v>23242</v>
      </c>
      <c r="C6" s="49"/>
      <c r="D6" s="49">
        <v>55744</v>
      </c>
      <c r="E6" s="49"/>
      <c r="F6" s="49">
        <v>32241</v>
      </c>
      <c r="G6" s="49"/>
      <c r="H6" s="49">
        <v>11162380</v>
      </c>
      <c r="I6" s="49"/>
      <c r="J6" s="49">
        <v>386184</v>
      </c>
      <c r="K6" s="49"/>
      <c r="L6" s="49">
        <v>33973</v>
      </c>
      <c r="M6" s="49"/>
      <c r="N6" s="50">
        <v>30822841</v>
      </c>
      <c r="O6" s="50"/>
      <c r="P6" s="50">
        <v>6336229</v>
      </c>
      <c r="Q6" s="50"/>
      <c r="R6" s="48"/>
    </row>
    <row r="7" spans="1:23" s="20" customFormat="1" ht="47.25" customHeight="1" x14ac:dyDescent="0.25">
      <c r="A7" s="27" t="s">
        <v>9</v>
      </c>
      <c r="B7" s="21" t="s">
        <v>24</v>
      </c>
      <c r="C7" s="22" t="s">
        <v>10</v>
      </c>
      <c r="D7" s="21" t="s">
        <v>25</v>
      </c>
      <c r="E7" s="22" t="s">
        <v>11</v>
      </c>
      <c r="F7" s="23" t="s">
        <v>26</v>
      </c>
      <c r="G7" s="22" t="s">
        <v>12</v>
      </c>
      <c r="H7" s="21" t="s">
        <v>27</v>
      </c>
      <c r="I7" s="22" t="s">
        <v>13</v>
      </c>
      <c r="J7" s="23" t="s">
        <v>28</v>
      </c>
      <c r="K7" s="22" t="s">
        <v>14</v>
      </c>
      <c r="L7" s="23" t="s">
        <v>29</v>
      </c>
      <c r="M7" s="22" t="s">
        <v>12</v>
      </c>
      <c r="N7" s="23" t="s">
        <v>30</v>
      </c>
      <c r="O7" s="22" t="s">
        <v>13</v>
      </c>
      <c r="P7" s="23" t="s">
        <v>31</v>
      </c>
      <c r="Q7" s="28" t="s">
        <v>13</v>
      </c>
      <c r="R7" s="38" t="s">
        <v>22</v>
      </c>
      <c r="S7" s="35" t="s">
        <v>32</v>
      </c>
      <c r="T7" s="29" t="s">
        <v>33</v>
      </c>
      <c r="U7" s="29" t="s">
        <v>34</v>
      </c>
      <c r="V7" s="30" t="s">
        <v>35</v>
      </c>
      <c r="W7" s="41" t="s">
        <v>36</v>
      </c>
    </row>
    <row r="8" spans="1:23" ht="20.25" customHeight="1" x14ac:dyDescent="0.25">
      <c r="A8" s="36">
        <v>1</v>
      </c>
      <c r="B8" s="24">
        <v>23266</v>
      </c>
      <c r="C8" s="24">
        <f>+(B8-B6)*300</f>
        <v>7200</v>
      </c>
      <c r="D8" s="24">
        <v>55788</v>
      </c>
      <c r="E8" s="24">
        <f>+(D8-D6)*1.047</f>
        <v>46.067999999999998</v>
      </c>
      <c r="F8" s="24">
        <v>32300</v>
      </c>
      <c r="G8" s="24">
        <f>+(F8-F6)*0.1</f>
        <v>5.9</v>
      </c>
      <c r="H8" s="24">
        <v>11165055</v>
      </c>
      <c r="I8" s="24">
        <f>+H8-H6</f>
        <v>2675</v>
      </c>
      <c r="J8" s="24">
        <v>386968</v>
      </c>
      <c r="K8" s="24">
        <f>+J8-J6</f>
        <v>784</v>
      </c>
      <c r="L8" s="24">
        <v>34029</v>
      </c>
      <c r="M8" s="24">
        <f>+(L8-L6)*0.1</f>
        <v>5.6000000000000005</v>
      </c>
      <c r="N8" s="24">
        <v>30829590</v>
      </c>
      <c r="O8" s="24">
        <f>+N8-N6</f>
        <v>6749</v>
      </c>
      <c r="P8" s="24">
        <v>6336840</v>
      </c>
      <c r="Q8" s="31">
        <f>+P8-P6</f>
        <v>611</v>
      </c>
      <c r="R8" s="39">
        <v>84</v>
      </c>
      <c r="S8" s="36">
        <v>75</v>
      </c>
      <c r="T8" s="24">
        <v>55</v>
      </c>
      <c r="U8" s="24">
        <f>(S8+T8)/2</f>
        <v>65</v>
      </c>
      <c r="V8" s="31">
        <f>65-U8</f>
        <v>0</v>
      </c>
      <c r="W8" s="42">
        <f>U8-65</f>
        <v>0</v>
      </c>
    </row>
    <row r="9" spans="1:23" ht="20.25" customHeight="1" x14ac:dyDescent="0.25">
      <c r="A9" s="36">
        <v>2</v>
      </c>
      <c r="B9" s="24">
        <v>23289</v>
      </c>
      <c r="C9" s="24">
        <f>+(B9-B8)*300</f>
        <v>6900</v>
      </c>
      <c r="D9" s="24">
        <v>55830</v>
      </c>
      <c r="E9" s="24">
        <f>+(D9-D8)*1.047</f>
        <v>43.973999999999997</v>
      </c>
      <c r="F9" s="24">
        <v>32359</v>
      </c>
      <c r="G9" s="24">
        <f>+(F9-F8)*0.1</f>
        <v>5.9</v>
      </c>
      <c r="H9" s="24">
        <v>11167390</v>
      </c>
      <c r="I9" s="24">
        <f>+H9-H8</f>
        <v>2335</v>
      </c>
      <c r="J9" s="24">
        <v>387467</v>
      </c>
      <c r="K9" s="24">
        <f>+J9-J8</f>
        <v>499</v>
      </c>
      <c r="L9" s="24">
        <v>34087</v>
      </c>
      <c r="M9" s="24">
        <f>+(L9-L8)*0.1</f>
        <v>5.8000000000000007</v>
      </c>
      <c r="N9" s="24">
        <v>30837920</v>
      </c>
      <c r="O9" s="24">
        <f>+N9-N8</f>
        <v>8330</v>
      </c>
      <c r="P9" s="24">
        <v>6337599</v>
      </c>
      <c r="Q9" s="31">
        <f>+P9-P8</f>
        <v>759</v>
      </c>
      <c r="R9" s="39">
        <v>50</v>
      </c>
      <c r="S9" s="36">
        <v>71</v>
      </c>
      <c r="T9" s="24">
        <v>55</v>
      </c>
      <c r="U9" s="24">
        <f t="shared" ref="U9:U37" si="0">(S9+T9)/2</f>
        <v>63</v>
      </c>
      <c r="V9" s="31">
        <f t="shared" ref="V9:V37" si="1">65-U9</f>
        <v>2</v>
      </c>
      <c r="W9" s="42">
        <v>0</v>
      </c>
    </row>
    <row r="10" spans="1:23" ht="20.25" customHeight="1" x14ac:dyDescent="0.25">
      <c r="A10" s="36">
        <v>3</v>
      </c>
      <c r="B10" s="24">
        <v>23310</v>
      </c>
      <c r="C10" s="24">
        <f t="shared" ref="C10:C37" si="2">+(B10-B9)*300</f>
        <v>6300</v>
      </c>
      <c r="D10" s="24">
        <v>55874</v>
      </c>
      <c r="E10" s="24">
        <f t="shared" ref="E10:E37" si="3">+(D10-D9)*1.047</f>
        <v>46.067999999999998</v>
      </c>
      <c r="F10" s="24">
        <v>32428</v>
      </c>
      <c r="G10" s="24">
        <f t="shared" ref="G10:G37" si="4">+(F10-F9)*0.1</f>
        <v>6.9</v>
      </c>
      <c r="H10" s="24">
        <v>11169200</v>
      </c>
      <c r="I10" s="24">
        <f>+H10-H9</f>
        <v>1810</v>
      </c>
      <c r="J10" s="44">
        <v>387869</v>
      </c>
      <c r="K10" s="24">
        <f>+J10-J9</f>
        <v>402</v>
      </c>
      <c r="L10" s="44">
        <v>34141</v>
      </c>
      <c r="M10" s="24">
        <f t="shared" ref="M10:M37" si="5">+(L10-L9)*0.1</f>
        <v>5.4</v>
      </c>
      <c r="N10" s="44">
        <v>30846910</v>
      </c>
      <c r="O10" s="24">
        <f>+N10-N9</f>
        <v>8990</v>
      </c>
      <c r="P10" s="44">
        <v>6338114</v>
      </c>
      <c r="Q10" s="31">
        <f>+P10-P9</f>
        <v>515</v>
      </c>
      <c r="R10" s="39">
        <v>25</v>
      </c>
      <c r="S10" s="36">
        <v>71</v>
      </c>
      <c r="T10" s="24">
        <v>55</v>
      </c>
      <c r="U10" s="24">
        <f t="shared" si="0"/>
        <v>63</v>
      </c>
      <c r="V10" s="31">
        <f t="shared" si="1"/>
        <v>2</v>
      </c>
      <c r="W10" s="42">
        <v>0</v>
      </c>
    </row>
    <row r="11" spans="1:23" ht="20.25" customHeight="1" x14ac:dyDescent="0.25">
      <c r="A11" s="36">
        <v>4</v>
      </c>
      <c r="B11" s="24">
        <v>23336</v>
      </c>
      <c r="C11" s="24">
        <f t="shared" si="2"/>
        <v>7800</v>
      </c>
      <c r="D11" s="24">
        <v>55901</v>
      </c>
      <c r="E11" s="24">
        <f t="shared" si="3"/>
        <v>28.268999999999998</v>
      </c>
      <c r="F11" s="24">
        <v>32501</v>
      </c>
      <c r="G11" s="24">
        <f t="shared" si="4"/>
        <v>7.3000000000000007</v>
      </c>
      <c r="H11" s="24">
        <v>11171794</v>
      </c>
      <c r="I11" s="24">
        <f t="shared" ref="I11:K37" si="6">+H11-H10</f>
        <v>2594</v>
      </c>
      <c r="J11" s="44">
        <v>388768</v>
      </c>
      <c r="K11" s="24">
        <f t="shared" si="6"/>
        <v>899</v>
      </c>
      <c r="L11" s="44">
        <v>34195</v>
      </c>
      <c r="M11" s="24">
        <f t="shared" si="5"/>
        <v>5.4</v>
      </c>
      <c r="N11" s="44">
        <v>30853080</v>
      </c>
      <c r="O11" s="24">
        <f t="shared" ref="O11:Q26" si="7">+N11-N10</f>
        <v>6170</v>
      </c>
      <c r="P11" s="44">
        <v>6339583</v>
      </c>
      <c r="Q11" s="31">
        <f t="shared" si="7"/>
        <v>1469</v>
      </c>
      <c r="R11" s="45"/>
      <c r="S11" s="46"/>
      <c r="T11" s="47"/>
      <c r="U11" s="24">
        <f t="shared" si="0"/>
        <v>0</v>
      </c>
      <c r="V11" s="31">
        <v>0</v>
      </c>
      <c r="W11" s="42">
        <v>0</v>
      </c>
    </row>
    <row r="12" spans="1:23" ht="20.25" customHeight="1" x14ac:dyDescent="0.25">
      <c r="A12" s="36">
        <v>5</v>
      </c>
      <c r="B12" s="24">
        <v>23361</v>
      </c>
      <c r="C12" s="24">
        <f t="shared" si="2"/>
        <v>7500</v>
      </c>
      <c r="D12" s="24">
        <v>55933</v>
      </c>
      <c r="E12" s="24">
        <f t="shared" si="3"/>
        <v>33.503999999999998</v>
      </c>
      <c r="F12" s="24">
        <v>32561</v>
      </c>
      <c r="G12" s="24">
        <f t="shared" si="4"/>
        <v>6</v>
      </c>
      <c r="H12" s="24">
        <v>11174932</v>
      </c>
      <c r="I12" s="24">
        <f t="shared" si="6"/>
        <v>3138</v>
      </c>
      <c r="J12" s="44">
        <v>390986</v>
      </c>
      <c r="K12" s="24">
        <f t="shared" si="6"/>
        <v>2218</v>
      </c>
      <c r="L12" s="44">
        <v>34240</v>
      </c>
      <c r="M12" s="24">
        <f t="shared" si="5"/>
        <v>4.5</v>
      </c>
      <c r="N12" s="44">
        <v>30859482</v>
      </c>
      <c r="O12" s="24">
        <f t="shared" si="7"/>
        <v>6402</v>
      </c>
      <c r="P12" s="44">
        <v>6342788</v>
      </c>
      <c r="Q12" s="31">
        <f t="shared" si="7"/>
        <v>3205</v>
      </c>
      <c r="R12" s="39">
        <v>47</v>
      </c>
      <c r="S12" s="36">
        <v>85</v>
      </c>
      <c r="T12" s="24">
        <v>60</v>
      </c>
      <c r="U12" s="24">
        <f t="shared" si="0"/>
        <v>72.5</v>
      </c>
      <c r="V12" s="31">
        <v>0</v>
      </c>
      <c r="W12" s="42">
        <f t="shared" ref="W12:W36" si="8">U12-65</f>
        <v>7.5</v>
      </c>
    </row>
    <row r="13" spans="1:23" ht="20.25" customHeight="1" x14ac:dyDescent="0.25">
      <c r="A13" s="36">
        <v>6</v>
      </c>
      <c r="B13" s="24">
        <v>23404</v>
      </c>
      <c r="C13" s="24">
        <f t="shared" si="2"/>
        <v>12900</v>
      </c>
      <c r="D13" s="24">
        <v>55985</v>
      </c>
      <c r="E13" s="24">
        <f t="shared" si="3"/>
        <v>54.443999999999996</v>
      </c>
      <c r="F13" s="24">
        <v>32641</v>
      </c>
      <c r="G13" s="24">
        <f t="shared" si="4"/>
        <v>8</v>
      </c>
      <c r="H13" s="24">
        <v>11179917</v>
      </c>
      <c r="I13" s="24">
        <f t="shared" si="6"/>
        <v>4985</v>
      </c>
      <c r="J13" s="44">
        <v>393116</v>
      </c>
      <c r="K13" s="24">
        <f t="shared" si="6"/>
        <v>2130</v>
      </c>
      <c r="L13" s="44">
        <v>34291</v>
      </c>
      <c r="M13" s="24">
        <f t="shared" si="5"/>
        <v>5.1000000000000005</v>
      </c>
      <c r="N13" s="44">
        <v>30869240</v>
      </c>
      <c r="O13" s="24">
        <f t="shared" si="7"/>
        <v>9758</v>
      </c>
      <c r="P13" s="44">
        <v>6347581</v>
      </c>
      <c r="Q13" s="31">
        <f t="shared" si="7"/>
        <v>4793</v>
      </c>
      <c r="R13" s="39">
        <v>56</v>
      </c>
      <c r="S13" s="36">
        <v>82</v>
      </c>
      <c r="T13" s="24">
        <v>57</v>
      </c>
      <c r="U13" s="24">
        <f t="shared" si="0"/>
        <v>69.5</v>
      </c>
      <c r="V13" s="31">
        <v>0</v>
      </c>
      <c r="W13" s="42">
        <f t="shared" si="8"/>
        <v>4.5</v>
      </c>
    </row>
    <row r="14" spans="1:23" ht="20.25" customHeight="1" x14ac:dyDescent="0.25">
      <c r="A14" s="36">
        <v>7</v>
      </c>
      <c r="B14" s="24">
        <v>23417</v>
      </c>
      <c r="C14" s="24">
        <f t="shared" si="2"/>
        <v>3900</v>
      </c>
      <c r="D14" s="24">
        <v>55988</v>
      </c>
      <c r="E14" s="24">
        <f t="shared" si="3"/>
        <v>3.141</v>
      </c>
      <c r="F14" s="24">
        <v>32671</v>
      </c>
      <c r="G14" s="24">
        <f t="shared" si="4"/>
        <v>3</v>
      </c>
      <c r="H14" s="24">
        <v>11180502</v>
      </c>
      <c r="I14" s="24">
        <f t="shared" si="6"/>
        <v>585</v>
      </c>
      <c r="J14" s="44">
        <v>393786</v>
      </c>
      <c r="K14" s="24">
        <f t="shared" si="6"/>
        <v>670</v>
      </c>
      <c r="L14" s="44">
        <v>34312</v>
      </c>
      <c r="M14" s="24">
        <f t="shared" si="5"/>
        <v>2.1</v>
      </c>
      <c r="N14" s="44">
        <v>30873170</v>
      </c>
      <c r="O14" s="24">
        <f t="shared" si="7"/>
        <v>3930</v>
      </c>
      <c r="P14" s="44">
        <v>6348610</v>
      </c>
      <c r="Q14" s="31">
        <f t="shared" si="7"/>
        <v>1029</v>
      </c>
      <c r="R14" s="39">
        <v>86</v>
      </c>
      <c r="S14" s="36">
        <v>78</v>
      </c>
      <c r="T14" s="24">
        <v>56</v>
      </c>
      <c r="U14" s="24">
        <f t="shared" si="0"/>
        <v>67</v>
      </c>
      <c r="V14" s="31">
        <v>0</v>
      </c>
      <c r="W14" s="42">
        <f t="shared" si="8"/>
        <v>2</v>
      </c>
    </row>
    <row r="15" spans="1:23" ht="20.25" customHeight="1" x14ac:dyDescent="0.25">
      <c r="A15" s="36">
        <v>8</v>
      </c>
      <c r="B15" s="24">
        <v>23451</v>
      </c>
      <c r="C15" s="24">
        <f t="shared" si="2"/>
        <v>10200</v>
      </c>
      <c r="D15" s="24">
        <v>56040</v>
      </c>
      <c r="E15" s="24">
        <f t="shared" si="3"/>
        <v>54.443999999999996</v>
      </c>
      <c r="F15" s="24">
        <v>32737</v>
      </c>
      <c r="G15" s="24">
        <f t="shared" si="4"/>
        <v>6.6000000000000005</v>
      </c>
      <c r="H15" s="24">
        <v>11183570</v>
      </c>
      <c r="I15" s="24">
        <f t="shared" si="6"/>
        <v>3068</v>
      </c>
      <c r="J15" s="44">
        <v>395844</v>
      </c>
      <c r="K15" s="24">
        <f t="shared" si="6"/>
        <v>2058</v>
      </c>
      <c r="L15" s="44">
        <v>34355</v>
      </c>
      <c r="M15" s="24">
        <f t="shared" si="5"/>
        <v>4.3</v>
      </c>
      <c r="N15" s="44">
        <v>30882400</v>
      </c>
      <c r="O15" s="24">
        <f t="shared" si="7"/>
        <v>9230</v>
      </c>
      <c r="P15" s="44">
        <v>6351346</v>
      </c>
      <c r="Q15" s="31">
        <f t="shared" si="7"/>
        <v>2736</v>
      </c>
      <c r="R15" s="39">
        <v>98</v>
      </c>
      <c r="S15" s="36">
        <v>83</v>
      </c>
      <c r="T15" s="24">
        <v>57</v>
      </c>
      <c r="U15" s="24">
        <f t="shared" si="0"/>
        <v>70</v>
      </c>
      <c r="V15" s="31">
        <v>0</v>
      </c>
      <c r="W15" s="42">
        <f t="shared" si="8"/>
        <v>5</v>
      </c>
    </row>
    <row r="16" spans="1:23" ht="20.25" customHeight="1" x14ac:dyDescent="0.25">
      <c r="A16" s="36">
        <v>9</v>
      </c>
      <c r="B16" s="24">
        <v>23486</v>
      </c>
      <c r="C16" s="24">
        <f>+(B16-B15)*300</f>
        <v>10500</v>
      </c>
      <c r="D16" s="24">
        <v>56084</v>
      </c>
      <c r="E16" s="24">
        <f t="shared" si="3"/>
        <v>46.067999999999998</v>
      </c>
      <c r="F16" s="24">
        <v>32803</v>
      </c>
      <c r="G16" s="24">
        <f t="shared" si="4"/>
        <v>6.6000000000000005</v>
      </c>
      <c r="H16" s="24">
        <v>11186880</v>
      </c>
      <c r="I16" s="24">
        <f t="shared" si="6"/>
        <v>3310</v>
      </c>
      <c r="J16" s="44">
        <v>396599</v>
      </c>
      <c r="K16" s="24">
        <f t="shared" si="6"/>
        <v>755</v>
      </c>
      <c r="L16" s="44">
        <v>34395</v>
      </c>
      <c r="M16" s="24">
        <f t="shared" si="5"/>
        <v>4</v>
      </c>
      <c r="N16" s="44">
        <v>30890700</v>
      </c>
      <c r="O16" s="24">
        <f t="shared" si="7"/>
        <v>8300</v>
      </c>
      <c r="P16" s="44">
        <v>6354073</v>
      </c>
      <c r="Q16" s="31">
        <f t="shared" si="7"/>
        <v>2727</v>
      </c>
      <c r="R16" s="39">
        <v>98</v>
      </c>
      <c r="S16" s="36">
        <v>72</v>
      </c>
      <c r="T16" s="24">
        <v>60</v>
      </c>
      <c r="U16" s="24">
        <f t="shared" si="0"/>
        <v>66</v>
      </c>
      <c r="V16" s="31">
        <v>0</v>
      </c>
      <c r="W16" s="42">
        <f t="shared" si="8"/>
        <v>1</v>
      </c>
    </row>
    <row r="17" spans="1:23" ht="20.25" customHeight="1" x14ac:dyDescent="0.25">
      <c r="A17" s="36">
        <v>10</v>
      </c>
      <c r="B17" s="24">
        <v>23514</v>
      </c>
      <c r="C17" s="24">
        <f t="shared" si="2"/>
        <v>8400</v>
      </c>
      <c r="D17" s="24">
        <v>56130</v>
      </c>
      <c r="E17" s="24">
        <f t="shared" si="3"/>
        <v>48.161999999999999</v>
      </c>
      <c r="F17" s="24">
        <v>32869</v>
      </c>
      <c r="G17" s="24">
        <f t="shared" si="4"/>
        <v>6.6000000000000005</v>
      </c>
      <c r="H17" s="24">
        <v>11189740</v>
      </c>
      <c r="I17" s="24">
        <f t="shared" si="6"/>
        <v>2860</v>
      </c>
      <c r="J17" s="44">
        <v>399020</v>
      </c>
      <c r="K17" s="24">
        <f t="shared" si="6"/>
        <v>2421</v>
      </c>
      <c r="L17" s="44">
        <v>34445</v>
      </c>
      <c r="M17" s="24">
        <f t="shared" si="5"/>
        <v>5</v>
      </c>
      <c r="N17" s="44">
        <v>30898930</v>
      </c>
      <c r="O17" s="24">
        <f t="shared" si="7"/>
        <v>8230</v>
      </c>
      <c r="P17" s="44">
        <v>6355777</v>
      </c>
      <c r="Q17" s="31">
        <f t="shared" si="7"/>
        <v>1704</v>
      </c>
      <c r="R17" s="39">
        <v>65</v>
      </c>
      <c r="S17" s="36">
        <v>72</v>
      </c>
      <c r="T17" s="24">
        <v>60</v>
      </c>
      <c r="U17" s="24">
        <f t="shared" si="0"/>
        <v>66</v>
      </c>
      <c r="V17" s="31">
        <v>0</v>
      </c>
      <c r="W17" s="42">
        <f t="shared" si="8"/>
        <v>1</v>
      </c>
    </row>
    <row r="18" spans="1:23" ht="20.25" customHeight="1" x14ac:dyDescent="0.25">
      <c r="A18" s="36">
        <v>11</v>
      </c>
      <c r="B18" s="24">
        <v>23547</v>
      </c>
      <c r="C18" s="24">
        <f t="shared" si="2"/>
        <v>9900</v>
      </c>
      <c r="D18" s="24">
        <v>56185</v>
      </c>
      <c r="E18" s="24">
        <f t="shared" si="3"/>
        <v>57.584999999999994</v>
      </c>
      <c r="F18" s="24">
        <v>32956</v>
      </c>
      <c r="G18" s="24">
        <f t="shared" si="4"/>
        <v>8.7000000000000011</v>
      </c>
      <c r="H18" s="24">
        <v>11192805</v>
      </c>
      <c r="I18" s="24">
        <f t="shared" si="6"/>
        <v>3065</v>
      </c>
      <c r="J18" s="44">
        <v>401617</v>
      </c>
      <c r="K18" s="24">
        <f t="shared" si="6"/>
        <v>2597</v>
      </c>
      <c r="L18" s="44">
        <v>34492</v>
      </c>
      <c r="M18" s="24">
        <f t="shared" si="5"/>
        <v>4.7</v>
      </c>
      <c r="N18" s="44">
        <v>30908945</v>
      </c>
      <c r="O18" s="24">
        <f t="shared" si="7"/>
        <v>10015</v>
      </c>
      <c r="P18" s="44">
        <v>6356375</v>
      </c>
      <c r="Q18" s="31">
        <f t="shared" si="7"/>
        <v>598</v>
      </c>
      <c r="R18" s="39">
        <v>82</v>
      </c>
      <c r="S18" s="36">
        <v>74</v>
      </c>
      <c r="T18" s="24">
        <v>59</v>
      </c>
      <c r="U18" s="24">
        <f t="shared" si="0"/>
        <v>66.5</v>
      </c>
      <c r="V18" s="31">
        <v>0</v>
      </c>
      <c r="W18" s="42">
        <f t="shared" si="8"/>
        <v>1.5</v>
      </c>
    </row>
    <row r="19" spans="1:23" ht="20.25" customHeight="1" x14ac:dyDescent="0.25">
      <c r="A19" s="36">
        <v>12</v>
      </c>
      <c r="B19" s="24">
        <v>23566</v>
      </c>
      <c r="C19" s="24">
        <f t="shared" si="2"/>
        <v>5700</v>
      </c>
      <c r="D19" s="24">
        <v>56217</v>
      </c>
      <c r="E19" s="24">
        <f t="shared" si="3"/>
        <v>33.503999999999998</v>
      </c>
      <c r="F19" s="24">
        <v>33008</v>
      </c>
      <c r="G19" s="24">
        <f t="shared" si="4"/>
        <v>5.2</v>
      </c>
      <c r="H19" s="24">
        <v>11194398</v>
      </c>
      <c r="I19" s="24">
        <f t="shared" si="6"/>
        <v>1593</v>
      </c>
      <c r="J19" s="44">
        <v>402639</v>
      </c>
      <c r="K19" s="24">
        <f t="shared" si="6"/>
        <v>1022</v>
      </c>
      <c r="L19" s="44">
        <v>34526</v>
      </c>
      <c r="M19" s="24">
        <f t="shared" si="5"/>
        <v>3.4000000000000004</v>
      </c>
      <c r="N19" s="44">
        <v>30914124</v>
      </c>
      <c r="O19" s="24">
        <f t="shared" si="7"/>
        <v>5179</v>
      </c>
      <c r="P19" s="44">
        <v>6357107</v>
      </c>
      <c r="Q19" s="31">
        <f t="shared" si="7"/>
        <v>732</v>
      </c>
      <c r="R19" s="39">
        <v>86</v>
      </c>
      <c r="S19" s="36">
        <v>69</v>
      </c>
      <c r="T19" s="24">
        <v>58</v>
      </c>
      <c r="U19" s="24">
        <f t="shared" si="0"/>
        <v>63.5</v>
      </c>
      <c r="V19" s="31">
        <f t="shared" si="1"/>
        <v>1.5</v>
      </c>
      <c r="W19" s="42">
        <v>0</v>
      </c>
    </row>
    <row r="20" spans="1:23" ht="20.25" customHeight="1" x14ac:dyDescent="0.25">
      <c r="A20" s="36">
        <v>13</v>
      </c>
      <c r="B20" s="24">
        <v>23593</v>
      </c>
      <c r="C20" s="24">
        <f t="shared" si="2"/>
        <v>8100</v>
      </c>
      <c r="D20" s="24">
        <v>56261</v>
      </c>
      <c r="E20" s="24">
        <f t="shared" si="3"/>
        <v>46.067999999999998</v>
      </c>
      <c r="F20" s="24">
        <v>33076</v>
      </c>
      <c r="G20" s="24">
        <f t="shared" si="4"/>
        <v>6.8000000000000007</v>
      </c>
      <c r="H20" s="24">
        <v>11196721</v>
      </c>
      <c r="I20" s="24">
        <f t="shared" si="6"/>
        <v>2323</v>
      </c>
      <c r="J20" s="44">
        <v>403917</v>
      </c>
      <c r="K20" s="24">
        <f t="shared" si="6"/>
        <v>1278</v>
      </c>
      <c r="L20" s="44">
        <v>34571</v>
      </c>
      <c r="M20" s="24">
        <f t="shared" si="5"/>
        <v>4.5</v>
      </c>
      <c r="N20" s="44">
        <v>30921098</v>
      </c>
      <c r="O20" s="24">
        <f t="shared" si="7"/>
        <v>6974</v>
      </c>
      <c r="P20" s="44">
        <v>6357696</v>
      </c>
      <c r="Q20" s="31">
        <f t="shared" si="7"/>
        <v>589</v>
      </c>
      <c r="R20" s="39">
        <v>118</v>
      </c>
      <c r="S20" s="36">
        <v>70</v>
      </c>
      <c r="T20" s="24">
        <v>59</v>
      </c>
      <c r="U20" s="24">
        <f t="shared" si="0"/>
        <v>64.5</v>
      </c>
      <c r="V20" s="31">
        <f t="shared" si="1"/>
        <v>0.5</v>
      </c>
      <c r="W20" s="42">
        <v>0</v>
      </c>
    </row>
    <row r="21" spans="1:23" ht="20.25" customHeight="1" x14ac:dyDescent="0.25">
      <c r="A21" s="36">
        <v>14</v>
      </c>
      <c r="B21" s="24">
        <v>23618</v>
      </c>
      <c r="C21" s="24">
        <f t="shared" si="2"/>
        <v>7500</v>
      </c>
      <c r="D21" s="24">
        <v>56307</v>
      </c>
      <c r="E21" s="24">
        <f t="shared" si="3"/>
        <v>48.161999999999999</v>
      </c>
      <c r="F21" s="24">
        <v>33142</v>
      </c>
      <c r="G21" s="24">
        <f t="shared" si="4"/>
        <v>6.6000000000000005</v>
      </c>
      <c r="H21" s="24">
        <v>11199210</v>
      </c>
      <c r="I21" s="24">
        <f t="shared" si="6"/>
        <v>2489</v>
      </c>
      <c r="J21" s="44">
        <v>405095</v>
      </c>
      <c r="K21" s="24">
        <f t="shared" si="6"/>
        <v>1178</v>
      </c>
      <c r="L21" s="44">
        <v>34618</v>
      </c>
      <c r="M21" s="24">
        <f t="shared" si="5"/>
        <v>4.7</v>
      </c>
      <c r="N21" s="44">
        <v>30928550</v>
      </c>
      <c r="O21" s="24">
        <f t="shared" si="7"/>
        <v>7452</v>
      </c>
      <c r="P21" s="44">
        <v>6358283</v>
      </c>
      <c r="Q21" s="31">
        <f t="shared" si="7"/>
        <v>587</v>
      </c>
      <c r="R21" s="39">
        <v>148</v>
      </c>
      <c r="S21" s="36">
        <v>71</v>
      </c>
      <c r="T21" s="24">
        <v>60</v>
      </c>
      <c r="U21" s="24">
        <f t="shared" si="0"/>
        <v>65.5</v>
      </c>
      <c r="V21" s="31">
        <v>0</v>
      </c>
      <c r="W21" s="42">
        <f t="shared" si="8"/>
        <v>0.5</v>
      </c>
    </row>
    <row r="22" spans="1:23" ht="20.25" customHeight="1" x14ac:dyDescent="0.25">
      <c r="A22" s="36">
        <v>15</v>
      </c>
      <c r="B22" s="24">
        <v>23646</v>
      </c>
      <c r="C22" s="24">
        <f t="shared" si="2"/>
        <v>8400</v>
      </c>
      <c r="D22" s="24">
        <v>56355</v>
      </c>
      <c r="E22" s="24">
        <f t="shared" si="3"/>
        <v>50.256</v>
      </c>
      <c r="F22" s="24">
        <v>33212</v>
      </c>
      <c r="G22" s="24">
        <f t="shared" si="4"/>
        <v>7</v>
      </c>
      <c r="H22" s="24">
        <v>11202100</v>
      </c>
      <c r="I22" s="24">
        <f t="shared" si="6"/>
        <v>2890</v>
      </c>
      <c r="J22" s="44">
        <v>406442</v>
      </c>
      <c r="K22" s="24">
        <f t="shared" si="6"/>
        <v>1347</v>
      </c>
      <c r="L22" s="44">
        <v>34677</v>
      </c>
      <c r="M22" s="24">
        <f t="shared" si="5"/>
        <v>5.9</v>
      </c>
      <c r="N22" s="44">
        <v>30936800</v>
      </c>
      <c r="O22" s="24">
        <f t="shared" si="7"/>
        <v>8250</v>
      </c>
      <c r="P22" s="44">
        <v>6358860</v>
      </c>
      <c r="Q22" s="31">
        <f t="shared" si="7"/>
        <v>577</v>
      </c>
      <c r="R22" s="39">
        <v>147</v>
      </c>
      <c r="S22" s="36">
        <v>69</v>
      </c>
      <c r="T22" s="24">
        <v>57</v>
      </c>
      <c r="U22" s="24">
        <f t="shared" si="0"/>
        <v>63</v>
      </c>
      <c r="V22" s="31">
        <f t="shared" si="1"/>
        <v>2</v>
      </c>
      <c r="W22" s="42">
        <v>0</v>
      </c>
    </row>
    <row r="23" spans="1:23" ht="20.25" customHeight="1" x14ac:dyDescent="0.25">
      <c r="A23" s="36">
        <v>16</v>
      </c>
      <c r="B23" s="24">
        <v>23671</v>
      </c>
      <c r="C23" s="24">
        <f t="shared" si="2"/>
        <v>7500</v>
      </c>
      <c r="D23" s="24">
        <v>56402</v>
      </c>
      <c r="E23" s="24">
        <f t="shared" si="3"/>
        <v>49.208999999999996</v>
      </c>
      <c r="F23" s="24">
        <v>33279</v>
      </c>
      <c r="G23" s="24">
        <f t="shared" si="4"/>
        <v>6.7</v>
      </c>
      <c r="H23" s="24">
        <v>11205085</v>
      </c>
      <c r="I23" s="24">
        <f t="shared" si="6"/>
        <v>2985</v>
      </c>
      <c r="J23" s="44">
        <v>407613</v>
      </c>
      <c r="K23" s="24">
        <f t="shared" si="6"/>
        <v>1171</v>
      </c>
      <c r="L23" s="44">
        <v>34739</v>
      </c>
      <c r="M23" s="24">
        <f t="shared" si="5"/>
        <v>6.2</v>
      </c>
      <c r="N23" s="44">
        <v>30945510</v>
      </c>
      <c r="O23" s="24">
        <f t="shared" si="7"/>
        <v>8710</v>
      </c>
      <c r="P23" s="44">
        <v>6359553</v>
      </c>
      <c r="Q23" s="31">
        <f t="shared" si="7"/>
        <v>693</v>
      </c>
      <c r="R23" s="45"/>
      <c r="S23" s="46"/>
      <c r="T23" s="47"/>
      <c r="U23" s="24">
        <f t="shared" si="0"/>
        <v>0</v>
      </c>
      <c r="V23" s="31">
        <v>0</v>
      </c>
      <c r="W23" s="42">
        <v>0</v>
      </c>
    </row>
    <row r="24" spans="1:23" ht="20.25" customHeight="1" x14ac:dyDescent="0.25">
      <c r="A24" s="36">
        <v>17</v>
      </c>
      <c r="B24" s="24">
        <v>23696</v>
      </c>
      <c r="C24" s="24">
        <f t="shared" si="2"/>
        <v>7500</v>
      </c>
      <c r="D24" s="24">
        <v>56449</v>
      </c>
      <c r="E24" s="24">
        <f t="shared" si="3"/>
        <v>49.208999999999996</v>
      </c>
      <c r="F24" s="24">
        <v>33348</v>
      </c>
      <c r="G24" s="24">
        <f t="shared" si="4"/>
        <v>6.9</v>
      </c>
      <c r="H24" s="24">
        <v>11207340</v>
      </c>
      <c r="I24" s="24">
        <f t="shared" si="6"/>
        <v>2255</v>
      </c>
      <c r="J24" s="44">
        <v>408805</v>
      </c>
      <c r="K24" s="24">
        <f t="shared" si="6"/>
        <v>1192</v>
      </c>
      <c r="L24" s="44">
        <v>34799</v>
      </c>
      <c r="M24" s="24">
        <f t="shared" si="5"/>
        <v>6</v>
      </c>
      <c r="N24" s="44">
        <v>30952915</v>
      </c>
      <c r="O24" s="24">
        <f t="shared" si="7"/>
        <v>7405</v>
      </c>
      <c r="P24" s="44">
        <v>6360320</v>
      </c>
      <c r="Q24" s="31">
        <f t="shared" si="7"/>
        <v>767</v>
      </c>
      <c r="R24" s="39">
        <v>104</v>
      </c>
      <c r="S24" s="36">
        <v>68</v>
      </c>
      <c r="T24" s="24">
        <v>60</v>
      </c>
      <c r="U24" s="24">
        <f t="shared" si="0"/>
        <v>64</v>
      </c>
      <c r="V24" s="31">
        <f t="shared" si="1"/>
        <v>1</v>
      </c>
      <c r="W24" s="42">
        <v>0</v>
      </c>
    </row>
    <row r="25" spans="1:23" ht="20.25" customHeight="1" x14ac:dyDescent="0.25">
      <c r="A25" s="36">
        <v>18</v>
      </c>
      <c r="B25" s="24">
        <v>23723</v>
      </c>
      <c r="C25" s="24">
        <f t="shared" si="2"/>
        <v>8100</v>
      </c>
      <c r="D25" s="24">
        <v>56500</v>
      </c>
      <c r="E25" s="24">
        <f t="shared" si="3"/>
        <v>53.396999999999998</v>
      </c>
      <c r="F25" s="24">
        <v>33422</v>
      </c>
      <c r="G25" s="24">
        <f t="shared" si="4"/>
        <v>7.4</v>
      </c>
      <c r="H25" s="24">
        <v>11209882</v>
      </c>
      <c r="I25" s="24">
        <f t="shared" si="6"/>
        <v>2542</v>
      </c>
      <c r="J25" s="44">
        <v>409745</v>
      </c>
      <c r="K25" s="24">
        <f t="shared" si="6"/>
        <v>940</v>
      </c>
      <c r="L25" s="44">
        <v>34873</v>
      </c>
      <c r="M25" s="24">
        <f t="shared" si="5"/>
        <v>7.4</v>
      </c>
      <c r="N25" s="44">
        <v>30963332</v>
      </c>
      <c r="O25" s="24">
        <f t="shared" si="7"/>
        <v>10417</v>
      </c>
      <c r="P25" s="44">
        <v>6361598</v>
      </c>
      <c r="Q25" s="31">
        <f t="shared" si="7"/>
        <v>1278</v>
      </c>
      <c r="R25" s="39">
        <v>123</v>
      </c>
      <c r="S25" s="36">
        <v>70</v>
      </c>
      <c r="T25" s="24">
        <v>60</v>
      </c>
      <c r="U25" s="24">
        <f t="shared" si="0"/>
        <v>65</v>
      </c>
      <c r="V25" s="31">
        <f t="shared" si="1"/>
        <v>0</v>
      </c>
      <c r="W25" s="42">
        <f t="shared" si="8"/>
        <v>0</v>
      </c>
    </row>
    <row r="26" spans="1:23" ht="20.25" customHeight="1" x14ac:dyDescent="0.25">
      <c r="A26" s="36">
        <v>19</v>
      </c>
      <c r="B26" s="24">
        <v>23752</v>
      </c>
      <c r="C26" s="24">
        <f t="shared" si="2"/>
        <v>8700</v>
      </c>
      <c r="D26" s="24">
        <v>56578</v>
      </c>
      <c r="E26" s="24">
        <f t="shared" si="3"/>
        <v>81.665999999999997</v>
      </c>
      <c r="F26" s="24">
        <v>33524</v>
      </c>
      <c r="G26" s="24">
        <f t="shared" si="4"/>
        <v>10.200000000000001</v>
      </c>
      <c r="H26" s="24">
        <v>11213932</v>
      </c>
      <c r="I26" s="24">
        <f t="shared" si="6"/>
        <v>4050</v>
      </c>
      <c r="J26" s="44">
        <v>411172</v>
      </c>
      <c r="K26" s="24">
        <f t="shared" si="6"/>
        <v>1427</v>
      </c>
      <c r="L26" s="44">
        <v>34950</v>
      </c>
      <c r="M26" s="24">
        <f t="shared" si="5"/>
        <v>7.7</v>
      </c>
      <c r="N26" s="44">
        <v>30972674</v>
      </c>
      <c r="O26" s="24">
        <f t="shared" si="7"/>
        <v>9342</v>
      </c>
      <c r="P26" s="44">
        <v>6362936</v>
      </c>
      <c r="Q26" s="31">
        <f t="shared" si="7"/>
        <v>1338</v>
      </c>
      <c r="R26" s="39">
        <v>72</v>
      </c>
      <c r="S26" s="36">
        <v>73</v>
      </c>
      <c r="T26" s="24">
        <v>58</v>
      </c>
      <c r="U26" s="24">
        <f t="shared" si="0"/>
        <v>65.5</v>
      </c>
      <c r="V26" s="31">
        <v>0</v>
      </c>
      <c r="W26" s="42">
        <f t="shared" si="8"/>
        <v>0.5</v>
      </c>
    </row>
    <row r="27" spans="1:23" ht="20.25" customHeight="1" x14ac:dyDescent="0.25">
      <c r="A27" s="36">
        <v>20</v>
      </c>
      <c r="B27" s="24">
        <v>23783</v>
      </c>
      <c r="C27" s="24">
        <f t="shared" si="2"/>
        <v>9300</v>
      </c>
      <c r="D27" s="24">
        <v>56611</v>
      </c>
      <c r="E27" s="24">
        <f t="shared" si="3"/>
        <v>34.550999999999995</v>
      </c>
      <c r="F27" s="24">
        <v>33575</v>
      </c>
      <c r="G27" s="24">
        <f t="shared" si="4"/>
        <v>5.1000000000000005</v>
      </c>
      <c r="H27" s="24">
        <v>11215946</v>
      </c>
      <c r="I27" s="24">
        <f t="shared" si="6"/>
        <v>2014</v>
      </c>
      <c r="J27" s="44">
        <v>411812</v>
      </c>
      <c r="K27" s="24">
        <f t="shared" si="6"/>
        <v>640</v>
      </c>
      <c r="L27" s="44">
        <v>35008</v>
      </c>
      <c r="M27" s="24">
        <f t="shared" si="5"/>
        <v>5.8000000000000007</v>
      </c>
      <c r="N27" s="44">
        <v>30978894</v>
      </c>
      <c r="O27" s="24">
        <f t="shared" ref="O27:Q37" si="9">+N27-N26</f>
        <v>6220</v>
      </c>
      <c r="P27" s="44">
        <v>6363725</v>
      </c>
      <c r="Q27" s="31">
        <f t="shared" si="9"/>
        <v>789</v>
      </c>
      <c r="R27" s="39">
        <v>133</v>
      </c>
      <c r="S27" s="36">
        <v>72</v>
      </c>
      <c r="T27" s="24">
        <v>58</v>
      </c>
      <c r="U27" s="24">
        <f t="shared" si="0"/>
        <v>65</v>
      </c>
      <c r="V27" s="31">
        <f t="shared" si="1"/>
        <v>0</v>
      </c>
      <c r="W27" s="42">
        <f t="shared" si="8"/>
        <v>0</v>
      </c>
    </row>
    <row r="28" spans="1:23" ht="20.25" customHeight="1" x14ac:dyDescent="0.25">
      <c r="A28" s="36">
        <v>21</v>
      </c>
      <c r="B28" s="24">
        <v>23801</v>
      </c>
      <c r="C28" s="24">
        <f t="shared" si="2"/>
        <v>5400</v>
      </c>
      <c r="D28" s="24">
        <v>56645</v>
      </c>
      <c r="E28" s="24">
        <f t="shared" si="3"/>
        <v>35.597999999999999</v>
      </c>
      <c r="F28" s="24">
        <v>33623</v>
      </c>
      <c r="G28" s="24">
        <f t="shared" si="4"/>
        <v>4.8000000000000007</v>
      </c>
      <c r="H28" s="24">
        <v>11217563</v>
      </c>
      <c r="I28" s="24">
        <f t="shared" si="6"/>
        <v>1617</v>
      </c>
      <c r="J28" s="44">
        <v>412340</v>
      </c>
      <c r="K28" s="24">
        <f t="shared" si="6"/>
        <v>528</v>
      </c>
      <c r="L28" s="44">
        <v>35055</v>
      </c>
      <c r="M28" s="24">
        <f t="shared" si="5"/>
        <v>4.7</v>
      </c>
      <c r="N28" s="44">
        <v>30984305</v>
      </c>
      <c r="O28" s="24">
        <f t="shared" si="9"/>
        <v>5411</v>
      </c>
      <c r="P28" s="44">
        <v>6364361</v>
      </c>
      <c r="Q28" s="31">
        <f t="shared" si="9"/>
        <v>636</v>
      </c>
      <c r="R28" s="39">
        <v>148</v>
      </c>
      <c r="S28" s="36">
        <v>69</v>
      </c>
      <c r="T28" s="24">
        <v>57</v>
      </c>
      <c r="U28" s="24">
        <f t="shared" si="0"/>
        <v>63</v>
      </c>
      <c r="V28" s="31">
        <f t="shared" si="1"/>
        <v>2</v>
      </c>
      <c r="W28" s="42">
        <f t="shared" si="8"/>
        <v>-2</v>
      </c>
    </row>
    <row r="29" spans="1:23" ht="20.25" customHeight="1" x14ac:dyDescent="0.25">
      <c r="A29" s="36">
        <v>22</v>
      </c>
      <c r="B29" s="24">
        <v>23829</v>
      </c>
      <c r="C29" s="24">
        <f t="shared" si="2"/>
        <v>8400</v>
      </c>
      <c r="D29" s="24">
        <v>56699</v>
      </c>
      <c r="E29" s="24">
        <f t="shared" si="3"/>
        <v>56.537999999999997</v>
      </c>
      <c r="F29" s="24">
        <v>33695</v>
      </c>
      <c r="G29" s="24">
        <f t="shared" si="4"/>
        <v>7.2</v>
      </c>
      <c r="H29" s="24">
        <v>11221090</v>
      </c>
      <c r="I29" s="24">
        <f t="shared" si="6"/>
        <v>3527</v>
      </c>
      <c r="J29" s="44">
        <v>413503</v>
      </c>
      <c r="K29" s="24">
        <f t="shared" si="6"/>
        <v>1163</v>
      </c>
      <c r="L29" s="44">
        <v>35121</v>
      </c>
      <c r="M29" s="24">
        <f t="shared" si="5"/>
        <v>6.6000000000000005</v>
      </c>
      <c r="N29" s="44">
        <v>30991790</v>
      </c>
      <c r="O29" s="24">
        <f t="shared" si="9"/>
        <v>7485</v>
      </c>
      <c r="P29" s="44">
        <v>6365322</v>
      </c>
      <c r="Q29" s="31">
        <f t="shared" si="9"/>
        <v>961</v>
      </c>
      <c r="R29" s="39">
        <v>151</v>
      </c>
      <c r="S29" s="36">
        <v>74</v>
      </c>
      <c r="T29" s="24">
        <v>56</v>
      </c>
      <c r="U29" s="24">
        <f t="shared" si="0"/>
        <v>65</v>
      </c>
      <c r="V29" s="31">
        <f t="shared" si="1"/>
        <v>0</v>
      </c>
      <c r="W29" s="42">
        <f t="shared" si="8"/>
        <v>0</v>
      </c>
    </row>
    <row r="30" spans="1:23" ht="20.25" customHeight="1" x14ac:dyDescent="0.25">
      <c r="A30" s="36">
        <v>23</v>
      </c>
      <c r="B30" s="24">
        <v>23856</v>
      </c>
      <c r="C30" s="24">
        <f t="shared" si="2"/>
        <v>8100</v>
      </c>
      <c r="D30" s="24">
        <v>56746</v>
      </c>
      <c r="E30" s="24">
        <f t="shared" si="3"/>
        <v>49.208999999999996</v>
      </c>
      <c r="F30" s="24">
        <v>33759</v>
      </c>
      <c r="G30" s="24">
        <f t="shared" si="4"/>
        <v>6.4</v>
      </c>
      <c r="H30" s="24">
        <v>11224210</v>
      </c>
      <c r="I30" s="24">
        <f t="shared" si="6"/>
        <v>3120</v>
      </c>
      <c r="J30" s="44">
        <v>414536</v>
      </c>
      <c r="K30" s="24">
        <f t="shared" si="6"/>
        <v>1033</v>
      </c>
      <c r="L30" s="44">
        <v>35182</v>
      </c>
      <c r="M30" s="24">
        <f t="shared" si="5"/>
        <v>6.1000000000000005</v>
      </c>
      <c r="N30" s="44">
        <v>31000600</v>
      </c>
      <c r="O30" s="24">
        <f t="shared" si="9"/>
        <v>8810</v>
      </c>
      <c r="P30" s="44">
        <v>6368725</v>
      </c>
      <c r="Q30" s="31">
        <f t="shared" si="9"/>
        <v>3403</v>
      </c>
      <c r="R30" s="39">
        <v>131</v>
      </c>
      <c r="S30" s="36">
        <v>76</v>
      </c>
      <c r="T30" s="24">
        <v>56</v>
      </c>
      <c r="U30" s="24">
        <f t="shared" si="0"/>
        <v>66</v>
      </c>
      <c r="V30" s="31">
        <v>0</v>
      </c>
      <c r="W30" s="42">
        <f t="shared" si="8"/>
        <v>1</v>
      </c>
    </row>
    <row r="31" spans="1:23" ht="20.25" customHeight="1" x14ac:dyDescent="0.25">
      <c r="A31" s="36">
        <v>24</v>
      </c>
      <c r="B31" s="24">
        <v>23888</v>
      </c>
      <c r="C31" s="24">
        <f t="shared" si="2"/>
        <v>9600</v>
      </c>
      <c r="D31" s="24">
        <v>56802</v>
      </c>
      <c r="E31" s="24">
        <f t="shared" si="3"/>
        <v>58.631999999999998</v>
      </c>
      <c r="F31" s="24">
        <v>33833</v>
      </c>
      <c r="G31" s="24">
        <f t="shared" si="4"/>
        <v>7.4</v>
      </c>
      <c r="H31" s="24">
        <v>11227810</v>
      </c>
      <c r="I31" s="24">
        <f t="shared" si="6"/>
        <v>3600</v>
      </c>
      <c r="J31" s="24">
        <v>415869</v>
      </c>
      <c r="K31" s="24">
        <f t="shared" si="6"/>
        <v>1333</v>
      </c>
      <c r="L31" s="24">
        <v>35259</v>
      </c>
      <c r="M31" s="24">
        <f t="shared" si="5"/>
        <v>7.7</v>
      </c>
      <c r="N31" s="24">
        <v>31013070</v>
      </c>
      <c r="O31" s="24">
        <f t="shared" si="9"/>
        <v>12470</v>
      </c>
      <c r="P31" s="24">
        <v>6369383</v>
      </c>
      <c r="Q31" s="31">
        <f t="shared" si="9"/>
        <v>658</v>
      </c>
      <c r="R31" s="39">
        <v>123</v>
      </c>
      <c r="S31" s="36">
        <v>79</v>
      </c>
      <c r="T31" s="24">
        <v>57</v>
      </c>
      <c r="U31" s="24">
        <f t="shared" si="0"/>
        <v>68</v>
      </c>
      <c r="V31" s="31">
        <v>0</v>
      </c>
      <c r="W31" s="42">
        <f t="shared" si="8"/>
        <v>3</v>
      </c>
    </row>
    <row r="32" spans="1:23" ht="20.25" customHeight="1" x14ac:dyDescent="0.25">
      <c r="A32" s="36">
        <v>25</v>
      </c>
      <c r="B32" s="24">
        <v>23917</v>
      </c>
      <c r="C32" s="24">
        <f t="shared" si="2"/>
        <v>8700</v>
      </c>
      <c r="D32" s="24">
        <v>56850</v>
      </c>
      <c r="E32" s="24">
        <f t="shared" si="3"/>
        <v>50.256</v>
      </c>
      <c r="F32" s="24">
        <v>33901</v>
      </c>
      <c r="G32" s="24">
        <f t="shared" si="4"/>
        <v>6.8000000000000007</v>
      </c>
      <c r="H32" s="24">
        <v>11230075</v>
      </c>
      <c r="I32" s="24">
        <f t="shared" si="6"/>
        <v>2265</v>
      </c>
      <c r="J32" s="24">
        <v>415988</v>
      </c>
      <c r="K32" s="24">
        <f t="shared" si="6"/>
        <v>119</v>
      </c>
      <c r="L32" s="24">
        <v>35312</v>
      </c>
      <c r="M32" s="24">
        <f t="shared" si="5"/>
        <v>5.3000000000000007</v>
      </c>
      <c r="N32" s="24">
        <v>31023317</v>
      </c>
      <c r="O32" s="24">
        <f t="shared" si="9"/>
        <v>10247</v>
      </c>
      <c r="P32" s="24">
        <v>6370910</v>
      </c>
      <c r="Q32" s="31">
        <f t="shared" si="9"/>
        <v>1527</v>
      </c>
      <c r="R32" s="39">
        <v>113</v>
      </c>
      <c r="S32" s="36">
        <v>69</v>
      </c>
      <c r="T32" s="24">
        <v>56</v>
      </c>
      <c r="U32" s="24">
        <f t="shared" si="0"/>
        <v>62.5</v>
      </c>
      <c r="V32" s="31">
        <f t="shared" si="1"/>
        <v>2.5</v>
      </c>
      <c r="W32" s="42">
        <v>0</v>
      </c>
    </row>
    <row r="33" spans="1:23" ht="20.25" customHeight="1" x14ac:dyDescent="0.25">
      <c r="A33" s="36">
        <v>26</v>
      </c>
      <c r="B33" s="24">
        <v>23942</v>
      </c>
      <c r="C33" s="24">
        <f t="shared" si="2"/>
        <v>7500</v>
      </c>
      <c r="D33" s="24">
        <v>56894</v>
      </c>
      <c r="E33" s="24">
        <f t="shared" si="3"/>
        <v>46.067999999999998</v>
      </c>
      <c r="F33" s="24">
        <v>33969</v>
      </c>
      <c r="G33" s="24">
        <f t="shared" si="4"/>
        <v>6.8000000000000007</v>
      </c>
      <c r="H33" s="24">
        <v>11231976</v>
      </c>
      <c r="I33" s="24">
        <f t="shared" si="6"/>
        <v>1901</v>
      </c>
      <c r="J33" s="24">
        <v>417545</v>
      </c>
      <c r="K33" s="24">
        <f t="shared" si="6"/>
        <v>1557</v>
      </c>
      <c r="L33" s="24">
        <v>35364</v>
      </c>
      <c r="M33" s="24">
        <f t="shared" si="5"/>
        <v>5.2</v>
      </c>
      <c r="N33" s="24">
        <v>31031526</v>
      </c>
      <c r="O33" s="24">
        <f t="shared" si="9"/>
        <v>8209</v>
      </c>
      <c r="P33" s="24">
        <v>6371777</v>
      </c>
      <c r="Q33" s="31">
        <f t="shared" si="9"/>
        <v>867</v>
      </c>
      <c r="R33" s="39">
        <v>91</v>
      </c>
      <c r="S33" s="36">
        <v>67</v>
      </c>
      <c r="T33" s="24">
        <v>56</v>
      </c>
      <c r="U33" s="24">
        <f t="shared" si="0"/>
        <v>61.5</v>
      </c>
      <c r="V33" s="31">
        <f t="shared" si="1"/>
        <v>3.5</v>
      </c>
      <c r="W33" s="42">
        <v>0</v>
      </c>
    </row>
    <row r="34" spans="1:23" ht="20.25" customHeight="1" x14ac:dyDescent="0.25">
      <c r="A34" s="36">
        <v>27</v>
      </c>
      <c r="B34" s="24">
        <v>23965</v>
      </c>
      <c r="C34" s="24">
        <f t="shared" si="2"/>
        <v>6900</v>
      </c>
      <c r="D34" s="24">
        <v>56940</v>
      </c>
      <c r="E34" s="24">
        <f t="shared" si="3"/>
        <v>48.161999999999999</v>
      </c>
      <c r="F34" s="24">
        <v>34036</v>
      </c>
      <c r="G34" s="24">
        <f t="shared" si="4"/>
        <v>6.7</v>
      </c>
      <c r="H34" s="24">
        <v>11233951</v>
      </c>
      <c r="I34" s="24">
        <f t="shared" si="6"/>
        <v>1975</v>
      </c>
      <c r="J34" s="24">
        <v>418194</v>
      </c>
      <c r="K34" s="24">
        <f t="shared" si="6"/>
        <v>649</v>
      </c>
      <c r="L34" s="24">
        <v>35430</v>
      </c>
      <c r="M34" s="24">
        <f t="shared" si="5"/>
        <v>6.6000000000000005</v>
      </c>
      <c r="N34" s="24">
        <v>31031711</v>
      </c>
      <c r="O34" s="24">
        <f t="shared" si="9"/>
        <v>185</v>
      </c>
      <c r="P34" s="24">
        <v>6372180</v>
      </c>
      <c r="Q34" s="31">
        <f t="shared" si="9"/>
        <v>403</v>
      </c>
      <c r="R34" s="39">
        <v>95</v>
      </c>
      <c r="S34" s="36">
        <v>67</v>
      </c>
      <c r="T34" s="24">
        <v>55</v>
      </c>
      <c r="U34" s="24">
        <f t="shared" si="0"/>
        <v>61</v>
      </c>
      <c r="V34" s="31">
        <f t="shared" si="1"/>
        <v>4</v>
      </c>
      <c r="W34" s="42">
        <v>0</v>
      </c>
    </row>
    <row r="35" spans="1:23" ht="20.25" customHeight="1" x14ac:dyDescent="0.25">
      <c r="A35" s="36">
        <v>28</v>
      </c>
      <c r="B35" s="24">
        <v>23988</v>
      </c>
      <c r="C35" s="24">
        <f t="shared" si="2"/>
        <v>6900</v>
      </c>
      <c r="D35" s="24">
        <v>56991</v>
      </c>
      <c r="E35" s="24">
        <f t="shared" si="3"/>
        <v>53.396999999999998</v>
      </c>
      <c r="F35" s="24">
        <v>34105</v>
      </c>
      <c r="G35" s="24">
        <f t="shared" si="4"/>
        <v>6.9</v>
      </c>
      <c r="H35" s="24">
        <v>11236470</v>
      </c>
      <c r="I35" s="24">
        <f t="shared" si="6"/>
        <v>2519</v>
      </c>
      <c r="J35" s="24">
        <v>418955</v>
      </c>
      <c r="K35" s="24">
        <f t="shared" si="6"/>
        <v>761</v>
      </c>
      <c r="L35" s="24">
        <v>35503</v>
      </c>
      <c r="M35" s="24">
        <f t="shared" si="5"/>
        <v>7.3000000000000007</v>
      </c>
      <c r="N35" s="24">
        <v>31043162</v>
      </c>
      <c r="O35" s="24">
        <f t="shared" si="9"/>
        <v>11451</v>
      </c>
      <c r="P35" s="24">
        <v>6372240</v>
      </c>
      <c r="Q35" s="31">
        <f t="shared" si="9"/>
        <v>60</v>
      </c>
      <c r="R35" s="39">
        <v>113</v>
      </c>
      <c r="S35" s="36">
        <v>72</v>
      </c>
      <c r="T35" s="24">
        <v>57</v>
      </c>
      <c r="U35" s="24">
        <f t="shared" si="0"/>
        <v>64.5</v>
      </c>
      <c r="V35" s="31">
        <f t="shared" si="1"/>
        <v>0.5</v>
      </c>
      <c r="W35" s="42">
        <v>0</v>
      </c>
    </row>
    <row r="36" spans="1:23" ht="20.25" customHeight="1" x14ac:dyDescent="0.25">
      <c r="A36" s="36">
        <v>29</v>
      </c>
      <c r="B36" s="24">
        <v>24013</v>
      </c>
      <c r="C36" s="24">
        <f t="shared" si="2"/>
        <v>7500</v>
      </c>
      <c r="D36" s="24">
        <v>57044</v>
      </c>
      <c r="E36" s="24">
        <f t="shared" si="3"/>
        <v>55.491</v>
      </c>
      <c r="F36" s="24">
        <v>34180</v>
      </c>
      <c r="G36" s="24">
        <f t="shared" si="4"/>
        <v>7.5</v>
      </c>
      <c r="H36" s="24">
        <v>11239020</v>
      </c>
      <c r="I36" s="24">
        <f t="shared" si="6"/>
        <v>2550</v>
      </c>
      <c r="J36" s="24">
        <v>418834</v>
      </c>
      <c r="K36" s="24">
        <f t="shared" si="6"/>
        <v>-121</v>
      </c>
      <c r="L36" s="24">
        <v>35577</v>
      </c>
      <c r="M36" s="24">
        <f t="shared" si="5"/>
        <v>7.4</v>
      </c>
      <c r="N36" s="24">
        <v>31050000</v>
      </c>
      <c r="O36" s="24">
        <f t="shared" si="9"/>
        <v>6838</v>
      </c>
      <c r="P36" s="24">
        <v>6373293</v>
      </c>
      <c r="Q36" s="31">
        <f t="shared" si="9"/>
        <v>1053</v>
      </c>
      <c r="R36" s="39">
        <v>130</v>
      </c>
      <c r="S36" s="36">
        <v>74</v>
      </c>
      <c r="T36" s="24">
        <v>56</v>
      </c>
      <c r="U36" s="24">
        <f t="shared" si="0"/>
        <v>65</v>
      </c>
      <c r="V36" s="31">
        <f t="shared" si="1"/>
        <v>0</v>
      </c>
      <c r="W36" s="42">
        <f t="shared" si="8"/>
        <v>0</v>
      </c>
    </row>
    <row r="37" spans="1:23" ht="20.25" customHeight="1" thickBot="1" x14ac:dyDescent="0.3">
      <c r="A37" s="37">
        <v>30</v>
      </c>
      <c r="B37" s="24">
        <v>24041</v>
      </c>
      <c r="C37" s="32">
        <f t="shared" si="2"/>
        <v>8400</v>
      </c>
      <c r="D37" s="24">
        <v>57094</v>
      </c>
      <c r="E37" s="32">
        <f t="shared" si="3"/>
        <v>52.349999999999994</v>
      </c>
      <c r="F37" s="24">
        <v>34241</v>
      </c>
      <c r="G37" s="32">
        <f t="shared" si="4"/>
        <v>6.1000000000000005</v>
      </c>
      <c r="H37" s="24">
        <v>11241970</v>
      </c>
      <c r="I37" s="32">
        <f t="shared" si="6"/>
        <v>2950</v>
      </c>
      <c r="J37" s="24">
        <v>421095</v>
      </c>
      <c r="K37" s="32">
        <f t="shared" si="6"/>
        <v>2261</v>
      </c>
      <c r="L37" s="24">
        <v>35658</v>
      </c>
      <c r="M37" s="32">
        <f t="shared" si="5"/>
        <v>8.1</v>
      </c>
      <c r="N37" s="24">
        <v>31059200</v>
      </c>
      <c r="O37" s="32">
        <f t="shared" si="9"/>
        <v>9200</v>
      </c>
      <c r="P37" s="24">
        <v>6373824</v>
      </c>
      <c r="Q37" s="33">
        <f t="shared" si="9"/>
        <v>531</v>
      </c>
      <c r="R37" s="40">
        <v>116</v>
      </c>
      <c r="S37" s="37">
        <v>74</v>
      </c>
      <c r="T37" s="32">
        <v>55</v>
      </c>
      <c r="U37" s="32">
        <f t="shared" si="0"/>
        <v>64.5</v>
      </c>
      <c r="V37" s="33">
        <f t="shared" si="1"/>
        <v>0.5</v>
      </c>
      <c r="W37" s="42">
        <v>0</v>
      </c>
    </row>
    <row r="38" spans="1:23" x14ac:dyDescent="0.25">
      <c r="S38" s="34"/>
      <c r="T38" s="34"/>
      <c r="U38" s="34"/>
      <c r="V38" s="34"/>
      <c r="W38" s="42"/>
    </row>
    <row r="39" spans="1:23" x14ac:dyDescent="0.25">
      <c r="A39" s="25" t="s">
        <v>15</v>
      </c>
      <c r="C39" s="26">
        <f>SUM(C8:C38)</f>
        <v>239700</v>
      </c>
      <c r="E39" s="26">
        <f>SUM(E8:E38)</f>
        <v>1413.4499999999998</v>
      </c>
      <c r="G39" s="26">
        <f>SUM(G8:G38)</f>
        <v>200.00000000000003</v>
      </c>
      <c r="I39" s="26">
        <f>SUM(I8:I38)</f>
        <v>79590</v>
      </c>
      <c r="K39" s="26">
        <f>SUM(K8:K38)</f>
        <v>34911</v>
      </c>
      <c r="M39" s="26">
        <f>SUM(M8:M38)</f>
        <v>168.5</v>
      </c>
      <c r="O39" s="26">
        <f>SUM(O8:O38)</f>
        <v>236359</v>
      </c>
      <c r="Q39" s="26">
        <f>SUM(Q8:Q38)</f>
        <v>37595</v>
      </c>
      <c r="R39" s="16">
        <f>SUM(R8:R38)</f>
        <v>2833</v>
      </c>
    </row>
    <row r="40" spans="1:23" x14ac:dyDescent="0.25">
      <c r="V40" s="16">
        <f>SUM(V8:V38)</f>
        <v>22</v>
      </c>
      <c r="W40" s="16">
        <f>SUM(W8:W39)</f>
        <v>25.5</v>
      </c>
    </row>
  </sheetData>
  <mergeCells count="3">
    <mergeCell ref="A1:B1"/>
    <mergeCell ref="A2:J3"/>
    <mergeCell ref="A4:L4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2022-10-19T15:54:37Z</dcterms:modified>
  <cp:category/>
  <cp:contentStatus/>
</cp:coreProperties>
</file>