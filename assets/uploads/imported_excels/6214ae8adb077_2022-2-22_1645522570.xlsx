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40009_{BC2099A8-09DE-4484-87D1-AF97C3DECAEA}" xr6:coauthVersionLast="47" xr6:coauthVersionMax="47" xr10:uidLastSave="{00000000-0000-0000-0000-000000000000}"/>
  <bookViews>
    <workbookView xWindow="-120" yWindow="-120" windowWidth="20730" windowHeight="11160"/>
  </bookViews>
  <sheets>
    <sheet name="Total Daily " sheetId="3" r:id="rId1"/>
    <sheet name="Submetering Daily " sheetId="2" r:id="rId2"/>
    <sheet name="HOTEL" sheetId="1" r:id="rId3"/>
  </sheets>
  <definedNames>
    <definedName name="_xlnm.Print_Area" localSheetId="2">HOTEL!$A$1:$G$7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1" i="2" l="1"/>
  <c r="F31" i="2"/>
  <c r="G31" i="2"/>
  <c r="H31" i="2"/>
  <c r="I31" i="2"/>
  <c r="E32" i="2"/>
  <c r="G32" i="3" s="1"/>
  <c r="F32" i="2"/>
  <c r="G32" i="2"/>
  <c r="I32" i="3" s="1"/>
  <c r="I34" i="3" s="1"/>
  <c r="H32" i="2"/>
  <c r="I32" i="2"/>
  <c r="K2" i="3"/>
  <c r="E2" i="2"/>
  <c r="F2" i="2"/>
  <c r="G2" i="3" s="1"/>
  <c r="G2" i="2"/>
  <c r="H2" i="2"/>
  <c r="I2" i="2"/>
  <c r="K32" i="3"/>
  <c r="E32" i="3"/>
  <c r="E28" i="2"/>
  <c r="E25" i="2"/>
  <c r="G5" i="2"/>
  <c r="I31" i="3"/>
  <c r="G31" i="3"/>
  <c r="E3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H3" i="2"/>
  <c r="H4" i="2"/>
  <c r="I4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I20" i="3" s="1"/>
  <c r="H21" i="2"/>
  <c r="H22" i="2"/>
  <c r="H23" i="2"/>
  <c r="H24" i="2"/>
  <c r="H25" i="2"/>
  <c r="H26" i="2"/>
  <c r="H27" i="2"/>
  <c r="H28" i="2"/>
  <c r="H29" i="2"/>
  <c r="H30" i="2"/>
  <c r="G3" i="2"/>
  <c r="I3" i="3"/>
  <c r="G4" i="2"/>
  <c r="G6" i="2"/>
  <c r="I6" i="3"/>
  <c r="G7" i="2"/>
  <c r="G8" i="2"/>
  <c r="G9" i="2"/>
  <c r="I9" i="3" s="1"/>
  <c r="G10" i="2"/>
  <c r="I10" i="3" s="1"/>
  <c r="G11" i="2"/>
  <c r="I11" i="3"/>
  <c r="G12" i="2"/>
  <c r="I12" i="3" s="1"/>
  <c r="G13" i="2"/>
  <c r="I13" i="3" s="1"/>
  <c r="G14" i="2"/>
  <c r="I14" i="3" s="1"/>
  <c r="G15" i="2"/>
  <c r="I15" i="3" s="1"/>
  <c r="G16" i="2"/>
  <c r="I16" i="3" s="1"/>
  <c r="G17" i="2"/>
  <c r="I17" i="3" s="1"/>
  <c r="G18" i="2"/>
  <c r="I18" i="3" s="1"/>
  <c r="G19" i="2"/>
  <c r="I19" i="3"/>
  <c r="G20" i="2"/>
  <c r="G21" i="2"/>
  <c r="I21" i="3"/>
  <c r="G22" i="2"/>
  <c r="I22" i="3" s="1"/>
  <c r="G25" i="2"/>
  <c r="I25" i="3" s="1"/>
  <c r="G26" i="2"/>
  <c r="I26" i="3"/>
  <c r="G27" i="2"/>
  <c r="I27" i="3"/>
  <c r="G28" i="2"/>
  <c r="I28" i="3" s="1"/>
  <c r="G29" i="2"/>
  <c r="I29" i="3"/>
  <c r="G30" i="2"/>
  <c r="I30" i="3"/>
  <c r="I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G25" i="3"/>
  <c r="F26" i="2"/>
  <c r="F27" i="2"/>
  <c r="F28" i="2"/>
  <c r="G28" i="3" s="1"/>
  <c r="F29" i="2"/>
  <c r="F30" i="2"/>
  <c r="E3" i="2"/>
  <c r="G3" i="3"/>
  <c r="E4" i="2"/>
  <c r="G4" i="3" s="1"/>
  <c r="E5" i="2"/>
  <c r="G5" i="3" s="1"/>
  <c r="E6" i="2"/>
  <c r="E7" i="2"/>
  <c r="G7" i="3"/>
  <c r="E8" i="2"/>
  <c r="G8" i="3" s="1"/>
  <c r="E9" i="2"/>
  <c r="G9" i="3"/>
  <c r="E10" i="2"/>
  <c r="E11" i="2"/>
  <c r="G11" i="3"/>
  <c r="E12" i="2"/>
  <c r="G12" i="3"/>
  <c r="E13" i="2"/>
  <c r="E14" i="2"/>
  <c r="E15" i="2"/>
  <c r="G15" i="3" s="1"/>
  <c r="E16" i="2"/>
  <c r="G16" i="3" s="1"/>
  <c r="E17" i="2"/>
  <c r="E18" i="2"/>
  <c r="G18" i="3"/>
  <c r="E19" i="2"/>
  <c r="G19" i="3" s="1"/>
  <c r="E20" i="2"/>
  <c r="G20" i="3" s="1"/>
  <c r="E21" i="2"/>
  <c r="G21" i="3"/>
  <c r="E22" i="2"/>
  <c r="G22" i="3" s="1"/>
  <c r="E26" i="2"/>
  <c r="G26" i="3" s="1"/>
  <c r="E27" i="2"/>
  <c r="G27" i="3"/>
  <c r="E29" i="2"/>
  <c r="G29" i="3"/>
  <c r="E30" i="2"/>
  <c r="G30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G23" i="2"/>
  <c r="I23" i="3"/>
  <c r="G24" i="2"/>
  <c r="I24" i="3"/>
  <c r="E23" i="2"/>
  <c r="G23" i="3" s="1"/>
  <c r="E24" i="2"/>
  <c r="G24" i="3" s="1"/>
  <c r="G10" i="3"/>
  <c r="G6" i="3"/>
  <c r="G13" i="3"/>
  <c r="I8" i="3"/>
  <c r="I5" i="3"/>
  <c r="G17" i="3"/>
  <c r="I7" i="3"/>
  <c r="G14" i="3"/>
</calcChain>
</file>

<file path=xl/sharedStrings.xml><?xml version="1.0" encoding="utf-8"?>
<sst xmlns="http://schemas.openxmlformats.org/spreadsheetml/2006/main" count="95" uniqueCount="27">
  <si>
    <t>Water (cu.m)</t>
  </si>
  <si>
    <t>Date</t>
  </si>
  <si>
    <t>Main Kitchen</t>
  </si>
  <si>
    <t>Boiler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</si>
  <si>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</si>
  <si>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</si>
  <si>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</si>
  <si>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</si>
  <si>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</si>
  <si>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</si>
  <si>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</si>
  <si>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</si>
  <si>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</si>
  <si>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</si>
  <si>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Electricity (KWH)</t>
  </si>
  <si>
    <t>Total KWh</t>
  </si>
  <si>
    <t>Room Night</t>
  </si>
  <si>
    <t>FOUR SEASONS HOTEL - Saint Petersburg</t>
  </si>
  <si>
    <t>Water 1 (m3)</t>
  </si>
  <si>
    <t>Water 2 (m3)</t>
  </si>
  <si>
    <t>St Petersburg</t>
  </si>
  <si>
    <t>Natual Gas (m3)</t>
  </si>
  <si>
    <t>Natural Gas $/m3</t>
  </si>
  <si>
    <r>
      <t>Water 1 (m</t>
    </r>
    <r>
      <rPr>
        <b/>
        <vertAlign val="superscript"/>
        <sz val="11"/>
        <color indexed="8"/>
        <rFont val="Calibri"/>
        <family val="2"/>
      </rPr>
      <t>3</t>
    </r>
    <r>
      <rPr>
        <b/>
        <sz val="11"/>
        <color indexed="8"/>
        <rFont val="Calibri"/>
        <family val="2"/>
      </rPr>
      <t>)</t>
    </r>
  </si>
  <si>
    <t>Main Kitchen (m3)</t>
  </si>
  <si>
    <t>Boiler (m3)</t>
  </si>
  <si>
    <t>HLP READING MONTH OF DECEMBER'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</si>
</sst>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[$-409]d\-mmm\-yy;@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37">
    <xf numFmtId="0" fontId="0" fillId="0" borderId="0" xfId="0"/>
    <xf numFmtId="2" fontId="0" fillId="0" borderId="0" xfId="0" applyNumberFormat="1"/>
    <xf numFmtId="0" fontId="0" fillId="2" borderId="0" xfId="0" applyFill="1"/>
    <xf numFmtId="0" fontId="6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1" fontId="0" fillId="0" borderId="0" xfId="0" applyNumberFormat="1"/>
    <xf numFmtId="0" fontId="4" fillId="0" borderId="0" xfId="0" applyFont="1"/>
    <xf numFmtId="0" fontId="4" fillId="0" borderId="0" xfId="0" applyFont="1" applyBorder="1" applyAlignment="1">
      <alignment wrapText="1"/>
    </xf>
    <xf numFmtId="1" fontId="3" fillId="0" borderId="0" xfId="2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6" fillId="3" borderId="4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/>
    </xf>
    <xf numFmtId="180" fontId="8" fillId="4" borderId="6" xfId="1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180" fontId="8" fillId="5" borderId="6" xfId="1" applyNumberFormat="1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Normal" xfId="0" builtinId="0"/>
    <cellStyle name="Normal 2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topLeftCell="A14" workbookViewId="0">
      <selection activeCell="I35" sqref="I35"/>
    </sheetView>
  </sheetViews>
  <sheetFormatPr defaultColWidth="11.5703125" defaultRowHeight="15" x14ac:dyDescent="0.25"/>
  <cols>
    <col min="1" max="2" width="11.5703125" style="13"/>
    <col min="3" max="3" width="11.5703125" style="16"/>
    <col min="4" max="4" width="13.42578125" style="13" customWidth="1"/>
    <col min="5" max="5" width="12.5703125" style="17" customWidth="1"/>
    <col min="6" max="6" width="12.5703125" style="16" customWidth="1"/>
    <col min="7" max="7" width="11.5703125" style="17"/>
    <col min="8" max="8" width="11.5703125" style="16"/>
    <col min="9" max="9" width="11.5703125" style="13"/>
    <col min="10" max="10" width="11.5703125" style="24"/>
    <col min="11" max="11" width="11.5703125" style="13"/>
    <col min="248" max="248" width="13.42578125" customWidth="1"/>
    <col min="249" max="250" width="12.5703125" customWidth="1"/>
  </cols>
  <sheetData>
    <row r="1" spans="1:12" ht="60" x14ac:dyDescent="0.25">
      <c r="A1" s="18" t="s">
        <v>4</v>
      </c>
      <c r="B1" s="18" t="s">
        <v>5</v>
      </c>
      <c r="C1" s="19" t="s">
        <v>6</v>
      </c>
      <c r="D1" s="18" t="s">
        <v>7</v>
      </c>
      <c r="E1" s="20" t="s">
        <v>8</v>
      </c>
      <c r="F1" s="22" t="s">
        <v>9</v>
      </c>
      <c r="G1" s="20" t="s">
        <v>21</v>
      </c>
      <c r="H1" s="22" t="s">
        <v>22</v>
      </c>
      <c r="I1" s="21" t="s">
        <v>10</v>
      </c>
      <c r="J1" s="23" t="s">
        <v>11</v>
      </c>
      <c r="K1" s="21" t="s">
        <v>12</v>
      </c>
      <c r="L1" s="7"/>
    </row>
    <row r="2" spans="1:12" x14ac:dyDescent="0.25">
      <c r="A2" s="13" t="s">
        <v>20</v>
      </c>
      <c r="B2" s="13">
        <v>1</v>
      </c>
      <c r="C2" s="16">
        <v>12</v>
      </c>
      <c r="D2" s="13">
        <v>2021</v>
      </c>
      <c r="E2" s="17">
        <f>HOTEL!B7</f>
        <v>20826.069999999996</v>
      </c>
      <c r="F2" s="16">
        <v>5.88</v>
      </c>
      <c r="G2" s="17">
        <f>'Submetering Daily '!E2+'Submetering Daily '!F2</f>
        <v>3301</v>
      </c>
      <c r="H2" s="16">
        <v>6.48</v>
      </c>
      <c r="I2" s="17">
        <f>'Submetering Daily '!G2+'Submetering Daily '!H2</f>
        <v>82</v>
      </c>
      <c r="J2" s="24">
        <v>37.19</v>
      </c>
      <c r="K2" s="17">
        <f>HOTEL!G6</f>
        <v>52</v>
      </c>
    </row>
    <row r="3" spans="1:12" x14ac:dyDescent="0.25">
      <c r="A3" s="13" t="s">
        <v>20</v>
      </c>
      <c r="B3" s="13">
        <f>B2+1</f>
        <v>2</v>
      </c>
      <c r="C3" s="16">
        <v>12</v>
      </c>
      <c r="D3" s="13">
        <v>2021</v>
      </c>
      <c r="E3" s="17">
        <f>HOTEL!B8</f>
        <v>20231.610000000004</v>
      </c>
      <c r="F3" s="16">
        <v>5.88</v>
      </c>
      <c r="G3" s="17">
        <f>'Submetering Daily '!E3+'Submetering Daily '!F3</f>
        <v>3611</v>
      </c>
      <c r="H3" s="16">
        <v>6.48</v>
      </c>
      <c r="I3" s="17">
        <f>'Submetering Daily '!G3+'Submetering Daily '!H3</f>
        <v>99</v>
      </c>
      <c r="J3" s="24">
        <v>37.19</v>
      </c>
      <c r="K3" s="17">
        <f>HOTEL!G7</f>
        <v>80</v>
      </c>
    </row>
    <row r="4" spans="1:12" x14ac:dyDescent="0.25">
      <c r="A4" s="13" t="s">
        <v>20</v>
      </c>
      <c r="B4" s="13">
        <f t="shared" ref="B4:B32" si="0">B3+1</f>
        <v>3</v>
      </c>
      <c r="C4" s="16">
        <v>12</v>
      </c>
      <c r="D4" s="13">
        <v>2021</v>
      </c>
      <c r="E4" s="17">
        <f>HOTEL!B9</f>
        <v>19313.070000000003</v>
      </c>
      <c r="F4" s="16">
        <v>5.88</v>
      </c>
      <c r="G4" s="17">
        <f>'Submetering Daily '!E4+'Submetering Daily '!F4</f>
        <v>3670</v>
      </c>
      <c r="H4" s="16">
        <v>6.48</v>
      </c>
      <c r="I4" s="17">
        <f>'Submetering Daily '!G4+'Submetering Daily '!H4</f>
        <v>96</v>
      </c>
      <c r="J4" s="24">
        <v>37.19</v>
      </c>
      <c r="K4" s="17">
        <f>HOTEL!G8</f>
        <v>85</v>
      </c>
    </row>
    <row r="5" spans="1:12" x14ac:dyDescent="0.25">
      <c r="A5" s="13" t="s">
        <v>20</v>
      </c>
      <c r="B5" s="13">
        <f t="shared" si="0"/>
        <v>4</v>
      </c>
      <c r="C5" s="16">
        <v>12</v>
      </c>
      <c r="D5" s="13">
        <v>2021</v>
      </c>
      <c r="E5" s="17">
        <f>HOTEL!B10</f>
        <v>20218.539999999997</v>
      </c>
      <c r="F5" s="16">
        <v>5.88</v>
      </c>
      <c r="G5" s="17">
        <f>'Submetering Daily '!E5+'Submetering Daily '!F5</f>
        <v>3542</v>
      </c>
      <c r="H5" s="16">
        <v>6.48</v>
      </c>
      <c r="I5" s="17">
        <f>'Submetering Daily '!G5+'Submetering Daily '!H5</f>
        <v>115</v>
      </c>
      <c r="J5" s="24">
        <v>37.19</v>
      </c>
      <c r="K5" s="17">
        <f>HOTEL!G9</f>
        <v>86</v>
      </c>
    </row>
    <row r="6" spans="1:12" x14ac:dyDescent="0.25">
      <c r="A6" s="13" t="s">
        <v>20</v>
      </c>
      <c r="B6" s="13">
        <f t="shared" si="0"/>
        <v>5</v>
      </c>
      <c r="C6" s="16">
        <v>12</v>
      </c>
      <c r="D6" s="13">
        <v>2021</v>
      </c>
      <c r="E6" s="17">
        <f>HOTEL!B11</f>
        <v>19513.78</v>
      </c>
      <c r="F6" s="16">
        <v>5.88</v>
      </c>
      <c r="G6" s="17">
        <f>'Submetering Daily '!E6+'Submetering Daily '!F6</f>
        <v>3593</v>
      </c>
      <c r="H6" s="16">
        <v>6.48</v>
      </c>
      <c r="I6" s="17">
        <f>'Submetering Daily '!G6+'Submetering Daily '!H6</f>
        <v>95</v>
      </c>
      <c r="J6" s="24">
        <v>37.19</v>
      </c>
      <c r="K6" s="17">
        <f>HOTEL!G10</f>
        <v>82</v>
      </c>
    </row>
    <row r="7" spans="1:12" x14ac:dyDescent="0.25">
      <c r="A7" s="13" t="s">
        <v>20</v>
      </c>
      <c r="B7" s="13">
        <f t="shared" si="0"/>
        <v>6</v>
      </c>
      <c r="C7" s="16">
        <v>12</v>
      </c>
      <c r="D7" s="13">
        <v>2021</v>
      </c>
      <c r="E7" s="17">
        <f>HOTEL!B12</f>
        <v>18759.22</v>
      </c>
      <c r="F7" s="16">
        <v>5.88</v>
      </c>
      <c r="G7" s="17">
        <f>'Submetering Daily '!E7+'Submetering Daily '!F7</f>
        <v>4047</v>
      </c>
      <c r="H7" s="16">
        <v>6.48</v>
      </c>
      <c r="I7" s="17">
        <f>'Submetering Daily '!G7+'Submetering Daily '!H7</f>
        <v>98</v>
      </c>
      <c r="J7" s="24">
        <v>37.19</v>
      </c>
      <c r="K7" s="17">
        <f>HOTEL!G11</f>
        <v>103</v>
      </c>
    </row>
    <row r="8" spans="1:12" x14ac:dyDescent="0.25">
      <c r="A8" s="13" t="s">
        <v>20</v>
      </c>
      <c r="B8" s="13">
        <f t="shared" si="0"/>
        <v>7</v>
      </c>
      <c r="C8" s="16">
        <v>12</v>
      </c>
      <c r="D8" s="13">
        <v>2021</v>
      </c>
      <c r="E8" s="17">
        <f>HOTEL!B13</f>
        <v>20148.939999999999</v>
      </c>
      <c r="F8" s="16">
        <v>5.88</v>
      </c>
      <c r="G8" s="17">
        <f>'Submetering Daily '!E8+'Submetering Daily '!F8</f>
        <v>3332</v>
      </c>
      <c r="H8" s="16">
        <v>6.48</v>
      </c>
      <c r="I8" s="17">
        <f>'Submetering Daily '!G8+'Submetering Daily '!H8</f>
        <v>102</v>
      </c>
      <c r="J8" s="24">
        <v>37.19</v>
      </c>
      <c r="K8" s="17">
        <f>HOTEL!G12</f>
        <v>109</v>
      </c>
    </row>
    <row r="9" spans="1:12" x14ac:dyDescent="0.25">
      <c r="A9" s="13" t="s">
        <v>20</v>
      </c>
      <c r="B9" s="13">
        <f t="shared" si="0"/>
        <v>8</v>
      </c>
      <c r="C9" s="16">
        <v>12</v>
      </c>
      <c r="D9" s="13">
        <v>2021</v>
      </c>
      <c r="E9" s="17">
        <f>HOTEL!B14</f>
        <v>20300.800000000003</v>
      </c>
      <c r="F9" s="16">
        <v>5.88</v>
      </c>
      <c r="G9" s="17">
        <f>'Submetering Daily '!E9+'Submetering Daily '!F9</f>
        <v>3280</v>
      </c>
      <c r="H9" s="16">
        <v>6.48</v>
      </c>
      <c r="I9" s="17">
        <f>'Submetering Daily '!G9+'Submetering Daily '!H9</f>
        <v>94</v>
      </c>
      <c r="J9" s="24">
        <v>37.19</v>
      </c>
      <c r="K9" s="17">
        <f>HOTEL!G13</f>
        <v>98</v>
      </c>
    </row>
    <row r="10" spans="1:12" x14ac:dyDescent="0.25">
      <c r="A10" s="13" t="s">
        <v>20</v>
      </c>
      <c r="B10" s="13">
        <f t="shared" si="0"/>
        <v>9</v>
      </c>
      <c r="C10" s="16">
        <v>12</v>
      </c>
      <c r="D10" s="13">
        <v>2021</v>
      </c>
      <c r="E10" s="17">
        <f>HOTEL!B15</f>
        <v>20199.409999999996</v>
      </c>
      <c r="F10" s="16">
        <v>5.88</v>
      </c>
      <c r="G10" s="17">
        <f>'Submetering Daily '!E10+'Submetering Daily '!F10</f>
        <v>5143</v>
      </c>
      <c r="H10" s="16">
        <v>6.48</v>
      </c>
      <c r="I10" s="17">
        <f>'Submetering Daily '!G10+'Submetering Daily '!H10</f>
        <v>121</v>
      </c>
      <c r="J10" s="24">
        <v>37.19</v>
      </c>
      <c r="K10" s="17">
        <f>HOTEL!G14</f>
        <v>101</v>
      </c>
    </row>
    <row r="11" spans="1:12" x14ac:dyDescent="0.25">
      <c r="A11" s="13" t="s">
        <v>20</v>
      </c>
      <c r="B11" s="13">
        <f t="shared" si="0"/>
        <v>10</v>
      </c>
      <c r="C11" s="16">
        <v>12</v>
      </c>
      <c r="D11" s="13">
        <v>2021</v>
      </c>
      <c r="E11" s="17">
        <f>HOTEL!B16</f>
        <v>20179.579999999998</v>
      </c>
      <c r="F11" s="16">
        <v>5.88</v>
      </c>
      <c r="G11" s="17">
        <f>'Submetering Daily '!E11+'Submetering Daily '!F11</f>
        <v>4499</v>
      </c>
      <c r="H11" s="16">
        <v>6.48</v>
      </c>
      <c r="I11" s="17">
        <f>'Submetering Daily '!G11+'Submetering Daily '!H11</f>
        <v>84</v>
      </c>
      <c r="J11" s="24">
        <v>37.19</v>
      </c>
      <c r="K11" s="17">
        <f>HOTEL!G15</f>
        <v>119</v>
      </c>
    </row>
    <row r="12" spans="1:12" x14ac:dyDescent="0.25">
      <c r="A12" s="13" t="s">
        <v>20</v>
      </c>
      <c r="B12" s="13">
        <f t="shared" si="0"/>
        <v>11</v>
      </c>
      <c r="C12" s="16">
        <v>12</v>
      </c>
      <c r="D12" s="13">
        <v>2021</v>
      </c>
      <c r="E12" s="17">
        <f>HOTEL!B17</f>
        <v>19538.71</v>
      </c>
      <c r="F12" s="16">
        <v>5.88</v>
      </c>
      <c r="G12" s="17">
        <f>'Submetering Daily '!E12+'Submetering Daily '!F12</f>
        <v>4112</v>
      </c>
      <c r="H12" s="16">
        <v>6.48</v>
      </c>
      <c r="I12" s="17">
        <f>'Submetering Daily '!G12+'Submetering Daily '!H12</f>
        <v>102</v>
      </c>
      <c r="J12" s="24">
        <v>37.19</v>
      </c>
      <c r="K12" s="17">
        <f>HOTEL!G16</f>
        <v>110</v>
      </c>
    </row>
    <row r="13" spans="1:12" x14ac:dyDescent="0.25">
      <c r="A13" s="13" t="s">
        <v>20</v>
      </c>
      <c r="B13" s="13">
        <f t="shared" si="0"/>
        <v>12</v>
      </c>
      <c r="C13" s="16">
        <v>12</v>
      </c>
      <c r="D13" s="13">
        <v>2021</v>
      </c>
      <c r="E13" s="17">
        <f>HOTEL!B18</f>
        <v>19200.869999999995</v>
      </c>
      <c r="F13" s="16">
        <v>5.88</v>
      </c>
      <c r="G13" s="17">
        <f>'Submetering Daily '!E13+'Submetering Daily '!F13</f>
        <v>3422</v>
      </c>
      <c r="H13" s="16">
        <v>6.48</v>
      </c>
      <c r="I13" s="17">
        <f>'Submetering Daily '!G13+'Submetering Daily '!H13</f>
        <v>103</v>
      </c>
      <c r="J13" s="24">
        <v>37.19</v>
      </c>
      <c r="K13" s="17">
        <f>HOTEL!G17</f>
        <v>93</v>
      </c>
    </row>
    <row r="14" spans="1:12" x14ac:dyDescent="0.25">
      <c r="A14" s="13" t="s">
        <v>20</v>
      </c>
      <c r="B14" s="13">
        <f t="shared" si="0"/>
        <v>13</v>
      </c>
      <c r="C14" s="16">
        <v>12</v>
      </c>
      <c r="D14" s="13">
        <v>2021</v>
      </c>
      <c r="E14" s="17">
        <f>HOTEL!B19</f>
        <v>19750.999999999996</v>
      </c>
      <c r="F14" s="16">
        <v>5.88</v>
      </c>
      <c r="G14" s="17">
        <f>'Submetering Daily '!E14+'Submetering Daily '!F14</f>
        <v>3291</v>
      </c>
      <c r="H14" s="16">
        <v>6.48</v>
      </c>
      <c r="I14" s="17">
        <f>'Submetering Daily '!G14+'Submetering Daily '!H14</f>
        <v>110</v>
      </c>
      <c r="J14" s="24">
        <v>37.19</v>
      </c>
      <c r="K14" s="17">
        <f>HOTEL!G18</f>
        <v>43</v>
      </c>
    </row>
    <row r="15" spans="1:12" x14ac:dyDescent="0.25">
      <c r="A15" s="13" t="s">
        <v>20</v>
      </c>
      <c r="B15" s="13">
        <f t="shared" si="0"/>
        <v>14</v>
      </c>
      <c r="C15" s="16">
        <v>12</v>
      </c>
      <c r="D15" s="13">
        <v>2021</v>
      </c>
      <c r="E15" s="17">
        <f>HOTEL!B20</f>
        <v>19614.080000000002</v>
      </c>
      <c r="F15" s="16">
        <v>5.88</v>
      </c>
      <c r="G15" s="17">
        <f>'Submetering Daily '!E15+'Submetering Daily '!F15</f>
        <v>2822</v>
      </c>
      <c r="H15" s="16">
        <v>6.48</v>
      </c>
      <c r="I15" s="17">
        <f>'Submetering Daily '!G15+'Submetering Daily '!H15</f>
        <v>71</v>
      </c>
      <c r="J15" s="24">
        <v>37.19</v>
      </c>
      <c r="K15" s="17">
        <f>HOTEL!G19</f>
        <v>29</v>
      </c>
    </row>
    <row r="16" spans="1:12" x14ac:dyDescent="0.25">
      <c r="A16" s="13" t="s">
        <v>20</v>
      </c>
      <c r="B16" s="13">
        <f t="shared" si="0"/>
        <v>15</v>
      </c>
      <c r="C16" s="16">
        <v>12</v>
      </c>
      <c r="D16" s="13">
        <v>2021</v>
      </c>
      <c r="E16" s="17">
        <f>HOTEL!B21</f>
        <v>19632.82</v>
      </c>
      <c r="F16" s="16">
        <v>5.88</v>
      </c>
      <c r="G16" s="17">
        <f>'Submetering Daily '!E16+'Submetering Daily '!F16</f>
        <v>2904</v>
      </c>
      <c r="H16" s="16">
        <v>6.48</v>
      </c>
      <c r="I16" s="17">
        <f>'Submetering Daily '!G16+'Submetering Daily '!H16</f>
        <v>81</v>
      </c>
      <c r="J16" s="24">
        <v>37.19</v>
      </c>
      <c r="K16" s="17">
        <f>HOTEL!G20</f>
        <v>33</v>
      </c>
    </row>
    <row r="17" spans="1:13" x14ac:dyDescent="0.25">
      <c r="A17" s="13" t="s">
        <v>20</v>
      </c>
      <c r="B17" s="13">
        <f t="shared" si="0"/>
        <v>16</v>
      </c>
      <c r="C17" s="16">
        <v>12</v>
      </c>
      <c r="D17" s="13">
        <v>2021</v>
      </c>
      <c r="E17" s="17">
        <f>HOTEL!B22</f>
        <v>20114.38</v>
      </c>
      <c r="F17" s="16">
        <v>5.88</v>
      </c>
      <c r="G17" s="17">
        <f>'Submetering Daily '!E17+'Submetering Daily '!F17</f>
        <v>2810</v>
      </c>
      <c r="H17" s="16">
        <v>6.48</v>
      </c>
      <c r="I17" s="17">
        <f>'Submetering Daily '!G17+'Submetering Daily '!H17</f>
        <v>101</v>
      </c>
      <c r="J17" s="24">
        <v>37.19</v>
      </c>
      <c r="K17" s="17">
        <f>HOTEL!G21</f>
        <v>65</v>
      </c>
    </row>
    <row r="18" spans="1:13" x14ac:dyDescent="0.25">
      <c r="A18" s="13" t="s">
        <v>20</v>
      </c>
      <c r="B18" s="13">
        <f t="shared" si="0"/>
        <v>17</v>
      </c>
      <c r="C18" s="16">
        <v>12</v>
      </c>
      <c r="D18" s="13">
        <v>2021</v>
      </c>
      <c r="E18" s="17">
        <f>HOTEL!B23</f>
        <v>19801.420000000002</v>
      </c>
      <c r="F18" s="16">
        <v>5.88</v>
      </c>
      <c r="G18" s="17">
        <f>'Submetering Daily '!E18+'Submetering Daily '!F18</f>
        <v>2695</v>
      </c>
      <c r="H18" s="16">
        <v>6.48</v>
      </c>
      <c r="I18" s="17">
        <f>'Submetering Daily '!G18+'Submetering Daily '!H18</f>
        <v>97</v>
      </c>
      <c r="J18" s="24">
        <v>37.19</v>
      </c>
      <c r="K18" s="17">
        <f>HOTEL!G22</f>
        <v>88</v>
      </c>
    </row>
    <row r="19" spans="1:13" x14ac:dyDescent="0.25">
      <c r="A19" s="13" t="s">
        <v>20</v>
      </c>
      <c r="B19" s="13">
        <f>B18+1</f>
        <v>18</v>
      </c>
      <c r="C19" s="16">
        <v>12</v>
      </c>
      <c r="D19" s="13">
        <v>2021</v>
      </c>
      <c r="E19" s="17">
        <f>HOTEL!B24</f>
        <v>20554.139999999996</v>
      </c>
      <c r="F19" s="16">
        <v>5.88</v>
      </c>
      <c r="G19" s="17">
        <f>'Submetering Daily '!E19+'Submetering Daily '!F19</f>
        <v>2950</v>
      </c>
      <c r="H19" s="16">
        <v>6.48</v>
      </c>
      <c r="I19" s="17">
        <f>'Submetering Daily '!G19+'Submetering Daily '!H19</f>
        <v>118</v>
      </c>
      <c r="J19" s="24">
        <v>37.19</v>
      </c>
      <c r="K19" s="17">
        <f>HOTEL!G23</f>
        <v>144</v>
      </c>
    </row>
    <row r="20" spans="1:13" x14ac:dyDescent="0.25">
      <c r="A20" s="13" t="s">
        <v>20</v>
      </c>
      <c r="B20" s="13">
        <f t="shared" si="0"/>
        <v>19</v>
      </c>
      <c r="C20" s="16">
        <v>12</v>
      </c>
      <c r="D20" s="13">
        <v>2021</v>
      </c>
      <c r="E20" s="17">
        <f>HOTEL!B25</f>
        <v>20724.38</v>
      </c>
      <c r="F20" s="16">
        <v>5.88</v>
      </c>
      <c r="G20" s="17">
        <f>'Submetering Daily '!E20+'Submetering Daily '!F20</f>
        <v>3028</v>
      </c>
      <c r="H20" s="16">
        <v>6.48</v>
      </c>
      <c r="I20" s="17">
        <f>'Submetering Daily '!G20+'Submetering Daily '!H20</f>
        <v>138</v>
      </c>
      <c r="J20" s="24">
        <v>37.19</v>
      </c>
      <c r="K20" s="17">
        <f>HOTEL!G24</f>
        <v>149</v>
      </c>
    </row>
    <row r="21" spans="1:13" x14ac:dyDescent="0.25">
      <c r="A21" s="13" t="s">
        <v>20</v>
      </c>
      <c r="B21" s="13">
        <f t="shared" si="0"/>
        <v>20</v>
      </c>
      <c r="C21" s="16">
        <v>12</v>
      </c>
      <c r="D21" s="13">
        <v>2021</v>
      </c>
      <c r="E21" s="17">
        <f>HOTEL!B26</f>
        <v>20070.199999999997</v>
      </c>
      <c r="F21" s="16">
        <v>5.88</v>
      </c>
      <c r="G21" s="17">
        <f>'Submetering Daily '!E21+'Submetering Daily '!F21</f>
        <v>3455</v>
      </c>
      <c r="H21" s="16">
        <v>6.48</v>
      </c>
      <c r="I21" s="17">
        <f>'Submetering Daily '!G21+'Submetering Daily '!H21</f>
        <v>115</v>
      </c>
      <c r="J21" s="24">
        <v>37.19</v>
      </c>
      <c r="K21" s="17">
        <f>HOTEL!G25</f>
        <v>65</v>
      </c>
    </row>
    <row r="22" spans="1:13" x14ac:dyDescent="0.25">
      <c r="A22" s="13" t="s">
        <v>20</v>
      </c>
      <c r="B22" s="13">
        <f t="shared" si="0"/>
        <v>21</v>
      </c>
      <c r="C22" s="16">
        <v>12</v>
      </c>
      <c r="D22" s="13">
        <v>2021</v>
      </c>
      <c r="E22" s="17">
        <f>HOTEL!B27</f>
        <v>17323.670000000002</v>
      </c>
      <c r="F22" s="16">
        <v>5.88</v>
      </c>
      <c r="G22" s="17">
        <f>'Submetering Daily '!E22+'Submetering Daily '!F22</f>
        <v>3786</v>
      </c>
      <c r="H22" s="16">
        <v>6.48</v>
      </c>
      <c r="I22" s="17">
        <f>'Submetering Daily '!G22+'Submetering Daily '!H22</f>
        <v>101</v>
      </c>
      <c r="J22" s="24">
        <v>37.19</v>
      </c>
      <c r="K22" s="17">
        <f>HOTEL!G26</f>
        <v>63</v>
      </c>
    </row>
    <row r="23" spans="1:13" x14ac:dyDescent="0.25">
      <c r="A23" s="13" t="s">
        <v>20</v>
      </c>
      <c r="B23" s="13">
        <f t="shared" si="0"/>
        <v>22</v>
      </c>
      <c r="C23" s="16">
        <v>12</v>
      </c>
      <c r="D23" s="13">
        <v>2021</v>
      </c>
      <c r="E23" s="17">
        <f>HOTEL!B28</f>
        <v>18510.88</v>
      </c>
      <c r="F23" s="16">
        <v>5.88</v>
      </c>
      <c r="G23" s="17">
        <f>'Submetering Daily '!E23+'Submetering Daily '!F23</f>
        <v>3886</v>
      </c>
      <c r="H23" s="16">
        <v>6.48</v>
      </c>
      <c r="I23" s="17">
        <f>'Submetering Daily '!G23+'Submetering Daily '!H23</f>
        <v>118</v>
      </c>
      <c r="J23" s="24">
        <v>37.19</v>
      </c>
      <c r="K23" s="17">
        <f>HOTEL!G27</f>
        <v>57</v>
      </c>
    </row>
    <row r="24" spans="1:13" x14ac:dyDescent="0.25">
      <c r="A24" s="13" t="s">
        <v>20</v>
      </c>
      <c r="B24" s="13">
        <f t="shared" si="0"/>
        <v>23</v>
      </c>
      <c r="C24" s="16">
        <v>12</v>
      </c>
      <c r="D24" s="13">
        <v>2021</v>
      </c>
      <c r="E24" s="17">
        <f>HOTEL!B29</f>
        <v>19408.399999999998</v>
      </c>
      <c r="F24" s="16">
        <v>5.88</v>
      </c>
      <c r="G24" s="17">
        <f>'Submetering Daily '!E24+'Submetering Daily '!F24</f>
        <v>3948</v>
      </c>
      <c r="H24" s="16">
        <v>6.48</v>
      </c>
      <c r="I24" s="17">
        <f>'Submetering Daily '!G24+'Submetering Daily '!H24</f>
        <v>117</v>
      </c>
      <c r="J24" s="24">
        <v>37.19</v>
      </c>
      <c r="K24" s="17">
        <f>HOTEL!G28</f>
        <v>69</v>
      </c>
    </row>
    <row r="25" spans="1:13" x14ac:dyDescent="0.25">
      <c r="A25" s="13" t="s">
        <v>20</v>
      </c>
      <c r="B25" s="13">
        <f t="shared" si="0"/>
        <v>24</v>
      </c>
      <c r="C25" s="16">
        <v>12</v>
      </c>
      <c r="D25" s="13">
        <v>2021</v>
      </c>
      <c r="E25" s="17">
        <f>HOTEL!B30</f>
        <v>20301.25</v>
      </c>
      <c r="F25" s="16">
        <v>5.88</v>
      </c>
      <c r="G25" s="17">
        <f>'Submetering Daily '!E25+'Submetering Daily '!F25</f>
        <v>3303</v>
      </c>
      <c r="H25" s="16">
        <v>6.48</v>
      </c>
      <c r="I25" s="17">
        <f>'Submetering Daily '!G25+'Submetering Daily '!H25</f>
        <v>116</v>
      </c>
      <c r="J25" s="24">
        <v>37.19</v>
      </c>
      <c r="K25" s="17">
        <f>HOTEL!G29</f>
        <v>95</v>
      </c>
      <c r="M25" s="13" t="s">
        <v>13</v>
      </c>
    </row>
    <row r="26" spans="1:13" x14ac:dyDescent="0.25">
      <c r="A26" s="13" t="s">
        <v>20</v>
      </c>
      <c r="B26" s="13">
        <f>B25+1</f>
        <v>25</v>
      </c>
      <c r="C26" s="16">
        <v>12</v>
      </c>
      <c r="D26" s="13">
        <v>2021</v>
      </c>
      <c r="E26" s="17">
        <f>HOTEL!B31</f>
        <v>20558.48</v>
      </c>
      <c r="F26" s="16">
        <v>5.88</v>
      </c>
      <c r="G26" s="17">
        <f>'Submetering Daily '!E26+'Submetering Daily '!F26</f>
        <v>3780</v>
      </c>
      <c r="H26" s="16">
        <v>6.48</v>
      </c>
      <c r="I26" s="17">
        <f>'Submetering Daily '!G26+'Submetering Daily '!H26</f>
        <v>135</v>
      </c>
      <c r="J26" s="24">
        <v>37.19</v>
      </c>
      <c r="K26" s="17">
        <f>HOTEL!G30</f>
        <v>128</v>
      </c>
    </row>
    <row r="27" spans="1:13" x14ac:dyDescent="0.25">
      <c r="A27" s="13" t="s">
        <v>20</v>
      </c>
      <c r="B27" s="13">
        <f t="shared" si="0"/>
        <v>26</v>
      </c>
      <c r="C27" s="16">
        <v>12</v>
      </c>
      <c r="D27" s="13">
        <v>2021</v>
      </c>
      <c r="E27" s="17">
        <f>HOTEL!B32</f>
        <v>19415.299999999996</v>
      </c>
      <c r="F27" s="16">
        <v>5.88</v>
      </c>
      <c r="G27" s="17">
        <f>'Submetering Daily '!E27+'Submetering Daily '!F27</f>
        <v>4496</v>
      </c>
      <c r="H27" s="16">
        <v>6.48</v>
      </c>
      <c r="I27" s="17">
        <f>'Submetering Daily '!G27+'Submetering Daily '!H27</f>
        <v>145</v>
      </c>
      <c r="J27" s="24">
        <v>37.19</v>
      </c>
      <c r="K27" s="17">
        <f>HOTEL!G31</f>
        <v>124</v>
      </c>
    </row>
    <row r="28" spans="1:13" x14ac:dyDescent="0.25">
      <c r="A28" s="13" t="s">
        <v>20</v>
      </c>
      <c r="B28" s="13">
        <f t="shared" si="0"/>
        <v>27</v>
      </c>
      <c r="C28" s="16">
        <v>12</v>
      </c>
      <c r="D28" s="13">
        <v>2021</v>
      </c>
      <c r="E28" s="17">
        <f>HOTEL!B33</f>
        <v>18796.419999999998</v>
      </c>
      <c r="F28" s="16">
        <v>5.88</v>
      </c>
      <c r="G28" s="17">
        <f>'Submetering Daily '!E28+'Submetering Daily '!F28</f>
        <v>4356</v>
      </c>
      <c r="H28" s="16">
        <v>6.48</v>
      </c>
      <c r="I28" s="17">
        <f>'Submetering Daily '!G28+'Submetering Daily '!H28</f>
        <v>132</v>
      </c>
      <c r="J28" s="24">
        <v>37.19</v>
      </c>
      <c r="K28" s="17">
        <f>HOTEL!G32</f>
        <v>107</v>
      </c>
    </row>
    <row r="29" spans="1:13" x14ac:dyDescent="0.25">
      <c r="A29" s="13" t="s">
        <v>20</v>
      </c>
      <c r="B29" s="13">
        <f t="shared" si="0"/>
        <v>28</v>
      </c>
      <c r="C29" s="16">
        <v>12</v>
      </c>
      <c r="D29" s="13">
        <v>2021</v>
      </c>
      <c r="E29" s="17">
        <f>HOTEL!B34</f>
        <v>19178.570000000003</v>
      </c>
      <c r="F29" s="16">
        <v>5.88</v>
      </c>
      <c r="G29" s="17">
        <f>'Submetering Daily '!E29+'Submetering Daily '!F29</f>
        <v>4097</v>
      </c>
      <c r="H29" s="16">
        <v>6.48</v>
      </c>
      <c r="I29" s="17">
        <f>'Submetering Daily '!G29+'Submetering Daily '!H29</f>
        <v>114</v>
      </c>
      <c r="J29" s="24">
        <v>37.19</v>
      </c>
      <c r="K29" s="17">
        <f>HOTEL!G33</f>
        <v>99</v>
      </c>
    </row>
    <row r="30" spans="1:13" x14ac:dyDescent="0.25">
      <c r="A30" s="13" t="s">
        <v>20</v>
      </c>
      <c r="B30" s="13">
        <f t="shared" si="0"/>
        <v>29</v>
      </c>
      <c r="C30" s="16">
        <v>12</v>
      </c>
      <c r="D30" s="13">
        <v>2021</v>
      </c>
      <c r="E30" s="17">
        <f>HOTEL!B35</f>
        <v>19179.759999999998</v>
      </c>
      <c r="F30" s="16">
        <v>5.88</v>
      </c>
      <c r="G30" s="17">
        <f>'Submetering Daily '!E30+'Submetering Daily '!F30</f>
        <v>3753</v>
      </c>
      <c r="H30" s="16">
        <v>6.48</v>
      </c>
      <c r="I30" s="17">
        <f>'Submetering Daily '!G30+'Submetering Daily '!H30</f>
        <v>123</v>
      </c>
      <c r="J30" s="24">
        <v>37.19</v>
      </c>
      <c r="K30" s="17">
        <f>HOTEL!G34</f>
        <v>91</v>
      </c>
    </row>
    <row r="31" spans="1:13" x14ac:dyDescent="0.25">
      <c r="A31" s="13" t="s">
        <v>20</v>
      </c>
      <c r="B31" s="13">
        <f t="shared" si="0"/>
        <v>30</v>
      </c>
      <c r="C31" s="16">
        <v>12</v>
      </c>
      <c r="D31" s="13">
        <v>2021</v>
      </c>
      <c r="E31" s="17">
        <f>HOTEL!B6</f>
        <v>19457.23</v>
      </c>
      <c r="F31" s="16">
        <v>5.88</v>
      </c>
      <c r="G31" s="17">
        <f>'Submetering Daily '!E31+'Submetering Daily '!F31</f>
        <v>3650</v>
      </c>
      <c r="H31" s="16">
        <v>6.48</v>
      </c>
      <c r="I31" s="17">
        <f>'Submetering Daily '!G31+'Submetering Daily '!H31</f>
        <v>126</v>
      </c>
      <c r="J31" s="24">
        <v>37.19</v>
      </c>
      <c r="K31" s="17">
        <f>HOTEL!G35</f>
        <v>93</v>
      </c>
    </row>
    <row r="32" spans="1:13" x14ac:dyDescent="0.25">
      <c r="A32" s="13" t="s">
        <v>20</v>
      </c>
      <c r="B32" s="13">
        <f t="shared" si="0"/>
        <v>31</v>
      </c>
      <c r="C32" s="16">
        <v>12</v>
      </c>
      <c r="D32" s="13">
        <v>2021</v>
      </c>
      <c r="E32" s="17">
        <f>HOTEL!B7</f>
        <v>20826.069999999996</v>
      </c>
      <c r="F32" s="16">
        <v>5.88</v>
      </c>
      <c r="G32" s="17">
        <f>'Submetering Daily '!E32+'Submetering Daily '!F32</f>
        <v>4302</v>
      </c>
      <c r="H32" s="16">
        <v>6.48</v>
      </c>
      <c r="I32" s="17">
        <f>'Submetering Daily '!G32+'Submetering Daily '!H32</f>
        <v>140</v>
      </c>
      <c r="J32" s="24">
        <v>38.19</v>
      </c>
      <c r="K32" s="17">
        <f>HOTEL!G36</f>
        <v>98</v>
      </c>
    </row>
    <row r="34" spans="9:9" x14ac:dyDescent="0.25">
      <c r="I34" s="17">
        <f>SUM(I2:I32)</f>
        <v>3389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17" workbookViewId="0">
      <selection activeCell="H36" sqref="H36"/>
    </sheetView>
  </sheetViews>
  <sheetFormatPr defaultColWidth="12.5703125" defaultRowHeight="15" x14ac:dyDescent="0.25"/>
  <cols>
    <col min="1" max="2" width="11.5703125" style="13" customWidth="1"/>
    <col min="3" max="3" width="11.5703125" style="16" customWidth="1"/>
    <col min="4" max="4" width="13.42578125" style="13" customWidth="1"/>
    <col min="5" max="6" width="11.5703125" style="17" customWidth="1"/>
    <col min="7" max="9" width="11.5703125" style="13" customWidth="1"/>
    <col min="10" max="245" width="11.5703125" customWidth="1"/>
    <col min="246" max="246" width="13.42578125" customWidth="1"/>
  </cols>
  <sheetData>
    <row r="1" spans="1:10" s="9" customFormat="1" ht="45" x14ac:dyDescent="0.25">
      <c r="A1" s="18" t="s">
        <v>4</v>
      </c>
      <c r="B1" s="18" t="s">
        <v>5</v>
      </c>
      <c r="C1" s="19" t="s">
        <v>6</v>
      </c>
      <c r="D1" s="18" t="s">
        <v>7</v>
      </c>
      <c r="E1" s="20" t="s">
        <v>24</v>
      </c>
      <c r="F1" s="20" t="s">
        <v>25</v>
      </c>
      <c r="G1" s="21" t="s">
        <v>23</v>
      </c>
      <c r="H1" s="21" t="s">
        <v>19</v>
      </c>
      <c r="I1" s="21" t="s">
        <v>12</v>
      </c>
      <c r="J1" s="10"/>
    </row>
    <row r="2" spans="1:10" x14ac:dyDescent="0.25">
      <c r="A2" s="13" t="s">
        <v>20</v>
      </c>
      <c r="B2" s="13">
        <v>1</v>
      </c>
      <c r="C2" s="16">
        <v>12</v>
      </c>
      <c r="D2" s="13">
        <v>2021</v>
      </c>
      <c r="E2" s="17">
        <f>IF(((HOTEL!C7-HOTEL!C6)&lt;0),0,(HOTEL!C7-HOTEL!C6))</f>
        <v>101</v>
      </c>
      <c r="F2" s="17">
        <f>IF(((HOTEL!D7-HOTEL!D6)&lt;0),0,(HOTEL!D7-HOTEL!D6))</f>
        <v>3200</v>
      </c>
      <c r="G2" s="17">
        <f>IF(((HOTEL!E7-HOTEL!E6)&lt;0),0,(HOTEL!E7-HOTEL!E6))</f>
        <v>82</v>
      </c>
      <c r="H2" s="17">
        <f>IF(((HOTEL!F7-HOTEL!F6)&lt;0),0,(HOTEL!F7-HOTEL!F6))</f>
        <v>0</v>
      </c>
      <c r="I2" s="17">
        <f>HOTEL!G6</f>
        <v>52</v>
      </c>
      <c r="J2" s="11"/>
    </row>
    <row r="3" spans="1:10" x14ac:dyDescent="0.25">
      <c r="A3" s="13" t="s">
        <v>20</v>
      </c>
      <c r="B3" s="13">
        <f>B2+1</f>
        <v>2</v>
      </c>
      <c r="C3" s="16">
        <v>12</v>
      </c>
      <c r="D3" s="13">
        <v>2021</v>
      </c>
      <c r="E3" s="17">
        <f>IF(((HOTEL!C8-HOTEL!C7)&lt;0),0,(HOTEL!C8-HOTEL!C7))</f>
        <v>99</v>
      </c>
      <c r="F3" s="17">
        <f>IF(((HOTEL!D8-HOTEL!D7)&lt;0),0,(HOTEL!D8-HOTEL!D7))</f>
        <v>3512</v>
      </c>
      <c r="G3" s="17">
        <f>IF(((HOTEL!E8-HOTEL!E7)&lt;0),0,(HOTEL!E8-HOTEL!E7))</f>
        <v>99</v>
      </c>
      <c r="H3" s="17">
        <f>IF(((HOTEL!F8-HOTEL!F7)&lt;0),0,(HOTEL!F8-HOTEL!F7))</f>
        <v>0</v>
      </c>
      <c r="I3" s="17">
        <f>HOTEL!G7</f>
        <v>80</v>
      </c>
      <c r="J3" s="11"/>
    </row>
    <row r="4" spans="1:10" x14ac:dyDescent="0.25">
      <c r="A4" s="13" t="s">
        <v>20</v>
      </c>
      <c r="B4" s="13">
        <f t="shared" ref="B4:B32" si="0">B3+1</f>
        <v>3</v>
      </c>
      <c r="C4" s="16">
        <v>12</v>
      </c>
      <c r="D4" s="13">
        <v>2021</v>
      </c>
      <c r="E4" s="17">
        <f>IF(((HOTEL!C9-HOTEL!C8)&lt;0),0,(HOTEL!C9-HOTEL!C8))</f>
        <v>101</v>
      </c>
      <c r="F4" s="17">
        <f>IF(((HOTEL!D9-HOTEL!D8)&lt;0),0,(HOTEL!D9-HOTEL!D8))</f>
        <v>3569</v>
      </c>
      <c r="G4" s="17">
        <f>IF(((HOTEL!E9-HOTEL!E8)&lt;0),0,(HOTEL!E9-HOTEL!E8))</f>
        <v>96</v>
      </c>
      <c r="H4" s="17">
        <f>IF(((HOTEL!F9-HOTEL!F8)&lt;0),0,(HOTEL!F9-HOTEL!F8))</f>
        <v>0</v>
      </c>
      <c r="I4" s="17">
        <f>HOTEL!G8</f>
        <v>85</v>
      </c>
      <c r="J4" s="11"/>
    </row>
    <row r="5" spans="1:10" x14ac:dyDescent="0.25">
      <c r="A5" s="13" t="s">
        <v>20</v>
      </c>
      <c r="B5" s="13">
        <f t="shared" si="0"/>
        <v>4</v>
      </c>
      <c r="C5" s="16">
        <v>12</v>
      </c>
      <c r="D5" s="13">
        <v>2021</v>
      </c>
      <c r="E5" s="17">
        <f>IF(((HOTEL!C10-HOTEL!C9)&lt;0),0,(HOTEL!C10-HOTEL!C9))</f>
        <v>103</v>
      </c>
      <c r="F5" s="17">
        <f>IF(((HOTEL!D10-HOTEL!D9)&lt;0),0,(HOTEL!D10-HOTEL!D9))</f>
        <v>3439</v>
      </c>
      <c r="G5" s="17">
        <f>IF(((HOTEL!E10-HOTEL!E9)&lt;0),0,(HOTEL!E10-HOTEL!E9))</f>
        <v>115</v>
      </c>
      <c r="H5" s="17">
        <f>IF(((HOTEL!F10-HOTEL!F9)&lt;0),0,(HOTEL!F10-HOTEL!F9))</f>
        <v>0</v>
      </c>
      <c r="I5" s="17">
        <f>HOTEL!G9</f>
        <v>86</v>
      </c>
      <c r="J5" s="11"/>
    </row>
    <row r="6" spans="1:10" x14ac:dyDescent="0.25">
      <c r="A6" s="13" t="s">
        <v>20</v>
      </c>
      <c r="B6" s="13">
        <f t="shared" si="0"/>
        <v>5</v>
      </c>
      <c r="C6" s="16">
        <v>12</v>
      </c>
      <c r="D6" s="13">
        <v>2021</v>
      </c>
      <c r="E6" s="17">
        <f>IF(((HOTEL!C11-HOTEL!C10)&lt;0),0,(HOTEL!C11-HOTEL!C10))</f>
        <v>95</v>
      </c>
      <c r="F6" s="17">
        <f>IF(((HOTEL!D11-HOTEL!D10)&lt;0),0,(HOTEL!D11-HOTEL!D10))</f>
        <v>3498</v>
      </c>
      <c r="G6" s="17">
        <f>IF(((HOTEL!E11-HOTEL!E10)&lt;0),0,(HOTEL!E11-HOTEL!E10))</f>
        <v>95</v>
      </c>
      <c r="H6" s="17">
        <f>IF(((HOTEL!F11-HOTEL!F10)&lt;0),0,(HOTEL!F11-HOTEL!F10))</f>
        <v>0</v>
      </c>
      <c r="I6" s="17">
        <f>HOTEL!G10</f>
        <v>82</v>
      </c>
      <c r="J6" s="12"/>
    </row>
    <row r="7" spans="1:10" x14ac:dyDescent="0.25">
      <c r="A7" s="13" t="s">
        <v>20</v>
      </c>
      <c r="B7" s="13">
        <f t="shared" si="0"/>
        <v>6</v>
      </c>
      <c r="C7" s="16">
        <v>12</v>
      </c>
      <c r="D7" s="13">
        <v>2021</v>
      </c>
      <c r="E7" s="17">
        <f>IF(((HOTEL!C12-HOTEL!C11)&lt;0),0,(HOTEL!C12-HOTEL!C11))</f>
        <v>78</v>
      </c>
      <c r="F7" s="17">
        <f>IF(((HOTEL!D12-HOTEL!D11)&lt;0),0,(HOTEL!D12-HOTEL!D11))</f>
        <v>3969</v>
      </c>
      <c r="G7" s="17">
        <f>IF(((HOTEL!E12-HOTEL!E11)&lt;0),0,(HOTEL!E12-HOTEL!E11))</f>
        <v>98</v>
      </c>
      <c r="H7" s="17">
        <f>IF(((HOTEL!F12-HOTEL!F11)&lt;0),0,(HOTEL!F12-HOTEL!F11))</f>
        <v>0</v>
      </c>
      <c r="I7" s="17">
        <f>HOTEL!G11</f>
        <v>103</v>
      </c>
      <c r="J7" s="12"/>
    </row>
    <row r="8" spans="1:10" x14ac:dyDescent="0.25">
      <c r="A8" s="13" t="s">
        <v>20</v>
      </c>
      <c r="B8" s="13">
        <f t="shared" si="0"/>
        <v>7</v>
      </c>
      <c r="C8" s="16">
        <v>12</v>
      </c>
      <c r="D8" s="13">
        <v>2021</v>
      </c>
      <c r="E8" s="17">
        <f>IF(((HOTEL!C13-HOTEL!C12)&lt;0),0,(HOTEL!C13-HOTEL!C12))</f>
        <v>101</v>
      </c>
      <c r="F8" s="17">
        <f>IF(((HOTEL!D13-HOTEL!D12)&lt;0),0,(HOTEL!D13-HOTEL!D12))</f>
        <v>3231</v>
      </c>
      <c r="G8" s="17">
        <f>IF(((HOTEL!E13-HOTEL!E12)&lt;0),0,(HOTEL!E13-HOTEL!E12))</f>
        <v>102</v>
      </c>
      <c r="H8" s="17">
        <f>IF(((HOTEL!F13-HOTEL!F12)&lt;0),0,(HOTEL!F13-HOTEL!F12))</f>
        <v>0</v>
      </c>
      <c r="I8" s="17">
        <f>HOTEL!G12</f>
        <v>109</v>
      </c>
      <c r="J8" s="12"/>
    </row>
    <row r="9" spans="1:10" x14ac:dyDescent="0.25">
      <c r="A9" s="13" t="s">
        <v>20</v>
      </c>
      <c r="B9" s="13">
        <f t="shared" si="0"/>
        <v>8</v>
      </c>
      <c r="C9" s="16">
        <v>12</v>
      </c>
      <c r="D9" s="13">
        <v>2021</v>
      </c>
      <c r="E9" s="17">
        <f>IF(((HOTEL!C14-HOTEL!C13)&lt;0),0,(HOTEL!C14-HOTEL!C13))</f>
        <v>80</v>
      </c>
      <c r="F9" s="17">
        <f>IF(((HOTEL!D14-HOTEL!D13)&lt;0),0,(HOTEL!D14-HOTEL!D13))</f>
        <v>3200</v>
      </c>
      <c r="G9" s="17">
        <f>IF(((HOTEL!E14-HOTEL!E13)&lt;0),0,(HOTEL!E14-HOTEL!E13))</f>
        <v>94</v>
      </c>
      <c r="H9" s="17">
        <f>IF(((HOTEL!F14-HOTEL!F13)&lt;0),0,(HOTEL!F14-HOTEL!F13))</f>
        <v>0</v>
      </c>
      <c r="I9" s="17">
        <f>HOTEL!G13</f>
        <v>98</v>
      </c>
      <c r="J9" s="12"/>
    </row>
    <row r="10" spans="1:10" x14ac:dyDescent="0.25">
      <c r="A10" s="13" t="s">
        <v>20</v>
      </c>
      <c r="B10" s="13">
        <f t="shared" si="0"/>
        <v>9</v>
      </c>
      <c r="C10" s="16">
        <v>12</v>
      </c>
      <c r="D10" s="13">
        <v>2021</v>
      </c>
      <c r="E10" s="17">
        <f>IF(((HOTEL!C15-HOTEL!C14)&lt;0),0,(HOTEL!C15-HOTEL!C14))</f>
        <v>143</v>
      </c>
      <c r="F10" s="17">
        <f>IF(((HOTEL!D15-HOTEL!D14)&lt;0),0,(HOTEL!D15-HOTEL!D14))</f>
        <v>5000</v>
      </c>
      <c r="G10" s="17">
        <f>IF(((HOTEL!E15-HOTEL!E14)&lt;0),0,(HOTEL!E15-HOTEL!E14))</f>
        <v>121</v>
      </c>
      <c r="H10" s="17">
        <f>IF(((HOTEL!F15-HOTEL!F14)&lt;0),0,(HOTEL!F15-HOTEL!F14))</f>
        <v>0</v>
      </c>
      <c r="I10" s="17">
        <f>HOTEL!G14</f>
        <v>101</v>
      </c>
      <c r="J10" s="12"/>
    </row>
    <row r="11" spans="1:10" x14ac:dyDescent="0.25">
      <c r="A11" s="13" t="s">
        <v>20</v>
      </c>
      <c r="B11" s="13">
        <f t="shared" si="0"/>
        <v>10</v>
      </c>
      <c r="C11" s="16">
        <v>12</v>
      </c>
      <c r="D11" s="13">
        <v>2021</v>
      </c>
      <c r="E11" s="17">
        <f>IF(((HOTEL!C16-HOTEL!C15)&lt;0),0,(HOTEL!C16-HOTEL!C15))</f>
        <v>69</v>
      </c>
      <c r="F11" s="17">
        <f>IF(((HOTEL!D16-HOTEL!D15)&lt;0),0,(HOTEL!D16-HOTEL!D15))</f>
        <v>4430</v>
      </c>
      <c r="G11" s="17">
        <f>IF(((HOTEL!E16-HOTEL!E15)&lt;0),0,(HOTEL!E16-HOTEL!E15))</f>
        <v>84</v>
      </c>
      <c r="H11" s="17">
        <f>IF(((HOTEL!F16-HOTEL!F15)&lt;0),0,(HOTEL!F16-HOTEL!F15))</f>
        <v>0</v>
      </c>
      <c r="I11" s="17">
        <f>HOTEL!G15</f>
        <v>119</v>
      </c>
      <c r="J11" s="12"/>
    </row>
    <row r="12" spans="1:10" x14ac:dyDescent="0.25">
      <c r="A12" s="13" t="s">
        <v>20</v>
      </c>
      <c r="B12" s="13">
        <f t="shared" si="0"/>
        <v>11</v>
      </c>
      <c r="C12" s="16">
        <v>12</v>
      </c>
      <c r="D12" s="13">
        <v>2021</v>
      </c>
      <c r="E12" s="17">
        <f>IF(((HOTEL!C17-HOTEL!C16)&lt;0),0,(HOTEL!C17-HOTEL!C16))</f>
        <v>82</v>
      </c>
      <c r="F12" s="17">
        <f>IF(((HOTEL!D17-HOTEL!D16)&lt;0),0,(HOTEL!D17-HOTEL!D16))</f>
        <v>4030</v>
      </c>
      <c r="G12" s="17">
        <f>IF(((HOTEL!E17-HOTEL!E16)&lt;0),0,(HOTEL!E17-HOTEL!E16))</f>
        <v>102</v>
      </c>
      <c r="H12" s="17">
        <f>IF(((HOTEL!F17-HOTEL!F16)&lt;0),0,(HOTEL!F17-HOTEL!F16))</f>
        <v>0</v>
      </c>
      <c r="I12" s="17">
        <f>HOTEL!G16</f>
        <v>110</v>
      </c>
      <c r="J12" s="12"/>
    </row>
    <row r="13" spans="1:10" x14ac:dyDescent="0.25">
      <c r="A13" s="13" t="s">
        <v>20</v>
      </c>
      <c r="B13" s="13">
        <f t="shared" si="0"/>
        <v>12</v>
      </c>
      <c r="C13" s="16">
        <v>12</v>
      </c>
      <c r="D13" s="13">
        <v>2021</v>
      </c>
      <c r="E13" s="17">
        <f>IF(((HOTEL!C18-HOTEL!C17)&lt;0),0,(HOTEL!C18-HOTEL!C17))</f>
        <v>101</v>
      </c>
      <c r="F13" s="17">
        <f>IF(((HOTEL!D18-HOTEL!D17)&lt;0),0,(HOTEL!D18-HOTEL!D17))</f>
        <v>3321</v>
      </c>
      <c r="G13" s="17">
        <f>IF(((HOTEL!E18-HOTEL!E17)&lt;0),0,(HOTEL!E18-HOTEL!E17))</f>
        <v>103</v>
      </c>
      <c r="H13" s="17">
        <f>IF(((HOTEL!F18-HOTEL!F17)&lt;0),0,(HOTEL!F18-HOTEL!F17))</f>
        <v>0</v>
      </c>
      <c r="I13" s="17">
        <f>HOTEL!G17</f>
        <v>93</v>
      </c>
      <c r="J13" s="12"/>
    </row>
    <row r="14" spans="1:10" x14ac:dyDescent="0.25">
      <c r="A14" s="13" t="s">
        <v>20</v>
      </c>
      <c r="B14" s="13">
        <f t="shared" si="0"/>
        <v>13</v>
      </c>
      <c r="C14" s="16">
        <v>12</v>
      </c>
      <c r="D14" s="13">
        <v>2021</v>
      </c>
      <c r="E14" s="17">
        <f>IF(((HOTEL!C19-HOTEL!C18)&lt;0),0,(HOTEL!C19-HOTEL!C18))</f>
        <v>56</v>
      </c>
      <c r="F14" s="17">
        <f>IF(((HOTEL!D19-HOTEL!D18)&lt;0),0,(HOTEL!D19-HOTEL!D18))</f>
        <v>3235</v>
      </c>
      <c r="G14" s="17">
        <f>IF(((HOTEL!E19-HOTEL!E18)&lt;0),0,(HOTEL!E19-HOTEL!E18))</f>
        <v>110</v>
      </c>
      <c r="H14" s="17">
        <f>IF(((HOTEL!F19-HOTEL!F18)&lt;0),0,(HOTEL!F19-HOTEL!F18))</f>
        <v>0</v>
      </c>
      <c r="I14" s="17">
        <f>HOTEL!G18</f>
        <v>43</v>
      </c>
      <c r="J14" s="12"/>
    </row>
    <row r="15" spans="1:10" x14ac:dyDescent="0.25">
      <c r="A15" s="13" t="s">
        <v>20</v>
      </c>
      <c r="B15" s="13">
        <f t="shared" si="0"/>
        <v>14</v>
      </c>
      <c r="C15" s="16">
        <v>12</v>
      </c>
      <c r="D15" s="13">
        <v>2021</v>
      </c>
      <c r="E15" s="17">
        <f>IF(((HOTEL!C20-HOTEL!C19)&lt;0),0,(HOTEL!C20-HOTEL!C19))</f>
        <v>66</v>
      </c>
      <c r="F15" s="17">
        <f>IF(((HOTEL!D20-HOTEL!D19)&lt;0),0,(HOTEL!D20-HOTEL!D19))</f>
        <v>2756</v>
      </c>
      <c r="G15" s="17">
        <f>IF(((HOTEL!E20-HOTEL!E19)&lt;0),0,(HOTEL!E20-HOTEL!E19))</f>
        <v>71</v>
      </c>
      <c r="H15" s="17">
        <f>IF(((HOTEL!F20-HOTEL!F19)&lt;0),0,(HOTEL!F20-HOTEL!F19))</f>
        <v>0</v>
      </c>
      <c r="I15" s="17">
        <f>HOTEL!G19</f>
        <v>29</v>
      </c>
      <c r="J15" s="12"/>
    </row>
    <row r="16" spans="1:10" x14ac:dyDescent="0.25">
      <c r="A16" s="13" t="s">
        <v>20</v>
      </c>
      <c r="B16" s="13">
        <f t="shared" si="0"/>
        <v>15</v>
      </c>
      <c r="C16" s="16">
        <v>12</v>
      </c>
      <c r="D16" s="13">
        <v>2021</v>
      </c>
      <c r="E16" s="17">
        <f>IF(((HOTEL!C21-HOTEL!C20)&lt;0),0,(HOTEL!C21-HOTEL!C20))</f>
        <v>79</v>
      </c>
      <c r="F16" s="17">
        <f>IF(((HOTEL!D21-HOTEL!D20)&lt;0),0,(HOTEL!D21-HOTEL!D20))</f>
        <v>2825</v>
      </c>
      <c r="G16" s="17">
        <f>IF(((HOTEL!E21-HOTEL!E20)&lt;0),0,(HOTEL!E21-HOTEL!E20))</f>
        <v>81</v>
      </c>
      <c r="H16" s="17">
        <f>IF(((HOTEL!F21-HOTEL!F20)&lt;0),0,(HOTEL!F21-HOTEL!F20))</f>
        <v>0</v>
      </c>
      <c r="I16" s="17">
        <f>HOTEL!G20</f>
        <v>33</v>
      </c>
      <c r="J16" s="12"/>
    </row>
    <row r="17" spans="1:10" x14ac:dyDescent="0.25">
      <c r="A17" s="13" t="s">
        <v>20</v>
      </c>
      <c r="B17" s="13">
        <f t="shared" si="0"/>
        <v>16</v>
      </c>
      <c r="C17" s="16">
        <v>12</v>
      </c>
      <c r="D17" s="13">
        <v>2021</v>
      </c>
      <c r="E17" s="17">
        <f>IF(((HOTEL!C22-HOTEL!C21)&lt;0),0,(HOTEL!C22-HOTEL!C21))</f>
        <v>109</v>
      </c>
      <c r="F17" s="17">
        <f>IF(((HOTEL!D22-HOTEL!D21)&lt;0),0,(HOTEL!D22-HOTEL!D21))</f>
        <v>2701</v>
      </c>
      <c r="G17" s="17">
        <f>IF(((HOTEL!E22-HOTEL!E21)&lt;0),0,(HOTEL!E22-HOTEL!E21))</f>
        <v>101</v>
      </c>
      <c r="H17" s="17">
        <f>IF(((HOTEL!F22-HOTEL!F21)&lt;0),0,(HOTEL!F22-HOTEL!F21))</f>
        <v>0</v>
      </c>
      <c r="I17" s="17">
        <f>HOTEL!G21</f>
        <v>65</v>
      </c>
      <c r="J17" s="12"/>
    </row>
    <row r="18" spans="1:10" x14ac:dyDescent="0.25">
      <c r="A18" s="13" t="s">
        <v>20</v>
      </c>
      <c r="B18" s="13">
        <f t="shared" si="0"/>
        <v>17</v>
      </c>
      <c r="C18" s="16">
        <v>12</v>
      </c>
      <c r="D18" s="13">
        <v>2021</v>
      </c>
      <c r="E18" s="17">
        <f>IF(((HOTEL!C23-HOTEL!C22)&lt;0),0,(HOTEL!C23-HOTEL!C22))</f>
        <v>109</v>
      </c>
      <c r="F18" s="17">
        <f>IF(((HOTEL!D23-HOTEL!D22)&lt;0),0,(HOTEL!D23-HOTEL!D22))</f>
        <v>2586</v>
      </c>
      <c r="G18" s="17">
        <f>IF(((HOTEL!E23-HOTEL!E22)&lt;0),0,(HOTEL!E23-HOTEL!E22))</f>
        <v>97</v>
      </c>
      <c r="H18" s="17">
        <f>IF(((HOTEL!F23-HOTEL!F22)&lt;0),0,(HOTEL!F23-HOTEL!F22))</f>
        <v>0</v>
      </c>
      <c r="I18" s="17">
        <f>HOTEL!G22</f>
        <v>88</v>
      </c>
      <c r="J18" s="12"/>
    </row>
    <row r="19" spans="1:10" x14ac:dyDescent="0.25">
      <c r="A19" s="13" t="s">
        <v>20</v>
      </c>
      <c r="B19" s="13">
        <f>B18+1</f>
        <v>18</v>
      </c>
      <c r="C19" s="16">
        <v>12</v>
      </c>
      <c r="D19" s="13">
        <v>2021</v>
      </c>
      <c r="E19" s="17">
        <f>IF(((HOTEL!C24-HOTEL!C23)&lt;0),0,(HOTEL!C24-HOTEL!C23))</f>
        <v>93</v>
      </c>
      <c r="F19" s="17">
        <f>IF(((HOTEL!D24-HOTEL!D23)&lt;0),0,(HOTEL!D24-HOTEL!D23))</f>
        <v>2857</v>
      </c>
      <c r="G19" s="17">
        <f>IF(((HOTEL!E24-HOTEL!E23)&lt;0),0,(HOTEL!E24-HOTEL!E23))</f>
        <v>118</v>
      </c>
      <c r="H19" s="17">
        <f>IF(((HOTEL!F24-HOTEL!F23)&lt;0),0,(HOTEL!F24-HOTEL!F23))</f>
        <v>0</v>
      </c>
      <c r="I19" s="17">
        <f>HOTEL!G23</f>
        <v>144</v>
      </c>
      <c r="J19" s="12"/>
    </row>
    <row r="20" spans="1:10" x14ac:dyDescent="0.25">
      <c r="A20" s="13" t="s">
        <v>20</v>
      </c>
      <c r="B20" s="13">
        <f t="shared" si="0"/>
        <v>19</v>
      </c>
      <c r="C20" s="16">
        <v>12</v>
      </c>
      <c r="D20" s="13">
        <v>2021</v>
      </c>
      <c r="E20" s="17">
        <f>IF(((HOTEL!C25-HOTEL!C24)&lt;0),0,(HOTEL!C25-HOTEL!C24))</f>
        <v>99</v>
      </c>
      <c r="F20" s="17">
        <f>IF(((HOTEL!D25-HOTEL!D24)&lt;0),0,(HOTEL!D25-HOTEL!D24))</f>
        <v>2929</v>
      </c>
      <c r="G20" s="17">
        <f>IF(((HOTEL!E25-HOTEL!E24)&lt;0),0,(HOTEL!E25-HOTEL!E24))</f>
        <v>138</v>
      </c>
      <c r="H20" s="17">
        <f>IF(((HOTEL!F25-HOTEL!F24)&lt;0),0,(HOTEL!F25-HOTEL!F24))</f>
        <v>0</v>
      </c>
      <c r="I20" s="17">
        <f>HOTEL!G24</f>
        <v>149</v>
      </c>
      <c r="J20" s="12"/>
    </row>
    <row r="21" spans="1:10" x14ac:dyDescent="0.25">
      <c r="A21" s="13" t="s">
        <v>20</v>
      </c>
      <c r="B21" s="13">
        <f t="shared" si="0"/>
        <v>20</v>
      </c>
      <c r="C21" s="16">
        <v>12</v>
      </c>
      <c r="D21" s="13">
        <v>2021</v>
      </c>
      <c r="E21" s="17">
        <f>IF(((HOTEL!C26-HOTEL!C25)&lt;0),0,(HOTEL!C26-HOTEL!C25))</f>
        <v>101</v>
      </c>
      <c r="F21" s="17">
        <f>IF(((HOTEL!D26-HOTEL!D25)&lt;0),0,(HOTEL!D26-HOTEL!D25))</f>
        <v>3354</v>
      </c>
      <c r="G21" s="17">
        <f>IF(((HOTEL!E26-HOTEL!E25)&lt;0),0,(HOTEL!E26-HOTEL!E25))</f>
        <v>115</v>
      </c>
      <c r="H21" s="17">
        <f>IF(((HOTEL!F26-HOTEL!F25)&lt;0),0,(HOTEL!F26-HOTEL!F25))</f>
        <v>0</v>
      </c>
      <c r="I21" s="17">
        <f>HOTEL!G25</f>
        <v>65</v>
      </c>
      <c r="J21" s="12"/>
    </row>
    <row r="22" spans="1:10" x14ac:dyDescent="0.25">
      <c r="A22" s="13" t="s">
        <v>20</v>
      </c>
      <c r="B22" s="13">
        <f t="shared" si="0"/>
        <v>21</v>
      </c>
      <c r="C22" s="16">
        <v>12</v>
      </c>
      <c r="D22" s="13">
        <v>2021</v>
      </c>
      <c r="E22" s="17">
        <f>IF(((HOTEL!C27-HOTEL!C26)&lt;0),0,(HOTEL!C27-HOTEL!C26))</f>
        <v>53</v>
      </c>
      <c r="F22" s="17">
        <f>IF(((HOTEL!D27-HOTEL!D26)&lt;0),0,(HOTEL!D27-HOTEL!D26))</f>
        <v>3733</v>
      </c>
      <c r="G22" s="17">
        <f>IF(((HOTEL!E27-HOTEL!E26)&lt;0),0,(HOTEL!E27-HOTEL!E26))</f>
        <v>101</v>
      </c>
      <c r="H22" s="17">
        <f>IF(((HOTEL!F27-HOTEL!F26)&lt;0),0,(HOTEL!F27-HOTEL!F26))</f>
        <v>0</v>
      </c>
      <c r="I22" s="17">
        <f>HOTEL!G26</f>
        <v>63</v>
      </c>
      <c r="J22" s="12"/>
    </row>
    <row r="23" spans="1:10" x14ac:dyDescent="0.25">
      <c r="A23" s="13" t="s">
        <v>20</v>
      </c>
      <c r="B23" s="13">
        <f t="shared" si="0"/>
        <v>22</v>
      </c>
      <c r="C23" s="16">
        <v>12</v>
      </c>
      <c r="D23" s="13">
        <v>2021</v>
      </c>
      <c r="E23" s="17">
        <f>IF(((HOTEL!C28-HOTEL!C27)&lt;0),0,(HOTEL!C28-HOTEL!C27))</f>
        <v>129</v>
      </c>
      <c r="F23" s="17">
        <f>IF(((HOTEL!D28-HOTEL!D27)&lt;0),0,(HOTEL!D28-HOTEL!D27))</f>
        <v>3757</v>
      </c>
      <c r="G23" s="17">
        <f>IF(((HOTEL!E28-HOTEL!E27)&lt;0),0,(HOTEL!E28-HOTEL!E27))</f>
        <v>118</v>
      </c>
      <c r="H23" s="17">
        <f>IF(((HOTEL!F28-HOTEL!F27)&lt;0),0,(HOTEL!F28-HOTEL!F27))</f>
        <v>0</v>
      </c>
      <c r="I23" s="17">
        <f>HOTEL!G27</f>
        <v>57</v>
      </c>
      <c r="J23" s="12"/>
    </row>
    <row r="24" spans="1:10" x14ac:dyDescent="0.25">
      <c r="A24" s="13" t="s">
        <v>20</v>
      </c>
      <c r="B24" s="13">
        <f t="shared" si="0"/>
        <v>23</v>
      </c>
      <c r="C24" s="16">
        <v>12</v>
      </c>
      <c r="D24" s="13">
        <v>2021</v>
      </c>
      <c r="E24" s="17">
        <f>IF(((HOTEL!C29-HOTEL!C28)&lt;0),0,(HOTEL!C29-HOTEL!C28))</f>
        <v>103</v>
      </c>
      <c r="F24" s="17">
        <f>IF(((HOTEL!D29-HOTEL!D28)&lt;0),0,(HOTEL!D29-HOTEL!D28))</f>
        <v>3845</v>
      </c>
      <c r="G24" s="17">
        <f>IF(((HOTEL!E29-HOTEL!E28)&lt;0),0,(HOTEL!E29-HOTEL!E28))</f>
        <v>117</v>
      </c>
      <c r="H24" s="17">
        <f>IF(((HOTEL!F29-HOTEL!F28)&lt;0),0,(HOTEL!F29-HOTEL!F28))</f>
        <v>0</v>
      </c>
      <c r="I24" s="17">
        <f>HOTEL!G28</f>
        <v>69</v>
      </c>
      <c r="J24" s="12"/>
    </row>
    <row r="25" spans="1:10" x14ac:dyDescent="0.25">
      <c r="A25" s="13" t="s">
        <v>20</v>
      </c>
      <c r="B25" s="13">
        <f t="shared" si="0"/>
        <v>24</v>
      </c>
      <c r="C25" s="16">
        <v>12</v>
      </c>
      <c r="D25" s="13">
        <v>2021</v>
      </c>
      <c r="E25" s="17">
        <f>IF(((HOTEL!C30-HOTEL!C29)&lt;0),0,(HOTEL!C30-HOTEL!C29))</f>
        <v>122</v>
      </c>
      <c r="F25" s="17">
        <f>IF(((HOTEL!D30-HOTEL!D29)&lt;0),0,(HOTEL!D30-HOTEL!D29))</f>
        <v>3181</v>
      </c>
      <c r="G25" s="17">
        <f>IF(((HOTEL!E30-HOTEL!E29)&lt;0),0,(HOTEL!E30-HOTEL!E29))</f>
        <v>116</v>
      </c>
      <c r="H25" s="17">
        <f>IF(((HOTEL!F30-HOTEL!F29)&lt;0),0,(HOTEL!F30-HOTEL!F29))</f>
        <v>0</v>
      </c>
      <c r="I25" s="17">
        <f>HOTEL!G29</f>
        <v>95</v>
      </c>
      <c r="J25" s="12"/>
    </row>
    <row r="26" spans="1:10" x14ac:dyDescent="0.25">
      <c r="A26" s="13" t="s">
        <v>20</v>
      </c>
      <c r="B26" s="13">
        <f>B25+1</f>
        <v>25</v>
      </c>
      <c r="C26" s="16">
        <v>12</v>
      </c>
      <c r="D26" s="13">
        <v>2021</v>
      </c>
      <c r="E26" s="17">
        <f>IF(((HOTEL!C31-HOTEL!C30)&lt;0),0,(HOTEL!C31-HOTEL!C30))</f>
        <v>132</v>
      </c>
      <c r="F26" s="17">
        <f>IF(((HOTEL!D31-HOTEL!D30)&lt;0),0,(HOTEL!D31-HOTEL!D30))</f>
        <v>3648</v>
      </c>
      <c r="G26" s="17">
        <f>IF(((HOTEL!E31-HOTEL!E30)&lt;0),0,(HOTEL!E31-HOTEL!E30))</f>
        <v>135</v>
      </c>
      <c r="H26" s="17">
        <f>IF(((HOTEL!F31-HOTEL!F30)&lt;0),0,(HOTEL!F31-HOTEL!F30))</f>
        <v>0</v>
      </c>
      <c r="I26" s="17">
        <f>HOTEL!G30</f>
        <v>128</v>
      </c>
      <c r="J26" s="12"/>
    </row>
    <row r="27" spans="1:10" x14ac:dyDescent="0.25">
      <c r="A27" s="13" t="s">
        <v>20</v>
      </c>
      <c r="B27" s="13">
        <f t="shared" si="0"/>
        <v>26</v>
      </c>
      <c r="C27" s="16">
        <v>12</v>
      </c>
      <c r="D27" s="13">
        <v>2021</v>
      </c>
      <c r="E27" s="17">
        <f>IF(((HOTEL!C32-HOTEL!C31)&lt;0),0,(HOTEL!C32-HOTEL!C31))</f>
        <v>121</v>
      </c>
      <c r="F27" s="17">
        <f>IF(((HOTEL!D32-HOTEL!D31)&lt;0),0,(HOTEL!D32-HOTEL!D31))</f>
        <v>4375</v>
      </c>
      <c r="G27" s="17">
        <f>IF(((HOTEL!E32-HOTEL!E31)&lt;0),0,(HOTEL!E32-HOTEL!E31))</f>
        <v>145</v>
      </c>
      <c r="H27" s="17">
        <f>IF(((HOTEL!F32-HOTEL!F31)&lt;0),0,(HOTEL!F32-HOTEL!F31))</f>
        <v>0</v>
      </c>
      <c r="I27" s="17">
        <f>HOTEL!G31</f>
        <v>124</v>
      </c>
      <c r="J27" s="12"/>
    </row>
    <row r="28" spans="1:10" x14ac:dyDescent="0.25">
      <c r="A28" s="13" t="s">
        <v>20</v>
      </c>
      <c r="B28" s="13">
        <f t="shared" si="0"/>
        <v>27</v>
      </c>
      <c r="C28" s="16">
        <v>12</v>
      </c>
      <c r="D28" s="13">
        <v>2021</v>
      </c>
      <c r="E28" s="17">
        <f>IF(((HOTEL!C33-HOTEL!C32)&lt;0),0,(HOTEL!C33-HOTEL!C32))</f>
        <v>108</v>
      </c>
      <c r="F28" s="17">
        <f>IF(((HOTEL!D33-HOTEL!D32)&lt;0),0,(HOTEL!D33-HOTEL!D32))</f>
        <v>4248</v>
      </c>
      <c r="G28" s="17">
        <f>IF(((HOTEL!E33-HOTEL!E32)&lt;0),0,(HOTEL!E33-HOTEL!E32))</f>
        <v>132</v>
      </c>
      <c r="H28" s="17">
        <f>IF(((HOTEL!F33-HOTEL!F32)&lt;0),0,(HOTEL!F33-HOTEL!F32))</f>
        <v>0</v>
      </c>
      <c r="I28" s="17">
        <f>HOTEL!G32</f>
        <v>107</v>
      </c>
      <c r="J28" s="12"/>
    </row>
    <row r="29" spans="1:10" x14ac:dyDescent="0.25">
      <c r="A29" s="13" t="s">
        <v>20</v>
      </c>
      <c r="B29" s="13">
        <f t="shared" si="0"/>
        <v>28</v>
      </c>
      <c r="C29" s="16">
        <v>12</v>
      </c>
      <c r="D29" s="13">
        <v>2021</v>
      </c>
      <c r="E29" s="17">
        <f>IF(((HOTEL!C34-HOTEL!C33)&lt;0),0,(HOTEL!C34-HOTEL!C33))</f>
        <v>90</v>
      </c>
      <c r="F29" s="17">
        <f>IF(((HOTEL!D34-HOTEL!D33)&lt;0),0,(HOTEL!D34-HOTEL!D33))</f>
        <v>4007</v>
      </c>
      <c r="G29" s="17">
        <f>IF(((HOTEL!E34-HOTEL!E33)&lt;0),0,(HOTEL!E34-HOTEL!E33))</f>
        <v>114</v>
      </c>
      <c r="H29" s="17">
        <f>IF(((HOTEL!F34-HOTEL!F33)&lt;0),0,(HOTEL!F34-HOTEL!F33))</f>
        <v>0</v>
      </c>
      <c r="I29" s="17">
        <f>HOTEL!G33</f>
        <v>99</v>
      </c>
      <c r="J29" s="12"/>
    </row>
    <row r="30" spans="1:10" x14ac:dyDescent="0.25">
      <c r="A30" s="13" t="s">
        <v>20</v>
      </c>
      <c r="B30" s="13">
        <f t="shared" si="0"/>
        <v>29</v>
      </c>
      <c r="C30" s="16">
        <v>12</v>
      </c>
      <c r="D30" s="13">
        <v>2021</v>
      </c>
      <c r="E30" s="17">
        <f>IF(((HOTEL!C35-HOTEL!C34)&lt;0),0,(HOTEL!C35-HOTEL!C34))</f>
        <v>101</v>
      </c>
      <c r="F30" s="17">
        <f>IF(((HOTEL!D35-HOTEL!D34)&lt;0),0,(HOTEL!D35-HOTEL!D34))</f>
        <v>3652</v>
      </c>
      <c r="G30" s="17">
        <f>IF(((HOTEL!E35-HOTEL!E34)&lt;0),0,(HOTEL!E35-HOTEL!E34))</f>
        <v>123</v>
      </c>
      <c r="H30" s="17">
        <f>IF(((HOTEL!F35-HOTEL!F34)&lt;0),0,(HOTEL!F35-HOTEL!F34))</f>
        <v>0</v>
      </c>
      <c r="I30" s="17">
        <f>HOTEL!G34</f>
        <v>91</v>
      </c>
    </row>
    <row r="31" spans="1:10" x14ac:dyDescent="0.25">
      <c r="A31" s="13" t="s">
        <v>20</v>
      </c>
      <c r="B31" s="13">
        <f t="shared" si="0"/>
        <v>30</v>
      </c>
      <c r="C31" s="16">
        <v>12</v>
      </c>
      <c r="D31" s="13">
        <v>2021</v>
      </c>
      <c r="E31" s="17">
        <f>IF(((HOTEL!C36-HOTEL!C35)&lt;0),0,(HOTEL!C36-HOTEL!C35))</f>
        <v>91</v>
      </c>
      <c r="F31" s="17">
        <f>IF(((HOTEL!D36-HOTEL!D35)&lt;0),0,(HOTEL!D36-HOTEL!D35))</f>
        <v>3559</v>
      </c>
      <c r="G31" s="17">
        <f>IF(((HOTEL!E36-HOTEL!E35)&lt;0),0,(HOTEL!E36-HOTEL!E35))</f>
        <v>126</v>
      </c>
      <c r="H31" s="17">
        <f>IF(((HOTEL!F36-HOTEL!F35)&lt;0),0,(HOTEL!F36-HOTEL!F35))</f>
        <v>0</v>
      </c>
      <c r="I31" s="17">
        <f>HOTEL!G35</f>
        <v>93</v>
      </c>
    </row>
    <row r="32" spans="1:10" x14ac:dyDescent="0.25">
      <c r="A32" s="13" t="s">
        <v>20</v>
      </c>
      <c r="B32" s="13">
        <f t="shared" si="0"/>
        <v>31</v>
      </c>
      <c r="C32" s="16">
        <v>12</v>
      </c>
      <c r="D32" s="13">
        <v>2021</v>
      </c>
      <c r="E32" s="17">
        <f>IF(((HOTEL!C37-HOTEL!C36)&lt;0),0,(HOTEL!C37-HOTEL!C36))</f>
        <v>119</v>
      </c>
      <c r="F32" s="17">
        <f>IF(((HOTEL!D37-HOTEL!D36)&lt;0),0,(HOTEL!D37-HOTEL!D36))</f>
        <v>4183</v>
      </c>
      <c r="G32" s="17">
        <f>IF(((HOTEL!E37-HOTEL!E36)&lt;0),0,(HOTEL!E37-HOTEL!E36))</f>
        <v>140</v>
      </c>
      <c r="H32" s="17">
        <f>IF(((HOTEL!F37-HOTEL!F36)&lt;0),0,(HOTEL!F37-HOTEL!F36))</f>
        <v>0</v>
      </c>
      <c r="I32" s="17">
        <f>HOTEL!G36</f>
        <v>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L38"/>
  <sheetViews>
    <sheetView topLeftCell="A25" zoomScaleNormal="100" workbookViewId="0">
      <selection activeCell="B49" sqref="B49"/>
    </sheetView>
  </sheetViews>
  <sheetFormatPr defaultRowHeight="15" x14ac:dyDescent="0.25"/>
  <cols>
    <col min="1" max="1" width="14.28515625" customWidth="1"/>
    <col min="2" max="2" width="23.7109375" style="8" customWidth="1"/>
    <col min="3" max="3" width="10.5703125" customWidth="1"/>
    <col min="4" max="4" width="9.85546875" customWidth="1"/>
    <col min="5" max="5" width="14.28515625" customWidth="1"/>
    <col min="6" max="6" width="14.7109375" customWidth="1"/>
    <col min="7" max="7" width="14.140625" customWidth="1"/>
  </cols>
  <sheetData>
    <row r="1" spans="1:7" x14ac:dyDescent="0.25">
      <c r="E1" s="1"/>
    </row>
    <row r="2" spans="1:7" ht="18.75" x14ac:dyDescent="0.3">
      <c r="A2" s="36" t="s">
        <v>17</v>
      </c>
      <c r="B2" s="36"/>
      <c r="C2" s="36"/>
      <c r="D2" s="36"/>
      <c r="E2" s="36"/>
      <c r="F2" s="36"/>
      <c r="G2" s="36"/>
    </row>
    <row r="3" spans="1:7" ht="16.5" thickBot="1" x14ac:dyDescent="0.3">
      <c r="A3" s="31" t="s">
        <v>26</v>
      </c>
      <c r="B3" s="31"/>
      <c r="C3" s="31"/>
      <c r="D3" s="31"/>
      <c r="E3" s="31"/>
      <c r="F3" s="31"/>
      <c r="G3" s="31"/>
    </row>
    <row r="4" spans="1:7" ht="16.5" thickBot="1" x14ac:dyDescent="0.3">
      <c r="A4" s="2"/>
      <c r="B4" s="14" t="s">
        <v>14</v>
      </c>
      <c r="C4" s="32"/>
      <c r="D4" s="33"/>
      <c r="E4" s="34" t="s">
        <v>0</v>
      </c>
      <c r="F4" s="35"/>
      <c r="G4" s="3" t="s">
        <v>13</v>
      </c>
    </row>
    <row r="5" spans="1:7" ht="30" x14ac:dyDescent="0.25">
      <c r="A5" s="4" t="s">
        <v>1</v>
      </c>
      <c r="B5" s="5" t="s">
        <v>15</v>
      </c>
      <c r="C5" s="6" t="s">
        <v>2</v>
      </c>
      <c r="D5" s="5" t="s">
        <v>3</v>
      </c>
      <c r="E5" s="6" t="s">
        <v>18</v>
      </c>
      <c r="F5" s="6" t="s">
        <v>19</v>
      </c>
      <c r="G5" s="6" t="s">
        <v>16</v>
      </c>
    </row>
    <row r="6" spans="1:7" s="15" customFormat="1" ht="12.75" customHeight="1" x14ac:dyDescent="0.25">
      <c r="A6" s="28">
        <v>44530</v>
      </c>
      <c r="B6" s="29">
        <v>19457.23</v>
      </c>
      <c r="C6" s="30">
        <v>38880</v>
      </c>
      <c r="D6" s="29">
        <v>6870699</v>
      </c>
      <c r="E6" s="29">
        <v>405859</v>
      </c>
      <c r="F6" s="29">
        <v>3436</v>
      </c>
      <c r="G6" s="30">
        <v>52</v>
      </c>
    </row>
    <row r="7" spans="1:7" ht="12.75" customHeight="1" x14ac:dyDescent="0.25">
      <c r="A7" s="25">
        <v>44531</v>
      </c>
      <c r="B7" s="26">
        <v>20826.069999999996</v>
      </c>
      <c r="C7" s="27">
        <v>38981</v>
      </c>
      <c r="D7" s="26">
        <v>6873899</v>
      </c>
      <c r="E7" s="26">
        <v>405941</v>
      </c>
      <c r="F7" s="26">
        <v>3436</v>
      </c>
      <c r="G7" s="27">
        <v>80</v>
      </c>
    </row>
    <row r="8" spans="1:7" ht="12.75" customHeight="1" x14ac:dyDescent="0.25">
      <c r="A8" s="25">
        <v>44532</v>
      </c>
      <c r="B8" s="26">
        <v>20231.610000000004</v>
      </c>
      <c r="C8" s="27">
        <v>39080</v>
      </c>
      <c r="D8" s="26">
        <v>6877411</v>
      </c>
      <c r="E8" s="26">
        <v>406040</v>
      </c>
      <c r="F8" s="26">
        <v>3436</v>
      </c>
      <c r="G8" s="27">
        <v>85</v>
      </c>
    </row>
    <row r="9" spans="1:7" ht="12.75" customHeight="1" x14ac:dyDescent="0.25">
      <c r="A9" s="25">
        <v>44533</v>
      </c>
      <c r="B9" s="26">
        <v>19313.070000000003</v>
      </c>
      <c r="C9" s="27">
        <v>39181</v>
      </c>
      <c r="D9" s="26">
        <v>6880980</v>
      </c>
      <c r="E9" s="26">
        <v>406136</v>
      </c>
      <c r="F9" s="26">
        <v>3436</v>
      </c>
      <c r="G9" s="27">
        <v>86</v>
      </c>
    </row>
    <row r="10" spans="1:7" ht="12.75" customHeight="1" x14ac:dyDescent="0.25">
      <c r="A10" s="25">
        <v>44534</v>
      </c>
      <c r="B10" s="26">
        <v>20218.539999999997</v>
      </c>
      <c r="C10" s="27">
        <v>39284</v>
      </c>
      <c r="D10" s="26">
        <v>6884419</v>
      </c>
      <c r="E10" s="26">
        <v>406251</v>
      </c>
      <c r="F10" s="26">
        <v>3436</v>
      </c>
      <c r="G10" s="27">
        <v>82</v>
      </c>
    </row>
    <row r="11" spans="1:7" ht="12.75" customHeight="1" x14ac:dyDescent="0.25">
      <c r="A11" s="25">
        <v>44535</v>
      </c>
      <c r="B11" s="26">
        <v>19513.78</v>
      </c>
      <c r="C11" s="27">
        <v>39379</v>
      </c>
      <c r="D11" s="26">
        <v>6887917</v>
      </c>
      <c r="E11" s="26">
        <v>406346</v>
      </c>
      <c r="F11" s="26">
        <v>3436</v>
      </c>
      <c r="G11" s="27">
        <v>103</v>
      </c>
    </row>
    <row r="12" spans="1:7" ht="12.75" customHeight="1" x14ac:dyDescent="0.25">
      <c r="A12" s="25">
        <v>44536</v>
      </c>
      <c r="B12" s="26">
        <v>18759.22</v>
      </c>
      <c r="C12" s="27">
        <v>39457</v>
      </c>
      <c r="D12" s="26">
        <v>6891886</v>
      </c>
      <c r="E12" s="26">
        <v>406444</v>
      </c>
      <c r="F12" s="26">
        <v>3436</v>
      </c>
      <c r="G12" s="27">
        <v>109</v>
      </c>
    </row>
    <row r="13" spans="1:7" ht="12.75" customHeight="1" x14ac:dyDescent="0.25">
      <c r="A13" s="25">
        <v>44537</v>
      </c>
      <c r="B13" s="26">
        <v>20148.939999999999</v>
      </c>
      <c r="C13" s="27">
        <v>39558</v>
      </c>
      <c r="D13" s="26">
        <v>6895117</v>
      </c>
      <c r="E13" s="26">
        <v>406546</v>
      </c>
      <c r="F13" s="26">
        <v>3436</v>
      </c>
      <c r="G13" s="27">
        <v>98</v>
      </c>
    </row>
    <row r="14" spans="1:7" ht="12.75" customHeight="1" x14ac:dyDescent="0.25">
      <c r="A14" s="25">
        <v>44538</v>
      </c>
      <c r="B14" s="26">
        <v>20300.800000000003</v>
      </c>
      <c r="C14" s="27">
        <v>39638</v>
      </c>
      <c r="D14" s="26">
        <v>6898317</v>
      </c>
      <c r="E14" s="26">
        <v>406640</v>
      </c>
      <c r="F14" s="26">
        <v>3436</v>
      </c>
      <c r="G14" s="27">
        <v>101</v>
      </c>
    </row>
    <row r="15" spans="1:7" ht="12.75" customHeight="1" x14ac:dyDescent="0.25">
      <c r="A15" s="25">
        <v>44539</v>
      </c>
      <c r="B15" s="26">
        <v>20199.409999999996</v>
      </c>
      <c r="C15" s="27">
        <v>39781</v>
      </c>
      <c r="D15" s="26">
        <v>6903317</v>
      </c>
      <c r="E15" s="26">
        <v>406761</v>
      </c>
      <c r="F15" s="26">
        <v>3436</v>
      </c>
      <c r="G15" s="27">
        <v>119</v>
      </c>
    </row>
    <row r="16" spans="1:7" ht="12.75" customHeight="1" x14ac:dyDescent="0.25">
      <c r="A16" s="25">
        <v>44540</v>
      </c>
      <c r="B16" s="26">
        <v>20179.579999999998</v>
      </c>
      <c r="C16" s="27">
        <v>39850</v>
      </c>
      <c r="D16" s="26">
        <v>6907747</v>
      </c>
      <c r="E16" s="26">
        <v>406845</v>
      </c>
      <c r="F16" s="26">
        <v>3436</v>
      </c>
      <c r="G16" s="27">
        <v>110</v>
      </c>
    </row>
    <row r="17" spans="1:12" ht="12.75" customHeight="1" x14ac:dyDescent="0.25">
      <c r="A17" s="25">
        <v>44541</v>
      </c>
      <c r="B17" s="26">
        <v>19538.71</v>
      </c>
      <c r="C17" s="27">
        <v>39932</v>
      </c>
      <c r="D17" s="26">
        <v>6911777</v>
      </c>
      <c r="E17" s="26">
        <v>406947</v>
      </c>
      <c r="F17" s="26">
        <v>3436</v>
      </c>
      <c r="G17" s="27">
        <v>93</v>
      </c>
    </row>
    <row r="18" spans="1:12" ht="12.75" customHeight="1" x14ac:dyDescent="0.25">
      <c r="A18" s="25">
        <v>44542</v>
      </c>
      <c r="B18" s="26">
        <v>19200.869999999995</v>
      </c>
      <c r="C18" s="27">
        <v>40033</v>
      </c>
      <c r="D18" s="26">
        <v>6915098</v>
      </c>
      <c r="E18" s="26">
        <v>407050</v>
      </c>
      <c r="F18" s="26">
        <v>3436</v>
      </c>
      <c r="G18" s="27">
        <v>43</v>
      </c>
    </row>
    <row r="19" spans="1:12" ht="12.75" customHeight="1" x14ac:dyDescent="0.25">
      <c r="A19" s="25">
        <v>44543</v>
      </c>
      <c r="B19" s="26">
        <v>19750.999999999996</v>
      </c>
      <c r="C19" s="27">
        <v>40089</v>
      </c>
      <c r="D19" s="26">
        <v>6918333</v>
      </c>
      <c r="E19" s="26">
        <v>407160</v>
      </c>
      <c r="F19" s="26">
        <v>3436</v>
      </c>
      <c r="G19" s="27">
        <v>29</v>
      </c>
    </row>
    <row r="20" spans="1:12" ht="12.75" customHeight="1" x14ac:dyDescent="0.25">
      <c r="A20" s="25">
        <v>44544</v>
      </c>
      <c r="B20" s="26">
        <v>19614.080000000002</v>
      </c>
      <c r="C20" s="27">
        <v>40155</v>
      </c>
      <c r="D20" s="26">
        <v>6921089</v>
      </c>
      <c r="E20" s="26">
        <v>407231</v>
      </c>
      <c r="F20" s="26">
        <v>3436</v>
      </c>
      <c r="G20" s="27">
        <v>33</v>
      </c>
    </row>
    <row r="21" spans="1:12" ht="12.75" customHeight="1" x14ac:dyDescent="0.25">
      <c r="A21" s="25">
        <v>44545</v>
      </c>
      <c r="B21" s="26">
        <v>19632.82</v>
      </c>
      <c r="C21" s="27">
        <v>40234</v>
      </c>
      <c r="D21" s="26">
        <v>6923914</v>
      </c>
      <c r="E21" s="26">
        <v>407312</v>
      </c>
      <c r="F21" s="26">
        <v>3436</v>
      </c>
      <c r="G21" s="27">
        <v>65</v>
      </c>
    </row>
    <row r="22" spans="1:12" ht="12.75" customHeight="1" x14ac:dyDescent="0.25">
      <c r="A22" s="25">
        <v>44546</v>
      </c>
      <c r="B22" s="26">
        <v>20114.38</v>
      </c>
      <c r="C22" s="27">
        <v>40343</v>
      </c>
      <c r="D22" s="26">
        <v>6926615</v>
      </c>
      <c r="E22" s="26">
        <v>407413</v>
      </c>
      <c r="F22" s="26">
        <v>3436</v>
      </c>
      <c r="G22" s="27">
        <v>88</v>
      </c>
    </row>
    <row r="23" spans="1:12" ht="12.75" customHeight="1" x14ac:dyDescent="0.25">
      <c r="A23" s="25">
        <v>44547</v>
      </c>
      <c r="B23" s="26">
        <v>19801.420000000002</v>
      </c>
      <c r="C23" s="27">
        <v>40452</v>
      </c>
      <c r="D23" s="26">
        <v>6929201</v>
      </c>
      <c r="E23" s="26">
        <v>407510</v>
      </c>
      <c r="F23" s="26">
        <v>3436</v>
      </c>
      <c r="G23" s="27">
        <v>144</v>
      </c>
    </row>
    <row r="24" spans="1:12" ht="12.75" customHeight="1" x14ac:dyDescent="0.25">
      <c r="A24" s="25">
        <v>44548</v>
      </c>
      <c r="B24" s="26">
        <v>20554.139999999996</v>
      </c>
      <c r="C24" s="27">
        <v>40545</v>
      </c>
      <c r="D24" s="26">
        <v>6932058</v>
      </c>
      <c r="E24" s="26">
        <v>407628</v>
      </c>
      <c r="F24" s="26">
        <v>3436</v>
      </c>
      <c r="G24" s="27">
        <v>149</v>
      </c>
    </row>
    <row r="25" spans="1:12" ht="12.75" customHeight="1" x14ac:dyDescent="0.25">
      <c r="A25" s="25">
        <v>44549</v>
      </c>
      <c r="B25" s="26">
        <v>20724.38</v>
      </c>
      <c r="C25" s="27">
        <v>40644</v>
      </c>
      <c r="D25" s="26">
        <v>6934987</v>
      </c>
      <c r="E25" s="26">
        <v>407766</v>
      </c>
      <c r="F25" s="26">
        <v>3436</v>
      </c>
      <c r="G25" s="27">
        <v>65</v>
      </c>
    </row>
    <row r="26" spans="1:12" ht="12.75" customHeight="1" x14ac:dyDescent="0.25">
      <c r="A26" s="25">
        <v>44550</v>
      </c>
      <c r="B26" s="26">
        <v>20070.199999999997</v>
      </c>
      <c r="C26" s="27">
        <v>40745</v>
      </c>
      <c r="D26" s="26">
        <v>6938341</v>
      </c>
      <c r="E26" s="26">
        <v>407881</v>
      </c>
      <c r="F26" s="26">
        <v>3436</v>
      </c>
      <c r="G26" s="27">
        <v>63</v>
      </c>
    </row>
    <row r="27" spans="1:12" ht="12.75" customHeight="1" x14ac:dyDescent="0.25">
      <c r="A27" s="25">
        <v>44551</v>
      </c>
      <c r="B27" s="26">
        <v>17323.670000000002</v>
      </c>
      <c r="C27" s="27">
        <v>40798</v>
      </c>
      <c r="D27" s="26">
        <v>6942074</v>
      </c>
      <c r="E27" s="26">
        <v>407982</v>
      </c>
      <c r="F27" s="26">
        <v>3436</v>
      </c>
      <c r="G27" s="27">
        <v>57</v>
      </c>
    </row>
    <row r="28" spans="1:12" ht="12.75" customHeight="1" x14ac:dyDescent="0.25">
      <c r="A28" s="25">
        <v>44552</v>
      </c>
      <c r="B28" s="26">
        <v>18510.88</v>
      </c>
      <c r="C28" s="27">
        <v>40927</v>
      </c>
      <c r="D28" s="26">
        <v>6945831</v>
      </c>
      <c r="E28" s="26">
        <v>408100</v>
      </c>
      <c r="F28" s="26">
        <v>3436</v>
      </c>
      <c r="G28" s="27">
        <v>69</v>
      </c>
      <c r="L28" s="8"/>
    </row>
    <row r="29" spans="1:12" ht="12.75" customHeight="1" x14ac:dyDescent="0.25">
      <c r="A29" s="25">
        <v>44553</v>
      </c>
      <c r="B29" s="26">
        <v>19408.399999999998</v>
      </c>
      <c r="C29" s="27">
        <v>41030</v>
      </c>
      <c r="D29" s="26">
        <v>6949676</v>
      </c>
      <c r="E29" s="26">
        <v>408217</v>
      </c>
      <c r="F29" s="26">
        <v>3436</v>
      </c>
      <c r="G29" s="27">
        <v>95</v>
      </c>
      <c r="L29" s="8"/>
    </row>
    <row r="30" spans="1:12" ht="12.75" customHeight="1" x14ac:dyDescent="0.25">
      <c r="A30" s="25">
        <v>44554</v>
      </c>
      <c r="B30" s="26">
        <v>20301.25</v>
      </c>
      <c r="C30" s="27">
        <v>41152</v>
      </c>
      <c r="D30" s="26">
        <v>6952857</v>
      </c>
      <c r="E30" s="26">
        <v>408333</v>
      </c>
      <c r="F30" s="26">
        <v>3436</v>
      </c>
      <c r="G30" s="27">
        <v>128</v>
      </c>
      <c r="L30" s="8"/>
    </row>
    <row r="31" spans="1:12" ht="12.75" customHeight="1" x14ac:dyDescent="0.25">
      <c r="A31" s="25">
        <v>44555</v>
      </c>
      <c r="B31" s="26">
        <v>20558.48</v>
      </c>
      <c r="C31" s="27">
        <v>41284</v>
      </c>
      <c r="D31" s="26">
        <v>6956505</v>
      </c>
      <c r="E31" s="26">
        <v>408468</v>
      </c>
      <c r="F31" s="26">
        <v>3436</v>
      </c>
      <c r="G31" s="27">
        <v>124</v>
      </c>
      <c r="L31" s="8"/>
    </row>
    <row r="32" spans="1:12" ht="12.75" customHeight="1" x14ac:dyDescent="0.25">
      <c r="A32" s="25">
        <v>44556</v>
      </c>
      <c r="B32" s="26">
        <v>19415.299999999996</v>
      </c>
      <c r="C32" s="27">
        <v>41405</v>
      </c>
      <c r="D32" s="26">
        <v>6960880</v>
      </c>
      <c r="E32" s="26">
        <v>408613</v>
      </c>
      <c r="F32" s="26">
        <v>3436</v>
      </c>
      <c r="G32" s="27">
        <v>107</v>
      </c>
      <c r="L32" s="8"/>
    </row>
    <row r="33" spans="1:7" ht="12.75" customHeight="1" x14ac:dyDescent="0.25">
      <c r="A33" s="25">
        <v>44557</v>
      </c>
      <c r="B33" s="26">
        <v>18796.419999999998</v>
      </c>
      <c r="C33" s="27">
        <v>41513</v>
      </c>
      <c r="D33" s="26">
        <v>6965128</v>
      </c>
      <c r="E33" s="26">
        <v>408745</v>
      </c>
      <c r="F33" s="26">
        <v>3436</v>
      </c>
      <c r="G33" s="27">
        <v>99</v>
      </c>
    </row>
    <row r="34" spans="1:7" ht="12.75" customHeight="1" x14ac:dyDescent="0.25">
      <c r="A34" s="25">
        <v>44558</v>
      </c>
      <c r="B34" s="26">
        <v>19178.570000000003</v>
      </c>
      <c r="C34" s="27">
        <v>41603</v>
      </c>
      <c r="D34" s="26">
        <v>6969135</v>
      </c>
      <c r="E34" s="26">
        <v>408859</v>
      </c>
      <c r="F34" s="26">
        <v>3436</v>
      </c>
      <c r="G34" s="27">
        <v>91</v>
      </c>
    </row>
    <row r="35" spans="1:7" ht="12.75" customHeight="1" x14ac:dyDescent="0.25">
      <c r="A35" s="25">
        <v>44559</v>
      </c>
      <c r="B35" s="26">
        <v>19179.759999999998</v>
      </c>
      <c r="C35" s="27">
        <v>41704</v>
      </c>
      <c r="D35" s="26">
        <v>6972787</v>
      </c>
      <c r="E35" s="26">
        <v>408982</v>
      </c>
      <c r="F35" s="26">
        <v>3436</v>
      </c>
      <c r="G35" s="27">
        <v>93</v>
      </c>
    </row>
    <row r="36" spans="1:7" ht="11.25" customHeight="1" x14ac:dyDescent="0.25">
      <c r="A36" s="25">
        <v>44560</v>
      </c>
      <c r="B36" s="26">
        <v>19367.609999999997</v>
      </c>
      <c r="C36" s="27">
        <v>41795</v>
      </c>
      <c r="D36" s="26">
        <v>6976346</v>
      </c>
      <c r="E36" s="26">
        <v>409108</v>
      </c>
      <c r="F36" s="26">
        <v>3436</v>
      </c>
      <c r="G36" s="27">
        <v>98</v>
      </c>
    </row>
    <row r="37" spans="1:7" x14ac:dyDescent="0.25">
      <c r="A37" s="25">
        <v>44561</v>
      </c>
      <c r="B37" s="26">
        <v>21254.039999999997</v>
      </c>
      <c r="C37" s="27">
        <v>41914</v>
      </c>
      <c r="D37" s="26">
        <v>6980529</v>
      </c>
      <c r="E37" s="26">
        <v>409248</v>
      </c>
      <c r="F37" s="26">
        <v>3436</v>
      </c>
      <c r="G37" s="27">
        <v>152</v>
      </c>
    </row>
    <row r="38" spans="1:7" x14ac:dyDescent="0.25">
      <c r="C38" s="8"/>
      <c r="D38" s="8"/>
      <c r="E38" s="8"/>
      <c r="F38" s="8"/>
    </row>
  </sheetData>
  <mergeCells count="4">
    <mergeCell ref="A3:G3"/>
    <mergeCell ref="C4:D4"/>
    <mergeCell ref="E4:F4"/>
    <mergeCell ref="A2:G2"/>
  </mergeCells>
  <printOptions horizont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HOTEL</vt:lpstr>
      <vt:lpstr>HOTEL!Print_Area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Joe J. El Khoury</cp:lastModifiedBy>
  <cp:lastPrinted>2019-06-07T06:32:29Z</cp:lastPrinted>
  <dcterms:created xsi:type="dcterms:W3CDTF">2017-04-26T09:20:12Z</dcterms:created>
  <dcterms:modified xsi:type="dcterms:W3CDTF">2022-02-22T09:35:57Z</dcterms:modified>
</cp:coreProperties>
</file>