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R29" i="9" s="1"/>
  <c r="G29" i="5" s="1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O29" i="7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R28" i="9"/>
  <c r="G28" i="5" s="1"/>
  <c r="F20" i="9"/>
  <c r="T20" i="7"/>
  <c r="T21" i="7"/>
  <c r="AI21" i="7" s="1"/>
  <c r="F22" i="9"/>
  <c r="Q30" i="9"/>
  <c r="AO31" i="7"/>
  <c r="AO11" i="7"/>
  <c r="M23" i="9"/>
  <c r="K26" i="9"/>
  <c r="K7" i="9"/>
  <c r="AL19" i="7"/>
  <c r="AM22" i="7"/>
  <c r="F19" i="9"/>
  <c r="AN25" i="7"/>
  <c r="I29" i="9"/>
  <c r="AR12" i="7"/>
  <c r="AN14" i="7"/>
  <c r="K12" i="9"/>
  <c r="P17" i="9"/>
  <c r="R10" i="9"/>
  <c r="G10" i="5" s="1"/>
  <c r="K20" i="9"/>
  <c r="AL16" i="7"/>
  <c r="AN11" i="7"/>
  <c r="I9" i="9"/>
  <c r="AQ9" i="7"/>
  <c r="J13" i="9"/>
  <c r="K14" i="9"/>
  <c r="AQ21" i="7"/>
  <c r="R17" i="9"/>
  <c r="G17" i="5" s="1"/>
  <c r="H18" i="9"/>
  <c r="AN23" i="7"/>
  <c r="AP24" i="7"/>
  <c r="AK24" i="7"/>
  <c r="G19" i="9"/>
  <c r="P21" i="9"/>
  <c r="AP28" i="7"/>
  <c r="N24" i="9"/>
  <c r="H25" i="9"/>
  <c r="J26" i="9"/>
  <c r="AL33" i="7"/>
  <c r="AG33" i="7"/>
  <c r="AO35" i="7"/>
  <c r="AH35" i="7"/>
  <c r="F30" i="9"/>
  <c r="R30" i="9"/>
  <c r="G30" i="5" s="1"/>
  <c r="AR36" i="7"/>
  <c r="AK35" i="7"/>
  <c r="R21" i="9"/>
  <c r="G21" i="5" s="1"/>
  <c r="K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AN36" i="7" l="1"/>
  <c r="AL35" i="7"/>
  <c r="AJ36" i="7"/>
  <c r="F31" i="9"/>
  <c r="AP35" i="7"/>
  <c r="AJ35" i="7"/>
  <c r="AI35" i="7"/>
  <c r="Q28" i="9"/>
  <c r="N28" i="9"/>
  <c r="M28" i="9"/>
  <c r="L29" i="9"/>
  <c r="I27" i="9"/>
  <c r="F27" i="9"/>
  <c r="P26" i="9"/>
  <c r="AR31" i="7"/>
  <c r="J25" i="9"/>
  <c r="AJ30" i="7"/>
  <c r="AI31" i="7"/>
  <c r="G26" i="9"/>
  <c r="P25" i="9"/>
  <c r="AM30" i="7"/>
  <c r="AH29" i="7"/>
  <c r="F25" i="9"/>
  <c r="P22" i="9"/>
  <c r="Q24" i="9"/>
  <c r="N23" i="9"/>
  <c r="H24" i="9"/>
  <c r="F24" i="9"/>
  <c r="AM28" i="7"/>
  <c r="R22" i="9"/>
  <c r="G22" i="5" s="1"/>
  <c r="AW25" i="7"/>
  <c r="AP27" i="7"/>
  <c r="AN27" i="7"/>
  <c r="J22" i="9"/>
  <c r="Q21" i="9"/>
  <c r="Q20" i="9"/>
  <c r="K21" i="9"/>
  <c r="J21" i="9"/>
  <c r="Q19" i="9"/>
  <c r="AO24" i="7"/>
  <c r="AI25" i="7"/>
  <c r="R19" i="9"/>
  <c r="G19" i="5" s="1"/>
  <c r="AR22" i="7"/>
  <c r="AN22" i="7"/>
  <c r="I17" i="9"/>
  <c r="F17" i="9"/>
  <c r="N15" i="9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5" i="7" l="1"/>
  <c r="AS32" i="7"/>
  <c r="E24" i="5"/>
  <c r="AS26" i="7"/>
  <c r="AS22" i="7"/>
  <c r="E14" i="5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<sst xmlns="http://schemas.openxmlformats.org/spreadsheetml/2006/main" count="127" uniqueCount="49">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</sst>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Submetering!R16</f>
        <v>691.59440700000005</v>
      </c>
      <c r="H16" s="11">
        <v>0.52800000000000002</v>
      </c>
      <c r="I16" s="12">
        <f>Hotel!B21</f>
        <v>148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Submetering!R17</f>
        <v>556.076729</v>
      </c>
      <c r="H17" s="11">
        <v>0.52800000000000002</v>
      </c>
      <c r="I17" s="12">
        <f>Hotel!B22</f>
        <v>193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Submetering!R18</f>
        <v>674.56006200000002</v>
      </c>
      <c r="H18" s="11">
        <v>0.52800000000000002</v>
      </c>
      <c r="I18" s="12">
        <f>Hotel!B23</f>
        <v>186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Submetering!R19</f>
        <v>783.57987000000003</v>
      </c>
      <c r="H19" s="11">
        <v>0.52800000000000002</v>
      </c>
      <c r="I19" s="12">
        <f>Hotel!B24</f>
        <v>195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Submetering!R20</f>
        <v>558.72651600000006</v>
      </c>
      <c r="H20" s="11">
        <v>0.52800000000000002</v>
      </c>
      <c r="I20" s="12">
        <f>Hotel!B25</f>
        <v>217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Submetering!R21</f>
        <v>609.45101</v>
      </c>
      <c r="H21" s="11">
        <v>0.52800000000000002</v>
      </c>
      <c r="I21" s="12">
        <f>Hotel!B26</f>
        <v>245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68260</v>
      </c>
      <c r="F22" s="11">
        <v>5.0000000000000001E-3</v>
      </c>
      <c r="G22" s="12">
        <f>Submetering!R22</f>
        <v>506.10931699999992</v>
      </c>
      <c r="H22" s="11">
        <v>0.52800000000000002</v>
      </c>
      <c r="I22" s="12">
        <f>Hotel!B27</f>
        <v>165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64800</v>
      </c>
      <c r="F23" s="11">
        <v>5.0000000000000001E-3</v>
      </c>
      <c r="G23" s="12">
        <f>Submetering!R23</f>
        <v>680.99525900000003</v>
      </c>
      <c r="H23" s="11">
        <v>0.52800000000000002</v>
      </c>
      <c r="I23" s="12">
        <f>Hotel!B28</f>
        <v>122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66090</v>
      </c>
      <c r="F24" s="11">
        <v>5.0000000000000001E-3</v>
      </c>
      <c r="G24" s="12">
        <f>Submetering!R24</f>
        <v>553.0484009999999</v>
      </c>
      <c r="H24" s="11">
        <v>0.52800000000000002</v>
      </c>
      <c r="I24" s="12">
        <f>Hotel!B29</f>
        <v>122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65280</v>
      </c>
      <c r="F25" s="11">
        <v>5.0000000000000001E-3</v>
      </c>
      <c r="G25" s="12">
        <f>Submetering!R25</f>
        <v>685.916292</v>
      </c>
      <c r="H25" s="11">
        <v>0.52800000000000002</v>
      </c>
      <c r="I25" s="12">
        <f>Hotel!B30</f>
        <v>206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66000</v>
      </c>
      <c r="F26" s="11">
        <v>5.0000000000000001E-3</v>
      </c>
      <c r="G26" s="12">
        <f>Submetering!R26</f>
        <v>670.39611100000002</v>
      </c>
      <c r="H26" s="11">
        <v>0.52800000000000002</v>
      </c>
      <c r="I26" s="12">
        <f>Hotel!B31</f>
        <v>122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68930</v>
      </c>
      <c r="F27" s="11">
        <v>5.0000000000000001E-3</v>
      </c>
      <c r="G27" s="12">
        <f>Submetering!R27</f>
        <v>612.47933799999998</v>
      </c>
      <c r="H27" s="11">
        <v>0.52800000000000002</v>
      </c>
      <c r="I27" s="12">
        <f>Hotel!B32</f>
        <v>282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69770</v>
      </c>
      <c r="F28" s="11">
        <v>5.0000000000000001E-3</v>
      </c>
      <c r="G28" s="12">
        <f>Submetering!R28</f>
        <v>605.66560000000004</v>
      </c>
      <c r="H28" s="11">
        <v>0.52800000000000002</v>
      </c>
      <c r="I28" s="12">
        <f>Hotel!B33</f>
        <v>243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69010</v>
      </c>
      <c r="F29" s="11">
        <v>5.0000000000000001E-3</v>
      </c>
      <c r="G29" s="12">
        <f>Submetering!R29</f>
        <v>576.89648399999999</v>
      </c>
      <c r="H29" s="11">
        <v>0.52800000000000002</v>
      </c>
      <c r="I29" s="12">
        <f>Hotel!B34</f>
        <v>170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69250</v>
      </c>
      <c r="F30" s="11">
        <v>5.0000000000000001E-3</v>
      </c>
      <c r="G30" s="12">
        <f>Submetering!R30</f>
        <v>638.97720800000002</v>
      </c>
      <c r="H30" s="11">
        <v>0.52800000000000002</v>
      </c>
      <c r="I30" s="12">
        <f>Hotel!B35</f>
        <v>193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42890</v>
      </c>
      <c r="F31" s="11">
        <v>1.0049999999999999</v>
      </c>
      <c r="G31" s="12">
        <f>Submetering!R31</f>
        <v>499.29557899999998</v>
      </c>
      <c r="H31" s="11">
        <v>1.528</v>
      </c>
      <c r="I31" s="12">
        <f>Hotel!B36</f>
        <v>170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Hotel!AV21*0.00378541*100</f>
        <v>691.59440700000005</v>
      </c>
      <c r="S16" s="4">
        <f>Hotel!B21</f>
        <v>148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Hotel!AV22*0.00378541*100</f>
        <v>556.076729</v>
      </c>
      <c r="S17" s="4">
        <f>Hotel!B22</f>
        <v>193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Hotel!AV23*0.00378541*100</f>
        <v>674.56006200000002</v>
      </c>
      <c r="S18" s="4">
        <f>Hotel!B23</f>
        <v>186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Hotel!AV24*0.00378541*100</f>
        <v>783.57987000000003</v>
      </c>
      <c r="S19" s="4">
        <f>Hotel!B24</f>
        <v>195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Hotel!AV25*0.00378541*100</f>
        <v>558.72651600000006</v>
      </c>
      <c r="S20" s="4">
        <f>Hotel!B25</f>
        <v>217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Hotel!AV26*0.00378541*100</f>
        <v>609.45101</v>
      </c>
      <c r="S21" s="4">
        <f>Hotel!B26</f>
        <v>245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520</v>
      </c>
      <c r="F22" s="4">
        <f>Hotel!R27</f>
        <v>11220</v>
      </c>
      <c r="G22" s="4">
        <f>Hotel!S27</f>
        <v>0</v>
      </c>
      <c r="H22" s="4">
        <f>Hotel!T27</f>
        <v>1500</v>
      </c>
      <c r="I22" s="4">
        <f>Hotel!U27</f>
        <v>7090</v>
      </c>
      <c r="J22" s="4">
        <f>Hotel!V27</f>
        <v>4790</v>
      </c>
      <c r="K22" s="4">
        <f>Hotel!W27</f>
        <v>3450</v>
      </c>
      <c r="L22" s="4">
        <f>Hotel!X27</f>
        <v>4640</v>
      </c>
      <c r="M22" s="4">
        <f>Hotel!Y27</f>
        <v>5040</v>
      </c>
      <c r="N22" s="4">
        <f>Hotel!Z27</f>
        <v>2960</v>
      </c>
      <c r="O22" s="4">
        <f>Hotel!AA27</f>
        <v>3880</v>
      </c>
      <c r="P22" s="4">
        <f>Hotel!AB27</f>
        <v>8110</v>
      </c>
      <c r="Q22" s="4">
        <f>Hotel!AC27</f>
        <v>15060</v>
      </c>
      <c r="R22" s="4">
        <f>Hotel!AV27*0.00378541*100</f>
        <v>506.10931699999992</v>
      </c>
      <c r="S22" s="4">
        <f>Hotel!B27</f>
        <v>165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500</v>
      </c>
      <c r="F23" s="4">
        <f>Hotel!R28</f>
        <v>10570</v>
      </c>
      <c r="G23" s="4">
        <f>Hotel!S28</f>
        <v>0</v>
      </c>
      <c r="H23" s="4">
        <f>Hotel!T28</f>
        <v>1470</v>
      </c>
      <c r="I23" s="4">
        <f>Hotel!U28</f>
        <v>6510</v>
      </c>
      <c r="J23" s="4">
        <f>Hotel!V28</f>
        <v>4600</v>
      </c>
      <c r="K23" s="4">
        <f>Hotel!W28</f>
        <v>2850</v>
      </c>
      <c r="L23" s="4">
        <f>Hotel!X28</f>
        <v>4340</v>
      </c>
      <c r="M23" s="4">
        <f>Hotel!Y28</f>
        <v>4760</v>
      </c>
      <c r="N23" s="4">
        <f>Hotel!Z28</f>
        <v>2820</v>
      </c>
      <c r="O23" s="4">
        <f>Hotel!AA28</f>
        <v>3760</v>
      </c>
      <c r="P23" s="4">
        <f>Hotel!AB28</f>
        <v>7810</v>
      </c>
      <c r="Q23" s="4">
        <f>Hotel!AC28</f>
        <v>14810</v>
      </c>
      <c r="R23" s="4">
        <f>Hotel!AV28*0.00378541*100</f>
        <v>680.99525900000003</v>
      </c>
      <c r="S23" s="4">
        <f>Hotel!B28</f>
        <v>122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540</v>
      </c>
      <c r="F24" s="4">
        <f>Hotel!R29</f>
        <v>10670</v>
      </c>
      <c r="G24" s="4">
        <f>Hotel!S29</f>
        <v>0</v>
      </c>
      <c r="H24" s="4">
        <f>Hotel!T29</f>
        <v>1480</v>
      </c>
      <c r="I24" s="4">
        <f>Hotel!U29</f>
        <v>6850</v>
      </c>
      <c r="J24" s="4">
        <f>Hotel!V29</f>
        <v>4650</v>
      </c>
      <c r="K24" s="4">
        <f>Hotel!W29</f>
        <v>3200</v>
      </c>
      <c r="L24" s="4">
        <f>Hotel!X29</f>
        <v>4980</v>
      </c>
      <c r="M24" s="4">
        <f>Hotel!Y29</f>
        <v>4800</v>
      </c>
      <c r="N24" s="4">
        <f>Hotel!Z29</f>
        <v>2740</v>
      </c>
      <c r="O24" s="4">
        <f>Hotel!AA29</f>
        <v>3740</v>
      </c>
      <c r="P24" s="4">
        <f>Hotel!AB29</f>
        <v>7720</v>
      </c>
      <c r="Q24" s="4">
        <f>Hotel!AC29</f>
        <v>14720</v>
      </c>
      <c r="R24" s="4">
        <f>Hotel!AV29*0.00378541*100</f>
        <v>553.0484009999999</v>
      </c>
      <c r="S24" s="4">
        <f>Hotel!B29</f>
        <v>122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520</v>
      </c>
      <c r="F25" s="4">
        <f>Hotel!R30</f>
        <v>10490</v>
      </c>
      <c r="G25" s="4">
        <f>Hotel!S30</f>
        <v>0</v>
      </c>
      <c r="H25" s="4">
        <f>Hotel!T30</f>
        <v>1470</v>
      </c>
      <c r="I25" s="4">
        <f>Hotel!U30</f>
        <v>7040</v>
      </c>
      <c r="J25" s="4">
        <f>Hotel!V30</f>
        <v>4750</v>
      </c>
      <c r="K25" s="4">
        <f>Hotel!W30</f>
        <v>3690</v>
      </c>
      <c r="L25" s="4">
        <f>Hotel!X30</f>
        <v>4390</v>
      </c>
      <c r="M25" s="4">
        <f>Hotel!Y30</f>
        <v>4610</v>
      </c>
      <c r="N25" s="4">
        <f>Hotel!Z30</f>
        <v>2770</v>
      </c>
      <c r="O25" s="4">
        <f>Hotel!AA30</f>
        <v>3660</v>
      </c>
      <c r="P25" s="4">
        <f>Hotel!AB30</f>
        <v>7840</v>
      </c>
      <c r="Q25" s="4">
        <f>Hotel!AC30</f>
        <v>14050</v>
      </c>
      <c r="R25" s="4">
        <f>Hotel!AV30*0.00378541*100</f>
        <v>685.916292</v>
      </c>
      <c r="S25" s="4">
        <f>Hotel!B30</f>
        <v>206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520</v>
      </c>
      <c r="F26" s="4">
        <f>Hotel!R31</f>
        <v>10480</v>
      </c>
      <c r="G26" s="4">
        <f>Hotel!S31</f>
        <v>0</v>
      </c>
      <c r="H26" s="4">
        <f>Hotel!T31</f>
        <v>1490</v>
      </c>
      <c r="I26" s="4">
        <f>Hotel!U31</f>
        <v>7060</v>
      </c>
      <c r="J26" s="4">
        <f>Hotel!V31</f>
        <v>4840</v>
      </c>
      <c r="K26" s="4">
        <f>Hotel!W31</f>
        <v>3720</v>
      </c>
      <c r="L26" s="4">
        <f>Hotel!X31</f>
        <v>4590</v>
      </c>
      <c r="M26" s="4">
        <f>Hotel!Y31</f>
        <v>5170</v>
      </c>
      <c r="N26" s="4">
        <f>Hotel!Z31</f>
        <v>2910</v>
      </c>
      <c r="O26" s="4">
        <f>Hotel!AA31</f>
        <v>3720</v>
      </c>
      <c r="P26" s="4">
        <f>Hotel!AB31</f>
        <v>7760</v>
      </c>
      <c r="Q26" s="4">
        <f>Hotel!AC31</f>
        <v>13740</v>
      </c>
      <c r="R26" s="4">
        <f>Hotel!AV31*0.00378541*100</f>
        <v>670.39611100000002</v>
      </c>
      <c r="S26" s="4">
        <f>Hotel!B31</f>
        <v>122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530</v>
      </c>
      <c r="F27" s="4">
        <f>Hotel!R32</f>
        <v>11480</v>
      </c>
      <c r="G27" s="4">
        <f>Hotel!S32</f>
        <v>0</v>
      </c>
      <c r="H27" s="4">
        <f>Hotel!T32</f>
        <v>1510</v>
      </c>
      <c r="I27" s="4">
        <f>Hotel!U32</f>
        <v>7330</v>
      </c>
      <c r="J27" s="4">
        <f>Hotel!V32</f>
        <v>4920</v>
      </c>
      <c r="K27" s="4">
        <f>Hotel!W32</f>
        <v>3640</v>
      </c>
      <c r="L27" s="4">
        <f>Hotel!X32</f>
        <v>4910</v>
      </c>
      <c r="M27" s="4">
        <f>Hotel!Y32</f>
        <v>5440</v>
      </c>
      <c r="N27" s="4">
        <f>Hotel!Z32</f>
        <v>3030</v>
      </c>
      <c r="O27" s="4">
        <f>Hotel!AA32</f>
        <v>4140</v>
      </c>
      <c r="P27" s="4">
        <f>Hotel!AB32</f>
        <v>7640</v>
      </c>
      <c r="Q27" s="4">
        <f>Hotel!AC32</f>
        <v>14360</v>
      </c>
      <c r="R27" s="4">
        <f>Hotel!AV32*0.00378541*100</f>
        <v>612.47933799999998</v>
      </c>
      <c r="S27" s="4">
        <f>Hotel!B32</f>
        <v>282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510</v>
      </c>
      <c r="F28" s="4">
        <f>Hotel!R33</f>
        <v>11800</v>
      </c>
      <c r="G28" s="4">
        <f>Hotel!S33</f>
        <v>0</v>
      </c>
      <c r="H28" s="4">
        <f>Hotel!T33</f>
        <v>1480</v>
      </c>
      <c r="I28" s="4">
        <f>Hotel!U33</f>
        <v>7170</v>
      </c>
      <c r="J28" s="4">
        <f>Hotel!V33</f>
        <v>4770</v>
      </c>
      <c r="K28" s="4">
        <f>Hotel!W33</f>
        <v>3910</v>
      </c>
      <c r="L28" s="4">
        <f>Hotel!X33</f>
        <v>4380</v>
      </c>
      <c r="M28" s="4">
        <f>Hotel!Y33</f>
        <v>5780</v>
      </c>
      <c r="N28" s="4">
        <f>Hotel!Z33</f>
        <v>3010</v>
      </c>
      <c r="O28" s="4">
        <f>Hotel!AA33</f>
        <v>3990</v>
      </c>
      <c r="P28" s="4">
        <f>Hotel!AB33</f>
        <v>7260</v>
      </c>
      <c r="Q28" s="4">
        <f>Hotel!AC33</f>
        <v>15710</v>
      </c>
      <c r="R28" s="4">
        <f>Hotel!AV33*0.00378541*100</f>
        <v>605.66560000000004</v>
      </c>
      <c r="S28" s="4">
        <f>Hotel!B33</f>
        <v>243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520</v>
      </c>
      <c r="F29" s="4">
        <f>Hotel!R34</f>
        <v>11220</v>
      </c>
      <c r="G29" s="4">
        <f>Hotel!S34</f>
        <v>0</v>
      </c>
      <c r="H29" s="4">
        <f>Hotel!T34</f>
        <v>1490</v>
      </c>
      <c r="I29" s="4">
        <f>Hotel!U34</f>
        <v>7350</v>
      </c>
      <c r="J29" s="4">
        <f>Hotel!V34</f>
        <v>4830</v>
      </c>
      <c r="K29" s="4">
        <f>Hotel!W34</f>
        <v>3490</v>
      </c>
      <c r="L29" s="4">
        <f>Hotel!X34</f>
        <v>4510</v>
      </c>
      <c r="M29" s="4">
        <f>Hotel!Y34</f>
        <v>5840</v>
      </c>
      <c r="N29" s="4">
        <f>Hotel!Z34</f>
        <v>2990</v>
      </c>
      <c r="O29" s="4">
        <f>Hotel!AA34</f>
        <v>4170</v>
      </c>
      <c r="P29" s="4">
        <f>Hotel!AB34</f>
        <v>7310</v>
      </c>
      <c r="Q29" s="4">
        <f>Hotel!AC34</f>
        <v>15290</v>
      </c>
      <c r="R29" s="4">
        <f>Hotel!AV34*0.00378541*100</f>
        <v>576.89648399999999</v>
      </c>
      <c r="S29" s="4">
        <f>Hotel!B34</f>
        <v>170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530</v>
      </c>
      <c r="F30" s="4">
        <f>Hotel!R35</f>
        <v>11150</v>
      </c>
      <c r="G30" s="4">
        <f>Hotel!S35</f>
        <v>0</v>
      </c>
      <c r="H30" s="4">
        <f>Hotel!T35</f>
        <v>1560</v>
      </c>
      <c r="I30" s="4">
        <f>Hotel!U35</f>
        <v>7480</v>
      </c>
      <c r="J30" s="4">
        <f>Hotel!V35</f>
        <v>4990</v>
      </c>
      <c r="K30" s="4">
        <f>Hotel!W35</f>
        <v>3100</v>
      </c>
      <c r="L30" s="4">
        <f>Hotel!X35</f>
        <v>4630</v>
      </c>
      <c r="M30" s="4">
        <f>Hotel!Y35</f>
        <v>4880</v>
      </c>
      <c r="N30" s="4">
        <f>Hotel!Z35</f>
        <v>3020</v>
      </c>
      <c r="O30" s="4">
        <f>Hotel!AA35</f>
        <v>4230</v>
      </c>
      <c r="P30" s="4">
        <f>Hotel!AB35</f>
        <v>7650</v>
      </c>
      <c r="Q30" s="4">
        <f>Hotel!AC35</f>
        <v>16030</v>
      </c>
      <c r="R30" s="4">
        <f>Hotel!AV35*0.00378541*100</f>
        <v>638.97720800000002</v>
      </c>
      <c r="S30" s="4">
        <f>Hotel!B35</f>
        <v>193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380</v>
      </c>
      <c r="F31" s="4">
        <f>Hotel!R36</f>
        <v>8250</v>
      </c>
      <c r="G31" s="4">
        <f>Hotel!S36</f>
        <v>0</v>
      </c>
      <c r="H31" s="4">
        <f>Hotel!T36</f>
        <v>1030</v>
      </c>
      <c r="I31" s="4">
        <f>Hotel!U36</f>
        <v>4770</v>
      </c>
      <c r="J31" s="4">
        <f>Hotel!V36</f>
        <v>3260</v>
      </c>
      <c r="K31" s="4">
        <f>Hotel!W36</f>
        <v>2060</v>
      </c>
      <c r="L31" s="4">
        <f>Hotel!X36</f>
        <v>2690</v>
      </c>
      <c r="M31" s="4">
        <f>Hotel!Y36</f>
        <v>4320</v>
      </c>
      <c r="N31" s="4">
        <f>Hotel!Z36</f>
        <v>1940</v>
      </c>
      <c r="O31" s="4">
        <f>Hotel!AA36</f>
        <v>2560</v>
      </c>
      <c r="P31" s="4">
        <f>Hotel!AB36</f>
        <v>5220</v>
      </c>
      <c r="Q31" s="4">
        <f>Hotel!AC36</f>
        <v>6410</v>
      </c>
      <c r="R31" s="4">
        <f>Hotel!AV36*0.00378541*100</f>
        <v>499.29557899999998</v>
      </c>
      <c r="S31" s="4">
        <f>Hotel!B36</f>
        <v>170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4" zoomScale="93" zoomScaleNormal="93" workbookViewId="0">
      <selection activeCell="AP46" sqref="AP4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16"/>
        <v>540</v>
      </c>
      <c r="R21" s="37">
        <f t="shared" si="17"/>
        <v>11740</v>
      </c>
      <c r="S21" s="37">
        <f t="shared" si="15"/>
        <v>0</v>
      </c>
      <c r="T21" s="37">
        <f t="shared" si="18"/>
        <v>1520</v>
      </c>
      <c r="U21" s="37">
        <f t="shared" si="19"/>
        <v>6190</v>
      </c>
      <c r="V21" s="37">
        <f t="shared" si="20"/>
        <v>4390</v>
      </c>
      <c r="W21" s="37">
        <f t="shared" si="21"/>
        <v>3170</v>
      </c>
      <c r="X21" s="37">
        <f t="shared" si="22"/>
        <v>4470</v>
      </c>
      <c r="Y21" s="37">
        <f t="shared" si="23"/>
        <v>4800</v>
      </c>
      <c r="Z21" s="37">
        <f t="shared" si="24"/>
        <v>2750</v>
      </c>
      <c r="AA21" s="37">
        <f t="shared" si="25"/>
        <v>3630</v>
      </c>
      <c r="AB21" s="37">
        <f t="shared" si="26"/>
        <v>8130</v>
      </c>
      <c r="AC21" s="37">
        <f t="shared" si="27"/>
        <v>15040</v>
      </c>
      <c r="AD21" s="35">
        <f t="shared" si="28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29"/>
        <v>331.84999999999997</v>
      </c>
      <c r="AU21" s="47">
        <v>690367</v>
      </c>
      <c r="AV21" s="37">
        <f t="shared" si="31"/>
        <v>1827</v>
      </c>
      <c r="AW21" s="35">
        <f t="shared" si="30"/>
        <v>3.6539999999999999</v>
      </c>
    </row>
    <row r="22" spans="1:49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44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44">
        <v>11471660</v>
      </c>
      <c r="Q22" s="37">
        <f t="shared" si="16"/>
        <v>530</v>
      </c>
      <c r="R22" s="37">
        <f t="shared" si="17"/>
        <v>11610</v>
      </c>
      <c r="S22" s="37">
        <f t="shared" si="15"/>
        <v>0</v>
      </c>
      <c r="T22" s="37">
        <f t="shared" si="18"/>
        <v>1490</v>
      </c>
      <c r="U22" s="37">
        <f t="shared" si="19"/>
        <v>6170</v>
      </c>
      <c r="V22" s="37">
        <f t="shared" si="20"/>
        <v>4370</v>
      </c>
      <c r="W22" s="37">
        <f t="shared" si="21"/>
        <v>3420</v>
      </c>
      <c r="X22" s="37">
        <f t="shared" si="22"/>
        <v>4210</v>
      </c>
      <c r="Y22" s="37">
        <f t="shared" si="23"/>
        <v>4620</v>
      </c>
      <c r="Z22" s="37">
        <f t="shared" si="24"/>
        <v>2930</v>
      </c>
      <c r="AA22" s="37">
        <f t="shared" si="25"/>
        <v>3630</v>
      </c>
      <c r="AB22" s="37">
        <f t="shared" si="26"/>
        <v>8030</v>
      </c>
      <c r="AC22" s="37">
        <f t="shared" si="27"/>
        <v>14500</v>
      </c>
      <c r="AD22" s="35">
        <f t="shared" si="28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29"/>
        <v>327.55</v>
      </c>
      <c r="AU22" s="47">
        <v>691836</v>
      </c>
      <c r="AV22" s="37">
        <f t="shared" si="31"/>
        <v>1469</v>
      </c>
      <c r="AW22" s="35">
        <f t="shared" si="30"/>
        <v>2.9380000000000002</v>
      </c>
    </row>
    <row r="23" spans="1:49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16"/>
        <v>540</v>
      </c>
      <c r="R23" s="37">
        <f t="shared" si="17"/>
        <v>10840</v>
      </c>
      <c r="S23" s="37">
        <f t="shared" si="15"/>
        <v>0</v>
      </c>
      <c r="T23" s="37">
        <f t="shared" si="18"/>
        <v>1490</v>
      </c>
      <c r="U23" s="37">
        <f t="shared" si="19"/>
        <v>6640</v>
      </c>
      <c r="V23" s="37">
        <f t="shared" si="20"/>
        <v>4560</v>
      </c>
      <c r="W23" s="37">
        <f t="shared" si="21"/>
        <v>3440</v>
      </c>
      <c r="X23" s="37">
        <f t="shared" si="22"/>
        <v>4360</v>
      </c>
      <c r="Y23" s="37">
        <f t="shared" si="23"/>
        <v>4740</v>
      </c>
      <c r="Z23" s="37">
        <f t="shared" si="24"/>
        <v>2890</v>
      </c>
      <c r="AA23" s="37">
        <f t="shared" si="25"/>
        <v>3660</v>
      </c>
      <c r="AB23" s="37">
        <f t="shared" si="26"/>
        <v>8150</v>
      </c>
      <c r="AC23" s="37">
        <f t="shared" si="27"/>
        <v>14730</v>
      </c>
      <c r="AD23" s="35">
        <f t="shared" si="28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29"/>
        <v>330.20000000000005</v>
      </c>
      <c r="AU23" s="47">
        <v>693618</v>
      </c>
      <c r="AV23" s="37">
        <f t="shared" si="31"/>
        <v>1782</v>
      </c>
      <c r="AW23" s="35">
        <f t="shared" si="30"/>
        <v>3.5640000000000001</v>
      </c>
    </row>
    <row r="24" spans="1:49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16"/>
        <v>3850</v>
      </c>
      <c r="R24" s="37">
        <f t="shared" si="17"/>
        <v>7390</v>
      </c>
      <c r="S24" s="37">
        <f t="shared" si="15"/>
        <v>0</v>
      </c>
      <c r="T24" s="37">
        <f t="shared" si="18"/>
        <v>1500</v>
      </c>
      <c r="U24" s="37">
        <f t="shared" si="19"/>
        <v>6720</v>
      </c>
      <c r="V24" s="37">
        <f t="shared" si="20"/>
        <v>4730</v>
      </c>
      <c r="W24" s="37">
        <f t="shared" si="21"/>
        <v>3550</v>
      </c>
      <c r="X24" s="37">
        <f t="shared" si="22"/>
        <v>4400</v>
      </c>
      <c r="Y24" s="37">
        <f t="shared" si="23"/>
        <v>5000</v>
      </c>
      <c r="Z24" s="37">
        <f t="shared" si="24"/>
        <v>2920</v>
      </c>
      <c r="AA24" s="37">
        <f t="shared" si="25"/>
        <v>3570</v>
      </c>
      <c r="AB24" s="37">
        <f t="shared" si="26"/>
        <v>8160</v>
      </c>
      <c r="AC24" s="37">
        <f t="shared" si="27"/>
        <v>15000</v>
      </c>
      <c r="AD24" s="35">
        <f t="shared" si="28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29"/>
        <v>333.95</v>
      </c>
      <c r="AU24" s="47">
        <v>695688</v>
      </c>
      <c r="AV24" s="37">
        <f t="shared" si="31"/>
        <v>2070</v>
      </c>
      <c r="AW24" s="35">
        <f t="shared" si="30"/>
        <v>4.1399999999999997</v>
      </c>
    </row>
    <row r="25" spans="1:49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2">IF((C25-C24&lt;0), "0",C25-C24)</f>
        <v>530</v>
      </c>
      <c r="R25" s="37">
        <f t="shared" si="32"/>
        <v>11360</v>
      </c>
      <c r="S25" s="37">
        <f t="shared" si="32"/>
        <v>0</v>
      </c>
      <c r="T25" s="37">
        <f t="shared" si="32"/>
        <v>1540</v>
      </c>
      <c r="U25" s="37">
        <f t="shared" si="32"/>
        <v>6840</v>
      </c>
      <c r="V25" s="37">
        <f t="shared" si="32"/>
        <v>4830</v>
      </c>
      <c r="W25" s="37">
        <f t="shared" si="32"/>
        <v>4000</v>
      </c>
      <c r="X25" s="37">
        <f t="shared" si="32"/>
        <v>4610</v>
      </c>
      <c r="Y25" s="37">
        <f t="shared" si="32"/>
        <v>5230</v>
      </c>
      <c r="Z25" s="37">
        <f t="shared" si="32"/>
        <v>2980</v>
      </c>
      <c r="AA25" s="37">
        <f t="shared" si="32"/>
        <v>3930</v>
      </c>
      <c r="AB25" s="37">
        <f t="shared" si="32"/>
        <v>8220</v>
      </c>
      <c r="AC25" s="37">
        <f t="shared" si="32"/>
        <v>15100</v>
      </c>
      <c r="AD25" s="35">
        <f t="shared" si="28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29"/>
        <v>345.85</v>
      </c>
      <c r="AU25" s="47">
        <v>697164</v>
      </c>
      <c r="AV25" s="37">
        <f t="shared" si="31"/>
        <v>1476</v>
      </c>
      <c r="AW25" s="35">
        <f t="shared" si="30"/>
        <v>2.952</v>
      </c>
    </row>
    <row r="26" spans="1:49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2"/>
        <v>520</v>
      </c>
      <c r="R26" s="37">
        <f t="shared" si="32"/>
        <v>11020</v>
      </c>
      <c r="S26" s="37">
        <f t="shared" si="32"/>
        <v>0</v>
      </c>
      <c r="T26" s="37">
        <f t="shared" si="32"/>
        <v>1480</v>
      </c>
      <c r="U26" s="37">
        <f t="shared" si="32"/>
        <v>6940</v>
      </c>
      <c r="V26" s="37">
        <f t="shared" si="32"/>
        <v>4730</v>
      </c>
      <c r="W26" s="37">
        <f t="shared" si="32"/>
        <v>3840</v>
      </c>
      <c r="X26" s="37">
        <f t="shared" si="32"/>
        <v>4670</v>
      </c>
      <c r="Y26" s="37">
        <f t="shared" si="32"/>
        <v>5100</v>
      </c>
      <c r="Z26" s="37">
        <f t="shared" si="32"/>
        <v>2960</v>
      </c>
      <c r="AA26" s="37">
        <f t="shared" si="32"/>
        <v>4090</v>
      </c>
      <c r="AB26" s="37">
        <f t="shared" si="32"/>
        <v>7980</v>
      </c>
      <c r="AC26" s="37">
        <f t="shared" si="32"/>
        <v>14810</v>
      </c>
      <c r="AD26" s="35">
        <f t="shared" si="28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29"/>
        <v>340.7</v>
      </c>
      <c r="AU26" s="47">
        <v>698774</v>
      </c>
      <c r="AV26" s="37">
        <f t="shared" si="31"/>
        <v>1610</v>
      </c>
      <c r="AW26" s="35">
        <f t="shared" si="30"/>
        <v>3.22</v>
      </c>
    </row>
    <row r="27" spans="1:49" x14ac:dyDescent="0.25">
      <c r="A27" s="23">
        <v>43820</v>
      </c>
      <c r="B27" s="40">
        <v>165</v>
      </c>
      <c r="C27" s="24">
        <v>5917460</v>
      </c>
      <c r="D27" s="24">
        <v>12290010</v>
      </c>
      <c r="E27" s="24">
        <v>1470300</v>
      </c>
      <c r="F27" s="24">
        <v>2630350</v>
      </c>
      <c r="G27" s="24">
        <v>8024680</v>
      </c>
      <c r="H27" s="24">
        <v>3835930</v>
      </c>
      <c r="I27" s="24">
        <v>3802130</v>
      </c>
      <c r="J27" s="24">
        <v>4313990</v>
      </c>
      <c r="K27" s="24">
        <v>6939750</v>
      </c>
      <c r="L27" s="24">
        <v>2488740</v>
      </c>
      <c r="M27" s="24">
        <v>6386100</v>
      </c>
      <c r="N27" s="24">
        <v>8776730</v>
      </c>
      <c r="O27" s="24">
        <v>11546360</v>
      </c>
      <c r="Q27" s="37">
        <f t="shared" si="32"/>
        <v>520</v>
      </c>
      <c r="R27" s="37">
        <f t="shared" si="32"/>
        <v>11220</v>
      </c>
      <c r="S27" s="37">
        <f t="shared" si="32"/>
        <v>0</v>
      </c>
      <c r="T27" s="37">
        <f t="shared" si="32"/>
        <v>1500</v>
      </c>
      <c r="U27" s="37">
        <f t="shared" si="32"/>
        <v>7090</v>
      </c>
      <c r="V27" s="37">
        <f t="shared" si="32"/>
        <v>4790</v>
      </c>
      <c r="W27" s="37">
        <f t="shared" si="32"/>
        <v>3450</v>
      </c>
      <c r="X27" s="37">
        <f t="shared" si="32"/>
        <v>4640</v>
      </c>
      <c r="Y27" s="37">
        <f t="shared" si="32"/>
        <v>5040</v>
      </c>
      <c r="Z27" s="37">
        <f t="shared" si="32"/>
        <v>2960</v>
      </c>
      <c r="AA27" s="37">
        <f t="shared" si="32"/>
        <v>3880</v>
      </c>
      <c r="AB27" s="37">
        <f t="shared" si="32"/>
        <v>8110</v>
      </c>
      <c r="AC27" s="37">
        <f t="shared" si="32"/>
        <v>15060</v>
      </c>
      <c r="AD27" s="35">
        <f t="shared" si="28"/>
        <v>68260</v>
      </c>
      <c r="AF27" s="20">
        <f t="shared" si="1"/>
        <v>2.6</v>
      </c>
      <c r="AG27" s="20">
        <f t="shared" si="2"/>
        <v>56.1</v>
      </c>
      <c r="AH27" s="20">
        <f t="shared" si="3"/>
        <v>0</v>
      </c>
      <c r="AI27" s="20">
        <f t="shared" si="4"/>
        <v>7.5</v>
      </c>
      <c r="AJ27" s="20">
        <f t="shared" si="5"/>
        <v>35.450000000000003</v>
      </c>
      <c r="AK27" s="20">
        <f t="shared" si="6"/>
        <v>23.95</v>
      </c>
      <c r="AL27" s="20">
        <f t="shared" si="7"/>
        <v>17.25</v>
      </c>
      <c r="AM27" s="20">
        <f t="shared" si="8"/>
        <v>23.2</v>
      </c>
      <c r="AN27" s="20">
        <f t="shared" si="9"/>
        <v>25.2</v>
      </c>
      <c r="AO27" s="20">
        <f t="shared" si="10"/>
        <v>14.8</v>
      </c>
      <c r="AP27" s="20">
        <f t="shared" si="11"/>
        <v>19.400000000000002</v>
      </c>
      <c r="AQ27" s="20">
        <f t="shared" si="12"/>
        <v>40.550000000000004</v>
      </c>
      <c r="AR27" s="20">
        <f t="shared" si="13"/>
        <v>75.3</v>
      </c>
      <c r="AS27" s="35">
        <f t="shared" si="29"/>
        <v>341.3</v>
      </c>
      <c r="AU27" s="47">
        <v>700111</v>
      </c>
      <c r="AV27" s="37">
        <f>IF((AU27-AU26&lt;0),"0",AU27-AU26)</f>
        <v>1337</v>
      </c>
      <c r="AW27" s="35">
        <f t="shared" si="30"/>
        <v>2.6739999999999999</v>
      </c>
    </row>
    <row r="28" spans="1:49" x14ac:dyDescent="0.25">
      <c r="A28" s="23">
        <v>43821</v>
      </c>
      <c r="B28" s="40">
        <v>122</v>
      </c>
      <c r="C28" s="24">
        <v>5917960</v>
      </c>
      <c r="D28" s="24">
        <v>12300580</v>
      </c>
      <c r="E28" s="24">
        <v>1470300</v>
      </c>
      <c r="F28" s="24">
        <v>2631820</v>
      </c>
      <c r="G28" s="24">
        <v>8031190</v>
      </c>
      <c r="H28" s="24">
        <v>3840530</v>
      </c>
      <c r="I28" s="24">
        <v>3804980</v>
      </c>
      <c r="J28" s="24">
        <v>4318330</v>
      </c>
      <c r="K28" s="24">
        <v>6944510</v>
      </c>
      <c r="L28" s="24">
        <v>2491560</v>
      </c>
      <c r="M28" s="24">
        <v>6389860</v>
      </c>
      <c r="N28" s="24">
        <v>8784540</v>
      </c>
      <c r="O28" s="24">
        <v>11561170</v>
      </c>
      <c r="Q28" s="37">
        <f t="shared" si="16"/>
        <v>500</v>
      </c>
      <c r="R28" s="37">
        <f t="shared" si="17"/>
        <v>10570</v>
      </c>
      <c r="S28" s="37">
        <f t="shared" si="15"/>
        <v>0</v>
      </c>
      <c r="T28" s="37">
        <f t="shared" si="18"/>
        <v>1470</v>
      </c>
      <c r="U28" s="37">
        <f t="shared" si="19"/>
        <v>6510</v>
      </c>
      <c r="V28" s="37">
        <f t="shared" si="20"/>
        <v>4600</v>
      </c>
      <c r="W28" s="37">
        <f t="shared" si="21"/>
        <v>2850</v>
      </c>
      <c r="X28" s="37">
        <f t="shared" si="22"/>
        <v>4340</v>
      </c>
      <c r="Y28" s="37">
        <f t="shared" si="23"/>
        <v>4760</v>
      </c>
      <c r="Z28" s="37">
        <f t="shared" si="24"/>
        <v>2820</v>
      </c>
      <c r="AA28" s="37">
        <f t="shared" si="25"/>
        <v>3760</v>
      </c>
      <c r="AB28" s="37">
        <f t="shared" si="26"/>
        <v>7810</v>
      </c>
      <c r="AC28" s="37">
        <f t="shared" si="27"/>
        <v>14810</v>
      </c>
      <c r="AD28" s="35">
        <f t="shared" si="28"/>
        <v>64800</v>
      </c>
      <c r="AF28" s="20">
        <f t="shared" si="1"/>
        <v>2.5</v>
      </c>
      <c r="AG28" s="20">
        <f t="shared" si="2"/>
        <v>52.85</v>
      </c>
      <c r="AH28" s="20">
        <f t="shared" si="3"/>
        <v>0</v>
      </c>
      <c r="AI28" s="20">
        <f t="shared" si="4"/>
        <v>7.3500000000000005</v>
      </c>
      <c r="AJ28" s="20">
        <f t="shared" si="5"/>
        <v>32.549999999999997</v>
      </c>
      <c r="AK28" s="20">
        <f t="shared" si="6"/>
        <v>23</v>
      </c>
      <c r="AL28" s="20">
        <f t="shared" si="7"/>
        <v>14.25</v>
      </c>
      <c r="AM28" s="20">
        <f t="shared" si="8"/>
        <v>21.7</v>
      </c>
      <c r="AN28" s="20">
        <f t="shared" si="9"/>
        <v>23.8</v>
      </c>
      <c r="AO28" s="20">
        <f t="shared" si="10"/>
        <v>14.1</v>
      </c>
      <c r="AP28" s="20">
        <f t="shared" si="11"/>
        <v>18.8</v>
      </c>
      <c r="AQ28" s="20">
        <f t="shared" si="12"/>
        <v>39.050000000000004</v>
      </c>
      <c r="AR28" s="20">
        <f t="shared" si="13"/>
        <v>74.05</v>
      </c>
      <c r="AS28" s="35">
        <f t="shared" si="29"/>
        <v>324</v>
      </c>
      <c r="AU28" s="47">
        <v>701910</v>
      </c>
      <c r="AV28" s="37">
        <f>IF((AU28-AU27&lt;0),"0",AU28-AU27)</f>
        <v>1799</v>
      </c>
      <c r="AW28" s="35">
        <f t="shared" si="30"/>
        <v>3.5979999999999999</v>
      </c>
    </row>
    <row r="29" spans="1:49" x14ac:dyDescent="0.25">
      <c r="A29" s="23">
        <v>43822</v>
      </c>
      <c r="B29" s="40">
        <v>122</v>
      </c>
      <c r="C29" s="24">
        <v>5918500</v>
      </c>
      <c r="D29" s="24">
        <v>12311250</v>
      </c>
      <c r="E29" s="24">
        <v>1470300</v>
      </c>
      <c r="F29" s="24">
        <v>2633300</v>
      </c>
      <c r="G29" s="24">
        <v>8038040</v>
      </c>
      <c r="H29" s="24">
        <v>3845180</v>
      </c>
      <c r="I29" s="24">
        <v>3808180</v>
      </c>
      <c r="J29" s="24">
        <v>4323310</v>
      </c>
      <c r="K29" s="24">
        <v>6949310</v>
      </c>
      <c r="L29" s="24">
        <v>2494300</v>
      </c>
      <c r="M29" s="24">
        <v>6393600</v>
      </c>
      <c r="N29" s="24">
        <v>8792260</v>
      </c>
      <c r="O29" s="24">
        <v>11575890</v>
      </c>
      <c r="Q29" s="37">
        <f t="shared" si="16"/>
        <v>540</v>
      </c>
      <c r="R29" s="37">
        <f t="shared" si="17"/>
        <v>10670</v>
      </c>
      <c r="S29" s="37">
        <f t="shared" si="15"/>
        <v>0</v>
      </c>
      <c r="T29" s="37">
        <f t="shared" si="18"/>
        <v>1480</v>
      </c>
      <c r="U29" s="37">
        <f t="shared" si="19"/>
        <v>6850</v>
      </c>
      <c r="V29" s="37">
        <f t="shared" si="20"/>
        <v>4650</v>
      </c>
      <c r="W29" s="37">
        <f t="shared" si="21"/>
        <v>3200</v>
      </c>
      <c r="X29" s="37">
        <f t="shared" si="22"/>
        <v>4980</v>
      </c>
      <c r="Y29" s="37">
        <f t="shared" si="23"/>
        <v>4800</v>
      </c>
      <c r="Z29" s="37">
        <f t="shared" si="24"/>
        <v>2740</v>
      </c>
      <c r="AA29" s="37">
        <f t="shared" si="25"/>
        <v>3740</v>
      </c>
      <c r="AB29" s="37">
        <f t="shared" si="26"/>
        <v>7720</v>
      </c>
      <c r="AC29" s="37">
        <f t="shared" si="27"/>
        <v>14720</v>
      </c>
      <c r="AD29" s="35">
        <f t="shared" si="28"/>
        <v>66090</v>
      </c>
      <c r="AF29" s="20">
        <f t="shared" si="1"/>
        <v>2.7</v>
      </c>
      <c r="AG29" s="20">
        <f t="shared" si="2"/>
        <v>53.35</v>
      </c>
      <c r="AH29" s="20">
        <f t="shared" si="3"/>
        <v>0</v>
      </c>
      <c r="AI29" s="20">
        <f t="shared" si="4"/>
        <v>7.4</v>
      </c>
      <c r="AJ29" s="20">
        <f t="shared" si="5"/>
        <v>34.25</v>
      </c>
      <c r="AK29" s="20">
        <f t="shared" si="6"/>
        <v>23.25</v>
      </c>
      <c r="AL29" s="20">
        <f t="shared" si="7"/>
        <v>16</v>
      </c>
      <c r="AM29" s="20">
        <f t="shared" si="8"/>
        <v>24.900000000000002</v>
      </c>
      <c r="AN29" s="20">
        <f t="shared" si="9"/>
        <v>24</v>
      </c>
      <c r="AO29" s="20">
        <f t="shared" si="10"/>
        <v>13.700000000000001</v>
      </c>
      <c r="AP29" s="20">
        <f t="shared" si="11"/>
        <v>18.7</v>
      </c>
      <c r="AQ29" s="20">
        <f t="shared" si="12"/>
        <v>38.6</v>
      </c>
      <c r="AR29" s="20">
        <f t="shared" si="13"/>
        <v>73.600000000000009</v>
      </c>
      <c r="AS29" s="35">
        <f t="shared" si="29"/>
        <v>330.45</v>
      </c>
      <c r="AU29" s="47">
        <v>703371</v>
      </c>
      <c r="AV29" s="37">
        <f t="shared" ref="AV29:AV36" si="33">IF((AU29-AU28&lt;0),"0",AU29-AU28)</f>
        <v>1461</v>
      </c>
      <c r="AW29" s="35">
        <f t="shared" si="30"/>
        <v>2.9220000000000002</v>
      </c>
    </row>
    <row r="30" spans="1:49" x14ac:dyDescent="0.25">
      <c r="A30" s="23">
        <v>43823</v>
      </c>
      <c r="B30" s="40">
        <v>206</v>
      </c>
      <c r="C30" s="24">
        <v>5919020</v>
      </c>
      <c r="D30" s="24">
        <v>12321740</v>
      </c>
      <c r="E30" s="24">
        <v>1470300</v>
      </c>
      <c r="F30" s="24">
        <v>2634770</v>
      </c>
      <c r="G30" s="24">
        <v>8045080</v>
      </c>
      <c r="H30" s="24">
        <v>3849930</v>
      </c>
      <c r="I30" s="24">
        <v>3811870</v>
      </c>
      <c r="J30" s="24">
        <v>4327700</v>
      </c>
      <c r="K30" s="24">
        <v>6953920</v>
      </c>
      <c r="L30" s="24">
        <v>2497070</v>
      </c>
      <c r="M30" s="24">
        <v>6397260</v>
      </c>
      <c r="N30" s="24">
        <v>8800100</v>
      </c>
      <c r="O30" s="24">
        <v>11589940</v>
      </c>
      <c r="Q30" s="37">
        <f t="shared" si="16"/>
        <v>520</v>
      </c>
      <c r="R30" s="37">
        <f t="shared" si="17"/>
        <v>10490</v>
      </c>
      <c r="S30" s="37">
        <f t="shared" si="15"/>
        <v>0</v>
      </c>
      <c r="T30" s="37">
        <f t="shared" si="18"/>
        <v>1470</v>
      </c>
      <c r="U30" s="37">
        <f t="shared" si="19"/>
        <v>7040</v>
      </c>
      <c r="V30" s="37">
        <f t="shared" si="20"/>
        <v>4750</v>
      </c>
      <c r="W30" s="37">
        <f t="shared" si="21"/>
        <v>3690</v>
      </c>
      <c r="X30" s="37">
        <f t="shared" si="22"/>
        <v>4390</v>
      </c>
      <c r="Y30" s="37">
        <f t="shared" si="23"/>
        <v>4610</v>
      </c>
      <c r="Z30" s="37">
        <f t="shared" si="24"/>
        <v>2770</v>
      </c>
      <c r="AA30" s="37">
        <f t="shared" si="25"/>
        <v>3660</v>
      </c>
      <c r="AB30" s="37">
        <f t="shared" si="26"/>
        <v>7840</v>
      </c>
      <c r="AC30" s="37">
        <f t="shared" si="27"/>
        <v>14050</v>
      </c>
      <c r="AD30" s="35">
        <f t="shared" si="28"/>
        <v>65280</v>
      </c>
      <c r="AF30" s="20">
        <f t="shared" si="1"/>
        <v>2.6</v>
      </c>
      <c r="AG30" s="20">
        <f t="shared" si="2"/>
        <v>52.45</v>
      </c>
      <c r="AH30" s="20">
        <f t="shared" si="3"/>
        <v>0</v>
      </c>
      <c r="AI30" s="20">
        <f t="shared" si="4"/>
        <v>7.3500000000000005</v>
      </c>
      <c r="AJ30" s="20">
        <f t="shared" si="5"/>
        <v>35.200000000000003</v>
      </c>
      <c r="AK30" s="20">
        <f t="shared" si="6"/>
        <v>23.75</v>
      </c>
      <c r="AL30" s="20">
        <f t="shared" si="7"/>
        <v>18.45</v>
      </c>
      <c r="AM30" s="20">
        <f t="shared" si="8"/>
        <v>21.95</v>
      </c>
      <c r="AN30" s="20">
        <f t="shared" si="9"/>
        <v>23.05</v>
      </c>
      <c r="AO30" s="20">
        <f t="shared" si="10"/>
        <v>13.85</v>
      </c>
      <c r="AP30" s="20">
        <f t="shared" si="11"/>
        <v>18.3</v>
      </c>
      <c r="AQ30" s="20">
        <f t="shared" si="12"/>
        <v>39.200000000000003</v>
      </c>
      <c r="AR30" s="20">
        <f t="shared" si="13"/>
        <v>70.25</v>
      </c>
      <c r="AS30" s="35">
        <f t="shared" si="29"/>
        <v>326.40000000000003</v>
      </c>
      <c r="AU30" s="47">
        <v>705183</v>
      </c>
      <c r="AV30" s="37">
        <f t="shared" si="33"/>
        <v>1812</v>
      </c>
      <c r="AW30" s="35">
        <f t="shared" si="30"/>
        <v>3.6240000000000001</v>
      </c>
    </row>
    <row r="31" spans="1:49" x14ac:dyDescent="0.25">
      <c r="A31" s="23">
        <v>43824</v>
      </c>
      <c r="B31" s="40">
        <v>122</v>
      </c>
      <c r="C31" s="24">
        <v>5919540</v>
      </c>
      <c r="D31" s="24">
        <v>12332220</v>
      </c>
      <c r="E31" s="24">
        <v>1470300</v>
      </c>
      <c r="F31" s="24">
        <v>2636260</v>
      </c>
      <c r="G31" s="24">
        <v>8052140</v>
      </c>
      <c r="H31" s="24">
        <v>3854770</v>
      </c>
      <c r="I31" s="24">
        <v>3815590</v>
      </c>
      <c r="J31" s="24">
        <v>4332290</v>
      </c>
      <c r="K31" s="24">
        <v>6959090</v>
      </c>
      <c r="L31" s="24">
        <v>2499980</v>
      </c>
      <c r="M31" s="24">
        <v>6400980</v>
      </c>
      <c r="N31" s="24">
        <v>8807860</v>
      </c>
      <c r="O31" s="24">
        <v>11603680</v>
      </c>
      <c r="Q31" s="37">
        <f t="shared" si="16"/>
        <v>520</v>
      </c>
      <c r="R31" s="37">
        <f t="shared" si="17"/>
        <v>10480</v>
      </c>
      <c r="S31" s="37">
        <f t="shared" si="15"/>
        <v>0</v>
      </c>
      <c r="T31" s="37">
        <f t="shared" si="18"/>
        <v>1490</v>
      </c>
      <c r="U31" s="37">
        <f t="shared" si="19"/>
        <v>7060</v>
      </c>
      <c r="V31" s="37">
        <f t="shared" si="20"/>
        <v>4840</v>
      </c>
      <c r="W31" s="37">
        <f t="shared" si="21"/>
        <v>3720</v>
      </c>
      <c r="X31" s="37">
        <f t="shared" si="22"/>
        <v>4590</v>
      </c>
      <c r="Y31" s="37">
        <f t="shared" si="23"/>
        <v>5170</v>
      </c>
      <c r="Z31" s="37">
        <f t="shared" si="24"/>
        <v>2910</v>
      </c>
      <c r="AA31" s="37">
        <f t="shared" si="25"/>
        <v>3720</v>
      </c>
      <c r="AB31" s="37">
        <f t="shared" si="26"/>
        <v>7760</v>
      </c>
      <c r="AC31" s="37">
        <f t="shared" si="27"/>
        <v>13740</v>
      </c>
      <c r="AD31" s="35">
        <f t="shared" si="28"/>
        <v>66000</v>
      </c>
      <c r="AF31" s="20">
        <f t="shared" si="1"/>
        <v>2.6</v>
      </c>
      <c r="AG31" s="20">
        <f t="shared" si="2"/>
        <v>52.4</v>
      </c>
      <c r="AH31" s="20">
        <f t="shared" si="3"/>
        <v>0</v>
      </c>
      <c r="AI31" s="20">
        <f t="shared" si="4"/>
        <v>7.45</v>
      </c>
      <c r="AJ31" s="20">
        <f t="shared" si="5"/>
        <v>35.300000000000004</v>
      </c>
      <c r="AK31" s="20">
        <f t="shared" si="6"/>
        <v>24.2</v>
      </c>
      <c r="AL31" s="20">
        <f t="shared" si="7"/>
        <v>18.600000000000001</v>
      </c>
      <c r="AM31" s="20">
        <f t="shared" si="8"/>
        <v>22.95</v>
      </c>
      <c r="AN31" s="20">
        <f t="shared" si="9"/>
        <v>25.85</v>
      </c>
      <c r="AO31" s="20">
        <f t="shared" si="10"/>
        <v>14.55</v>
      </c>
      <c r="AP31" s="20">
        <f t="shared" si="11"/>
        <v>18.600000000000001</v>
      </c>
      <c r="AQ31" s="20">
        <f t="shared" si="12"/>
        <v>38.800000000000004</v>
      </c>
      <c r="AR31" s="20">
        <f t="shared" si="13"/>
        <v>68.7</v>
      </c>
      <c r="AS31" s="35">
        <f t="shared" si="29"/>
        <v>330</v>
      </c>
      <c r="AU31" s="47">
        <v>706954</v>
      </c>
      <c r="AV31" s="37">
        <f t="shared" si="33"/>
        <v>1771</v>
      </c>
      <c r="AW31" s="35">
        <f t="shared" si="30"/>
        <v>3.5420000000000003</v>
      </c>
    </row>
    <row r="32" spans="1:49" x14ac:dyDescent="0.25">
      <c r="A32" s="23">
        <v>43825</v>
      </c>
      <c r="B32" s="40">
        <v>282</v>
      </c>
      <c r="C32" s="24">
        <v>5920070</v>
      </c>
      <c r="D32" s="24">
        <v>12343700</v>
      </c>
      <c r="E32" s="24">
        <v>1470300</v>
      </c>
      <c r="F32" s="24">
        <v>2637770</v>
      </c>
      <c r="G32" s="24">
        <v>8059470</v>
      </c>
      <c r="H32" s="24">
        <v>3859690</v>
      </c>
      <c r="I32" s="24">
        <v>3819230</v>
      </c>
      <c r="J32" s="24">
        <v>4337200</v>
      </c>
      <c r="K32" s="24">
        <v>6964530</v>
      </c>
      <c r="L32" s="24">
        <v>2503010</v>
      </c>
      <c r="M32" s="24">
        <v>6405120</v>
      </c>
      <c r="N32" s="24">
        <v>8815500</v>
      </c>
      <c r="O32" s="24">
        <v>11618040</v>
      </c>
      <c r="Q32" s="37">
        <f t="shared" si="16"/>
        <v>530</v>
      </c>
      <c r="R32" s="37">
        <f t="shared" si="17"/>
        <v>11480</v>
      </c>
      <c r="S32" s="37">
        <f t="shared" si="15"/>
        <v>0</v>
      </c>
      <c r="T32" s="37">
        <f t="shared" si="18"/>
        <v>1510</v>
      </c>
      <c r="U32" s="37">
        <f t="shared" si="19"/>
        <v>7330</v>
      </c>
      <c r="V32" s="37">
        <f t="shared" si="20"/>
        <v>4920</v>
      </c>
      <c r="W32" s="37">
        <f t="shared" si="21"/>
        <v>3640</v>
      </c>
      <c r="X32" s="37">
        <f t="shared" si="22"/>
        <v>4910</v>
      </c>
      <c r="Y32" s="37">
        <f t="shared" si="23"/>
        <v>5440</v>
      </c>
      <c r="Z32" s="37">
        <f t="shared" si="24"/>
        <v>3030</v>
      </c>
      <c r="AA32" s="37">
        <f t="shared" si="25"/>
        <v>4140</v>
      </c>
      <c r="AB32" s="37">
        <f t="shared" si="26"/>
        <v>7640</v>
      </c>
      <c r="AC32" s="37">
        <f t="shared" si="27"/>
        <v>14360</v>
      </c>
      <c r="AD32" s="35">
        <f t="shared" si="28"/>
        <v>68930</v>
      </c>
      <c r="AF32" s="20">
        <f t="shared" si="1"/>
        <v>2.65</v>
      </c>
      <c r="AG32" s="20">
        <f t="shared" si="2"/>
        <v>57.4</v>
      </c>
      <c r="AH32" s="20">
        <f t="shared" si="3"/>
        <v>0</v>
      </c>
      <c r="AI32" s="20">
        <f t="shared" si="4"/>
        <v>7.55</v>
      </c>
      <c r="AJ32" s="20">
        <f t="shared" si="5"/>
        <v>36.65</v>
      </c>
      <c r="AK32" s="20">
        <f t="shared" si="6"/>
        <v>24.6</v>
      </c>
      <c r="AL32" s="20">
        <f t="shared" si="7"/>
        <v>18.2</v>
      </c>
      <c r="AM32" s="20">
        <f t="shared" si="8"/>
        <v>24.55</v>
      </c>
      <c r="AN32" s="20">
        <f t="shared" si="9"/>
        <v>27.2</v>
      </c>
      <c r="AO32" s="20">
        <f t="shared" si="10"/>
        <v>15.15</v>
      </c>
      <c r="AP32" s="20">
        <f t="shared" si="11"/>
        <v>20.7</v>
      </c>
      <c r="AQ32" s="20">
        <f t="shared" si="12"/>
        <v>38.200000000000003</v>
      </c>
      <c r="AR32" s="20">
        <f t="shared" si="13"/>
        <v>71.8</v>
      </c>
      <c r="AS32" s="35">
        <f t="shared" si="29"/>
        <v>344.65</v>
      </c>
      <c r="AU32" s="47">
        <v>708572</v>
      </c>
      <c r="AV32" s="37">
        <f t="shared" si="33"/>
        <v>1618</v>
      </c>
      <c r="AW32" s="35">
        <f t="shared" si="30"/>
        <v>3.2360000000000002</v>
      </c>
    </row>
    <row r="33" spans="1:49" x14ac:dyDescent="0.25">
      <c r="A33" s="23">
        <v>43826</v>
      </c>
      <c r="B33" s="40">
        <v>243</v>
      </c>
      <c r="C33" s="24">
        <v>5920580</v>
      </c>
      <c r="D33" s="24">
        <v>12355500</v>
      </c>
      <c r="E33" s="24">
        <v>1470300</v>
      </c>
      <c r="F33" s="24">
        <v>2639250</v>
      </c>
      <c r="G33" s="24">
        <v>8066640</v>
      </c>
      <c r="H33" s="24">
        <v>3864460</v>
      </c>
      <c r="I33" s="24">
        <v>3823140</v>
      </c>
      <c r="J33" s="24">
        <v>4341580</v>
      </c>
      <c r="K33" s="24">
        <v>6970310</v>
      </c>
      <c r="L33" s="24">
        <v>2506020</v>
      </c>
      <c r="M33" s="24">
        <v>6409110</v>
      </c>
      <c r="N33" s="24">
        <v>8822760</v>
      </c>
      <c r="O33" s="24">
        <v>11633750</v>
      </c>
      <c r="Q33" s="37">
        <f t="shared" si="16"/>
        <v>510</v>
      </c>
      <c r="R33" s="37">
        <f t="shared" si="17"/>
        <v>11800</v>
      </c>
      <c r="S33" s="37">
        <f t="shared" si="15"/>
        <v>0</v>
      </c>
      <c r="T33" s="37">
        <f t="shared" si="18"/>
        <v>1480</v>
      </c>
      <c r="U33" s="37">
        <f t="shared" si="19"/>
        <v>7170</v>
      </c>
      <c r="V33" s="37">
        <f t="shared" si="20"/>
        <v>4770</v>
      </c>
      <c r="W33" s="37">
        <f t="shared" si="21"/>
        <v>3910</v>
      </c>
      <c r="X33" s="37">
        <f t="shared" si="22"/>
        <v>4380</v>
      </c>
      <c r="Y33" s="37">
        <f t="shared" si="23"/>
        <v>5780</v>
      </c>
      <c r="Z33" s="37">
        <f t="shared" si="24"/>
        <v>3010</v>
      </c>
      <c r="AA33" s="37">
        <f t="shared" si="25"/>
        <v>3990</v>
      </c>
      <c r="AB33" s="37">
        <f t="shared" si="26"/>
        <v>7260</v>
      </c>
      <c r="AC33" s="37">
        <f t="shared" si="27"/>
        <v>15710</v>
      </c>
      <c r="AD33" s="35">
        <f t="shared" si="28"/>
        <v>69770</v>
      </c>
      <c r="AF33" s="20">
        <f t="shared" si="1"/>
        <v>2.5500000000000003</v>
      </c>
      <c r="AG33" s="20">
        <f t="shared" si="2"/>
        <v>59</v>
      </c>
      <c r="AH33" s="20">
        <f t="shared" si="3"/>
        <v>0</v>
      </c>
      <c r="AI33" s="20">
        <f t="shared" si="4"/>
        <v>7.4</v>
      </c>
      <c r="AJ33" s="20">
        <f t="shared" si="5"/>
        <v>35.85</v>
      </c>
      <c r="AK33" s="20">
        <f t="shared" si="6"/>
        <v>23.85</v>
      </c>
      <c r="AL33" s="20">
        <f t="shared" si="7"/>
        <v>19.55</v>
      </c>
      <c r="AM33" s="20">
        <f t="shared" si="8"/>
        <v>21.900000000000002</v>
      </c>
      <c r="AN33" s="20">
        <f t="shared" si="9"/>
        <v>28.900000000000002</v>
      </c>
      <c r="AO33" s="20">
        <f t="shared" si="10"/>
        <v>15.05</v>
      </c>
      <c r="AP33" s="20">
        <f t="shared" si="11"/>
        <v>19.95</v>
      </c>
      <c r="AQ33" s="20">
        <f t="shared" si="12"/>
        <v>36.300000000000004</v>
      </c>
      <c r="AR33" s="20">
        <f t="shared" si="13"/>
        <v>78.55</v>
      </c>
      <c r="AS33" s="35">
        <f t="shared" si="29"/>
        <v>348.85</v>
      </c>
      <c r="AU33" s="47">
        <v>710172</v>
      </c>
      <c r="AV33" s="37">
        <f t="shared" si="33"/>
        <v>1600</v>
      </c>
      <c r="AW33" s="35">
        <f t="shared" si="30"/>
        <v>3.2</v>
      </c>
    </row>
    <row r="34" spans="1:49" x14ac:dyDescent="0.25">
      <c r="A34" s="23">
        <v>43827</v>
      </c>
      <c r="B34" s="40">
        <v>170</v>
      </c>
      <c r="C34" s="24">
        <v>5921100</v>
      </c>
      <c r="D34" s="24">
        <v>12366720</v>
      </c>
      <c r="E34" s="24">
        <v>1470300</v>
      </c>
      <c r="F34" s="24">
        <v>2640740</v>
      </c>
      <c r="G34" s="24">
        <v>8073990</v>
      </c>
      <c r="H34" s="24">
        <v>3869290</v>
      </c>
      <c r="I34" s="24">
        <v>3826630</v>
      </c>
      <c r="J34" s="24">
        <v>4346090</v>
      </c>
      <c r="K34" s="24">
        <v>6976150</v>
      </c>
      <c r="L34" s="24">
        <v>2509010</v>
      </c>
      <c r="M34" s="24">
        <v>6413280</v>
      </c>
      <c r="N34" s="24">
        <v>8830070</v>
      </c>
      <c r="O34" s="24">
        <v>11649040</v>
      </c>
      <c r="Q34" s="37">
        <f t="shared" si="16"/>
        <v>520</v>
      </c>
      <c r="R34" s="37">
        <f t="shared" si="17"/>
        <v>11220</v>
      </c>
      <c r="S34" s="37">
        <f t="shared" si="15"/>
        <v>0</v>
      </c>
      <c r="T34" s="37">
        <f t="shared" si="18"/>
        <v>1490</v>
      </c>
      <c r="U34" s="37">
        <f t="shared" si="19"/>
        <v>7350</v>
      </c>
      <c r="V34" s="37">
        <f t="shared" si="20"/>
        <v>4830</v>
      </c>
      <c r="W34" s="37">
        <f t="shared" si="21"/>
        <v>3490</v>
      </c>
      <c r="X34" s="37">
        <f t="shared" si="22"/>
        <v>4510</v>
      </c>
      <c r="Y34" s="37">
        <f t="shared" si="23"/>
        <v>5840</v>
      </c>
      <c r="Z34" s="37">
        <f t="shared" si="24"/>
        <v>2990</v>
      </c>
      <c r="AA34" s="37">
        <f t="shared" si="25"/>
        <v>4170</v>
      </c>
      <c r="AB34" s="37">
        <f t="shared" si="26"/>
        <v>7310</v>
      </c>
      <c r="AC34" s="37">
        <f t="shared" si="27"/>
        <v>15290</v>
      </c>
      <c r="AD34" s="35">
        <f t="shared" si="28"/>
        <v>69010</v>
      </c>
      <c r="AF34" s="20">
        <f t="shared" si="1"/>
        <v>2.6</v>
      </c>
      <c r="AG34" s="20">
        <f t="shared" si="2"/>
        <v>56.1</v>
      </c>
      <c r="AH34" s="20">
        <f t="shared" si="3"/>
        <v>0</v>
      </c>
      <c r="AI34" s="20">
        <f t="shared" si="4"/>
        <v>7.45</v>
      </c>
      <c r="AJ34" s="20">
        <f t="shared" si="5"/>
        <v>36.75</v>
      </c>
      <c r="AK34" s="20">
        <f t="shared" si="6"/>
        <v>24.150000000000002</v>
      </c>
      <c r="AL34" s="20">
        <f t="shared" si="7"/>
        <v>17.45</v>
      </c>
      <c r="AM34" s="20">
        <f t="shared" si="8"/>
        <v>22.55</v>
      </c>
      <c r="AN34" s="20">
        <f t="shared" si="9"/>
        <v>29.2</v>
      </c>
      <c r="AO34" s="20">
        <f t="shared" si="10"/>
        <v>14.950000000000001</v>
      </c>
      <c r="AP34" s="20">
        <f t="shared" si="11"/>
        <v>20.85</v>
      </c>
      <c r="AQ34" s="20">
        <f t="shared" si="12"/>
        <v>36.550000000000004</v>
      </c>
      <c r="AR34" s="20">
        <f t="shared" si="13"/>
        <v>76.45</v>
      </c>
      <c r="AS34" s="35">
        <f t="shared" si="29"/>
        <v>345.04999999999995</v>
      </c>
      <c r="AU34" s="47">
        <v>711696</v>
      </c>
      <c r="AV34" s="37">
        <f t="shared" si="33"/>
        <v>1524</v>
      </c>
      <c r="AW34" s="35">
        <f t="shared" si="30"/>
        <v>3.048</v>
      </c>
    </row>
    <row r="35" spans="1:49" x14ac:dyDescent="0.25">
      <c r="A35" s="23">
        <v>43828</v>
      </c>
      <c r="B35" s="40">
        <v>193</v>
      </c>
      <c r="C35" s="24">
        <v>5921630</v>
      </c>
      <c r="D35" s="24">
        <v>12377870</v>
      </c>
      <c r="E35" s="24">
        <v>1470300</v>
      </c>
      <c r="F35" s="24">
        <v>2642300</v>
      </c>
      <c r="G35" s="24">
        <v>8081470</v>
      </c>
      <c r="H35" s="24">
        <v>3874280</v>
      </c>
      <c r="I35" s="24">
        <v>3829730</v>
      </c>
      <c r="J35" s="24">
        <v>4350720</v>
      </c>
      <c r="K35" s="24">
        <v>6981030</v>
      </c>
      <c r="L35" s="24">
        <v>2512030</v>
      </c>
      <c r="M35" s="24">
        <v>6417510</v>
      </c>
      <c r="N35" s="24">
        <v>8837720</v>
      </c>
      <c r="O35" s="24">
        <v>11665070</v>
      </c>
      <c r="Q35" s="37">
        <f t="shared" si="16"/>
        <v>530</v>
      </c>
      <c r="R35" s="37">
        <f t="shared" si="17"/>
        <v>11150</v>
      </c>
      <c r="S35" s="37">
        <f t="shared" si="15"/>
        <v>0</v>
      </c>
      <c r="T35" s="37">
        <f t="shared" si="18"/>
        <v>1560</v>
      </c>
      <c r="U35" s="37">
        <f t="shared" si="19"/>
        <v>7480</v>
      </c>
      <c r="V35" s="37">
        <f t="shared" si="20"/>
        <v>4990</v>
      </c>
      <c r="W35" s="37">
        <f t="shared" si="21"/>
        <v>3100</v>
      </c>
      <c r="X35" s="37">
        <f t="shared" si="22"/>
        <v>4630</v>
      </c>
      <c r="Y35" s="37">
        <f t="shared" si="23"/>
        <v>4880</v>
      </c>
      <c r="Z35" s="37">
        <f t="shared" si="24"/>
        <v>3020</v>
      </c>
      <c r="AA35" s="37">
        <f t="shared" si="25"/>
        <v>4230</v>
      </c>
      <c r="AB35" s="37">
        <f t="shared" si="26"/>
        <v>7650</v>
      </c>
      <c r="AC35" s="37">
        <f t="shared" si="27"/>
        <v>16030</v>
      </c>
      <c r="AD35" s="35">
        <f>SUM(Q35:AC35)</f>
        <v>69250</v>
      </c>
      <c r="AF35" s="20">
        <f t="shared" si="1"/>
        <v>2.65</v>
      </c>
      <c r="AG35" s="20">
        <f t="shared" si="2"/>
        <v>55.75</v>
      </c>
      <c r="AH35" s="20">
        <f t="shared" si="3"/>
        <v>0</v>
      </c>
      <c r="AI35" s="20">
        <f t="shared" si="4"/>
        <v>7.8</v>
      </c>
      <c r="AJ35" s="20">
        <f t="shared" si="5"/>
        <v>37.4</v>
      </c>
      <c r="AK35" s="20">
        <f t="shared" si="6"/>
        <v>24.95</v>
      </c>
      <c r="AL35" s="20">
        <f t="shared" si="7"/>
        <v>15.5</v>
      </c>
      <c r="AM35" s="20">
        <f t="shared" si="8"/>
        <v>23.150000000000002</v>
      </c>
      <c r="AN35" s="20">
        <f t="shared" si="9"/>
        <v>24.400000000000002</v>
      </c>
      <c r="AO35" s="20">
        <f t="shared" si="10"/>
        <v>15.1</v>
      </c>
      <c r="AP35" s="20">
        <f t="shared" si="11"/>
        <v>21.150000000000002</v>
      </c>
      <c r="AQ35" s="20">
        <f t="shared" si="12"/>
        <v>38.25</v>
      </c>
      <c r="AR35" s="20">
        <f t="shared" si="13"/>
        <v>80.150000000000006</v>
      </c>
      <c r="AS35" s="35">
        <f>SUM(AF35:AR35)</f>
        <v>346.25</v>
      </c>
      <c r="AU35" s="47">
        <v>713384</v>
      </c>
      <c r="AV35" s="37">
        <f t="shared" si="33"/>
        <v>1688</v>
      </c>
      <c r="AW35" s="35">
        <f t="shared" si="30"/>
        <v>3.3759999999999999</v>
      </c>
    </row>
    <row r="36" spans="1:49" x14ac:dyDescent="0.25">
      <c r="A36" s="23">
        <v>43829</v>
      </c>
      <c r="B36" s="40">
        <v>170</v>
      </c>
      <c r="C36" s="24">
        <v>5922010</v>
      </c>
      <c r="D36" s="24">
        <v>12386120</v>
      </c>
      <c r="E36" s="24">
        <v>1470300</v>
      </c>
      <c r="F36" s="24">
        <v>2643330</v>
      </c>
      <c r="G36" s="24">
        <v>8086240</v>
      </c>
      <c r="H36" s="24">
        <v>3877540</v>
      </c>
      <c r="I36" s="24">
        <v>3831790</v>
      </c>
      <c r="J36" s="24">
        <v>4353410</v>
      </c>
      <c r="K36" s="24">
        <v>6985350</v>
      </c>
      <c r="L36" s="24">
        <v>2513970</v>
      </c>
      <c r="M36" s="24">
        <v>6420070</v>
      </c>
      <c r="N36" s="24">
        <v>8842940</v>
      </c>
      <c r="O36" s="24">
        <v>11671480</v>
      </c>
      <c r="Q36" s="37">
        <f t="shared" ref="Q36:AC36" si="34">IF((C36-C35&lt;0), "0",C36-C35)</f>
        <v>380</v>
      </c>
      <c r="R36" s="37">
        <f t="shared" si="34"/>
        <v>8250</v>
      </c>
      <c r="S36" s="37">
        <f t="shared" si="34"/>
        <v>0</v>
      </c>
      <c r="T36" s="37">
        <f t="shared" si="34"/>
        <v>1030</v>
      </c>
      <c r="U36" s="37">
        <f t="shared" si="34"/>
        <v>4770</v>
      </c>
      <c r="V36" s="37">
        <f t="shared" si="34"/>
        <v>3260</v>
      </c>
      <c r="W36" s="37">
        <f t="shared" si="34"/>
        <v>2060</v>
      </c>
      <c r="X36" s="37">
        <f t="shared" si="34"/>
        <v>2690</v>
      </c>
      <c r="Y36" s="37">
        <f t="shared" si="34"/>
        <v>4320</v>
      </c>
      <c r="Z36" s="37">
        <f t="shared" si="34"/>
        <v>1940</v>
      </c>
      <c r="AA36" s="37">
        <f t="shared" si="34"/>
        <v>2560</v>
      </c>
      <c r="AB36" s="37">
        <f t="shared" si="34"/>
        <v>5220</v>
      </c>
      <c r="AC36" s="37">
        <f t="shared" si="34"/>
        <v>6410</v>
      </c>
      <c r="AD36" s="35">
        <f>SUM(Q36:AC36)</f>
        <v>42890</v>
      </c>
      <c r="AF36" s="20">
        <f t="shared" si="1"/>
        <v>1.9000000000000001</v>
      </c>
      <c r="AG36" s="20">
        <f t="shared" si="2"/>
        <v>41.25</v>
      </c>
      <c r="AH36" s="20">
        <f t="shared" si="3"/>
        <v>0</v>
      </c>
      <c r="AI36" s="20">
        <f t="shared" si="4"/>
        <v>5.15</v>
      </c>
      <c r="AJ36" s="20">
        <f t="shared" si="5"/>
        <v>23.85</v>
      </c>
      <c r="AK36" s="20">
        <f t="shared" si="6"/>
        <v>16.3</v>
      </c>
      <c r="AL36" s="20">
        <f t="shared" si="7"/>
        <v>10.3</v>
      </c>
      <c r="AM36" s="20">
        <f t="shared" si="8"/>
        <v>13.450000000000001</v>
      </c>
      <c r="AN36" s="20">
        <f t="shared" si="9"/>
        <v>21.6</v>
      </c>
      <c r="AO36" s="20">
        <f t="shared" si="10"/>
        <v>9.7000000000000011</v>
      </c>
      <c r="AP36" s="20">
        <f t="shared" si="11"/>
        <v>12.8</v>
      </c>
      <c r="AQ36" s="20">
        <f t="shared" si="12"/>
        <v>26.1</v>
      </c>
      <c r="AR36" s="20">
        <f t="shared" si="13"/>
        <v>32.049999999999997</v>
      </c>
      <c r="AS36" s="35">
        <f>SUM(AF36:AR36)</f>
        <v>214.45</v>
      </c>
      <c r="AU36" s="47">
        <v>714703</v>
      </c>
      <c r="AV36" s="37">
        <f t="shared" si="33"/>
        <v>1319</v>
      </c>
      <c r="AW36" s="35">
        <f t="shared" si="30"/>
        <v>2.6379999999999999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23390</v>
      </c>
      <c r="R38" s="30">
        <f t="shared" si="35"/>
        <v>314450</v>
      </c>
      <c r="S38" s="30">
        <f t="shared" si="35"/>
        <v>270</v>
      </c>
      <c r="T38" s="30">
        <f t="shared" si="35"/>
        <v>42330</v>
      </c>
      <c r="U38" s="30">
        <f t="shared" si="35"/>
        <v>186280</v>
      </c>
      <c r="V38" s="30">
        <f t="shared" si="35"/>
        <v>126940</v>
      </c>
      <c r="W38" s="30">
        <f t="shared" si="35"/>
        <v>98130</v>
      </c>
      <c r="X38" s="30">
        <f t="shared" si="35"/>
        <v>128280</v>
      </c>
      <c r="Y38" s="30">
        <f t="shared" si="35"/>
        <v>142560</v>
      </c>
      <c r="Z38" s="30">
        <f t="shared" si="35"/>
        <v>80680</v>
      </c>
      <c r="AA38" s="30">
        <f t="shared" si="35"/>
        <v>105550</v>
      </c>
      <c r="AB38" s="30">
        <f t="shared" si="35"/>
        <v>218970</v>
      </c>
      <c r="AC38" s="30">
        <f t="shared" si="35"/>
        <v>412020</v>
      </c>
      <c r="AD38" s="35">
        <f t="shared" si="35"/>
        <v>1879850</v>
      </c>
      <c r="AF38" s="35">
        <f t="shared" ref="AF38:AS38" si="36">SUM(AF7:AF34)</f>
        <v>116.94999999999999</v>
      </c>
      <c r="AG38" s="35">
        <f t="shared" si="36"/>
        <v>1572.25</v>
      </c>
      <c r="AH38" s="35">
        <f t="shared" si="36"/>
        <v>1.35</v>
      </c>
      <c r="AI38" s="35">
        <f t="shared" si="36"/>
        <v>211.64999999999998</v>
      </c>
      <c r="AJ38" s="35">
        <f t="shared" si="36"/>
        <v>931.4000000000002</v>
      </c>
      <c r="AK38" s="35">
        <f t="shared" si="36"/>
        <v>634.69999999999993</v>
      </c>
      <c r="AL38" s="35">
        <f t="shared" si="36"/>
        <v>490.65</v>
      </c>
      <c r="AM38" s="35">
        <f t="shared" si="36"/>
        <v>641.4</v>
      </c>
      <c r="AN38" s="35">
        <f t="shared" si="36"/>
        <v>712.8</v>
      </c>
      <c r="AO38" s="35">
        <f t="shared" si="36"/>
        <v>403.40000000000009</v>
      </c>
      <c r="AP38" s="35">
        <f t="shared" si="36"/>
        <v>527.74999999999989</v>
      </c>
      <c r="AQ38" s="35">
        <f t="shared" si="36"/>
        <v>1094.8499999999999</v>
      </c>
      <c r="AR38" s="35">
        <f t="shared" si="36"/>
        <v>2060.1</v>
      </c>
      <c r="AS38" s="35">
        <f t="shared" si="36"/>
        <v>9399.25</v>
      </c>
      <c r="AU38" s="48"/>
      <c r="AV38" s="35">
        <f>SUM(AV7:AV34)</f>
        <v>47294</v>
      </c>
      <c r="AW38" s="35">
        <f>SUM(AW7:AW34)</f>
        <v>86.873999999999995</v>
      </c>
    </row>
    <row r="39" spans="1:49" x14ac:dyDescent="0.25">
      <c r="D39">
        <v>5.0000000000000001E-3</v>
      </c>
      <c r="AV39" s="36">
        <f>AV38*0.00378541*1000</f>
        <v>179027.18054</v>
      </c>
    </row>
    <row r="40" spans="1:49" x14ac:dyDescent="0.25">
      <c r="D40">
        <v>2E-3</v>
      </c>
      <c r="AV40">
        <f>AV39/31</f>
        <v>5775.0703400000002</v>
      </c>
    </row>
    <row r="41" spans="1:49" x14ac:dyDescent="0.25">
      <c r="AV41">
        <f>AV38*0.00378541</f>
        <v>179.02718053999999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Mohammed Jameen</cp:lastModifiedBy>
  <cp:lastPrinted>2019-07-02T08:10:14Z</cp:lastPrinted>
  <dcterms:created xsi:type="dcterms:W3CDTF">2017-05-22T13:08:25Z</dcterms:created>
  <dcterms:modified xsi:type="dcterms:W3CDTF">2019-12-30T16:08:21Z</dcterms:modified>
</cp:coreProperties>
</file>