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<sst xmlns="http://schemas.openxmlformats.org/spreadsheetml/2006/main" count="313" uniqueCount="148">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</sst>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11599.999999999833</v>
      </c>
      <c r="F33" s="17">
        <f t="shared" ref="F33:BC33" si="1">SUM(F2:F32)</f>
        <v>3800.0000000000259</v>
      </c>
      <c r="G33" s="17">
        <f t="shared" si="1"/>
        <v>11199.999999999654</v>
      </c>
      <c r="H33" s="17">
        <f t="shared" si="1"/>
        <v>5499.9999999998381</v>
      </c>
      <c r="I33" s="17">
        <f t="shared" si="1"/>
        <v>10700.000000000375</v>
      </c>
      <c r="J33" s="17">
        <f t="shared" si="1"/>
        <v>2900.0000000001241</v>
      </c>
      <c r="K33" s="17">
        <f t="shared" si="1"/>
        <v>7</v>
      </c>
      <c r="L33" s="17">
        <f t="shared" si="1"/>
        <v>13</v>
      </c>
      <c r="M33" s="17">
        <f t="shared" si="1"/>
        <v>2087.2000000000698</v>
      </c>
      <c r="N33" s="17">
        <f t="shared" si="1"/>
        <v>889</v>
      </c>
      <c r="O33" s="17">
        <f t="shared" si="1"/>
        <v>640.0000000000432</v>
      </c>
      <c r="P33" s="17">
        <f t="shared" si="1"/>
        <v>2299.9999999999686</v>
      </c>
      <c r="Q33" s="17">
        <f t="shared" si="1"/>
        <v>439.99999999999773</v>
      </c>
      <c r="R33" s="17">
        <f t="shared" si="1"/>
        <v>689.99999999999773</v>
      </c>
      <c r="S33" s="17">
        <f t="shared" si="1"/>
        <v>1009.9999999999909</v>
      </c>
      <c r="T33" s="17">
        <f t="shared" si="1"/>
        <v>8.2999999999999545</v>
      </c>
      <c r="U33" s="35">
        <f t="shared" si="1"/>
        <v>6540.00000000002</v>
      </c>
      <c r="V33" s="35">
        <f t="shared" si="1"/>
        <v>1399.9999999999773</v>
      </c>
      <c r="W33" s="35">
        <f t="shared" si="1"/>
        <v>489.99999999998067</v>
      </c>
      <c r="X33" s="35">
        <f t="shared" si="1"/>
        <v>509.99999999999091</v>
      </c>
      <c r="Y33" s="35">
        <f t="shared" si="1"/>
        <v>210.00000000000796</v>
      </c>
      <c r="Z33" s="35">
        <f t="shared" si="1"/>
        <v>160.00000000002501</v>
      </c>
      <c r="AA33" s="35">
        <f t="shared" si="1"/>
        <v>160.00000000002501</v>
      </c>
      <c r="AB33" s="35">
        <f t="shared" si="1"/>
        <v>129.99999999999545</v>
      </c>
      <c r="AC33" s="35">
        <f t="shared" si="1"/>
        <v>120.00000000000455</v>
      </c>
      <c r="AD33" s="35">
        <f t="shared" si="1"/>
        <v>110.00000000001364</v>
      </c>
      <c r="AE33" s="35">
        <f t="shared" si="1"/>
        <v>99.999999999994316</v>
      </c>
      <c r="AF33" s="17">
        <f t="shared" si="1"/>
        <v>139</v>
      </c>
      <c r="AG33" s="32">
        <f t="shared" si="1"/>
        <v>110.00000000001364</v>
      </c>
      <c r="AH33" s="32">
        <f t="shared" si="1"/>
        <v>80.000000000040927</v>
      </c>
      <c r="AI33" s="32">
        <f t="shared" si="1"/>
        <v>90.000000000003411</v>
      </c>
      <c r="AJ33" s="32">
        <f t="shared" si="1"/>
        <v>70.0000000000216</v>
      </c>
      <c r="AK33" s="32">
        <f t="shared" si="1"/>
        <v>149.99999999997726</v>
      </c>
      <c r="AL33" s="32">
        <f t="shared" si="1"/>
        <v>104</v>
      </c>
      <c r="AM33" s="32">
        <f t="shared" si="1"/>
        <v>119.99999999997613</v>
      </c>
      <c r="AN33" s="32">
        <f t="shared" si="1"/>
        <v>118</v>
      </c>
      <c r="AO33" s="32">
        <f t="shared" si="1"/>
        <v>99.999999999994316</v>
      </c>
      <c r="AP33" s="32">
        <f t="shared" si="1"/>
        <v>122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249.5</v>
      </c>
      <c r="AU33" s="17">
        <f t="shared" si="1"/>
        <v>1325</v>
      </c>
      <c r="AV33" s="17">
        <f t="shared" si="1"/>
        <v>2709.9999999999227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34.798499999999997</v>
      </c>
      <c r="BC33" s="17">
        <f t="shared" si="1"/>
        <v>16</v>
      </c>
    </row>
    <row r="35" spans="5:55" x14ac:dyDescent="0.25">
      <c r="E35" s="38">
        <f>E33/E37</f>
        <v>0.4437983013237457</v>
      </c>
      <c r="G35" s="29">
        <f>G33-M36</f>
        <v>8223.7999999995845</v>
      </c>
      <c r="AE35" s="35">
        <f>SUM(U33:AE33)</f>
        <v>9930.0000000000346</v>
      </c>
      <c r="AG35" s="32">
        <f>SUM(AG33:AP33)</f>
        <v>1064.0000000000273</v>
      </c>
    </row>
    <row r="36" spans="5:55" x14ac:dyDescent="0.25">
      <c r="G36" s="29">
        <f>G35-633*14</f>
        <v>-638.20000000041546</v>
      </c>
      <c r="M36" s="29">
        <f>M33+N33</f>
        <v>2976.2000000000698</v>
      </c>
    </row>
    <row r="37" spans="5:55" x14ac:dyDescent="0.25">
      <c r="E37" s="17">
        <f>E33+F33+G33+H33+J33-633*14</f>
        <v>26137.999999999476</v>
      </c>
      <c r="G37" s="37">
        <f>M36/E37</f>
        <v>0.11386487106894673</v>
      </c>
      <c r="M37" s="35">
        <f>AE35</f>
        <v>9930.0000000000346</v>
      </c>
    </row>
    <row r="38" spans="5:55" x14ac:dyDescent="0.25">
      <c r="L38" s="27">
        <f>M38/E37</f>
        <v>4.0707016604179684E-2</v>
      </c>
      <c r="M38" s="29">
        <f>AG35</f>
        <v>1064.0000000000273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DC14" sqref="DC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4"/>
        <v>0</v>
      </c>
      <c r="M11" s="58"/>
      <c r="N11" s="64" t="str">
        <f t="shared" si="5"/>
        <v/>
      </c>
      <c r="O11" s="58"/>
      <c r="P11" s="67" t="str">
        <f t="shared" ref="P11:P34" si="44">IF((O11-O10&lt;0), "",O11-O10)</f>
        <v/>
      </c>
      <c r="Q11" s="58"/>
      <c r="R11" s="67" t="str">
        <f t="shared" si="6"/>
        <v/>
      </c>
      <c r="S11" s="58"/>
      <c r="T11" s="67" t="str">
        <f t="shared" si="7"/>
        <v/>
      </c>
      <c r="U11" s="58"/>
      <c r="V11" s="67" t="str">
        <f t="shared" si="8"/>
        <v/>
      </c>
      <c r="W11" s="58"/>
      <c r="X11" s="65" t="str">
        <f t="shared" si="9"/>
        <v/>
      </c>
      <c r="Y11" s="58"/>
      <c r="Z11" s="65" t="str">
        <f t="shared" si="10"/>
        <v/>
      </c>
      <c r="AA11" s="58"/>
      <c r="AB11" s="65" t="str">
        <f t="shared" si="11"/>
        <v/>
      </c>
      <c r="AC11" s="58"/>
      <c r="AD11" s="65" t="str">
        <f t="shared" si="12"/>
        <v/>
      </c>
      <c r="AE11" s="58"/>
      <c r="AF11" s="65" t="str">
        <f t="shared" si="13"/>
        <v/>
      </c>
      <c r="AG11" s="58"/>
      <c r="AH11" s="67" t="str">
        <f t="shared" si="14"/>
        <v/>
      </c>
      <c r="AI11" s="58"/>
      <c r="AJ11" s="65" t="str">
        <f t="shared" si="15"/>
        <v/>
      </c>
      <c r="AK11" s="58"/>
      <c r="AL11" s="65" t="str">
        <f t="shared" si="15"/>
        <v/>
      </c>
      <c r="AM11" s="58"/>
      <c r="AN11" s="65" t="str">
        <f t="shared" si="15"/>
        <v/>
      </c>
      <c r="AO11" s="58"/>
      <c r="AP11" s="65" t="str">
        <f t="shared" si="15"/>
        <v/>
      </c>
      <c r="AQ11" s="58"/>
      <c r="AR11" s="65" t="str">
        <f t="shared" si="16"/>
        <v/>
      </c>
      <c r="AS11" s="58"/>
      <c r="AT11" s="65" t="str">
        <f t="shared" si="17"/>
        <v/>
      </c>
      <c r="AU11" s="58"/>
      <c r="AV11" s="65" t="str">
        <f t="shared" si="18"/>
        <v/>
      </c>
      <c r="AW11" s="58"/>
      <c r="AX11" s="65" t="str">
        <f t="shared" si="19"/>
        <v/>
      </c>
      <c r="AY11" s="58"/>
      <c r="AZ11" s="65" t="str">
        <f t="shared" si="20"/>
        <v/>
      </c>
      <c r="BA11" s="58"/>
      <c r="BB11" s="65" t="str">
        <f t="shared" si="21"/>
        <v/>
      </c>
      <c r="BC11" s="58"/>
      <c r="BD11" s="65" t="str">
        <f>IF((BC11-BC10&lt;0), "",(BC11-BC10)*1000)</f>
        <v/>
      </c>
      <c r="BE11" s="59"/>
      <c r="BF11" s="67" t="str">
        <f t="shared" si="39"/>
        <v/>
      </c>
      <c r="BG11" s="60"/>
      <c r="BH11" s="65" t="str">
        <f t="shared" si="23"/>
        <v/>
      </c>
      <c r="BI11" s="60"/>
      <c r="BJ11" s="65" t="str">
        <f t="shared" si="40"/>
        <v/>
      </c>
      <c r="BK11" s="60"/>
      <c r="BL11" s="65" t="str">
        <f t="shared" si="24"/>
        <v/>
      </c>
      <c r="BM11" s="60"/>
      <c r="BN11" s="65" t="str">
        <f t="shared" si="25"/>
        <v/>
      </c>
      <c r="BO11" s="60"/>
      <c r="BP11" s="65" t="str">
        <f t="shared" si="26"/>
        <v/>
      </c>
      <c r="BQ11" s="60"/>
      <c r="BR11" s="65" t="str">
        <f t="shared" si="27"/>
        <v/>
      </c>
      <c r="BS11" s="60"/>
      <c r="BT11" s="65" t="str">
        <f t="shared" si="42"/>
        <v/>
      </c>
      <c r="BU11" s="60"/>
      <c r="BV11" s="65" t="str">
        <f t="shared" si="29"/>
        <v/>
      </c>
      <c r="BW11" s="60"/>
      <c r="BX11" s="65" t="str">
        <f t="shared" si="30"/>
        <v/>
      </c>
      <c r="BY11" s="60"/>
      <c r="BZ11" s="67" t="str">
        <f t="shared" si="31"/>
        <v/>
      </c>
      <c r="CA11" s="60"/>
      <c r="CB11" s="67" t="str">
        <f t="shared" si="32"/>
        <v/>
      </c>
      <c r="CC11" s="60"/>
      <c r="CD11" s="67" t="str">
        <f t="shared" si="33"/>
        <v/>
      </c>
      <c r="CE11" s="60"/>
      <c r="CF11" s="67" t="str">
        <f t="shared" si="34"/>
        <v/>
      </c>
      <c r="CG11" s="60"/>
      <c r="CH11" s="67" t="str">
        <f t="shared" si="35"/>
        <v/>
      </c>
      <c r="CI11" s="60"/>
      <c r="CJ11" s="67" t="str">
        <f t="shared" si="36"/>
        <v/>
      </c>
      <c r="CK11" s="60"/>
      <c r="CL11" s="64" t="str">
        <f t="shared" si="37"/>
        <v/>
      </c>
      <c r="CM11" s="65" t="e">
        <f t="shared" si="41"/>
        <v>#VALUE!</v>
      </c>
      <c r="CN11" s="62">
        <v>0</v>
      </c>
      <c r="CO11" s="62">
        <v>0</v>
      </c>
      <c r="CP11" s="68"/>
      <c r="CQ11" s="67"/>
      <c r="CR11" s="68"/>
      <c r="CS11" s="67" t="str">
        <f t="shared" si="38"/>
        <v/>
      </c>
      <c r="CT11" s="75"/>
      <c r="CU11" s="67" t="str">
        <f t="shared" si="38"/>
        <v/>
      </c>
      <c r="CV11" s="68"/>
      <c r="CW11" s="67" t="str">
        <f t="shared" si="38"/>
        <v/>
      </c>
    </row>
    <row r="12" spans="1:102" ht="25.5" customHeight="1" thickBot="1" x14ac:dyDescent="0.45">
      <c r="A12" s="63">
        <v>44083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44084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44085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6" sqref="S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-186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2020-09-08T13:11:52Z</dcterms:modified>
</cp:coreProperties>
</file>