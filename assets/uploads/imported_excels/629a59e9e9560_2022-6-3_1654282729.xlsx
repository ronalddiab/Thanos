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2" i="7"/>
  <c r="CQ13" i="7"/>
  <c r="CQ14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<sst xmlns="http://schemas.openxmlformats.org/spreadsheetml/2006/main" count="315" uniqueCount="148">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</sst>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 t="e">
        <f>Submetering!E4+Submetering!F4+Submetering!G4+Submetering!H4+Submetering!J4-Submetering!AV4</f>
        <v>#VALUE!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 t="e">
        <f>'FS Desroches Daily'!CM6</f>
        <v>#VALUE!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0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0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36.326000000000001</v>
      </c>
      <c r="I33" s="19" t="e">
        <f>SUM(I2:I32)</f>
        <v>#VALUE!</v>
      </c>
      <c r="K33" s="19">
        <f>SUM(K2:K32)</f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 t="str">
        <f>'FS Desroches Daily'!X6</f>
        <v/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 t="str">
        <f>IF(LPG!F10-LPG!F9&lt;0,"0",(LPG!F10-LPG!F9)*1.8315)</f>
        <v>0</v>
      </c>
      <c r="AY3" s="31" t="str">
        <f>IF(LPG!G10-LPG!G9&lt;0,"0",(LPG!G10-LPG!G9)*1.8315)</f>
        <v>0</v>
      </c>
      <c r="AZ3" s="31" t="str">
        <f>IF(LPG!H10-LPG!H9&lt;0,"0",(LPG!H10-LPG!H9)*1.8315)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5999.9999999997835</v>
      </c>
      <c r="F33" s="17">
        <f t="shared" ref="F33:BC33" si="0">SUM(F2:F32)</f>
        <v>6800.0000000001392</v>
      </c>
      <c r="G33" s="17">
        <f t="shared" si="0"/>
        <v>6600.0000000006057</v>
      </c>
      <c r="H33" s="17">
        <f t="shared" si="0"/>
        <v>3200.0000000000919</v>
      </c>
      <c r="I33" s="17">
        <f t="shared" si="0"/>
        <v>4299.999999999749</v>
      </c>
      <c r="J33" s="17">
        <f t="shared" si="0"/>
        <v>3500.0000000000587</v>
      </c>
      <c r="K33" s="17">
        <f t="shared" si="0"/>
        <v>56</v>
      </c>
      <c r="L33" s="17">
        <f t="shared" si="0"/>
        <v>10</v>
      </c>
      <c r="M33" s="17">
        <f t="shared" si="0"/>
        <v>2.2000000000000455</v>
      </c>
      <c r="N33" s="17">
        <f t="shared" si="0"/>
        <v>882.09999999997672</v>
      </c>
      <c r="O33" s="17">
        <f t="shared" si="0"/>
        <v>389.99999999998636</v>
      </c>
      <c r="P33" s="17">
        <f t="shared" si="0"/>
        <v>6199.9999999997617</v>
      </c>
      <c r="Q33" s="17">
        <f t="shared" si="0"/>
        <v>700.00000000004547</v>
      </c>
      <c r="R33" s="17">
        <f t="shared" si="0"/>
        <v>939.99999999994088</v>
      </c>
      <c r="S33" s="17">
        <f t="shared" si="0"/>
        <v>1720.0000000000273</v>
      </c>
      <c r="T33" s="17">
        <f t="shared" si="0"/>
        <v>81</v>
      </c>
      <c r="U33" s="35">
        <f t="shared" si="0"/>
        <v>1620.0000000000045</v>
      </c>
      <c r="V33" s="35">
        <f t="shared" si="0"/>
        <v>600.00000000002274</v>
      </c>
      <c r="W33" s="35">
        <f t="shared" si="0"/>
        <v>120.00000000000455</v>
      </c>
      <c r="X33" s="35">
        <f t="shared" si="0"/>
        <v>439.99999999999773</v>
      </c>
      <c r="Y33" s="35">
        <f t="shared" si="0"/>
        <v>539.99999999996362</v>
      </c>
      <c r="Z33" s="35">
        <f t="shared" si="0"/>
        <v>629.99999999999545</v>
      </c>
      <c r="AA33" s="35">
        <f t="shared" si="0"/>
        <v>629.99999999999545</v>
      </c>
      <c r="AB33" s="35">
        <f t="shared" si="0"/>
        <v>379.99999999999545</v>
      </c>
      <c r="AC33" s="35">
        <f t="shared" si="0"/>
        <v>279.99999999997272</v>
      </c>
      <c r="AD33" s="35">
        <f t="shared" si="0"/>
        <v>290.00000000002046</v>
      </c>
      <c r="AE33" s="35">
        <f t="shared" si="0"/>
        <v>230.00000000001819</v>
      </c>
      <c r="AF33" s="17">
        <f t="shared" si="0"/>
        <v>55</v>
      </c>
      <c r="AG33" s="32">
        <f t="shared" si="0"/>
        <v>80.000000000012506</v>
      </c>
      <c r="AH33" s="32">
        <f t="shared" si="0"/>
        <v>60.000000000002274</v>
      </c>
      <c r="AI33" s="32">
        <f t="shared" si="0"/>
        <v>89.999999999974989</v>
      </c>
      <c r="AJ33" s="32">
        <f t="shared" si="0"/>
        <v>90.000000000003411</v>
      </c>
      <c r="AK33" s="32">
        <f t="shared" si="0"/>
        <v>120.00000000000455</v>
      </c>
      <c r="AL33" s="32">
        <f t="shared" si="0"/>
        <v>74</v>
      </c>
      <c r="AM33" s="32">
        <f t="shared" si="0"/>
        <v>99.999999999994316</v>
      </c>
      <c r="AN33" s="32">
        <f t="shared" si="0"/>
        <v>87</v>
      </c>
      <c r="AO33" s="32">
        <f t="shared" si="0"/>
        <v>90.000000000003411</v>
      </c>
      <c r="AP33" s="32">
        <f t="shared" si="0"/>
        <v>91</v>
      </c>
      <c r="AQ33" s="17">
        <f t="shared" si="0"/>
        <v>102.19999999999709</v>
      </c>
      <c r="AR33" s="17">
        <f t="shared" si="0"/>
        <v>26.200000000000728</v>
      </c>
      <c r="AS33" s="17">
        <f t="shared" si="0"/>
        <v>6.3000000000001819</v>
      </c>
      <c r="AT33" s="17">
        <f t="shared" si="0"/>
        <v>80.599999999991269</v>
      </c>
      <c r="AU33" s="17">
        <f t="shared" si="0"/>
        <v>596</v>
      </c>
      <c r="AV33" s="17">
        <f t="shared" si="0"/>
        <v>2000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7.3259999999999996</v>
      </c>
      <c r="BC33" s="17">
        <f t="shared" si="0"/>
        <v>44</v>
      </c>
    </row>
    <row r="35" spans="5:55" x14ac:dyDescent="0.25">
      <c r="E35" s="38">
        <f>E33/E37</f>
        <v>0.34806822137136251</v>
      </c>
      <c r="G35" s="29">
        <f>G33-M36</f>
        <v>5715.7000000006292</v>
      </c>
      <c r="AE35" s="35">
        <f>SUM(U33:AE33)</f>
        <v>5759.9999999999909</v>
      </c>
      <c r="AG35" s="32">
        <f>SUM(AG33:AP33)</f>
        <v>881.99999999999545</v>
      </c>
    </row>
    <row r="36" spans="5:55" x14ac:dyDescent="0.25">
      <c r="G36" s="29">
        <f>G35-633*14</f>
        <v>-3146.2999999993708</v>
      </c>
      <c r="M36" s="29">
        <f>M33+N33</f>
        <v>884.29999999997676</v>
      </c>
    </row>
    <row r="37" spans="5:55" x14ac:dyDescent="0.25">
      <c r="E37" s="17">
        <f>E33+F33+G33+H33+J33-633*14</f>
        <v>17238.00000000068</v>
      </c>
      <c r="G37" s="37">
        <f>M36/E37</f>
        <v>5.1299454693116482E-2</v>
      </c>
      <c r="M37" s="35">
        <f>AE35</f>
        <v>5759.9999999999909</v>
      </c>
    </row>
    <row r="38" spans="5:55" x14ac:dyDescent="0.25">
      <c r="L38" s="27">
        <f>M38/E37</f>
        <v>5.1166028541591871E-2</v>
      </c>
      <c r="M38" s="29">
        <f>AG35</f>
        <v>881.99999999999545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85" zoomScaleNormal="85" workbookViewId="0">
      <pane ySplit="1" topLeftCell="A2" activePane="bottomLeft" state="frozen"/>
      <selection pane="bottomLeft" activeCell="CO4" sqref="CO4:CO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/>
      <c r="D6" s="64" t="str">
        <f t="shared" si="50"/>
        <v>0</v>
      </c>
      <c r="E6" s="58"/>
      <c r="F6" s="64" t="str">
        <f t="shared" si="51"/>
        <v>0</v>
      </c>
      <c r="G6" s="58"/>
      <c r="H6" s="64" t="str">
        <f t="shared" si="52"/>
        <v>0</v>
      </c>
      <c r="I6" s="58"/>
      <c r="J6" s="64" t="str">
        <f t="shared" si="53"/>
        <v>0</v>
      </c>
      <c r="K6" s="58"/>
      <c r="L6" s="64" t="str">
        <f t="shared" si="54"/>
        <v>0</v>
      </c>
      <c r="M6" s="58"/>
      <c r="N6" s="64" t="str">
        <f t="shared" si="55"/>
        <v/>
      </c>
      <c r="O6" s="58"/>
      <c r="P6" s="67" t="str">
        <f t="shared" si="56"/>
        <v/>
      </c>
      <c r="Q6" s="58"/>
      <c r="R6" s="67" t="str">
        <f t="shared" si="57"/>
        <v/>
      </c>
      <c r="S6" s="58"/>
      <c r="T6" s="67" t="str">
        <f t="shared" si="58"/>
        <v/>
      </c>
      <c r="U6" s="58"/>
      <c r="V6" s="67" t="str">
        <f t="shared" si="59"/>
        <v/>
      </c>
      <c r="W6" s="58"/>
      <c r="X6" s="65" t="str">
        <f t="shared" si="60"/>
        <v/>
      </c>
      <c r="Y6" s="58"/>
      <c r="Z6" s="65" t="str">
        <f t="shared" si="61"/>
        <v/>
      </c>
      <c r="AA6" s="58"/>
      <c r="AB6" s="65" t="str">
        <f t="shared" si="62"/>
        <v/>
      </c>
      <c r="AC6" s="58"/>
      <c r="AD6" s="65" t="str">
        <f t="shared" si="63"/>
        <v/>
      </c>
      <c r="AE6" s="58"/>
      <c r="AF6" s="65" t="str">
        <f t="shared" si="64"/>
        <v/>
      </c>
      <c r="AG6" s="58"/>
      <c r="AH6" s="67" t="str">
        <f t="shared" si="65"/>
        <v/>
      </c>
      <c r="AI6" s="58"/>
      <c r="AJ6" s="65" t="str">
        <f t="shared" si="66"/>
        <v/>
      </c>
      <c r="AK6" s="58"/>
      <c r="AL6" s="65" t="str">
        <f t="shared" si="67"/>
        <v/>
      </c>
      <c r="AM6" s="58"/>
      <c r="AN6" s="65" t="str">
        <f t="shared" si="68"/>
        <v/>
      </c>
      <c r="AO6" s="58"/>
      <c r="AP6" s="65" t="str">
        <f t="shared" si="69"/>
        <v/>
      </c>
      <c r="AQ6" s="58"/>
      <c r="AR6" s="65" t="str">
        <f t="shared" si="70"/>
        <v/>
      </c>
      <c r="AS6" s="58"/>
      <c r="AT6" s="65" t="str">
        <f t="shared" si="71"/>
        <v/>
      </c>
      <c r="AU6" s="58"/>
      <c r="AV6" s="65" t="str">
        <f t="shared" si="72"/>
        <v/>
      </c>
      <c r="AW6" s="58"/>
      <c r="AX6" s="65" t="str">
        <f t="shared" si="73"/>
        <v/>
      </c>
      <c r="AY6" s="58"/>
      <c r="AZ6" s="65" t="str">
        <f t="shared" si="80"/>
        <v/>
      </c>
      <c r="BA6" s="58"/>
      <c r="BB6" s="65" t="str">
        <f t="shared" si="81"/>
        <v/>
      </c>
      <c r="BC6" s="58"/>
      <c r="BD6" s="65" t="str">
        <f t="shared" si="82"/>
        <v/>
      </c>
      <c r="BE6" s="59"/>
      <c r="BF6" s="67" t="str">
        <f t="shared" si="83"/>
        <v/>
      </c>
      <c r="BG6" s="60"/>
      <c r="BH6" s="65" t="str">
        <f t="shared" si="84"/>
        <v/>
      </c>
      <c r="BI6" s="60"/>
      <c r="BJ6" s="65" t="str">
        <f t="shared" si="85"/>
        <v/>
      </c>
      <c r="BK6" s="60"/>
      <c r="BL6" s="65" t="str">
        <f t="shared" si="86"/>
        <v/>
      </c>
      <c r="BM6" s="60"/>
      <c r="BN6" s="65" t="str">
        <f t="shared" si="87"/>
        <v/>
      </c>
      <c r="BO6" s="60"/>
      <c r="BP6" s="65" t="str">
        <f t="shared" si="88"/>
        <v/>
      </c>
      <c r="BQ6" s="60"/>
      <c r="BR6" s="65" t="str">
        <f t="shared" si="89"/>
        <v/>
      </c>
      <c r="BS6" s="60"/>
      <c r="BT6" s="65" t="str">
        <f t="shared" si="90"/>
        <v/>
      </c>
      <c r="BU6" s="60"/>
      <c r="BV6" s="65" t="str">
        <f t="shared" si="91"/>
        <v/>
      </c>
      <c r="BW6" s="60"/>
      <c r="BX6" s="65" t="str">
        <f t="shared" si="92"/>
        <v/>
      </c>
      <c r="BY6" s="60"/>
      <c r="BZ6" s="67" t="str">
        <f t="shared" si="93"/>
        <v/>
      </c>
      <c r="CA6" s="60"/>
      <c r="CB6" s="67" t="str">
        <f t="shared" si="94"/>
        <v/>
      </c>
      <c r="CC6" s="60"/>
      <c r="CD6" s="67" t="str">
        <f t="shared" si="95"/>
        <v/>
      </c>
      <c r="CE6" s="60"/>
      <c r="CF6" s="67" t="str">
        <f t="shared" si="96"/>
        <v/>
      </c>
      <c r="CG6" s="60"/>
      <c r="CH6" s="67" t="str">
        <f t="shared" si="97"/>
        <v/>
      </c>
      <c r="CI6" s="60"/>
      <c r="CJ6" s="67" t="str">
        <f t="shared" si="98"/>
        <v/>
      </c>
      <c r="CK6" s="60"/>
      <c r="CL6" s="64" t="str">
        <f t="shared" si="74"/>
        <v/>
      </c>
      <c r="CM6" s="65" t="e">
        <f t="shared" si="75"/>
        <v>#VALUE!</v>
      </c>
      <c r="CN6" s="62"/>
      <c r="CO6" s="62"/>
      <c r="CP6" s="68"/>
      <c r="CQ6" s="67" t="str">
        <f t="shared" si="76"/>
        <v/>
      </c>
      <c r="CR6" s="68"/>
      <c r="CS6" s="67" t="str">
        <f t="shared" si="76"/>
        <v/>
      </c>
      <c r="CT6" s="75"/>
      <c r="CU6" s="67" t="str">
        <f t="shared" si="77"/>
        <v/>
      </c>
      <c r="CV6" s="68"/>
      <c r="CW6" s="67" t="str">
        <f t="shared" si="78"/>
        <v/>
      </c>
      <c r="CX6" s="58"/>
      <c r="CY6" s="67" t="str">
        <f t="shared" si="79"/>
        <v/>
      </c>
    </row>
    <row r="7" spans="1:103" ht="25.5" customHeight="1" thickBot="1" x14ac:dyDescent="0.45">
      <c r="A7" s="63">
        <v>44716</v>
      </c>
      <c r="B7" s="44"/>
      <c r="C7" s="58"/>
      <c r="D7" s="64">
        <f t="shared" si="50"/>
        <v>0</v>
      </c>
      <c r="E7" s="58"/>
      <c r="F7" s="64">
        <f t="shared" si="51"/>
        <v>0</v>
      </c>
      <c r="G7" s="58"/>
      <c r="H7" s="64">
        <f t="shared" si="52"/>
        <v>0</v>
      </c>
      <c r="I7" s="58"/>
      <c r="J7" s="64">
        <f t="shared" si="53"/>
        <v>0</v>
      </c>
      <c r="K7" s="58"/>
      <c r="L7" s="64">
        <f t="shared" si="54"/>
        <v>0</v>
      </c>
      <c r="M7" s="58"/>
      <c r="N7" s="64">
        <f t="shared" si="55"/>
        <v>0</v>
      </c>
      <c r="O7" s="58"/>
      <c r="P7" s="67">
        <f t="shared" si="56"/>
        <v>0</v>
      </c>
      <c r="Q7" s="58"/>
      <c r="R7" s="67">
        <f t="shared" si="57"/>
        <v>0</v>
      </c>
      <c r="S7" s="58"/>
      <c r="T7" s="67">
        <f t="shared" si="58"/>
        <v>0</v>
      </c>
      <c r="U7" s="58"/>
      <c r="V7" s="67">
        <f t="shared" si="59"/>
        <v>0</v>
      </c>
      <c r="W7" s="58"/>
      <c r="X7" s="65">
        <f t="shared" si="60"/>
        <v>0</v>
      </c>
      <c r="Y7" s="58"/>
      <c r="Z7" s="65">
        <f t="shared" si="61"/>
        <v>0</v>
      </c>
      <c r="AA7" s="58"/>
      <c r="AB7" s="65">
        <f t="shared" si="62"/>
        <v>0</v>
      </c>
      <c r="AC7" s="58"/>
      <c r="AD7" s="65">
        <f t="shared" si="63"/>
        <v>0</v>
      </c>
      <c r="AE7" s="58"/>
      <c r="AF7" s="65">
        <f t="shared" si="64"/>
        <v>0</v>
      </c>
      <c r="AG7" s="58"/>
      <c r="AH7" s="67">
        <f t="shared" si="65"/>
        <v>0</v>
      </c>
      <c r="AI7" s="58"/>
      <c r="AJ7" s="65">
        <f t="shared" si="66"/>
        <v>0</v>
      </c>
      <c r="AK7" s="58"/>
      <c r="AL7" s="65">
        <f t="shared" si="67"/>
        <v>0</v>
      </c>
      <c r="AM7" s="58"/>
      <c r="AN7" s="65">
        <f t="shared" si="68"/>
        <v>0</v>
      </c>
      <c r="AO7" s="58"/>
      <c r="AP7" s="65">
        <f t="shared" si="69"/>
        <v>0</v>
      </c>
      <c r="AQ7" s="58"/>
      <c r="AR7" s="65">
        <f t="shared" si="70"/>
        <v>0</v>
      </c>
      <c r="AS7" s="58"/>
      <c r="AT7" s="65">
        <f t="shared" si="71"/>
        <v>0</v>
      </c>
      <c r="AU7" s="58"/>
      <c r="AV7" s="65">
        <f t="shared" si="72"/>
        <v>0</v>
      </c>
      <c r="AW7" s="58"/>
      <c r="AX7" s="65">
        <f t="shared" si="73"/>
        <v>0</v>
      </c>
      <c r="AY7" s="58"/>
      <c r="AZ7" s="65">
        <f t="shared" si="80"/>
        <v>0</v>
      </c>
      <c r="BA7" s="58"/>
      <c r="BB7" s="65">
        <f t="shared" si="81"/>
        <v>0</v>
      </c>
      <c r="BC7" s="58"/>
      <c r="BD7" s="65">
        <f t="shared" si="82"/>
        <v>0</v>
      </c>
      <c r="BE7" s="59"/>
      <c r="BF7" s="67">
        <f t="shared" si="83"/>
        <v>0</v>
      </c>
      <c r="BG7" s="60"/>
      <c r="BH7" s="65">
        <f t="shared" si="84"/>
        <v>0</v>
      </c>
      <c r="BI7" s="60"/>
      <c r="BJ7" s="65">
        <f t="shared" si="85"/>
        <v>0</v>
      </c>
      <c r="BK7" s="60"/>
      <c r="BL7" s="65">
        <f t="shared" si="86"/>
        <v>0</v>
      </c>
      <c r="BM7" s="60"/>
      <c r="BN7" s="65">
        <f t="shared" si="87"/>
        <v>0</v>
      </c>
      <c r="BO7" s="60"/>
      <c r="BP7" s="65">
        <f t="shared" si="88"/>
        <v>0</v>
      </c>
      <c r="BQ7" s="60"/>
      <c r="BR7" s="65">
        <f t="shared" si="89"/>
        <v>0</v>
      </c>
      <c r="BS7" s="60"/>
      <c r="BT7" s="65">
        <f t="shared" si="90"/>
        <v>0</v>
      </c>
      <c r="BU7" s="60"/>
      <c r="BV7" s="65">
        <f t="shared" si="91"/>
        <v>0</v>
      </c>
      <c r="BW7" s="60"/>
      <c r="BX7" s="65">
        <f t="shared" si="92"/>
        <v>0</v>
      </c>
      <c r="BY7" s="60"/>
      <c r="BZ7" s="67">
        <f t="shared" si="93"/>
        <v>0</v>
      </c>
      <c r="CA7" s="60"/>
      <c r="CB7" s="67">
        <f t="shared" si="94"/>
        <v>0</v>
      </c>
      <c r="CC7" s="60"/>
      <c r="CD7" s="67">
        <f t="shared" si="95"/>
        <v>0</v>
      </c>
      <c r="CE7" s="60"/>
      <c r="CF7" s="67">
        <f t="shared" si="96"/>
        <v>0</v>
      </c>
      <c r="CG7" s="60"/>
      <c r="CH7" s="67">
        <f t="shared" si="97"/>
        <v>0</v>
      </c>
      <c r="CI7" s="60"/>
      <c r="CJ7" s="67">
        <f t="shared" si="98"/>
        <v>0</v>
      </c>
      <c r="CK7" s="60"/>
      <c r="CL7" s="64">
        <f t="shared" si="74"/>
        <v>0</v>
      </c>
      <c r="CM7" s="65">
        <f t="shared" si="75"/>
        <v>0</v>
      </c>
      <c r="CN7" s="62"/>
      <c r="CO7" s="62"/>
      <c r="CP7" s="68"/>
      <c r="CQ7" s="67">
        <f t="shared" si="76"/>
        <v>0</v>
      </c>
      <c r="CR7" s="68"/>
      <c r="CS7" s="67">
        <f t="shared" si="76"/>
        <v>0</v>
      </c>
      <c r="CT7" s="75"/>
      <c r="CU7" s="67">
        <f t="shared" si="77"/>
        <v>0</v>
      </c>
      <c r="CV7" s="68"/>
      <c r="CW7" s="67">
        <f t="shared" si="78"/>
        <v>0</v>
      </c>
      <c r="CX7" s="58"/>
      <c r="CY7" s="67">
        <f t="shared" si="79"/>
        <v>0</v>
      </c>
    </row>
    <row r="8" spans="1:103" ht="25.5" customHeight="1" thickBot="1" x14ac:dyDescent="0.45">
      <c r="A8" s="63">
        <v>44717</v>
      </c>
      <c r="B8" s="44"/>
      <c r="C8" s="58"/>
      <c r="D8" s="64">
        <f t="shared" si="50"/>
        <v>0</v>
      </c>
      <c r="E8" s="58"/>
      <c r="F8" s="64">
        <f t="shared" si="51"/>
        <v>0</v>
      </c>
      <c r="G8" s="58"/>
      <c r="H8" s="64">
        <f t="shared" si="52"/>
        <v>0</v>
      </c>
      <c r="I8" s="58"/>
      <c r="J8" s="64">
        <f t="shared" si="53"/>
        <v>0</v>
      </c>
      <c r="K8" s="58"/>
      <c r="L8" s="64">
        <f t="shared" si="54"/>
        <v>0</v>
      </c>
      <c r="M8" s="58"/>
      <c r="N8" s="64">
        <f t="shared" si="55"/>
        <v>0</v>
      </c>
      <c r="O8" s="58"/>
      <c r="P8" s="67">
        <f t="shared" si="56"/>
        <v>0</v>
      </c>
      <c r="Q8" s="58"/>
      <c r="R8" s="67">
        <f t="shared" si="57"/>
        <v>0</v>
      </c>
      <c r="S8" s="58"/>
      <c r="T8" s="67">
        <f t="shared" si="58"/>
        <v>0</v>
      </c>
      <c r="U8" s="58"/>
      <c r="V8" s="67">
        <f t="shared" si="59"/>
        <v>0</v>
      </c>
      <c r="W8" s="58"/>
      <c r="X8" s="65">
        <f t="shared" si="60"/>
        <v>0</v>
      </c>
      <c r="Y8" s="58"/>
      <c r="Z8" s="65">
        <f t="shared" si="61"/>
        <v>0</v>
      </c>
      <c r="AA8" s="58"/>
      <c r="AB8" s="65">
        <f t="shared" si="62"/>
        <v>0</v>
      </c>
      <c r="AC8" s="58"/>
      <c r="AD8" s="65">
        <f t="shared" si="63"/>
        <v>0</v>
      </c>
      <c r="AE8" s="58"/>
      <c r="AF8" s="65">
        <f t="shared" si="64"/>
        <v>0</v>
      </c>
      <c r="AG8" s="58"/>
      <c r="AH8" s="67">
        <f t="shared" si="65"/>
        <v>0</v>
      </c>
      <c r="AI8" s="58"/>
      <c r="AJ8" s="65">
        <f t="shared" si="66"/>
        <v>0</v>
      </c>
      <c r="AK8" s="58"/>
      <c r="AL8" s="65">
        <f t="shared" si="67"/>
        <v>0</v>
      </c>
      <c r="AM8" s="58"/>
      <c r="AN8" s="65">
        <f t="shared" si="68"/>
        <v>0</v>
      </c>
      <c r="AO8" s="58"/>
      <c r="AP8" s="65">
        <f t="shared" si="69"/>
        <v>0</v>
      </c>
      <c r="AQ8" s="58"/>
      <c r="AR8" s="65">
        <f t="shared" si="70"/>
        <v>0</v>
      </c>
      <c r="AS8" s="58"/>
      <c r="AT8" s="65">
        <f t="shared" si="71"/>
        <v>0</v>
      </c>
      <c r="AU8" s="58"/>
      <c r="AV8" s="65">
        <f t="shared" si="72"/>
        <v>0</v>
      </c>
      <c r="AW8" s="58"/>
      <c r="AX8" s="65">
        <f t="shared" si="73"/>
        <v>0</v>
      </c>
      <c r="AY8" s="58"/>
      <c r="AZ8" s="65">
        <f t="shared" si="80"/>
        <v>0</v>
      </c>
      <c r="BA8" s="58"/>
      <c r="BB8" s="65">
        <f t="shared" si="81"/>
        <v>0</v>
      </c>
      <c r="BC8" s="58"/>
      <c r="BD8" s="65">
        <f t="shared" si="82"/>
        <v>0</v>
      </c>
      <c r="BE8" s="59"/>
      <c r="BF8" s="67">
        <f t="shared" si="83"/>
        <v>0</v>
      </c>
      <c r="BG8" s="60"/>
      <c r="BH8" s="65">
        <f t="shared" si="84"/>
        <v>0</v>
      </c>
      <c r="BI8" s="60"/>
      <c r="BJ8" s="65">
        <f t="shared" si="85"/>
        <v>0</v>
      </c>
      <c r="BK8" s="60"/>
      <c r="BL8" s="65">
        <f t="shared" si="86"/>
        <v>0</v>
      </c>
      <c r="BM8" s="60"/>
      <c r="BN8" s="65">
        <f t="shared" si="87"/>
        <v>0</v>
      </c>
      <c r="BO8" s="60"/>
      <c r="BP8" s="65">
        <f t="shared" si="88"/>
        <v>0</v>
      </c>
      <c r="BQ8" s="60"/>
      <c r="BR8" s="65">
        <f t="shared" si="89"/>
        <v>0</v>
      </c>
      <c r="BS8" s="60"/>
      <c r="BT8" s="65">
        <f t="shared" si="90"/>
        <v>0</v>
      </c>
      <c r="BU8" s="60"/>
      <c r="BV8" s="65">
        <f t="shared" si="91"/>
        <v>0</v>
      </c>
      <c r="BW8" s="60"/>
      <c r="BX8" s="65">
        <f t="shared" si="92"/>
        <v>0</v>
      </c>
      <c r="BY8" s="60"/>
      <c r="BZ8" s="67">
        <f t="shared" si="93"/>
        <v>0</v>
      </c>
      <c r="CA8" s="60"/>
      <c r="CB8" s="67">
        <f t="shared" si="94"/>
        <v>0</v>
      </c>
      <c r="CC8" s="60"/>
      <c r="CD8" s="67">
        <f t="shared" si="95"/>
        <v>0</v>
      </c>
      <c r="CE8" s="60"/>
      <c r="CF8" s="67">
        <f t="shared" si="96"/>
        <v>0</v>
      </c>
      <c r="CG8" s="60"/>
      <c r="CH8" s="67">
        <f t="shared" si="97"/>
        <v>0</v>
      </c>
      <c r="CI8" s="60"/>
      <c r="CJ8" s="67">
        <f t="shared" si="98"/>
        <v>0</v>
      </c>
      <c r="CK8" s="60"/>
      <c r="CL8" s="64">
        <f t="shared" si="74"/>
        <v>0</v>
      </c>
      <c r="CM8" s="65">
        <f t="shared" si="75"/>
        <v>0</v>
      </c>
      <c r="CN8" s="62"/>
      <c r="CO8" s="62"/>
      <c r="CP8" s="68"/>
      <c r="CQ8" s="67">
        <f t="shared" si="76"/>
        <v>0</v>
      </c>
      <c r="CR8" s="68"/>
      <c r="CS8" s="67">
        <f t="shared" si="76"/>
        <v>0</v>
      </c>
      <c r="CT8" s="75"/>
      <c r="CU8" s="67">
        <f t="shared" si="77"/>
        <v>0</v>
      </c>
      <c r="CV8" s="68"/>
      <c r="CW8" s="67">
        <f t="shared" si="78"/>
        <v>0</v>
      </c>
      <c r="CX8" s="58"/>
      <c r="CY8" s="67">
        <f t="shared" si="79"/>
        <v>0</v>
      </c>
    </row>
    <row r="9" spans="1:103" ht="25.5" customHeight="1" thickBot="1" x14ac:dyDescent="0.45">
      <c r="A9" s="63">
        <v>44718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80"/>
        <v>0</v>
      </c>
      <c r="BA9" s="58"/>
      <c r="BB9" s="65">
        <f t="shared" si="81"/>
        <v>0</v>
      </c>
      <c r="BC9" s="58"/>
      <c r="BD9" s="65">
        <f t="shared" si="82"/>
        <v>0</v>
      </c>
      <c r="BE9" s="59"/>
      <c r="BF9" s="67">
        <f t="shared" si="83"/>
        <v>0</v>
      </c>
      <c r="BG9" s="60"/>
      <c r="BH9" s="65">
        <f t="shared" si="84"/>
        <v>0</v>
      </c>
      <c r="BI9" s="60"/>
      <c r="BJ9" s="65">
        <f t="shared" si="85"/>
        <v>0</v>
      </c>
      <c r="BK9" s="60"/>
      <c r="BL9" s="65">
        <f t="shared" si="86"/>
        <v>0</v>
      </c>
      <c r="BM9" s="60"/>
      <c r="BN9" s="65">
        <f t="shared" si="87"/>
        <v>0</v>
      </c>
      <c r="BO9" s="60"/>
      <c r="BP9" s="65">
        <f t="shared" si="88"/>
        <v>0</v>
      </c>
      <c r="BQ9" s="60"/>
      <c r="BR9" s="65">
        <f t="shared" si="89"/>
        <v>0</v>
      </c>
      <c r="BS9" s="60"/>
      <c r="BT9" s="65">
        <f t="shared" si="90"/>
        <v>0</v>
      </c>
      <c r="BU9" s="60"/>
      <c r="BV9" s="65">
        <f t="shared" si="91"/>
        <v>0</v>
      </c>
      <c r="BW9" s="60"/>
      <c r="BX9" s="65">
        <f t="shared" si="92"/>
        <v>0</v>
      </c>
      <c r="BY9" s="60"/>
      <c r="BZ9" s="67">
        <f t="shared" si="93"/>
        <v>0</v>
      </c>
      <c r="CA9" s="60"/>
      <c r="CB9" s="67">
        <f t="shared" si="94"/>
        <v>0</v>
      </c>
      <c r="CC9" s="60"/>
      <c r="CD9" s="67">
        <f t="shared" si="95"/>
        <v>0</v>
      </c>
      <c r="CE9" s="60"/>
      <c r="CF9" s="67">
        <f t="shared" si="96"/>
        <v>0</v>
      </c>
      <c r="CG9" s="60"/>
      <c r="CH9" s="67">
        <f t="shared" si="97"/>
        <v>0</v>
      </c>
      <c r="CI9" s="60"/>
      <c r="CJ9" s="67">
        <f t="shared" si="98"/>
        <v>0</v>
      </c>
      <c r="CK9" s="60"/>
      <c r="CL9" s="64">
        <f t="shared" si="74"/>
        <v>0</v>
      </c>
      <c r="CM9" s="65">
        <f t="shared" si="75"/>
        <v>0</v>
      </c>
      <c r="CN9" s="62"/>
      <c r="CO9" s="62"/>
      <c r="CP9" s="68"/>
      <c r="CQ9" s="67">
        <f t="shared" si="76"/>
        <v>0</v>
      </c>
      <c r="CR9" s="68"/>
      <c r="CS9" s="67">
        <f t="shared" si="76"/>
        <v>0</v>
      </c>
      <c r="CT9" s="75"/>
      <c r="CU9" s="67">
        <f t="shared" si="77"/>
        <v>0</v>
      </c>
      <c r="CV9" s="68"/>
      <c r="CW9" s="67">
        <f t="shared" si="78"/>
        <v>0</v>
      </c>
      <c r="CX9" s="58"/>
      <c r="CY9" s="67">
        <f t="shared" si="79"/>
        <v>0</v>
      </c>
    </row>
    <row r="10" spans="1:103" ht="25.5" customHeight="1" thickBot="1" x14ac:dyDescent="0.45">
      <c r="A10" s="63">
        <v>44719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80"/>
        <v>0</v>
      </c>
      <c r="BA10" s="58"/>
      <c r="BB10" s="65">
        <f t="shared" si="81"/>
        <v>0</v>
      </c>
      <c r="BC10" s="58"/>
      <c r="BD10" s="65">
        <f t="shared" si="82"/>
        <v>0</v>
      </c>
      <c r="BE10" s="59"/>
      <c r="BF10" s="67">
        <f t="shared" si="83"/>
        <v>0</v>
      </c>
      <c r="BG10" s="60"/>
      <c r="BH10" s="65">
        <f t="shared" si="84"/>
        <v>0</v>
      </c>
      <c r="BI10" s="60"/>
      <c r="BJ10" s="65">
        <f t="shared" si="85"/>
        <v>0</v>
      </c>
      <c r="BK10" s="60"/>
      <c r="BL10" s="65">
        <f t="shared" si="86"/>
        <v>0</v>
      </c>
      <c r="BM10" s="60"/>
      <c r="BN10" s="65">
        <f t="shared" si="87"/>
        <v>0</v>
      </c>
      <c r="BO10" s="60"/>
      <c r="BP10" s="65">
        <f t="shared" si="88"/>
        <v>0</v>
      </c>
      <c r="BQ10" s="60"/>
      <c r="BR10" s="65">
        <f t="shared" si="89"/>
        <v>0</v>
      </c>
      <c r="BS10" s="60"/>
      <c r="BT10" s="65">
        <f t="shared" si="90"/>
        <v>0</v>
      </c>
      <c r="BU10" s="60"/>
      <c r="BV10" s="65">
        <f t="shared" si="91"/>
        <v>0</v>
      </c>
      <c r="BW10" s="60"/>
      <c r="BX10" s="65">
        <f t="shared" si="92"/>
        <v>0</v>
      </c>
      <c r="BY10" s="60"/>
      <c r="BZ10" s="67">
        <f t="shared" si="93"/>
        <v>0</v>
      </c>
      <c r="CA10" s="60"/>
      <c r="CB10" s="67">
        <f t="shared" si="94"/>
        <v>0</v>
      </c>
      <c r="CC10" s="60"/>
      <c r="CD10" s="67">
        <f t="shared" si="95"/>
        <v>0</v>
      </c>
      <c r="CE10" s="60"/>
      <c r="CF10" s="67">
        <f t="shared" si="96"/>
        <v>0</v>
      </c>
      <c r="CG10" s="60"/>
      <c r="CH10" s="67">
        <f t="shared" si="97"/>
        <v>0</v>
      </c>
      <c r="CI10" s="60"/>
      <c r="CJ10" s="67">
        <f t="shared" si="98"/>
        <v>0</v>
      </c>
      <c r="CK10" s="60"/>
      <c r="CL10" s="64">
        <f t="shared" si="74"/>
        <v>0</v>
      </c>
      <c r="CM10" s="65">
        <f t="shared" si="75"/>
        <v>0</v>
      </c>
      <c r="CN10" s="62"/>
      <c r="CO10" s="62"/>
      <c r="CP10" s="68"/>
      <c r="CQ10" s="67">
        <f t="shared" si="76"/>
        <v>0</v>
      </c>
      <c r="CR10" s="68"/>
      <c r="CS10" s="67">
        <f t="shared" si="76"/>
        <v>0</v>
      </c>
      <c r="CT10" s="75"/>
      <c r="CU10" s="67">
        <f t="shared" si="77"/>
        <v>0</v>
      </c>
      <c r="CV10" s="68"/>
      <c r="CW10" s="67">
        <f t="shared" si="78"/>
        <v>0</v>
      </c>
      <c r="CX10" s="58"/>
      <c r="CY10" s="67">
        <f t="shared" si="79"/>
        <v>0</v>
      </c>
    </row>
    <row r="11" spans="1:103" ht="25.5" customHeight="1" thickBot="1" x14ac:dyDescent="0.45">
      <c r="A11" s="63">
        <v>44720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80"/>
        <v>0</v>
      </c>
      <c r="BA11" s="58"/>
      <c r="BB11" s="65">
        <f t="shared" si="81"/>
        <v>0</v>
      </c>
      <c r="BC11" s="58"/>
      <c r="BD11" s="65">
        <f t="shared" si="82"/>
        <v>0</v>
      </c>
      <c r="BE11" s="59"/>
      <c r="BF11" s="67">
        <f t="shared" si="83"/>
        <v>0</v>
      </c>
      <c r="BG11" s="60"/>
      <c r="BH11" s="65">
        <f t="shared" si="84"/>
        <v>0</v>
      </c>
      <c r="BI11" s="60"/>
      <c r="BJ11" s="65">
        <f t="shared" si="85"/>
        <v>0</v>
      </c>
      <c r="BK11" s="60"/>
      <c r="BL11" s="65">
        <f t="shared" si="86"/>
        <v>0</v>
      </c>
      <c r="BM11" s="60"/>
      <c r="BN11" s="65">
        <f t="shared" si="87"/>
        <v>0</v>
      </c>
      <c r="BO11" s="60"/>
      <c r="BP11" s="65">
        <f t="shared" si="88"/>
        <v>0</v>
      </c>
      <c r="BQ11" s="60"/>
      <c r="BR11" s="65">
        <f t="shared" si="89"/>
        <v>0</v>
      </c>
      <c r="BS11" s="60"/>
      <c r="BT11" s="65">
        <f t="shared" si="90"/>
        <v>0</v>
      </c>
      <c r="BU11" s="60"/>
      <c r="BV11" s="65">
        <f t="shared" si="91"/>
        <v>0</v>
      </c>
      <c r="BW11" s="60"/>
      <c r="BX11" s="65">
        <f t="shared" si="92"/>
        <v>0</v>
      </c>
      <c r="BY11" s="60"/>
      <c r="BZ11" s="67">
        <f t="shared" si="93"/>
        <v>0</v>
      </c>
      <c r="CA11" s="60"/>
      <c r="CB11" s="67">
        <f t="shared" si="94"/>
        <v>0</v>
      </c>
      <c r="CC11" s="60"/>
      <c r="CD11" s="67">
        <f t="shared" si="95"/>
        <v>0</v>
      </c>
      <c r="CE11" s="60"/>
      <c r="CF11" s="67">
        <f t="shared" si="96"/>
        <v>0</v>
      </c>
      <c r="CG11" s="60"/>
      <c r="CH11" s="67">
        <f t="shared" si="97"/>
        <v>0</v>
      </c>
      <c r="CI11" s="60"/>
      <c r="CJ11" s="67">
        <f t="shared" si="98"/>
        <v>0</v>
      </c>
      <c r="CK11" s="60"/>
      <c r="CL11" s="64">
        <f t="shared" si="74"/>
        <v>0</v>
      </c>
      <c r="CM11" s="65">
        <f t="shared" si="75"/>
        <v>0</v>
      </c>
      <c r="CN11" s="62"/>
      <c r="CO11" s="62"/>
      <c r="CP11" s="68"/>
      <c r="CQ11" s="67">
        <f t="shared" si="76"/>
        <v>0</v>
      </c>
      <c r="CR11" s="68"/>
      <c r="CS11" s="67">
        <f t="shared" si="76"/>
        <v>0</v>
      </c>
      <c r="CT11" s="75"/>
      <c r="CU11" s="67">
        <f t="shared" si="77"/>
        <v>0</v>
      </c>
      <c r="CV11" s="68"/>
      <c r="CW11" s="67">
        <f t="shared" si="78"/>
        <v>0</v>
      </c>
      <c r="CX11" s="58"/>
      <c r="CY11" s="67">
        <f t="shared" si="79"/>
        <v>0</v>
      </c>
    </row>
    <row r="12" spans="1:103" ht="25.5" customHeight="1" thickBot="1" x14ac:dyDescent="0.45">
      <c r="A12" s="63">
        <v>44721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80"/>
        <v>0</v>
      </c>
      <c r="BA12" s="58"/>
      <c r="BB12" s="65">
        <f t="shared" si="81"/>
        <v>0</v>
      </c>
      <c r="BC12" s="58"/>
      <c r="BD12" s="65">
        <f t="shared" si="82"/>
        <v>0</v>
      </c>
      <c r="BE12" s="59"/>
      <c r="BF12" s="67">
        <f t="shared" si="83"/>
        <v>0</v>
      </c>
      <c r="BG12" s="60"/>
      <c r="BH12" s="65">
        <f t="shared" si="84"/>
        <v>0</v>
      </c>
      <c r="BI12" s="60"/>
      <c r="BJ12" s="65">
        <f t="shared" si="85"/>
        <v>0</v>
      </c>
      <c r="BK12" s="60"/>
      <c r="BL12" s="65">
        <f t="shared" si="86"/>
        <v>0</v>
      </c>
      <c r="BM12" s="60"/>
      <c r="BN12" s="65">
        <f t="shared" si="87"/>
        <v>0</v>
      </c>
      <c r="BO12" s="60"/>
      <c r="BP12" s="65">
        <f t="shared" si="88"/>
        <v>0</v>
      </c>
      <c r="BQ12" s="60"/>
      <c r="BR12" s="65">
        <f t="shared" si="89"/>
        <v>0</v>
      </c>
      <c r="BS12" s="60"/>
      <c r="BT12" s="65">
        <f t="shared" si="90"/>
        <v>0</v>
      </c>
      <c r="BU12" s="60"/>
      <c r="BV12" s="65">
        <f t="shared" si="91"/>
        <v>0</v>
      </c>
      <c r="BW12" s="60"/>
      <c r="BX12" s="65">
        <f t="shared" si="92"/>
        <v>0</v>
      </c>
      <c r="BY12" s="60"/>
      <c r="BZ12" s="67">
        <f t="shared" si="93"/>
        <v>0</v>
      </c>
      <c r="CA12" s="60"/>
      <c r="CB12" s="67">
        <f t="shared" si="94"/>
        <v>0</v>
      </c>
      <c r="CC12" s="60"/>
      <c r="CD12" s="67">
        <f t="shared" si="95"/>
        <v>0</v>
      </c>
      <c r="CE12" s="60"/>
      <c r="CF12" s="67">
        <f t="shared" si="96"/>
        <v>0</v>
      </c>
      <c r="CG12" s="60"/>
      <c r="CH12" s="67">
        <f t="shared" si="97"/>
        <v>0</v>
      </c>
      <c r="CI12" s="60"/>
      <c r="CJ12" s="67">
        <f t="shared" si="98"/>
        <v>0</v>
      </c>
      <c r="CK12" s="60"/>
      <c r="CL12" s="64">
        <f t="shared" si="74"/>
        <v>0</v>
      </c>
      <c r="CM12" s="65">
        <f t="shared" si="75"/>
        <v>0</v>
      </c>
      <c r="CN12" s="62"/>
      <c r="CO12" s="62"/>
      <c r="CP12" s="68"/>
      <c r="CQ12" s="67">
        <f t="shared" si="76"/>
        <v>0</v>
      </c>
      <c r="CR12" s="68"/>
      <c r="CS12" s="67">
        <f t="shared" si="76"/>
        <v>0</v>
      </c>
      <c r="CT12" s="75"/>
      <c r="CU12" s="67">
        <f t="shared" si="77"/>
        <v>0</v>
      </c>
      <c r="CV12" s="68"/>
      <c r="CW12" s="67">
        <f t="shared" si="78"/>
        <v>0</v>
      </c>
      <c r="CX12" s="58"/>
      <c r="CY12" s="67">
        <f t="shared" si="79"/>
        <v>0</v>
      </c>
    </row>
    <row r="13" spans="1:103" ht="25.5" customHeight="1" thickBot="1" x14ac:dyDescent="0.45">
      <c r="A13" s="63">
        <v>44722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80"/>
        <v>0</v>
      </c>
      <c r="BA13" s="58"/>
      <c r="BB13" s="65">
        <f t="shared" si="81"/>
        <v>0</v>
      </c>
      <c r="BC13" s="58"/>
      <c r="BD13" s="65">
        <f t="shared" si="82"/>
        <v>0</v>
      </c>
      <c r="BE13" s="59"/>
      <c r="BF13" s="67">
        <f t="shared" si="83"/>
        <v>0</v>
      </c>
      <c r="BG13" s="60"/>
      <c r="BH13" s="65">
        <f t="shared" si="84"/>
        <v>0</v>
      </c>
      <c r="BI13" s="60"/>
      <c r="BJ13" s="65">
        <f t="shared" si="85"/>
        <v>0</v>
      </c>
      <c r="BK13" s="60"/>
      <c r="BL13" s="65">
        <f t="shared" si="86"/>
        <v>0</v>
      </c>
      <c r="BM13" s="60"/>
      <c r="BN13" s="65">
        <f t="shared" si="87"/>
        <v>0</v>
      </c>
      <c r="BO13" s="60"/>
      <c r="BP13" s="65">
        <f t="shared" si="88"/>
        <v>0</v>
      </c>
      <c r="BQ13" s="60"/>
      <c r="BR13" s="65">
        <f t="shared" si="89"/>
        <v>0</v>
      </c>
      <c r="BS13" s="60"/>
      <c r="BT13" s="65">
        <f t="shared" si="90"/>
        <v>0</v>
      </c>
      <c r="BU13" s="60"/>
      <c r="BV13" s="65">
        <f t="shared" si="91"/>
        <v>0</v>
      </c>
      <c r="BW13" s="60"/>
      <c r="BX13" s="65">
        <f t="shared" si="92"/>
        <v>0</v>
      </c>
      <c r="BY13" s="60"/>
      <c r="BZ13" s="67">
        <f t="shared" si="93"/>
        <v>0</v>
      </c>
      <c r="CA13" s="60"/>
      <c r="CB13" s="67">
        <f t="shared" si="94"/>
        <v>0</v>
      </c>
      <c r="CC13" s="60"/>
      <c r="CD13" s="67">
        <f t="shared" si="95"/>
        <v>0</v>
      </c>
      <c r="CE13" s="60"/>
      <c r="CF13" s="67">
        <f t="shared" si="96"/>
        <v>0</v>
      </c>
      <c r="CG13" s="60"/>
      <c r="CH13" s="67">
        <f t="shared" si="97"/>
        <v>0</v>
      </c>
      <c r="CI13" s="60"/>
      <c r="CJ13" s="67">
        <f t="shared" si="98"/>
        <v>0</v>
      </c>
      <c r="CK13" s="60"/>
      <c r="CL13" s="64">
        <f t="shared" si="74"/>
        <v>0</v>
      </c>
      <c r="CM13" s="65">
        <f t="shared" si="75"/>
        <v>0</v>
      </c>
      <c r="CN13" s="62"/>
      <c r="CO13" s="62"/>
      <c r="CP13" s="68"/>
      <c r="CQ13" s="67">
        <f t="shared" si="76"/>
        <v>0</v>
      </c>
      <c r="CR13" s="68"/>
      <c r="CS13" s="67">
        <f t="shared" si="76"/>
        <v>0</v>
      </c>
      <c r="CT13" s="75"/>
      <c r="CU13" s="67">
        <f t="shared" si="77"/>
        <v>0</v>
      </c>
      <c r="CV13" s="68"/>
      <c r="CW13" s="67">
        <f t="shared" si="78"/>
        <v>0</v>
      </c>
      <c r="CX13" s="58"/>
      <c r="CY13" s="67">
        <f t="shared" si="79"/>
        <v>0</v>
      </c>
    </row>
    <row r="14" spans="1:103" ht="25.5" customHeight="1" thickBot="1" x14ac:dyDescent="0.45">
      <c r="A14" s="63">
        <v>44723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80"/>
        <v>0</v>
      </c>
      <c r="BA14" s="58"/>
      <c r="BB14" s="65">
        <f t="shared" si="81"/>
        <v>0</v>
      </c>
      <c r="BC14" s="58"/>
      <c r="BD14" s="65">
        <f t="shared" si="82"/>
        <v>0</v>
      </c>
      <c r="BE14" s="59"/>
      <c r="BF14" s="67">
        <f t="shared" si="83"/>
        <v>0</v>
      </c>
      <c r="BG14" s="60"/>
      <c r="BH14" s="65">
        <f t="shared" si="84"/>
        <v>0</v>
      </c>
      <c r="BI14" s="60"/>
      <c r="BJ14" s="65">
        <f t="shared" si="85"/>
        <v>0</v>
      </c>
      <c r="BK14" s="60"/>
      <c r="BL14" s="65">
        <f t="shared" si="86"/>
        <v>0</v>
      </c>
      <c r="BM14" s="60"/>
      <c r="BN14" s="65">
        <f t="shared" si="87"/>
        <v>0</v>
      </c>
      <c r="BO14" s="60"/>
      <c r="BP14" s="65">
        <f t="shared" si="88"/>
        <v>0</v>
      </c>
      <c r="BQ14" s="60"/>
      <c r="BR14" s="65">
        <f t="shared" si="89"/>
        <v>0</v>
      </c>
      <c r="BS14" s="60"/>
      <c r="BT14" s="65">
        <f t="shared" si="90"/>
        <v>0</v>
      </c>
      <c r="BU14" s="60"/>
      <c r="BV14" s="65">
        <f t="shared" si="91"/>
        <v>0</v>
      </c>
      <c r="BW14" s="60"/>
      <c r="BX14" s="65">
        <f t="shared" si="92"/>
        <v>0</v>
      </c>
      <c r="BY14" s="60"/>
      <c r="BZ14" s="67">
        <f t="shared" si="93"/>
        <v>0</v>
      </c>
      <c r="CA14" s="60"/>
      <c r="CB14" s="67">
        <f t="shared" si="94"/>
        <v>0</v>
      </c>
      <c r="CC14" s="60"/>
      <c r="CD14" s="67">
        <f t="shared" si="95"/>
        <v>0</v>
      </c>
      <c r="CE14" s="60"/>
      <c r="CF14" s="67">
        <f t="shared" si="96"/>
        <v>0</v>
      </c>
      <c r="CG14" s="60"/>
      <c r="CH14" s="67">
        <f t="shared" si="97"/>
        <v>0</v>
      </c>
      <c r="CI14" s="60"/>
      <c r="CJ14" s="67">
        <f t="shared" si="98"/>
        <v>0</v>
      </c>
      <c r="CK14" s="60"/>
      <c r="CL14" s="64">
        <f t="shared" si="74"/>
        <v>0</v>
      </c>
      <c r="CM14" s="65">
        <f t="shared" si="75"/>
        <v>0</v>
      </c>
      <c r="CN14" s="62"/>
      <c r="CO14" s="62"/>
      <c r="CP14" s="68"/>
      <c r="CQ14" s="67">
        <f t="shared" si="76"/>
        <v>0</v>
      </c>
      <c r="CR14" s="68"/>
      <c r="CS14" s="67">
        <f t="shared" si="76"/>
        <v>0</v>
      </c>
      <c r="CT14" s="75"/>
      <c r="CU14" s="67">
        <f t="shared" si="77"/>
        <v>0</v>
      </c>
      <c r="CV14" s="68"/>
      <c r="CW14" s="67">
        <f t="shared" si="78"/>
        <v>0</v>
      </c>
      <c r="CX14" s="58"/>
      <c r="CY14" s="67">
        <f t="shared" si="79"/>
        <v>0</v>
      </c>
    </row>
    <row r="15" spans="1:103" ht="25.5" customHeight="1" thickBot="1" x14ac:dyDescent="0.45">
      <c r="A15" s="63">
        <v>44724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80"/>
        <v>0</v>
      </c>
      <c r="BA15" s="58"/>
      <c r="BB15" s="65">
        <f t="shared" si="81"/>
        <v>0</v>
      </c>
      <c r="BC15" s="58"/>
      <c r="BD15" s="65">
        <f t="shared" si="82"/>
        <v>0</v>
      </c>
      <c r="BE15" s="59"/>
      <c r="BF15" s="67">
        <f t="shared" si="83"/>
        <v>0</v>
      </c>
      <c r="BG15" s="60"/>
      <c r="BH15" s="65">
        <f t="shared" si="84"/>
        <v>0</v>
      </c>
      <c r="BI15" s="60"/>
      <c r="BJ15" s="65">
        <f t="shared" si="85"/>
        <v>0</v>
      </c>
      <c r="BK15" s="60"/>
      <c r="BL15" s="65">
        <f t="shared" si="86"/>
        <v>0</v>
      </c>
      <c r="BM15" s="60"/>
      <c r="BN15" s="65">
        <f t="shared" si="87"/>
        <v>0</v>
      </c>
      <c r="BO15" s="60"/>
      <c r="BP15" s="65">
        <f t="shared" si="88"/>
        <v>0</v>
      </c>
      <c r="BQ15" s="60"/>
      <c r="BR15" s="65">
        <f t="shared" si="89"/>
        <v>0</v>
      </c>
      <c r="BS15" s="60"/>
      <c r="BT15" s="65">
        <f t="shared" si="90"/>
        <v>0</v>
      </c>
      <c r="BU15" s="60"/>
      <c r="BV15" s="65">
        <f t="shared" si="91"/>
        <v>0</v>
      </c>
      <c r="BW15" s="60"/>
      <c r="BX15" s="65">
        <f t="shared" si="92"/>
        <v>0</v>
      </c>
      <c r="BY15" s="60"/>
      <c r="BZ15" s="67">
        <f t="shared" si="93"/>
        <v>0</v>
      </c>
      <c r="CA15" s="60"/>
      <c r="CB15" s="67">
        <f t="shared" si="94"/>
        <v>0</v>
      </c>
      <c r="CC15" s="60"/>
      <c r="CD15" s="67">
        <f t="shared" si="95"/>
        <v>0</v>
      </c>
      <c r="CE15" s="60"/>
      <c r="CF15" s="67">
        <f t="shared" si="96"/>
        <v>0</v>
      </c>
      <c r="CG15" s="60"/>
      <c r="CH15" s="67">
        <f t="shared" si="97"/>
        <v>0</v>
      </c>
      <c r="CI15" s="60"/>
      <c r="CJ15" s="67">
        <f t="shared" si="98"/>
        <v>0</v>
      </c>
      <c r="CK15" s="60"/>
      <c r="CL15" s="64">
        <f t="shared" si="74"/>
        <v>0</v>
      </c>
      <c r="CM15" s="65">
        <f t="shared" si="75"/>
        <v>0</v>
      </c>
      <c r="CN15" s="62"/>
      <c r="CO15" s="62"/>
      <c r="CP15" s="68"/>
      <c r="CQ15" s="67">
        <f t="shared" si="76"/>
        <v>0</v>
      </c>
      <c r="CR15" s="68"/>
      <c r="CS15" s="67">
        <f t="shared" si="76"/>
        <v>0</v>
      </c>
      <c r="CT15" s="75"/>
      <c r="CU15" s="67">
        <f t="shared" si="77"/>
        <v>0</v>
      </c>
      <c r="CV15" s="68"/>
      <c r="CW15" s="67">
        <f t="shared" si="78"/>
        <v>0</v>
      </c>
      <c r="CX15" s="58"/>
      <c r="CY15" s="67">
        <f t="shared" si="79"/>
        <v>0</v>
      </c>
    </row>
    <row r="16" spans="1:103" ht="25.5" customHeight="1" thickBot="1" x14ac:dyDescent="0.45">
      <c r="A16" s="63">
        <v>44725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80"/>
        <v>0</v>
      </c>
      <c r="BA16" s="58"/>
      <c r="BB16" s="65">
        <f t="shared" si="81"/>
        <v>0</v>
      </c>
      <c r="BC16" s="58"/>
      <c r="BD16" s="65">
        <f t="shared" si="82"/>
        <v>0</v>
      </c>
      <c r="BE16" s="59"/>
      <c r="BF16" s="67">
        <f t="shared" si="83"/>
        <v>0</v>
      </c>
      <c r="BG16" s="60"/>
      <c r="BH16" s="65">
        <f t="shared" si="84"/>
        <v>0</v>
      </c>
      <c r="BI16" s="60"/>
      <c r="BJ16" s="65">
        <f t="shared" si="85"/>
        <v>0</v>
      </c>
      <c r="BK16" s="60"/>
      <c r="BL16" s="65">
        <f t="shared" si="86"/>
        <v>0</v>
      </c>
      <c r="BM16" s="60"/>
      <c r="BN16" s="65">
        <f t="shared" si="87"/>
        <v>0</v>
      </c>
      <c r="BO16" s="60"/>
      <c r="BP16" s="65">
        <f t="shared" si="88"/>
        <v>0</v>
      </c>
      <c r="BQ16" s="60"/>
      <c r="BR16" s="65">
        <f t="shared" si="89"/>
        <v>0</v>
      </c>
      <c r="BS16" s="60"/>
      <c r="BT16" s="65">
        <f t="shared" si="90"/>
        <v>0</v>
      </c>
      <c r="BU16" s="60"/>
      <c r="BV16" s="65">
        <f t="shared" si="91"/>
        <v>0</v>
      </c>
      <c r="BW16" s="60"/>
      <c r="BX16" s="65">
        <f t="shared" si="92"/>
        <v>0</v>
      </c>
      <c r="BY16" s="60"/>
      <c r="BZ16" s="67">
        <f t="shared" si="93"/>
        <v>0</v>
      </c>
      <c r="CA16" s="60"/>
      <c r="CB16" s="67">
        <f t="shared" si="94"/>
        <v>0</v>
      </c>
      <c r="CC16" s="60"/>
      <c r="CD16" s="67">
        <f t="shared" si="95"/>
        <v>0</v>
      </c>
      <c r="CE16" s="60"/>
      <c r="CF16" s="67">
        <f t="shared" si="96"/>
        <v>0</v>
      </c>
      <c r="CG16" s="60"/>
      <c r="CH16" s="67">
        <f t="shared" si="97"/>
        <v>0</v>
      </c>
      <c r="CI16" s="60"/>
      <c r="CJ16" s="67">
        <f t="shared" si="98"/>
        <v>0</v>
      </c>
      <c r="CK16" s="60"/>
      <c r="CL16" s="64">
        <f t="shared" si="74"/>
        <v>0</v>
      </c>
      <c r="CM16" s="65">
        <f t="shared" si="75"/>
        <v>0</v>
      </c>
      <c r="CN16" s="62"/>
      <c r="CO16" s="62"/>
      <c r="CP16" s="68"/>
      <c r="CQ16" s="67">
        <f t="shared" si="76"/>
        <v>0</v>
      </c>
      <c r="CR16" s="68"/>
      <c r="CS16" s="67">
        <f t="shared" si="76"/>
        <v>0</v>
      </c>
      <c r="CT16" s="75"/>
      <c r="CU16" s="67">
        <f t="shared" si="77"/>
        <v>0</v>
      </c>
      <c r="CV16" s="68"/>
      <c r="CW16" s="67">
        <f t="shared" si="78"/>
        <v>0</v>
      </c>
      <c r="CX16" s="58"/>
      <c r="CY16" s="67">
        <f t="shared" si="79"/>
        <v>0</v>
      </c>
    </row>
    <row r="17" spans="1:103" ht="25.5" customHeight="1" thickBot="1" x14ac:dyDescent="0.45">
      <c r="A17" s="63">
        <v>44726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80"/>
        <v>0</v>
      </c>
      <c r="BA17" s="58"/>
      <c r="BB17" s="65">
        <f t="shared" si="81"/>
        <v>0</v>
      </c>
      <c r="BC17" s="58"/>
      <c r="BD17" s="65">
        <f t="shared" si="82"/>
        <v>0</v>
      </c>
      <c r="BE17" s="59"/>
      <c r="BF17" s="67">
        <f t="shared" si="83"/>
        <v>0</v>
      </c>
      <c r="BG17" s="60"/>
      <c r="BH17" s="65">
        <f t="shared" si="84"/>
        <v>0</v>
      </c>
      <c r="BI17" s="60"/>
      <c r="BJ17" s="65">
        <f t="shared" si="85"/>
        <v>0</v>
      </c>
      <c r="BK17" s="60"/>
      <c r="BL17" s="65">
        <f t="shared" si="86"/>
        <v>0</v>
      </c>
      <c r="BM17" s="60"/>
      <c r="BN17" s="65">
        <f t="shared" si="87"/>
        <v>0</v>
      </c>
      <c r="BO17" s="60"/>
      <c r="BP17" s="65">
        <f t="shared" si="88"/>
        <v>0</v>
      </c>
      <c r="BQ17" s="60"/>
      <c r="BR17" s="65">
        <f t="shared" si="89"/>
        <v>0</v>
      </c>
      <c r="BS17" s="60"/>
      <c r="BT17" s="65">
        <f t="shared" si="90"/>
        <v>0</v>
      </c>
      <c r="BU17" s="60"/>
      <c r="BV17" s="65">
        <f t="shared" si="91"/>
        <v>0</v>
      </c>
      <c r="BW17" s="60"/>
      <c r="BX17" s="65">
        <f t="shared" si="92"/>
        <v>0</v>
      </c>
      <c r="BY17" s="60"/>
      <c r="BZ17" s="67">
        <f t="shared" si="93"/>
        <v>0</v>
      </c>
      <c r="CA17" s="60"/>
      <c r="CB17" s="67">
        <f t="shared" si="94"/>
        <v>0</v>
      </c>
      <c r="CC17" s="60"/>
      <c r="CD17" s="67">
        <f t="shared" si="95"/>
        <v>0</v>
      </c>
      <c r="CE17" s="60"/>
      <c r="CF17" s="67">
        <f t="shared" si="96"/>
        <v>0</v>
      </c>
      <c r="CG17" s="60"/>
      <c r="CH17" s="67">
        <f t="shared" si="97"/>
        <v>0</v>
      </c>
      <c r="CI17" s="60"/>
      <c r="CJ17" s="67">
        <f t="shared" si="98"/>
        <v>0</v>
      </c>
      <c r="CK17" s="60"/>
      <c r="CL17" s="64">
        <f t="shared" si="74"/>
        <v>0</v>
      </c>
      <c r="CM17" s="65">
        <f t="shared" si="75"/>
        <v>0</v>
      </c>
      <c r="CN17" s="62"/>
      <c r="CO17" s="62"/>
      <c r="CP17" s="68"/>
      <c r="CQ17" s="67">
        <f t="shared" ref="CQ17:CQ34" si="99">IF((CP17-CP16&lt;0), "",CP17-CP16)</f>
        <v>0</v>
      </c>
      <c r="CR17" s="68"/>
      <c r="CS17" s="67">
        <f t="shared" si="76"/>
        <v>0</v>
      </c>
      <c r="CT17" s="75"/>
      <c r="CU17" s="67">
        <f t="shared" si="77"/>
        <v>0</v>
      </c>
      <c r="CV17" s="68"/>
      <c r="CW17" s="67">
        <f t="shared" si="78"/>
        <v>0</v>
      </c>
      <c r="CX17" s="58"/>
      <c r="CY17" s="67">
        <f t="shared" si="79"/>
        <v>0</v>
      </c>
    </row>
    <row r="18" spans="1:103" ht="25.5" customHeight="1" thickBot="1" x14ac:dyDescent="0.45">
      <c r="A18" s="63">
        <v>44727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80"/>
        <v>0</v>
      </c>
      <c r="BA18" s="58"/>
      <c r="BB18" s="65">
        <f t="shared" si="81"/>
        <v>0</v>
      </c>
      <c r="BC18" s="58"/>
      <c r="BD18" s="65">
        <f t="shared" si="82"/>
        <v>0</v>
      </c>
      <c r="BE18" s="59"/>
      <c r="BF18" s="67">
        <f t="shared" si="83"/>
        <v>0</v>
      </c>
      <c r="BG18" s="60"/>
      <c r="BH18" s="65">
        <f t="shared" si="84"/>
        <v>0</v>
      </c>
      <c r="BI18" s="60"/>
      <c r="BJ18" s="65">
        <f t="shared" si="85"/>
        <v>0</v>
      </c>
      <c r="BK18" s="60"/>
      <c r="BL18" s="65">
        <f t="shared" si="86"/>
        <v>0</v>
      </c>
      <c r="BM18" s="60"/>
      <c r="BN18" s="65">
        <f t="shared" si="87"/>
        <v>0</v>
      </c>
      <c r="BO18" s="60"/>
      <c r="BP18" s="65">
        <f t="shared" si="88"/>
        <v>0</v>
      </c>
      <c r="BQ18" s="60"/>
      <c r="BR18" s="65">
        <f t="shared" si="89"/>
        <v>0</v>
      </c>
      <c r="BS18" s="60"/>
      <c r="BT18" s="65">
        <f t="shared" si="90"/>
        <v>0</v>
      </c>
      <c r="BU18" s="60"/>
      <c r="BV18" s="65">
        <f t="shared" si="91"/>
        <v>0</v>
      </c>
      <c r="BW18" s="60"/>
      <c r="BX18" s="65">
        <f t="shared" si="92"/>
        <v>0</v>
      </c>
      <c r="BY18" s="60"/>
      <c r="BZ18" s="67">
        <f t="shared" si="93"/>
        <v>0</v>
      </c>
      <c r="CA18" s="60"/>
      <c r="CB18" s="67">
        <f t="shared" si="94"/>
        <v>0</v>
      </c>
      <c r="CC18" s="60"/>
      <c r="CD18" s="67">
        <f t="shared" si="95"/>
        <v>0</v>
      </c>
      <c r="CE18" s="60"/>
      <c r="CF18" s="67">
        <f t="shared" si="96"/>
        <v>0</v>
      </c>
      <c r="CG18" s="60"/>
      <c r="CH18" s="67">
        <f t="shared" si="97"/>
        <v>0</v>
      </c>
      <c r="CI18" s="60"/>
      <c r="CJ18" s="67">
        <f t="shared" si="98"/>
        <v>0</v>
      </c>
      <c r="CK18" s="60"/>
      <c r="CL18" s="64">
        <f t="shared" si="74"/>
        <v>0</v>
      </c>
      <c r="CM18" s="65">
        <f t="shared" si="75"/>
        <v>0</v>
      </c>
      <c r="CN18" s="62"/>
      <c r="CO18" s="62"/>
      <c r="CP18" s="68"/>
      <c r="CQ18" s="67">
        <f t="shared" si="99"/>
        <v>0</v>
      </c>
      <c r="CR18" s="68"/>
      <c r="CS18" s="67">
        <f t="shared" si="76"/>
        <v>0</v>
      </c>
      <c r="CT18" s="75"/>
      <c r="CU18" s="67">
        <f t="shared" si="77"/>
        <v>0</v>
      </c>
      <c r="CV18" s="68"/>
      <c r="CW18" s="67">
        <f t="shared" si="78"/>
        <v>0</v>
      </c>
      <c r="CX18" s="58"/>
      <c r="CY18" s="67">
        <f t="shared" si="79"/>
        <v>0</v>
      </c>
    </row>
    <row r="19" spans="1:103" ht="25.5" customHeight="1" thickBot="1" x14ac:dyDescent="0.45">
      <c r="A19" s="63">
        <v>44728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80"/>
        <v>0</v>
      </c>
      <c r="BA19" s="58"/>
      <c r="BB19" s="65">
        <f t="shared" si="81"/>
        <v>0</v>
      </c>
      <c r="BC19" s="58"/>
      <c r="BD19" s="65">
        <f t="shared" si="82"/>
        <v>0</v>
      </c>
      <c r="BE19" s="59"/>
      <c r="BF19" s="67">
        <f t="shared" si="83"/>
        <v>0</v>
      </c>
      <c r="BG19" s="60"/>
      <c r="BH19" s="65">
        <f t="shared" si="84"/>
        <v>0</v>
      </c>
      <c r="BI19" s="60"/>
      <c r="BJ19" s="65">
        <f t="shared" si="85"/>
        <v>0</v>
      </c>
      <c r="BK19" s="60"/>
      <c r="BL19" s="65">
        <f t="shared" si="86"/>
        <v>0</v>
      </c>
      <c r="BM19" s="60"/>
      <c r="BN19" s="65">
        <f t="shared" si="87"/>
        <v>0</v>
      </c>
      <c r="BO19" s="60"/>
      <c r="BP19" s="65">
        <f t="shared" si="88"/>
        <v>0</v>
      </c>
      <c r="BQ19" s="60"/>
      <c r="BR19" s="65">
        <f t="shared" si="89"/>
        <v>0</v>
      </c>
      <c r="BS19" s="60"/>
      <c r="BT19" s="65">
        <f t="shared" si="90"/>
        <v>0</v>
      </c>
      <c r="BU19" s="60"/>
      <c r="BV19" s="65">
        <f t="shared" si="91"/>
        <v>0</v>
      </c>
      <c r="BW19" s="60"/>
      <c r="BX19" s="65">
        <f t="shared" si="92"/>
        <v>0</v>
      </c>
      <c r="BY19" s="60"/>
      <c r="BZ19" s="67">
        <f t="shared" si="93"/>
        <v>0</v>
      </c>
      <c r="CA19" s="60"/>
      <c r="CB19" s="67">
        <f t="shared" si="94"/>
        <v>0</v>
      </c>
      <c r="CC19" s="60"/>
      <c r="CD19" s="67">
        <f t="shared" si="95"/>
        <v>0</v>
      </c>
      <c r="CE19" s="60"/>
      <c r="CF19" s="67">
        <f t="shared" si="96"/>
        <v>0</v>
      </c>
      <c r="CG19" s="60"/>
      <c r="CH19" s="67">
        <f t="shared" si="97"/>
        <v>0</v>
      </c>
      <c r="CI19" s="60"/>
      <c r="CJ19" s="67">
        <f t="shared" si="98"/>
        <v>0</v>
      </c>
      <c r="CK19" s="60"/>
      <c r="CL19" s="64">
        <f t="shared" si="74"/>
        <v>0</v>
      </c>
      <c r="CM19" s="65">
        <f t="shared" si="75"/>
        <v>0</v>
      </c>
      <c r="CN19" s="62"/>
      <c r="CO19" s="62"/>
      <c r="CP19" s="68"/>
      <c r="CQ19" s="67">
        <f t="shared" si="99"/>
        <v>0</v>
      </c>
      <c r="CR19" s="68"/>
      <c r="CS19" s="67">
        <f t="shared" si="76"/>
        <v>0</v>
      </c>
      <c r="CT19" s="75"/>
      <c r="CU19" s="67">
        <f t="shared" si="77"/>
        <v>0</v>
      </c>
      <c r="CV19" s="68"/>
      <c r="CW19" s="67">
        <f t="shared" si="78"/>
        <v>0</v>
      </c>
      <c r="CX19" s="58"/>
      <c r="CY19" s="67">
        <f t="shared" si="79"/>
        <v>0</v>
      </c>
    </row>
    <row r="20" spans="1:103" ht="25.5" customHeight="1" thickBot="1" x14ac:dyDescent="0.45">
      <c r="A20" s="63">
        <v>44729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80"/>
        <v>0</v>
      </c>
      <c r="BA20" s="58"/>
      <c r="BB20" s="65">
        <f t="shared" si="81"/>
        <v>0</v>
      </c>
      <c r="BC20" s="58"/>
      <c r="BD20" s="65">
        <f t="shared" si="82"/>
        <v>0</v>
      </c>
      <c r="BE20" s="59"/>
      <c r="BF20" s="67">
        <f t="shared" si="83"/>
        <v>0</v>
      </c>
      <c r="BG20" s="60"/>
      <c r="BH20" s="65">
        <f t="shared" si="84"/>
        <v>0</v>
      </c>
      <c r="BI20" s="60"/>
      <c r="BJ20" s="65">
        <f t="shared" si="85"/>
        <v>0</v>
      </c>
      <c r="BK20" s="60"/>
      <c r="BL20" s="65">
        <f t="shared" si="86"/>
        <v>0</v>
      </c>
      <c r="BM20" s="60"/>
      <c r="BN20" s="65">
        <f t="shared" si="87"/>
        <v>0</v>
      </c>
      <c r="BO20" s="60"/>
      <c r="BP20" s="65">
        <f t="shared" si="88"/>
        <v>0</v>
      </c>
      <c r="BQ20" s="60"/>
      <c r="BR20" s="65">
        <f t="shared" si="89"/>
        <v>0</v>
      </c>
      <c r="BS20" s="60"/>
      <c r="BT20" s="65">
        <f t="shared" si="90"/>
        <v>0</v>
      </c>
      <c r="BU20" s="60"/>
      <c r="BV20" s="65">
        <f t="shared" si="91"/>
        <v>0</v>
      </c>
      <c r="BW20" s="60"/>
      <c r="BX20" s="65">
        <f t="shared" si="92"/>
        <v>0</v>
      </c>
      <c r="BY20" s="60"/>
      <c r="BZ20" s="67">
        <f t="shared" si="93"/>
        <v>0</v>
      </c>
      <c r="CA20" s="60"/>
      <c r="CB20" s="67">
        <f t="shared" si="94"/>
        <v>0</v>
      </c>
      <c r="CC20" s="60"/>
      <c r="CD20" s="67">
        <f t="shared" si="95"/>
        <v>0</v>
      </c>
      <c r="CE20" s="60"/>
      <c r="CF20" s="67">
        <f t="shared" si="96"/>
        <v>0</v>
      </c>
      <c r="CG20" s="60"/>
      <c r="CH20" s="67">
        <f t="shared" si="97"/>
        <v>0</v>
      </c>
      <c r="CI20" s="60"/>
      <c r="CJ20" s="67">
        <f t="shared" si="98"/>
        <v>0</v>
      </c>
      <c r="CK20" s="60"/>
      <c r="CL20" s="64">
        <f t="shared" si="74"/>
        <v>0</v>
      </c>
      <c r="CM20" s="65">
        <f t="shared" si="75"/>
        <v>0</v>
      </c>
      <c r="CN20" s="62"/>
      <c r="CO20" s="62"/>
      <c r="CP20" s="68"/>
      <c r="CQ20" s="67">
        <f t="shared" si="99"/>
        <v>0</v>
      </c>
      <c r="CR20" s="68"/>
      <c r="CS20" s="67">
        <f t="shared" si="76"/>
        <v>0</v>
      </c>
      <c r="CT20" s="75"/>
      <c r="CU20" s="67">
        <f t="shared" si="77"/>
        <v>0</v>
      </c>
      <c r="CV20" s="68"/>
      <c r="CW20" s="67">
        <f t="shared" si="78"/>
        <v>0</v>
      </c>
      <c r="CX20" s="58"/>
      <c r="CY20" s="67">
        <f t="shared" si="79"/>
        <v>0</v>
      </c>
    </row>
    <row r="21" spans="1:103" ht="25.5" customHeight="1" thickBot="1" x14ac:dyDescent="0.45">
      <c r="A21" s="63">
        <v>44730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80"/>
        <v>0</v>
      </c>
      <c r="BA21" s="58"/>
      <c r="BB21" s="65">
        <f t="shared" si="81"/>
        <v>0</v>
      </c>
      <c r="BC21" s="58"/>
      <c r="BD21" s="65">
        <f t="shared" si="82"/>
        <v>0</v>
      </c>
      <c r="BE21" s="59"/>
      <c r="BF21" s="67">
        <f t="shared" si="83"/>
        <v>0</v>
      </c>
      <c r="BG21" s="60"/>
      <c r="BH21" s="65">
        <f t="shared" si="84"/>
        <v>0</v>
      </c>
      <c r="BI21" s="60"/>
      <c r="BJ21" s="65">
        <f t="shared" si="85"/>
        <v>0</v>
      </c>
      <c r="BK21" s="60"/>
      <c r="BL21" s="65">
        <f t="shared" si="86"/>
        <v>0</v>
      </c>
      <c r="BM21" s="60"/>
      <c r="BN21" s="65">
        <f t="shared" si="87"/>
        <v>0</v>
      </c>
      <c r="BO21" s="60"/>
      <c r="BP21" s="65">
        <f t="shared" si="88"/>
        <v>0</v>
      </c>
      <c r="BQ21" s="60"/>
      <c r="BR21" s="65">
        <f t="shared" si="89"/>
        <v>0</v>
      </c>
      <c r="BS21" s="60"/>
      <c r="BT21" s="65">
        <f t="shared" si="90"/>
        <v>0</v>
      </c>
      <c r="BU21" s="60"/>
      <c r="BV21" s="65">
        <f t="shared" si="91"/>
        <v>0</v>
      </c>
      <c r="BW21" s="60"/>
      <c r="BX21" s="65">
        <f t="shared" si="92"/>
        <v>0</v>
      </c>
      <c r="BY21" s="60"/>
      <c r="BZ21" s="67">
        <f t="shared" si="93"/>
        <v>0</v>
      </c>
      <c r="CA21" s="60"/>
      <c r="CB21" s="67">
        <f t="shared" si="94"/>
        <v>0</v>
      </c>
      <c r="CC21" s="60"/>
      <c r="CD21" s="67">
        <f t="shared" si="95"/>
        <v>0</v>
      </c>
      <c r="CE21" s="60"/>
      <c r="CF21" s="67">
        <f t="shared" si="96"/>
        <v>0</v>
      </c>
      <c r="CG21" s="60"/>
      <c r="CH21" s="67">
        <f t="shared" si="97"/>
        <v>0</v>
      </c>
      <c r="CI21" s="60"/>
      <c r="CJ21" s="67">
        <f t="shared" si="98"/>
        <v>0</v>
      </c>
      <c r="CK21" s="60"/>
      <c r="CL21" s="64">
        <f t="shared" si="74"/>
        <v>0</v>
      </c>
      <c r="CM21" s="65">
        <f t="shared" si="75"/>
        <v>0</v>
      </c>
      <c r="CN21" s="62"/>
      <c r="CO21" s="62"/>
      <c r="CP21" s="68"/>
      <c r="CQ21" s="67">
        <f t="shared" si="99"/>
        <v>0</v>
      </c>
      <c r="CR21" s="68"/>
      <c r="CS21" s="67">
        <f t="shared" si="76"/>
        <v>0</v>
      </c>
      <c r="CT21" s="75"/>
      <c r="CU21" s="67">
        <f t="shared" si="77"/>
        <v>0</v>
      </c>
      <c r="CV21" s="68"/>
      <c r="CW21" s="67">
        <f t="shared" si="78"/>
        <v>0</v>
      </c>
      <c r="CX21" s="58"/>
      <c r="CY21" s="67">
        <f t="shared" si="79"/>
        <v>0</v>
      </c>
    </row>
    <row r="22" spans="1:103" ht="25.5" customHeight="1" thickBot="1" x14ac:dyDescent="0.45">
      <c r="A22" s="63">
        <v>44731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80"/>
        <v>0</v>
      </c>
      <c r="BA22" s="58"/>
      <c r="BB22" s="65">
        <f t="shared" si="81"/>
        <v>0</v>
      </c>
      <c r="BC22" s="58"/>
      <c r="BD22" s="65">
        <f t="shared" si="82"/>
        <v>0</v>
      </c>
      <c r="BE22" s="59"/>
      <c r="BF22" s="67">
        <f t="shared" si="83"/>
        <v>0</v>
      </c>
      <c r="BG22" s="60"/>
      <c r="BH22" s="65">
        <f t="shared" si="84"/>
        <v>0</v>
      </c>
      <c r="BI22" s="60"/>
      <c r="BJ22" s="65">
        <f t="shared" si="85"/>
        <v>0</v>
      </c>
      <c r="BK22" s="60"/>
      <c r="BL22" s="65">
        <f t="shared" si="86"/>
        <v>0</v>
      </c>
      <c r="BM22" s="60"/>
      <c r="BN22" s="65">
        <f t="shared" si="87"/>
        <v>0</v>
      </c>
      <c r="BO22" s="60"/>
      <c r="BP22" s="65">
        <f t="shared" si="88"/>
        <v>0</v>
      </c>
      <c r="BQ22" s="60"/>
      <c r="BR22" s="65">
        <f t="shared" si="89"/>
        <v>0</v>
      </c>
      <c r="BS22" s="60"/>
      <c r="BT22" s="65">
        <f t="shared" si="90"/>
        <v>0</v>
      </c>
      <c r="BU22" s="60"/>
      <c r="BV22" s="65">
        <f t="shared" si="91"/>
        <v>0</v>
      </c>
      <c r="BW22" s="60"/>
      <c r="BX22" s="65">
        <f t="shared" si="92"/>
        <v>0</v>
      </c>
      <c r="BY22" s="60"/>
      <c r="BZ22" s="67">
        <f t="shared" si="93"/>
        <v>0</v>
      </c>
      <c r="CA22" s="60"/>
      <c r="CB22" s="67">
        <f t="shared" si="94"/>
        <v>0</v>
      </c>
      <c r="CC22" s="60"/>
      <c r="CD22" s="67">
        <f t="shared" si="95"/>
        <v>0</v>
      </c>
      <c r="CE22" s="60"/>
      <c r="CF22" s="67">
        <f t="shared" si="96"/>
        <v>0</v>
      </c>
      <c r="CG22" s="60"/>
      <c r="CH22" s="67">
        <f t="shared" si="97"/>
        <v>0</v>
      </c>
      <c r="CI22" s="60"/>
      <c r="CJ22" s="67">
        <f t="shared" si="98"/>
        <v>0</v>
      </c>
      <c r="CK22" s="60"/>
      <c r="CL22" s="64">
        <f t="shared" si="74"/>
        <v>0</v>
      </c>
      <c r="CM22" s="65">
        <f t="shared" si="75"/>
        <v>0</v>
      </c>
      <c r="CN22" s="62"/>
      <c r="CO22" s="62"/>
      <c r="CP22" s="68"/>
      <c r="CQ22" s="67">
        <f t="shared" si="99"/>
        <v>0</v>
      </c>
      <c r="CR22" s="68"/>
      <c r="CS22" s="67">
        <f t="shared" si="76"/>
        <v>0</v>
      </c>
      <c r="CT22" s="75"/>
      <c r="CU22" s="67">
        <f t="shared" si="77"/>
        <v>0</v>
      </c>
      <c r="CV22" s="68"/>
      <c r="CW22" s="67">
        <f t="shared" si="78"/>
        <v>0</v>
      </c>
      <c r="CX22" s="58"/>
      <c r="CY22" s="67">
        <f t="shared" si="79"/>
        <v>0</v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C9" sqref="C9:Q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/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-227</v>
      </c>
    </row>
    <row r="11" spans="1:20" x14ac:dyDescent="0.25">
      <c r="A11" s="73">
        <v>44716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44717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44718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44719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44720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44721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44722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44723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44724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44725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44726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44727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44728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44729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44730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2022-06-03T18:35:40Z</dcterms:modified>
</cp:coreProperties>
</file>