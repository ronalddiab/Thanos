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R22" i="7" l="1"/>
  <c r="AR23" i="7"/>
  <c r="AR24" i="7"/>
  <c r="CW13" i="7" l="1"/>
  <c r="CW14" i="7"/>
  <c r="CW15" i="7"/>
  <c r="CW16" i="7"/>
  <c r="CW17" i="7"/>
  <c r="CW18" i="7"/>
  <c r="CW19" i="7"/>
  <c r="CW20" i="7"/>
  <c r="CW21" i="7"/>
  <c r="CW22" i="7"/>
  <c r="CW23" i="7"/>
  <c r="CW24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BX20" i="7" l="1"/>
  <c r="AX3" i="6" l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8" i="10"/>
  <c r="AP21" i="7" l="1"/>
  <c r="CB20" i="7" l="1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AP15" i="7" l="1"/>
  <c r="AN15" i="7"/>
  <c r="AL15" i="7"/>
  <c r="CQ10" i="7" l="1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<sst xmlns="http://schemas.openxmlformats.org/spreadsheetml/2006/main" count="313" uniqueCount="148">
  <si>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</si>
  <si>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</si>
  <si>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</si>
  <si>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</si>
  <si>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</si>
  <si>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</si>
  <si>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</si>
  <si>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</si>
  <si>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</si>
  <si>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</si>
  <si>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</si>
  <si>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</si>
  <si>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</si>
  <si>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</si>
  <si>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</si>
  <si>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</si>
  <si>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</si>
  <si>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</si>
  <si>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</si>
  <si>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</si>
  <si>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</si>
  <si>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</si>
  <si>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</si>
  <si>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</si>
  <si>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</si>
  <si>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</si>
  <si>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</si>
  <si>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</si>
  <si>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</si>
  <si>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</si>
  <si>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</si>
  <si>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</si>
  <si>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</si>
  <si>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</si>
  <si>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</si>
  <si>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</si>
  <si>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</si>
  <si>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</si>
  <si>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</si>
  <si>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</si>
  <si>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</si>
  <si>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</si>
  <si>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</si>
  <si>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</si>
  <si>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</si>
  <si>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</si>
  <si>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</si>
  <si>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</si>
  <si>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</si>
  <si>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</si>
  <si>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</si>
  <si>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</si>
  <si>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</si>
  <si>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</si>
  <si>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</si>
  <si>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</si>
  <si>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</si>
  <si>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</si>
  <si>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</si>
  <si>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</si>
  <si>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</si>
  <si>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</si>
  <si>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</si>
  <si>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</si>
  <si>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</si>
  <si>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</si>
  <si>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</si>
  <si>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</si>
  <si>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</si>
  <si>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</si>
  <si>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</si>
  <si>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</si>
  <si>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</si>
  <si>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</si>
  <si>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</si>
  <si>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</si>
  <si>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</si>
  <si>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</si>
  <si>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</si>
  <si>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</si>
  <si>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</si>
  <si>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</si>
  <si>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</si>
  <si>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</si>
  <si>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</si>
  <si>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</si>
  <si>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</si>
  <si>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</si>
  <si>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</si>
  <si>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</si>
  <si>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</si>
  <si>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</si>
  <si>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</si>
  <si>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</si>
  <si>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</si>
  <si>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</si>
  <si>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</si>
  <si>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</si>
  <si>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</si>
  <si>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</si>
  <si>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</si>
  <si>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</si>
  <si>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</si>
  <si>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</si>
  <si>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</si>
  <si>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</si>
  <si>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</si>
  <si>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</si>
  <si>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</si>
  <si>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</si>
  <si>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</si>
  <si>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</si>
  <si>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</si>
  <si>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</si>
  <si>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</si>
  <si>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</si>
  <si>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</si>
  <si>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</si>
  <si>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</si>
  <si>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</si>
  <si>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</si>
  <si>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</si>
  <si>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</si>
  <si>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</si>
  <si>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</si>
  <si>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</si>
  <si>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</si>
  <si>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</si>
  <si>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</si>
  <si>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</si>
  <si>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</si>
  <si>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</si>
  <si>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</si>
  <si>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</si>
  <si>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</si>
  <si>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</si>
  <si>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</si>
  <si>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</si>
  <si>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</si>
  <si>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</si>
  <si>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</si>
  <si>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</si>
  <si>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</si>
  <si>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</si>
  <si>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</si>
  <si>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</si>
  <si>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</si>
  <si>
    <t>Pivilla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</si>
</sst>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37.899999999999977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5790.0000000002374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33.799999999999955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5579.9999999997108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35.799999999999955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5820.0000000002092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39.5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5850.00000000004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45.200000000000045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4559.9999999996171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22.600000000000023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4250.0000000005812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19.399999999999977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3" ySplit="1" topLeftCell="AW2" activePane="bottomRight" state="frozen"/>
      <selection pane="topRight" activeCell="D1" sqref="D1"/>
      <selection pane="bottomLeft" activeCell="A2" sqref="A2"/>
      <selection pane="bottomRight" activeCell="BB18" sqref="BB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IF(LPG!F15-LPG!F14&lt;0,"0",(LPG!F15-LPG!F14)*1.8315)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IF(LPG!F16-LPG!F15&lt;0,"0",(LPG!F16-LPG!F15)*1.8315)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IF(LPG!F17-LPG!F16&lt;0,"0",(LPG!F17-LPG!F16)*1.8315)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37.899999999999977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2300.000000000191</v>
      </c>
      <c r="F19" s="32">
        <f>'FS Desroches Daily'!F21</f>
        <v>599.99999999993395</v>
      </c>
      <c r="G19" s="31">
        <f>'FS Desroches Daily'!H21</f>
        <v>1900.0000000000127</v>
      </c>
      <c r="H19" s="32">
        <f>'FS Desroches Daily'!J21</f>
        <v>900.0000000001229</v>
      </c>
      <c r="I19" s="31">
        <f>'FS Desroches Daily'!L21</f>
        <v>1700.0000000000348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2</v>
      </c>
      <c r="M19" s="31">
        <f>'FS Desroches Daily'!T21</f>
        <v>473.60000000009313</v>
      </c>
      <c r="N19" s="31">
        <f>'FS Desroches Daily'!V21</f>
        <v>166.89999999996508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169.99999999995907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949.99999999998863</v>
      </c>
      <c r="V19" s="35">
        <f>'FS Desroches Daily'!AL21</f>
        <v>280.00000000000114</v>
      </c>
      <c r="W19" s="35">
        <f>'FS Desroches Daily'!AN21</f>
        <v>320.0000000000216</v>
      </c>
      <c r="X19" s="35">
        <f>'FS Desroches Daily'!AP21</f>
        <v>360.00000000001364</v>
      </c>
      <c r="Y19" s="35">
        <f>'FS Desroches Daily'!AR21</f>
        <v>30.000000000001137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20.000000000038654</v>
      </c>
      <c r="AC19" s="35">
        <f>'FS Desroches Daily'!AZ21</f>
        <v>9.9999999999909051</v>
      </c>
      <c r="AD19" s="35">
        <f>'FS Desroches Daily'!BB21</f>
        <v>19.99999999998181</v>
      </c>
      <c r="AE19" s="35">
        <f>'FS Desroches Daily'!BD21</f>
        <v>20.000000000010232</v>
      </c>
      <c r="AF19" s="31">
        <f>'FS Desroches Daily'!BF21</f>
        <v>15</v>
      </c>
      <c r="AG19" s="32">
        <f>'FS Desroches Daily'!BH21</f>
        <v>19.99999999998181</v>
      </c>
      <c r="AH19" s="32">
        <f>'FS Desroches Daily'!BJ21</f>
        <v>20.000000000038654</v>
      </c>
      <c r="AI19" s="32">
        <f>'FS Desroches Daily'!BL21</f>
        <v>30.000000000001137</v>
      </c>
      <c r="AJ19" s="32">
        <f>'FS Desroches Daily'!BN21</f>
        <v>9.9999999999909051</v>
      </c>
      <c r="AK19" s="32">
        <f>'FS Desroches Daily'!BP21</f>
        <v>20.000000000038654</v>
      </c>
      <c r="AL19" s="32">
        <f>'FS Desroches Daily'!BR21</f>
        <v>10</v>
      </c>
      <c r="AM19" s="32">
        <f>'FS Desroches Daily'!BT21</f>
        <v>9.9999999999909051</v>
      </c>
      <c r="AN19" s="32">
        <f>'FS Desroches Daily'!BV21</f>
        <v>23</v>
      </c>
      <c r="AO19" s="32">
        <f>'FS Desroches Daily'!BX21</f>
        <v>9.9999999999909051</v>
      </c>
      <c r="AP19" s="32">
        <f>'FS Desroches Daily'!BZ21</f>
        <v>13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63.400000000001455</v>
      </c>
      <c r="AU19" s="31">
        <f>'FS Desroches Daily'!CJ21</f>
        <v>206</v>
      </c>
      <c r="AV19" s="31">
        <f>'FS Desroches Daily'!CL21</f>
        <v>409.99999999996817</v>
      </c>
      <c r="AW19" s="31">
        <f>'FS Desroches Daily'!CM21</f>
        <v>33.799999999999955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2399.9999999999577</v>
      </c>
      <c r="F20" s="32">
        <f>'FS Desroches Daily'!F22</f>
        <v>599.99999999993395</v>
      </c>
      <c r="G20" s="31">
        <f>'FS Desroches Daily'!H22</f>
        <v>1799.9999999998017</v>
      </c>
      <c r="H20" s="32">
        <f>'FS Desroches Daily'!J22</f>
        <v>799.99999999991189</v>
      </c>
      <c r="I20" s="31">
        <f>'FS Desroches Daily'!L22</f>
        <v>1700.0000000000348</v>
      </c>
      <c r="J20" s="32">
        <f>'FS Desroches Daily'!N22</f>
        <v>400.00000000017798</v>
      </c>
      <c r="K20" s="13">
        <f>'FS Desroches Daily'!P22</f>
        <v>1</v>
      </c>
      <c r="L20" s="31">
        <f>'FS Desroches Daily'!R22</f>
        <v>3</v>
      </c>
      <c r="M20" s="31">
        <f>'FS Desroches Daily'!T22</f>
        <v>421.39999999990687</v>
      </c>
      <c r="N20" s="31">
        <f>'FS Desroches Daily'!V22</f>
        <v>151.10000000003492</v>
      </c>
      <c r="O20" s="31">
        <f>'FS Desroches Daily'!X22</f>
        <v>89.999999999974989</v>
      </c>
      <c r="P20" s="31">
        <f>'FS Desroches Daily'!Z22</f>
        <v>399.99999999995595</v>
      </c>
      <c r="Q20" s="31">
        <f>'FS Desroches Daily'!AB22</f>
        <v>60.000000000002274</v>
      </c>
      <c r="R20" s="31">
        <f>'FS Desroches Daily'!AD22</f>
        <v>80.000000000040927</v>
      </c>
      <c r="S20" s="31">
        <f>'FS Desroches Daily'!AF22</f>
        <v>180.00000000000682</v>
      </c>
      <c r="T20" s="31">
        <f>'FS Desroches Daily'!AH22</f>
        <v>1.2000000000000455</v>
      </c>
      <c r="U20" s="35">
        <f>'FS Desroches Daily'!AJ22</f>
        <v>980.00000000001819</v>
      </c>
      <c r="V20" s="35">
        <f>'FS Desroches Daily'!AL22</f>
        <v>300.00000000001137</v>
      </c>
      <c r="W20" s="35">
        <f>'FS Desroches Daily'!AN22</f>
        <v>299.99999999998295</v>
      </c>
      <c r="X20" s="35">
        <f>'FS Desroches Daily'!AP22</f>
        <v>319.99999999999318</v>
      </c>
      <c r="Y20" s="35">
        <f>'FS Desroches Daily'!AR22</f>
        <v>109.99999999998522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19.99999999998181</v>
      </c>
      <c r="AC20" s="35">
        <f>'FS Desroches Daily'!AZ22</f>
        <v>9.9999999999909051</v>
      </c>
      <c r="AD20" s="35">
        <f>'FS Desroches Daily'!BB22</f>
        <v>10.000000000047748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10.000000000019327</v>
      </c>
      <c r="AH20" s="32">
        <f>'FS Desroches Daily'!BJ22</f>
        <v>19.99999999998181</v>
      </c>
      <c r="AI20" s="32">
        <f>'FS Desroches Daily'!BL22</f>
        <v>19.99999999998181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10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20.000000000010232</v>
      </c>
      <c r="AP20" s="32">
        <f>'FS Desroches Daily'!BZ22</f>
        <v>17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69.69999999999709</v>
      </c>
      <c r="AU20" s="31">
        <f>'FS Desroches Daily'!CJ22</f>
        <v>202</v>
      </c>
      <c r="AV20" s="31">
        <f>'FS Desroches Daily'!CL22</f>
        <v>420.00000000007276</v>
      </c>
      <c r="AW20" s="31">
        <f>'FS Desroches Daily'!CM22</f>
        <v>35.799999999999955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2399.9999999999577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799.99999999991189</v>
      </c>
      <c r="I21" s="31">
        <f>'FS Desroches Daily'!L23</f>
        <v>1700.0000000000348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546.60000000009313</v>
      </c>
      <c r="N21" s="31">
        <f>'FS Desroches Daily'!V23</f>
        <v>186.29999999998836</v>
      </c>
      <c r="O21" s="31">
        <f>'FS Desroches Daily'!X23</f>
        <v>90.000000000031832</v>
      </c>
      <c r="P21" s="31">
        <f>'FS Desroches Daily'!Z23</f>
        <v>300.000000000189</v>
      </c>
      <c r="Q21" s="31">
        <f>'FS Desroches Daily'!AB23</f>
        <v>60.000000000002274</v>
      </c>
      <c r="R21" s="31">
        <f>'FS Desroches Daily'!AD23</f>
        <v>99.999999999965894</v>
      </c>
      <c r="S21" s="31">
        <f>'FS Desroches Daily'!AF23</f>
        <v>139.99999999998636</v>
      </c>
      <c r="T21" s="31">
        <f>'FS Desroches Daily'!AH23</f>
        <v>1.2000000000000455</v>
      </c>
      <c r="U21" s="35">
        <f>'FS Desroches Daily'!AJ23</f>
        <v>1050.0000000000114</v>
      </c>
      <c r="V21" s="35">
        <f>'FS Desroches Daily'!AL23</f>
        <v>270.00000000001023</v>
      </c>
      <c r="W21" s="35">
        <f>'FS Desroches Daily'!AN23</f>
        <v>319.99999999999318</v>
      </c>
      <c r="X21" s="35">
        <f>'FS Desroches Daily'!AP23</f>
        <v>330.00000000001251</v>
      </c>
      <c r="Y21" s="35">
        <f>'FS Desroches Daily'!AR23</f>
        <v>120.00000000000455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19.99999999998181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10.000000000019327</v>
      </c>
      <c r="AF21" s="31">
        <f>'FS Desroches Daily'!BF23</f>
        <v>20</v>
      </c>
      <c r="AG21" s="32">
        <f>'FS Desroches Daily'!BH23</f>
        <v>9.9999999999909051</v>
      </c>
      <c r="AH21" s="32">
        <f>'FS Desroches Daily'!BJ23</f>
        <v>19.99999999998181</v>
      </c>
      <c r="AI21" s="32">
        <f>'FS Desroches Daily'!BL23</f>
        <v>10.000000000019327</v>
      </c>
      <c r="AJ21" s="32">
        <f>'FS Desroches Daily'!BN23</f>
        <v>9.9999999999909051</v>
      </c>
      <c r="AK21" s="32">
        <f>'FS Desroches Daily'!BP23</f>
        <v>19.99999999998181</v>
      </c>
      <c r="AL21" s="32">
        <f>'FS Desroches Daily'!BR23</f>
        <v>12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9.9999999999909051</v>
      </c>
      <c r="AP21" s="32">
        <f>'FS Desroches Daily'!BZ23</f>
        <v>12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57</v>
      </c>
      <c r="AU21" s="31">
        <f>'FS Desroches Daily'!CJ23</f>
        <v>206</v>
      </c>
      <c r="AV21" s="31">
        <f>'FS Desroches Daily'!CL23</f>
        <v>379.99999999999545</v>
      </c>
      <c r="AW21" s="31">
        <f>'FS Desroches Daily'!CM23</f>
        <v>39.5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2199.9999999999795</v>
      </c>
      <c r="F22" s="32">
        <f>'FS Desroches Daily'!F24</f>
        <v>599.99999999993395</v>
      </c>
      <c r="G22" s="31">
        <f>'FS Desroches Daily'!H24</f>
        <v>2099.9999999999909</v>
      </c>
      <c r="H22" s="32">
        <f>'FS Desroches Daily'!J24</f>
        <v>900.0000000001229</v>
      </c>
      <c r="I22" s="31">
        <f>'FS Desroches Daily'!L24</f>
        <v>1799.9999999998017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2</v>
      </c>
      <c r="M22" s="31">
        <f>'FS Desroches Daily'!T24</f>
        <v>482.59999999997672</v>
      </c>
      <c r="N22" s="31">
        <f>'FS Desroches Daily'!V24</f>
        <v>145.09999999997672</v>
      </c>
      <c r="O22" s="31">
        <f>'FS Desroches Daily'!X24</f>
        <v>99.999999999965894</v>
      </c>
      <c r="P22" s="31">
        <f>'FS Desroches Daily'!Z24</f>
        <v>499.99999999972289</v>
      </c>
      <c r="Q22" s="31">
        <f>'FS Desroches Daily'!AB24</f>
        <v>60.000000000002274</v>
      </c>
      <c r="R22" s="31">
        <f>'FS Desroches Daily'!AD24</f>
        <v>129.99999999999545</v>
      </c>
      <c r="S22" s="31">
        <f>'FS Desroches Daily'!AF24</f>
        <v>199.99999999998863</v>
      </c>
      <c r="T22" s="31">
        <f>'FS Desroches Daily'!AH24</f>
        <v>1.6999999999998181</v>
      </c>
      <c r="U22" s="35">
        <f>'FS Desroches Daily'!AJ24</f>
        <v>1169.9999999999591</v>
      </c>
      <c r="V22" s="35">
        <f>'FS Desroches Daily'!AL24</f>
        <v>219.99999999999886</v>
      </c>
      <c r="W22" s="35">
        <f>'FS Desroches Daily'!AN24</f>
        <v>189.99999999999773</v>
      </c>
      <c r="X22" s="35">
        <f>'FS Desroches Daily'!AP24</f>
        <v>180.00000000000682</v>
      </c>
      <c r="Y22" s="35">
        <f>'FS Desroches Daily'!AR24</f>
        <v>80.000000000012506</v>
      </c>
      <c r="Z22" s="35">
        <f>'FS Desroches Daily'!AT24</f>
        <v>40.000000000020464</v>
      </c>
      <c r="AA22" s="35">
        <f>'FS Desroches Daily'!AT24</f>
        <v>40.000000000020464</v>
      </c>
      <c r="AB22" s="35">
        <f>'FS Desroches Daily'!AV24</f>
        <v>20.000000000038654</v>
      </c>
      <c r="AC22" s="35">
        <f>'FS Desroches Daily'!AZ24</f>
        <v>0</v>
      </c>
      <c r="AD22" s="35">
        <f>'FS Desroches Daily'!BB24</f>
        <v>19.99999999998181</v>
      </c>
      <c r="AE22" s="35">
        <f>'FS Desroches Daily'!BD24</f>
        <v>19.99999999998181</v>
      </c>
      <c r="AF22" s="31">
        <f>'FS Desroches Daily'!BF24</f>
        <v>23</v>
      </c>
      <c r="AG22" s="32">
        <f>'FS Desroches Daily'!BH24</f>
        <v>9.9999999999909051</v>
      </c>
      <c r="AH22" s="32">
        <f>'FS Desroches Daily'!BJ24</f>
        <v>20.000000000038654</v>
      </c>
      <c r="AI22" s="32">
        <f>'FS Desroches Daily'!BL24</f>
        <v>30.000000000001137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15</v>
      </c>
      <c r="AM22" s="32">
        <f>'FS Desroches Daily'!BT24</f>
        <v>9.9999999999909051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55.700000000004366</v>
      </c>
      <c r="AU22" s="31">
        <f>'FS Desroches Daily'!CJ24</f>
        <v>220</v>
      </c>
      <c r="AV22" s="31">
        <f>'FS Desroches Daily'!CL24</f>
        <v>449.99999999993179</v>
      </c>
      <c r="AW22" s="31">
        <f>'FS Desroches Daily'!CM24</f>
        <v>45.200000000000045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1700.0000000000348</v>
      </c>
      <c r="F23" s="32">
        <f>'FS Desroches Daily'!F25</f>
        <v>499.99999999972289</v>
      </c>
      <c r="G23" s="31">
        <f>'FS Desroches Daily'!H25</f>
        <v>1700.0000000000348</v>
      </c>
      <c r="H23" s="32">
        <f>'FS Desroches Daily'!J25</f>
        <v>699.99999999992292</v>
      </c>
      <c r="I23" s="31">
        <f>'FS Desroches Daily'!L25</f>
        <v>1500.0000000000568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2</v>
      </c>
      <c r="M23" s="31">
        <f>'FS Desroches Daily'!T25</f>
        <v>219.79999999993015</v>
      </c>
      <c r="N23" s="31">
        <f>'FS Desroches Daily'!V25</f>
        <v>100.40000000002328</v>
      </c>
      <c r="O23" s="31">
        <f>'FS Desroches Daily'!X25</f>
        <v>80.000000000040927</v>
      </c>
      <c r="P23" s="31">
        <f>'FS Desroches Daily'!Z25</f>
        <v>300.000000000189</v>
      </c>
      <c r="Q23" s="31">
        <f>'FS Desroches Daily'!AB25</f>
        <v>50.000000000011369</v>
      </c>
      <c r="R23" s="31">
        <f>'FS Desroches Daily'!AD25</f>
        <v>100.00000000002274</v>
      </c>
      <c r="S23" s="31">
        <f>'FS Desroches Daily'!AF25</f>
        <v>160.00000000002501</v>
      </c>
      <c r="T23" s="31">
        <f>'FS Desroches Daily'!AH25</f>
        <v>1.5</v>
      </c>
      <c r="U23" s="35">
        <f>'FS Desroches Daily'!AJ25</f>
        <v>870.00000000000455</v>
      </c>
      <c r="V23" s="35">
        <f>'FS Desroches Daily'!AL25</f>
        <v>189.99999999999773</v>
      </c>
      <c r="W23" s="35">
        <f>'FS Desroches Daily'!AN25</f>
        <v>70.0000000000216</v>
      </c>
      <c r="X23" s="35">
        <f>'FS Desroches Daily'!AP25</f>
        <v>49.999999999982947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9.9999999999909051</v>
      </c>
      <c r="AC23" s="35">
        <f>'FS Desroches Daily'!AZ25</f>
        <v>0</v>
      </c>
      <c r="AD23" s="35">
        <f>'FS Desroches Daily'!BB25</f>
        <v>10.000000000047748</v>
      </c>
      <c r="AE23" s="35">
        <f>'FS Desroches Daily'!BD25</f>
        <v>20.000000000010232</v>
      </c>
      <c r="AF23" s="31">
        <f>'FS Desroches Daily'!BF25</f>
        <v>24</v>
      </c>
      <c r="AG23" s="32">
        <f>'FS Desroches Daily'!BH25</f>
        <v>10.000000000019327</v>
      </c>
      <c r="AH23" s="32">
        <f>'FS Desroches Daily'!BJ25</f>
        <v>9.9999999999909051</v>
      </c>
      <c r="AI23" s="32">
        <f>'FS Desroches Daily'!BL25</f>
        <v>19.99999999998181</v>
      </c>
      <c r="AJ23" s="32">
        <f>'FS Desroches Daily'!BN25</f>
        <v>19.99999999998181</v>
      </c>
      <c r="AK23" s="32">
        <f>'FS Desroches Daily'!BP25</f>
        <v>9.9999999999909051</v>
      </c>
      <c r="AL23" s="32">
        <f>'FS Desroches Daily'!BR25</f>
        <v>11</v>
      </c>
      <c r="AM23" s="32">
        <f>'FS Desroches Daily'!BT25</f>
        <v>10.000000000019327</v>
      </c>
      <c r="AN23" s="32">
        <f>'FS Desroches Daily'!BV25</f>
        <v>16</v>
      </c>
      <c r="AO23" s="32">
        <f>'FS Desroches Daily'!BX25</f>
        <v>19.99999999998181</v>
      </c>
      <c r="AP23" s="32">
        <f>'FS Desroches Daily'!BZ25</f>
        <v>11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47.399999999994179</v>
      </c>
      <c r="AU23" s="31">
        <f>'FS Desroches Daily'!CJ25</f>
        <v>179</v>
      </c>
      <c r="AV23" s="31">
        <f>'FS Desroches Daily'!CL25</f>
        <v>440.00000000005457</v>
      </c>
      <c r="AW23" s="31">
        <f>'FS Desroches Daily'!CM25</f>
        <v>22.600000000000023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1600.0000000000459</v>
      </c>
      <c r="F24" s="32">
        <f>'FS Desroches Daily'!F26</f>
        <v>500.00000000016701</v>
      </c>
      <c r="G24" s="31">
        <f>'FS Desroches Daily'!H26</f>
        <v>1300.0000000000789</v>
      </c>
      <c r="H24" s="32">
        <f>'FS Desroches Daily'!J26</f>
        <v>800.00000000013392</v>
      </c>
      <c r="I24" s="31">
        <f>'FS Desroches Daily'!L26</f>
        <v>1500.0000000000568</v>
      </c>
      <c r="J24" s="32">
        <f>'FS Desroches Daily'!N26</f>
        <v>400.00000000017798</v>
      </c>
      <c r="K24" s="13">
        <f>'FS Desroches Daily'!P26</f>
        <v>1</v>
      </c>
      <c r="L24" s="31">
        <f>'FS Desroches Daily'!R26</f>
        <v>3</v>
      </c>
      <c r="M24" s="31">
        <f>'FS Desroches Daily'!T26</f>
        <v>88.200000000069849</v>
      </c>
      <c r="N24" s="31">
        <f>'FS Desroches Daily'!V26</f>
        <v>48.200000000011642</v>
      </c>
      <c r="O24" s="31">
        <f>'FS Desroches Daily'!X26</f>
        <v>79.999999999984084</v>
      </c>
      <c r="P24" s="31">
        <f>'FS Desroches Daily'!Z26</f>
        <v>300.000000000189</v>
      </c>
      <c r="Q24" s="31">
        <f>'FS Desroches Daily'!AB26</f>
        <v>50.000000000011369</v>
      </c>
      <c r="R24" s="31">
        <f>'FS Desroches Daily'!AD26</f>
        <v>99.999999999965894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949.99999999998863</v>
      </c>
      <c r="V24" s="35">
        <f>'FS Desroches Daily'!AL26</f>
        <v>189.99999999999773</v>
      </c>
      <c r="W24" s="35">
        <f>'FS Desroches Daily'!AN26</f>
        <v>69.999999999993179</v>
      </c>
      <c r="X24" s="35">
        <f>'FS Desroches Daily'!AP26</f>
        <v>50.000000000011369</v>
      </c>
      <c r="Y24" s="35">
        <f>'FS Desroches Daily'!AR26</f>
        <v>39.999999999992042</v>
      </c>
      <c r="Z24" s="35">
        <f>'FS Desroches Daily'!AT26</f>
        <v>20.000000000038654</v>
      </c>
      <c r="AA24" s="35">
        <f>'FS Desroches Daily'!AT26</f>
        <v>20.000000000038654</v>
      </c>
      <c r="AB24" s="35">
        <f>'FS Desroches Daily'!AV26</f>
        <v>19.99999999998181</v>
      </c>
      <c r="AC24" s="35">
        <f>'FS Desroches Daily'!AZ26</f>
        <v>50.000000000011369</v>
      </c>
      <c r="AD24" s="35">
        <f>'FS Desroches Daily'!BB26</f>
        <v>9.9999999999909051</v>
      </c>
      <c r="AE24" s="35">
        <f>'FS Desroches Daily'!BD26</f>
        <v>9.9999999999909051</v>
      </c>
      <c r="AF24" s="31">
        <f>'FS Desroches Daily'!BF26</f>
        <v>19</v>
      </c>
      <c r="AG24" s="32">
        <f>'FS Desroches Daily'!BH26</f>
        <v>9.9999999999909051</v>
      </c>
      <c r="AH24" s="32">
        <f>'FS Desroches Daily'!BJ26</f>
        <v>19.99999999998181</v>
      </c>
      <c r="AI24" s="32">
        <f>'FS Desroches Daily'!BL26</f>
        <v>20.000000000010232</v>
      </c>
      <c r="AJ24" s="32">
        <f>'FS Desroches Daily'!BN26</f>
        <v>10.000000000019327</v>
      </c>
      <c r="AK24" s="32">
        <f>'FS Desroches Daily'!BP26</f>
        <v>19.99999999998181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19</v>
      </c>
      <c r="AO24" s="32">
        <f>'FS Desroches Daily'!BX26</f>
        <v>9.9999999999909051</v>
      </c>
      <c r="AP24" s="32">
        <f>'FS Desroches Daily'!BZ26</f>
        <v>15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34.900000000001455</v>
      </c>
      <c r="AU24" s="31">
        <f>'FS Desroches Daily'!CJ26</f>
        <v>179</v>
      </c>
      <c r="AV24" s="31">
        <f>'FS Desroches Daily'!CL26</f>
        <v>350.00000000002274</v>
      </c>
      <c r="AW24" s="31">
        <f>'FS Desroches Daily'!CM26</f>
        <v>19.399999999999977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IF(LPG!F34-LPG!F33&lt;0,"0",(LPG!F34-LPG!F33)*1.8315)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IF(LPG!F35-LPG!F34&lt;0,"0",(LPG!F35-LPG!F34)*1.8315)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IF(LPG!F36-LPG!F35&lt;0,"0",(LPG!F36-LPG!F35)*1.8315)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IF(LPG!F37-LPG!F36&lt;0,"0",(LPG!F37-LPG!F36)*1.8315)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IF(LPG!F38-LPG!F37&lt;0,"0",(LPG!F38-LPG!F37)*1.8315)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IF(LPG!F39-LPG!F38&lt;0,"0",(LPG!F39-LPG!F38)*1.8315)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36900.000000000153</v>
      </c>
      <c r="F33" s="17">
        <f t="shared" ref="F33:BC33" si="1">SUM(F2:F32)</f>
        <v>12100.000000000226</v>
      </c>
      <c r="G33" s="17">
        <f t="shared" si="1"/>
        <v>37300.000000000116</v>
      </c>
      <c r="H33" s="17">
        <f t="shared" si="1"/>
        <v>17200.000000000109</v>
      </c>
      <c r="I33" s="17">
        <f t="shared" si="1"/>
        <v>36099.999999999811</v>
      </c>
      <c r="J33" s="17">
        <f t="shared" si="1"/>
        <v>10100</v>
      </c>
      <c r="K33" s="17">
        <f t="shared" si="1"/>
        <v>18</v>
      </c>
      <c r="L33" s="17">
        <f t="shared" si="1"/>
        <v>59</v>
      </c>
      <c r="M33" s="17">
        <f t="shared" si="1"/>
        <v>6405</v>
      </c>
      <c r="N33" s="17">
        <f t="shared" si="1"/>
        <v>2483.2999999999884</v>
      </c>
      <c r="O33" s="17">
        <f t="shared" si="1"/>
        <v>2080.0000000000409</v>
      </c>
      <c r="P33" s="17">
        <f t="shared" si="1"/>
        <v>7600.0000000000528</v>
      </c>
      <c r="Q33" s="17">
        <f t="shared" si="1"/>
        <v>1270.0000000000387</v>
      </c>
      <c r="R33" s="17">
        <f t="shared" si="1"/>
        <v>2529.9999999999727</v>
      </c>
      <c r="S33" s="17">
        <f t="shared" si="1"/>
        <v>3870.0000000000045</v>
      </c>
      <c r="T33" s="17">
        <f t="shared" si="1"/>
        <v>28.899999999999864</v>
      </c>
      <c r="U33" s="35">
        <f t="shared" si="1"/>
        <v>16679.999999999949</v>
      </c>
      <c r="V33" s="35">
        <f t="shared" si="1"/>
        <v>3990.0000000000091</v>
      </c>
      <c r="W33" s="35">
        <f t="shared" si="1"/>
        <v>3780.0000000000014</v>
      </c>
      <c r="X33" s="35">
        <f t="shared" si="1"/>
        <v>3530.0000000000014</v>
      </c>
      <c r="Y33" s="35">
        <f t="shared" si="1"/>
        <v>1030.0000000000011</v>
      </c>
      <c r="Z33" s="35">
        <f t="shared" si="1"/>
        <v>756.83000000000902</v>
      </c>
      <c r="AA33" s="35">
        <f t="shared" si="1"/>
        <v>756.83000000000902</v>
      </c>
      <c r="AB33" s="35">
        <f t="shared" si="1"/>
        <v>389.99999999998636</v>
      </c>
      <c r="AC33" s="35">
        <f t="shared" si="1"/>
        <v>379.99999999999545</v>
      </c>
      <c r="AD33" s="35">
        <f t="shared" si="1"/>
        <v>379.99999999999545</v>
      </c>
      <c r="AE33" s="35">
        <f t="shared" si="1"/>
        <v>349.99999999999432</v>
      </c>
      <c r="AF33" s="17">
        <f t="shared" si="1"/>
        <v>455</v>
      </c>
      <c r="AG33" s="32">
        <f t="shared" si="1"/>
        <v>220.99999999997044</v>
      </c>
      <c r="AH33" s="32">
        <f t="shared" si="1"/>
        <v>300.00000000001137</v>
      </c>
      <c r="AI33" s="32">
        <f t="shared" si="1"/>
        <v>300.00000000001137</v>
      </c>
      <c r="AJ33" s="32">
        <f t="shared" si="1"/>
        <v>350.00000000002274</v>
      </c>
      <c r="AK33" s="32">
        <f t="shared" si="1"/>
        <v>370.00000000000455</v>
      </c>
      <c r="AL33" s="32">
        <f t="shared" si="1"/>
        <v>263</v>
      </c>
      <c r="AM33" s="32">
        <f t="shared" si="1"/>
        <v>199.99999999998863</v>
      </c>
      <c r="AN33" s="32">
        <f t="shared" si="1"/>
        <v>433</v>
      </c>
      <c r="AO33" s="32">
        <f t="shared" si="1"/>
        <v>349.99999999999432</v>
      </c>
      <c r="AP33" s="32">
        <f t="shared" si="1"/>
        <v>247</v>
      </c>
      <c r="AQ33" s="17">
        <f t="shared" si="1"/>
        <v>3.1999999999970896</v>
      </c>
      <c r="AR33" s="17">
        <f t="shared" si="1"/>
        <v>1.5</v>
      </c>
      <c r="AS33" s="17">
        <f t="shared" si="1"/>
        <v>0.8000000000001819</v>
      </c>
      <c r="AT33" s="17">
        <f t="shared" si="1"/>
        <v>971.40000000000146</v>
      </c>
      <c r="AU33" s="17">
        <f t="shared" si="1"/>
        <v>4375</v>
      </c>
      <c r="AV33" s="17">
        <f t="shared" si="1"/>
        <v>8930.0000000000618</v>
      </c>
      <c r="AW33" s="31">
        <f>'FS Desroches Daily'!CM35</f>
        <v>0</v>
      </c>
      <c r="AX33" s="31">
        <f>IF(LPG!F40-LPG!F39&lt;0,"0",(LPG!F40-LPG!F39)*1.8315)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117.21599999999998</v>
      </c>
      <c r="BC33" s="17">
        <f t="shared" si="1"/>
        <v>0</v>
      </c>
    </row>
    <row r="35" spans="5:55" x14ac:dyDescent="0.25">
      <c r="E35" s="38">
        <f>E33/E37</f>
        <v>0.35230766293035898</v>
      </c>
      <c r="G35" s="29">
        <f>G33-M36</f>
        <v>28411.700000000128</v>
      </c>
      <c r="AE35" s="35">
        <f>SUM(U33:AE33)</f>
        <v>32023.659999999945</v>
      </c>
      <c r="AG35" s="32">
        <f>SUM(AG33:AP33)</f>
        <v>3034.0000000000036</v>
      </c>
    </row>
    <row r="36" spans="5:55" x14ac:dyDescent="0.25">
      <c r="G36" s="29">
        <f>G35-633*14</f>
        <v>19549.700000000128</v>
      </c>
      <c r="M36" s="29">
        <f>M33+N33</f>
        <v>8888.2999999999884</v>
      </c>
    </row>
    <row r="37" spans="5:55" x14ac:dyDescent="0.25">
      <c r="E37" s="17">
        <f>E33+F33+G33+H33+J33-633*14</f>
        <v>104738.00000000061</v>
      </c>
      <c r="G37" s="37">
        <f>M36/E37</f>
        <v>8.4862227653764027E-2</v>
      </c>
      <c r="M37" s="35">
        <f>AE35</f>
        <v>32023.659999999945</v>
      </c>
    </row>
    <row r="38" spans="5:55" x14ac:dyDescent="0.25">
      <c r="L38" s="27">
        <f>M38/E37</f>
        <v>2.896751895205165E-2</v>
      </c>
      <c r="M38" s="29">
        <f>AG35</f>
        <v>3034.0000000000036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U1" zoomScale="80" zoomScaleNormal="80" workbookViewId="0">
      <pane ySplit="1" topLeftCell="A12" activePane="bottomLeft" state="frozen"/>
      <selection pane="bottomLeft" activeCell="CW26" sqref="CW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 t="shared" ref="CQ13:CQ24" si="45"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45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45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45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45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45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37.899999999999977</v>
      </c>
      <c r="CN19" s="62">
        <v>0</v>
      </c>
      <c r="CO19" s="62">
        <v>0</v>
      </c>
      <c r="CP19" s="68">
        <v>493.7</v>
      </c>
      <c r="CQ19" s="67">
        <f t="shared" si="45"/>
        <v>12.899999999999977</v>
      </c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224.8</v>
      </c>
      <c r="BX20" s="65">
        <f t="shared" si="30"/>
        <v>20.000000000010232</v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45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>
        <v>1.7814000000000001</v>
      </c>
      <c r="D21" s="64">
        <f t="shared" si="0"/>
        <v>2300.000000000191</v>
      </c>
      <c r="E21" s="58">
        <v>2.7530999999999999</v>
      </c>
      <c r="F21" s="64">
        <f t="shared" si="1"/>
        <v>599.99999999993395</v>
      </c>
      <c r="G21" s="58">
        <v>2.6715</v>
      </c>
      <c r="H21" s="64">
        <f t="shared" si="2"/>
        <v>1900.0000000000127</v>
      </c>
      <c r="I21" s="58">
        <v>1.2936000000000001</v>
      </c>
      <c r="J21" s="64">
        <f t="shared" si="3"/>
        <v>900.0000000001229</v>
      </c>
      <c r="K21" s="58">
        <v>2.0343</v>
      </c>
      <c r="L21" s="64">
        <f t="shared" si="4"/>
        <v>1700.0000000000348</v>
      </c>
      <c r="M21" s="58">
        <v>1.2347999999999999</v>
      </c>
      <c r="N21" s="64">
        <f t="shared" si="5"/>
        <v>499.99999999994492</v>
      </c>
      <c r="O21" s="58">
        <v>12631</v>
      </c>
      <c r="P21" s="67">
        <f t="shared" si="44"/>
        <v>0</v>
      </c>
      <c r="Q21" s="58">
        <v>5668</v>
      </c>
      <c r="R21" s="67">
        <f t="shared" si="6"/>
        <v>2</v>
      </c>
      <c r="S21" s="58">
        <v>845938.8</v>
      </c>
      <c r="T21" s="67">
        <f t="shared" si="7"/>
        <v>473.60000000009313</v>
      </c>
      <c r="U21" s="58">
        <v>344948.6</v>
      </c>
      <c r="V21" s="67">
        <f t="shared" si="8"/>
        <v>166.89999999996508</v>
      </c>
      <c r="W21" s="58">
        <v>338.49</v>
      </c>
      <c r="X21" s="65">
        <f t="shared" si="9"/>
        <v>90.000000000031832</v>
      </c>
      <c r="Y21" s="58">
        <v>2.4196</v>
      </c>
      <c r="Z21" s="65">
        <f t="shared" si="10"/>
        <v>399.99999999995595</v>
      </c>
      <c r="AA21" s="58">
        <v>331.38</v>
      </c>
      <c r="AB21" s="65">
        <f t="shared" si="11"/>
        <v>69.999999999993179</v>
      </c>
      <c r="AC21" s="58">
        <v>316.64</v>
      </c>
      <c r="AD21" s="65">
        <f t="shared" si="12"/>
        <v>169.99999999995907</v>
      </c>
      <c r="AE21" s="58">
        <v>495.42</v>
      </c>
      <c r="AF21" s="65">
        <f t="shared" si="13"/>
        <v>189.99999999999773</v>
      </c>
      <c r="AG21" s="58">
        <v>1330.5</v>
      </c>
      <c r="AH21" s="67">
        <f t="shared" si="14"/>
        <v>1.2999999999999545</v>
      </c>
      <c r="AI21" s="58">
        <v>447.07</v>
      </c>
      <c r="AJ21" s="65">
        <f t="shared" si="15"/>
        <v>949.99999999998863</v>
      </c>
      <c r="AK21" s="58">
        <v>156.01</v>
      </c>
      <c r="AL21" s="65">
        <f t="shared" si="15"/>
        <v>280.00000000000114</v>
      </c>
      <c r="AM21" s="58">
        <v>155.33000000000001</v>
      </c>
      <c r="AN21" s="65">
        <f t="shared" si="15"/>
        <v>320.0000000000216</v>
      </c>
      <c r="AO21" s="58">
        <v>151</v>
      </c>
      <c r="AP21" s="65">
        <f t="shared" si="15"/>
        <v>360.00000000001364</v>
      </c>
      <c r="AQ21" s="58">
        <v>219.84</v>
      </c>
      <c r="AR21" s="65">
        <f t="shared" si="16"/>
        <v>30.000000000001137</v>
      </c>
      <c r="AS21" s="58">
        <v>345.82</v>
      </c>
      <c r="AT21" s="65">
        <f t="shared" si="17"/>
        <v>19.99999999998181</v>
      </c>
      <c r="AU21" s="58">
        <v>266.85000000000002</v>
      </c>
      <c r="AV21" s="65">
        <f t="shared" si="18"/>
        <v>20.000000000038654</v>
      </c>
      <c r="AW21" s="58">
        <v>294.44</v>
      </c>
      <c r="AX21" s="65">
        <f t="shared" si="19"/>
        <v>19.99999999998181</v>
      </c>
      <c r="AY21" s="58">
        <v>345.67</v>
      </c>
      <c r="AZ21" s="65">
        <f t="shared" si="20"/>
        <v>9.9999999999909051</v>
      </c>
      <c r="BA21" s="58">
        <v>365.4</v>
      </c>
      <c r="BB21" s="65">
        <f t="shared" si="21"/>
        <v>19.99999999998181</v>
      </c>
      <c r="BC21" s="58">
        <v>232.08</v>
      </c>
      <c r="BD21" s="65">
        <f t="shared" si="22"/>
        <v>20.000000000010232</v>
      </c>
      <c r="BE21" s="59">
        <v>30580</v>
      </c>
      <c r="BF21" s="67">
        <f t="shared" si="39"/>
        <v>15</v>
      </c>
      <c r="BG21" s="60">
        <v>225.64</v>
      </c>
      <c r="BH21" s="65">
        <f t="shared" si="23"/>
        <v>19.99999999998181</v>
      </c>
      <c r="BI21" s="60">
        <v>283.60000000000002</v>
      </c>
      <c r="BJ21" s="65">
        <f t="shared" si="40"/>
        <v>20.000000000038654</v>
      </c>
      <c r="BK21" s="60">
        <v>230.99</v>
      </c>
      <c r="BL21" s="65">
        <f t="shared" si="24"/>
        <v>30.000000000001137</v>
      </c>
      <c r="BM21" s="60">
        <v>214.75</v>
      </c>
      <c r="BN21" s="65">
        <f t="shared" si="25"/>
        <v>9.9999999999909051</v>
      </c>
      <c r="BO21" s="60">
        <v>279.67</v>
      </c>
      <c r="BP21" s="65">
        <f t="shared" si="26"/>
        <v>20.000000000038654</v>
      </c>
      <c r="BQ21" s="60">
        <v>39579</v>
      </c>
      <c r="BR21" s="65">
        <f t="shared" si="27"/>
        <v>10</v>
      </c>
      <c r="BS21" s="60">
        <v>193.73</v>
      </c>
      <c r="BT21" s="65">
        <f t="shared" si="43"/>
        <v>9.9999999999909051</v>
      </c>
      <c r="BU21" s="60">
        <v>31055</v>
      </c>
      <c r="BV21" s="65">
        <f t="shared" si="29"/>
        <v>23</v>
      </c>
      <c r="BW21" s="60">
        <v>224.81</v>
      </c>
      <c r="BX21" s="65">
        <f t="shared" si="30"/>
        <v>9.9999999999909051</v>
      </c>
      <c r="BY21" s="60">
        <v>49596</v>
      </c>
      <c r="BZ21" s="67">
        <f t="shared" si="31"/>
        <v>13</v>
      </c>
      <c r="CA21" s="60">
        <v>27511.599999999999</v>
      </c>
      <c r="CB21" s="67">
        <f t="shared" si="32"/>
        <v>0</v>
      </c>
      <c r="CC21" s="60">
        <v>11252.9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48936.9</v>
      </c>
      <c r="CH21" s="67">
        <f t="shared" si="35"/>
        <v>63.400000000001455</v>
      </c>
      <c r="CI21" s="60">
        <v>871646</v>
      </c>
      <c r="CJ21" s="67">
        <f t="shared" si="36"/>
        <v>206</v>
      </c>
      <c r="CK21" s="60">
        <v>596.55999999999995</v>
      </c>
      <c r="CL21" s="64">
        <f t="shared" si="37"/>
        <v>409.99999999996817</v>
      </c>
      <c r="CM21" s="65">
        <f t="shared" si="41"/>
        <v>33.799999999999955</v>
      </c>
      <c r="CN21" s="62">
        <v>0</v>
      </c>
      <c r="CO21" s="62">
        <v>0</v>
      </c>
      <c r="CP21" s="68">
        <v>528</v>
      </c>
      <c r="CQ21" s="67">
        <f t="shared" si="45"/>
        <v>14.799999999999955</v>
      </c>
      <c r="CR21" s="68">
        <v>10108</v>
      </c>
      <c r="CS21" s="67">
        <f t="shared" si="38"/>
        <v>19</v>
      </c>
      <c r="CT21" s="75">
        <v>2582</v>
      </c>
      <c r="CU21" s="67">
        <f t="shared" si="38"/>
        <v>12</v>
      </c>
      <c r="CV21" s="68">
        <v>6989</v>
      </c>
      <c r="CW21" s="67">
        <f t="shared" si="38"/>
        <v>78</v>
      </c>
    </row>
    <row r="22" spans="1:101" ht="25.5" customHeight="1" thickBot="1" x14ac:dyDescent="0.45">
      <c r="A22" s="63">
        <v>44062</v>
      </c>
      <c r="B22" s="44"/>
      <c r="C22" s="58">
        <v>1.7838000000000001</v>
      </c>
      <c r="D22" s="64">
        <f t="shared" si="0"/>
        <v>2399.9999999999577</v>
      </c>
      <c r="E22" s="58">
        <v>2.7536999999999998</v>
      </c>
      <c r="F22" s="64">
        <f t="shared" si="1"/>
        <v>599.99999999993395</v>
      </c>
      <c r="G22" s="58">
        <v>2.6732999999999998</v>
      </c>
      <c r="H22" s="64">
        <f t="shared" si="2"/>
        <v>1799.9999999998017</v>
      </c>
      <c r="I22" s="58">
        <v>1.2944</v>
      </c>
      <c r="J22" s="64">
        <f t="shared" si="3"/>
        <v>799.99999999991189</v>
      </c>
      <c r="K22" s="58">
        <v>2.036</v>
      </c>
      <c r="L22" s="64">
        <f t="shared" si="4"/>
        <v>1700.0000000000348</v>
      </c>
      <c r="M22" s="58">
        <v>1.2352000000000001</v>
      </c>
      <c r="N22" s="64">
        <f t="shared" si="5"/>
        <v>400.00000000017798</v>
      </c>
      <c r="O22" s="58">
        <v>12632</v>
      </c>
      <c r="P22" s="67">
        <f t="shared" si="44"/>
        <v>1</v>
      </c>
      <c r="Q22" s="58">
        <v>5671</v>
      </c>
      <c r="R22" s="67">
        <f t="shared" si="6"/>
        <v>3</v>
      </c>
      <c r="S22" s="58">
        <v>846360.2</v>
      </c>
      <c r="T22" s="67">
        <f t="shared" si="7"/>
        <v>421.39999999990687</v>
      </c>
      <c r="U22" s="58">
        <v>345099.7</v>
      </c>
      <c r="V22" s="67">
        <f t="shared" si="8"/>
        <v>151.10000000003492</v>
      </c>
      <c r="W22" s="58">
        <v>338.58</v>
      </c>
      <c r="X22" s="65">
        <f t="shared" si="9"/>
        <v>89.999999999974989</v>
      </c>
      <c r="Y22" s="58">
        <v>2.42</v>
      </c>
      <c r="Z22" s="65">
        <f t="shared" si="10"/>
        <v>399.99999999995595</v>
      </c>
      <c r="AA22" s="58">
        <v>331.44</v>
      </c>
      <c r="AB22" s="65">
        <f t="shared" si="11"/>
        <v>60.000000000002274</v>
      </c>
      <c r="AC22" s="58">
        <v>316.72000000000003</v>
      </c>
      <c r="AD22" s="65">
        <f t="shared" si="12"/>
        <v>80.000000000040927</v>
      </c>
      <c r="AE22" s="58">
        <v>495.6</v>
      </c>
      <c r="AF22" s="65">
        <f t="shared" si="13"/>
        <v>180.00000000000682</v>
      </c>
      <c r="AG22" s="58">
        <v>1331.7</v>
      </c>
      <c r="AH22" s="67">
        <f t="shared" si="14"/>
        <v>1.2000000000000455</v>
      </c>
      <c r="AI22" s="58">
        <v>448.05</v>
      </c>
      <c r="AJ22" s="65">
        <f t="shared" si="15"/>
        <v>980.00000000001819</v>
      </c>
      <c r="AK22" s="58">
        <v>156.31</v>
      </c>
      <c r="AL22" s="65">
        <f t="shared" si="15"/>
        <v>300.00000000001137</v>
      </c>
      <c r="AM22" s="58">
        <v>155.63</v>
      </c>
      <c r="AN22" s="65">
        <f t="shared" si="15"/>
        <v>299.99999999998295</v>
      </c>
      <c r="AO22" s="58">
        <v>151.32</v>
      </c>
      <c r="AP22" s="65">
        <f t="shared" si="15"/>
        <v>319.99999999999318</v>
      </c>
      <c r="AQ22" s="58">
        <v>219.95</v>
      </c>
      <c r="AR22" s="65">
        <f t="shared" si="16"/>
        <v>109.99999999998522</v>
      </c>
      <c r="AS22" s="58">
        <v>345.86</v>
      </c>
      <c r="AT22" s="65">
        <f t="shared" si="17"/>
        <v>40.000000000020464</v>
      </c>
      <c r="AU22" s="58">
        <v>266.87</v>
      </c>
      <c r="AV22" s="65">
        <f t="shared" si="18"/>
        <v>19.99999999998181</v>
      </c>
      <c r="AW22" s="58">
        <v>294.45999999999998</v>
      </c>
      <c r="AX22" s="65">
        <f t="shared" si="19"/>
        <v>19.99999999998181</v>
      </c>
      <c r="AY22" s="58">
        <v>345.68</v>
      </c>
      <c r="AZ22" s="65">
        <f t="shared" si="20"/>
        <v>9.9999999999909051</v>
      </c>
      <c r="BA22" s="58">
        <v>365.41</v>
      </c>
      <c r="BB22" s="65">
        <f t="shared" si="21"/>
        <v>10.000000000047748</v>
      </c>
      <c r="BC22" s="58">
        <v>232.1</v>
      </c>
      <c r="BD22" s="65">
        <f t="shared" si="22"/>
        <v>19.99999999998181</v>
      </c>
      <c r="BE22" s="59">
        <v>30599</v>
      </c>
      <c r="BF22" s="67">
        <f t="shared" si="39"/>
        <v>19</v>
      </c>
      <c r="BG22" s="60">
        <v>225.65</v>
      </c>
      <c r="BH22" s="65">
        <f t="shared" si="23"/>
        <v>10.000000000019327</v>
      </c>
      <c r="BI22" s="60">
        <v>283.62</v>
      </c>
      <c r="BJ22" s="65">
        <f t="shared" si="40"/>
        <v>19.99999999998181</v>
      </c>
      <c r="BK22" s="60">
        <v>231.01</v>
      </c>
      <c r="BL22" s="65">
        <f t="shared" si="24"/>
        <v>19.99999999998181</v>
      </c>
      <c r="BM22" s="60">
        <v>214.77</v>
      </c>
      <c r="BN22" s="65">
        <f t="shared" si="25"/>
        <v>20.000000000010232</v>
      </c>
      <c r="BO22" s="60">
        <v>279.69</v>
      </c>
      <c r="BP22" s="65">
        <f t="shared" si="26"/>
        <v>19.99999999998181</v>
      </c>
      <c r="BQ22" s="60">
        <v>39589</v>
      </c>
      <c r="BR22" s="65">
        <f t="shared" si="27"/>
        <v>10</v>
      </c>
      <c r="BS22" s="60">
        <v>193.74</v>
      </c>
      <c r="BT22" s="65">
        <f t="shared" si="43"/>
        <v>10.000000000019327</v>
      </c>
      <c r="BU22" s="60">
        <v>31075</v>
      </c>
      <c r="BV22" s="65">
        <f t="shared" si="29"/>
        <v>20</v>
      </c>
      <c r="BW22" s="60">
        <v>224.83</v>
      </c>
      <c r="BX22" s="65">
        <f t="shared" si="30"/>
        <v>20.000000000010232</v>
      </c>
      <c r="BY22" s="60">
        <v>49613</v>
      </c>
      <c r="BZ22" s="67">
        <f t="shared" si="31"/>
        <v>17</v>
      </c>
      <c r="CA22" s="60">
        <v>27511.599999999999</v>
      </c>
      <c r="CB22" s="67">
        <f t="shared" si="32"/>
        <v>0</v>
      </c>
      <c r="CC22" s="60">
        <v>11252.9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49006.6</v>
      </c>
      <c r="CH22" s="67">
        <f t="shared" si="35"/>
        <v>69.69999999999709</v>
      </c>
      <c r="CI22" s="60">
        <v>871848</v>
      </c>
      <c r="CJ22" s="67">
        <f t="shared" si="36"/>
        <v>202</v>
      </c>
      <c r="CK22" s="60">
        <v>596.98</v>
      </c>
      <c r="CL22" s="64">
        <f t="shared" si="37"/>
        <v>420.00000000007276</v>
      </c>
      <c r="CM22" s="65">
        <f t="shared" si="41"/>
        <v>35.799999999999955</v>
      </c>
      <c r="CN22" s="62">
        <v>0</v>
      </c>
      <c r="CO22" s="62">
        <v>0</v>
      </c>
      <c r="CP22" s="68">
        <v>544.79999999999995</v>
      </c>
      <c r="CQ22" s="67">
        <f t="shared" si="45"/>
        <v>16.799999999999955</v>
      </c>
      <c r="CR22" s="68">
        <v>10127</v>
      </c>
      <c r="CS22" s="67">
        <f t="shared" si="38"/>
        <v>19</v>
      </c>
      <c r="CT22" s="75">
        <v>2595</v>
      </c>
      <c r="CU22" s="67">
        <f t="shared" si="38"/>
        <v>13</v>
      </c>
      <c r="CV22" s="68">
        <v>7069</v>
      </c>
      <c r="CW22" s="67">
        <f t="shared" si="38"/>
        <v>80</v>
      </c>
    </row>
    <row r="23" spans="1:101" ht="25.5" customHeight="1" thickBot="1" x14ac:dyDescent="0.45">
      <c r="A23" s="63">
        <v>44063</v>
      </c>
      <c r="B23" s="44"/>
      <c r="C23" s="58">
        <v>1.7862</v>
      </c>
      <c r="D23" s="64">
        <f t="shared" si="0"/>
        <v>2399.9999999999577</v>
      </c>
      <c r="E23" s="58">
        <v>2.7543000000000002</v>
      </c>
      <c r="F23" s="64">
        <f t="shared" si="1"/>
        <v>600.00000000037801</v>
      </c>
      <c r="G23" s="58">
        <v>2.6751999999999998</v>
      </c>
      <c r="H23" s="64">
        <f t="shared" si="2"/>
        <v>1900.0000000000127</v>
      </c>
      <c r="I23" s="58">
        <v>1.2951999999999999</v>
      </c>
      <c r="J23" s="64">
        <f t="shared" si="3"/>
        <v>799.99999999991189</v>
      </c>
      <c r="K23" s="58">
        <v>2.0377000000000001</v>
      </c>
      <c r="L23" s="64">
        <f t="shared" si="4"/>
        <v>1700.0000000000348</v>
      </c>
      <c r="M23" s="58">
        <v>1.2357</v>
      </c>
      <c r="N23" s="64">
        <f t="shared" si="5"/>
        <v>499.99999999994492</v>
      </c>
      <c r="O23" s="58">
        <v>12633</v>
      </c>
      <c r="P23" s="67">
        <f t="shared" si="44"/>
        <v>1</v>
      </c>
      <c r="Q23" s="58">
        <v>5674</v>
      </c>
      <c r="R23" s="67">
        <f t="shared" si="6"/>
        <v>3</v>
      </c>
      <c r="S23" s="58">
        <v>846906.8</v>
      </c>
      <c r="T23" s="67">
        <f t="shared" si="7"/>
        <v>546.60000000009313</v>
      </c>
      <c r="U23" s="58">
        <v>345286</v>
      </c>
      <c r="V23" s="67">
        <f t="shared" si="8"/>
        <v>186.29999999998836</v>
      </c>
      <c r="W23" s="58">
        <v>338.67</v>
      </c>
      <c r="X23" s="65">
        <f t="shared" si="9"/>
        <v>90.000000000031832</v>
      </c>
      <c r="Y23" s="58">
        <v>2.4203000000000001</v>
      </c>
      <c r="Z23" s="65">
        <f t="shared" si="10"/>
        <v>300.000000000189</v>
      </c>
      <c r="AA23" s="58">
        <v>331.5</v>
      </c>
      <c r="AB23" s="65">
        <f t="shared" si="11"/>
        <v>60.000000000002274</v>
      </c>
      <c r="AC23" s="58">
        <v>316.82</v>
      </c>
      <c r="AD23" s="65">
        <f t="shared" si="12"/>
        <v>99.999999999965894</v>
      </c>
      <c r="AE23" s="58">
        <v>495.74</v>
      </c>
      <c r="AF23" s="65">
        <f t="shared" si="13"/>
        <v>139.99999999998636</v>
      </c>
      <c r="AG23" s="58">
        <v>1332.9</v>
      </c>
      <c r="AH23" s="67">
        <f t="shared" si="14"/>
        <v>1.2000000000000455</v>
      </c>
      <c r="AI23" s="58">
        <v>449.1</v>
      </c>
      <c r="AJ23" s="65">
        <f t="shared" si="15"/>
        <v>1050.0000000000114</v>
      </c>
      <c r="AK23" s="58">
        <v>156.58000000000001</v>
      </c>
      <c r="AL23" s="65">
        <f t="shared" si="15"/>
        <v>270.00000000001023</v>
      </c>
      <c r="AM23" s="58">
        <v>155.94999999999999</v>
      </c>
      <c r="AN23" s="65">
        <f t="shared" si="15"/>
        <v>319.99999999999318</v>
      </c>
      <c r="AO23" s="58">
        <v>151.65</v>
      </c>
      <c r="AP23" s="65">
        <f t="shared" si="15"/>
        <v>330.00000000001251</v>
      </c>
      <c r="AQ23" s="58">
        <v>220.07</v>
      </c>
      <c r="AR23" s="65">
        <f t="shared" si="16"/>
        <v>120.00000000000455</v>
      </c>
      <c r="AS23" s="58">
        <v>345.89</v>
      </c>
      <c r="AT23" s="65">
        <f t="shared" si="17"/>
        <v>29.999999999972715</v>
      </c>
      <c r="AU23" s="58">
        <v>266.89</v>
      </c>
      <c r="AV23" s="65">
        <f t="shared" si="18"/>
        <v>19.99999999998181</v>
      </c>
      <c r="AW23" s="58">
        <v>294.48</v>
      </c>
      <c r="AX23" s="65">
        <f t="shared" si="19"/>
        <v>20.000000000038654</v>
      </c>
      <c r="AY23" s="58">
        <v>345.71</v>
      </c>
      <c r="AZ23" s="65">
        <f t="shared" si="20"/>
        <v>29.999999999972715</v>
      </c>
      <c r="BA23" s="58">
        <v>365.44</v>
      </c>
      <c r="BB23" s="65">
        <f t="shared" si="21"/>
        <v>29.999999999972715</v>
      </c>
      <c r="BC23" s="58">
        <v>232.11</v>
      </c>
      <c r="BD23" s="65">
        <f t="shared" si="22"/>
        <v>10.000000000019327</v>
      </c>
      <c r="BE23" s="59">
        <v>30619</v>
      </c>
      <c r="BF23" s="67">
        <f t="shared" si="39"/>
        <v>20</v>
      </c>
      <c r="BG23" s="60">
        <v>225.66</v>
      </c>
      <c r="BH23" s="65">
        <f t="shared" si="23"/>
        <v>9.9999999999909051</v>
      </c>
      <c r="BI23" s="60">
        <v>283.64</v>
      </c>
      <c r="BJ23" s="65">
        <f t="shared" si="40"/>
        <v>19.99999999998181</v>
      </c>
      <c r="BK23" s="60">
        <v>231.02</v>
      </c>
      <c r="BL23" s="65">
        <f t="shared" si="24"/>
        <v>10.000000000019327</v>
      </c>
      <c r="BM23" s="60">
        <v>214.78</v>
      </c>
      <c r="BN23" s="65">
        <f t="shared" si="25"/>
        <v>9.9999999999909051</v>
      </c>
      <c r="BO23" s="60">
        <v>279.70999999999998</v>
      </c>
      <c r="BP23" s="65">
        <f t="shared" si="26"/>
        <v>19.99999999998181</v>
      </c>
      <c r="BQ23" s="60">
        <v>39601</v>
      </c>
      <c r="BR23" s="65">
        <f t="shared" si="27"/>
        <v>12</v>
      </c>
      <c r="BS23" s="60">
        <v>193.75</v>
      </c>
      <c r="BT23" s="65">
        <f t="shared" si="43"/>
        <v>9.9999999999909051</v>
      </c>
      <c r="BU23" s="60">
        <v>31094</v>
      </c>
      <c r="BV23" s="65">
        <f t="shared" si="29"/>
        <v>19</v>
      </c>
      <c r="BW23" s="60">
        <v>224.84</v>
      </c>
      <c r="BX23" s="65">
        <f t="shared" si="30"/>
        <v>9.9999999999909051</v>
      </c>
      <c r="BY23" s="60">
        <v>49625</v>
      </c>
      <c r="BZ23" s="67">
        <f t="shared" si="31"/>
        <v>12</v>
      </c>
      <c r="CA23" s="60">
        <v>27511.599999999999</v>
      </c>
      <c r="CB23" s="67">
        <f t="shared" si="32"/>
        <v>0</v>
      </c>
      <c r="CC23" s="60">
        <v>11252.9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49063.6</v>
      </c>
      <c r="CH23" s="67">
        <f t="shared" si="35"/>
        <v>57</v>
      </c>
      <c r="CI23" s="60">
        <v>872054</v>
      </c>
      <c r="CJ23" s="67">
        <f t="shared" si="36"/>
        <v>206</v>
      </c>
      <c r="CK23" s="60">
        <v>597.36</v>
      </c>
      <c r="CL23" s="64">
        <f t="shared" si="37"/>
        <v>379.99999999999545</v>
      </c>
      <c r="CM23" s="65">
        <f t="shared" si="41"/>
        <v>39.5</v>
      </c>
      <c r="CN23" s="62">
        <v>0</v>
      </c>
      <c r="CO23" s="62">
        <v>0</v>
      </c>
      <c r="CP23" s="68">
        <v>555.29999999999995</v>
      </c>
      <c r="CQ23" s="67">
        <f t="shared" si="45"/>
        <v>10.5</v>
      </c>
      <c r="CR23" s="68">
        <v>10156</v>
      </c>
      <c r="CS23" s="67">
        <f t="shared" si="38"/>
        <v>29</v>
      </c>
      <c r="CT23" s="75">
        <v>2609</v>
      </c>
      <c r="CU23" s="67">
        <f t="shared" si="38"/>
        <v>14</v>
      </c>
      <c r="CV23" s="68">
        <v>7148</v>
      </c>
      <c r="CW23" s="67">
        <f t="shared" si="38"/>
        <v>79</v>
      </c>
    </row>
    <row r="24" spans="1:101" ht="25.5" customHeight="1" thickBot="1" x14ac:dyDescent="0.45">
      <c r="A24" s="63">
        <v>44064</v>
      </c>
      <c r="B24" s="44"/>
      <c r="C24" s="58">
        <v>1.7884</v>
      </c>
      <c r="D24" s="64">
        <f t="shared" si="0"/>
        <v>2199.9999999999795</v>
      </c>
      <c r="E24" s="58">
        <v>2.7549000000000001</v>
      </c>
      <c r="F24" s="64">
        <f t="shared" si="1"/>
        <v>599.99999999993395</v>
      </c>
      <c r="G24" s="58">
        <v>2.6772999999999998</v>
      </c>
      <c r="H24" s="64">
        <f t="shared" si="2"/>
        <v>2099.9999999999909</v>
      </c>
      <c r="I24" s="58">
        <v>1.2961</v>
      </c>
      <c r="J24" s="64">
        <f t="shared" si="3"/>
        <v>900.0000000001229</v>
      </c>
      <c r="K24" s="58">
        <v>2.0394999999999999</v>
      </c>
      <c r="L24" s="64">
        <f t="shared" si="4"/>
        <v>1799.9999999998017</v>
      </c>
      <c r="M24" s="58">
        <v>1.2362</v>
      </c>
      <c r="N24" s="64">
        <f t="shared" si="5"/>
        <v>499.99999999994492</v>
      </c>
      <c r="O24" s="58">
        <v>12633</v>
      </c>
      <c r="P24" s="67">
        <f t="shared" si="44"/>
        <v>0</v>
      </c>
      <c r="Q24" s="58">
        <v>5676</v>
      </c>
      <c r="R24" s="67">
        <f t="shared" si="6"/>
        <v>2</v>
      </c>
      <c r="S24" s="58">
        <v>847389.4</v>
      </c>
      <c r="T24" s="67">
        <f t="shared" si="7"/>
        <v>482.59999999997672</v>
      </c>
      <c r="U24" s="58">
        <v>345431.1</v>
      </c>
      <c r="V24" s="67">
        <f t="shared" si="8"/>
        <v>145.09999999997672</v>
      </c>
      <c r="W24" s="58">
        <v>338.77</v>
      </c>
      <c r="X24" s="65">
        <f t="shared" si="9"/>
        <v>99.999999999965894</v>
      </c>
      <c r="Y24" s="58">
        <v>2.4207999999999998</v>
      </c>
      <c r="Z24" s="65">
        <f t="shared" si="10"/>
        <v>499.99999999972289</v>
      </c>
      <c r="AA24" s="58">
        <v>331.56</v>
      </c>
      <c r="AB24" s="65">
        <f t="shared" si="11"/>
        <v>60.000000000002274</v>
      </c>
      <c r="AC24" s="58">
        <v>316.95</v>
      </c>
      <c r="AD24" s="65">
        <f t="shared" si="12"/>
        <v>129.99999999999545</v>
      </c>
      <c r="AE24" s="58">
        <v>495.94</v>
      </c>
      <c r="AF24" s="65">
        <f t="shared" si="13"/>
        <v>199.99999999998863</v>
      </c>
      <c r="AG24" s="58">
        <v>1334.6</v>
      </c>
      <c r="AH24" s="67">
        <f t="shared" si="14"/>
        <v>1.6999999999998181</v>
      </c>
      <c r="AI24" s="58">
        <v>450.27</v>
      </c>
      <c r="AJ24" s="65">
        <f t="shared" si="15"/>
        <v>1169.9999999999591</v>
      </c>
      <c r="AK24" s="58">
        <v>156.80000000000001</v>
      </c>
      <c r="AL24" s="65">
        <f t="shared" si="15"/>
        <v>219.99999999999886</v>
      </c>
      <c r="AM24" s="58">
        <v>156.13999999999999</v>
      </c>
      <c r="AN24" s="65">
        <f t="shared" si="15"/>
        <v>189.99999999999773</v>
      </c>
      <c r="AO24" s="58">
        <v>151.83000000000001</v>
      </c>
      <c r="AP24" s="65">
        <f t="shared" si="15"/>
        <v>180.00000000000682</v>
      </c>
      <c r="AQ24" s="58">
        <v>220.15</v>
      </c>
      <c r="AR24" s="65">
        <f t="shared" si="16"/>
        <v>80.000000000012506</v>
      </c>
      <c r="AS24" s="58">
        <v>345.93</v>
      </c>
      <c r="AT24" s="65">
        <f t="shared" si="17"/>
        <v>40.000000000020464</v>
      </c>
      <c r="AU24" s="58">
        <v>266.91000000000003</v>
      </c>
      <c r="AV24" s="65">
        <f t="shared" si="18"/>
        <v>20.000000000038654</v>
      </c>
      <c r="AW24" s="58">
        <v>294.5</v>
      </c>
      <c r="AX24" s="65">
        <f t="shared" si="19"/>
        <v>19.99999999998181</v>
      </c>
      <c r="AY24" s="58">
        <v>345.71</v>
      </c>
      <c r="AZ24" s="65">
        <f t="shared" si="20"/>
        <v>0</v>
      </c>
      <c r="BA24" s="58">
        <v>365.46</v>
      </c>
      <c r="BB24" s="65">
        <f t="shared" si="21"/>
        <v>19.99999999998181</v>
      </c>
      <c r="BC24" s="58">
        <v>232.13</v>
      </c>
      <c r="BD24" s="65">
        <f t="shared" si="22"/>
        <v>19.99999999998181</v>
      </c>
      <c r="BE24" s="59">
        <v>30642</v>
      </c>
      <c r="BF24" s="67">
        <f t="shared" si="39"/>
        <v>23</v>
      </c>
      <c r="BG24" s="60">
        <v>225.67</v>
      </c>
      <c r="BH24" s="65">
        <f t="shared" si="23"/>
        <v>9.9999999999909051</v>
      </c>
      <c r="BI24" s="60">
        <v>283.66000000000003</v>
      </c>
      <c r="BJ24" s="65">
        <f t="shared" si="40"/>
        <v>20.000000000038654</v>
      </c>
      <c r="BK24" s="60">
        <v>231.05</v>
      </c>
      <c r="BL24" s="65">
        <f t="shared" si="24"/>
        <v>30.000000000001137</v>
      </c>
      <c r="BM24" s="60">
        <v>214.8</v>
      </c>
      <c r="BN24" s="65">
        <f t="shared" si="25"/>
        <v>20.000000000010232</v>
      </c>
      <c r="BO24" s="60">
        <v>279.73</v>
      </c>
      <c r="BP24" s="65">
        <f t="shared" si="26"/>
        <v>20.000000000038654</v>
      </c>
      <c r="BQ24" s="60">
        <v>39616</v>
      </c>
      <c r="BR24" s="65">
        <f t="shared" si="27"/>
        <v>15</v>
      </c>
      <c r="BS24" s="60">
        <v>193.76</v>
      </c>
      <c r="BT24" s="65">
        <f t="shared" si="43"/>
        <v>9.9999999999909051</v>
      </c>
      <c r="BU24" s="60">
        <v>31114</v>
      </c>
      <c r="BV24" s="65">
        <f t="shared" si="29"/>
        <v>20</v>
      </c>
      <c r="BW24" s="60">
        <v>224.86</v>
      </c>
      <c r="BX24" s="65">
        <f t="shared" si="30"/>
        <v>20.000000000010232</v>
      </c>
      <c r="BY24" s="60">
        <v>49643</v>
      </c>
      <c r="BZ24" s="67">
        <f t="shared" si="31"/>
        <v>18</v>
      </c>
      <c r="CA24" s="60">
        <v>27511.599999999999</v>
      </c>
      <c r="CB24" s="67">
        <f t="shared" si="32"/>
        <v>0</v>
      </c>
      <c r="CC24" s="60">
        <v>11252.9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49119.3</v>
      </c>
      <c r="CH24" s="67">
        <f t="shared" si="35"/>
        <v>55.700000000004366</v>
      </c>
      <c r="CI24" s="60">
        <v>872274</v>
      </c>
      <c r="CJ24" s="67">
        <f t="shared" si="36"/>
        <v>220</v>
      </c>
      <c r="CK24" s="60">
        <v>597.80999999999995</v>
      </c>
      <c r="CL24" s="64">
        <f t="shared" si="37"/>
        <v>449.99999999993179</v>
      </c>
      <c r="CM24" s="65">
        <f t="shared" si="41"/>
        <v>45.200000000000045</v>
      </c>
      <c r="CN24" s="62">
        <v>0</v>
      </c>
      <c r="CO24" s="62">
        <v>0</v>
      </c>
      <c r="CP24" s="68">
        <v>584.5</v>
      </c>
      <c r="CQ24" s="67">
        <f t="shared" si="45"/>
        <v>29.200000000000045</v>
      </c>
      <c r="CR24" s="68">
        <v>10172</v>
      </c>
      <c r="CS24" s="67">
        <f t="shared" si="38"/>
        <v>16</v>
      </c>
      <c r="CT24" s="75">
        <v>2625</v>
      </c>
      <c r="CU24" s="67">
        <f t="shared" si="38"/>
        <v>16</v>
      </c>
      <c r="CV24" s="68">
        <v>7240</v>
      </c>
      <c r="CW24" s="67">
        <f t="shared" si="38"/>
        <v>92</v>
      </c>
    </row>
    <row r="25" spans="1:101" ht="25.5" customHeight="1" thickBot="1" x14ac:dyDescent="0.45">
      <c r="A25" s="63">
        <v>44065</v>
      </c>
      <c r="B25" s="44"/>
      <c r="C25" s="58">
        <v>1.7901</v>
      </c>
      <c r="D25" s="64">
        <f t="shared" si="0"/>
        <v>1700.0000000000348</v>
      </c>
      <c r="E25" s="58">
        <v>2.7553999999999998</v>
      </c>
      <c r="F25" s="64">
        <f t="shared" si="1"/>
        <v>499.99999999972289</v>
      </c>
      <c r="G25" s="58">
        <v>2.6789999999999998</v>
      </c>
      <c r="H25" s="64">
        <f t="shared" si="2"/>
        <v>1700.0000000000348</v>
      </c>
      <c r="I25" s="58">
        <v>1.2968</v>
      </c>
      <c r="J25" s="64">
        <f t="shared" si="3"/>
        <v>699.99999999992292</v>
      </c>
      <c r="K25" s="58">
        <v>2.0409999999999999</v>
      </c>
      <c r="L25" s="64">
        <f t="shared" si="4"/>
        <v>1500.0000000000568</v>
      </c>
      <c r="M25" s="58">
        <v>1.2365999999999999</v>
      </c>
      <c r="N25" s="64">
        <f t="shared" si="5"/>
        <v>399.99999999995595</v>
      </c>
      <c r="O25" s="58">
        <v>12634</v>
      </c>
      <c r="P25" s="67">
        <f t="shared" si="44"/>
        <v>1</v>
      </c>
      <c r="Q25" s="58">
        <v>5678</v>
      </c>
      <c r="R25" s="67">
        <f t="shared" si="6"/>
        <v>2</v>
      </c>
      <c r="S25" s="58">
        <v>847609.2</v>
      </c>
      <c r="T25" s="67">
        <f t="shared" si="7"/>
        <v>219.79999999993015</v>
      </c>
      <c r="U25" s="58">
        <v>345531.5</v>
      </c>
      <c r="V25" s="67">
        <f t="shared" si="8"/>
        <v>100.40000000002328</v>
      </c>
      <c r="W25" s="58">
        <v>338.85</v>
      </c>
      <c r="X25" s="65">
        <f t="shared" si="9"/>
        <v>80.000000000040927</v>
      </c>
      <c r="Y25" s="58">
        <v>2.4211</v>
      </c>
      <c r="Z25" s="65">
        <f t="shared" si="10"/>
        <v>300.000000000189</v>
      </c>
      <c r="AA25" s="58">
        <v>331.61</v>
      </c>
      <c r="AB25" s="65">
        <f t="shared" si="11"/>
        <v>50.000000000011369</v>
      </c>
      <c r="AC25" s="58">
        <v>317.05</v>
      </c>
      <c r="AD25" s="65">
        <f t="shared" si="12"/>
        <v>100.00000000002274</v>
      </c>
      <c r="AE25" s="58">
        <v>496.1</v>
      </c>
      <c r="AF25" s="65">
        <f t="shared" si="13"/>
        <v>160.00000000002501</v>
      </c>
      <c r="AG25" s="58">
        <v>1336.1</v>
      </c>
      <c r="AH25" s="67">
        <f t="shared" si="14"/>
        <v>1.5</v>
      </c>
      <c r="AI25" s="58">
        <v>451.14</v>
      </c>
      <c r="AJ25" s="65">
        <f t="shared" si="15"/>
        <v>870.00000000000455</v>
      </c>
      <c r="AK25" s="58">
        <v>156.99</v>
      </c>
      <c r="AL25" s="65">
        <f t="shared" si="15"/>
        <v>189.99999999999773</v>
      </c>
      <c r="AM25" s="58">
        <v>156.21</v>
      </c>
      <c r="AN25" s="65">
        <f t="shared" si="15"/>
        <v>70.0000000000216</v>
      </c>
      <c r="AO25" s="58">
        <v>151.88</v>
      </c>
      <c r="AP25" s="65">
        <f t="shared" si="15"/>
        <v>49.999999999982947</v>
      </c>
      <c r="AQ25" s="58">
        <v>220.19</v>
      </c>
      <c r="AR25" s="65">
        <f t="shared" si="16"/>
        <v>39.999999999992042</v>
      </c>
      <c r="AS25" s="58">
        <v>345.96</v>
      </c>
      <c r="AT25" s="65">
        <f t="shared" si="17"/>
        <v>29.999999999972715</v>
      </c>
      <c r="AU25" s="58">
        <v>266.92</v>
      </c>
      <c r="AV25" s="65">
        <f t="shared" si="18"/>
        <v>9.9999999999909051</v>
      </c>
      <c r="AW25" s="58">
        <v>294.51</v>
      </c>
      <c r="AX25" s="65">
        <f t="shared" si="19"/>
        <v>9.9999999999909051</v>
      </c>
      <c r="AY25" s="58">
        <v>345.71</v>
      </c>
      <c r="AZ25" s="65">
        <f t="shared" si="20"/>
        <v>0</v>
      </c>
      <c r="BA25" s="58">
        <v>365.47</v>
      </c>
      <c r="BB25" s="65">
        <f t="shared" si="21"/>
        <v>10.000000000047748</v>
      </c>
      <c r="BC25" s="58">
        <v>232.15</v>
      </c>
      <c r="BD25" s="65">
        <f t="shared" si="22"/>
        <v>20.000000000010232</v>
      </c>
      <c r="BE25" s="59">
        <v>30666</v>
      </c>
      <c r="BF25" s="67">
        <f t="shared" si="39"/>
        <v>24</v>
      </c>
      <c r="BG25" s="60">
        <v>225.68</v>
      </c>
      <c r="BH25" s="65">
        <f t="shared" si="23"/>
        <v>10.000000000019327</v>
      </c>
      <c r="BI25" s="60">
        <v>283.67</v>
      </c>
      <c r="BJ25" s="65">
        <f t="shared" si="40"/>
        <v>9.9999999999909051</v>
      </c>
      <c r="BK25" s="60">
        <v>231.07</v>
      </c>
      <c r="BL25" s="65">
        <f t="shared" si="24"/>
        <v>19.99999999998181</v>
      </c>
      <c r="BM25" s="60">
        <v>214.82</v>
      </c>
      <c r="BN25" s="65">
        <f t="shared" si="25"/>
        <v>19.99999999998181</v>
      </c>
      <c r="BO25" s="60">
        <v>279.74</v>
      </c>
      <c r="BP25" s="65">
        <f t="shared" si="26"/>
        <v>9.9999999999909051</v>
      </c>
      <c r="BQ25" s="60">
        <v>39627</v>
      </c>
      <c r="BR25" s="65">
        <f t="shared" si="27"/>
        <v>11</v>
      </c>
      <c r="BS25" s="60">
        <v>193.77</v>
      </c>
      <c r="BT25" s="65">
        <f t="shared" si="43"/>
        <v>10.000000000019327</v>
      </c>
      <c r="BU25" s="60">
        <v>31130</v>
      </c>
      <c r="BV25" s="65">
        <f t="shared" si="29"/>
        <v>16</v>
      </c>
      <c r="BW25" s="60">
        <v>224.88</v>
      </c>
      <c r="BX25" s="65">
        <f t="shared" si="30"/>
        <v>19.99999999998181</v>
      </c>
      <c r="BY25" s="60">
        <v>49654</v>
      </c>
      <c r="BZ25" s="67">
        <f t="shared" si="31"/>
        <v>11</v>
      </c>
      <c r="CA25" s="60">
        <v>27511.599999999999</v>
      </c>
      <c r="CB25" s="67">
        <f t="shared" si="32"/>
        <v>0</v>
      </c>
      <c r="CC25" s="60">
        <v>11252.9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49166.7</v>
      </c>
      <c r="CH25" s="67">
        <f t="shared" si="35"/>
        <v>47.399999999994179</v>
      </c>
      <c r="CI25" s="60">
        <v>872453</v>
      </c>
      <c r="CJ25" s="67">
        <f t="shared" si="36"/>
        <v>179</v>
      </c>
      <c r="CK25" s="60">
        <v>598.25</v>
      </c>
      <c r="CL25" s="64">
        <f t="shared" si="37"/>
        <v>440.00000000005457</v>
      </c>
      <c r="CM25" s="65">
        <f t="shared" si="41"/>
        <v>22.600000000000023</v>
      </c>
      <c r="CN25" s="62">
        <v>0</v>
      </c>
      <c r="CO25" s="62">
        <v>0</v>
      </c>
      <c r="CP25" s="68">
        <v>591.1</v>
      </c>
      <c r="CQ25" s="67">
        <f t="shared" si="38"/>
        <v>6.6000000000000227</v>
      </c>
      <c r="CR25" s="68">
        <v>10188</v>
      </c>
      <c r="CS25" s="67">
        <f t="shared" si="38"/>
        <v>16</v>
      </c>
      <c r="CT25" s="75">
        <v>2638</v>
      </c>
      <c r="CU25" s="67">
        <f t="shared" si="38"/>
        <v>13</v>
      </c>
      <c r="CV25" s="68">
        <v>7306</v>
      </c>
      <c r="CW25" s="67">
        <f t="shared" si="38"/>
        <v>66</v>
      </c>
    </row>
    <row r="26" spans="1:101" ht="25.5" customHeight="1" thickBot="1" x14ac:dyDescent="0.45">
      <c r="A26" s="63">
        <v>44066</v>
      </c>
      <c r="B26" s="44"/>
      <c r="C26" s="58">
        <v>1.7917000000000001</v>
      </c>
      <c r="D26" s="64">
        <f t="shared" si="0"/>
        <v>1600.0000000000459</v>
      </c>
      <c r="E26" s="58">
        <v>2.7559</v>
      </c>
      <c r="F26" s="64">
        <f t="shared" si="1"/>
        <v>500.00000000016701</v>
      </c>
      <c r="G26" s="58">
        <v>2.6802999999999999</v>
      </c>
      <c r="H26" s="64">
        <f t="shared" si="2"/>
        <v>1300.0000000000789</v>
      </c>
      <c r="I26" s="58">
        <v>1.2976000000000001</v>
      </c>
      <c r="J26" s="64">
        <f t="shared" si="3"/>
        <v>800.00000000013392</v>
      </c>
      <c r="K26" s="58">
        <v>2.0425</v>
      </c>
      <c r="L26" s="64">
        <f t="shared" si="4"/>
        <v>1500.0000000000568</v>
      </c>
      <c r="M26" s="58">
        <v>1.2370000000000001</v>
      </c>
      <c r="N26" s="64">
        <f t="shared" si="5"/>
        <v>400.00000000017798</v>
      </c>
      <c r="O26" s="58">
        <v>12635</v>
      </c>
      <c r="P26" s="67">
        <f t="shared" si="44"/>
        <v>1</v>
      </c>
      <c r="Q26" s="58">
        <v>5681</v>
      </c>
      <c r="R26" s="67">
        <f t="shared" si="6"/>
        <v>3</v>
      </c>
      <c r="S26" s="58">
        <v>847697.4</v>
      </c>
      <c r="T26" s="67">
        <f t="shared" si="7"/>
        <v>88.200000000069849</v>
      </c>
      <c r="U26" s="58">
        <v>345579.7</v>
      </c>
      <c r="V26" s="67">
        <f t="shared" si="8"/>
        <v>48.200000000011642</v>
      </c>
      <c r="W26" s="58">
        <v>338.93</v>
      </c>
      <c r="X26" s="65">
        <f t="shared" si="9"/>
        <v>79.999999999984084</v>
      </c>
      <c r="Y26" s="58">
        <v>2.4214000000000002</v>
      </c>
      <c r="Z26" s="65">
        <f t="shared" si="10"/>
        <v>300.000000000189</v>
      </c>
      <c r="AA26" s="58">
        <v>331.66</v>
      </c>
      <c r="AB26" s="65">
        <f t="shared" si="11"/>
        <v>50.000000000011369</v>
      </c>
      <c r="AC26" s="58">
        <v>317.14999999999998</v>
      </c>
      <c r="AD26" s="65">
        <f t="shared" si="12"/>
        <v>99.999999999965894</v>
      </c>
      <c r="AE26" s="58">
        <v>496.25</v>
      </c>
      <c r="AF26" s="65">
        <f t="shared" si="13"/>
        <v>149.99999999997726</v>
      </c>
      <c r="AG26" s="58">
        <v>1337.6</v>
      </c>
      <c r="AH26" s="67">
        <f t="shared" si="14"/>
        <v>1.5</v>
      </c>
      <c r="AI26" s="58">
        <v>452.09</v>
      </c>
      <c r="AJ26" s="65">
        <f t="shared" si="15"/>
        <v>949.99999999998863</v>
      </c>
      <c r="AK26" s="58">
        <v>157.18</v>
      </c>
      <c r="AL26" s="65">
        <f t="shared" si="15"/>
        <v>189.99999999999773</v>
      </c>
      <c r="AM26" s="58">
        <v>156.28</v>
      </c>
      <c r="AN26" s="65">
        <f t="shared" si="15"/>
        <v>69.999999999993179</v>
      </c>
      <c r="AO26" s="58">
        <v>151.93</v>
      </c>
      <c r="AP26" s="65">
        <f t="shared" si="15"/>
        <v>50.000000000011369</v>
      </c>
      <c r="AQ26" s="58">
        <v>220.23</v>
      </c>
      <c r="AR26" s="65">
        <f t="shared" si="16"/>
        <v>39.999999999992042</v>
      </c>
      <c r="AS26" s="58">
        <v>345.98</v>
      </c>
      <c r="AT26" s="65">
        <f t="shared" si="17"/>
        <v>20.000000000038654</v>
      </c>
      <c r="AU26" s="58">
        <v>266.94</v>
      </c>
      <c r="AV26" s="65">
        <f t="shared" si="18"/>
        <v>19.99999999998181</v>
      </c>
      <c r="AW26" s="58">
        <v>294.52999999999997</v>
      </c>
      <c r="AX26" s="65">
        <f t="shared" si="19"/>
        <v>19.99999999998181</v>
      </c>
      <c r="AY26" s="58">
        <v>345.76</v>
      </c>
      <c r="AZ26" s="65">
        <f t="shared" si="20"/>
        <v>50.000000000011369</v>
      </c>
      <c r="BA26" s="58">
        <v>365.48</v>
      </c>
      <c r="BB26" s="65">
        <f t="shared" si="21"/>
        <v>9.9999999999909051</v>
      </c>
      <c r="BC26" s="58">
        <v>232.16</v>
      </c>
      <c r="BD26" s="65">
        <f t="shared" si="22"/>
        <v>9.9999999999909051</v>
      </c>
      <c r="BE26" s="59">
        <v>30685</v>
      </c>
      <c r="BF26" s="67">
        <f t="shared" si="39"/>
        <v>19</v>
      </c>
      <c r="BG26" s="60">
        <v>225.69</v>
      </c>
      <c r="BH26" s="65">
        <f t="shared" si="23"/>
        <v>9.9999999999909051</v>
      </c>
      <c r="BI26" s="60">
        <v>283.69</v>
      </c>
      <c r="BJ26" s="65">
        <f t="shared" si="40"/>
        <v>19.99999999998181</v>
      </c>
      <c r="BK26" s="60">
        <v>231.09</v>
      </c>
      <c r="BL26" s="65">
        <f t="shared" si="24"/>
        <v>20.000000000010232</v>
      </c>
      <c r="BM26" s="60">
        <v>214.83</v>
      </c>
      <c r="BN26" s="65">
        <f t="shared" si="25"/>
        <v>10.000000000019327</v>
      </c>
      <c r="BO26" s="60">
        <v>279.76</v>
      </c>
      <c r="BP26" s="65">
        <f t="shared" si="26"/>
        <v>19.99999999998181</v>
      </c>
      <c r="BQ26" s="60">
        <v>39639</v>
      </c>
      <c r="BR26" s="65">
        <f t="shared" si="27"/>
        <v>12</v>
      </c>
      <c r="BS26" s="60">
        <v>193.78</v>
      </c>
      <c r="BT26" s="65">
        <f t="shared" si="43"/>
        <v>9.9999999999909051</v>
      </c>
      <c r="BU26" s="60">
        <v>31149</v>
      </c>
      <c r="BV26" s="65">
        <f t="shared" si="29"/>
        <v>19</v>
      </c>
      <c r="BW26" s="60">
        <v>224.89</v>
      </c>
      <c r="BX26" s="65">
        <f t="shared" si="30"/>
        <v>9.9999999999909051</v>
      </c>
      <c r="BY26" s="60">
        <v>49669</v>
      </c>
      <c r="BZ26" s="67">
        <f t="shared" si="31"/>
        <v>15</v>
      </c>
      <c r="CA26" s="60">
        <v>27511.599999999999</v>
      </c>
      <c r="CB26" s="67">
        <f t="shared" si="32"/>
        <v>0</v>
      </c>
      <c r="CC26" s="60">
        <v>11252.9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49201.599999999999</v>
      </c>
      <c r="CH26" s="67">
        <f t="shared" si="35"/>
        <v>34.900000000001455</v>
      </c>
      <c r="CI26" s="60">
        <v>872632</v>
      </c>
      <c r="CJ26" s="67">
        <f t="shared" si="36"/>
        <v>179</v>
      </c>
      <c r="CK26" s="60">
        <v>598.6</v>
      </c>
      <c r="CL26" s="64">
        <f t="shared" si="37"/>
        <v>350.00000000002274</v>
      </c>
      <c r="CM26" s="65">
        <f t="shared" si="41"/>
        <v>19.399999999999977</v>
      </c>
      <c r="CN26" s="62">
        <v>0</v>
      </c>
      <c r="CO26" s="62">
        <v>0</v>
      </c>
      <c r="CP26" s="68">
        <v>599.5</v>
      </c>
      <c r="CQ26" s="67">
        <f t="shared" si="38"/>
        <v>8.3999999999999773</v>
      </c>
      <c r="CR26" s="68">
        <v>10199</v>
      </c>
      <c r="CS26" s="67">
        <f t="shared" si="38"/>
        <v>11</v>
      </c>
      <c r="CT26" s="75">
        <v>2652</v>
      </c>
      <c r="CU26" s="67">
        <f t="shared" si="38"/>
        <v>14</v>
      </c>
      <c r="CV26" s="68">
        <v>7383</v>
      </c>
      <c r="CW26" s="67">
        <f t="shared" si="38"/>
        <v>77</v>
      </c>
    </row>
    <row r="27" spans="1:101" ht="25.5" customHeight="1" thickBot="1" x14ac:dyDescent="0.45">
      <c r="A27" s="63">
        <v>44067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3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6">IF((CA34-CA33&lt;0), "",CA34-CA33)</f>
        <v>0</v>
      </c>
      <c r="CC34" s="60"/>
      <c r="CD34" s="67">
        <f t="shared" si="33"/>
        <v>0</v>
      </c>
      <c r="CE34" s="60"/>
      <c r="CF34" s="67">
        <f t="shared" ref="CF34" si="47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8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31" sqref="S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  <c r="T4" t="s">
        <v>147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20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  <c r="T8">
        <f>S8-S7</f>
        <v>0</v>
      </c>
    </row>
    <row r="9" spans="1:20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  <c r="T9">
        <f t="shared" ref="T9:T39" si="0">S9-S8</f>
        <v>0</v>
      </c>
    </row>
    <row r="10" spans="1:20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  <c r="T10">
        <f t="shared" si="0"/>
        <v>0</v>
      </c>
    </row>
    <row r="11" spans="1:20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  <c r="T11">
        <f t="shared" si="0"/>
        <v>0</v>
      </c>
    </row>
    <row r="12" spans="1:20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  <c r="T12">
        <f t="shared" si="0"/>
        <v>0</v>
      </c>
    </row>
    <row r="13" spans="1:20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  <c r="T13">
        <f t="shared" si="0"/>
        <v>0</v>
      </c>
    </row>
    <row r="14" spans="1:20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  <c r="T14">
        <f t="shared" si="0"/>
        <v>0</v>
      </c>
    </row>
    <row r="15" spans="1:20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  <c r="T15">
        <f t="shared" si="0"/>
        <v>2</v>
      </c>
    </row>
    <row r="16" spans="1:20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  <c r="T16">
        <f t="shared" si="0"/>
        <v>4</v>
      </c>
    </row>
    <row r="17" spans="1:20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  <c r="T17">
        <f t="shared" si="0"/>
        <v>3</v>
      </c>
    </row>
    <row r="18" spans="1:20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  <c r="T18">
        <f t="shared" si="0"/>
        <v>4</v>
      </c>
    </row>
    <row r="19" spans="1:20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  <c r="T19">
        <f t="shared" si="0"/>
        <v>3</v>
      </c>
    </row>
    <row r="20" spans="1:20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  <c r="T20">
        <f t="shared" si="0"/>
        <v>4</v>
      </c>
    </row>
    <row r="21" spans="1:20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  <c r="T21">
        <f t="shared" si="0"/>
        <v>4</v>
      </c>
    </row>
    <row r="22" spans="1:20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  <c r="T22">
        <f t="shared" si="0"/>
        <v>5</v>
      </c>
    </row>
    <row r="23" spans="1:20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  <c r="T23">
        <f t="shared" si="0"/>
        <v>4</v>
      </c>
    </row>
    <row r="24" spans="1:20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  <c r="T24">
        <f t="shared" si="0"/>
        <v>2</v>
      </c>
    </row>
    <row r="25" spans="1:20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87</v>
      </c>
      <c r="P25" s="39">
        <v>3</v>
      </c>
      <c r="Q25" s="39">
        <v>2752</v>
      </c>
      <c r="R25" s="78">
        <v>40</v>
      </c>
      <c r="S25" s="78">
        <v>107</v>
      </c>
      <c r="T25">
        <f t="shared" si="0"/>
        <v>5</v>
      </c>
    </row>
    <row r="26" spans="1:20" x14ac:dyDescent="0.25">
      <c r="A26" s="73">
        <v>44062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85</v>
      </c>
      <c r="P26" s="39">
        <v>1</v>
      </c>
      <c r="Q26" s="39">
        <v>2756</v>
      </c>
      <c r="R26" s="78">
        <v>35</v>
      </c>
      <c r="S26" s="78">
        <v>111</v>
      </c>
      <c r="T26">
        <f t="shared" si="0"/>
        <v>4</v>
      </c>
    </row>
    <row r="27" spans="1:20" x14ac:dyDescent="0.25">
      <c r="A27" s="73">
        <v>44063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83</v>
      </c>
      <c r="P27" s="39">
        <v>1</v>
      </c>
      <c r="Q27" s="39">
        <v>2759</v>
      </c>
      <c r="R27" s="78">
        <v>30</v>
      </c>
      <c r="S27" s="78">
        <v>113</v>
      </c>
      <c r="T27">
        <f t="shared" si="0"/>
        <v>2</v>
      </c>
    </row>
    <row r="28" spans="1:20" x14ac:dyDescent="0.25">
      <c r="A28" s="73">
        <v>44064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80</v>
      </c>
      <c r="P28" s="39">
        <v>1</v>
      </c>
      <c r="Q28" s="39">
        <v>2762</v>
      </c>
      <c r="R28" s="78">
        <v>26</v>
      </c>
      <c r="S28" s="78">
        <v>117</v>
      </c>
      <c r="T28">
        <f t="shared" si="0"/>
        <v>4</v>
      </c>
    </row>
    <row r="29" spans="1:20" x14ac:dyDescent="0.25">
      <c r="A29" s="73">
        <v>44065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77</v>
      </c>
      <c r="P29" s="39">
        <v>1</v>
      </c>
      <c r="Q29" s="39">
        <v>2766</v>
      </c>
      <c r="R29" s="78">
        <v>20</v>
      </c>
      <c r="S29" s="78">
        <v>121</v>
      </c>
      <c r="T29">
        <f t="shared" si="0"/>
        <v>4</v>
      </c>
    </row>
    <row r="30" spans="1:20" x14ac:dyDescent="0.25">
      <c r="A30" s="73">
        <v>44066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71</v>
      </c>
      <c r="P30" s="39">
        <v>1</v>
      </c>
      <c r="Q30" s="39">
        <v>2769</v>
      </c>
      <c r="R30" s="78">
        <v>18</v>
      </c>
      <c r="S30" s="78">
        <v>124</v>
      </c>
      <c r="T30">
        <f t="shared" si="0"/>
        <v>3</v>
      </c>
    </row>
    <row r="31" spans="1:20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-124</v>
      </c>
    </row>
    <row r="32" spans="1:20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2020-08-24T06:10:03Z</dcterms:modified>
</cp:coreProperties>
</file>