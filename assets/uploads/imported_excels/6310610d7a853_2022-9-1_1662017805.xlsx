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2519" documentId="11_3BED31AB7A40F8CCF12F63B4977459FD7BE6FFE9" xr6:coauthVersionLast="47" xr6:coauthVersionMax="47" xr10:uidLastSave="{3D1841A9-10D4-4ECF-A965-EA1B1DB18FDC}"/>
  <bookViews>
    <workbookView xWindow="0" yWindow="0" windowWidth="21570" windowHeight="8145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C38" i="3"/>
  <c r="D38" i="3"/>
  <c r="E38" i="3"/>
  <c r="F38" i="3"/>
  <c r="G38" i="3"/>
  <c r="H38" i="3"/>
  <c r="I38" i="3"/>
  <c r="J38" i="3"/>
  <c r="B38" i="3"/>
  <c r="L27" i="6"/>
  <c r="B39" i="3"/>
  <c r="E14" i="5"/>
  <c r="G5" i="6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<sst xmlns="http://schemas.openxmlformats.org/spreadsheetml/2006/main" count="103" uniqueCount="31">
  <si>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</si>
  <si>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</si>
  <si>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</si>
  <si>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</si>
  <si>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</si>
  <si>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</si>
  <si>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</si>
  <si>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</si>
  <si>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</si>
  <si>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</si>
  <si>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</si>
  <si>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</si>
  <si>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</si>
  <si>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</si>
  <si>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</si>
  <si>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</si>
  <si>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</si>
  <si>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</si>
  <si>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</si>
  <si>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</si>
  <si>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</si>
  <si>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</si>
  <si>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AUGUST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</si>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</sst>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/>
    <xf numFmtId="1" fontId="1" fillId="0" borderId="5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/>
    <xf numFmtId="0" fontId="2" fillId="0" borderId="11" xfId="0" applyFont="1" applyBorder="1" applyAlignment="1">
      <alignment horizontal="center" wrapText="1"/>
    </xf>
    <xf numFmtId="0" fontId="11" fillId="0" borderId="0" xfId="0" applyFont="1"/>
    <xf numFmtId="0" fontId="1" fillId="0" borderId="1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opLeftCell="B23" workbookViewId="0">
      <selection activeCell="G36" sqref="G36"/>
    </sheetView>
  </sheetViews>
  <sheetFormatPr defaultColWidth="11.5703125" defaultRowHeight="15"/>
  <cols>
    <col min="1" max="1" width="16" style="3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3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3" t="s">
        <v>12</v>
      </c>
      <c r="B2" s="11">
        <v>1</v>
      </c>
      <c r="C2" s="12">
        <v>8</v>
      </c>
      <c r="D2" s="12">
        <v>2022</v>
      </c>
      <c r="E2" s="13">
        <f>IF(('DAILY READINGS'!B7-'DAILY READINGS'!B6)&gt;0,('DAILY READINGS'!B7-'DAILY READINGS'!B6),0)</f>
        <v>9834</v>
      </c>
      <c r="F2" s="10">
        <v>0.63</v>
      </c>
      <c r="G2" s="13">
        <f>IF(('DAILY READINGS'!D7-'DAILY READINGS'!D6)+('DAILY READINGS'!E7-'DAILY READINGS'!E6)&gt;0,('DAILY READINGS'!D7-'DAILY READINGS'!D6)+('DAILY READINGS'!E7-'DAILY READINGS'!E6),0)</f>
        <v>226</v>
      </c>
      <c r="H2" s="10">
        <v>1.3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149</v>
      </c>
      <c r="J2" s="10">
        <v>1.45</v>
      </c>
      <c r="K2" s="13">
        <f>'DAILY READINGS'!K7</f>
        <v>82</v>
      </c>
      <c r="L2" s="8">
        <f>'DAILY READINGS'!L7</f>
        <v>165</v>
      </c>
    </row>
    <row r="3" spans="1:23">
      <c r="A3" s="3" t="s">
        <v>12</v>
      </c>
      <c r="B3" s="11">
        <f t="shared" ref="B3:B32" si="0">B2+1</f>
        <v>2</v>
      </c>
      <c r="C3" s="12">
        <v>8</v>
      </c>
      <c r="D3" s="12">
        <v>2022</v>
      </c>
      <c r="E3" s="13">
        <f>IF(('DAILY READINGS'!B8-'DAILY READINGS'!B7)&gt;0,('DAILY READINGS'!B8-'DAILY READINGS'!B7),0)</f>
        <v>9798</v>
      </c>
      <c r="F3" s="10">
        <v>0.63</v>
      </c>
      <c r="G3" s="13">
        <f>IF(('DAILY READINGS'!D8-'DAILY READINGS'!D7)+('DAILY READINGS'!E8-'DAILY READINGS'!E7)&gt;0,('DAILY READINGS'!D8-'DAILY READINGS'!D7)+('DAILY READINGS'!E8-'DAILY READINGS'!E7),0)</f>
        <v>226</v>
      </c>
      <c r="H3" s="10">
        <v>1.3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175</v>
      </c>
      <c r="J3" s="10">
        <v>1.45</v>
      </c>
      <c r="K3" s="13">
        <f>'DAILY READINGS'!K8</f>
        <v>59</v>
      </c>
      <c r="L3" s="8">
        <f>'DAILY READINGS'!L8</f>
        <v>119</v>
      </c>
      <c r="M3" s="13"/>
    </row>
    <row r="4" spans="1:23">
      <c r="A4" s="3" t="s">
        <v>12</v>
      </c>
      <c r="B4" s="11">
        <f t="shared" si="0"/>
        <v>3</v>
      </c>
      <c r="C4" s="12">
        <v>8</v>
      </c>
      <c r="D4" s="12">
        <v>2022</v>
      </c>
      <c r="E4" s="13">
        <f>IF(('DAILY READINGS'!B9-'DAILY READINGS'!B8)&gt;0,('DAILY READINGS'!B9-'DAILY READINGS'!B8),0)</f>
        <v>8216</v>
      </c>
      <c r="F4" s="10">
        <v>0.63</v>
      </c>
      <c r="G4" s="13">
        <f>IF(('DAILY READINGS'!D9-'DAILY READINGS'!D8)+('DAILY READINGS'!E9-'DAILY READINGS'!E8)&gt;0,('DAILY READINGS'!D9-'DAILY READINGS'!D8)+('DAILY READINGS'!E9-'DAILY READINGS'!E8),0)</f>
        <v>212</v>
      </c>
      <c r="H4" s="10">
        <v>1.3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106</v>
      </c>
      <c r="J4" s="10">
        <v>1.45</v>
      </c>
      <c r="K4" s="13">
        <f>'DAILY READINGS'!K9</f>
        <v>66</v>
      </c>
      <c r="L4" s="8">
        <f>'DAILY READINGS'!L9</f>
        <v>133</v>
      </c>
    </row>
    <row r="5" spans="1:23">
      <c r="A5" s="3" t="s">
        <v>12</v>
      </c>
      <c r="B5" s="11">
        <f t="shared" si="0"/>
        <v>4</v>
      </c>
      <c r="C5" s="12">
        <v>8</v>
      </c>
      <c r="D5" s="12">
        <v>2022</v>
      </c>
      <c r="E5" s="13">
        <f>IF(('DAILY READINGS'!B10-'DAILY READINGS'!B9)&gt;0,('DAILY READINGS'!B10-'DAILY READINGS'!B9),0)</f>
        <v>9104</v>
      </c>
      <c r="F5" s="10">
        <v>0.63</v>
      </c>
      <c r="G5" s="13">
        <f>IF(('DAILY READINGS'!D10-'DAILY READINGS'!D9)+('DAILY READINGS'!E10-'DAILY READINGS'!E9)&gt;0,('DAILY READINGS'!D10-'DAILY READINGS'!D9)+('DAILY READINGS'!E10-'DAILY READINGS'!E9),0)</f>
        <v>201</v>
      </c>
      <c r="H5" s="10">
        <v>1.3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111</v>
      </c>
      <c r="J5" s="10">
        <v>1.45</v>
      </c>
      <c r="K5" s="13">
        <f>'DAILY READINGS'!K10</f>
        <v>67</v>
      </c>
      <c r="L5" s="8">
        <f>'DAILY READINGS'!L10</f>
        <v>143</v>
      </c>
    </row>
    <row r="6" spans="1:23">
      <c r="A6" s="3" t="s">
        <v>12</v>
      </c>
      <c r="B6" s="11">
        <f t="shared" si="0"/>
        <v>5</v>
      </c>
      <c r="C6" s="12">
        <v>8</v>
      </c>
      <c r="D6" s="12">
        <v>2022</v>
      </c>
      <c r="E6" s="13">
        <f>IF(('DAILY READINGS'!B11-'DAILY READINGS'!B10)&gt;0,('DAILY READINGS'!B11-'DAILY READINGS'!B10),0)</f>
        <v>9758</v>
      </c>
      <c r="F6" s="10">
        <v>0.63</v>
      </c>
      <c r="G6" s="13">
        <f>IF(('DAILY READINGS'!D11-'DAILY READINGS'!D10)+('DAILY READINGS'!E11-'DAILY READINGS'!E10)&gt;0,('DAILY READINGS'!D11-'DAILY READINGS'!D10)+('DAILY READINGS'!E11-'DAILY READINGS'!E10),0)</f>
        <v>235</v>
      </c>
      <c r="H6" s="10">
        <v>1.3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131</v>
      </c>
      <c r="J6" s="10">
        <v>1.45</v>
      </c>
      <c r="K6" s="13">
        <f>'DAILY READINGS'!K11</f>
        <v>74</v>
      </c>
      <c r="L6" s="8">
        <f>'DAILY READINGS'!L11</f>
        <v>153</v>
      </c>
    </row>
    <row r="7" spans="1:23">
      <c r="A7" s="3" t="s">
        <v>12</v>
      </c>
      <c r="B7" s="11">
        <f t="shared" si="0"/>
        <v>6</v>
      </c>
      <c r="C7" s="12">
        <v>8</v>
      </c>
      <c r="D7" s="12">
        <v>2022</v>
      </c>
      <c r="E7" s="13">
        <f>IF(('DAILY READINGS'!B12-'DAILY READINGS'!B11)&gt;0,('DAILY READINGS'!B12-'DAILY READINGS'!B11),0)</f>
        <v>9884</v>
      </c>
      <c r="F7" s="10">
        <v>0.63</v>
      </c>
      <c r="G7" s="13">
        <f>IF(('DAILY READINGS'!D12-'DAILY READINGS'!D11)+('DAILY READINGS'!E12-'DAILY READINGS'!E11)&gt;0,('DAILY READINGS'!D12-'DAILY READINGS'!D11)+('DAILY READINGS'!E12-'DAILY READINGS'!E11),0)</f>
        <v>238</v>
      </c>
      <c r="H7" s="10">
        <v>1.3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128</v>
      </c>
      <c r="J7" s="10">
        <v>1.45</v>
      </c>
      <c r="K7" s="13">
        <f>'DAILY READINGS'!K12</f>
        <v>80</v>
      </c>
      <c r="L7" s="8">
        <f>'DAILY READINGS'!L12</f>
        <v>163</v>
      </c>
    </row>
    <row r="8" spans="1:23">
      <c r="A8" s="3" t="s">
        <v>12</v>
      </c>
      <c r="B8" s="11">
        <f t="shared" si="0"/>
        <v>7</v>
      </c>
      <c r="C8" s="12">
        <v>8</v>
      </c>
      <c r="D8" s="12">
        <v>2022</v>
      </c>
      <c r="E8" s="13">
        <f>IF(('DAILY READINGS'!B13-'DAILY READINGS'!B12)&gt;0,('DAILY READINGS'!B13-'DAILY READINGS'!B12),0)</f>
        <v>9570</v>
      </c>
      <c r="F8" s="10">
        <v>0.63</v>
      </c>
      <c r="G8" s="13">
        <f>IF(('DAILY READINGS'!D13-'DAILY READINGS'!D12)+('DAILY READINGS'!E13-'DAILY READINGS'!E12)&gt;0,('DAILY READINGS'!D13-'DAILY READINGS'!D12)+('DAILY READINGS'!E13-'DAILY READINGS'!E12),0)</f>
        <v>227</v>
      </c>
      <c r="H8" s="10">
        <v>1.3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122</v>
      </c>
      <c r="J8" s="10">
        <v>1.45</v>
      </c>
      <c r="K8" s="13">
        <f>'DAILY READINGS'!K13</f>
        <v>77</v>
      </c>
      <c r="L8" s="8">
        <f>'DAILY READINGS'!L13</f>
        <v>158</v>
      </c>
    </row>
    <row r="9" spans="1:23">
      <c r="A9" s="3" t="s">
        <v>12</v>
      </c>
      <c r="B9" s="11">
        <f t="shared" si="0"/>
        <v>8</v>
      </c>
      <c r="C9" s="12">
        <v>8</v>
      </c>
      <c r="D9" s="12">
        <v>2022</v>
      </c>
      <c r="E9" s="13">
        <f>IF(('DAILY READINGS'!B14-'DAILY READINGS'!B13)&gt;0,('DAILY READINGS'!B14-'DAILY READINGS'!B13),0)</f>
        <v>8718</v>
      </c>
      <c r="F9" s="10">
        <v>0.63</v>
      </c>
      <c r="G9" s="13">
        <f>IF(('DAILY READINGS'!D14-'DAILY READINGS'!D13)+('DAILY READINGS'!E14-'DAILY READINGS'!E13)&gt;0,('DAILY READINGS'!D14-'DAILY READINGS'!D13)+('DAILY READINGS'!E14-'DAILY READINGS'!E13),0)</f>
        <v>238</v>
      </c>
      <c r="H9" s="10">
        <v>1.3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117</v>
      </c>
      <c r="J9" s="10">
        <v>1.45</v>
      </c>
      <c r="K9" s="13">
        <f>'DAILY READINGS'!K14</f>
        <v>75</v>
      </c>
      <c r="L9" s="8">
        <f>'DAILY READINGS'!L14</f>
        <v>151</v>
      </c>
    </row>
    <row r="10" spans="1:23">
      <c r="A10" s="3" t="s">
        <v>12</v>
      </c>
      <c r="B10" s="11">
        <f t="shared" si="0"/>
        <v>9</v>
      </c>
      <c r="C10" s="12">
        <v>8</v>
      </c>
      <c r="D10" s="12">
        <v>2022</v>
      </c>
      <c r="E10" s="13">
        <f>IF(('DAILY READINGS'!B15-'DAILY READINGS'!B14)&gt;0,('DAILY READINGS'!B15-'DAILY READINGS'!B14),0)</f>
        <v>10272</v>
      </c>
      <c r="F10" s="10">
        <v>0.63</v>
      </c>
      <c r="G10" s="13">
        <f>IF(('DAILY READINGS'!D15-'DAILY READINGS'!D14)+('DAILY READINGS'!E15-'DAILY READINGS'!E14)&gt;0,('DAILY READINGS'!D15-'DAILY READINGS'!D14)+('DAILY READINGS'!E15-'DAILY READINGS'!E14),0)</f>
        <v>220</v>
      </c>
      <c r="H10" s="10">
        <v>1.3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83</v>
      </c>
      <c r="J10" s="10">
        <v>1.45</v>
      </c>
      <c r="K10" s="13">
        <f>'DAILY READINGS'!K15</f>
        <v>80</v>
      </c>
      <c r="L10" s="8">
        <f>'DAILY READINGS'!L15</f>
        <v>158</v>
      </c>
    </row>
    <row r="11" spans="1:23">
      <c r="A11" s="3" t="s">
        <v>12</v>
      </c>
      <c r="B11" s="11">
        <f t="shared" si="0"/>
        <v>10</v>
      </c>
      <c r="C11" s="12">
        <v>8</v>
      </c>
      <c r="D11" s="12">
        <v>2022</v>
      </c>
      <c r="E11" s="13">
        <f>IF(('DAILY READINGS'!B16-'DAILY READINGS'!B15)&gt;0,('DAILY READINGS'!B16-'DAILY READINGS'!B15),0)</f>
        <v>9150</v>
      </c>
      <c r="F11" s="10">
        <v>0.63</v>
      </c>
      <c r="G11" s="13">
        <f>IF(('DAILY READINGS'!D16-'DAILY READINGS'!D15)+('DAILY READINGS'!E16-'DAILY READINGS'!E15)&gt;0,('DAILY READINGS'!D16-'DAILY READINGS'!D15)+('DAILY READINGS'!E16-'DAILY READINGS'!E15),0)</f>
        <v>235</v>
      </c>
      <c r="H11" s="10">
        <v>1.3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131</v>
      </c>
      <c r="J11" s="10">
        <v>1.45</v>
      </c>
      <c r="K11" s="13">
        <f>'DAILY READINGS'!K16</f>
        <v>73</v>
      </c>
      <c r="L11" s="8">
        <f>'DAILY READINGS'!L16</f>
        <v>152</v>
      </c>
    </row>
    <row r="12" spans="1:23">
      <c r="A12" s="3" t="s">
        <v>12</v>
      </c>
      <c r="B12" s="11">
        <f t="shared" si="0"/>
        <v>11</v>
      </c>
      <c r="C12" s="12">
        <v>8</v>
      </c>
      <c r="D12" s="12">
        <v>2022</v>
      </c>
      <c r="E12" s="13">
        <f>IF(('DAILY READINGS'!B17-'DAILY READINGS'!B16)&gt;0,('DAILY READINGS'!B17-'DAILY READINGS'!B16),0)</f>
        <v>8014</v>
      </c>
      <c r="F12" s="10">
        <v>0.63</v>
      </c>
      <c r="G12" s="13">
        <f>IF(('DAILY READINGS'!D17-'DAILY READINGS'!D16)+('DAILY READINGS'!E17-'DAILY READINGS'!E16)&gt;0,('DAILY READINGS'!D17-'DAILY READINGS'!D16)+('DAILY READINGS'!E17-'DAILY READINGS'!E16),0)</f>
        <v>200</v>
      </c>
      <c r="H12" s="10">
        <v>1.3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71</v>
      </c>
      <c r="J12" s="10">
        <v>1.45</v>
      </c>
      <c r="K12" s="13">
        <f>'DAILY READINGS'!K17</f>
        <v>65</v>
      </c>
      <c r="L12" s="8">
        <f>'DAILY READINGS'!L17</f>
        <v>140</v>
      </c>
    </row>
    <row r="13" spans="1:23">
      <c r="A13" s="3" t="s">
        <v>12</v>
      </c>
      <c r="B13" s="11">
        <f t="shared" si="0"/>
        <v>12</v>
      </c>
      <c r="C13" s="12">
        <v>8</v>
      </c>
      <c r="D13" s="12">
        <v>2022</v>
      </c>
      <c r="E13" s="13">
        <f>IF(('DAILY READINGS'!B18-'DAILY READINGS'!B17)&gt;0,('DAILY READINGS'!B18-'DAILY READINGS'!B17),0)</f>
        <v>9020</v>
      </c>
      <c r="F13" s="10">
        <v>0.63</v>
      </c>
      <c r="G13" s="13">
        <f>IF(('DAILY READINGS'!D18-'DAILY READINGS'!D17)+('DAILY READINGS'!E18-'DAILY READINGS'!E17)&gt;0,('DAILY READINGS'!D18-'DAILY READINGS'!D17)+('DAILY READINGS'!E18-'DAILY READINGS'!E17),0)</f>
        <v>231</v>
      </c>
      <c r="H13" s="10">
        <v>1.3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109</v>
      </c>
      <c r="J13" s="10">
        <v>1.45</v>
      </c>
      <c r="K13" s="13">
        <f>'DAILY READINGS'!K18</f>
        <v>69</v>
      </c>
      <c r="L13" s="8">
        <f>'DAILY READINGS'!L18</f>
        <v>143</v>
      </c>
    </row>
    <row r="14" spans="1:23">
      <c r="A14" s="3" t="s">
        <v>12</v>
      </c>
      <c r="B14" s="11">
        <f t="shared" si="0"/>
        <v>13</v>
      </c>
      <c r="C14" s="12">
        <v>8</v>
      </c>
      <c r="D14" s="12">
        <v>2022</v>
      </c>
      <c r="E14" s="13">
        <f>IF(('DAILY READINGS'!B19-'DAILY READINGS'!B18)&gt;0,('DAILY READINGS'!B19-'DAILY READINGS'!B18),0)</f>
        <v>8320</v>
      </c>
      <c r="F14" s="10">
        <v>0.63</v>
      </c>
      <c r="G14" s="13">
        <f>IF(('DAILY READINGS'!D19-'DAILY READINGS'!D18)+('DAILY READINGS'!E19-'DAILY READINGS'!E18)&gt;0,('DAILY READINGS'!D19-'DAILY READINGS'!D18)+('DAILY READINGS'!E19-'DAILY READINGS'!E18),0)</f>
        <v>216</v>
      </c>
      <c r="H14" s="10">
        <v>1.3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166</v>
      </c>
      <c r="J14" s="10">
        <v>1.45</v>
      </c>
      <c r="K14" s="13">
        <v>82</v>
      </c>
      <c r="L14" s="8">
        <f>'DAILY READINGS'!L19</f>
        <v>147</v>
      </c>
    </row>
    <row r="15" spans="1:23">
      <c r="A15" s="3" t="s">
        <v>12</v>
      </c>
      <c r="B15" s="11">
        <f t="shared" si="0"/>
        <v>14</v>
      </c>
      <c r="C15" s="12">
        <v>8</v>
      </c>
      <c r="D15" s="12">
        <v>2022</v>
      </c>
      <c r="E15" s="13">
        <f>IF(('DAILY READINGS'!B20-'DAILY READINGS'!B19)&gt;0,('DAILY READINGS'!B20-'DAILY READINGS'!B19),0)</f>
        <v>8552</v>
      </c>
      <c r="F15" s="10">
        <v>0.63</v>
      </c>
      <c r="G15" s="13">
        <f>IF(('DAILY READINGS'!D20-'DAILY READINGS'!D19)+('DAILY READINGS'!E20-'DAILY READINGS'!E19)&gt;0,('DAILY READINGS'!D20-'DAILY READINGS'!D19)+('DAILY READINGS'!E20-'DAILY READINGS'!E19),0)</f>
        <v>204</v>
      </c>
      <c r="H15" s="10">
        <v>1.3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107</v>
      </c>
      <c r="J15" s="10">
        <v>1.45</v>
      </c>
      <c r="K15" s="13">
        <f>'DAILY READINGS'!K20</f>
        <v>66</v>
      </c>
      <c r="L15" s="8">
        <f>'DAILY READINGS'!L20</f>
        <v>134</v>
      </c>
    </row>
    <row r="16" spans="1:23">
      <c r="A16" s="3" t="s">
        <v>12</v>
      </c>
      <c r="B16" s="11">
        <f t="shared" si="0"/>
        <v>15</v>
      </c>
      <c r="C16" s="12">
        <v>8</v>
      </c>
      <c r="D16" s="12">
        <v>2022</v>
      </c>
      <c r="E16" s="13">
        <f>IF(('DAILY READINGS'!B21-'DAILY READINGS'!B20)&gt;0,('DAILY READINGS'!B21-'DAILY READINGS'!B20),0)</f>
        <v>8594</v>
      </c>
      <c r="F16" s="10">
        <v>0.63</v>
      </c>
      <c r="G16" s="13">
        <f>IF(('DAILY READINGS'!D21-'DAILY READINGS'!D20)+('DAILY READINGS'!E21-'DAILY READINGS'!E20)&gt;0,('DAILY READINGS'!D21-'DAILY READINGS'!D20)+('DAILY READINGS'!E21-'DAILY READINGS'!E20),0)</f>
        <v>214</v>
      </c>
      <c r="H16" s="10">
        <v>1.3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150</v>
      </c>
      <c r="J16" s="10">
        <v>1.45</v>
      </c>
      <c r="K16" s="13">
        <f>'DAILY READINGS'!K21</f>
        <v>72</v>
      </c>
      <c r="L16" s="8">
        <f>'DAILY READINGS'!L21</f>
        <v>152</v>
      </c>
    </row>
    <row r="17" spans="1:12">
      <c r="A17" s="3" t="s">
        <v>12</v>
      </c>
      <c r="B17" s="11">
        <f t="shared" si="0"/>
        <v>16</v>
      </c>
      <c r="C17" s="12">
        <v>8</v>
      </c>
      <c r="D17" s="12">
        <v>2022</v>
      </c>
      <c r="E17" s="13">
        <f>IF(('DAILY READINGS'!B22-'DAILY READINGS'!B21)&gt;0,('DAILY READINGS'!B22-'DAILY READINGS'!B21),0)</f>
        <v>9466</v>
      </c>
      <c r="F17" s="10">
        <v>0.63</v>
      </c>
      <c r="G17" s="13">
        <f>IF(('DAILY READINGS'!D22-'DAILY READINGS'!D21)+('DAILY READINGS'!E22-'DAILY READINGS'!E21)&gt;0,('DAILY READINGS'!D22-'DAILY READINGS'!D21)+('DAILY READINGS'!E22-'DAILY READINGS'!E21),0)</f>
        <v>216</v>
      </c>
      <c r="H17" s="10">
        <v>1.3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111</v>
      </c>
      <c r="J17" s="10">
        <v>1.45</v>
      </c>
      <c r="K17" s="13">
        <f>'DAILY READINGS'!K22</f>
        <v>60</v>
      </c>
      <c r="L17" s="8">
        <f>'DAILY READINGS'!L22</f>
        <v>132</v>
      </c>
    </row>
    <row r="18" spans="1:12">
      <c r="A18" s="3" t="s">
        <v>12</v>
      </c>
      <c r="B18" s="11">
        <f t="shared" si="0"/>
        <v>17</v>
      </c>
      <c r="C18" s="12">
        <v>8</v>
      </c>
      <c r="D18" s="12">
        <v>2022</v>
      </c>
      <c r="E18" s="13">
        <f>IF(('DAILY READINGS'!B23-'DAILY READINGS'!B22)&gt;0,('DAILY READINGS'!B23-'DAILY READINGS'!B22),0)</f>
        <v>9208</v>
      </c>
      <c r="F18" s="10">
        <v>0.63</v>
      </c>
      <c r="G18" s="13">
        <f>IF(('DAILY READINGS'!D23-'DAILY READINGS'!D22)+('DAILY READINGS'!E23-'DAILY READINGS'!E22)&gt;0,('DAILY READINGS'!D23-'DAILY READINGS'!D22)+('DAILY READINGS'!E23-'DAILY READINGS'!E22),0)</f>
        <v>197</v>
      </c>
      <c r="H18" s="10">
        <v>1.3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77</v>
      </c>
      <c r="J18" s="10">
        <v>1.45</v>
      </c>
      <c r="K18" s="13">
        <f>'DAILY READINGS'!K23</f>
        <v>49</v>
      </c>
      <c r="L18" s="8">
        <f>'DAILY READINGS'!L23</f>
        <v>107</v>
      </c>
    </row>
    <row r="19" spans="1:12">
      <c r="A19" s="3" t="s">
        <v>12</v>
      </c>
      <c r="B19" s="11">
        <f t="shared" si="0"/>
        <v>18</v>
      </c>
      <c r="C19" s="12">
        <v>8</v>
      </c>
      <c r="D19" s="12">
        <v>2022</v>
      </c>
      <c r="E19" s="13">
        <f>IF(('DAILY READINGS'!B24-'DAILY READINGS'!B23)&gt;0,('DAILY READINGS'!B24-'DAILY READINGS'!B23),0)</f>
        <v>8918</v>
      </c>
      <c r="F19" s="10">
        <v>0.63</v>
      </c>
      <c r="G19" s="13">
        <f>IF(('DAILY READINGS'!D24-'DAILY READINGS'!D23)+('DAILY READINGS'!E24-'DAILY READINGS'!E23)&gt;0,('DAILY READINGS'!D24-'DAILY READINGS'!D23)+('DAILY READINGS'!E24-'DAILY READINGS'!E23),0)</f>
        <v>172</v>
      </c>
      <c r="H19" s="10">
        <v>1.3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144</v>
      </c>
      <c r="J19" s="10">
        <v>1.45</v>
      </c>
      <c r="K19" s="13">
        <f>'DAILY READINGS'!K24</f>
        <v>78</v>
      </c>
      <c r="L19" s="8">
        <f>'DAILY READINGS'!L24</f>
        <v>157</v>
      </c>
    </row>
    <row r="20" spans="1:12">
      <c r="A20" s="3" t="s">
        <v>12</v>
      </c>
      <c r="B20" s="11">
        <f t="shared" si="0"/>
        <v>19</v>
      </c>
      <c r="C20" s="12">
        <v>8</v>
      </c>
      <c r="D20" s="12">
        <v>2022</v>
      </c>
      <c r="E20" s="13">
        <f>IF(('DAILY READINGS'!B25-'DAILY READINGS'!B24)&gt;0,('DAILY READINGS'!B25-'DAILY READINGS'!B24),0)</f>
        <v>10456</v>
      </c>
      <c r="F20" s="10">
        <v>0.63</v>
      </c>
      <c r="G20" s="13">
        <f>IF(('DAILY READINGS'!D25-'DAILY READINGS'!D24)+('DAILY READINGS'!E25-'DAILY READINGS'!E24)&gt;0,('DAILY READINGS'!D25-'DAILY READINGS'!D24)+('DAILY READINGS'!E25-'DAILY READINGS'!E24),0)</f>
        <v>234</v>
      </c>
      <c r="H20" s="10">
        <v>1.3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95</v>
      </c>
      <c r="J20" s="10">
        <v>1.45</v>
      </c>
      <c r="K20" s="13">
        <f>'DAILY READINGS'!K25</f>
        <v>77</v>
      </c>
      <c r="L20" s="8">
        <f>'DAILY READINGS'!L25</f>
        <v>157</v>
      </c>
    </row>
    <row r="21" spans="1:12">
      <c r="A21" s="3" t="s">
        <v>12</v>
      </c>
      <c r="B21" s="11">
        <f t="shared" si="0"/>
        <v>20</v>
      </c>
      <c r="C21" s="12">
        <v>8</v>
      </c>
      <c r="D21" s="12">
        <v>2022</v>
      </c>
      <c r="E21" s="13">
        <f>IF(('DAILY READINGS'!B26-'DAILY READINGS'!B25)&gt;0,('DAILY READINGS'!B26-'DAILY READINGS'!B25),0)</f>
        <v>8462</v>
      </c>
      <c r="F21" s="10">
        <v>0.63</v>
      </c>
      <c r="G21" s="13">
        <f>IF(('DAILY READINGS'!D26-'DAILY READINGS'!D25)+('DAILY READINGS'!E26-'DAILY READINGS'!E25)&gt;0,('DAILY READINGS'!D26-'DAILY READINGS'!D25)+('DAILY READINGS'!E26-'DAILY READINGS'!E25),0)</f>
        <v>203</v>
      </c>
      <c r="H21" s="10">
        <v>1.3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71</v>
      </c>
      <c r="J21" s="10">
        <v>1.45</v>
      </c>
      <c r="K21" s="13">
        <f>'DAILY READINGS'!K26</f>
        <v>75</v>
      </c>
      <c r="L21" s="8">
        <f>'DAILY READINGS'!L26</f>
        <v>151</v>
      </c>
    </row>
    <row r="22" spans="1:12">
      <c r="A22" s="3" t="s">
        <v>12</v>
      </c>
      <c r="B22" s="11">
        <f t="shared" si="0"/>
        <v>21</v>
      </c>
      <c r="C22" s="12">
        <v>8</v>
      </c>
      <c r="D22" s="12">
        <v>2022</v>
      </c>
      <c r="E22" s="13">
        <f>IF(('DAILY READINGS'!B27-'DAILY READINGS'!B26)&gt;0,('DAILY READINGS'!B27-'DAILY READINGS'!B26),0)</f>
        <v>9198</v>
      </c>
      <c r="F22" s="10">
        <v>0.63</v>
      </c>
      <c r="G22" s="13">
        <f>IF(('DAILY READINGS'!D27-'DAILY READINGS'!D26)+('DAILY READINGS'!E27-'DAILY READINGS'!E26)&gt;0,('DAILY READINGS'!D27-'DAILY READINGS'!D26)+('DAILY READINGS'!E27-'DAILY READINGS'!E26),0)</f>
        <v>232</v>
      </c>
      <c r="H22" s="10">
        <v>1.3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63</v>
      </c>
      <c r="J22" s="10">
        <v>1.45</v>
      </c>
      <c r="K22" s="13">
        <f>'DAILY READINGS'!K27</f>
        <v>66</v>
      </c>
      <c r="L22" s="8">
        <f>'DAILY READINGS'!L27</f>
        <v>137</v>
      </c>
    </row>
    <row r="23" spans="1:12">
      <c r="A23" s="3" t="s">
        <v>12</v>
      </c>
      <c r="B23" s="11">
        <f t="shared" si="0"/>
        <v>22</v>
      </c>
      <c r="C23" s="12">
        <v>8</v>
      </c>
      <c r="D23" s="12">
        <v>2022</v>
      </c>
      <c r="E23" s="13">
        <f>IF(('DAILY READINGS'!B28-'DAILY READINGS'!B27)&gt;0,('DAILY READINGS'!B28-'DAILY READINGS'!B27),0)</f>
        <v>7650</v>
      </c>
      <c r="F23" s="10">
        <v>0.63</v>
      </c>
      <c r="G23" s="13">
        <f>IF(('DAILY READINGS'!D28-'DAILY READINGS'!D27)+('DAILY READINGS'!E28-'DAILY READINGS'!E27)&gt;0,('DAILY READINGS'!D28-'DAILY READINGS'!D27)+('DAILY READINGS'!E28-'DAILY READINGS'!E27),0)</f>
        <v>218</v>
      </c>
      <c r="H23" s="10">
        <v>1.3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145</v>
      </c>
      <c r="J23" s="10">
        <v>1.45</v>
      </c>
      <c r="K23" s="13">
        <f>'DAILY READINGS'!K28</f>
        <v>57</v>
      </c>
      <c r="L23" s="8">
        <f>'DAILY READINGS'!L28</f>
        <v>114</v>
      </c>
    </row>
    <row r="24" spans="1:12">
      <c r="A24" s="3" t="s">
        <v>12</v>
      </c>
      <c r="B24" s="11">
        <f t="shared" si="0"/>
        <v>23</v>
      </c>
      <c r="C24" s="12">
        <v>8</v>
      </c>
      <c r="D24" s="12">
        <v>2022</v>
      </c>
      <c r="E24" s="13">
        <f>IF(('DAILY READINGS'!B29-'DAILY READINGS'!B28)&gt;0,('DAILY READINGS'!B29-'DAILY READINGS'!B28),0)</f>
        <v>8942</v>
      </c>
      <c r="F24" s="10">
        <v>0.63</v>
      </c>
      <c r="G24" s="13">
        <f>IF(('DAILY READINGS'!D29-'DAILY READINGS'!D28)+('DAILY READINGS'!E29-'DAILY READINGS'!E28)&gt;0,('DAILY READINGS'!D29-'DAILY READINGS'!D28)+('DAILY READINGS'!E29-'DAILY READINGS'!E28),0)</f>
        <v>208</v>
      </c>
      <c r="H24" s="10">
        <v>1.3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103</v>
      </c>
      <c r="J24" s="10">
        <v>1.45</v>
      </c>
      <c r="K24" s="13">
        <f>'DAILY READINGS'!K29</f>
        <v>63</v>
      </c>
      <c r="L24" s="8">
        <f>'DAILY READINGS'!L29</f>
        <v>125</v>
      </c>
    </row>
    <row r="25" spans="1:12">
      <c r="A25" s="3" t="s">
        <v>12</v>
      </c>
      <c r="B25" s="11">
        <f t="shared" si="0"/>
        <v>24</v>
      </c>
      <c r="C25" s="12">
        <v>8</v>
      </c>
      <c r="D25" s="12">
        <v>2022</v>
      </c>
      <c r="E25" s="13">
        <f>IF(('DAILY READINGS'!B30-'DAILY READINGS'!B29)&gt;0,('DAILY READINGS'!B30-'DAILY READINGS'!B29),0)</f>
        <v>8346</v>
      </c>
      <c r="F25" s="10">
        <v>0.63</v>
      </c>
      <c r="G25" s="13">
        <f>IF(('DAILY READINGS'!D30-'DAILY READINGS'!D29)+('DAILY READINGS'!E30-'DAILY READINGS'!E29)&gt;0,('DAILY READINGS'!D30-'DAILY READINGS'!D29)+('DAILY READINGS'!E30-'DAILY READINGS'!E29),0)</f>
        <v>211</v>
      </c>
      <c r="H25" s="10">
        <v>1.3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142</v>
      </c>
      <c r="J25" s="10">
        <v>1.45</v>
      </c>
      <c r="K25" s="13">
        <f>'DAILY READINGS'!K30</f>
        <v>64</v>
      </c>
      <c r="L25" s="8">
        <f>'DAILY READINGS'!L30</f>
        <v>128</v>
      </c>
    </row>
    <row r="26" spans="1:12">
      <c r="A26" s="3" t="s">
        <v>12</v>
      </c>
      <c r="B26" s="11">
        <f t="shared" si="0"/>
        <v>25</v>
      </c>
      <c r="C26" s="12">
        <v>8</v>
      </c>
      <c r="D26" s="12">
        <v>2022</v>
      </c>
      <c r="E26" s="13">
        <f>IF(('DAILY READINGS'!B31-'DAILY READINGS'!B30)&gt;0,('DAILY READINGS'!B31-'DAILY READINGS'!B30),0)</f>
        <v>8210</v>
      </c>
      <c r="F26" s="10">
        <v>0.63</v>
      </c>
      <c r="G26" s="13">
        <f>IF(('DAILY READINGS'!D31-'DAILY READINGS'!D30)+('DAILY READINGS'!E31-'DAILY READINGS'!E30)&gt;0,('DAILY READINGS'!D31-'DAILY READINGS'!D30)+('DAILY READINGS'!E31-'DAILY READINGS'!E30),0)</f>
        <v>224</v>
      </c>
      <c r="H26" s="10">
        <v>1.3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111</v>
      </c>
      <c r="J26" s="10">
        <v>1.45</v>
      </c>
      <c r="K26" s="13">
        <f>'DAILY READINGS'!K31</f>
        <v>73</v>
      </c>
      <c r="L26" s="8">
        <f>'DAILY READINGS'!L31</f>
        <v>149</v>
      </c>
    </row>
    <row r="27" spans="1:12">
      <c r="A27" s="3" t="s">
        <v>12</v>
      </c>
      <c r="B27" s="11">
        <f t="shared" si="0"/>
        <v>26</v>
      </c>
      <c r="C27" s="12">
        <v>8</v>
      </c>
      <c r="D27" s="12">
        <v>2022</v>
      </c>
      <c r="E27" s="13">
        <f>IF(('DAILY READINGS'!B32-'DAILY READINGS'!B31)&gt;0,('DAILY READINGS'!B32-'DAILY READINGS'!B31),0)</f>
        <v>8122</v>
      </c>
      <c r="F27" s="10">
        <v>0.63</v>
      </c>
      <c r="G27" s="13">
        <f>IF(('DAILY READINGS'!D32-'DAILY READINGS'!D31)+('DAILY READINGS'!E32-'DAILY READINGS'!E31)&gt;0,('DAILY READINGS'!D32-'DAILY READINGS'!D31)+('DAILY READINGS'!E32-'DAILY READINGS'!E31),0)</f>
        <v>214</v>
      </c>
      <c r="H27" s="10">
        <v>1.3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111</v>
      </c>
      <c r="J27" s="10">
        <v>1.45</v>
      </c>
      <c r="K27" s="13">
        <f>'DAILY READINGS'!K32</f>
        <v>72</v>
      </c>
      <c r="L27" s="8">
        <f>'DAILY READINGS'!L32</f>
        <v>146</v>
      </c>
    </row>
    <row r="28" spans="1:12">
      <c r="A28" s="3" t="s">
        <v>12</v>
      </c>
      <c r="B28" s="11">
        <f t="shared" si="0"/>
        <v>27</v>
      </c>
      <c r="C28" s="12">
        <v>8</v>
      </c>
      <c r="D28" s="12">
        <v>2022</v>
      </c>
      <c r="E28" s="13">
        <f>IF(('DAILY READINGS'!B33-'DAILY READINGS'!B32)&gt;0,('DAILY READINGS'!B33-'DAILY READINGS'!B32),0)</f>
        <v>7909</v>
      </c>
      <c r="F28" s="10">
        <v>0.63</v>
      </c>
      <c r="G28" s="13">
        <f>IF(('DAILY READINGS'!D33-'DAILY READINGS'!D32)+('DAILY READINGS'!E33-'DAILY READINGS'!E32)&gt;0,('DAILY READINGS'!D33-'DAILY READINGS'!D32)+('DAILY READINGS'!E33-'DAILY READINGS'!E32),0)</f>
        <v>215</v>
      </c>
      <c r="H28" s="10">
        <v>1.3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152</v>
      </c>
      <c r="J28" s="10">
        <v>1.45</v>
      </c>
      <c r="K28" s="13">
        <f>'DAILY READINGS'!K33</f>
        <v>63</v>
      </c>
      <c r="L28" s="8">
        <f>'DAILY READINGS'!L33</f>
        <v>129</v>
      </c>
    </row>
    <row r="29" spans="1:12">
      <c r="A29" s="3" t="s">
        <v>12</v>
      </c>
      <c r="B29" s="11">
        <f t="shared" si="0"/>
        <v>28</v>
      </c>
      <c r="C29" s="12">
        <v>8</v>
      </c>
      <c r="D29" s="12">
        <v>2022</v>
      </c>
      <c r="E29" s="13">
        <f>IF(('DAILY READINGS'!B34-'DAILY READINGS'!B33)&gt;0,('DAILY READINGS'!B34-'DAILY READINGS'!B33),0)</f>
        <v>8351</v>
      </c>
      <c r="F29" s="10">
        <v>0.63</v>
      </c>
      <c r="G29" s="13">
        <f>IF(('DAILY READINGS'!D34-'DAILY READINGS'!D33)+('DAILY READINGS'!E34-'DAILY READINGS'!E33)&gt;0,('DAILY READINGS'!D34-'DAILY READINGS'!D33)+('DAILY READINGS'!E34-'DAILY READINGS'!E33),0)</f>
        <v>202</v>
      </c>
      <c r="H29" s="10">
        <v>1.3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176</v>
      </c>
      <c r="J29" s="10">
        <v>1.45</v>
      </c>
      <c r="K29" s="13">
        <f>'DAILY READINGS'!K34</f>
        <v>58</v>
      </c>
      <c r="L29" s="8">
        <f>'DAILY READINGS'!L34</f>
        <v>113</v>
      </c>
    </row>
    <row r="30" spans="1:12">
      <c r="A30" s="3" t="s">
        <v>12</v>
      </c>
      <c r="B30" s="11">
        <f t="shared" si="0"/>
        <v>29</v>
      </c>
      <c r="C30" s="12">
        <v>8</v>
      </c>
      <c r="D30" s="12">
        <v>2022</v>
      </c>
      <c r="E30" s="13">
        <f>IF(('DAILY READINGS'!B35-'DAILY READINGS'!B34)&gt;0,('DAILY READINGS'!B35-'DAILY READINGS'!B34),0)</f>
        <v>8574</v>
      </c>
      <c r="F30" s="10">
        <v>0.63</v>
      </c>
      <c r="G30" s="13">
        <f>IF(('DAILY READINGS'!D35-'DAILY READINGS'!D34)+('DAILY READINGS'!E35-'DAILY READINGS'!E34)&gt;0,('DAILY READINGS'!D35-'DAILY READINGS'!D34)+('DAILY READINGS'!E35-'DAILY READINGS'!E34),0)</f>
        <v>226</v>
      </c>
      <c r="H30" s="10">
        <v>1.3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147</v>
      </c>
      <c r="J30" s="10">
        <v>1.45</v>
      </c>
      <c r="K30" s="13">
        <f>'DAILY READINGS'!K35</f>
        <v>54</v>
      </c>
      <c r="L30" s="8">
        <f>'DAILY READINGS'!L35</f>
        <v>106</v>
      </c>
    </row>
    <row r="31" spans="1:12">
      <c r="A31" s="3" t="s">
        <v>12</v>
      </c>
      <c r="B31" s="11">
        <f t="shared" si="0"/>
        <v>30</v>
      </c>
      <c r="C31" s="12">
        <v>8</v>
      </c>
      <c r="D31" s="12">
        <v>2022</v>
      </c>
      <c r="E31" s="13">
        <f>IF(('DAILY READINGS'!B36-'DAILY READINGS'!B35)&gt;0,('DAILY READINGS'!B36-'DAILY READINGS'!B35),0)</f>
        <v>8426</v>
      </c>
      <c r="F31" s="10">
        <v>0.63</v>
      </c>
      <c r="G31" s="13">
        <f>IF(('DAILY READINGS'!D36-'DAILY READINGS'!D35)+('DAILY READINGS'!E36-'DAILY READINGS'!E35)&gt;0,('DAILY READINGS'!D36-'DAILY READINGS'!D35)+('DAILY READINGS'!E36-'DAILY READINGS'!E35),0)</f>
        <v>213</v>
      </c>
      <c r="H31" s="10">
        <v>1.3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114</v>
      </c>
      <c r="J31" s="10">
        <v>1.45</v>
      </c>
      <c r="K31" s="13">
        <f>'DAILY READINGS'!K36</f>
        <v>59</v>
      </c>
      <c r="L31" s="8">
        <f>'DAILY READINGS'!L36</f>
        <v>121</v>
      </c>
    </row>
    <row r="32" spans="1:12">
      <c r="A32" s="3" t="s">
        <v>12</v>
      </c>
      <c r="B32" s="11">
        <f t="shared" si="0"/>
        <v>31</v>
      </c>
      <c r="C32" s="12">
        <v>8</v>
      </c>
      <c r="D32" s="12">
        <v>2022</v>
      </c>
      <c r="E32" s="13">
        <f>IF(('DAILY READINGS'!B37-'DAILY READINGS'!B36)&gt;0,('DAILY READINGS'!B37-'DAILY READINGS'!B36),0)</f>
        <v>9064</v>
      </c>
      <c r="F32" s="10">
        <v>0.63</v>
      </c>
      <c r="G32" s="13">
        <f>IF(('DAILY READINGS'!D37-'DAILY READINGS'!D36)+('DAILY READINGS'!E37-'DAILY READINGS'!E36)&gt;0,('DAILY READINGS'!D37-'DAILY READINGS'!D36)+('DAILY READINGS'!E37-'DAILY READINGS'!E36),0)</f>
        <v>202</v>
      </c>
      <c r="H32" s="10">
        <v>1.3</v>
      </c>
      <c r="I32" s="13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108</v>
      </c>
      <c r="J32" s="10">
        <v>1.45</v>
      </c>
      <c r="K32" s="13">
        <f>'DAILY READINGS'!K37</f>
        <v>56</v>
      </c>
      <c r="L32" s="8">
        <f>'DAILY READINGS'!L37</f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A5" workbookViewId="0">
      <selection activeCell="M20" sqref="M20"/>
    </sheetView>
  </sheetViews>
  <sheetFormatPr defaultColWidth="11.5703125" defaultRowHeight="1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3" customFormat="1" ht="81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>
      <c r="A2" s="8" t="s">
        <v>12</v>
      </c>
      <c r="B2" s="22">
        <v>1</v>
      </c>
      <c r="C2" s="22">
        <v>8</v>
      </c>
      <c r="D2" s="22">
        <v>2022</v>
      </c>
      <c r="E2" s="13">
        <f>IF(('DAILY READINGS'!B7-'DAILY READINGS'!B6)&gt;0,('DAILY READINGS'!B7-'DAILY READINGS'!B6),0)</f>
        <v>9834</v>
      </c>
      <c r="F2" s="13">
        <f>IF(('DAILY READINGS'!D7-'DAILY READINGS'!D6)&gt;0,('DAILY READINGS'!D7-'DAILY READINGS'!D6),0)</f>
        <v>81</v>
      </c>
      <c r="G2" s="13">
        <f>IF(('DAILY READINGS'!E7-'DAILY READINGS'!E6)&gt;0,('DAILY READINGS'!E7-'DAILY READINGS'!E6),0)</f>
        <v>145</v>
      </c>
      <c r="H2" s="13">
        <f>IF(('DAILY READINGS'!F7-'DAILY READINGS'!F6)&gt;0,('DAILY READINGS'!F7-'DAILY READINGS'!F6),0)</f>
        <v>2</v>
      </c>
      <c r="I2" s="13">
        <f>IF(('DAILY READINGS'!G7-'DAILY READINGS'!G6)&gt;0,('DAILY READINGS'!G7-'DAILY READINGS'!G6),0)</f>
        <v>30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1</v>
      </c>
      <c r="L2" s="13">
        <f>IF(('DAILY READINGS'!J7-'DAILY READINGS'!J6)&gt;0,('DAILY READINGS'!J7-'DAILY READINGS'!J6),0)</f>
        <v>116</v>
      </c>
      <c r="M2" s="13">
        <f>'DAILY READINGS'!K7</f>
        <v>82</v>
      </c>
      <c r="N2" s="8">
        <f>'DAILY READINGS'!L7</f>
        <v>165</v>
      </c>
    </row>
    <row r="3" spans="1:14">
      <c r="A3" s="8" t="s">
        <v>12</v>
      </c>
      <c r="B3" s="22">
        <f>B2+1</f>
        <v>2</v>
      </c>
      <c r="C3" s="22">
        <v>8</v>
      </c>
      <c r="D3" s="22">
        <v>2022</v>
      </c>
      <c r="E3" s="13">
        <f>IF(('DAILY READINGS'!B8-'DAILY READINGS'!B7)&gt;0,('DAILY READINGS'!B8-'DAILY READINGS'!B7),0)</f>
        <v>9798</v>
      </c>
      <c r="F3" s="13">
        <f>IF(('DAILY READINGS'!D8-'DAILY READINGS'!D7)&gt;0,('DAILY READINGS'!D8-'DAILY READINGS'!D7),0)</f>
        <v>82</v>
      </c>
      <c r="G3" s="13">
        <f>IF(('DAILY READINGS'!E8-'DAILY READINGS'!E7)&gt;0,('DAILY READINGS'!E8-'DAILY READINGS'!E7),0)</f>
        <v>144</v>
      </c>
      <c r="H3" s="13">
        <f>IF(('DAILY READINGS'!F8-'DAILY READINGS'!F7)&gt;0,('DAILY READINGS'!F8-'DAILY READINGS'!F7),0)</f>
        <v>1</v>
      </c>
      <c r="I3" s="13">
        <f>IF(('DAILY READINGS'!G8-'DAILY READINGS'!G7)&gt;0,('DAILY READINGS'!G8-'DAILY READINGS'!G7),0)</f>
        <v>52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1</v>
      </c>
      <c r="L3" s="13">
        <f>IF(('DAILY READINGS'!J8-'DAILY READINGS'!J7)&gt;0,('DAILY READINGS'!J8-'DAILY READINGS'!J7),0)</f>
        <v>121</v>
      </c>
      <c r="M3" s="13">
        <f>'DAILY READINGS'!K8</f>
        <v>59</v>
      </c>
      <c r="N3" s="8">
        <f>'DAILY READINGS'!L8</f>
        <v>119</v>
      </c>
    </row>
    <row r="4" spans="1:14">
      <c r="A4" s="8" t="s">
        <v>12</v>
      </c>
      <c r="B4" s="22">
        <f t="shared" ref="B4:B32" si="0">B3+1</f>
        <v>3</v>
      </c>
      <c r="C4" s="22">
        <v>8</v>
      </c>
      <c r="D4" s="22">
        <v>2022</v>
      </c>
      <c r="E4" s="13">
        <f>IF(('DAILY READINGS'!B9-'DAILY READINGS'!B8)&gt;0,('DAILY READINGS'!B9-'DAILY READINGS'!B8),0)</f>
        <v>8216</v>
      </c>
      <c r="F4" s="13">
        <f>IF(('DAILY READINGS'!D9-'DAILY READINGS'!D8)&gt;0,('DAILY READINGS'!D9-'DAILY READINGS'!D8),0)</f>
        <v>77</v>
      </c>
      <c r="G4" s="13">
        <f>IF(('DAILY READINGS'!E9-'DAILY READINGS'!E8)&gt;0,('DAILY READINGS'!E9-'DAILY READINGS'!E8),0)</f>
        <v>135</v>
      </c>
      <c r="H4" s="13">
        <f>IF(('DAILY READINGS'!F9-'DAILY READINGS'!F8)&gt;0,('DAILY READINGS'!F9-'DAILY READINGS'!F8),0)</f>
        <v>2</v>
      </c>
      <c r="I4" s="13">
        <f>IF(('DAILY READINGS'!G9-'DAILY READINGS'!G8)&gt;0,('DAILY READINGS'!G9-'DAILY READINGS'!G8),0)</f>
        <v>39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65</v>
      </c>
      <c r="M4" s="13">
        <f>'DAILY READINGS'!K9</f>
        <v>66</v>
      </c>
      <c r="N4" s="8">
        <f>'DAILY READINGS'!L9</f>
        <v>133</v>
      </c>
    </row>
    <row r="5" spans="1:14">
      <c r="A5" s="8" t="s">
        <v>12</v>
      </c>
      <c r="B5" s="22">
        <f t="shared" si="0"/>
        <v>4</v>
      </c>
      <c r="C5" s="22">
        <v>8</v>
      </c>
      <c r="D5" s="22">
        <v>2022</v>
      </c>
      <c r="E5" s="13">
        <f>IF(('DAILY READINGS'!B10-'DAILY READINGS'!B9)&gt;0,('DAILY READINGS'!B10-'DAILY READINGS'!B9),0)</f>
        <v>9104</v>
      </c>
      <c r="F5" s="13">
        <f>IF(('DAILY READINGS'!D10-'DAILY READINGS'!D9)&gt;0,('DAILY READINGS'!D10-'DAILY READINGS'!D9),0)</f>
        <v>77</v>
      </c>
      <c r="G5" s="13">
        <f>IF(('DAILY READINGS'!E10-'DAILY READINGS'!E9)&gt;0,('DAILY READINGS'!E10-'DAILY READINGS'!E9),0)</f>
        <v>124</v>
      </c>
      <c r="H5" s="13">
        <f>IF(('DAILY READINGS'!F10-'DAILY READINGS'!F9)&gt;0,('DAILY READINGS'!F10-'DAILY READINGS'!F9),0)</f>
        <v>0</v>
      </c>
      <c r="I5" s="13">
        <f>IF(('DAILY READINGS'!G10-'DAILY READINGS'!G9)&gt;0,('DAILY READINGS'!G10-'DAILY READINGS'!G9),0)</f>
        <v>35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0</v>
      </c>
      <c r="L5" s="13">
        <f>IF(('DAILY READINGS'!J10-'DAILY READINGS'!J9)&gt;0,('DAILY READINGS'!J10-'DAILY READINGS'!J9),0)</f>
        <v>76</v>
      </c>
      <c r="M5" s="13">
        <f>'DAILY READINGS'!K10</f>
        <v>67</v>
      </c>
      <c r="N5" s="8">
        <f>'DAILY READINGS'!L10</f>
        <v>143</v>
      </c>
    </row>
    <row r="6" spans="1:14">
      <c r="A6" s="8" t="s">
        <v>12</v>
      </c>
      <c r="B6" s="22">
        <f t="shared" si="0"/>
        <v>5</v>
      </c>
      <c r="C6" s="22">
        <v>8</v>
      </c>
      <c r="D6" s="22">
        <v>2022</v>
      </c>
      <c r="E6" s="13">
        <f>IF(('DAILY READINGS'!B11-'DAILY READINGS'!B10)&gt;0,('DAILY READINGS'!B11-'DAILY READINGS'!B10),0)</f>
        <v>9758</v>
      </c>
      <c r="F6" s="13">
        <f>IF(('DAILY READINGS'!D11-'DAILY READINGS'!D10)&gt;0,('DAILY READINGS'!D11-'DAILY READINGS'!D10),0)</f>
        <v>86</v>
      </c>
      <c r="G6" s="13">
        <f>IF(('DAILY READINGS'!E11-'DAILY READINGS'!E10)&gt;0,('DAILY READINGS'!E11-'DAILY READINGS'!E10),0)</f>
        <v>149</v>
      </c>
      <c r="H6" s="13">
        <f>IF(('DAILY READINGS'!F11-'DAILY READINGS'!F10)&gt;0,('DAILY READINGS'!F11-'DAILY READINGS'!F10),0)</f>
        <v>2</v>
      </c>
      <c r="I6" s="13">
        <f>IF(('DAILY READINGS'!G11-'DAILY READINGS'!G10)&gt;0,('DAILY READINGS'!G11-'DAILY READINGS'!G10),0)</f>
        <v>33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1</v>
      </c>
      <c r="L6" s="13">
        <f>IF(('DAILY READINGS'!J11-'DAILY READINGS'!J10)&gt;0,('DAILY READINGS'!J11-'DAILY READINGS'!J10),0)</f>
        <v>95</v>
      </c>
      <c r="M6" s="13">
        <f>'DAILY READINGS'!K11</f>
        <v>74</v>
      </c>
      <c r="N6" s="8">
        <f>'DAILY READINGS'!L11</f>
        <v>153</v>
      </c>
    </row>
    <row r="7" spans="1:14">
      <c r="A7" s="8" t="s">
        <v>12</v>
      </c>
      <c r="B7" s="22">
        <f t="shared" si="0"/>
        <v>6</v>
      </c>
      <c r="C7" s="22">
        <v>8</v>
      </c>
      <c r="D7" s="22">
        <v>2022</v>
      </c>
      <c r="E7" s="13">
        <f>IF(('DAILY READINGS'!B12-'DAILY READINGS'!B11)&gt;0,('DAILY READINGS'!B12-'DAILY READINGS'!B11),0)</f>
        <v>9884</v>
      </c>
      <c r="F7" s="13">
        <f>IF(('DAILY READINGS'!D12-'DAILY READINGS'!D11)&gt;0,('DAILY READINGS'!D12-'DAILY READINGS'!D11),0)</f>
        <v>89</v>
      </c>
      <c r="G7" s="13">
        <f>IF(('DAILY READINGS'!E12-'DAILY READINGS'!E11)&gt;0,('DAILY READINGS'!E12-'DAILY READINGS'!E11),0)</f>
        <v>149</v>
      </c>
      <c r="H7" s="13">
        <f>IF(('DAILY READINGS'!F12-'DAILY READINGS'!F11)&gt;0,('DAILY READINGS'!F12-'DAILY READINGS'!F11),0)</f>
        <v>2</v>
      </c>
      <c r="I7" s="13">
        <f>IF(('DAILY READINGS'!G12-'DAILY READINGS'!G11)&gt;0,('DAILY READINGS'!G12-'DAILY READINGS'!G11),0)</f>
        <v>43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83</v>
      </c>
      <c r="M7" s="13">
        <f>'DAILY READINGS'!K12</f>
        <v>80</v>
      </c>
      <c r="N7" s="8">
        <f>'DAILY READINGS'!L12</f>
        <v>163</v>
      </c>
    </row>
    <row r="8" spans="1:14">
      <c r="A8" s="8" t="s">
        <v>12</v>
      </c>
      <c r="B8" s="22">
        <f t="shared" si="0"/>
        <v>7</v>
      </c>
      <c r="C8" s="22">
        <v>8</v>
      </c>
      <c r="D8" s="22">
        <v>2022</v>
      </c>
      <c r="E8" s="13">
        <f>IF(('DAILY READINGS'!B13-'DAILY READINGS'!B12)&gt;0,('DAILY READINGS'!B13-'DAILY READINGS'!B12),0)</f>
        <v>9570</v>
      </c>
      <c r="F8" s="13">
        <f>IF(('DAILY READINGS'!D13-'DAILY READINGS'!D12)&gt;0,('DAILY READINGS'!D13-'DAILY READINGS'!D12),0)</f>
        <v>83</v>
      </c>
      <c r="G8" s="13">
        <f>IF(('DAILY READINGS'!E13-'DAILY READINGS'!E12)&gt;0,('DAILY READINGS'!E13-'DAILY READINGS'!E12),0)</f>
        <v>144</v>
      </c>
      <c r="H8" s="13">
        <f>IF(('DAILY READINGS'!F13-'DAILY READINGS'!F12)&gt;0,('DAILY READINGS'!F13-'DAILY READINGS'!F12),0)</f>
        <v>0</v>
      </c>
      <c r="I8" s="13">
        <f>IF(('DAILY READINGS'!G13-'DAILY READINGS'!G12)&gt;0,('DAILY READINGS'!G13-'DAILY READINGS'!G12),0)</f>
        <v>39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0</v>
      </c>
      <c r="L8" s="13">
        <f>IF(('DAILY READINGS'!J13-'DAILY READINGS'!J12)&gt;0,('DAILY READINGS'!J13-'DAILY READINGS'!J12),0)</f>
        <v>83</v>
      </c>
      <c r="M8" s="13">
        <f>'DAILY READINGS'!K13</f>
        <v>77</v>
      </c>
      <c r="N8" s="8">
        <f>'DAILY READINGS'!L13</f>
        <v>158</v>
      </c>
    </row>
    <row r="9" spans="1:14">
      <c r="A9" s="8" t="s">
        <v>12</v>
      </c>
      <c r="B9" s="22">
        <f t="shared" si="0"/>
        <v>8</v>
      </c>
      <c r="C9" s="22">
        <v>8</v>
      </c>
      <c r="D9" s="22">
        <v>2022</v>
      </c>
      <c r="E9" s="13">
        <f>IF(('DAILY READINGS'!B14-'DAILY READINGS'!B13)&gt;0,('DAILY READINGS'!B14-'DAILY READINGS'!B13),0)</f>
        <v>8718</v>
      </c>
      <c r="F9" s="13">
        <f>IF(('DAILY READINGS'!D14-'DAILY READINGS'!D13)&gt;0,('DAILY READINGS'!D14-'DAILY READINGS'!D13),0)</f>
        <v>91</v>
      </c>
      <c r="G9" s="13">
        <f>IF(('DAILY READINGS'!E14-'DAILY READINGS'!E13)&gt;0,('DAILY READINGS'!E14-'DAILY READINGS'!E13),0)</f>
        <v>147</v>
      </c>
      <c r="H9" s="13">
        <f>IF(('DAILY READINGS'!F14-'DAILY READINGS'!F13)&gt;0,('DAILY READINGS'!F14-'DAILY READINGS'!F13),0)</f>
        <v>2</v>
      </c>
      <c r="I9" s="13">
        <f>IF(('DAILY READINGS'!G14-'DAILY READINGS'!G13)&gt;0,('DAILY READINGS'!G14-'DAILY READINGS'!G13),0)</f>
        <v>31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1</v>
      </c>
      <c r="L9" s="13">
        <f>IF(('DAILY READINGS'!J14-'DAILY READINGS'!J13)&gt;0,('DAILY READINGS'!J14-'DAILY READINGS'!J13),0)</f>
        <v>83</v>
      </c>
      <c r="M9" s="13">
        <f>'DAILY READINGS'!K14</f>
        <v>75</v>
      </c>
      <c r="N9" s="8">
        <f>'DAILY READINGS'!L14</f>
        <v>151</v>
      </c>
    </row>
    <row r="10" spans="1:14">
      <c r="A10" s="8" t="s">
        <v>12</v>
      </c>
      <c r="B10" s="22">
        <f t="shared" si="0"/>
        <v>9</v>
      </c>
      <c r="C10" s="22">
        <v>8</v>
      </c>
      <c r="D10" s="22">
        <v>2022</v>
      </c>
      <c r="E10" s="13">
        <f>IF(('DAILY READINGS'!B15-'DAILY READINGS'!B14)&gt;0,('DAILY READINGS'!B15-'DAILY READINGS'!B14),0)</f>
        <v>10272</v>
      </c>
      <c r="F10" s="13">
        <f>IF(('DAILY READINGS'!D15-'DAILY READINGS'!D14)&gt;0,('DAILY READINGS'!D15-'DAILY READINGS'!D14),0)</f>
        <v>83</v>
      </c>
      <c r="G10" s="13">
        <f>IF(('DAILY READINGS'!E15-'DAILY READINGS'!E14)&gt;0,('DAILY READINGS'!E15-'DAILY READINGS'!E14),0)</f>
        <v>137</v>
      </c>
      <c r="H10" s="13">
        <f>IF(('DAILY READINGS'!F15-'DAILY READINGS'!F14)&gt;0,('DAILY READINGS'!F15-'DAILY READINGS'!F14),0)</f>
        <v>0</v>
      </c>
      <c r="I10" s="13">
        <f>IF(('DAILY READINGS'!G15-'DAILY READINGS'!G14)&gt;0,('DAILY READINGS'!G15-'DAILY READINGS'!G14),0)</f>
        <v>31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1</v>
      </c>
      <c r="L10" s="13">
        <f>IF(('DAILY READINGS'!J15-'DAILY READINGS'!J14)&gt;0,('DAILY READINGS'!J15-'DAILY READINGS'!J14),0)</f>
        <v>51</v>
      </c>
      <c r="M10" s="13">
        <f>'DAILY READINGS'!K15</f>
        <v>80</v>
      </c>
      <c r="N10" s="8">
        <f>'DAILY READINGS'!L15</f>
        <v>158</v>
      </c>
    </row>
    <row r="11" spans="1:14">
      <c r="A11" s="8" t="s">
        <v>12</v>
      </c>
      <c r="B11" s="22">
        <f t="shared" si="0"/>
        <v>10</v>
      </c>
      <c r="C11" s="22">
        <v>8</v>
      </c>
      <c r="D11" s="22">
        <v>2022</v>
      </c>
      <c r="E11" s="13">
        <f>IF(('DAILY READINGS'!B16-'DAILY READINGS'!B15)&gt;0,('DAILY READINGS'!B16-'DAILY READINGS'!B15),0)</f>
        <v>9150</v>
      </c>
      <c r="F11" s="13">
        <f>IF(('DAILY READINGS'!D16-'DAILY READINGS'!D15)&gt;0,('DAILY READINGS'!D16-'DAILY READINGS'!D15),0)</f>
        <v>86</v>
      </c>
      <c r="G11" s="13">
        <f>IF(('DAILY READINGS'!E16-'DAILY READINGS'!E15)&gt;0,('DAILY READINGS'!E16-'DAILY READINGS'!E15),0)</f>
        <v>149</v>
      </c>
      <c r="H11" s="13">
        <f>IF(('DAILY READINGS'!F16-'DAILY READINGS'!F15)&gt;0,('DAILY READINGS'!F16-'DAILY READINGS'!F15),0)</f>
        <v>2</v>
      </c>
      <c r="I11" s="13">
        <f>IF(('DAILY READINGS'!G16-'DAILY READINGS'!G15)&gt;0,('DAILY READINGS'!G16-'DAILY READINGS'!G15),0)</f>
        <v>52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2</v>
      </c>
      <c r="L11" s="13">
        <f>IF(('DAILY READINGS'!J16-'DAILY READINGS'!J15)&gt;0,('DAILY READINGS'!J16-'DAILY READINGS'!J15),0)</f>
        <v>75</v>
      </c>
      <c r="M11" s="13">
        <f>'DAILY READINGS'!K16</f>
        <v>73</v>
      </c>
      <c r="N11" s="8">
        <f>'DAILY READINGS'!L16</f>
        <v>152</v>
      </c>
    </row>
    <row r="12" spans="1:14">
      <c r="A12" s="8" t="s">
        <v>12</v>
      </c>
      <c r="B12" s="22">
        <f t="shared" si="0"/>
        <v>11</v>
      </c>
      <c r="C12" s="22">
        <v>8</v>
      </c>
      <c r="D12" s="22">
        <v>2022</v>
      </c>
      <c r="E12" s="13">
        <f>IF(('DAILY READINGS'!B17-'DAILY READINGS'!B16)&gt;0,('DAILY READINGS'!B17-'DAILY READINGS'!B16),0)</f>
        <v>8014</v>
      </c>
      <c r="F12" s="13">
        <f>IF(('DAILY READINGS'!D17-'DAILY READINGS'!D16)&gt;0,('DAILY READINGS'!D17-'DAILY READINGS'!D16),0)</f>
        <v>69</v>
      </c>
      <c r="G12" s="13">
        <f>IF(('DAILY READINGS'!E17-'DAILY READINGS'!E16)&gt;0,('DAILY READINGS'!E17-'DAILY READINGS'!E16),0)</f>
        <v>131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23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1</v>
      </c>
      <c r="L12" s="13">
        <f>IF(('DAILY READINGS'!J17-'DAILY READINGS'!J16)&gt;0,('DAILY READINGS'!J17-'DAILY READINGS'!J16),0)</f>
        <v>46</v>
      </c>
      <c r="M12" s="13">
        <f>'DAILY READINGS'!K17</f>
        <v>65</v>
      </c>
      <c r="N12" s="8">
        <f>'DAILY READINGS'!L17</f>
        <v>140</v>
      </c>
    </row>
    <row r="13" spans="1:14">
      <c r="A13" s="8" t="s">
        <v>12</v>
      </c>
      <c r="B13" s="22">
        <f t="shared" si="0"/>
        <v>12</v>
      </c>
      <c r="C13" s="22">
        <v>8</v>
      </c>
      <c r="D13" s="22">
        <v>2022</v>
      </c>
      <c r="E13" s="13">
        <f>IF(('DAILY READINGS'!B18-'DAILY READINGS'!B17)&gt;0,('DAILY READINGS'!B18-'DAILY READINGS'!B17),0)</f>
        <v>9020</v>
      </c>
      <c r="F13" s="13">
        <f>IF(('DAILY READINGS'!D18-'DAILY READINGS'!D17)&gt;0,('DAILY READINGS'!D18-'DAILY READINGS'!D17),0)</f>
        <v>74</v>
      </c>
      <c r="G13" s="13">
        <f>IF(('DAILY READINGS'!E18-'DAILY READINGS'!E17)&gt;0,('DAILY READINGS'!E18-'DAILY READINGS'!E17),0)</f>
        <v>157</v>
      </c>
      <c r="H13" s="13">
        <f>IF(('DAILY READINGS'!F18-'DAILY READINGS'!F17)&gt;0,('DAILY READINGS'!F18-'DAILY READINGS'!F17),0)</f>
        <v>2</v>
      </c>
      <c r="I13" s="13">
        <f>IF(('DAILY READINGS'!G18-'DAILY READINGS'!G17)&gt;0,('DAILY READINGS'!G18-'DAILY READINGS'!G17),0)</f>
        <v>41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1</v>
      </c>
      <c r="L13" s="13">
        <f>IF(('DAILY READINGS'!J18-'DAILY READINGS'!J17)&gt;0,('DAILY READINGS'!J18-'DAILY READINGS'!J17),0)</f>
        <v>65</v>
      </c>
      <c r="M13" s="13">
        <f>'DAILY READINGS'!K18</f>
        <v>69</v>
      </c>
      <c r="N13" s="8">
        <f>'DAILY READINGS'!L18</f>
        <v>143</v>
      </c>
    </row>
    <row r="14" spans="1:14">
      <c r="A14" s="8" t="s">
        <v>12</v>
      </c>
      <c r="B14" s="22">
        <f t="shared" si="0"/>
        <v>13</v>
      </c>
      <c r="C14" s="22">
        <v>8</v>
      </c>
      <c r="D14" s="22">
        <v>2022</v>
      </c>
      <c r="E14" s="13">
        <f>IF(('DAILY READINGS'!B19-'DAILY READINGS'!B18)&gt;0,('DAILY READINGS'!B19-'DAILY READINGS'!B18),0)</f>
        <v>8320</v>
      </c>
      <c r="F14" s="13">
        <f>IF(('DAILY READINGS'!D19-'DAILY READINGS'!D18)&gt;0,('DAILY READINGS'!D19-'DAILY READINGS'!D18),0)</f>
        <v>72</v>
      </c>
      <c r="G14" s="13">
        <f>IF(('DAILY READINGS'!E19-'DAILY READINGS'!E18)&gt;0,('DAILY READINGS'!E19-'DAILY READINGS'!E18),0)</f>
        <v>144</v>
      </c>
      <c r="H14" s="13">
        <f>IF(('DAILY READINGS'!F19-'DAILY READINGS'!F18)&gt;0,('DAILY READINGS'!F19-'DAILY READINGS'!F18),0)</f>
        <v>1</v>
      </c>
      <c r="I14" s="13">
        <f>IF(('DAILY READINGS'!G19-'DAILY READINGS'!G18)&gt;0,('DAILY READINGS'!G19-'DAILY READINGS'!G18),0)</f>
        <v>27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0</v>
      </c>
      <c r="L14" s="13">
        <f>IF(('DAILY READINGS'!J19-'DAILY READINGS'!J18)&gt;0,('DAILY READINGS'!J19-'DAILY READINGS'!J18),0)</f>
        <v>138</v>
      </c>
      <c r="M14" s="13">
        <f>'DAILY READINGS'!K19</f>
        <v>71</v>
      </c>
      <c r="N14" s="8">
        <f>'DAILY READINGS'!L19</f>
        <v>147</v>
      </c>
    </row>
    <row r="15" spans="1:14">
      <c r="A15" s="8" t="s">
        <v>12</v>
      </c>
      <c r="B15" s="22">
        <f t="shared" si="0"/>
        <v>14</v>
      </c>
      <c r="C15" s="22">
        <v>8</v>
      </c>
      <c r="D15" s="22">
        <v>2022</v>
      </c>
      <c r="E15" s="13">
        <f>IF(('DAILY READINGS'!B20-'DAILY READINGS'!B19)&gt;0,('DAILY READINGS'!B20-'DAILY READINGS'!B19),0)</f>
        <v>8552</v>
      </c>
      <c r="F15" s="13">
        <f>IF(('DAILY READINGS'!D20-'DAILY READINGS'!D19)&gt;0,('DAILY READINGS'!D20-'DAILY READINGS'!D19),0)</f>
        <v>65</v>
      </c>
      <c r="G15" s="13">
        <f>IF(('DAILY READINGS'!E20-'DAILY READINGS'!E19)&gt;0,('DAILY READINGS'!E20-'DAILY READINGS'!E19),0)</f>
        <v>139</v>
      </c>
      <c r="H15" s="13">
        <f>IF(('DAILY READINGS'!F20-'DAILY READINGS'!F19)&gt;0,('DAILY READINGS'!F20-'DAILY READINGS'!F19),0)</f>
        <v>0</v>
      </c>
      <c r="I15" s="13">
        <f>IF(('DAILY READINGS'!G20-'DAILY READINGS'!G19)&gt;0,('DAILY READINGS'!G20-'DAILY READINGS'!G19),0)</f>
        <v>27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1</v>
      </c>
      <c r="L15" s="13">
        <f>IF(('DAILY READINGS'!J20-'DAILY READINGS'!J19)&gt;0,('DAILY READINGS'!J20-'DAILY READINGS'!J19),0)</f>
        <v>79</v>
      </c>
      <c r="M15" s="13">
        <f>'DAILY READINGS'!K20</f>
        <v>66</v>
      </c>
      <c r="N15" s="8">
        <f>'DAILY READINGS'!L20</f>
        <v>134</v>
      </c>
    </row>
    <row r="16" spans="1:14">
      <c r="A16" s="8" t="s">
        <v>12</v>
      </c>
      <c r="B16" s="22">
        <f t="shared" si="0"/>
        <v>15</v>
      </c>
      <c r="C16" s="22">
        <v>8</v>
      </c>
      <c r="D16" s="22">
        <v>2022</v>
      </c>
      <c r="E16" s="13">
        <f>IF(('DAILY READINGS'!B21-'DAILY READINGS'!B20)&gt;0,('DAILY READINGS'!B21-'DAILY READINGS'!B20),0)</f>
        <v>8594</v>
      </c>
      <c r="F16" s="13">
        <f>IF(('DAILY READINGS'!D21-'DAILY READINGS'!D20)&gt;0,('DAILY READINGS'!D21-'DAILY READINGS'!D20),0)</f>
        <v>72</v>
      </c>
      <c r="G16" s="13">
        <f>IF(('DAILY READINGS'!E21-'DAILY READINGS'!E20)&gt;0,('DAILY READINGS'!E21-'DAILY READINGS'!E20),0)</f>
        <v>142</v>
      </c>
      <c r="H16" s="13">
        <f>IF(('DAILY READINGS'!F21-'DAILY READINGS'!F20)&gt;0,('DAILY READINGS'!F21-'DAILY READINGS'!F20),0)</f>
        <v>1</v>
      </c>
      <c r="I16" s="13">
        <f>IF(('DAILY READINGS'!G21-'DAILY READINGS'!G20)&gt;0,('DAILY READINGS'!G21-'DAILY READINGS'!G20),0)</f>
        <v>72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1</v>
      </c>
      <c r="L16" s="13">
        <f>IF(('DAILY READINGS'!J21-'DAILY READINGS'!J20)&gt;0,('DAILY READINGS'!J21-'DAILY READINGS'!J20),0)</f>
        <v>76</v>
      </c>
      <c r="M16" s="13">
        <f>'DAILY READINGS'!K21</f>
        <v>72</v>
      </c>
      <c r="N16" s="8">
        <f>'DAILY READINGS'!L21</f>
        <v>152</v>
      </c>
    </row>
    <row r="17" spans="1:14">
      <c r="A17" s="8" t="s">
        <v>12</v>
      </c>
      <c r="B17" s="22">
        <f t="shared" si="0"/>
        <v>16</v>
      </c>
      <c r="C17" s="22">
        <v>8</v>
      </c>
      <c r="D17" s="22">
        <v>2022</v>
      </c>
      <c r="E17" s="13">
        <f>IF(('DAILY READINGS'!B22-'DAILY READINGS'!B21)&gt;0,('DAILY READINGS'!B22-'DAILY READINGS'!B21),0)</f>
        <v>9466</v>
      </c>
      <c r="F17" s="13">
        <f>IF(('DAILY READINGS'!D22-'DAILY READINGS'!D21)&gt;0,('DAILY READINGS'!D22-'DAILY READINGS'!D21),0)</f>
        <v>79</v>
      </c>
      <c r="G17" s="13">
        <f>IF(('DAILY READINGS'!E22-'DAILY READINGS'!E21)&gt;0,('DAILY READINGS'!E22-'DAILY READINGS'!E21),0)</f>
        <v>137</v>
      </c>
      <c r="H17" s="13">
        <f>IF(('DAILY READINGS'!F22-'DAILY READINGS'!F21)&gt;0,('DAILY READINGS'!F22-'DAILY READINGS'!F21),0)</f>
        <v>2</v>
      </c>
      <c r="I17" s="13">
        <f>IF(('DAILY READINGS'!G22-'DAILY READINGS'!G21)&gt;0,('DAILY READINGS'!G22-'DAILY READINGS'!G21),0)</f>
        <v>38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1</v>
      </c>
      <c r="L17" s="13">
        <f>IF(('DAILY READINGS'!J22-'DAILY READINGS'!J21)&gt;0,('DAILY READINGS'!J22-'DAILY READINGS'!J21),0)</f>
        <v>70</v>
      </c>
      <c r="M17" s="13">
        <f>'DAILY READINGS'!K22</f>
        <v>60</v>
      </c>
      <c r="N17" s="8">
        <f>'DAILY READINGS'!L22</f>
        <v>132</v>
      </c>
    </row>
    <row r="18" spans="1:14">
      <c r="A18" s="8" t="s">
        <v>12</v>
      </c>
      <c r="B18" s="22">
        <f t="shared" si="0"/>
        <v>17</v>
      </c>
      <c r="C18" s="22">
        <v>8</v>
      </c>
      <c r="D18" s="22">
        <v>2022</v>
      </c>
      <c r="E18" s="13">
        <f>IF(('DAILY READINGS'!B23-'DAILY READINGS'!B22)&gt;0,('DAILY READINGS'!B23-'DAILY READINGS'!B22),0)</f>
        <v>9208</v>
      </c>
      <c r="F18" s="13">
        <f>IF(('DAILY READINGS'!D23-'DAILY READINGS'!D22)&gt;0,('DAILY READINGS'!D23-'DAILY READINGS'!D22),0)</f>
        <v>73</v>
      </c>
      <c r="G18" s="13">
        <f>IF(('DAILY READINGS'!E23-'DAILY READINGS'!E22)&gt;0,('DAILY READINGS'!E23-'DAILY READINGS'!E22),0)</f>
        <v>124</v>
      </c>
      <c r="H18" s="13">
        <f>IF(('DAILY READINGS'!F23-'DAILY READINGS'!F22)&gt;0,('DAILY READINGS'!F23-'DAILY READINGS'!F22),0)</f>
        <v>2</v>
      </c>
      <c r="I18" s="13">
        <f>IF(('DAILY READINGS'!G23-'DAILY READINGS'!G22)&gt;0,('DAILY READINGS'!G23-'DAILY READINGS'!G22),0)</f>
        <v>45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1</v>
      </c>
      <c r="L18" s="13">
        <f>IF(('DAILY READINGS'!J23-'DAILY READINGS'!J22)&gt;0,('DAILY READINGS'!J23-'DAILY READINGS'!J22),0)</f>
        <v>29</v>
      </c>
      <c r="M18" s="13">
        <f>'DAILY READINGS'!K23</f>
        <v>49</v>
      </c>
      <c r="N18" s="8">
        <f>'DAILY READINGS'!L23</f>
        <v>107</v>
      </c>
    </row>
    <row r="19" spans="1:14">
      <c r="A19" s="8" t="s">
        <v>12</v>
      </c>
      <c r="B19" s="22">
        <f t="shared" si="0"/>
        <v>18</v>
      </c>
      <c r="C19" s="22">
        <v>8</v>
      </c>
      <c r="D19" s="22">
        <v>2022</v>
      </c>
      <c r="E19" s="13">
        <f>IF(('DAILY READINGS'!B24-'DAILY READINGS'!B23)&gt;0,('DAILY READINGS'!B24-'DAILY READINGS'!B23),0)</f>
        <v>8918</v>
      </c>
      <c r="F19" s="13">
        <f>IF(('DAILY READINGS'!D24-'DAILY READINGS'!D23)&gt;0,('DAILY READINGS'!D24-'DAILY READINGS'!D23),0)</f>
        <v>56</v>
      </c>
      <c r="G19" s="13">
        <f>IF(('DAILY READINGS'!E24-'DAILY READINGS'!E23)&gt;0,('DAILY READINGS'!E24-'DAILY READINGS'!E23),0)</f>
        <v>116</v>
      </c>
      <c r="H19" s="13">
        <f>IF(('DAILY READINGS'!F24-'DAILY READINGS'!F23)&gt;0,('DAILY READINGS'!F24-'DAILY READINGS'!F23),0)</f>
        <v>0</v>
      </c>
      <c r="I19" s="13">
        <f>IF(('DAILY READINGS'!G24-'DAILY READINGS'!G23)&gt;0,('DAILY READINGS'!G24-'DAILY READINGS'!G23),0)</f>
        <v>27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116</v>
      </c>
      <c r="M19" s="13">
        <f>'DAILY READINGS'!K24</f>
        <v>78</v>
      </c>
      <c r="N19" s="8">
        <f>'DAILY READINGS'!L24</f>
        <v>157</v>
      </c>
    </row>
    <row r="20" spans="1:14">
      <c r="A20" s="8" t="s">
        <v>12</v>
      </c>
      <c r="B20" s="22">
        <f t="shared" si="0"/>
        <v>19</v>
      </c>
      <c r="C20" s="22">
        <v>8</v>
      </c>
      <c r="D20" s="22">
        <v>2022</v>
      </c>
      <c r="E20" s="13">
        <f>IF(('DAILY READINGS'!B25-'DAILY READINGS'!B24)&gt;0,('DAILY READINGS'!B25-'DAILY READINGS'!B24),0)</f>
        <v>10456</v>
      </c>
      <c r="F20" s="13">
        <f>IF(('DAILY READINGS'!D25-'DAILY READINGS'!D24)&gt;0,('DAILY READINGS'!D25-'DAILY READINGS'!D24),0)</f>
        <v>86</v>
      </c>
      <c r="G20" s="13">
        <f>IF(('DAILY READINGS'!E25-'DAILY READINGS'!E24)&gt;0,('DAILY READINGS'!E25-'DAILY READINGS'!E24),0)</f>
        <v>148</v>
      </c>
      <c r="H20" s="13">
        <f>IF(('DAILY READINGS'!F25-'DAILY READINGS'!F24)&gt;0,('DAILY READINGS'!F25-'DAILY READINGS'!F24),0)</f>
        <v>1</v>
      </c>
      <c r="I20" s="13">
        <f>IF(('DAILY READINGS'!G25-'DAILY READINGS'!G24)&gt;0,('DAILY READINGS'!G25-'DAILY READINGS'!G24),0)</f>
        <v>13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1</v>
      </c>
      <c r="L20" s="13">
        <f>IF(('DAILY READINGS'!J25-'DAILY READINGS'!J24)&gt;0,('DAILY READINGS'!J25-'DAILY READINGS'!J24),0)</f>
        <v>80</v>
      </c>
      <c r="M20" s="13">
        <f>'DAILY READINGS'!K25</f>
        <v>77</v>
      </c>
      <c r="N20" s="8">
        <f>'DAILY READINGS'!L25</f>
        <v>157</v>
      </c>
    </row>
    <row r="21" spans="1:14">
      <c r="A21" s="8" t="s">
        <v>12</v>
      </c>
      <c r="B21" s="22">
        <f t="shared" si="0"/>
        <v>20</v>
      </c>
      <c r="C21" s="22">
        <v>8</v>
      </c>
      <c r="D21" s="22">
        <v>2022</v>
      </c>
      <c r="E21" s="13">
        <f>IF(('DAILY READINGS'!B26-'DAILY READINGS'!B25)&gt;0,('DAILY READINGS'!B26-'DAILY READINGS'!B25),0)</f>
        <v>8462</v>
      </c>
      <c r="F21" s="13">
        <f>IF(('DAILY READINGS'!D26-'DAILY READINGS'!D25)&gt;0,('DAILY READINGS'!D26-'DAILY READINGS'!D25),0)</f>
        <v>66</v>
      </c>
      <c r="G21" s="13">
        <f>IF(('DAILY READINGS'!E26-'DAILY READINGS'!E25)&gt;0,('DAILY READINGS'!E26-'DAILY READINGS'!E25),0)</f>
        <v>137</v>
      </c>
      <c r="H21" s="13">
        <f>IF(('DAILY READINGS'!F26-'DAILY READINGS'!F25)&gt;0,('DAILY READINGS'!F26-'DAILY READINGS'!F25),0)</f>
        <v>2</v>
      </c>
      <c r="I21" s="13">
        <f>IF(('DAILY READINGS'!G26-'DAILY READINGS'!G25)&gt;0,('DAILY READINGS'!G26-'DAILY READINGS'!G25),0)</f>
        <v>21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0</v>
      </c>
      <c r="L21" s="13">
        <f>IF(('DAILY READINGS'!J26-'DAILY READINGS'!J25)&gt;0,('DAILY READINGS'!J26-'DAILY READINGS'!J25),0)</f>
        <v>48</v>
      </c>
      <c r="M21" s="13">
        <f>'DAILY READINGS'!K26</f>
        <v>75</v>
      </c>
      <c r="N21" s="8">
        <f>'DAILY READINGS'!L26</f>
        <v>151</v>
      </c>
    </row>
    <row r="22" spans="1:14">
      <c r="A22" s="8" t="s">
        <v>12</v>
      </c>
      <c r="B22" s="22">
        <f t="shared" si="0"/>
        <v>21</v>
      </c>
      <c r="C22" s="22">
        <v>8</v>
      </c>
      <c r="D22" s="22">
        <v>2022</v>
      </c>
      <c r="E22" s="13">
        <f>IF(('DAILY READINGS'!B27-'DAILY READINGS'!B26)&gt;0,('DAILY READINGS'!B27-'DAILY READINGS'!B26),0)</f>
        <v>9198</v>
      </c>
      <c r="F22" s="13">
        <f>IF(('DAILY READINGS'!D27-'DAILY READINGS'!D26)&gt;0,('DAILY READINGS'!D27-'DAILY READINGS'!D26),0)</f>
        <v>80</v>
      </c>
      <c r="G22" s="13">
        <f>IF(('DAILY READINGS'!E27-'DAILY READINGS'!E26)&gt;0,('DAILY READINGS'!E27-'DAILY READINGS'!E26),0)</f>
        <v>152</v>
      </c>
      <c r="H22" s="13">
        <f>IF(('DAILY READINGS'!F27-'DAILY READINGS'!F26)&gt;0,('DAILY READINGS'!F27-'DAILY READINGS'!F26),0)</f>
        <v>1</v>
      </c>
      <c r="I22" s="13">
        <f>IF(('DAILY READINGS'!G27-'DAILY READINGS'!G26)&gt;0,('DAILY READINGS'!G27-'DAILY READINGS'!G26),0)</f>
        <v>11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1</v>
      </c>
      <c r="L22" s="13">
        <f>IF(('DAILY READINGS'!J27-'DAILY READINGS'!J26)&gt;0,('DAILY READINGS'!J27-'DAILY READINGS'!J26),0)</f>
        <v>50</v>
      </c>
      <c r="M22" s="13">
        <f>'DAILY READINGS'!K27</f>
        <v>66</v>
      </c>
      <c r="N22" s="8">
        <f>'DAILY READINGS'!L27</f>
        <v>137</v>
      </c>
    </row>
    <row r="23" spans="1:14">
      <c r="A23" s="8" t="s">
        <v>12</v>
      </c>
      <c r="B23" s="22">
        <f t="shared" si="0"/>
        <v>22</v>
      </c>
      <c r="C23" s="22">
        <v>8</v>
      </c>
      <c r="D23" s="22">
        <v>2022</v>
      </c>
      <c r="E23" s="13">
        <f>IF(('DAILY READINGS'!B28-'DAILY READINGS'!B27)&gt;0,('DAILY READINGS'!B28-'DAILY READINGS'!B27),0)</f>
        <v>7650</v>
      </c>
      <c r="F23" s="13">
        <f>IF(('DAILY READINGS'!D28-'DAILY READINGS'!D27)&gt;0,('DAILY READINGS'!D28-'DAILY READINGS'!D27),0)</f>
        <v>70</v>
      </c>
      <c r="G23" s="13">
        <f>IF(('DAILY READINGS'!E28-'DAILY READINGS'!E27)&gt;0,('DAILY READINGS'!E28-'DAILY READINGS'!E27),0)</f>
        <v>148</v>
      </c>
      <c r="H23" s="13">
        <f>IF(('DAILY READINGS'!F28-'DAILY READINGS'!F27)&gt;0,('DAILY READINGS'!F28-'DAILY READINGS'!F27),0)</f>
        <v>2</v>
      </c>
      <c r="I23" s="13">
        <f>IF(('DAILY READINGS'!G28-'DAILY READINGS'!G27)&gt;0,('DAILY READINGS'!G28-'DAILY READINGS'!G27),0)</f>
        <v>17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125</v>
      </c>
      <c r="M23" s="13">
        <f>'DAILY READINGS'!K28</f>
        <v>57</v>
      </c>
      <c r="N23" s="8">
        <f>'DAILY READINGS'!L28</f>
        <v>114</v>
      </c>
    </row>
    <row r="24" spans="1:14">
      <c r="A24" s="8" t="s">
        <v>12</v>
      </c>
      <c r="B24" s="22">
        <f t="shared" si="0"/>
        <v>23</v>
      </c>
      <c r="C24" s="22">
        <v>8</v>
      </c>
      <c r="D24" s="22">
        <v>2022</v>
      </c>
      <c r="E24" s="13">
        <f>IF(('DAILY READINGS'!B29-'DAILY READINGS'!B28)&gt;0,('DAILY READINGS'!B29-'DAILY READINGS'!B28),0)</f>
        <v>8942</v>
      </c>
      <c r="F24" s="13">
        <f>IF(('DAILY READINGS'!D29-'DAILY READINGS'!D28)&gt;0,('DAILY READINGS'!D29-'DAILY READINGS'!D28),0)</f>
        <v>74</v>
      </c>
      <c r="G24" s="13">
        <f>IF(('DAILY READINGS'!E29-'DAILY READINGS'!E28)&gt;0,('DAILY READINGS'!E29-'DAILY READINGS'!E28),0)</f>
        <v>134</v>
      </c>
      <c r="H24" s="13">
        <f>IF(('DAILY READINGS'!F29-'DAILY READINGS'!F28)&gt;0,('DAILY READINGS'!F29-'DAILY READINGS'!F28),0)</f>
        <v>1</v>
      </c>
      <c r="I24" s="13">
        <f>IF(('DAILY READINGS'!G29-'DAILY READINGS'!G28)&gt;0,('DAILY READINGS'!G29-'DAILY READINGS'!G28),0)</f>
        <v>41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61</v>
      </c>
      <c r="M24" s="13">
        <f>'DAILY READINGS'!K29</f>
        <v>63</v>
      </c>
      <c r="N24" s="8">
        <f>'DAILY READINGS'!L29</f>
        <v>125</v>
      </c>
    </row>
    <row r="25" spans="1:14">
      <c r="A25" s="8" t="s">
        <v>12</v>
      </c>
      <c r="B25" s="22">
        <f t="shared" si="0"/>
        <v>24</v>
      </c>
      <c r="C25" s="22">
        <v>8</v>
      </c>
      <c r="D25" s="22">
        <v>2022</v>
      </c>
      <c r="E25" s="13">
        <f>IF(('DAILY READINGS'!B30-'DAILY READINGS'!B29)&gt;0,('DAILY READINGS'!B30-'DAILY READINGS'!B29),0)</f>
        <v>8346</v>
      </c>
      <c r="F25" s="13">
        <f>IF(('DAILY READINGS'!D30-'DAILY READINGS'!D29)&gt;0,('DAILY READINGS'!D30-'DAILY READINGS'!D29),0)</f>
        <v>76</v>
      </c>
      <c r="G25" s="13">
        <f>IF(('DAILY READINGS'!E30-'DAILY READINGS'!E29)&gt;0,('DAILY READINGS'!E30-'DAILY READINGS'!E29),0)</f>
        <v>135</v>
      </c>
      <c r="H25" s="13">
        <f>IF(('DAILY READINGS'!F30-'DAILY READINGS'!F29)&gt;0,('DAILY READINGS'!F30-'DAILY READINGS'!F29),0)</f>
        <v>1</v>
      </c>
      <c r="I25" s="13">
        <f>IF(('DAILY READINGS'!G30-'DAILY READINGS'!G29)&gt;0,('DAILY READINGS'!G30-'DAILY READINGS'!G29),0)</f>
        <v>20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1</v>
      </c>
      <c r="L25" s="13">
        <f>IF(('DAILY READINGS'!J30-'DAILY READINGS'!J29)&gt;0,('DAILY READINGS'!J30-'DAILY READINGS'!J29),0)</f>
        <v>120</v>
      </c>
      <c r="M25" s="13">
        <f>'DAILY READINGS'!K30</f>
        <v>64</v>
      </c>
      <c r="N25" s="8">
        <f>'DAILY READINGS'!L30</f>
        <v>128</v>
      </c>
    </row>
    <row r="26" spans="1:14">
      <c r="A26" s="8" t="s">
        <v>12</v>
      </c>
      <c r="B26" s="22">
        <f>B25+1</f>
        <v>25</v>
      </c>
      <c r="C26" s="22">
        <v>8</v>
      </c>
      <c r="D26" s="22">
        <v>2022</v>
      </c>
      <c r="E26" s="13">
        <f>IF(('DAILY READINGS'!B31-'DAILY READINGS'!B30)&gt;0,('DAILY READINGS'!B31-'DAILY READINGS'!B30),0)</f>
        <v>8210</v>
      </c>
      <c r="F26" s="13">
        <f>IF(('DAILY READINGS'!D31-'DAILY READINGS'!D30)&gt;0,('DAILY READINGS'!D31-'DAILY READINGS'!D30),0)</f>
        <v>81</v>
      </c>
      <c r="G26" s="13">
        <f>IF(('DAILY READINGS'!E31-'DAILY READINGS'!E30)&gt;0,('DAILY READINGS'!E31-'DAILY READINGS'!E30),0)</f>
        <v>143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13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1</v>
      </c>
      <c r="L26" s="13">
        <f>IF(('DAILY READINGS'!J31-'DAILY READINGS'!J30)&gt;0,('DAILY READINGS'!J31-'DAILY READINGS'!J30),0)</f>
        <v>96</v>
      </c>
      <c r="M26" s="13">
        <f>'DAILY READINGS'!K31</f>
        <v>73</v>
      </c>
      <c r="N26" s="8">
        <f>'DAILY READINGS'!L31</f>
        <v>149</v>
      </c>
    </row>
    <row r="27" spans="1:14">
      <c r="A27" s="8" t="s">
        <v>12</v>
      </c>
      <c r="B27" s="22">
        <f t="shared" si="0"/>
        <v>26</v>
      </c>
      <c r="C27" s="22">
        <v>8</v>
      </c>
      <c r="D27" s="22">
        <v>2022</v>
      </c>
      <c r="E27" s="13">
        <f>IF(('DAILY READINGS'!B32-'DAILY READINGS'!B31)&gt;0,('DAILY READINGS'!B32-'DAILY READINGS'!B31),0)</f>
        <v>8122</v>
      </c>
      <c r="F27" s="13">
        <f>IF(('DAILY READINGS'!D32-'DAILY READINGS'!D31)&gt;0,('DAILY READINGS'!D32-'DAILY READINGS'!D31),0)</f>
        <v>78</v>
      </c>
      <c r="G27" s="13">
        <f>IF(('DAILY READINGS'!E32-'DAILY READINGS'!E31)&gt;0,('DAILY READINGS'!E32-'DAILY READINGS'!E31),0)</f>
        <v>136</v>
      </c>
      <c r="H27" s="13">
        <f>IF(('DAILY READINGS'!F32-'DAILY READINGS'!F31)&gt;0,('DAILY READINGS'!F32-'DAILY READINGS'!F31),0)</f>
        <v>2</v>
      </c>
      <c r="I27" s="13">
        <f>IF(('DAILY READINGS'!G32-'DAILY READINGS'!G31)&gt;0,('DAILY READINGS'!G32-'DAILY READINGS'!G31),0)</f>
        <v>67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0</v>
      </c>
      <c r="L27" s="13">
        <f>IF(('DAILY READINGS'!J32-'DAILY READINGS'!J31)&gt;0,('DAILY READINGS'!J32-'DAILY READINGS'!J31),0)</f>
        <v>42</v>
      </c>
      <c r="M27" s="13">
        <f>'DAILY READINGS'!K32</f>
        <v>72</v>
      </c>
      <c r="N27" s="8">
        <f>'DAILY READINGS'!L32</f>
        <v>146</v>
      </c>
    </row>
    <row r="28" spans="1:14">
      <c r="A28" s="8" t="s">
        <v>12</v>
      </c>
      <c r="B28" s="22">
        <f t="shared" si="0"/>
        <v>27</v>
      </c>
      <c r="C28" s="22">
        <v>8</v>
      </c>
      <c r="D28" s="22">
        <v>2022</v>
      </c>
      <c r="E28" s="13">
        <f>IF(('DAILY READINGS'!B33-'DAILY READINGS'!B32)&gt;0,('DAILY READINGS'!B33-'DAILY READINGS'!B32),0)</f>
        <v>7909</v>
      </c>
      <c r="F28" s="13">
        <f>IF(('DAILY READINGS'!D33-'DAILY READINGS'!D32)&gt;0,('DAILY READINGS'!D33-'DAILY READINGS'!D32),0)</f>
        <v>73</v>
      </c>
      <c r="G28" s="13">
        <f>IF(('DAILY READINGS'!E33-'DAILY READINGS'!E32)&gt;0,('DAILY READINGS'!E33-'DAILY READINGS'!E32),0)</f>
        <v>142</v>
      </c>
      <c r="H28" s="13">
        <f>IF(('DAILY READINGS'!F33-'DAILY READINGS'!F32)&gt;0,('DAILY READINGS'!F33-'DAILY READINGS'!F32),0)</f>
        <v>0</v>
      </c>
      <c r="I28" s="13">
        <f>IF(('DAILY READINGS'!G33-'DAILY READINGS'!G32)&gt;0,('DAILY READINGS'!G33-'DAILY READINGS'!G32),0)</f>
        <v>58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1</v>
      </c>
      <c r="L28" s="13">
        <f>IF(('DAILY READINGS'!J33-'DAILY READINGS'!J32)&gt;0,('DAILY READINGS'!J33-'DAILY READINGS'!J32),0)</f>
        <v>93</v>
      </c>
      <c r="M28" s="13">
        <f>'DAILY READINGS'!K33</f>
        <v>63</v>
      </c>
      <c r="N28" s="8">
        <f>'DAILY READINGS'!L33</f>
        <v>129</v>
      </c>
    </row>
    <row r="29" spans="1:14">
      <c r="A29" s="8" t="s">
        <v>12</v>
      </c>
      <c r="B29" s="22">
        <f t="shared" si="0"/>
        <v>28</v>
      </c>
      <c r="C29" s="22">
        <v>8</v>
      </c>
      <c r="D29" s="22">
        <v>2022</v>
      </c>
      <c r="E29" s="13">
        <f>IF(('DAILY READINGS'!B34-'DAILY READINGS'!B33)&gt;0,('DAILY READINGS'!B34-'DAILY READINGS'!B33),0)</f>
        <v>8351</v>
      </c>
      <c r="F29" s="13">
        <f>IF(('DAILY READINGS'!D34-'DAILY READINGS'!D33)&gt;0,('DAILY READINGS'!D34-'DAILY READINGS'!D33),0)</f>
        <v>73</v>
      </c>
      <c r="G29" s="13">
        <f>IF(('DAILY READINGS'!E34-'DAILY READINGS'!E33)&gt;0,('DAILY READINGS'!E34-'DAILY READINGS'!E33),0)</f>
        <v>129</v>
      </c>
      <c r="H29" s="13">
        <f>IF(('DAILY READINGS'!F34-'DAILY READINGS'!F33)&gt;0,('DAILY READINGS'!F34-'DAILY READINGS'!F33),0)</f>
        <v>2</v>
      </c>
      <c r="I29" s="13">
        <f>IF(('DAILY READINGS'!G34-'DAILY READINGS'!G33)&gt;0,('DAILY READINGS'!G34-'DAILY READINGS'!G33),0)</f>
        <v>89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85</v>
      </c>
      <c r="M29" s="13">
        <f>'DAILY READINGS'!K34</f>
        <v>58</v>
      </c>
      <c r="N29" s="8">
        <f>'DAILY READINGS'!L34</f>
        <v>113</v>
      </c>
    </row>
    <row r="30" spans="1:14">
      <c r="A30" s="8" t="s">
        <v>12</v>
      </c>
      <c r="B30" s="22">
        <f t="shared" si="0"/>
        <v>29</v>
      </c>
      <c r="C30" s="22">
        <v>8</v>
      </c>
      <c r="D30" s="22">
        <v>2022</v>
      </c>
      <c r="E30" s="13">
        <f>IF(('DAILY READINGS'!B35-'DAILY READINGS'!B34)&gt;0,('DAILY READINGS'!B35-'DAILY READINGS'!B34),0)</f>
        <v>8574</v>
      </c>
      <c r="F30" s="13">
        <f>IF(('DAILY READINGS'!D35-'DAILY READINGS'!D34)&gt;0,('DAILY READINGS'!D35-'DAILY READINGS'!D34),0)</f>
        <v>79</v>
      </c>
      <c r="G30" s="13">
        <f>IF(('DAILY READINGS'!E35-'DAILY READINGS'!E34)&gt;0,('DAILY READINGS'!E35-'DAILY READINGS'!E34),0)</f>
        <v>147</v>
      </c>
      <c r="H30" s="13">
        <f>IF(('DAILY READINGS'!F35-'DAILY READINGS'!F34)&gt;0,('DAILY READINGS'!F35-'DAILY READINGS'!F34),0)</f>
        <v>1</v>
      </c>
      <c r="I30" s="13">
        <f>IF(('DAILY READINGS'!G35-'DAILY READINGS'!G34)&gt;0,('DAILY READINGS'!G35-'DAILY READINGS'!G34),0)</f>
        <v>74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1</v>
      </c>
      <c r="L30" s="13">
        <f>IF(('DAILY READINGS'!J35-'DAILY READINGS'!J34)&gt;0,('DAILY READINGS'!J35-'DAILY READINGS'!J34),0)</f>
        <v>71</v>
      </c>
      <c r="M30" s="13">
        <f>'DAILY READINGS'!K35</f>
        <v>54</v>
      </c>
      <c r="N30" s="8">
        <f>'DAILY READINGS'!L35</f>
        <v>106</v>
      </c>
    </row>
    <row r="31" spans="1:14">
      <c r="A31" s="8" t="s">
        <v>12</v>
      </c>
      <c r="B31" s="22">
        <f t="shared" si="0"/>
        <v>30</v>
      </c>
      <c r="C31" s="22">
        <v>8</v>
      </c>
      <c r="D31" s="22">
        <v>2022</v>
      </c>
      <c r="E31" s="13">
        <f>IF(('DAILY READINGS'!B36-'DAILY READINGS'!B35)&gt;0,('DAILY READINGS'!B36-'DAILY READINGS'!B35),0)</f>
        <v>8426</v>
      </c>
      <c r="F31" s="13">
        <f>IF(('DAILY READINGS'!D36-'DAILY READINGS'!D35)&gt;0,('DAILY READINGS'!D36-'DAILY READINGS'!D35),0)</f>
        <v>73</v>
      </c>
      <c r="G31" s="13">
        <f>IF(('DAILY READINGS'!E36-'DAILY READINGS'!E35)&gt;0,('DAILY READINGS'!E36-'DAILY READINGS'!E35),0)</f>
        <v>140</v>
      </c>
      <c r="H31" s="13">
        <f>IF(('DAILY READINGS'!F36-'DAILY READINGS'!F35)&gt;0,('DAILY READINGS'!F36-'DAILY READINGS'!F35),0)</f>
        <v>0</v>
      </c>
      <c r="I31" s="13">
        <f>IF(('DAILY READINGS'!G36-'DAILY READINGS'!G35)&gt;0,('DAILY READINGS'!G36-'DAILY READINGS'!G35),0)</f>
        <v>34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0</v>
      </c>
      <c r="L31" s="13">
        <f>IF(('DAILY READINGS'!J36-'DAILY READINGS'!J35)&gt;0,('DAILY READINGS'!J36-'DAILY READINGS'!J35),0)</f>
        <v>80</v>
      </c>
      <c r="M31" s="13">
        <f>'DAILY READINGS'!K36</f>
        <v>59</v>
      </c>
      <c r="N31" s="8">
        <f>'DAILY READINGS'!L36</f>
        <v>121</v>
      </c>
    </row>
    <row r="32" spans="1:14">
      <c r="A32" s="8" t="s">
        <v>12</v>
      </c>
      <c r="B32" s="22">
        <f t="shared" si="0"/>
        <v>31</v>
      </c>
      <c r="C32" s="22">
        <v>8</v>
      </c>
      <c r="D32" s="22">
        <v>2022</v>
      </c>
      <c r="E32" s="13">
        <f>IF(('DAILY READINGS'!B37-'DAILY READINGS'!B36)&gt;0,('DAILY READINGS'!B37-'DAILY READINGS'!B36),0)</f>
        <v>9064</v>
      </c>
      <c r="F32" s="13">
        <f>IF(('DAILY READINGS'!D37-'DAILY READINGS'!D36)&gt;0,('DAILY READINGS'!D37-'DAILY READINGS'!D36),0)</f>
        <v>71</v>
      </c>
      <c r="G32" s="13">
        <f>IF(('DAILY READINGS'!E37-'DAILY READINGS'!E36)&gt;0,('DAILY READINGS'!E37-'DAILY READINGS'!E36),0)</f>
        <v>131</v>
      </c>
      <c r="H32" s="13">
        <f>IF(('DAILY READINGS'!F37-'DAILY READINGS'!F36)&gt;0,('DAILY READINGS'!F37-'DAILY READINGS'!F36),0)</f>
        <v>2</v>
      </c>
      <c r="I32" s="13">
        <f>IF(('DAILY READINGS'!G37-'DAILY READINGS'!G36)&gt;0,('DAILY READINGS'!G37-'DAILY READINGS'!G36),0)</f>
        <v>31</v>
      </c>
      <c r="J32" s="13">
        <f>IF(('DAILY READINGS'!H37-'DAILY READINGS'!H36)&gt;0,('DAILY READINGS'!H37-'DAILY READINGS'!H36),0)</f>
        <v>0</v>
      </c>
      <c r="K32" s="13">
        <f>IF(('DAILY READINGS'!I37-'DAILY READINGS'!I36)&gt;0,('DAILY READINGS'!I37-'DAILY READINGS'!I36),0)</f>
        <v>1</v>
      </c>
      <c r="L32" s="13">
        <f>IF(('DAILY READINGS'!J37-'DAILY READINGS'!J36)&gt;0,('DAILY READINGS'!J37-'DAILY READINGS'!J36),0)</f>
        <v>74</v>
      </c>
      <c r="M32" s="13">
        <f>'DAILY READINGS'!K37</f>
        <v>56</v>
      </c>
      <c r="N32" s="8">
        <f>'DAILY READINGS'!L37</f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abSelected="1" topLeftCell="A23" workbookViewId="0">
      <selection activeCell="P38" sqref="P38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 ht="18.75">
      <c r="C3" s="33" t="s">
        <v>22</v>
      </c>
    </row>
    <row r="5" spans="1:12" ht="88.5" customHeight="1">
      <c r="A5" s="4" t="s">
        <v>23</v>
      </c>
      <c r="B5" s="39" t="s">
        <v>24</v>
      </c>
      <c r="C5" s="40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31</v>
      </c>
      <c r="B6" s="26">
        <v>4106564</v>
      </c>
      <c r="C6" s="35">
        <v>593963</v>
      </c>
      <c r="D6" s="27">
        <v>33837</v>
      </c>
      <c r="E6" s="27">
        <v>51967</v>
      </c>
      <c r="F6" s="27">
        <v>6826</v>
      </c>
      <c r="G6" s="27">
        <v>71610</v>
      </c>
      <c r="H6" s="27">
        <v>49451</v>
      </c>
      <c r="I6" s="27">
        <v>45263</v>
      </c>
      <c r="J6" s="27">
        <v>55304</v>
      </c>
      <c r="K6" s="5"/>
      <c r="L6" s="5"/>
    </row>
    <row r="7" spans="1:12" ht="30" customHeight="1">
      <c r="A7" s="1">
        <v>1</v>
      </c>
      <c r="B7" s="25">
        <v>4116398</v>
      </c>
      <c r="C7" s="25">
        <v>595192</v>
      </c>
      <c r="D7" s="25">
        <v>33918</v>
      </c>
      <c r="E7" s="25">
        <v>52112</v>
      </c>
      <c r="F7" s="25">
        <v>6828</v>
      </c>
      <c r="G7" s="25">
        <v>71640</v>
      </c>
      <c r="H7" s="25">
        <v>49451</v>
      </c>
      <c r="I7" s="25">
        <v>45264</v>
      </c>
      <c r="J7" s="25">
        <v>55420</v>
      </c>
      <c r="K7" s="25">
        <v>82</v>
      </c>
      <c r="L7" s="25">
        <v>165</v>
      </c>
    </row>
    <row r="8" spans="1:12" ht="30" customHeight="1">
      <c r="A8" s="1">
        <v>2</v>
      </c>
      <c r="B8" s="25">
        <v>4126196</v>
      </c>
      <c r="C8" s="25">
        <v>596389</v>
      </c>
      <c r="D8" s="25">
        <v>34000</v>
      </c>
      <c r="E8" s="25">
        <v>52256</v>
      </c>
      <c r="F8" s="25">
        <v>6829</v>
      </c>
      <c r="G8" s="25">
        <v>71692</v>
      </c>
      <c r="H8" s="25">
        <v>49451</v>
      </c>
      <c r="I8" s="25">
        <v>45265</v>
      </c>
      <c r="J8" s="25">
        <v>55541</v>
      </c>
      <c r="K8" s="25">
        <v>59</v>
      </c>
      <c r="L8" s="25">
        <v>119</v>
      </c>
    </row>
    <row r="9" spans="1:12" ht="30" customHeight="1">
      <c r="A9" s="1">
        <v>3</v>
      </c>
      <c r="B9" s="25">
        <v>4134412</v>
      </c>
      <c r="C9" s="25">
        <v>597395</v>
      </c>
      <c r="D9" s="25">
        <v>34077</v>
      </c>
      <c r="E9" s="25">
        <v>52391</v>
      </c>
      <c r="F9" s="25">
        <v>6831</v>
      </c>
      <c r="G9" s="25">
        <v>71731</v>
      </c>
      <c r="H9" s="25">
        <v>49451</v>
      </c>
      <c r="I9" s="25">
        <v>45265</v>
      </c>
      <c r="J9" s="25">
        <v>55606</v>
      </c>
      <c r="K9" s="25">
        <v>66</v>
      </c>
      <c r="L9" s="25">
        <v>133</v>
      </c>
    </row>
    <row r="10" spans="1:12" ht="30" customHeight="1">
      <c r="A10" s="1">
        <v>4</v>
      </c>
      <c r="B10" s="25">
        <v>4143516</v>
      </c>
      <c r="C10" s="25">
        <v>598518</v>
      </c>
      <c r="D10" s="25">
        <v>34154</v>
      </c>
      <c r="E10" s="25">
        <v>52515</v>
      </c>
      <c r="F10" s="25">
        <v>6831</v>
      </c>
      <c r="G10" s="25">
        <v>71766</v>
      </c>
      <c r="H10" s="25">
        <v>49451</v>
      </c>
      <c r="I10" s="25">
        <v>45265</v>
      </c>
      <c r="J10" s="25">
        <v>55682</v>
      </c>
      <c r="K10" s="25">
        <v>67</v>
      </c>
      <c r="L10" s="25">
        <v>143</v>
      </c>
    </row>
    <row r="11" spans="1:12" ht="30" customHeight="1">
      <c r="A11" s="1">
        <v>5</v>
      </c>
      <c r="B11" s="25">
        <v>4153274</v>
      </c>
      <c r="C11" s="25">
        <v>599743</v>
      </c>
      <c r="D11" s="25">
        <v>34240</v>
      </c>
      <c r="E11" s="25">
        <v>52664</v>
      </c>
      <c r="F11" s="25">
        <v>6833</v>
      </c>
      <c r="G11" s="25">
        <v>71799</v>
      </c>
      <c r="H11" s="25">
        <v>49451</v>
      </c>
      <c r="I11" s="25">
        <v>45266</v>
      </c>
      <c r="J11" s="25">
        <v>55777</v>
      </c>
      <c r="K11" s="25">
        <v>74</v>
      </c>
      <c r="L11" s="25">
        <v>153</v>
      </c>
    </row>
    <row r="12" spans="1:12" ht="30" customHeight="1">
      <c r="A12" s="1">
        <v>6</v>
      </c>
      <c r="B12" s="25">
        <v>4163158</v>
      </c>
      <c r="C12" s="25">
        <v>600933</v>
      </c>
      <c r="D12" s="25">
        <v>34329</v>
      </c>
      <c r="E12" s="25">
        <v>52813</v>
      </c>
      <c r="F12" s="25">
        <v>6835</v>
      </c>
      <c r="G12" s="25">
        <v>71842</v>
      </c>
      <c r="H12" s="25">
        <v>49451</v>
      </c>
      <c r="I12" s="25">
        <v>45266</v>
      </c>
      <c r="J12" s="25">
        <v>55860</v>
      </c>
      <c r="K12" s="25">
        <v>80</v>
      </c>
      <c r="L12" s="25">
        <v>163</v>
      </c>
    </row>
    <row r="13" spans="1:12" ht="30" customHeight="1">
      <c r="A13" s="1">
        <v>7</v>
      </c>
      <c r="B13" s="25">
        <v>4172728</v>
      </c>
      <c r="C13" s="25">
        <v>602122</v>
      </c>
      <c r="D13" s="25">
        <v>34412</v>
      </c>
      <c r="E13" s="25">
        <v>52957</v>
      </c>
      <c r="F13" s="25">
        <v>6835</v>
      </c>
      <c r="G13" s="25">
        <v>71881</v>
      </c>
      <c r="H13" s="25">
        <v>49451</v>
      </c>
      <c r="I13" s="25">
        <v>45266</v>
      </c>
      <c r="J13" s="25">
        <v>55943</v>
      </c>
      <c r="K13" s="25">
        <v>77</v>
      </c>
      <c r="L13" s="25">
        <v>158</v>
      </c>
    </row>
    <row r="14" spans="1:12" ht="30" customHeight="1">
      <c r="A14" s="1">
        <v>8</v>
      </c>
      <c r="B14" s="25">
        <v>4181446</v>
      </c>
      <c r="C14" s="25">
        <v>603249</v>
      </c>
      <c r="D14" s="25">
        <v>34503</v>
      </c>
      <c r="E14" s="25">
        <v>53104</v>
      </c>
      <c r="F14" s="25">
        <v>6837</v>
      </c>
      <c r="G14" s="25">
        <v>71912</v>
      </c>
      <c r="H14" s="25">
        <v>49451</v>
      </c>
      <c r="I14" s="25">
        <v>45267</v>
      </c>
      <c r="J14" s="25">
        <v>56026</v>
      </c>
      <c r="K14" s="25">
        <v>75</v>
      </c>
      <c r="L14" s="25">
        <v>151</v>
      </c>
    </row>
    <row r="15" spans="1:12" ht="30" customHeight="1">
      <c r="A15" s="1">
        <v>9</v>
      </c>
      <c r="B15" s="25">
        <v>4191718</v>
      </c>
      <c r="C15" s="25">
        <v>604562</v>
      </c>
      <c r="D15" s="25">
        <v>34586</v>
      </c>
      <c r="E15" s="25">
        <v>53241</v>
      </c>
      <c r="F15" s="25">
        <v>6837</v>
      </c>
      <c r="G15" s="25">
        <v>71943</v>
      </c>
      <c r="H15" s="25">
        <v>49451</v>
      </c>
      <c r="I15" s="25">
        <v>45268</v>
      </c>
      <c r="J15" s="25">
        <v>56077</v>
      </c>
      <c r="K15" s="25">
        <v>80</v>
      </c>
      <c r="L15" s="25">
        <v>158</v>
      </c>
    </row>
    <row r="16" spans="1:12" ht="30" customHeight="1">
      <c r="A16" s="1">
        <v>10</v>
      </c>
      <c r="B16" s="25">
        <v>4200868</v>
      </c>
      <c r="C16" s="25">
        <v>605643</v>
      </c>
      <c r="D16" s="25">
        <v>34672</v>
      </c>
      <c r="E16" s="25">
        <v>53390</v>
      </c>
      <c r="F16" s="25">
        <v>6839</v>
      </c>
      <c r="G16" s="25">
        <v>71995</v>
      </c>
      <c r="H16" s="25">
        <v>49451</v>
      </c>
      <c r="I16" s="25">
        <v>45270</v>
      </c>
      <c r="J16" s="25">
        <v>56152</v>
      </c>
      <c r="K16" s="25">
        <v>73</v>
      </c>
      <c r="L16" s="25">
        <v>152</v>
      </c>
    </row>
    <row r="17" spans="1:12" ht="30" customHeight="1">
      <c r="A17" s="1">
        <v>11</v>
      </c>
      <c r="B17" s="25">
        <v>4208882</v>
      </c>
      <c r="C17" s="4">
        <v>606577</v>
      </c>
      <c r="D17" s="4">
        <v>34741</v>
      </c>
      <c r="E17" s="4">
        <v>53521</v>
      </c>
      <c r="F17" s="4">
        <v>6840</v>
      </c>
      <c r="G17" s="4">
        <v>72018</v>
      </c>
      <c r="H17" s="25">
        <v>49451</v>
      </c>
      <c r="I17" s="25">
        <v>45271</v>
      </c>
      <c r="J17" s="4">
        <v>56198</v>
      </c>
      <c r="K17" s="25">
        <v>65</v>
      </c>
      <c r="L17" s="25">
        <v>140</v>
      </c>
    </row>
    <row r="18" spans="1:12" ht="30" customHeight="1">
      <c r="A18" s="1">
        <v>12</v>
      </c>
      <c r="B18" s="25">
        <v>4217902</v>
      </c>
      <c r="C18" s="4">
        <v>607553</v>
      </c>
      <c r="D18" s="4">
        <v>34815</v>
      </c>
      <c r="E18" s="4">
        <v>53678</v>
      </c>
      <c r="F18" s="4">
        <v>6842</v>
      </c>
      <c r="G18" s="4">
        <v>72059</v>
      </c>
      <c r="H18" s="25">
        <v>49451</v>
      </c>
      <c r="I18" s="25">
        <v>45272</v>
      </c>
      <c r="J18" s="4">
        <v>56263</v>
      </c>
      <c r="K18" s="25">
        <v>69</v>
      </c>
      <c r="L18" s="25">
        <v>143</v>
      </c>
    </row>
    <row r="19" spans="1:12" ht="30" customHeight="1">
      <c r="A19" s="1">
        <v>13</v>
      </c>
      <c r="B19" s="25">
        <v>4226222</v>
      </c>
      <c r="C19" s="4">
        <v>608453</v>
      </c>
      <c r="D19" s="4">
        <v>34887</v>
      </c>
      <c r="E19" s="4">
        <v>53822</v>
      </c>
      <c r="F19" s="4">
        <v>6843</v>
      </c>
      <c r="G19" s="4">
        <v>72086</v>
      </c>
      <c r="H19" s="4">
        <v>49451</v>
      </c>
      <c r="I19" s="4">
        <v>45272</v>
      </c>
      <c r="J19" s="4">
        <v>56401</v>
      </c>
      <c r="K19" s="25">
        <v>71</v>
      </c>
      <c r="L19" s="25">
        <v>147</v>
      </c>
    </row>
    <row r="20" spans="1:12" ht="30" customHeight="1">
      <c r="A20" s="1">
        <v>14</v>
      </c>
      <c r="B20" s="25">
        <v>4234774</v>
      </c>
      <c r="C20" s="4">
        <v>609469</v>
      </c>
      <c r="D20" s="4">
        <v>34952</v>
      </c>
      <c r="E20" s="4">
        <v>53961</v>
      </c>
      <c r="F20" s="4">
        <v>6843</v>
      </c>
      <c r="G20" s="4">
        <v>72113</v>
      </c>
      <c r="H20" s="4">
        <v>49451</v>
      </c>
      <c r="I20" s="4">
        <v>45273</v>
      </c>
      <c r="J20" s="4">
        <v>56480</v>
      </c>
      <c r="K20" s="25">
        <v>66</v>
      </c>
      <c r="L20" s="25">
        <v>134</v>
      </c>
    </row>
    <row r="21" spans="1:12" ht="30" customHeight="1">
      <c r="A21" s="1">
        <v>15</v>
      </c>
      <c r="B21" s="25">
        <v>4243368</v>
      </c>
      <c r="C21" s="4">
        <v>610489</v>
      </c>
      <c r="D21" s="4">
        <v>35024</v>
      </c>
      <c r="E21" s="4">
        <v>54103</v>
      </c>
      <c r="F21" s="4">
        <v>6844</v>
      </c>
      <c r="G21" s="4">
        <v>72185</v>
      </c>
      <c r="H21" s="4">
        <v>49451</v>
      </c>
      <c r="I21" s="4">
        <v>45274</v>
      </c>
      <c r="J21" s="4">
        <v>56556</v>
      </c>
      <c r="K21" s="25">
        <v>72</v>
      </c>
      <c r="L21" s="25">
        <v>152</v>
      </c>
    </row>
    <row r="22" spans="1:12" ht="30" customHeight="1">
      <c r="A22" s="1">
        <v>16</v>
      </c>
      <c r="B22" s="25">
        <v>4252834</v>
      </c>
      <c r="C22" s="4">
        <v>611669</v>
      </c>
      <c r="D22" s="4">
        <v>35103</v>
      </c>
      <c r="E22" s="4">
        <v>54240</v>
      </c>
      <c r="F22" s="4">
        <v>6846</v>
      </c>
      <c r="G22" s="4">
        <v>72223</v>
      </c>
      <c r="H22" s="4">
        <v>49451</v>
      </c>
      <c r="I22" s="4">
        <v>45275</v>
      </c>
      <c r="J22" s="4">
        <v>56626</v>
      </c>
      <c r="K22" s="25">
        <v>60</v>
      </c>
      <c r="L22" s="25">
        <v>132</v>
      </c>
    </row>
    <row r="23" spans="1:12" ht="30" customHeight="1">
      <c r="A23" s="1">
        <v>17</v>
      </c>
      <c r="B23" s="25">
        <v>4262042</v>
      </c>
      <c r="C23" s="4">
        <v>612800</v>
      </c>
      <c r="D23" s="4">
        <v>35176</v>
      </c>
      <c r="E23" s="4">
        <v>54364</v>
      </c>
      <c r="F23" s="4">
        <v>6848</v>
      </c>
      <c r="G23" s="4">
        <v>72268</v>
      </c>
      <c r="H23" s="4">
        <v>49451</v>
      </c>
      <c r="I23" s="4">
        <v>45276</v>
      </c>
      <c r="J23" s="4">
        <v>56655</v>
      </c>
      <c r="K23" s="25">
        <v>49</v>
      </c>
      <c r="L23" s="25">
        <v>107</v>
      </c>
    </row>
    <row r="24" spans="1:12" ht="30" customHeight="1">
      <c r="A24" s="1">
        <v>18</v>
      </c>
      <c r="B24" s="25">
        <v>4270960</v>
      </c>
      <c r="C24" s="4">
        <v>613920</v>
      </c>
      <c r="D24" s="4">
        <v>35232</v>
      </c>
      <c r="E24" s="4">
        <v>54480</v>
      </c>
      <c r="F24" s="24">
        <v>6848</v>
      </c>
      <c r="G24" s="4">
        <v>72295</v>
      </c>
      <c r="H24" s="4">
        <v>49451</v>
      </c>
      <c r="I24" s="4">
        <v>45277</v>
      </c>
      <c r="J24" s="4">
        <v>56771</v>
      </c>
      <c r="K24" s="25">
        <v>78</v>
      </c>
      <c r="L24" s="25">
        <v>157</v>
      </c>
    </row>
    <row r="25" spans="1:12" ht="30" customHeight="1">
      <c r="A25" s="1">
        <v>19</v>
      </c>
      <c r="B25" s="25">
        <v>4281416</v>
      </c>
      <c r="C25" s="4">
        <v>615220</v>
      </c>
      <c r="D25" s="4">
        <v>35318</v>
      </c>
      <c r="E25" s="4">
        <v>54628</v>
      </c>
      <c r="F25" s="4">
        <v>6849</v>
      </c>
      <c r="G25" s="4">
        <v>72308</v>
      </c>
      <c r="H25" s="4">
        <v>49451</v>
      </c>
      <c r="I25" s="4">
        <v>45278</v>
      </c>
      <c r="J25" s="4">
        <v>56851</v>
      </c>
      <c r="K25" s="25">
        <v>77</v>
      </c>
      <c r="L25" s="25">
        <v>157</v>
      </c>
    </row>
    <row r="26" spans="1:12" ht="30" customHeight="1">
      <c r="A26" s="1">
        <v>20</v>
      </c>
      <c r="B26" s="25">
        <v>4289878</v>
      </c>
      <c r="C26" s="4">
        <v>616244</v>
      </c>
      <c r="D26" s="4">
        <v>35384</v>
      </c>
      <c r="E26" s="4">
        <v>54765</v>
      </c>
      <c r="F26" s="4">
        <v>6851</v>
      </c>
      <c r="G26" s="4">
        <v>72329</v>
      </c>
      <c r="H26" s="4">
        <v>49451</v>
      </c>
      <c r="I26" s="4">
        <v>45278</v>
      </c>
      <c r="J26" s="4">
        <v>56899</v>
      </c>
      <c r="K26" s="25">
        <v>75</v>
      </c>
      <c r="L26" s="25">
        <v>151</v>
      </c>
    </row>
    <row r="27" spans="1:12" ht="30" customHeight="1">
      <c r="A27" s="1">
        <v>21</v>
      </c>
      <c r="B27" s="25">
        <v>4299076</v>
      </c>
      <c r="C27" s="4">
        <v>617351</v>
      </c>
      <c r="D27" s="4">
        <v>35464</v>
      </c>
      <c r="E27" s="4">
        <v>54917</v>
      </c>
      <c r="F27" s="4">
        <v>6852</v>
      </c>
      <c r="G27" s="4">
        <v>72340</v>
      </c>
      <c r="H27" s="4">
        <v>49451</v>
      </c>
      <c r="I27" s="4">
        <v>45279</v>
      </c>
      <c r="J27" s="4">
        <v>56949</v>
      </c>
      <c r="K27" s="25">
        <v>66</v>
      </c>
      <c r="L27" s="25">
        <v>137</v>
      </c>
    </row>
    <row r="28" spans="1:12" ht="30" customHeight="1">
      <c r="A28" s="1">
        <v>22</v>
      </c>
      <c r="B28" s="25">
        <v>4306726</v>
      </c>
      <c r="C28" s="4">
        <v>618265</v>
      </c>
      <c r="D28" s="4">
        <v>35534</v>
      </c>
      <c r="E28" s="4">
        <v>55065</v>
      </c>
      <c r="F28" s="4">
        <v>6854</v>
      </c>
      <c r="G28" s="4">
        <v>72357</v>
      </c>
      <c r="H28" s="4">
        <v>49451</v>
      </c>
      <c r="I28" s="4">
        <v>45280</v>
      </c>
      <c r="J28" s="4">
        <v>57074</v>
      </c>
      <c r="K28" s="25">
        <v>57</v>
      </c>
      <c r="L28" s="25">
        <v>114</v>
      </c>
    </row>
    <row r="29" spans="1:12" ht="30" customHeight="1">
      <c r="A29" s="1">
        <v>23</v>
      </c>
      <c r="B29" s="25">
        <v>4315668</v>
      </c>
      <c r="C29" s="4">
        <v>619280</v>
      </c>
      <c r="D29" s="4">
        <v>35608</v>
      </c>
      <c r="E29" s="4">
        <v>55199</v>
      </c>
      <c r="F29" s="4">
        <v>6855</v>
      </c>
      <c r="G29" s="4">
        <v>72398</v>
      </c>
      <c r="H29" s="4">
        <v>49451</v>
      </c>
      <c r="I29" s="4">
        <v>45280</v>
      </c>
      <c r="J29" s="4">
        <v>57135</v>
      </c>
      <c r="K29" s="25">
        <v>63</v>
      </c>
      <c r="L29" s="25">
        <v>125</v>
      </c>
    </row>
    <row r="30" spans="1:12" ht="30" customHeight="1">
      <c r="A30" s="1">
        <v>24</v>
      </c>
      <c r="B30" s="25">
        <v>4324014</v>
      </c>
      <c r="C30" s="4">
        <v>620236</v>
      </c>
      <c r="D30" s="4">
        <v>35684</v>
      </c>
      <c r="E30" s="4">
        <v>55334</v>
      </c>
      <c r="F30" s="4">
        <v>6856</v>
      </c>
      <c r="G30" s="4">
        <v>72418</v>
      </c>
      <c r="H30" s="4">
        <v>49451</v>
      </c>
      <c r="I30" s="4">
        <v>45281</v>
      </c>
      <c r="J30" s="4">
        <v>57255</v>
      </c>
      <c r="K30" s="25">
        <v>64</v>
      </c>
      <c r="L30" s="25">
        <v>128</v>
      </c>
    </row>
    <row r="31" spans="1:12" ht="30" customHeight="1">
      <c r="A31" s="1">
        <v>25</v>
      </c>
      <c r="B31" s="25">
        <v>4332224</v>
      </c>
      <c r="C31" s="4">
        <v>621155</v>
      </c>
      <c r="D31" s="4">
        <v>35765</v>
      </c>
      <c r="E31" s="4">
        <v>55477</v>
      </c>
      <c r="F31" s="4">
        <v>6857</v>
      </c>
      <c r="G31" s="4">
        <v>72431</v>
      </c>
      <c r="H31" s="4">
        <v>49451</v>
      </c>
      <c r="I31" s="4">
        <v>45282</v>
      </c>
      <c r="J31" s="4">
        <v>57351</v>
      </c>
      <c r="K31" s="25">
        <v>73</v>
      </c>
      <c r="L31" s="25">
        <v>149</v>
      </c>
    </row>
    <row r="32" spans="1:12" ht="30" customHeight="1">
      <c r="A32" s="1">
        <v>26</v>
      </c>
      <c r="B32" s="25">
        <v>4340346</v>
      </c>
      <c r="C32" s="4">
        <v>622110</v>
      </c>
      <c r="D32" s="4">
        <v>35843</v>
      </c>
      <c r="E32" s="4">
        <v>55613</v>
      </c>
      <c r="F32" s="4">
        <v>6859</v>
      </c>
      <c r="G32" s="4">
        <v>72498</v>
      </c>
      <c r="H32" s="4">
        <v>49451</v>
      </c>
      <c r="I32" s="4">
        <v>45282</v>
      </c>
      <c r="J32" s="4">
        <v>57393</v>
      </c>
      <c r="K32" s="25">
        <v>72</v>
      </c>
      <c r="L32" s="25">
        <v>146</v>
      </c>
    </row>
    <row r="33" spans="1:12" ht="30" customHeight="1">
      <c r="A33" s="1">
        <v>27</v>
      </c>
      <c r="B33" s="25">
        <v>4348255</v>
      </c>
      <c r="C33" s="4">
        <v>623048</v>
      </c>
      <c r="D33" s="4">
        <v>35916</v>
      </c>
      <c r="E33" s="4">
        <v>55755</v>
      </c>
      <c r="F33" s="4">
        <v>6859</v>
      </c>
      <c r="G33" s="4">
        <v>72556</v>
      </c>
      <c r="H33" s="4">
        <v>49451</v>
      </c>
      <c r="I33" s="4">
        <v>45283</v>
      </c>
      <c r="J33" s="4">
        <v>57486</v>
      </c>
      <c r="K33" s="25">
        <v>63</v>
      </c>
      <c r="L33" s="25">
        <v>129</v>
      </c>
    </row>
    <row r="34" spans="1:12" ht="30" customHeight="1">
      <c r="A34" s="1">
        <v>28</v>
      </c>
      <c r="B34" s="25">
        <v>4356606</v>
      </c>
      <c r="C34" s="4">
        <v>624027</v>
      </c>
      <c r="D34" s="4">
        <v>35989</v>
      </c>
      <c r="E34" s="4">
        <v>55884</v>
      </c>
      <c r="F34" s="4">
        <v>6861</v>
      </c>
      <c r="G34" s="4">
        <v>72645</v>
      </c>
      <c r="H34" s="4">
        <v>49451</v>
      </c>
      <c r="I34" s="4">
        <v>45283</v>
      </c>
      <c r="J34" s="4">
        <v>57571</v>
      </c>
      <c r="K34" s="25">
        <v>58</v>
      </c>
      <c r="L34" s="25">
        <v>113</v>
      </c>
    </row>
    <row r="35" spans="1:12" ht="30" customHeight="1">
      <c r="A35" s="2">
        <v>29</v>
      </c>
      <c r="B35" s="25">
        <v>4365180</v>
      </c>
      <c r="C35" s="4">
        <v>624956</v>
      </c>
      <c r="D35" s="4">
        <v>36068</v>
      </c>
      <c r="E35" s="4">
        <v>56031</v>
      </c>
      <c r="F35" s="4">
        <v>6862</v>
      </c>
      <c r="G35" s="4">
        <v>72719</v>
      </c>
      <c r="H35" s="4">
        <v>49451</v>
      </c>
      <c r="I35" s="4">
        <v>45284</v>
      </c>
      <c r="J35" s="4">
        <v>57642</v>
      </c>
      <c r="K35" s="25">
        <v>54</v>
      </c>
      <c r="L35" s="25">
        <v>106</v>
      </c>
    </row>
    <row r="36" spans="1:12" ht="30" customHeight="1">
      <c r="A36" s="1">
        <v>30</v>
      </c>
      <c r="B36" s="25">
        <v>4373606</v>
      </c>
      <c r="C36" s="34">
        <v>625981</v>
      </c>
      <c r="D36" s="7">
        <v>36141</v>
      </c>
      <c r="E36" s="7">
        <v>56171</v>
      </c>
      <c r="F36" s="7">
        <v>6862</v>
      </c>
      <c r="G36" s="7">
        <v>72753</v>
      </c>
      <c r="H36" s="7">
        <v>49451</v>
      </c>
      <c r="I36" s="7">
        <v>45284</v>
      </c>
      <c r="J36" s="7">
        <v>57722</v>
      </c>
      <c r="K36" s="25">
        <v>59</v>
      </c>
      <c r="L36" s="25">
        <v>121</v>
      </c>
    </row>
    <row r="37" spans="1:12" ht="30" customHeight="1">
      <c r="A37" s="1">
        <v>31</v>
      </c>
      <c r="B37" s="25">
        <v>4382670</v>
      </c>
      <c r="C37" s="29">
        <v>627058</v>
      </c>
      <c r="D37" s="4">
        <v>36212</v>
      </c>
      <c r="E37" s="4">
        <v>56302</v>
      </c>
      <c r="F37" s="4">
        <v>6864</v>
      </c>
      <c r="G37" s="4">
        <v>72784</v>
      </c>
      <c r="H37" s="4">
        <v>49451</v>
      </c>
      <c r="I37" s="4">
        <v>45285</v>
      </c>
      <c r="J37" s="4">
        <v>57796</v>
      </c>
      <c r="K37" s="28">
        <v>56</v>
      </c>
      <c r="L37" s="25">
        <v>120</v>
      </c>
    </row>
    <row r="38" spans="1:12" ht="30" customHeight="1">
      <c r="A38" s="32" t="s">
        <v>29</v>
      </c>
      <c r="B38" s="4">
        <f>B37-B6</f>
        <v>276106</v>
      </c>
      <c r="C38" s="4">
        <f t="shared" ref="C38:J38" si="0">C37-C6</f>
        <v>33095</v>
      </c>
      <c r="D38" s="4">
        <f t="shared" si="0"/>
        <v>2375</v>
      </c>
      <c r="E38" s="4">
        <f t="shared" si="0"/>
        <v>4335</v>
      </c>
      <c r="F38" s="4">
        <f t="shared" si="0"/>
        <v>38</v>
      </c>
      <c r="G38" s="4">
        <f t="shared" si="0"/>
        <v>1174</v>
      </c>
      <c r="H38" s="4">
        <f t="shared" si="0"/>
        <v>0</v>
      </c>
      <c r="I38" s="4">
        <f t="shared" si="0"/>
        <v>22</v>
      </c>
      <c r="J38" s="4">
        <f t="shared" si="0"/>
        <v>2492</v>
      </c>
      <c r="K38" s="4">
        <f>SUM(K7:K37)</f>
        <v>2100</v>
      </c>
      <c r="L38" s="4">
        <f>SUM(L7:L37)</f>
        <v>4303</v>
      </c>
    </row>
    <row r="39" spans="1:12" ht="30" customHeight="1">
      <c r="A39" s="1" t="s">
        <v>30</v>
      </c>
      <c r="B39" s="30">
        <f>B38</f>
        <v>276106</v>
      </c>
      <c r="C39" s="31"/>
      <c r="D39" s="36">
        <f>SUM(D38:E38)</f>
        <v>6710</v>
      </c>
      <c r="E39" s="37"/>
      <c r="F39" s="36">
        <f>SUM(F38:J38)</f>
        <v>3726</v>
      </c>
      <c r="G39" s="38"/>
      <c r="H39" s="38"/>
      <c r="I39" s="38"/>
      <c r="J39" s="37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EB02EC-C4F9-4158-871C-B650809ECFD4}"/>
</file>

<file path=customXml/itemProps2.xml><?xml version="1.0" encoding="utf-8"?>
<ds:datastoreItem xmlns:ds="http://schemas.openxmlformats.org/officeDocument/2006/customXml" ds:itemID="{5350A877-943E-4BFE-941F-A4E2C03385B3}"/>
</file>

<file path=customXml/itemProps3.xml><?xml version="1.0" encoding="utf-8"?>
<ds:datastoreItem xmlns:ds="http://schemas.openxmlformats.org/officeDocument/2006/customXml" ds:itemID="{2460F61B-EB75-453B-8632-5263646B3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Gaya Lo Po</cp:lastModifiedBy>
  <cp:revision/>
  <dcterms:created xsi:type="dcterms:W3CDTF">2021-06-27T18:11:07Z</dcterms:created>
  <dcterms:modified xsi:type="dcterms:W3CDTF">2022-09-01T07:30:27Z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