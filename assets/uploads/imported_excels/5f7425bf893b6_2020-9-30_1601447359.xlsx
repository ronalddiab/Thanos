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R32" i="9" l="1"/>
  <c r="Q32" i="9"/>
  <c r="P29" i="9"/>
  <c r="P30" i="9"/>
  <c r="O32" i="9"/>
  <c r="M32" i="9"/>
  <c r="L32" i="9"/>
  <c r="K32" i="9"/>
  <c r="J32" i="9"/>
  <c r="I32" i="9"/>
  <c r="H32" i="9"/>
  <c r="G32" i="9"/>
  <c r="F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W36" i="7" l="1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O33" i="7"/>
  <c r="N28" i="9"/>
  <c r="AN33" i="7"/>
  <c r="M28" i="9"/>
  <c r="AM33" i="7"/>
  <c r="L28" i="9"/>
  <c r="AG33" i="7"/>
  <c r="F28" i="9"/>
  <c r="AW32" i="7"/>
  <c r="R27" i="9"/>
  <c r="AW31" i="7"/>
  <c r="R26" i="9"/>
  <c r="G26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<sst xmlns="http://schemas.openxmlformats.org/spreadsheetml/2006/main" count="128" uniqueCount="49">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</sst>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58710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60230</v>
      </c>
      <c r="F22" s="11">
        <v>5.0000000000000001E-3</v>
      </c>
      <c r="G22" s="12">
        <f>Submetering!R22</f>
        <v>923.26149899999996</v>
      </c>
      <c r="H22" s="11">
        <v>0.52800000000000002</v>
      </c>
      <c r="I22" s="12">
        <f>Hotel!B27</f>
        <v>117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61020</v>
      </c>
      <c r="F23" s="11">
        <v>5.0000000000000001E-3</v>
      </c>
      <c r="G23" s="12">
        <f>Submetering!R23</f>
        <v>851.71724999999992</v>
      </c>
      <c r="H23" s="11">
        <v>0.52800000000000002</v>
      </c>
      <c r="I23" s="12">
        <f>Hotel!B28</f>
        <v>110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62280</v>
      </c>
      <c r="F24" s="11">
        <v>5.0000000000000001E-3</v>
      </c>
      <c r="G24" s="12">
        <f>Submetering!R24</f>
        <v>969.06496000000004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59570</v>
      </c>
      <c r="F25" s="11">
        <v>5.0000000000000001E-3</v>
      </c>
      <c r="G25" s="12">
        <f>Submetering!R25</f>
        <v>925.91128600000002</v>
      </c>
      <c r="H25" s="11">
        <v>0.52800000000000002</v>
      </c>
      <c r="I25" s="12">
        <f>Hotel!B30</f>
        <v>192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63260</v>
      </c>
      <c r="F26" s="11">
        <v>5.0000000000000001E-3</v>
      </c>
      <c r="G26" s="12">
        <f>Submetering!R26</f>
        <v>1077.3276859999999</v>
      </c>
      <c r="H26" s="11">
        <v>0.52800000000000002</v>
      </c>
      <c r="I26" s="12">
        <f>Hotel!B31</f>
        <v>206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62500</v>
      </c>
      <c r="F27" s="11">
        <v>5.0000000000000001E-3</v>
      </c>
      <c r="G27" s="12">
        <f>Submetering!R27</f>
        <v>956.1945659999999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57730</v>
      </c>
      <c r="F28" s="11">
        <v>5.0000000000000001E-3</v>
      </c>
      <c r="G28" s="12">
        <f>Submetering!R28</f>
        <v>1090.1980800000001</v>
      </c>
      <c r="H28" s="11">
        <v>0.52800000000000002</v>
      </c>
      <c r="I28" s="12">
        <f>Hotel!B33</f>
        <v>104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62490</v>
      </c>
      <c r="F29" s="11">
        <v>5.0000000000000001E-3</v>
      </c>
      <c r="G29" s="12">
        <f>Submetering!R29</f>
        <v>984.58514100000002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61180</v>
      </c>
      <c r="F30" s="11">
        <v>5.0000000000000001E-3</v>
      </c>
      <c r="G30" s="12">
        <f>Submetering!R30</f>
        <v>685.916292</v>
      </c>
      <c r="H30" s="11">
        <v>0.52800000000000002</v>
      </c>
      <c r="I30" s="12">
        <f>Hotel!B35</f>
        <v>122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>
        <f>Hotel!Y26</f>
        <v>4460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990</v>
      </c>
      <c r="F22" s="4">
        <f>Hotel!R27</f>
        <v>13490</v>
      </c>
      <c r="G22" s="4">
        <f>Hotel!S27</f>
        <v>3400</v>
      </c>
      <c r="H22" s="4">
        <f>Hotel!T27</f>
        <v>1590</v>
      </c>
      <c r="I22" s="4">
        <f>Hotel!U27</f>
        <v>4550</v>
      </c>
      <c r="J22" s="4">
        <f>Hotel!V27</f>
        <v>3240</v>
      </c>
      <c r="K22" s="4">
        <f>Hotel!W27</f>
        <v>2350</v>
      </c>
      <c r="L22" s="4">
        <f>Hotel!X27</f>
        <v>3520</v>
      </c>
      <c r="M22" s="4">
        <f>Hotel!Y27</f>
        <v>4600</v>
      </c>
      <c r="N22" s="4">
        <f>Hotel!Z27</f>
        <v>2600</v>
      </c>
      <c r="O22" s="4">
        <f>Hotel!AA27</f>
        <v>2940</v>
      </c>
      <c r="P22" s="4">
        <f>Hotel!AB27</f>
        <v>6720</v>
      </c>
      <c r="Q22" s="4">
        <f>Hotel!AC27</f>
        <v>10240</v>
      </c>
      <c r="R22" s="4">
        <f>Hotel!AV27*0.00378541*100</f>
        <v>923.26149899999996</v>
      </c>
      <c r="S22" s="4">
        <f>Hotel!B27</f>
        <v>117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1030</v>
      </c>
      <c r="F23" s="4">
        <f>Hotel!R28</f>
        <v>13670</v>
      </c>
      <c r="G23" s="4">
        <f>Hotel!S28</f>
        <v>3430</v>
      </c>
      <c r="H23" s="4">
        <f>Hotel!T28</f>
        <v>1620</v>
      </c>
      <c r="I23" s="4">
        <f>Hotel!U28</f>
        <v>5050</v>
      </c>
      <c r="J23" s="4">
        <f>Hotel!V28</f>
        <v>3160</v>
      </c>
      <c r="K23" s="4">
        <f>Hotel!W28</f>
        <v>2440</v>
      </c>
      <c r="L23" s="4">
        <f>Hotel!X28</f>
        <v>3550</v>
      </c>
      <c r="M23" s="4">
        <f>Hotel!Y28</f>
        <v>4710</v>
      </c>
      <c r="N23" s="4">
        <f>Hotel!Z28</f>
        <v>2810</v>
      </c>
      <c r="O23" s="4">
        <f>Hotel!AA28</f>
        <v>3190</v>
      </c>
      <c r="P23" s="4">
        <f>Hotel!AB28</f>
        <v>6950</v>
      </c>
      <c r="Q23" s="4">
        <f>Hotel!AC28</f>
        <v>9410</v>
      </c>
      <c r="R23" s="4">
        <f>Hotel!AV28*0.00378541*100</f>
        <v>851.71724999999992</v>
      </c>
      <c r="S23" s="4">
        <f>Hotel!B28</f>
        <v>110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1050</v>
      </c>
      <c r="F24" s="4">
        <f>Hotel!R29</f>
        <v>14180</v>
      </c>
      <c r="G24" s="4">
        <f>Hotel!S29</f>
        <v>3600</v>
      </c>
      <c r="H24" s="4">
        <f>Hotel!T29</f>
        <v>1650</v>
      </c>
      <c r="I24" s="4">
        <f>Hotel!U29</f>
        <v>5120</v>
      </c>
      <c r="J24" s="4">
        <f>Hotel!V29</f>
        <v>3220</v>
      </c>
      <c r="K24" s="4">
        <f>Hotel!W29</f>
        <v>2480</v>
      </c>
      <c r="L24" s="4">
        <f>Hotel!X29</f>
        <v>3640</v>
      </c>
      <c r="M24" s="4">
        <f>Hotel!Y29</f>
        <v>4750</v>
      </c>
      <c r="N24" s="4">
        <f>Hotel!Z29</f>
        <v>2840</v>
      </c>
      <c r="O24" s="4">
        <f>Hotel!AA29</f>
        <v>3240</v>
      </c>
      <c r="P24" s="4">
        <f>Hotel!AB29</f>
        <v>7330</v>
      </c>
      <c r="Q24" s="4">
        <f>Hotel!AC29</f>
        <v>9180</v>
      </c>
      <c r="R24" s="4">
        <f>Hotel!AV29*0.00378541*100</f>
        <v>969.06496000000004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970</v>
      </c>
      <c r="F25" s="4">
        <f>Hotel!R30</f>
        <v>13050</v>
      </c>
      <c r="G25" s="4">
        <f>Hotel!S30</f>
        <v>3290</v>
      </c>
      <c r="H25" s="4">
        <f>Hotel!T30</f>
        <v>1540</v>
      </c>
      <c r="I25" s="4">
        <f>Hotel!U30</f>
        <v>4700</v>
      </c>
      <c r="J25" s="4">
        <f>Hotel!V30</f>
        <v>3070</v>
      </c>
      <c r="K25" s="4">
        <f>Hotel!W30</f>
        <v>2310</v>
      </c>
      <c r="L25" s="4">
        <f>Hotel!X30</f>
        <v>3540</v>
      </c>
      <c r="M25" s="4">
        <f>Hotel!Y30</f>
        <v>4550</v>
      </c>
      <c r="N25" s="4">
        <f>Hotel!Z30</f>
        <v>2930</v>
      </c>
      <c r="O25" s="4">
        <f>Hotel!AA30</f>
        <v>3370</v>
      </c>
      <c r="P25" s="4">
        <f>Hotel!AB30</f>
        <v>6910</v>
      </c>
      <c r="Q25" s="4">
        <f>Hotel!AC30</f>
        <v>9340</v>
      </c>
      <c r="R25" s="4">
        <f>Hotel!AV30*0.00378541*100</f>
        <v>925.91128600000002</v>
      </c>
      <c r="S25" s="4">
        <f>Hotel!B30</f>
        <v>192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1000</v>
      </c>
      <c r="F26" s="4">
        <f>Hotel!R31</f>
        <v>13910</v>
      </c>
      <c r="G26" s="4">
        <f>Hotel!S31</f>
        <v>3520</v>
      </c>
      <c r="H26" s="4">
        <f>Hotel!T31</f>
        <v>1610</v>
      </c>
      <c r="I26" s="4">
        <f>Hotel!U31</f>
        <v>5070</v>
      </c>
      <c r="J26" s="4">
        <f>Hotel!V31</f>
        <v>3330</v>
      </c>
      <c r="K26" s="4">
        <f>Hotel!W31</f>
        <v>2400</v>
      </c>
      <c r="L26" s="4">
        <f>Hotel!X31</f>
        <v>3730</v>
      </c>
      <c r="M26" s="4">
        <f>Hotel!Y31</f>
        <v>4850</v>
      </c>
      <c r="N26" s="4">
        <f>Hotel!Z31</f>
        <v>3180</v>
      </c>
      <c r="O26" s="4">
        <f>Hotel!AA31</f>
        <v>3850</v>
      </c>
      <c r="P26" s="4">
        <f>Hotel!AB31</f>
        <v>7410</v>
      </c>
      <c r="Q26" s="4">
        <f>Hotel!AC31</f>
        <v>9400</v>
      </c>
      <c r="R26" s="4">
        <f>Hotel!AV31*0.00378541*100</f>
        <v>1077.3276859999999</v>
      </c>
      <c r="S26" s="4">
        <f>Hotel!B31</f>
        <v>206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1030</v>
      </c>
      <c r="F27" s="4">
        <f>Hotel!R32</f>
        <v>14010</v>
      </c>
      <c r="G27" s="4">
        <f>Hotel!S32</f>
        <v>3550</v>
      </c>
      <c r="H27" s="4">
        <f>Hotel!T32</f>
        <v>1640</v>
      </c>
      <c r="I27" s="4">
        <f>Hotel!U32</f>
        <v>5150</v>
      </c>
      <c r="J27" s="4">
        <f>Hotel!V32</f>
        <v>3340</v>
      </c>
      <c r="K27" s="4">
        <f>Hotel!W32</f>
        <v>2450</v>
      </c>
      <c r="L27" s="4">
        <f>Hotel!X32</f>
        <v>3750</v>
      </c>
      <c r="M27" s="4">
        <f>Hotel!Y32</f>
        <v>4830</v>
      </c>
      <c r="N27" s="4">
        <f>Hotel!Z32</f>
        <v>3030</v>
      </c>
      <c r="O27" s="4">
        <f>Hotel!AA32</f>
        <v>3740</v>
      </c>
      <c r="P27" s="4">
        <f>Hotel!AB32</f>
        <v>7440</v>
      </c>
      <c r="Q27" s="4">
        <f>Hotel!AC32</f>
        <v>8540</v>
      </c>
      <c r="R27" s="4">
        <f>Hotel!AV32*0.00378541*100</f>
        <v>956.1945659999999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960</v>
      </c>
      <c r="F28" s="4">
        <f>Hotel!R33</f>
        <v>13010</v>
      </c>
      <c r="G28" s="4">
        <f>Hotel!S33</f>
        <v>3310</v>
      </c>
      <c r="H28" s="4">
        <f>Hotel!T33</f>
        <v>1530</v>
      </c>
      <c r="I28" s="4">
        <f>Hotel!U33</f>
        <v>4580</v>
      </c>
      <c r="J28" s="4">
        <f>Hotel!V33</f>
        <v>2990</v>
      </c>
      <c r="K28" s="4">
        <f>Hotel!W33</f>
        <v>2250</v>
      </c>
      <c r="L28" s="4">
        <f>Hotel!X33</f>
        <v>3030</v>
      </c>
      <c r="M28" s="4">
        <f>Hotel!Y33</f>
        <v>4400</v>
      </c>
      <c r="N28" s="4">
        <f>Hotel!Z33</f>
        <v>2660</v>
      </c>
      <c r="O28" s="4">
        <f>Hotel!AA33</f>
        <v>3380</v>
      </c>
      <c r="P28" s="4">
        <f>Hotel!AB33</f>
        <v>6790</v>
      </c>
      <c r="Q28" s="4">
        <f>Hotel!AC33</f>
        <v>8840</v>
      </c>
      <c r="R28" s="4">
        <f>Hotel!AV33*0.00378541*100</f>
        <v>1090.1980800000001</v>
      </c>
      <c r="S28" s="4">
        <f>Hotel!B33</f>
        <v>104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1020</v>
      </c>
      <c r="F29" s="4">
        <f>Hotel!R34</f>
        <v>13750</v>
      </c>
      <c r="G29" s="4">
        <f>Hotel!S34</f>
        <v>3490</v>
      </c>
      <c r="H29" s="4">
        <f>Hotel!T34</f>
        <v>1630</v>
      </c>
      <c r="I29" s="4">
        <f>Hotel!U34</f>
        <v>4810</v>
      </c>
      <c r="J29" s="4">
        <f>Hotel!V34</f>
        <v>3230</v>
      </c>
      <c r="K29" s="4">
        <f>Hotel!W34</f>
        <v>2420</v>
      </c>
      <c r="L29" s="4">
        <f>Hotel!X34</f>
        <v>3650</v>
      </c>
      <c r="M29" s="4">
        <f>Hotel!Y34</f>
        <v>4820</v>
      </c>
      <c r="N29" s="4">
        <f>Hotel!Z34</f>
        <v>2780</v>
      </c>
      <c r="O29" s="4">
        <f>Hotel!AA34</f>
        <v>3200</v>
      </c>
      <c r="P29" s="4">
        <f>Hotel!AB34</f>
        <v>7030</v>
      </c>
      <c r="Q29" s="4">
        <f>Hotel!AC34</f>
        <v>10660</v>
      </c>
      <c r="R29" s="4">
        <f>Hotel!AV34*0.00378541*100</f>
        <v>984.58514100000002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1010</v>
      </c>
      <c r="F30" s="4">
        <f>Hotel!R35</f>
        <v>14010</v>
      </c>
      <c r="G30" s="4">
        <f>Hotel!S35</f>
        <v>3690</v>
      </c>
      <c r="H30" s="4">
        <f>Hotel!T35</f>
        <v>710</v>
      </c>
      <c r="I30" s="4">
        <f>Hotel!U35</f>
        <v>4850</v>
      </c>
      <c r="J30" s="4">
        <f>Hotel!V35</f>
        <v>3260</v>
      </c>
      <c r="K30" s="4">
        <f>Hotel!W35</f>
        <v>2350</v>
      </c>
      <c r="L30" s="4">
        <f>Hotel!X35</f>
        <v>3600</v>
      </c>
      <c r="M30" s="4">
        <f>Hotel!Y35</f>
        <v>4740</v>
      </c>
      <c r="N30" s="4">
        <f>Hotel!Z35</f>
        <v>2840</v>
      </c>
      <c r="O30" s="4">
        <f>Hotel!AA35</f>
        <v>3180</v>
      </c>
      <c r="P30" s="4">
        <f>Hotel!AB35</f>
        <v>7000</v>
      </c>
      <c r="Q30" s="4">
        <f>Hotel!AC35</f>
        <v>9940</v>
      </c>
      <c r="R30" s="4">
        <f>Hotel!AV35*0.00378541*100</f>
        <v>685.916292</v>
      </c>
      <c r="S30" s="4">
        <f>Hotel!B35</f>
        <v>122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6" zoomScale="93" zoomScaleNormal="93" workbookViewId="0">
      <selection activeCell="J19" sqref="J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7864270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>
        <f t="shared" si="33"/>
        <v>4460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58710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22.3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293.55000000000007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>
        <v>117</v>
      </c>
      <c r="C27" s="24">
        <v>6363930</v>
      </c>
      <c r="D27" s="24">
        <v>14208820</v>
      </c>
      <c r="E27" s="24">
        <v>2047930</v>
      </c>
      <c r="F27" s="24">
        <v>3033120</v>
      </c>
      <c r="G27" s="24">
        <v>9201860</v>
      </c>
      <c r="H27" s="24">
        <v>4676290</v>
      </c>
      <c r="I27" s="24">
        <v>4467430</v>
      </c>
      <c r="J27" s="24">
        <v>5006470</v>
      </c>
      <c r="K27" s="24">
        <v>7868870</v>
      </c>
      <c r="L27" s="24">
        <v>3176120</v>
      </c>
      <c r="M27" s="24">
        <v>7043420</v>
      </c>
      <c r="N27" s="24">
        <v>10256970</v>
      </c>
      <c r="O27" s="24">
        <v>13860140</v>
      </c>
      <c r="Q27" s="37">
        <f t="shared" si="33"/>
        <v>990</v>
      </c>
      <c r="R27" s="37">
        <f t="shared" si="33"/>
        <v>13490</v>
      </c>
      <c r="S27" s="37">
        <f t="shared" si="33"/>
        <v>3400</v>
      </c>
      <c r="T27" s="37">
        <f t="shared" si="33"/>
        <v>1590</v>
      </c>
      <c r="U27" s="37">
        <f t="shared" si="33"/>
        <v>4550</v>
      </c>
      <c r="V27" s="37">
        <f t="shared" si="33"/>
        <v>3240</v>
      </c>
      <c r="W27" s="37">
        <f t="shared" si="33"/>
        <v>2350</v>
      </c>
      <c r="X27" s="37">
        <f t="shared" si="33"/>
        <v>3520</v>
      </c>
      <c r="Y27" s="37">
        <f t="shared" si="33"/>
        <v>4600</v>
      </c>
      <c r="Z27" s="37">
        <f t="shared" si="33"/>
        <v>2600</v>
      </c>
      <c r="AA27" s="37">
        <f t="shared" si="33"/>
        <v>2940</v>
      </c>
      <c r="AB27" s="37">
        <f t="shared" si="33"/>
        <v>6720</v>
      </c>
      <c r="AC27" s="37">
        <f t="shared" si="33"/>
        <v>10240</v>
      </c>
      <c r="AD27" s="35">
        <f t="shared" si="28"/>
        <v>60230</v>
      </c>
      <c r="AF27" s="20">
        <f t="shared" si="1"/>
        <v>4.95</v>
      </c>
      <c r="AG27" s="20">
        <f t="shared" si="2"/>
        <v>67.45</v>
      </c>
      <c r="AH27" s="20">
        <f t="shared" si="3"/>
        <v>17</v>
      </c>
      <c r="AI27" s="20">
        <f t="shared" si="4"/>
        <v>7.95</v>
      </c>
      <c r="AJ27" s="20">
        <f t="shared" si="5"/>
        <v>22.75</v>
      </c>
      <c r="AK27" s="20">
        <f t="shared" si="6"/>
        <v>16.2</v>
      </c>
      <c r="AL27" s="20">
        <f t="shared" si="7"/>
        <v>11.75</v>
      </c>
      <c r="AM27" s="20">
        <f t="shared" si="8"/>
        <v>17.600000000000001</v>
      </c>
      <c r="AN27" s="20">
        <f t="shared" si="9"/>
        <v>23</v>
      </c>
      <c r="AO27" s="20">
        <f t="shared" si="10"/>
        <v>13</v>
      </c>
      <c r="AP27" s="20">
        <f t="shared" si="11"/>
        <v>14.700000000000001</v>
      </c>
      <c r="AQ27" s="20">
        <f t="shared" si="12"/>
        <v>33.6</v>
      </c>
      <c r="AR27" s="20">
        <f t="shared" si="13"/>
        <v>51.2</v>
      </c>
      <c r="AS27" s="35">
        <f t="shared" si="29"/>
        <v>301.14999999999998</v>
      </c>
      <c r="AU27" s="47">
        <v>188147</v>
      </c>
      <c r="AV27" s="37">
        <f>IF((AU27-AU26&lt;0),"0",AU27-AU26)</f>
        <v>2439</v>
      </c>
      <c r="AW27" s="35">
        <f t="shared" si="30"/>
        <v>4.8780000000000001</v>
      </c>
    </row>
    <row r="28" spans="1:49" x14ac:dyDescent="0.25">
      <c r="A28" s="23">
        <v>44096</v>
      </c>
      <c r="B28" s="40">
        <v>110</v>
      </c>
      <c r="C28" s="24">
        <v>6364960</v>
      </c>
      <c r="D28" s="24">
        <v>14222490</v>
      </c>
      <c r="E28" s="24">
        <v>2051360</v>
      </c>
      <c r="F28" s="24">
        <v>3034740</v>
      </c>
      <c r="G28" s="24">
        <v>9206910</v>
      </c>
      <c r="H28" s="24">
        <v>4679450</v>
      </c>
      <c r="I28" s="24">
        <v>4469870</v>
      </c>
      <c r="J28" s="24">
        <v>5010020</v>
      </c>
      <c r="K28" s="24">
        <v>7873580</v>
      </c>
      <c r="L28" s="24">
        <v>3178930</v>
      </c>
      <c r="M28" s="24">
        <v>7046610</v>
      </c>
      <c r="N28" s="24">
        <v>10263920</v>
      </c>
      <c r="O28" s="24">
        <v>13869550</v>
      </c>
      <c r="Q28" s="37">
        <f t="shared" si="16"/>
        <v>1030</v>
      </c>
      <c r="R28" s="37">
        <f t="shared" si="17"/>
        <v>13670</v>
      </c>
      <c r="S28" s="37">
        <f t="shared" si="15"/>
        <v>3430</v>
      </c>
      <c r="T28" s="37">
        <f t="shared" si="18"/>
        <v>1620</v>
      </c>
      <c r="U28" s="37">
        <f t="shared" si="19"/>
        <v>5050</v>
      </c>
      <c r="V28" s="37">
        <f t="shared" si="20"/>
        <v>3160</v>
      </c>
      <c r="W28" s="37">
        <f t="shared" si="21"/>
        <v>2440</v>
      </c>
      <c r="X28" s="37">
        <f t="shared" si="22"/>
        <v>3550</v>
      </c>
      <c r="Y28" s="37">
        <f t="shared" si="23"/>
        <v>4710</v>
      </c>
      <c r="Z28" s="37">
        <f t="shared" si="24"/>
        <v>2810</v>
      </c>
      <c r="AA28" s="37">
        <f t="shared" si="25"/>
        <v>3190</v>
      </c>
      <c r="AB28" s="37">
        <f t="shared" si="26"/>
        <v>6950</v>
      </c>
      <c r="AC28" s="37">
        <f t="shared" si="27"/>
        <v>9410</v>
      </c>
      <c r="AD28" s="35">
        <f t="shared" si="28"/>
        <v>61020</v>
      </c>
      <c r="AF28" s="20">
        <f t="shared" si="1"/>
        <v>5.15</v>
      </c>
      <c r="AG28" s="20">
        <f t="shared" si="2"/>
        <v>68.349999999999994</v>
      </c>
      <c r="AH28" s="20">
        <f t="shared" si="3"/>
        <v>17.150000000000002</v>
      </c>
      <c r="AI28" s="20">
        <f t="shared" si="4"/>
        <v>8.1</v>
      </c>
      <c r="AJ28" s="20">
        <f t="shared" si="5"/>
        <v>25.25</v>
      </c>
      <c r="AK28" s="20">
        <f t="shared" si="6"/>
        <v>15.8</v>
      </c>
      <c r="AL28" s="20">
        <f t="shared" si="7"/>
        <v>12.200000000000001</v>
      </c>
      <c r="AM28" s="20">
        <f t="shared" si="8"/>
        <v>17.75</v>
      </c>
      <c r="AN28" s="20">
        <f t="shared" si="9"/>
        <v>23.55</v>
      </c>
      <c r="AO28" s="20">
        <f t="shared" si="10"/>
        <v>14.05</v>
      </c>
      <c r="AP28" s="20">
        <f t="shared" si="11"/>
        <v>15.950000000000001</v>
      </c>
      <c r="AQ28" s="20">
        <f t="shared" si="12"/>
        <v>34.75</v>
      </c>
      <c r="AR28" s="20">
        <f t="shared" si="13"/>
        <v>47.050000000000004</v>
      </c>
      <c r="AS28" s="35">
        <f t="shared" si="29"/>
        <v>305.10000000000002</v>
      </c>
      <c r="AU28" s="47">
        <v>190397</v>
      </c>
      <c r="AV28" s="37">
        <f>IF((AU28-AU27&lt;0),"0",AU28-AU27)</f>
        <v>2250</v>
      </c>
      <c r="AW28" s="35">
        <f t="shared" si="30"/>
        <v>4.5</v>
      </c>
    </row>
    <row r="29" spans="1:49" x14ac:dyDescent="0.25">
      <c r="A29" s="23">
        <v>44097</v>
      </c>
      <c r="B29" s="40">
        <v>111</v>
      </c>
      <c r="C29" s="24">
        <v>6366010</v>
      </c>
      <c r="D29" s="24">
        <v>14236670</v>
      </c>
      <c r="E29" s="24">
        <v>2054960</v>
      </c>
      <c r="F29" s="24">
        <v>3036390</v>
      </c>
      <c r="G29" s="24">
        <v>9212030</v>
      </c>
      <c r="H29" s="24">
        <v>4682670</v>
      </c>
      <c r="I29" s="24">
        <v>4472350</v>
      </c>
      <c r="J29" s="24">
        <v>5013660</v>
      </c>
      <c r="K29" s="24">
        <v>7878330</v>
      </c>
      <c r="L29" s="24">
        <v>3181770</v>
      </c>
      <c r="M29" s="24">
        <v>7049850</v>
      </c>
      <c r="N29" s="24">
        <v>10271250</v>
      </c>
      <c r="O29" s="24">
        <v>13878730</v>
      </c>
      <c r="Q29" s="37">
        <f t="shared" si="16"/>
        <v>1050</v>
      </c>
      <c r="R29" s="37">
        <f t="shared" si="17"/>
        <v>14180</v>
      </c>
      <c r="S29" s="37">
        <f t="shared" si="15"/>
        <v>3600</v>
      </c>
      <c r="T29" s="37">
        <f t="shared" si="18"/>
        <v>1650</v>
      </c>
      <c r="U29" s="37">
        <f t="shared" si="19"/>
        <v>5120</v>
      </c>
      <c r="V29" s="37">
        <f t="shared" si="20"/>
        <v>3220</v>
      </c>
      <c r="W29" s="37">
        <f t="shared" si="21"/>
        <v>2480</v>
      </c>
      <c r="X29" s="37">
        <f t="shared" si="22"/>
        <v>3640</v>
      </c>
      <c r="Y29" s="37">
        <f t="shared" si="23"/>
        <v>4750</v>
      </c>
      <c r="Z29" s="37">
        <f t="shared" si="24"/>
        <v>2840</v>
      </c>
      <c r="AA29" s="37">
        <f t="shared" si="25"/>
        <v>3240</v>
      </c>
      <c r="AB29" s="37">
        <f t="shared" si="26"/>
        <v>7330</v>
      </c>
      <c r="AC29" s="37">
        <f t="shared" si="27"/>
        <v>9180</v>
      </c>
      <c r="AD29" s="35">
        <f t="shared" si="28"/>
        <v>62280</v>
      </c>
      <c r="AF29" s="20">
        <f t="shared" si="1"/>
        <v>5.25</v>
      </c>
      <c r="AG29" s="20">
        <f t="shared" si="2"/>
        <v>70.900000000000006</v>
      </c>
      <c r="AH29" s="20">
        <f t="shared" si="3"/>
        <v>18</v>
      </c>
      <c r="AI29" s="20">
        <f t="shared" si="4"/>
        <v>8.25</v>
      </c>
      <c r="AJ29" s="20">
        <f t="shared" si="5"/>
        <v>25.6</v>
      </c>
      <c r="AK29" s="20">
        <f t="shared" si="6"/>
        <v>16.100000000000001</v>
      </c>
      <c r="AL29" s="20">
        <f t="shared" si="7"/>
        <v>12.4</v>
      </c>
      <c r="AM29" s="20">
        <f t="shared" si="8"/>
        <v>18.2</v>
      </c>
      <c r="AN29" s="20">
        <f t="shared" si="9"/>
        <v>23.75</v>
      </c>
      <c r="AO29" s="20">
        <f t="shared" si="10"/>
        <v>14.200000000000001</v>
      </c>
      <c r="AP29" s="20">
        <f t="shared" si="11"/>
        <v>16.2</v>
      </c>
      <c r="AQ29" s="20">
        <f t="shared" si="12"/>
        <v>36.65</v>
      </c>
      <c r="AR29" s="20">
        <f t="shared" si="13"/>
        <v>45.9</v>
      </c>
      <c r="AS29" s="35">
        <f t="shared" si="29"/>
        <v>311.39999999999992</v>
      </c>
      <c r="AU29" s="47">
        <v>192957</v>
      </c>
      <c r="AV29" s="37">
        <f t="shared" ref="AV29:AV35" si="34">IF((AU29-AU28&lt;0),"0",AU29-AU28)</f>
        <v>2560</v>
      </c>
      <c r="AW29" s="35">
        <f t="shared" si="30"/>
        <v>5.12</v>
      </c>
    </row>
    <row r="30" spans="1:49" x14ac:dyDescent="0.25">
      <c r="A30" s="23">
        <v>44098</v>
      </c>
      <c r="B30" s="40">
        <v>192</v>
      </c>
      <c r="C30" s="24">
        <v>6366980</v>
      </c>
      <c r="D30" s="24">
        <v>14249720</v>
      </c>
      <c r="E30" s="24">
        <v>2058250</v>
      </c>
      <c r="F30" s="24">
        <v>3037930</v>
      </c>
      <c r="G30" s="24">
        <v>9216730</v>
      </c>
      <c r="H30" s="24">
        <v>4685740</v>
      </c>
      <c r="I30" s="24">
        <v>4474660</v>
      </c>
      <c r="J30" s="24">
        <v>5017200</v>
      </c>
      <c r="K30" s="24">
        <v>7882880</v>
      </c>
      <c r="L30" s="24">
        <v>3184700</v>
      </c>
      <c r="M30" s="24">
        <v>7053220</v>
      </c>
      <c r="N30" s="24">
        <v>10278160</v>
      </c>
      <c r="O30" s="24">
        <v>13888070</v>
      </c>
      <c r="Q30" s="37">
        <f t="shared" si="16"/>
        <v>970</v>
      </c>
      <c r="R30" s="37">
        <f t="shared" si="17"/>
        <v>13050</v>
      </c>
      <c r="S30" s="37">
        <f t="shared" si="15"/>
        <v>3290</v>
      </c>
      <c r="T30" s="37">
        <f t="shared" si="18"/>
        <v>1540</v>
      </c>
      <c r="U30" s="37">
        <f t="shared" si="19"/>
        <v>4700</v>
      </c>
      <c r="V30" s="37">
        <f t="shared" si="20"/>
        <v>3070</v>
      </c>
      <c r="W30" s="37">
        <f t="shared" si="21"/>
        <v>2310</v>
      </c>
      <c r="X30" s="37">
        <f t="shared" si="22"/>
        <v>3540</v>
      </c>
      <c r="Y30" s="37">
        <f t="shared" si="23"/>
        <v>4550</v>
      </c>
      <c r="Z30" s="37">
        <f t="shared" si="24"/>
        <v>2930</v>
      </c>
      <c r="AA30" s="37">
        <f t="shared" si="25"/>
        <v>3370</v>
      </c>
      <c r="AB30" s="37">
        <f t="shared" si="26"/>
        <v>6910</v>
      </c>
      <c r="AC30" s="37">
        <f t="shared" si="27"/>
        <v>9340</v>
      </c>
      <c r="AD30" s="35">
        <f t="shared" si="28"/>
        <v>59570</v>
      </c>
      <c r="AF30" s="20">
        <f t="shared" si="1"/>
        <v>4.8500000000000005</v>
      </c>
      <c r="AG30" s="20">
        <f t="shared" si="2"/>
        <v>65.25</v>
      </c>
      <c r="AH30" s="20">
        <f t="shared" si="3"/>
        <v>16.45</v>
      </c>
      <c r="AI30" s="20">
        <f t="shared" si="4"/>
        <v>7.7</v>
      </c>
      <c r="AJ30" s="20">
        <f t="shared" si="5"/>
        <v>23.5</v>
      </c>
      <c r="AK30" s="20">
        <f t="shared" si="6"/>
        <v>15.35</v>
      </c>
      <c r="AL30" s="20">
        <f t="shared" si="7"/>
        <v>11.55</v>
      </c>
      <c r="AM30" s="20">
        <f t="shared" si="8"/>
        <v>17.7</v>
      </c>
      <c r="AN30" s="20">
        <f t="shared" si="9"/>
        <v>22.75</v>
      </c>
      <c r="AO30" s="20">
        <f t="shared" si="10"/>
        <v>14.65</v>
      </c>
      <c r="AP30" s="20">
        <f t="shared" si="11"/>
        <v>16.850000000000001</v>
      </c>
      <c r="AQ30" s="20">
        <f t="shared" si="12"/>
        <v>34.550000000000004</v>
      </c>
      <c r="AR30" s="20">
        <f t="shared" si="13"/>
        <v>46.7</v>
      </c>
      <c r="AS30" s="35">
        <f t="shared" si="29"/>
        <v>297.85000000000002</v>
      </c>
      <c r="AU30" s="47">
        <v>195403</v>
      </c>
      <c r="AV30" s="37">
        <f t="shared" si="34"/>
        <v>2446</v>
      </c>
      <c r="AW30" s="35">
        <f t="shared" si="30"/>
        <v>4.8920000000000003</v>
      </c>
    </row>
    <row r="31" spans="1:49" x14ac:dyDescent="0.25">
      <c r="A31" s="23">
        <v>44099</v>
      </c>
      <c r="B31" s="40">
        <v>206</v>
      </c>
      <c r="C31" s="24">
        <v>6367980</v>
      </c>
      <c r="D31" s="24">
        <v>14263630</v>
      </c>
      <c r="E31" s="24">
        <v>2061770</v>
      </c>
      <c r="F31" s="24">
        <v>3039540</v>
      </c>
      <c r="G31" s="24">
        <v>9221800</v>
      </c>
      <c r="H31" s="24">
        <v>4689070</v>
      </c>
      <c r="I31" s="24">
        <v>4477060</v>
      </c>
      <c r="J31" s="24">
        <v>5020930</v>
      </c>
      <c r="K31" s="24">
        <v>7887730</v>
      </c>
      <c r="L31" s="24">
        <v>3187880</v>
      </c>
      <c r="M31" s="24">
        <v>7057070</v>
      </c>
      <c r="N31" s="24">
        <v>10285570</v>
      </c>
      <c r="O31" s="24">
        <v>13897470</v>
      </c>
      <c r="Q31" s="37">
        <f>IF((C31-C30&lt;0), "0",C31-C30)</f>
        <v>1000</v>
      </c>
      <c r="R31" s="37">
        <f t="shared" si="17"/>
        <v>13910</v>
      </c>
      <c r="S31" s="37">
        <f t="shared" si="15"/>
        <v>3520</v>
      </c>
      <c r="T31" s="37">
        <f t="shared" si="18"/>
        <v>1610</v>
      </c>
      <c r="U31" s="37">
        <f t="shared" si="19"/>
        <v>5070</v>
      </c>
      <c r="V31" s="37">
        <f t="shared" si="20"/>
        <v>3330</v>
      </c>
      <c r="W31" s="37">
        <f t="shared" si="21"/>
        <v>2400</v>
      </c>
      <c r="X31" s="37">
        <f t="shared" si="22"/>
        <v>3730</v>
      </c>
      <c r="Y31" s="37">
        <f t="shared" si="23"/>
        <v>4850</v>
      </c>
      <c r="Z31" s="37">
        <f t="shared" si="24"/>
        <v>3180</v>
      </c>
      <c r="AA31" s="37">
        <f t="shared" si="25"/>
        <v>3850</v>
      </c>
      <c r="AB31" s="37">
        <f t="shared" si="26"/>
        <v>7410</v>
      </c>
      <c r="AC31" s="37">
        <f t="shared" si="27"/>
        <v>9400</v>
      </c>
      <c r="AD31" s="35">
        <f t="shared" si="28"/>
        <v>63260</v>
      </c>
      <c r="AF31" s="20">
        <f t="shared" si="1"/>
        <v>5</v>
      </c>
      <c r="AG31" s="20">
        <f t="shared" si="2"/>
        <v>69.55</v>
      </c>
      <c r="AH31" s="20">
        <f t="shared" si="3"/>
        <v>17.600000000000001</v>
      </c>
      <c r="AI31" s="20">
        <f t="shared" si="4"/>
        <v>8.0500000000000007</v>
      </c>
      <c r="AJ31" s="20">
        <f t="shared" si="5"/>
        <v>25.35</v>
      </c>
      <c r="AK31" s="20">
        <f t="shared" si="6"/>
        <v>16.649999999999999</v>
      </c>
      <c r="AL31" s="20">
        <f t="shared" si="7"/>
        <v>12</v>
      </c>
      <c r="AM31" s="20">
        <f t="shared" si="8"/>
        <v>18.650000000000002</v>
      </c>
      <c r="AN31" s="20">
        <f t="shared" si="9"/>
        <v>24.25</v>
      </c>
      <c r="AO31" s="20">
        <f t="shared" si="10"/>
        <v>15.9</v>
      </c>
      <c r="AP31" s="20">
        <f t="shared" si="11"/>
        <v>19.25</v>
      </c>
      <c r="AQ31" s="20">
        <f t="shared" si="12"/>
        <v>37.050000000000004</v>
      </c>
      <c r="AR31" s="20">
        <f t="shared" si="13"/>
        <v>47</v>
      </c>
      <c r="AS31" s="35">
        <f t="shared" si="29"/>
        <v>316.3</v>
      </c>
      <c r="AU31" s="47">
        <v>198249</v>
      </c>
      <c r="AV31" s="37">
        <f t="shared" si="34"/>
        <v>2846</v>
      </c>
      <c r="AW31" s="35">
        <f t="shared" si="30"/>
        <v>5.6920000000000002</v>
      </c>
    </row>
    <row r="32" spans="1:49" x14ac:dyDescent="0.25">
      <c r="A32" s="23">
        <v>44100</v>
      </c>
      <c r="B32" s="40">
        <v>117</v>
      </c>
      <c r="C32" s="24">
        <v>6369010</v>
      </c>
      <c r="D32" s="24">
        <v>14277640</v>
      </c>
      <c r="E32" s="24">
        <v>2065320</v>
      </c>
      <c r="F32" s="24">
        <v>3041180</v>
      </c>
      <c r="G32" s="24">
        <v>9226950</v>
      </c>
      <c r="H32" s="24">
        <v>4692410</v>
      </c>
      <c r="I32" s="24">
        <v>4479510</v>
      </c>
      <c r="J32" s="24">
        <v>5024680</v>
      </c>
      <c r="K32" s="24">
        <v>7892560</v>
      </c>
      <c r="L32" s="24">
        <v>3190910</v>
      </c>
      <c r="M32" s="24">
        <v>7060810</v>
      </c>
      <c r="N32" s="24">
        <v>10293010</v>
      </c>
      <c r="O32" s="24">
        <v>13906010</v>
      </c>
      <c r="Q32" s="37">
        <f>IF((C32-C31&lt;0), "0",C32-C31)</f>
        <v>1030</v>
      </c>
      <c r="R32" s="37">
        <f t="shared" si="17"/>
        <v>14010</v>
      </c>
      <c r="S32" s="37">
        <f t="shared" si="15"/>
        <v>3550</v>
      </c>
      <c r="T32" s="37">
        <f t="shared" si="18"/>
        <v>1640</v>
      </c>
      <c r="U32" s="37">
        <f t="shared" si="19"/>
        <v>5150</v>
      </c>
      <c r="V32" s="37">
        <f t="shared" si="20"/>
        <v>3340</v>
      </c>
      <c r="W32" s="37">
        <f t="shared" si="21"/>
        <v>2450</v>
      </c>
      <c r="X32" s="37">
        <f t="shared" si="22"/>
        <v>3750</v>
      </c>
      <c r="Y32" s="37">
        <f t="shared" si="23"/>
        <v>4830</v>
      </c>
      <c r="Z32" s="37">
        <f t="shared" si="24"/>
        <v>3030</v>
      </c>
      <c r="AA32" s="37">
        <f t="shared" si="25"/>
        <v>3740</v>
      </c>
      <c r="AB32" s="37">
        <f t="shared" si="26"/>
        <v>7440</v>
      </c>
      <c r="AC32" s="37">
        <f t="shared" si="27"/>
        <v>8540</v>
      </c>
      <c r="AD32" s="35">
        <f t="shared" si="28"/>
        <v>62500</v>
      </c>
      <c r="AF32" s="20">
        <f t="shared" si="1"/>
        <v>5.15</v>
      </c>
      <c r="AG32" s="20">
        <f t="shared" si="2"/>
        <v>70.05</v>
      </c>
      <c r="AH32" s="20">
        <f t="shared" si="3"/>
        <v>17.75</v>
      </c>
      <c r="AI32" s="20">
        <f t="shared" si="4"/>
        <v>8.1999999999999993</v>
      </c>
      <c r="AJ32" s="20">
        <f t="shared" si="5"/>
        <v>25.75</v>
      </c>
      <c r="AK32" s="20">
        <f t="shared" si="6"/>
        <v>16.7</v>
      </c>
      <c r="AL32" s="20">
        <f t="shared" si="7"/>
        <v>12.25</v>
      </c>
      <c r="AM32" s="20">
        <f t="shared" si="8"/>
        <v>18.75</v>
      </c>
      <c r="AN32" s="20">
        <f t="shared" si="9"/>
        <v>24.150000000000002</v>
      </c>
      <c r="AO32" s="20">
        <f t="shared" si="10"/>
        <v>15.15</v>
      </c>
      <c r="AP32" s="20">
        <f t="shared" si="11"/>
        <v>18.7</v>
      </c>
      <c r="AQ32" s="20">
        <f t="shared" si="12"/>
        <v>37.200000000000003</v>
      </c>
      <c r="AR32" s="20">
        <f t="shared" si="13"/>
        <v>42.7</v>
      </c>
      <c r="AS32" s="35">
        <f t="shared" si="29"/>
        <v>312.5</v>
      </c>
      <c r="AU32" s="47">
        <v>200775</v>
      </c>
      <c r="AV32" s="37">
        <f t="shared" si="34"/>
        <v>2526</v>
      </c>
      <c r="AW32" s="35">
        <f t="shared" si="30"/>
        <v>5.0520000000000005</v>
      </c>
    </row>
    <row r="33" spans="1:49" x14ac:dyDescent="0.25">
      <c r="A33" s="23">
        <v>44101</v>
      </c>
      <c r="B33" s="40">
        <v>104</v>
      </c>
      <c r="C33" s="24">
        <v>6369970</v>
      </c>
      <c r="D33" s="24">
        <v>14290650</v>
      </c>
      <c r="E33" s="24">
        <v>2068630</v>
      </c>
      <c r="F33" s="24">
        <v>3042710</v>
      </c>
      <c r="G33" s="24">
        <v>9231530</v>
      </c>
      <c r="H33" s="24">
        <v>4695400</v>
      </c>
      <c r="I33" s="24">
        <v>4481760</v>
      </c>
      <c r="J33" s="24">
        <v>5027710</v>
      </c>
      <c r="K33" s="24">
        <v>7896960</v>
      </c>
      <c r="L33" s="24">
        <v>3193570</v>
      </c>
      <c r="M33" s="24">
        <v>7064190</v>
      </c>
      <c r="N33" s="24">
        <v>10299800</v>
      </c>
      <c r="O33" s="24">
        <v>13914850</v>
      </c>
      <c r="Q33" s="37">
        <f>IF((C33-C32&lt;0), "0",C33-C32)</f>
        <v>960</v>
      </c>
      <c r="R33" s="37">
        <f t="shared" si="17"/>
        <v>13010</v>
      </c>
      <c r="S33" s="37">
        <f t="shared" si="15"/>
        <v>3310</v>
      </c>
      <c r="T33" s="37">
        <f t="shared" si="18"/>
        <v>1530</v>
      </c>
      <c r="U33" s="37">
        <f t="shared" si="19"/>
        <v>4580</v>
      </c>
      <c r="V33" s="37">
        <f t="shared" si="20"/>
        <v>2990</v>
      </c>
      <c r="W33" s="37">
        <f t="shared" si="21"/>
        <v>2250</v>
      </c>
      <c r="X33" s="37">
        <f t="shared" si="22"/>
        <v>3030</v>
      </c>
      <c r="Y33" s="37">
        <f t="shared" si="23"/>
        <v>4400</v>
      </c>
      <c r="Z33" s="37">
        <f t="shared" si="24"/>
        <v>2660</v>
      </c>
      <c r="AA33" s="37">
        <f t="shared" si="25"/>
        <v>3380</v>
      </c>
      <c r="AB33" s="37">
        <f t="shared" si="26"/>
        <v>6790</v>
      </c>
      <c r="AC33" s="37">
        <f t="shared" si="27"/>
        <v>8840</v>
      </c>
      <c r="AD33" s="35">
        <f t="shared" si="28"/>
        <v>57730</v>
      </c>
      <c r="AF33" s="20">
        <f t="shared" si="1"/>
        <v>4.8</v>
      </c>
      <c r="AG33" s="20">
        <f t="shared" si="2"/>
        <v>65.05</v>
      </c>
      <c r="AH33" s="20">
        <f t="shared" si="3"/>
        <v>16.55</v>
      </c>
      <c r="AI33" s="20">
        <f t="shared" si="4"/>
        <v>7.65</v>
      </c>
      <c r="AJ33" s="20">
        <f t="shared" si="5"/>
        <v>22.900000000000002</v>
      </c>
      <c r="AK33" s="20">
        <f t="shared" si="6"/>
        <v>14.950000000000001</v>
      </c>
      <c r="AL33" s="20">
        <f t="shared" si="7"/>
        <v>11.25</v>
      </c>
      <c r="AM33" s="20">
        <f t="shared" si="8"/>
        <v>15.15</v>
      </c>
      <c r="AN33" s="20">
        <f t="shared" si="9"/>
        <v>22</v>
      </c>
      <c r="AO33" s="20">
        <f t="shared" si="10"/>
        <v>13.3</v>
      </c>
      <c r="AP33" s="20">
        <f t="shared" si="11"/>
        <v>16.899999999999999</v>
      </c>
      <c r="AQ33" s="20">
        <f t="shared" si="12"/>
        <v>33.950000000000003</v>
      </c>
      <c r="AR33" s="20">
        <f t="shared" si="13"/>
        <v>44.2</v>
      </c>
      <c r="AS33" s="35">
        <f t="shared" si="29"/>
        <v>288.65000000000003</v>
      </c>
      <c r="AU33" s="47">
        <v>203655</v>
      </c>
      <c r="AV33" s="37">
        <f t="shared" si="34"/>
        <v>2880</v>
      </c>
      <c r="AW33" s="35">
        <f t="shared" si="30"/>
        <v>5.76</v>
      </c>
    </row>
    <row r="34" spans="1:49" x14ac:dyDescent="0.25">
      <c r="A34" s="23">
        <v>44102</v>
      </c>
      <c r="B34" s="52">
        <v>103</v>
      </c>
      <c r="C34" s="51">
        <v>6370990</v>
      </c>
      <c r="D34" s="24">
        <v>14304400</v>
      </c>
      <c r="E34" s="24">
        <v>2072120</v>
      </c>
      <c r="F34" s="24">
        <v>3044340</v>
      </c>
      <c r="G34" s="24">
        <v>9236340</v>
      </c>
      <c r="H34" s="24">
        <v>4698630</v>
      </c>
      <c r="I34" s="24">
        <v>4484180</v>
      </c>
      <c r="J34" s="24">
        <v>5031360</v>
      </c>
      <c r="K34" s="24">
        <v>7901780</v>
      </c>
      <c r="L34" s="24">
        <v>3196350</v>
      </c>
      <c r="M34" s="24">
        <v>7067390</v>
      </c>
      <c r="N34" s="24">
        <v>10306830</v>
      </c>
      <c r="O34" s="24">
        <v>13925510</v>
      </c>
      <c r="Q34" s="37">
        <f>IF((C34-C33&lt;0), "0",C34-C33)</f>
        <v>1020</v>
      </c>
      <c r="R34" s="37">
        <f t="shared" si="17"/>
        <v>13750</v>
      </c>
      <c r="S34" s="37">
        <f t="shared" si="15"/>
        <v>3490</v>
      </c>
      <c r="T34" s="37">
        <f t="shared" si="18"/>
        <v>1630</v>
      </c>
      <c r="U34" s="37">
        <f t="shared" si="19"/>
        <v>4810</v>
      </c>
      <c r="V34" s="37">
        <f t="shared" si="20"/>
        <v>3230</v>
      </c>
      <c r="W34" s="37">
        <f t="shared" si="21"/>
        <v>2420</v>
      </c>
      <c r="X34" s="37">
        <f t="shared" si="22"/>
        <v>3650</v>
      </c>
      <c r="Y34" s="37">
        <f t="shared" si="23"/>
        <v>4820</v>
      </c>
      <c r="Z34" s="37">
        <f t="shared" si="24"/>
        <v>2780</v>
      </c>
      <c r="AA34" s="37">
        <f t="shared" si="25"/>
        <v>3200</v>
      </c>
      <c r="AB34" s="37">
        <f t="shared" si="26"/>
        <v>7030</v>
      </c>
      <c r="AC34" s="37">
        <f t="shared" si="27"/>
        <v>10660</v>
      </c>
      <c r="AD34" s="35">
        <f t="shared" si="28"/>
        <v>62490</v>
      </c>
      <c r="AF34" s="20">
        <f>Q34*$D$39</f>
        <v>5.1000000000000005</v>
      </c>
      <c r="AG34" s="20">
        <f t="shared" si="2"/>
        <v>68.75</v>
      </c>
      <c r="AH34" s="20">
        <f t="shared" si="3"/>
        <v>17.45</v>
      </c>
      <c r="AI34" s="20">
        <f t="shared" si="4"/>
        <v>8.15</v>
      </c>
      <c r="AJ34" s="20">
        <f t="shared" si="5"/>
        <v>24.05</v>
      </c>
      <c r="AK34" s="20">
        <f t="shared" si="6"/>
        <v>16.149999999999999</v>
      </c>
      <c r="AL34" s="20">
        <f t="shared" si="7"/>
        <v>12.1</v>
      </c>
      <c r="AM34" s="20">
        <f t="shared" si="8"/>
        <v>18.25</v>
      </c>
      <c r="AN34" s="20">
        <f t="shared" si="9"/>
        <v>24.1</v>
      </c>
      <c r="AO34" s="20">
        <f t="shared" si="10"/>
        <v>13.9</v>
      </c>
      <c r="AP34" s="20">
        <f t="shared" si="11"/>
        <v>16</v>
      </c>
      <c r="AQ34" s="20">
        <f t="shared" si="12"/>
        <v>35.15</v>
      </c>
      <c r="AR34" s="20">
        <f t="shared" si="13"/>
        <v>53.300000000000004</v>
      </c>
      <c r="AS34" s="35">
        <f>SUM(AF34:AR34)</f>
        <v>312.45</v>
      </c>
      <c r="AU34" s="47">
        <v>206256</v>
      </c>
      <c r="AV34" s="37">
        <f t="shared" si="34"/>
        <v>2601</v>
      </c>
      <c r="AW34" s="35">
        <f t="shared" si="30"/>
        <v>5.202</v>
      </c>
    </row>
    <row r="35" spans="1:49" x14ac:dyDescent="0.25">
      <c r="A35" s="23">
        <v>44103</v>
      </c>
      <c r="B35" s="40">
        <v>122</v>
      </c>
      <c r="C35" s="24">
        <v>6372000</v>
      </c>
      <c r="D35" s="24">
        <v>14318410</v>
      </c>
      <c r="E35" s="24">
        <v>2075810</v>
      </c>
      <c r="F35" s="24">
        <v>3045050</v>
      </c>
      <c r="G35" s="24">
        <v>9241190</v>
      </c>
      <c r="H35" s="24">
        <v>4701890</v>
      </c>
      <c r="I35" s="24">
        <v>4486530</v>
      </c>
      <c r="J35" s="24">
        <v>5034960</v>
      </c>
      <c r="K35" s="24">
        <v>7906520</v>
      </c>
      <c r="L35" s="24">
        <v>3199190</v>
      </c>
      <c r="M35" s="24">
        <v>7070570</v>
      </c>
      <c r="N35" s="24">
        <v>10313830</v>
      </c>
      <c r="O35" s="24">
        <v>13935450</v>
      </c>
      <c r="Q35" s="37">
        <f>IF((C35-C34&lt;0), "0",C35-C34)</f>
        <v>1010</v>
      </c>
      <c r="R35" s="37">
        <f t="shared" si="17"/>
        <v>14010</v>
      </c>
      <c r="S35" s="37">
        <f t="shared" si="15"/>
        <v>3690</v>
      </c>
      <c r="T35" s="37">
        <f t="shared" si="18"/>
        <v>710</v>
      </c>
      <c r="U35" s="37">
        <f t="shared" si="19"/>
        <v>4850</v>
      </c>
      <c r="V35" s="37">
        <f t="shared" si="20"/>
        <v>3260</v>
      </c>
      <c r="W35" s="37">
        <f t="shared" si="21"/>
        <v>2350</v>
      </c>
      <c r="X35" s="37">
        <f t="shared" si="22"/>
        <v>3600</v>
      </c>
      <c r="Y35" s="37">
        <f t="shared" si="23"/>
        <v>4740</v>
      </c>
      <c r="Z35" s="37">
        <f t="shared" si="24"/>
        <v>2840</v>
      </c>
      <c r="AA35" s="37">
        <f t="shared" si="25"/>
        <v>3180</v>
      </c>
      <c r="AB35" s="37">
        <f t="shared" si="26"/>
        <v>7000</v>
      </c>
      <c r="AC35" s="37">
        <f t="shared" si="27"/>
        <v>9940</v>
      </c>
      <c r="AD35" s="35">
        <f t="shared" si="28"/>
        <v>61180</v>
      </c>
      <c r="AF35" s="20">
        <f t="shared" si="1"/>
        <v>5.05</v>
      </c>
      <c r="AG35" s="20">
        <f t="shared" si="2"/>
        <v>70.05</v>
      </c>
      <c r="AH35" s="20">
        <f t="shared" si="3"/>
        <v>18.45</v>
      </c>
      <c r="AI35" s="20">
        <f t="shared" si="4"/>
        <v>3.5500000000000003</v>
      </c>
      <c r="AJ35" s="20">
        <f t="shared" si="5"/>
        <v>24.25</v>
      </c>
      <c r="AK35" s="20">
        <f t="shared" si="6"/>
        <v>16.3</v>
      </c>
      <c r="AL35" s="20">
        <f t="shared" si="7"/>
        <v>11.75</v>
      </c>
      <c r="AM35" s="20">
        <f t="shared" si="8"/>
        <v>18</v>
      </c>
      <c r="AN35" s="20">
        <f t="shared" si="9"/>
        <v>23.7</v>
      </c>
      <c r="AO35" s="20">
        <f t="shared" si="10"/>
        <v>14.200000000000001</v>
      </c>
      <c r="AP35" s="20">
        <f t="shared" si="11"/>
        <v>15.9</v>
      </c>
      <c r="AQ35" s="20">
        <f t="shared" si="12"/>
        <v>35</v>
      </c>
      <c r="AR35" s="20">
        <f t="shared" si="13"/>
        <v>49.7</v>
      </c>
      <c r="AS35" s="35">
        <f>SUM(AF35:AR35)</f>
        <v>305.89999999999998</v>
      </c>
      <c r="AU35" s="47">
        <v>208068</v>
      </c>
      <c r="AV35" s="37">
        <f t="shared" si="34"/>
        <v>1812</v>
      </c>
      <c r="AW35" s="35">
        <f t="shared" si="30"/>
        <v>3.6240000000000001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6"/>
        <v>0</v>
      </c>
      <c r="AC36" s="37" t="str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27970</v>
      </c>
      <c r="R38" s="30">
        <f t="shared" si="62"/>
        <v>393790</v>
      </c>
      <c r="S38" s="30">
        <f t="shared" si="62"/>
        <v>101220</v>
      </c>
      <c r="T38" s="30">
        <f t="shared" si="62"/>
        <v>44700</v>
      </c>
      <c r="U38" s="30">
        <f t="shared" si="62"/>
        <v>134330</v>
      </c>
      <c r="V38" s="30">
        <f t="shared" si="62"/>
        <v>90160</v>
      </c>
      <c r="W38" s="30">
        <f t="shared" si="62"/>
        <v>66190</v>
      </c>
      <c r="X38" s="30">
        <f t="shared" si="62"/>
        <v>97280</v>
      </c>
      <c r="Y38" s="30">
        <f t="shared" si="62"/>
        <v>132100</v>
      </c>
      <c r="Z38" s="30">
        <f t="shared" si="62"/>
        <v>79360</v>
      </c>
      <c r="AA38" s="30">
        <f t="shared" si="62"/>
        <v>93030</v>
      </c>
      <c r="AB38" s="30">
        <f t="shared" si="62"/>
        <v>193280</v>
      </c>
      <c r="AC38" s="30">
        <f t="shared" si="62"/>
        <v>250430</v>
      </c>
      <c r="AD38" s="35">
        <f t="shared" si="62"/>
        <v>1703840</v>
      </c>
      <c r="AF38" s="35">
        <f t="shared" ref="AF38:AS38" si="63">SUM(AF7:AF34)</f>
        <v>139.85</v>
      </c>
      <c r="AG38" s="35">
        <f t="shared" si="63"/>
        <v>1968.9499999999998</v>
      </c>
      <c r="AH38" s="35">
        <f t="shared" si="63"/>
        <v>506.1</v>
      </c>
      <c r="AI38" s="35">
        <f t="shared" si="63"/>
        <v>223.5</v>
      </c>
      <c r="AJ38" s="35">
        <f t="shared" si="63"/>
        <v>671.65</v>
      </c>
      <c r="AK38" s="35">
        <f t="shared" si="63"/>
        <v>450.79999999999995</v>
      </c>
      <c r="AL38" s="35">
        <f t="shared" si="63"/>
        <v>330.95000000000005</v>
      </c>
      <c r="AM38" s="35">
        <f t="shared" si="63"/>
        <v>486.39999999999992</v>
      </c>
      <c r="AN38" s="35">
        <f t="shared" si="63"/>
        <v>660.5</v>
      </c>
      <c r="AO38" s="35">
        <f t="shared" si="63"/>
        <v>396.7999999999999</v>
      </c>
      <c r="AP38" s="35">
        <f t="shared" si="63"/>
        <v>465.14999999999992</v>
      </c>
      <c r="AQ38" s="35">
        <f t="shared" si="63"/>
        <v>966.4</v>
      </c>
      <c r="AR38" s="35">
        <f t="shared" si="63"/>
        <v>1252.1499999999999</v>
      </c>
      <c r="AS38" s="35">
        <f t="shared" si="63"/>
        <v>8519.2000000000025</v>
      </c>
      <c r="AU38" s="48"/>
      <c r="AV38" s="35">
        <f>SUM(AV7:AV34)</f>
        <v>71069</v>
      </c>
      <c r="AW38" s="35">
        <f>SUM(AW7:AW34)</f>
        <v>130.53</v>
      </c>
    </row>
    <row r="39" spans="1:49" x14ac:dyDescent="0.25">
      <c r="D39">
        <v>5.0000000000000001E-3</v>
      </c>
      <c r="AV39" s="36">
        <f>AV38*0.00378541*1000</f>
        <v>269025.30329000001</v>
      </c>
    </row>
    <row r="40" spans="1:49" x14ac:dyDescent="0.25">
      <c r="D40">
        <v>2E-3</v>
      </c>
      <c r="AV40">
        <f>AV39/31</f>
        <v>8678.2355900000002</v>
      </c>
    </row>
    <row r="41" spans="1:49" x14ac:dyDescent="0.25">
      <c r="AV41">
        <f>AV38*0.00378541</f>
        <v>269.02530329000001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2020-09-30T06:27:08Z</dcterms:modified>
</cp:coreProperties>
</file>