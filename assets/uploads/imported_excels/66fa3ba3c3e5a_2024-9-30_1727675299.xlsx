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24BAB25-1B14-48A0-9C38-5E7B318F57B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1" i="2" l="1"/>
  <c r="AE30" i="2"/>
  <c r="AE29" i="2"/>
  <c r="AE28" i="2"/>
  <c r="AE27" i="2"/>
  <c r="AE26" i="2"/>
  <c r="U25" i="2"/>
  <c r="U24" i="2"/>
  <c r="AE32" i="2"/>
  <c r="AE25" i="2"/>
  <c r="AE24" i="2"/>
  <c r="AE23" i="2"/>
  <c r="AE22" i="2"/>
  <c r="AE21" i="2"/>
  <c r="AE20" i="2"/>
  <c r="AE19" i="2"/>
  <c r="AE18" i="2"/>
  <c r="A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s="1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G25" i="3"/>
  <c r="E26" i="3"/>
  <c r="F26" i="3"/>
  <c r="G24" i="3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6" i="2"/>
  <c r="C34" i="2"/>
  <c r="J23" i="2" l="1"/>
  <c r="J22" i="2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<sst xmlns="http://schemas.openxmlformats.org/spreadsheetml/2006/main" count="77" uniqueCount="40">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</sst>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L35" sqref="L3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8864</v>
      </c>
      <c r="F17" s="118">
        <f>(September!C17*0.27)/(September!C17+September!E17)</f>
        <v>0.23405685920577621</v>
      </c>
      <c r="G17" s="105">
        <f>September!U17</f>
        <v>711</v>
      </c>
      <c r="H17" s="121">
        <v>0.62</v>
      </c>
      <c r="I17" s="106">
        <f>September!W17</f>
        <v>110</v>
      </c>
      <c r="J17" s="107">
        <v>2.42</v>
      </c>
      <c r="K17" s="114">
        <f>September!AB17*5.04</f>
        <v>1108.8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220</v>
      </c>
      <c r="P17" s="108">
        <f>September!AD17</f>
        <v>404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8520</v>
      </c>
      <c r="F18" s="118">
        <f>(September!C18*0.27)/(September!C18+September!E18)</f>
        <v>0.23453873239436623</v>
      </c>
      <c r="G18" s="105">
        <f>September!U18</f>
        <v>0</v>
      </c>
      <c r="H18" s="121">
        <v>0.62</v>
      </c>
      <c r="I18" s="106">
        <f>September!W18</f>
        <v>120</v>
      </c>
      <c r="J18" s="107">
        <v>2.42</v>
      </c>
      <c r="K18" s="114">
        <f>September!AB18*5.04</f>
        <v>1234.8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222</v>
      </c>
      <c r="P18" s="108">
        <f>September!AD18</f>
        <v>405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9319</v>
      </c>
      <c r="F19" s="118">
        <f>(September!C19*0.27)/(September!C19+September!E19)</f>
        <v>0.23702865114282651</v>
      </c>
      <c r="G19" s="105">
        <f>September!U19</f>
        <v>0</v>
      </c>
      <c r="H19" s="121">
        <v>0.62</v>
      </c>
      <c r="I19" s="106">
        <f>September!W19</f>
        <v>118</v>
      </c>
      <c r="J19" s="107">
        <v>2.42</v>
      </c>
      <c r="K19" s="114">
        <f>September!AB19*5.04</f>
        <v>1285.2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210</v>
      </c>
      <c r="P19" s="108">
        <f>September!AD19</f>
        <v>384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9136</v>
      </c>
      <c r="F20" s="118">
        <f>(September!C20*0.27)/(September!C20+September!E20)</f>
        <v>0.23654553415061294</v>
      </c>
      <c r="G20" s="105">
        <f>September!U20</f>
        <v>0</v>
      </c>
      <c r="H20" s="121">
        <v>0.62</v>
      </c>
      <c r="I20" s="106">
        <f>September!W20</f>
        <v>95</v>
      </c>
      <c r="J20" s="107">
        <v>2.42</v>
      </c>
      <c r="K20" s="114">
        <f>September!AB20*5.04</f>
        <v>1184.4000000000001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198</v>
      </c>
      <c r="P20" s="108">
        <f>September!AD20</f>
        <v>365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8975</v>
      </c>
      <c r="F21" s="118">
        <f>(September!C21*0.27)/(September!C21+September!E21)</f>
        <v>0.23874317548746521</v>
      </c>
      <c r="G21" s="105">
        <f>September!U21</f>
        <v>0</v>
      </c>
      <c r="H21" s="121">
        <v>0.62</v>
      </c>
      <c r="I21" s="106">
        <f>September!W21</f>
        <v>118</v>
      </c>
      <c r="J21" s="107">
        <v>2.42</v>
      </c>
      <c r="K21" s="114">
        <f>September!AB21*5.04</f>
        <v>1285.2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212</v>
      </c>
      <c r="P21" s="108">
        <f>September!AD21</f>
        <v>399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8950</v>
      </c>
      <c r="F22" s="118">
        <f>(September!C22*0.27)/(September!C22+September!E22)</f>
        <v>0.23500558659217879</v>
      </c>
      <c r="G22" s="105">
        <f>September!U22</f>
        <v>0</v>
      </c>
      <c r="H22" s="121">
        <v>0.62</v>
      </c>
      <c r="I22" s="106">
        <f>September!W22</f>
        <v>121</v>
      </c>
      <c r="J22" s="107">
        <v>2.42</v>
      </c>
      <c r="K22" s="114">
        <f>September!AB22*5.04</f>
        <v>1285.2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191</v>
      </c>
      <c r="P22" s="108">
        <f>September!AD22</f>
        <v>352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8835</v>
      </c>
      <c r="F23" s="118">
        <f>(September!C23*0.27)/(September!C23+September!E23)</f>
        <v>0.24032597623089985</v>
      </c>
      <c r="G23" s="105">
        <f>September!U23</f>
        <v>0</v>
      </c>
      <c r="H23" s="121">
        <v>0.62</v>
      </c>
      <c r="I23" s="106">
        <f>September!W23</f>
        <v>94</v>
      </c>
      <c r="J23" s="107">
        <v>2.42</v>
      </c>
      <c r="K23" s="114">
        <f>September!AB23*5.04</f>
        <v>1159.2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235</v>
      </c>
      <c r="P23" s="108">
        <f>September!AD23</f>
        <v>393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8865</v>
      </c>
      <c r="F24" s="118">
        <f>(September!C24*0.27)/(September!C24+September!E24)</f>
        <v>0.23433502538071066</v>
      </c>
      <c r="G24" s="105">
        <f>September!U24</f>
        <v>790</v>
      </c>
      <c r="H24" s="121">
        <v>0.62</v>
      </c>
      <c r="I24" s="106">
        <f>September!W24</f>
        <v>119</v>
      </c>
      <c r="J24" s="107">
        <v>2.42</v>
      </c>
      <c r="K24" s="114">
        <f>September!AB24*5.04</f>
        <v>1134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227</v>
      </c>
      <c r="P24" s="108">
        <f>September!AD24</f>
        <v>380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8678</v>
      </c>
      <c r="F25" s="118">
        <f>(September!C25*0.27)/(September!C25+September!E25)</f>
        <v>0.2347487900437889</v>
      </c>
      <c r="G25" s="105">
        <f>September!U25</f>
        <v>0</v>
      </c>
      <c r="H25" s="121">
        <v>0.62</v>
      </c>
      <c r="I25" s="106">
        <f>September!W25</f>
        <v>109</v>
      </c>
      <c r="J25" s="107">
        <v>2.42</v>
      </c>
      <c r="K25" s="114">
        <f>September!AB25*5.04</f>
        <v>1209.5999999999999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226</v>
      </c>
      <c r="P25" s="108">
        <f>September!AD25</f>
        <v>378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9521</v>
      </c>
      <c r="F26" s="118">
        <f>(September!C26*0.27)/(September!C26+September!E26)</f>
        <v>0.23648041172145784</v>
      </c>
      <c r="G26" s="105">
        <f>September!U26</f>
        <v>0</v>
      </c>
      <c r="H26" s="121">
        <v>0.62</v>
      </c>
      <c r="I26" s="106">
        <f>September!W26</f>
        <v>105</v>
      </c>
      <c r="J26" s="107">
        <v>2.42</v>
      </c>
      <c r="K26" s="114">
        <f>September!AB26*5.04</f>
        <v>1260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231</v>
      </c>
      <c r="P26" s="108">
        <f>September!AD26</f>
        <v>397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9043</v>
      </c>
      <c r="F27" s="118">
        <f>(September!C27*0.27)/(September!C27+September!E27)</f>
        <v>0.23530576136237977</v>
      </c>
      <c r="G27" s="105">
        <f>September!U27</f>
        <v>0</v>
      </c>
      <c r="H27" s="121">
        <v>0.62</v>
      </c>
      <c r="I27" s="106">
        <f>September!W27</f>
        <v>112</v>
      </c>
      <c r="J27" s="107">
        <v>2.42</v>
      </c>
      <c r="K27" s="114">
        <f>September!AB27*5.04</f>
        <v>1134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237</v>
      </c>
      <c r="P27" s="108">
        <f>September!AD27</f>
        <v>414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9554</v>
      </c>
      <c r="F28" s="118">
        <f>(September!C28*0.27)/(September!C28+September!E28)</f>
        <v>0.2374722629265229</v>
      </c>
      <c r="G28" s="105">
        <f>September!U28</f>
        <v>0</v>
      </c>
      <c r="H28" s="121">
        <v>0.62</v>
      </c>
      <c r="I28" s="106">
        <f>September!W28</f>
        <v>117</v>
      </c>
      <c r="J28" s="107">
        <v>2.42</v>
      </c>
      <c r="K28" s="114">
        <f>September!AB28*5.04</f>
        <v>1285.2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238</v>
      </c>
      <c r="P28" s="108">
        <f>September!AD28</f>
        <v>414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8913</v>
      </c>
      <c r="F29" s="118">
        <f>(September!C29*0.27)/(September!C29+September!E29)</f>
        <v>0.23540558734432851</v>
      </c>
      <c r="G29" s="105">
        <f>September!U29</f>
        <v>0</v>
      </c>
      <c r="H29" s="121">
        <v>0.62</v>
      </c>
      <c r="I29" s="106">
        <f>September!W29</f>
        <v>115</v>
      </c>
      <c r="J29" s="107">
        <v>2.42</v>
      </c>
      <c r="K29" s="114">
        <f>September!AB29*5.04</f>
        <v>1184.4000000000001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232</v>
      </c>
      <c r="P29" s="108">
        <f>September!AD29</f>
        <v>400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9731</v>
      </c>
      <c r="F30" s="118">
        <f>(September!C30*0.27)/(September!C30+September!E30)</f>
        <v>0.23864659336142224</v>
      </c>
      <c r="G30" s="105">
        <f>September!U30</f>
        <v>0</v>
      </c>
      <c r="H30" s="121">
        <v>0.62</v>
      </c>
      <c r="I30" s="106">
        <f>September!W30</f>
        <v>101</v>
      </c>
      <c r="J30" s="107">
        <v>2.42</v>
      </c>
      <c r="K30" s="114">
        <f>September!AB30*5.04</f>
        <v>1108.8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230</v>
      </c>
      <c r="P30" s="108">
        <f>September!AD30</f>
        <v>402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 t="str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J21" zoomScale="85" zoomScaleNormal="85" workbookViewId="0">
      <selection activeCell="Q44" sqref="Q4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1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" customHeight="1" x14ac:dyDescent="0.2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3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" customHeight="1" x14ac:dyDescent="0.2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32" si="11">Z3+AA3-Z4</f>
        <v>85</v>
      </c>
    </row>
    <row r="4" spans="1:31" ht="20.7" customHeight="1" x14ac:dyDescent="0.2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" customHeight="1" x14ac:dyDescent="0.2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" customHeight="1" x14ac:dyDescent="0.2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" customHeight="1" x14ac:dyDescent="0.2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" customHeight="1" x14ac:dyDescent="0.2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" customHeight="1" x14ac:dyDescent="0.2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" customHeight="1" x14ac:dyDescent="0.2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" customHeight="1" x14ac:dyDescent="0.2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" customHeight="1" x14ac:dyDescent="0.2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" customHeight="1" x14ac:dyDescent="0.2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" customHeight="1" x14ac:dyDescent="0.2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" customHeight="1" x14ac:dyDescent="0.2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" customHeight="1" x14ac:dyDescent="0.2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-1013.8900000000067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1" ht="20.7" customHeight="1" x14ac:dyDescent="0.2">
      <c r="A17" s="20">
        <v>45551</v>
      </c>
      <c r="B17" s="10">
        <v>12821226</v>
      </c>
      <c r="C17" s="14">
        <f>IF(OR((B18-B17)&lt;0,B18=0),"0",B18-B17)</f>
        <v>7684</v>
      </c>
      <c r="D17" s="11">
        <v>540017</v>
      </c>
      <c r="E17" s="14">
        <f t="shared" ref="E17" si="25">IF(OR((D18-D17)&lt;0,D18=0),"0",D18-D17)</f>
        <v>1180</v>
      </c>
      <c r="F17" s="28">
        <v>1704</v>
      </c>
      <c r="G17" s="75">
        <f t="shared" si="5"/>
        <v>0</v>
      </c>
      <c r="H17" s="77">
        <f t="shared" si="6"/>
        <v>8864</v>
      </c>
      <c r="I17" s="81">
        <f t="shared" si="7"/>
        <v>-36688.200000000004</v>
      </c>
      <c r="J17" s="33">
        <f t="shared" si="1"/>
        <v>-345.44999999999709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>
        <v>711</v>
      </c>
      <c r="U17" s="33">
        <f t="shared" ref="U17:U20" si="26">IF(OR((S17+T17-S18)&lt;0,S17&gt;S16),"0",(S17+T17-S18))</f>
        <v>711</v>
      </c>
      <c r="V17" s="45">
        <v>115755</v>
      </c>
      <c r="W17" s="33">
        <f t="shared" si="8"/>
        <v>110</v>
      </c>
      <c r="X17" s="48">
        <v>60692</v>
      </c>
      <c r="Y17" s="33">
        <f t="shared" si="9"/>
        <v>12</v>
      </c>
      <c r="Z17" s="51">
        <v>6440</v>
      </c>
      <c r="AA17" s="57">
        <v>0</v>
      </c>
      <c r="AB17" s="33">
        <f t="shared" si="10"/>
        <v>220</v>
      </c>
      <c r="AC17" s="13">
        <v>220</v>
      </c>
      <c r="AD17" s="18">
        <v>404</v>
      </c>
      <c r="AE17" s="131">
        <f t="shared" si="11"/>
        <v>220</v>
      </c>
    </row>
    <row r="18" spans="1:31" ht="20.7" customHeight="1" x14ac:dyDescent="0.2">
      <c r="A18" s="20">
        <v>45552</v>
      </c>
      <c r="B18" s="10">
        <v>12828910</v>
      </c>
      <c r="C18" s="14">
        <f t="shared" ref="C18:C32" si="27">IF(OR((B19-B18)&lt;0,B19=0),"0",B19-B18)</f>
        <v>7401</v>
      </c>
      <c r="D18" s="11">
        <v>541197</v>
      </c>
      <c r="E18" s="14">
        <f t="shared" ref="E18" si="28">IF(OR((D19-D18)&lt;0,D19=0),"0",D19-D18)</f>
        <v>1119</v>
      </c>
      <c r="F18" s="28">
        <v>1704</v>
      </c>
      <c r="G18" s="75">
        <f t="shared" si="5"/>
        <v>0</v>
      </c>
      <c r="H18" s="77">
        <f t="shared" si="6"/>
        <v>8520</v>
      </c>
      <c r="I18" s="81">
        <f t="shared" si="7"/>
        <v>-37033.65</v>
      </c>
      <c r="J18" s="33">
        <f t="shared" si="1"/>
        <v>798.05000000000291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>
        <v>0.8</v>
      </c>
      <c r="P18" s="94">
        <v>0.78</v>
      </c>
      <c r="Q18" s="93">
        <v>0.85</v>
      </c>
      <c r="R18" s="94">
        <v>0.75</v>
      </c>
      <c r="S18" s="40"/>
      <c r="T18" s="39"/>
      <c r="U18" s="33">
        <f t="shared" si="26"/>
        <v>0</v>
      </c>
      <c r="V18" s="45">
        <v>115865</v>
      </c>
      <c r="W18" s="33">
        <f t="shared" si="8"/>
        <v>120</v>
      </c>
      <c r="X18" s="48">
        <v>60704</v>
      </c>
      <c r="Y18" s="33">
        <f t="shared" si="9"/>
        <v>15</v>
      </c>
      <c r="Z18" s="51">
        <v>6220</v>
      </c>
      <c r="AA18" s="57">
        <v>0</v>
      </c>
      <c r="AB18" s="33">
        <f t="shared" si="10"/>
        <v>245</v>
      </c>
      <c r="AC18" s="13">
        <v>222</v>
      </c>
      <c r="AD18" s="18">
        <v>405</v>
      </c>
      <c r="AE18" s="131">
        <f t="shared" si="11"/>
        <v>245</v>
      </c>
    </row>
    <row r="19" spans="1:31" ht="20.7" customHeight="1" x14ac:dyDescent="0.2">
      <c r="A19" s="20">
        <v>45553</v>
      </c>
      <c r="B19" s="10">
        <v>12836311</v>
      </c>
      <c r="C19" s="14">
        <f t="shared" si="27"/>
        <v>8181</v>
      </c>
      <c r="D19" s="11">
        <v>542316</v>
      </c>
      <c r="E19" s="14">
        <f t="shared" ref="E19" si="29">IF(OR((D20-D19)&lt;0,D20=0),"0",D20-D19)</f>
        <v>1138</v>
      </c>
      <c r="F19" s="28">
        <v>1704</v>
      </c>
      <c r="G19" s="75">
        <f t="shared" si="5"/>
        <v>0</v>
      </c>
      <c r="H19" s="77">
        <f t="shared" si="6"/>
        <v>9319</v>
      </c>
      <c r="I19" s="81">
        <f t="shared" si="7"/>
        <v>-36235.599999999999</v>
      </c>
      <c r="J19" s="33">
        <f t="shared" si="1"/>
        <v>-183.91000000000349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>
        <v>0.78</v>
      </c>
      <c r="P19" s="94">
        <v>0.77</v>
      </c>
      <c r="Q19" s="93">
        <v>0.82</v>
      </c>
      <c r="R19" s="94">
        <v>0.71</v>
      </c>
      <c r="S19" s="40"/>
      <c r="T19" s="39"/>
      <c r="U19" s="33">
        <f t="shared" si="26"/>
        <v>0</v>
      </c>
      <c r="V19" s="45">
        <v>115985</v>
      </c>
      <c r="W19" s="33">
        <f t="shared" si="8"/>
        <v>118</v>
      </c>
      <c r="X19" s="48">
        <v>60719</v>
      </c>
      <c r="Y19" s="33">
        <f t="shared" si="9"/>
        <v>8</v>
      </c>
      <c r="Z19" s="51">
        <v>5975</v>
      </c>
      <c r="AA19" s="57">
        <v>0</v>
      </c>
      <c r="AB19" s="33">
        <f t="shared" si="10"/>
        <v>255</v>
      </c>
      <c r="AC19" s="13">
        <v>210</v>
      </c>
      <c r="AD19" s="18">
        <v>384</v>
      </c>
      <c r="AE19" s="131">
        <f t="shared" si="11"/>
        <v>255</v>
      </c>
    </row>
    <row r="20" spans="1:31" ht="20.7" customHeight="1" x14ac:dyDescent="0.2">
      <c r="A20" s="20">
        <v>45554</v>
      </c>
      <c r="B20" s="10">
        <v>12844492</v>
      </c>
      <c r="C20" s="14">
        <f t="shared" si="27"/>
        <v>8004</v>
      </c>
      <c r="D20" s="11">
        <v>543454</v>
      </c>
      <c r="E20" s="14">
        <f t="shared" ref="E20" si="30">IF(OR((D21-D20)&lt;0,D21=0),"0",D21-D20)</f>
        <v>1132</v>
      </c>
      <c r="F20" s="28">
        <v>1704</v>
      </c>
      <c r="G20" s="75">
        <f t="shared" si="5"/>
        <v>0</v>
      </c>
      <c r="H20" s="77">
        <f t="shared" si="6"/>
        <v>9136</v>
      </c>
      <c r="I20" s="81">
        <f t="shared" si="7"/>
        <v>-36419.51</v>
      </c>
      <c r="J20" s="33">
        <f t="shared" si="1"/>
        <v>-161.97000000000116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>
        <v>0.75</v>
      </c>
      <c r="P20" s="94">
        <v>0.76</v>
      </c>
      <c r="Q20" s="93">
        <v>0.76</v>
      </c>
      <c r="R20" s="94">
        <v>0.68</v>
      </c>
      <c r="S20" s="40"/>
      <c r="T20" s="39"/>
      <c r="U20" s="33">
        <f t="shared" si="26"/>
        <v>0</v>
      </c>
      <c r="V20" s="45">
        <v>116103</v>
      </c>
      <c r="W20" s="33">
        <f t="shared" si="8"/>
        <v>95</v>
      </c>
      <c r="X20" s="48">
        <v>60727</v>
      </c>
      <c r="Y20" s="33">
        <f t="shared" si="9"/>
        <v>13</v>
      </c>
      <c r="Z20" s="51">
        <v>5720</v>
      </c>
      <c r="AA20" s="57">
        <v>0</v>
      </c>
      <c r="AB20" s="33">
        <f t="shared" si="10"/>
        <v>235</v>
      </c>
      <c r="AC20" s="13">
        <v>198</v>
      </c>
      <c r="AD20" s="18">
        <v>365</v>
      </c>
      <c r="AE20" s="131">
        <f t="shared" si="11"/>
        <v>235</v>
      </c>
    </row>
    <row r="21" spans="1:31" ht="20.7" customHeight="1" x14ac:dyDescent="0.2">
      <c r="A21" s="20">
        <v>45555</v>
      </c>
      <c r="B21" s="10">
        <v>12852496</v>
      </c>
      <c r="C21" s="14">
        <f t="shared" si="27"/>
        <v>7936</v>
      </c>
      <c r="D21" s="11">
        <v>544586</v>
      </c>
      <c r="E21" s="14">
        <f t="shared" ref="E21" si="31">IF(OR((D22-D21)&lt;0,D22=0),"0",D22-D21)</f>
        <v>1039</v>
      </c>
      <c r="F21" s="28">
        <v>1704</v>
      </c>
      <c r="G21" s="75">
        <f t="shared" si="5"/>
        <v>0</v>
      </c>
      <c r="H21" s="77">
        <f t="shared" si="6"/>
        <v>8975</v>
      </c>
      <c r="I21" s="81">
        <f t="shared" si="7"/>
        <v>-36581.480000000003</v>
      </c>
      <c r="J21" s="33">
        <f t="shared" si="1"/>
        <v>-25.959999999999127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>
        <v>0.75</v>
      </c>
      <c r="P21" s="94">
        <v>0.75</v>
      </c>
      <c r="Q21" s="93">
        <v>0.73</v>
      </c>
      <c r="R21" s="94">
        <v>0.66</v>
      </c>
      <c r="S21" s="41"/>
      <c r="T21" s="39"/>
      <c r="U21" s="33">
        <f>IF(OR((S21+T21-S22)&lt;0,S21&gt;S20),"0",(S21+T21-S22))</f>
        <v>0</v>
      </c>
      <c r="V21" s="45">
        <v>116198</v>
      </c>
      <c r="W21" s="33">
        <f t="shared" si="8"/>
        <v>118</v>
      </c>
      <c r="X21" s="48">
        <v>60740</v>
      </c>
      <c r="Y21" s="33">
        <f t="shared" si="9"/>
        <v>15</v>
      </c>
      <c r="Z21" s="51">
        <v>5485</v>
      </c>
      <c r="AA21" s="57">
        <v>0</v>
      </c>
      <c r="AB21" s="33">
        <f t="shared" si="10"/>
        <v>255</v>
      </c>
      <c r="AC21" s="13">
        <v>212</v>
      </c>
      <c r="AD21" s="18">
        <v>399</v>
      </c>
      <c r="AE21" s="131">
        <f t="shared" si="11"/>
        <v>255</v>
      </c>
    </row>
    <row r="22" spans="1:31" ht="20.7" customHeight="1" x14ac:dyDescent="0.2">
      <c r="A22" s="20">
        <v>45556</v>
      </c>
      <c r="B22" s="10">
        <v>12860432</v>
      </c>
      <c r="C22" s="14">
        <f t="shared" si="27"/>
        <v>7790</v>
      </c>
      <c r="D22" s="11">
        <v>545625</v>
      </c>
      <c r="E22" s="14">
        <f t="shared" ref="E22" si="32">IF(OR((D23-D22)&lt;0,D23=0),"0",D23-D22)</f>
        <v>1160</v>
      </c>
      <c r="F22" s="28">
        <v>1704</v>
      </c>
      <c r="G22" s="75">
        <f t="shared" si="5"/>
        <v>0</v>
      </c>
      <c r="H22" s="77">
        <f t="shared" si="6"/>
        <v>8950</v>
      </c>
      <c r="I22" s="81">
        <f t="shared" si="7"/>
        <v>-36607.440000000002</v>
      </c>
      <c r="J22" s="33">
        <f t="shared" si="1"/>
        <v>-115.86000000000058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>
        <v>0.73</v>
      </c>
      <c r="P22" s="94">
        <v>0.74</v>
      </c>
      <c r="Q22" s="93">
        <v>0.71</v>
      </c>
      <c r="R22" s="94">
        <v>0.64</v>
      </c>
      <c r="S22" s="41"/>
      <c r="T22" s="39"/>
      <c r="U22" s="33">
        <f t="shared" ref="U22:U32" si="33">IF((S22+T22-S23)&lt;0,"0",(S22+T22-S23))</f>
        <v>0</v>
      </c>
      <c r="V22" s="45">
        <v>116316</v>
      </c>
      <c r="W22" s="33">
        <f t="shared" si="8"/>
        <v>121</v>
      </c>
      <c r="X22" s="48">
        <v>60755</v>
      </c>
      <c r="Y22" s="33">
        <f t="shared" si="9"/>
        <v>14</v>
      </c>
      <c r="Z22" s="51">
        <v>5230</v>
      </c>
      <c r="AA22" s="57">
        <v>0</v>
      </c>
      <c r="AB22" s="33">
        <f t="shared" si="10"/>
        <v>255</v>
      </c>
      <c r="AC22" s="13">
        <v>191</v>
      </c>
      <c r="AD22" s="18">
        <v>352</v>
      </c>
      <c r="AE22" s="131">
        <f t="shared" si="11"/>
        <v>255</v>
      </c>
    </row>
    <row r="23" spans="1:31" ht="20.7" customHeight="1" x14ac:dyDescent="0.2">
      <c r="A23" s="20">
        <v>45557</v>
      </c>
      <c r="B23" s="10">
        <v>12868222</v>
      </c>
      <c r="C23" s="14">
        <f t="shared" si="27"/>
        <v>7864</v>
      </c>
      <c r="D23" s="11">
        <v>546785</v>
      </c>
      <c r="E23" s="14">
        <f t="shared" ref="E23" si="34">IF(OR((D24-D23)&lt;0,D24=0),"0",D24-D23)</f>
        <v>971</v>
      </c>
      <c r="F23" s="28">
        <v>1704</v>
      </c>
      <c r="G23" s="75">
        <f t="shared" si="5"/>
        <v>0</v>
      </c>
      <c r="H23" s="77">
        <f t="shared" si="6"/>
        <v>8835</v>
      </c>
      <c r="I23" s="81">
        <f t="shared" si="7"/>
        <v>-36723.300000000003</v>
      </c>
      <c r="J23" s="33">
        <f t="shared" si="1"/>
        <v>29.05000000000291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>
        <v>0.69</v>
      </c>
      <c r="P23" s="94">
        <v>0.72</v>
      </c>
      <c r="Q23" s="93">
        <v>0.61</v>
      </c>
      <c r="R23" s="94">
        <v>0.6</v>
      </c>
      <c r="S23" s="41"/>
      <c r="T23" s="39"/>
      <c r="U23" s="33">
        <f t="shared" si="33"/>
        <v>0</v>
      </c>
      <c r="V23" s="45">
        <v>116437</v>
      </c>
      <c r="W23" s="33">
        <f t="shared" si="8"/>
        <v>94</v>
      </c>
      <c r="X23" s="48">
        <v>60769</v>
      </c>
      <c r="Y23" s="33">
        <f t="shared" si="9"/>
        <v>5</v>
      </c>
      <c r="Z23" s="51">
        <v>4975</v>
      </c>
      <c r="AA23" s="57">
        <v>0</v>
      </c>
      <c r="AB23" s="33">
        <f t="shared" si="10"/>
        <v>230</v>
      </c>
      <c r="AC23" s="13">
        <v>235</v>
      </c>
      <c r="AD23" s="18">
        <v>393</v>
      </c>
      <c r="AE23" s="131">
        <f t="shared" si="11"/>
        <v>230</v>
      </c>
    </row>
    <row r="24" spans="1:31" ht="20.7" customHeight="1" x14ac:dyDescent="0.2">
      <c r="A24" s="20">
        <v>45558</v>
      </c>
      <c r="B24" s="10">
        <v>12876086</v>
      </c>
      <c r="C24" s="14">
        <f t="shared" si="27"/>
        <v>7694</v>
      </c>
      <c r="D24" s="11">
        <v>547756</v>
      </c>
      <c r="E24" s="14">
        <f t="shared" ref="E24" si="35">IF(OR((D25-D24)&lt;0,D25=0),"0",D25-D24)</f>
        <v>1171</v>
      </c>
      <c r="F24" s="28">
        <v>1704</v>
      </c>
      <c r="G24" s="75">
        <f t="shared" si="5"/>
        <v>0</v>
      </c>
      <c r="H24" s="77">
        <f t="shared" si="6"/>
        <v>8865</v>
      </c>
      <c r="I24" s="81">
        <f t="shared" si="7"/>
        <v>-36694.25</v>
      </c>
      <c r="J24" s="33">
        <f t="shared" si="1"/>
        <v>-188.40000000000146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>
        <v>0.69</v>
      </c>
      <c r="P24" s="94">
        <v>0.71</v>
      </c>
      <c r="Q24" s="93">
        <v>0.56000000000000005</v>
      </c>
      <c r="R24" s="94">
        <v>0.54</v>
      </c>
      <c r="S24" s="41"/>
      <c r="T24" s="39">
        <v>790</v>
      </c>
      <c r="U24" s="33">
        <f t="shared" si="33"/>
        <v>790</v>
      </c>
      <c r="V24" s="45">
        <v>116531</v>
      </c>
      <c r="W24" s="33">
        <f t="shared" si="8"/>
        <v>119</v>
      </c>
      <c r="X24" s="48">
        <v>60774</v>
      </c>
      <c r="Y24" s="33">
        <f t="shared" si="9"/>
        <v>13</v>
      </c>
      <c r="Z24" s="51">
        <v>4745</v>
      </c>
      <c r="AA24" s="57">
        <v>0</v>
      </c>
      <c r="AB24" s="33">
        <f t="shared" si="10"/>
        <v>225</v>
      </c>
      <c r="AC24" s="13">
        <v>227</v>
      </c>
      <c r="AD24" s="18">
        <v>380</v>
      </c>
      <c r="AE24" s="131">
        <f t="shared" si="11"/>
        <v>225</v>
      </c>
    </row>
    <row r="25" spans="1:31" ht="20.7" customHeight="1" x14ac:dyDescent="0.2">
      <c r="A25" s="20">
        <v>45559</v>
      </c>
      <c r="B25" s="10">
        <v>12883780</v>
      </c>
      <c r="C25" s="14">
        <f t="shared" si="27"/>
        <v>7545</v>
      </c>
      <c r="D25" s="11">
        <v>548927</v>
      </c>
      <c r="E25" s="14">
        <f t="shared" ref="E25" si="36">IF(OR((D26-D25)&lt;0,D26=0),"0",D26-D25)</f>
        <v>1133</v>
      </c>
      <c r="F25" s="28">
        <v>1704</v>
      </c>
      <c r="G25" s="75">
        <f t="shared" si="5"/>
        <v>0</v>
      </c>
      <c r="H25" s="77">
        <f t="shared" si="6"/>
        <v>8678</v>
      </c>
      <c r="I25" s="81">
        <f t="shared" si="7"/>
        <v>-36882.65</v>
      </c>
      <c r="J25" s="33">
        <f t="shared" si="1"/>
        <v>842.05000000000291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>
        <v>0.8</v>
      </c>
      <c r="P25" s="94">
        <v>0.78</v>
      </c>
      <c r="Q25" s="93">
        <v>0.85</v>
      </c>
      <c r="R25" s="94">
        <v>0.75</v>
      </c>
      <c r="S25" s="41"/>
      <c r="T25" s="39"/>
      <c r="U25" s="33">
        <f t="shared" si="33"/>
        <v>0</v>
      </c>
      <c r="V25" s="45">
        <v>116650</v>
      </c>
      <c r="W25" s="33">
        <f t="shared" si="8"/>
        <v>109</v>
      </c>
      <c r="X25" s="48">
        <v>60787</v>
      </c>
      <c r="Y25" s="33">
        <f t="shared" si="9"/>
        <v>12</v>
      </c>
      <c r="Z25" s="51">
        <v>4520</v>
      </c>
      <c r="AA25" s="57">
        <v>0</v>
      </c>
      <c r="AB25" s="33">
        <f t="shared" si="10"/>
        <v>240</v>
      </c>
      <c r="AC25" s="13">
        <v>226</v>
      </c>
      <c r="AD25" s="18">
        <v>378</v>
      </c>
      <c r="AE25" s="131">
        <f t="shared" si="11"/>
        <v>240</v>
      </c>
    </row>
    <row r="26" spans="1:31" ht="20.7" customHeight="1" x14ac:dyDescent="0.2">
      <c r="A26" s="20">
        <v>45560</v>
      </c>
      <c r="B26" s="10">
        <v>12891325</v>
      </c>
      <c r="C26" s="14">
        <f t="shared" si="27"/>
        <v>8339</v>
      </c>
      <c r="D26" s="11">
        <v>550060</v>
      </c>
      <c r="E26" s="14">
        <f t="shared" ref="E26" si="37">IF(OR((D27-D26)&lt;0,D27=0),"0",D27-D26)</f>
        <v>1182</v>
      </c>
      <c r="F26" s="28">
        <v>1704</v>
      </c>
      <c r="G26" s="75">
        <f t="shared" si="5"/>
        <v>0</v>
      </c>
      <c r="H26" s="77">
        <f t="shared" si="6"/>
        <v>9521</v>
      </c>
      <c r="I26" s="81">
        <f t="shared" si="7"/>
        <v>-36040.6</v>
      </c>
      <c r="J26" s="33">
        <f t="shared" si="1"/>
        <v>-478.91000000000349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>
        <v>0.78</v>
      </c>
      <c r="P26" s="94">
        <v>0.76</v>
      </c>
      <c r="Q26" s="93">
        <v>0.82</v>
      </c>
      <c r="R26" s="94">
        <v>0.73</v>
      </c>
      <c r="S26" s="41"/>
      <c r="T26" s="39"/>
      <c r="U26" s="33">
        <f t="shared" si="33"/>
        <v>0</v>
      </c>
      <c r="V26" s="45">
        <v>116759</v>
      </c>
      <c r="W26" s="33">
        <f t="shared" si="8"/>
        <v>105</v>
      </c>
      <c r="X26" s="48">
        <v>60799</v>
      </c>
      <c r="Y26" s="33">
        <f t="shared" si="9"/>
        <v>6</v>
      </c>
      <c r="Z26" s="51">
        <v>4280</v>
      </c>
      <c r="AA26" s="57">
        <v>0</v>
      </c>
      <c r="AB26" s="33">
        <f t="shared" si="10"/>
        <v>250</v>
      </c>
      <c r="AC26" s="13">
        <v>231</v>
      </c>
      <c r="AD26" s="18">
        <v>397</v>
      </c>
      <c r="AE26" s="131">
        <f t="shared" si="11"/>
        <v>250</v>
      </c>
    </row>
    <row r="27" spans="1:31" ht="20.7" customHeight="1" x14ac:dyDescent="0.2">
      <c r="A27" s="20">
        <v>45561</v>
      </c>
      <c r="B27" s="10">
        <v>12899664</v>
      </c>
      <c r="C27" s="14">
        <f t="shared" si="27"/>
        <v>7881</v>
      </c>
      <c r="D27" s="11">
        <v>551242</v>
      </c>
      <c r="E27" s="14">
        <f t="shared" ref="E27" si="38">IF(OR((D28-D27)&lt;0,D28=0),"0",D28-D27)</f>
        <v>1162</v>
      </c>
      <c r="F27" s="28">
        <v>1704</v>
      </c>
      <c r="G27" s="75">
        <f t="shared" si="5"/>
        <v>0</v>
      </c>
      <c r="H27" s="77">
        <f t="shared" si="6"/>
        <v>9043</v>
      </c>
      <c r="I27" s="81">
        <f t="shared" si="7"/>
        <v>-36519.51</v>
      </c>
      <c r="J27" s="33">
        <f t="shared" si="1"/>
        <v>510.04000000000087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>
        <v>0.75</v>
      </c>
      <c r="P27" s="94">
        <v>0.76</v>
      </c>
      <c r="Q27" s="93">
        <v>0.76</v>
      </c>
      <c r="R27" s="94">
        <v>0.68</v>
      </c>
      <c r="S27" s="41"/>
      <c r="T27" s="39"/>
      <c r="U27" s="33">
        <f t="shared" si="33"/>
        <v>0</v>
      </c>
      <c r="V27" s="45">
        <v>116864</v>
      </c>
      <c r="W27" s="33">
        <f t="shared" si="8"/>
        <v>112</v>
      </c>
      <c r="X27" s="48">
        <v>60805</v>
      </c>
      <c r="Y27" s="33">
        <f t="shared" si="9"/>
        <v>21</v>
      </c>
      <c r="Z27" s="51">
        <v>4030</v>
      </c>
      <c r="AA27" s="57">
        <v>0</v>
      </c>
      <c r="AB27" s="33">
        <f t="shared" si="10"/>
        <v>225</v>
      </c>
      <c r="AC27" s="13">
        <v>237</v>
      </c>
      <c r="AD27" s="18">
        <v>414</v>
      </c>
      <c r="AE27" s="131">
        <f t="shared" si="11"/>
        <v>225</v>
      </c>
    </row>
    <row r="28" spans="1:31" ht="20.7" customHeight="1" x14ac:dyDescent="0.2">
      <c r="A28" s="20">
        <v>45562</v>
      </c>
      <c r="B28" s="10">
        <v>12907545</v>
      </c>
      <c r="C28" s="14">
        <f t="shared" si="27"/>
        <v>8403</v>
      </c>
      <c r="D28" s="11">
        <v>552404</v>
      </c>
      <c r="E28" s="14">
        <f t="shared" ref="E28" si="39">IF(OR((D29-D28)&lt;0,D29=0),"0",D29-D28)</f>
        <v>1151</v>
      </c>
      <c r="F28" s="28">
        <v>1704</v>
      </c>
      <c r="G28" s="75">
        <f t="shared" si="5"/>
        <v>0</v>
      </c>
      <c r="H28" s="77">
        <f t="shared" si="6"/>
        <v>9554</v>
      </c>
      <c r="I28" s="81">
        <f t="shared" si="7"/>
        <v>-36009.47</v>
      </c>
      <c r="J28" s="33">
        <f t="shared" si="1"/>
        <v>-641.96999999999389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>
        <v>0.75</v>
      </c>
      <c r="P28" s="94">
        <v>0.74</v>
      </c>
      <c r="Q28" s="93">
        <v>0.72</v>
      </c>
      <c r="R28" s="94">
        <v>0.66</v>
      </c>
      <c r="S28" s="41"/>
      <c r="T28" s="39"/>
      <c r="U28" s="33">
        <f t="shared" si="33"/>
        <v>0</v>
      </c>
      <c r="V28" s="45">
        <v>116976</v>
      </c>
      <c r="W28" s="33">
        <f t="shared" si="8"/>
        <v>117</v>
      </c>
      <c r="X28" s="48">
        <v>60826</v>
      </c>
      <c r="Y28" s="33">
        <f t="shared" si="9"/>
        <v>13</v>
      </c>
      <c r="Z28" s="51">
        <v>3805</v>
      </c>
      <c r="AA28" s="57">
        <v>0</v>
      </c>
      <c r="AB28" s="33">
        <f t="shared" si="10"/>
        <v>255</v>
      </c>
      <c r="AC28" s="13">
        <v>238</v>
      </c>
      <c r="AD28" s="18">
        <v>414</v>
      </c>
      <c r="AE28" s="131">
        <f t="shared" si="11"/>
        <v>255</v>
      </c>
    </row>
    <row r="29" spans="1:31" ht="20.7" customHeight="1" x14ac:dyDescent="0.2">
      <c r="A29" s="20">
        <v>45563</v>
      </c>
      <c r="B29" s="10">
        <v>12915948</v>
      </c>
      <c r="C29" s="14">
        <f t="shared" si="27"/>
        <v>7771</v>
      </c>
      <c r="D29" s="11">
        <v>553555</v>
      </c>
      <c r="E29" s="14">
        <f t="shared" ref="E29" si="40">IF(OR((D30-D29)&lt;0,D30=0),"0",D30-D29)</f>
        <v>1142</v>
      </c>
      <c r="F29" s="28">
        <v>1704</v>
      </c>
      <c r="G29" s="75">
        <f t="shared" si="5"/>
        <v>0</v>
      </c>
      <c r="H29" s="77">
        <f t="shared" si="6"/>
        <v>8913</v>
      </c>
      <c r="I29" s="81">
        <f t="shared" si="7"/>
        <v>-36651.439999999995</v>
      </c>
      <c r="J29" s="33">
        <f t="shared" si="1"/>
        <v>817.12999999999738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>
        <v>0.74</v>
      </c>
      <c r="P29" s="94">
        <v>0.72</v>
      </c>
      <c r="Q29" s="93">
        <v>0.7</v>
      </c>
      <c r="R29" s="94">
        <v>0.63</v>
      </c>
      <c r="S29" s="41"/>
      <c r="T29" s="39"/>
      <c r="U29" s="33">
        <f t="shared" si="33"/>
        <v>0</v>
      </c>
      <c r="V29" s="45">
        <v>117093</v>
      </c>
      <c r="W29" s="33">
        <f t="shared" si="8"/>
        <v>115</v>
      </c>
      <c r="X29" s="48">
        <v>60839</v>
      </c>
      <c r="Y29" s="33">
        <f t="shared" si="9"/>
        <v>9</v>
      </c>
      <c r="Z29" s="51">
        <v>3550</v>
      </c>
      <c r="AA29" s="57">
        <v>0</v>
      </c>
      <c r="AB29" s="33">
        <f t="shared" si="10"/>
        <v>235</v>
      </c>
      <c r="AC29" s="13">
        <v>232</v>
      </c>
      <c r="AD29" s="18">
        <v>400</v>
      </c>
      <c r="AE29" s="131">
        <f t="shared" si="11"/>
        <v>235</v>
      </c>
    </row>
    <row r="30" spans="1:31" ht="20.7" customHeight="1" x14ac:dyDescent="0.2">
      <c r="A30" s="20">
        <v>45564</v>
      </c>
      <c r="B30" s="10">
        <v>12923719</v>
      </c>
      <c r="C30" s="14">
        <f t="shared" si="27"/>
        <v>8601</v>
      </c>
      <c r="D30" s="11">
        <v>554697</v>
      </c>
      <c r="E30" s="14">
        <f t="shared" ref="E30" si="41">IF(OR((D31-D30)&lt;0,D31=0),"0",D31-D30)</f>
        <v>1130</v>
      </c>
      <c r="F30" s="28">
        <v>1704</v>
      </c>
      <c r="G30" s="75">
        <f t="shared" si="5"/>
        <v>0</v>
      </c>
      <c r="H30" s="77">
        <f t="shared" si="6"/>
        <v>9731</v>
      </c>
      <c r="I30" s="81">
        <f t="shared" si="7"/>
        <v>-35834.31</v>
      </c>
      <c r="J30" s="33">
        <f t="shared" si="1"/>
        <v>-9731.9500000000044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>
        <v>0.71</v>
      </c>
      <c r="P30" s="94">
        <v>0.72</v>
      </c>
      <c r="Q30" s="93">
        <v>0.6</v>
      </c>
      <c r="R30" s="94">
        <v>0.62</v>
      </c>
      <c r="S30" s="41"/>
      <c r="T30" s="39"/>
      <c r="U30" s="33">
        <f t="shared" si="33"/>
        <v>0</v>
      </c>
      <c r="V30" s="45">
        <v>117208</v>
      </c>
      <c r="W30" s="33">
        <f t="shared" si="8"/>
        <v>101</v>
      </c>
      <c r="X30" s="48">
        <v>60848</v>
      </c>
      <c r="Y30" s="33">
        <f t="shared" si="9"/>
        <v>7</v>
      </c>
      <c r="Z30" s="51">
        <v>3315</v>
      </c>
      <c r="AA30" s="57">
        <v>0</v>
      </c>
      <c r="AB30" s="33">
        <f t="shared" si="10"/>
        <v>220</v>
      </c>
      <c r="AC30" s="13">
        <v>230</v>
      </c>
      <c r="AD30" s="18">
        <v>402</v>
      </c>
      <c r="AE30" s="131">
        <f t="shared" si="11"/>
        <v>220</v>
      </c>
    </row>
    <row r="31" spans="1:31" ht="20.7" customHeight="1" x14ac:dyDescent="0.2">
      <c r="A31" s="20">
        <v>45565</v>
      </c>
      <c r="B31" s="10">
        <v>12932320</v>
      </c>
      <c r="C31" s="14" t="str">
        <f t="shared" si="27"/>
        <v>0</v>
      </c>
      <c r="D31" s="11">
        <v>555827</v>
      </c>
      <c r="E31" s="14" t="str">
        <f t="shared" ref="E31" si="42">IF(OR((D32-D31)&lt;0,D32=0),"0",D32-D31)</f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-45566.26</v>
      </c>
      <c r="J31" s="33">
        <f t="shared" si="1"/>
        <v>0.26000000000203727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>
        <v>0.68</v>
      </c>
      <c r="P31" s="94">
        <v>0.67</v>
      </c>
      <c r="Q31" s="93">
        <v>0.57999999999999996</v>
      </c>
      <c r="R31" s="94">
        <v>0.56999999999999995</v>
      </c>
      <c r="S31" s="41"/>
      <c r="T31" s="39"/>
      <c r="U31" s="33">
        <f t="shared" si="33"/>
        <v>0</v>
      </c>
      <c r="V31" s="45">
        <v>117309</v>
      </c>
      <c r="W31" s="33" t="str">
        <f t="shared" si="8"/>
        <v>0</v>
      </c>
      <c r="X31" s="48">
        <v>60855</v>
      </c>
      <c r="Y31" s="33">
        <f t="shared" si="9"/>
        <v>-60855</v>
      </c>
      <c r="Z31" s="51">
        <v>3095</v>
      </c>
      <c r="AA31" s="57">
        <v>0</v>
      </c>
      <c r="AB31" s="33" t="str">
        <f t="shared" si="10"/>
        <v>0</v>
      </c>
      <c r="AC31" s="13"/>
      <c r="AD31" s="18"/>
      <c r="AE31" s="131">
        <f t="shared" si="11"/>
        <v>3095</v>
      </c>
    </row>
    <row r="32" spans="1:31" ht="20.7" customHeight="1" thickBot="1" x14ac:dyDescent="0.25">
      <c r="A32" s="20">
        <v>45566</v>
      </c>
      <c r="B32" s="10"/>
      <c r="C32" s="14" t="str">
        <f t="shared" si="27"/>
        <v>0</v>
      </c>
      <c r="D32" s="11"/>
      <c r="E32" s="14" t="str">
        <f t="shared" ref="E32" si="43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1"/>
        <v>45566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33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  <c r="AE32" s="131">
        <f t="shared" si="11"/>
        <v>0</v>
      </c>
    </row>
    <row r="33" spans="1:30" ht="20.7" customHeight="1" thickTop="1" thickBot="1" x14ac:dyDescent="0.2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2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240596</v>
      </c>
      <c r="D34" s="85"/>
      <c r="E34" s="84">
        <f>SUM(E2:E33)</f>
        <v>34201</v>
      </c>
      <c r="F34" s="86"/>
      <c r="G34" s="84">
        <f>SUM(G2:G33)</f>
        <v>0</v>
      </c>
      <c r="H34" s="85">
        <f>SUM(H2:H33)</f>
        <v>274797</v>
      </c>
      <c r="I34" s="84">
        <f>SUM(I2:I32)</f>
        <v>-1137326.58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2994</v>
      </c>
      <c r="U34" s="84">
        <f>SUM(U2:U33)</f>
        <v>2994</v>
      </c>
      <c r="V34" s="83"/>
      <c r="W34" s="84">
        <f>SUM(W2:W33)</f>
        <v>3342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6350</v>
      </c>
      <c r="AC34" s="87">
        <f>SUM(AC2:AC33)</f>
        <v>6313</v>
      </c>
      <c r="AD34" s="88">
        <f>SUM(AD2:AD33)</f>
        <v>11684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2024-09-30T05:39:25Z</dcterms:modified>
  <cp:category/>
  <cp:contentStatus/>
</cp:coreProperties>
</file>