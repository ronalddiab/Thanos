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April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AW29" i="7" l="1"/>
  <c r="AV29" i="7"/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R32" i="9" s="1"/>
  <c r="Q37" i="7"/>
  <c r="F32" i="9"/>
  <c r="S37" i="7"/>
  <c r="G32" i="9" s="1"/>
  <c r="T37" i="7"/>
  <c r="H32" i="9" s="1"/>
  <c r="U37" i="7"/>
  <c r="I32" i="9" s="1"/>
  <c r="V37" i="7"/>
  <c r="J32" i="9" s="1"/>
  <c r="W37" i="7"/>
  <c r="K32" i="9" s="1"/>
  <c r="L32" i="9"/>
  <c r="Y37" i="7"/>
  <c r="Z37" i="7"/>
  <c r="AA37" i="7"/>
  <c r="O32" i="9" s="1"/>
  <c r="AN37" i="7" l="1"/>
  <c r="M32" i="9"/>
  <c r="AW36" i="7"/>
  <c r="R31" i="9"/>
  <c r="G31" i="5" s="1"/>
  <c r="AD37" i="7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30" i="7"/>
  <c r="AW30" i="7" s="1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W35" i="7"/>
  <c r="R30" i="9"/>
  <c r="AW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G27" i="5" s="1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W7" i="7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  <c r="AV41" i="7"/>
  <c r="AV39" i="7"/>
  <c r="AV40" i="7" s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<sst xmlns="http://schemas.openxmlformats.org/spreadsheetml/2006/main" count="128" uniqueCount="49">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</sst>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4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59200</v>
      </c>
      <c r="F2" s="11">
        <v>5.0000000000000001E-3</v>
      </c>
      <c r="G2" s="12">
        <f>Submetering!R2</f>
        <v>648.44073300000002</v>
      </c>
      <c r="H2" s="11">
        <v>0.52800000000000002</v>
      </c>
      <c r="I2" s="12">
        <f>Hotel!B7</f>
        <v>59</v>
      </c>
    </row>
    <row r="3" spans="1:9" s="15" customFormat="1" x14ac:dyDescent="0.25">
      <c r="A3" s="21" t="s">
        <v>31</v>
      </c>
      <c r="B3" s="14">
        <f>B2+1</f>
        <v>2</v>
      </c>
      <c r="C3" s="3">
        <v>4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60770</v>
      </c>
      <c r="F3" s="11">
        <v>5.0000000000000001E-3</v>
      </c>
      <c r="G3" s="12">
        <f>Submetering!R3</f>
        <v>543.96341699999994</v>
      </c>
      <c r="H3" s="11">
        <v>0.52800000000000002</v>
      </c>
      <c r="I3" s="12">
        <f>Hotel!B8</f>
        <v>21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4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57620</v>
      </c>
      <c r="F4" s="11">
        <v>5.0000000000000001E-3</v>
      </c>
      <c r="G4" s="12">
        <f>Submetering!R4</f>
        <v>569.70420499999989</v>
      </c>
      <c r="H4" s="11">
        <v>0.52800000000000002</v>
      </c>
      <c r="I4" s="12">
        <f>Hotel!B9</f>
        <v>22</v>
      </c>
    </row>
    <row r="5" spans="1:9" s="15" customFormat="1" x14ac:dyDescent="0.25">
      <c r="A5" s="21" t="s">
        <v>31</v>
      </c>
      <c r="B5" s="14">
        <f t="shared" si="0"/>
        <v>4</v>
      </c>
      <c r="C5" s="3">
        <v>4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58870</v>
      </c>
      <c r="F5" s="11">
        <v>5.0000000000000001E-3</v>
      </c>
      <c r="G5" s="12">
        <f>Submetering!R5</f>
        <v>738.53349100000003</v>
      </c>
      <c r="H5" s="11">
        <v>0.52800000000000002</v>
      </c>
      <c r="I5" s="12">
        <f>Hotel!B10</f>
        <v>26</v>
      </c>
    </row>
    <row r="6" spans="1:9" s="15" customFormat="1" x14ac:dyDescent="0.25">
      <c r="A6" s="21" t="s">
        <v>31</v>
      </c>
      <c r="B6" s="14">
        <f t="shared" si="0"/>
        <v>5</v>
      </c>
      <c r="C6" s="3">
        <v>4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55060</v>
      </c>
      <c r="F6" s="11">
        <v>5.0000000000000001E-3</v>
      </c>
      <c r="G6" s="12">
        <f>Submetering!R6</f>
        <v>763.13865599999997</v>
      </c>
      <c r="H6" s="11">
        <v>0.52800000000000002</v>
      </c>
      <c r="I6" s="12">
        <f>Hotel!B11</f>
        <v>25</v>
      </c>
    </row>
    <row r="7" spans="1:9" s="15" customFormat="1" x14ac:dyDescent="0.25">
      <c r="A7" s="21" t="s">
        <v>31</v>
      </c>
      <c r="B7" s="14">
        <f t="shared" si="0"/>
        <v>6</v>
      </c>
      <c r="C7" s="3">
        <v>4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56690</v>
      </c>
      <c r="F7" s="11">
        <v>5.0000000000000001E-3</v>
      </c>
      <c r="G7" s="12">
        <f>Submetering!R7</f>
        <v>824.46229799999992</v>
      </c>
      <c r="H7" s="11">
        <v>0.52800000000000002</v>
      </c>
      <c r="I7" s="12">
        <f>Hotel!B12</f>
        <v>29</v>
      </c>
    </row>
    <row r="8" spans="1:9" s="15" customFormat="1" x14ac:dyDescent="0.25">
      <c r="A8" s="21" t="s">
        <v>31</v>
      </c>
      <c r="B8" s="14">
        <f t="shared" si="0"/>
        <v>7</v>
      </c>
      <c r="C8" s="3">
        <v>4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58000</v>
      </c>
      <c r="F8" s="11">
        <v>5.0000000000000001E-3</v>
      </c>
      <c r="G8" s="12">
        <f>Submetering!R8</f>
        <v>515.57284200000004</v>
      </c>
      <c r="H8" s="11">
        <v>0.52800000000000002</v>
      </c>
      <c r="I8" s="12">
        <f>Hotel!B13</f>
        <v>39</v>
      </c>
    </row>
    <row r="9" spans="1:9" s="15" customFormat="1" x14ac:dyDescent="0.25">
      <c r="A9" s="21" t="s">
        <v>31</v>
      </c>
      <c r="B9" s="14">
        <f t="shared" si="0"/>
        <v>8</v>
      </c>
      <c r="C9" s="3">
        <v>4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58070</v>
      </c>
      <c r="F9" s="11">
        <v>5.0000000000000001E-3</v>
      </c>
      <c r="G9" s="12">
        <f>Submetering!R9</f>
        <v>517.08700599999997</v>
      </c>
      <c r="H9" s="11">
        <v>0.52800000000000002</v>
      </c>
      <c r="I9" s="12">
        <f>Hotel!B14</f>
        <v>37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4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56740</v>
      </c>
      <c r="F10" s="11">
        <v>5.0000000000000001E-3</v>
      </c>
      <c r="G10" s="12">
        <f>Submetering!R10</f>
        <v>522.76512099999991</v>
      </c>
      <c r="H10" s="11">
        <v>0.52800000000000002</v>
      </c>
      <c r="I10" s="12">
        <f>Hotel!B15</f>
        <v>34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4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52320</v>
      </c>
      <c r="F11" s="11">
        <v>5.0000000000000001E-3</v>
      </c>
      <c r="G11" s="12">
        <f>Submetering!R11</f>
        <v>467.11959399999995</v>
      </c>
      <c r="H11" s="11">
        <v>0.52800000000000002</v>
      </c>
      <c r="I11" s="12">
        <f>Hotel!B16</f>
        <v>41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4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53550</v>
      </c>
      <c r="F12" s="11">
        <v>5.0000000000000001E-3</v>
      </c>
      <c r="G12" s="12">
        <f>Submetering!R12</f>
        <v>459.54877400000004</v>
      </c>
      <c r="H12" s="11">
        <v>0.52800000000000002</v>
      </c>
      <c r="I12" s="12">
        <f>Hotel!B17</f>
        <v>49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4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53540</v>
      </c>
      <c r="F13" s="11">
        <v>5.0000000000000001E-3</v>
      </c>
      <c r="G13" s="12">
        <f>Submetering!R13</f>
        <v>690.83732499999996</v>
      </c>
      <c r="H13" s="11">
        <v>0.52800000000000002</v>
      </c>
      <c r="I13" s="12">
        <f>Hotel!B18</f>
        <v>60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4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55200</v>
      </c>
      <c r="F14" s="11">
        <v>5.0000000000000001E-3</v>
      </c>
      <c r="G14" s="12">
        <f>Submetering!R14</f>
        <v>388.004525</v>
      </c>
      <c r="H14" s="11">
        <v>0.52800000000000002</v>
      </c>
      <c r="I14" s="12">
        <f>Hotel!B19</f>
        <v>71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4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53800</v>
      </c>
      <c r="F15" s="11">
        <v>5.0000000000000001E-3</v>
      </c>
      <c r="G15" s="12">
        <f>Submetering!R15</f>
        <v>807.427953</v>
      </c>
      <c r="H15" s="11">
        <v>0.52800000000000002</v>
      </c>
      <c r="I15" s="12">
        <f>Hotel!B20</f>
        <v>62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4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57560</v>
      </c>
      <c r="F16" s="11">
        <v>5.0000000000000001E-3</v>
      </c>
      <c r="G16" s="12">
        <f>Submetering!R16</f>
        <v>530.33594099999993</v>
      </c>
      <c r="H16" s="11">
        <v>0.52800000000000002</v>
      </c>
      <c r="I16" s="12">
        <f>Hotel!B21</f>
        <v>59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4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53980</v>
      </c>
      <c r="F17" s="11">
        <v>5.0000000000000001E-3</v>
      </c>
      <c r="G17" s="12">
        <f>Submetering!R17</f>
        <v>466.74105299999997</v>
      </c>
      <c r="H17" s="11">
        <v>0.52800000000000002</v>
      </c>
      <c r="I17" s="12">
        <f>Hotel!B22</f>
        <v>48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4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54720</v>
      </c>
      <c r="F18" s="11">
        <v>5.0000000000000001E-3</v>
      </c>
      <c r="G18" s="12">
        <f>Submetering!R18</f>
        <v>703.32917799999996</v>
      </c>
      <c r="H18" s="11">
        <v>0.52800000000000002</v>
      </c>
      <c r="I18" s="12">
        <f>Hotel!B23</f>
        <v>40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4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4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4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4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4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4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4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4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4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4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4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4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4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4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4</v>
      </c>
      <c r="D2" s="11">
        <v>2022</v>
      </c>
      <c r="E2" s="4">
        <f>Hotel!Q7</f>
        <v>540</v>
      </c>
      <c r="F2" s="4">
        <f>Hotel!R7</f>
        <v>11720</v>
      </c>
      <c r="G2" s="4">
        <f>Hotel!S7</f>
        <v>0</v>
      </c>
      <c r="H2" s="4">
        <f>Hotel!T7</f>
        <v>1460</v>
      </c>
      <c r="I2" s="4">
        <f>Hotel!U7</f>
        <v>5200</v>
      </c>
      <c r="J2" s="4">
        <f>Hotel!V7</f>
        <v>3980</v>
      </c>
      <c r="K2" s="4">
        <f>Hotel!W7</f>
        <v>3260</v>
      </c>
      <c r="L2" s="4">
        <f>Hotel!X7</f>
        <v>4410</v>
      </c>
      <c r="M2" s="4">
        <f>Hotel!Y7</f>
        <v>4540</v>
      </c>
      <c r="N2" s="4">
        <f>Hotel!Z7</f>
        <v>2560</v>
      </c>
      <c r="O2" s="4">
        <f>Hotel!AA7</f>
        <v>3340</v>
      </c>
      <c r="P2" s="4">
        <f>Hotel!AB7</f>
        <v>6870</v>
      </c>
      <c r="Q2" s="4">
        <f>Hotel!AC7</f>
        <v>11320</v>
      </c>
      <c r="R2" s="4">
        <f>Hotel!AV7*0.00378541*100</f>
        <v>648.44073300000002</v>
      </c>
      <c r="S2" s="4">
        <f>Hotel!B7</f>
        <v>59</v>
      </c>
    </row>
    <row r="3" spans="1:19" x14ac:dyDescent="0.25">
      <c r="A3" s="21" t="s">
        <v>31</v>
      </c>
      <c r="B3" s="2">
        <f>B2+1</f>
        <v>2</v>
      </c>
      <c r="C3" s="3">
        <v>4</v>
      </c>
      <c r="D3" s="11">
        <v>2022</v>
      </c>
      <c r="E3" s="4">
        <f>Hotel!Q8</f>
        <v>560</v>
      </c>
      <c r="F3" s="4">
        <f>Hotel!R8</f>
        <v>12790</v>
      </c>
      <c r="G3" s="4">
        <f>Hotel!S8</f>
        <v>10</v>
      </c>
      <c r="H3" s="4">
        <f>Hotel!T8</f>
        <v>1530</v>
      </c>
      <c r="I3" s="4">
        <f>Hotel!U8</f>
        <v>4550</v>
      </c>
      <c r="J3" s="4">
        <f>Hotel!V8</f>
        <v>3970</v>
      </c>
      <c r="K3" s="4">
        <f>Hotel!W8</f>
        <v>3930</v>
      </c>
      <c r="L3" s="4">
        <f>Hotel!X8</f>
        <v>3960</v>
      </c>
      <c r="M3" s="4">
        <f>Hotel!Y8</f>
        <v>4740</v>
      </c>
      <c r="N3" s="4">
        <f>Hotel!Z8</f>
        <v>2410</v>
      </c>
      <c r="O3" s="4">
        <f>Hotel!AA8</f>
        <v>3050</v>
      </c>
      <c r="P3" s="4">
        <f>Hotel!AB8</f>
        <v>6880</v>
      </c>
      <c r="Q3" s="4">
        <f>Hotel!AC8</f>
        <v>12390</v>
      </c>
      <c r="R3" s="4">
        <f>Hotel!AV8*0.00378541*100</f>
        <v>543.96341699999994</v>
      </c>
      <c r="S3" s="4">
        <f>Hotel!B8</f>
        <v>21</v>
      </c>
    </row>
    <row r="4" spans="1:19" x14ac:dyDescent="0.25">
      <c r="A4" s="21" t="s">
        <v>31</v>
      </c>
      <c r="B4" s="2">
        <f t="shared" ref="B4:B29" si="0">B3+1</f>
        <v>3</v>
      </c>
      <c r="C4" s="3">
        <v>4</v>
      </c>
      <c r="D4" s="11">
        <v>2022</v>
      </c>
      <c r="E4" s="4">
        <f>Hotel!Q9</f>
        <v>540</v>
      </c>
      <c r="F4" s="4">
        <f>Hotel!R9</f>
        <v>12350</v>
      </c>
      <c r="G4" s="4">
        <f>Hotel!S9</f>
        <v>60</v>
      </c>
      <c r="H4" s="4">
        <f>Hotel!T9</f>
        <v>1460</v>
      </c>
      <c r="I4" s="4">
        <f>Hotel!U9</f>
        <v>4250</v>
      </c>
      <c r="J4" s="4">
        <f>Hotel!V9</f>
        <v>3710</v>
      </c>
      <c r="K4" s="4">
        <f>Hotel!W9</f>
        <v>3640</v>
      </c>
      <c r="L4" s="4">
        <f>Hotel!X9</f>
        <v>3690</v>
      </c>
      <c r="M4" s="4">
        <f>Hotel!Y9</f>
        <v>4660</v>
      </c>
      <c r="N4" s="4">
        <f>Hotel!Z9</f>
        <v>2190</v>
      </c>
      <c r="O4" s="4">
        <f>Hotel!AA9</f>
        <v>2650</v>
      </c>
      <c r="P4" s="4">
        <f>Hotel!AB9</f>
        <v>6570</v>
      </c>
      <c r="Q4" s="4">
        <f>Hotel!AC9</f>
        <v>11850</v>
      </c>
      <c r="R4" s="4">
        <f>Hotel!AV9*0.00378541*100</f>
        <v>569.70420499999989</v>
      </c>
      <c r="S4" s="4">
        <f>Hotel!B9</f>
        <v>22</v>
      </c>
    </row>
    <row r="5" spans="1:19" x14ac:dyDescent="0.25">
      <c r="A5" s="21" t="s">
        <v>31</v>
      </c>
      <c r="B5" s="2">
        <f t="shared" si="0"/>
        <v>4</v>
      </c>
      <c r="C5" s="3">
        <v>4</v>
      </c>
      <c r="D5" s="11">
        <v>2022</v>
      </c>
      <c r="E5" s="4">
        <f>Hotel!Q10</f>
        <v>570</v>
      </c>
      <c r="F5" s="4">
        <f>Hotel!R10</f>
        <v>13290</v>
      </c>
      <c r="G5" s="4">
        <f>Hotel!S10</f>
        <v>60</v>
      </c>
      <c r="H5" s="4">
        <f>Hotel!T10</f>
        <v>1590</v>
      </c>
      <c r="I5" s="4">
        <f>Hotel!U10</f>
        <v>4470</v>
      </c>
      <c r="J5" s="4">
        <f>Hotel!V10</f>
        <v>4100</v>
      </c>
      <c r="K5" s="4">
        <f>Hotel!W10</f>
        <v>4210</v>
      </c>
      <c r="L5" s="4">
        <f>Hotel!X10</f>
        <v>3800</v>
      </c>
      <c r="M5" s="4">
        <f>Hotel!Y10</f>
        <v>4250</v>
      </c>
      <c r="N5" s="4">
        <f>Hotel!Z10</f>
        <v>2420</v>
      </c>
      <c r="O5" s="4">
        <f>Hotel!AA10</f>
        <v>2680</v>
      </c>
      <c r="P5" s="4">
        <f>Hotel!AB10</f>
        <v>6900</v>
      </c>
      <c r="Q5" s="4">
        <f>Hotel!AC10</f>
        <v>10530</v>
      </c>
      <c r="R5" s="4">
        <f>Hotel!AV10*0.00378541*100</f>
        <v>738.53349100000003</v>
      </c>
      <c r="S5" s="4">
        <f>Hotel!B10</f>
        <v>26</v>
      </c>
    </row>
    <row r="6" spans="1:19" x14ac:dyDescent="0.25">
      <c r="A6" s="21" t="s">
        <v>31</v>
      </c>
      <c r="B6" s="2">
        <f t="shared" si="0"/>
        <v>5</v>
      </c>
      <c r="C6" s="3">
        <v>4</v>
      </c>
      <c r="D6" s="11">
        <v>2022</v>
      </c>
      <c r="E6" s="4">
        <f>Hotel!Q11</f>
        <v>530</v>
      </c>
      <c r="F6" s="4">
        <f>Hotel!R11</f>
        <v>11650</v>
      </c>
      <c r="G6" s="4">
        <f>Hotel!S11</f>
        <v>180</v>
      </c>
      <c r="H6" s="4">
        <f>Hotel!T11</f>
        <v>1480</v>
      </c>
      <c r="I6" s="4">
        <f>Hotel!U11</f>
        <v>4130</v>
      </c>
      <c r="J6" s="4">
        <f>Hotel!V11</f>
        <v>4030</v>
      </c>
      <c r="K6" s="4">
        <f>Hotel!W11</f>
        <v>3880</v>
      </c>
      <c r="L6" s="4">
        <f>Hotel!X11</f>
        <v>3470</v>
      </c>
      <c r="M6" s="4">
        <f>Hotel!Y11</f>
        <v>3300</v>
      </c>
      <c r="N6" s="4">
        <f>Hotel!Z11</f>
        <v>2290</v>
      </c>
      <c r="O6" s="4">
        <f>Hotel!AA11</f>
        <v>2430</v>
      </c>
      <c r="P6" s="4">
        <f>Hotel!AB11</f>
        <v>6420</v>
      </c>
      <c r="Q6" s="4">
        <f>Hotel!AC11</f>
        <v>11270</v>
      </c>
      <c r="R6" s="4">
        <f>Hotel!AV11*0.00378541*100</f>
        <v>763.13865599999997</v>
      </c>
      <c r="S6" s="4">
        <f>Hotel!B11</f>
        <v>25</v>
      </c>
    </row>
    <row r="7" spans="1:19" x14ac:dyDescent="0.25">
      <c r="A7" s="21" t="s">
        <v>31</v>
      </c>
      <c r="B7" s="2">
        <f t="shared" si="0"/>
        <v>6</v>
      </c>
      <c r="C7" s="3">
        <v>4</v>
      </c>
      <c r="D7" s="11">
        <v>2022</v>
      </c>
      <c r="E7" s="4">
        <f>Hotel!Q12</f>
        <v>520</v>
      </c>
      <c r="F7" s="4">
        <f>Hotel!R12</f>
        <v>12490</v>
      </c>
      <c r="G7" s="4">
        <f>Hotel!S12</f>
        <v>40</v>
      </c>
      <c r="H7" s="4">
        <f>Hotel!T12</f>
        <v>1500</v>
      </c>
      <c r="I7" s="4">
        <f>Hotel!U12</f>
        <v>4290</v>
      </c>
      <c r="J7" s="4">
        <f>Hotel!V12</f>
        <v>3820</v>
      </c>
      <c r="K7" s="4">
        <f>Hotel!W12</f>
        <v>4060</v>
      </c>
      <c r="L7" s="4">
        <f>Hotel!X12</f>
        <v>3570</v>
      </c>
      <c r="M7" s="4">
        <f>Hotel!Y12</f>
        <v>3510</v>
      </c>
      <c r="N7" s="4">
        <f>Hotel!Z12</f>
        <v>2280</v>
      </c>
      <c r="O7" s="4">
        <f>Hotel!AA12</f>
        <v>2470</v>
      </c>
      <c r="P7" s="4">
        <f>Hotel!AB12</f>
        <v>6720</v>
      </c>
      <c r="Q7" s="4">
        <f>Hotel!AC12</f>
        <v>11420</v>
      </c>
      <c r="R7" s="4">
        <f>Hotel!AV12*0.00378541*100</f>
        <v>824.46229799999992</v>
      </c>
      <c r="S7" s="4">
        <f>Hotel!B12</f>
        <v>29</v>
      </c>
    </row>
    <row r="8" spans="1:19" x14ac:dyDescent="0.25">
      <c r="A8" s="21" t="s">
        <v>31</v>
      </c>
      <c r="B8" s="2">
        <f t="shared" si="0"/>
        <v>7</v>
      </c>
      <c r="C8" s="3">
        <v>4</v>
      </c>
      <c r="D8" s="11">
        <v>2022</v>
      </c>
      <c r="E8" s="4">
        <f>Hotel!Q13</f>
        <v>510</v>
      </c>
      <c r="F8" s="4">
        <f>Hotel!R13</f>
        <v>12770</v>
      </c>
      <c r="G8" s="4">
        <f>Hotel!S13</f>
        <v>70</v>
      </c>
      <c r="H8" s="4">
        <f>Hotel!T13</f>
        <v>1510</v>
      </c>
      <c r="I8" s="4">
        <f>Hotel!U13</f>
        <v>4440</v>
      </c>
      <c r="J8" s="4">
        <f>Hotel!V13</f>
        <v>3630</v>
      </c>
      <c r="K8" s="4">
        <f>Hotel!W13</f>
        <v>4320</v>
      </c>
      <c r="L8" s="4">
        <f>Hotel!X13</f>
        <v>3560</v>
      </c>
      <c r="M8" s="4">
        <f>Hotel!Y13</f>
        <v>3550</v>
      </c>
      <c r="N8" s="4">
        <f>Hotel!Z13</f>
        <v>2360</v>
      </c>
      <c r="O8" s="4">
        <f>Hotel!AA13</f>
        <v>2600</v>
      </c>
      <c r="P8" s="4">
        <f>Hotel!AB13</f>
        <v>6730</v>
      </c>
      <c r="Q8" s="4">
        <f>Hotel!AC13</f>
        <v>11950</v>
      </c>
      <c r="R8" s="4">
        <f>Hotel!AV13*0.00378541*100</f>
        <v>515.57284200000004</v>
      </c>
      <c r="S8" s="4">
        <f>Hotel!B13</f>
        <v>39</v>
      </c>
    </row>
    <row r="9" spans="1:19" x14ac:dyDescent="0.25">
      <c r="A9" s="21" t="s">
        <v>31</v>
      </c>
      <c r="B9" s="2">
        <f t="shared" si="0"/>
        <v>8</v>
      </c>
      <c r="C9" s="3">
        <v>4</v>
      </c>
      <c r="D9" s="11">
        <v>2022</v>
      </c>
      <c r="E9" s="4">
        <f>Hotel!Q14</f>
        <v>530</v>
      </c>
      <c r="F9" s="4">
        <f>Hotel!R14</f>
        <v>12710</v>
      </c>
      <c r="G9" s="4">
        <f>Hotel!S14</f>
        <v>40</v>
      </c>
      <c r="H9" s="4">
        <f>Hotel!T14</f>
        <v>1530</v>
      </c>
      <c r="I9" s="4">
        <f>Hotel!U14</f>
        <v>4720</v>
      </c>
      <c r="J9" s="4">
        <f>Hotel!V14</f>
        <v>3680</v>
      </c>
      <c r="K9" s="4">
        <f>Hotel!W14</f>
        <v>4450</v>
      </c>
      <c r="L9" s="4">
        <f>Hotel!X14</f>
        <v>3440</v>
      </c>
      <c r="M9" s="4">
        <f>Hotel!Y14</f>
        <v>3510</v>
      </c>
      <c r="N9" s="4">
        <f>Hotel!Z14</f>
        <v>2440</v>
      </c>
      <c r="O9" s="4">
        <f>Hotel!AA14</f>
        <v>2620</v>
      </c>
      <c r="P9" s="4">
        <f>Hotel!AB14</f>
        <v>7100</v>
      </c>
      <c r="Q9" s="4">
        <f>Hotel!AC14</f>
        <v>11300</v>
      </c>
      <c r="R9" s="4">
        <f>Hotel!AV14*0.00378541*100</f>
        <v>517.08700599999997</v>
      </c>
      <c r="S9" s="4">
        <f>Hotel!B14</f>
        <v>37</v>
      </c>
    </row>
    <row r="10" spans="1:19" x14ac:dyDescent="0.25">
      <c r="A10" s="21" t="s">
        <v>31</v>
      </c>
      <c r="B10" s="2">
        <f t="shared" si="0"/>
        <v>9</v>
      </c>
      <c r="C10" s="3">
        <v>4</v>
      </c>
      <c r="D10" s="11">
        <v>2022</v>
      </c>
      <c r="E10" s="4">
        <f>Hotel!Q15</f>
        <v>510</v>
      </c>
      <c r="F10" s="4">
        <f>Hotel!R15</f>
        <v>12480</v>
      </c>
      <c r="G10" s="4">
        <f>Hotel!S15</f>
        <v>30</v>
      </c>
      <c r="H10" s="4">
        <f>Hotel!T15</f>
        <v>1500</v>
      </c>
      <c r="I10" s="4">
        <f>Hotel!U15</f>
        <v>4450</v>
      </c>
      <c r="J10" s="4">
        <f>Hotel!V15</f>
        <v>3530</v>
      </c>
      <c r="K10" s="4">
        <f>Hotel!W15</f>
        <v>4130</v>
      </c>
      <c r="L10" s="4">
        <f>Hotel!X15</f>
        <v>3410</v>
      </c>
      <c r="M10" s="4">
        <f>Hotel!Y15</f>
        <v>3460</v>
      </c>
      <c r="N10" s="4">
        <f>Hotel!Z15</f>
        <v>2280</v>
      </c>
      <c r="O10" s="4">
        <f>Hotel!AA15</f>
        <v>2500</v>
      </c>
      <c r="P10" s="4">
        <f>Hotel!AB15</f>
        <v>6790</v>
      </c>
      <c r="Q10" s="4">
        <f>Hotel!AC15</f>
        <v>11670</v>
      </c>
      <c r="R10" s="4">
        <f>Hotel!AV15*0.00378541*100</f>
        <v>522.76512099999991</v>
      </c>
      <c r="S10" s="4">
        <f>Hotel!B15</f>
        <v>34</v>
      </c>
    </row>
    <row r="11" spans="1:19" x14ac:dyDescent="0.25">
      <c r="A11" s="21" t="s">
        <v>31</v>
      </c>
      <c r="B11" s="2">
        <f t="shared" si="0"/>
        <v>10</v>
      </c>
      <c r="C11" s="3">
        <v>4</v>
      </c>
      <c r="D11" s="11">
        <v>2022</v>
      </c>
      <c r="E11" s="4">
        <f>Hotel!Q16</f>
        <v>520</v>
      </c>
      <c r="F11" s="4">
        <f>Hotel!R16</f>
        <v>11970</v>
      </c>
      <c r="G11" s="4">
        <f>Hotel!S16</f>
        <v>40</v>
      </c>
      <c r="H11" s="4">
        <f>Hotel!T16</f>
        <v>1500</v>
      </c>
      <c r="I11" s="4">
        <f>Hotel!U16</f>
        <v>4350</v>
      </c>
      <c r="J11" s="4">
        <f>Hotel!V16</f>
        <v>3690</v>
      </c>
      <c r="K11" s="4">
        <f>Hotel!W16</f>
        <v>4640</v>
      </c>
      <c r="L11" s="4">
        <f>Hotel!X16</f>
        <v>3480</v>
      </c>
      <c r="M11" s="4">
        <f>Hotel!Y16</f>
        <v>3580</v>
      </c>
      <c r="N11" s="4">
        <f>Hotel!Z16</f>
        <v>2300</v>
      </c>
      <c r="O11" s="4">
        <f>Hotel!AA16</f>
        <v>2520</v>
      </c>
      <c r="P11" s="4">
        <f>Hotel!AB16</f>
        <v>6780</v>
      </c>
      <c r="Q11" s="4">
        <f>Hotel!AC16</f>
        <v>6950</v>
      </c>
      <c r="R11" s="4">
        <f>Hotel!AV16*0.00378541*100</f>
        <v>467.11959399999995</v>
      </c>
      <c r="S11" s="4">
        <f>Hotel!B16</f>
        <v>41</v>
      </c>
    </row>
    <row r="12" spans="1:19" x14ac:dyDescent="0.25">
      <c r="A12" s="21" t="s">
        <v>31</v>
      </c>
      <c r="B12" s="2">
        <f t="shared" si="0"/>
        <v>11</v>
      </c>
      <c r="C12" s="3">
        <v>4</v>
      </c>
      <c r="D12" s="11">
        <v>2022</v>
      </c>
      <c r="E12" s="4">
        <f>Hotel!Q17</f>
        <v>520</v>
      </c>
      <c r="F12" s="4">
        <f>Hotel!R17</f>
        <v>12470</v>
      </c>
      <c r="G12" s="4">
        <f>Hotel!S17</f>
        <v>30</v>
      </c>
      <c r="H12" s="4">
        <f>Hotel!T17</f>
        <v>1530</v>
      </c>
      <c r="I12" s="4">
        <f>Hotel!U17</f>
        <v>4560</v>
      </c>
      <c r="J12" s="4">
        <f>Hotel!V17</f>
        <v>3740</v>
      </c>
      <c r="K12" s="4">
        <f>Hotel!W17</f>
        <v>4650</v>
      </c>
      <c r="L12" s="4">
        <f>Hotel!X17</f>
        <v>3590</v>
      </c>
      <c r="M12" s="4">
        <f>Hotel!Y17</f>
        <v>3710</v>
      </c>
      <c r="N12" s="4">
        <f>Hotel!Z17</f>
        <v>2350</v>
      </c>
      <c r="O12" s="4">
        <f>Hotel!AA17</f>
        <v>2570</v>
      </c>
      <c r="P12" s="4">
        <f>Hotel!AB17</f>
        <v>6700</v>
      </c>
      <c r="Q12" s="4">
        <f>Hotel!AC17</f>
        <v>7130</v>
      </c>
      <c r="R12" s="4">
        <f>Hotel!AV17*0.00378541*100</f>
        <v>459.54877400000004</v>
      </c>
      <c r="S12" s="4">
        <f>Hotel!B17</f>
        <v>49</v>
      </c>
    </row>
    <row r="13" spans="1:19" x14ac:dyDescent="0.25">
      <c r="A13" s="21" t="s">
        <v>31</v>
      </c>
      <c r="B13" s="2">
        <f t="shared" si="0"/>
        <v>12</v>
      </c>
      <c r="C13" s="3">
        <v>4</v>
      </c>
      <c r="D13" s="11">
        <v>2022</v>
      </c>
      <c r="E13" s="4">
        <f>Hotel!Q18</f>
        <v>520</v>
      </c>
      <c r="F13" s="4">
        <f>Hotel!R18</f>
        <v>12620</v>
      </c>
      <c r="G13" s="4">
        <f>Hotel!S18</f>
        <v>0</v>
      </c>
      <c r="H13" s="4">
        <f>Hotel!T18</f>
        <v>1530</v>
      </c>
      <c r="I13" s="4">
        <f>Hotel!U18</f>
        <v>4580</v>
      </c>
      <c r="J13" s="4">
        <f>Hotel!V18</f>
        <v>3840</v>
      </c>
      <c r="K13" s="4">
        <f>Hotel!W18</f>
        <v>4490</v>
      </c>
      <c r="L13" s="4">
        <f>Hotel!X18</f>
        <v>3620</v>
      </c>
      <c r="M13" s="4">
        <f>Hotel!Y18</f>
        <v>3670</v>
      </c>
      <c r="N13" s="4">
        <f>Hotel!Z18</f>
        <v>2370</v>
      </c>
      <c r="O13" s="4">
        <f>Hotel!AA18</f>
        <v>2660</v>
      </c>
      <c r="P13" s="4">
        <f>Hotel!AB18</f>
        <v>6460</v>
      </c>
      <c r="Q13" s="4">
        <f>Hotel!AC18</f>
        <v>7180</v>
      </c>
      <c r="R13" s="4">
        <f>Hotel!AV18*0.00378541*100</f>
        <v>690.83732499999996</v>
      </c>
      <c r="S13" s="4">
        <f>Hotel!B18</f>
        <v>60</v>
      </c>
    </row>
    <row r="14" spans="1:19" x14ac:dyDescent="0.25">
      <c r="A14" s="21" t="s">
        <v>31</v>
      </c>
      <c r="B14" s="2">
        <f t="shared" si="0"/>
        <v>13</v>
      </c>
      <c r="C14" s="3">
        <v>4</v>
      </c>
      <c r="D14" s="11">
        <v>2022</v>
      </c>
      <c r="E14" s="4">
        <f>Hotel!Q19</f>
        <v>540</v>
      </c>
      <c r="F14" s="4">
        <f>Hotel!R19</f>
        <v>12850</v>
      </c>
      <c r="G14" s="4">
        <f>Hotel!S19</f>
        <v>0</v>
      </c>
      <c r="H14" s="4">
        <f>Hotel!T19</f>
        <v>1570</v>
      </c>
      <c r="I14" s="4">
        <f>Hotel!U19</f>
        <v>4560</v>
      </c>
      <c r="J14" s="4">
        <f>Hotel!V19</f>
        <v>3940</v>
      </c>
      <c r="K14" s="4">
        <f>Hotel!W19</f>
        <v>4600</v>
      </c>
      <c r="L14" s="4">
        <f>Hotel!X19</f>
        <v>3600</v>
      </c>
      <c r="M14" s="4">
        <f>Hotel!Y19</f>
        <v>3880</v>
      </c>
      <c r="N14" s="4">
        <f>Hotel!Z19</f>
        <v>2370</v>
      </c>
      <c r="O14" s="4">
        <f>Hotel!AA19</f>
        <v>2670</v>
      </c>
      <c r="P14" s="4">
        <f>Hotel!AB19</f>
        <v>6950</v>
      </c>
      <c r="Q14" s="4">
        <f>Hotel!AC19</f>
        <v>7670</v>
      </c>
      <c r="R14" s="4">
        <f>Hotel!AV19*0.00378541*100</f>
        <v>388.004525</v>
      </c>
      <c r="S14" s="4">
        <f>Hotel!B19</f>
        <v>71</v>
      </c>
    </row>
    <row r="15" spans="1:19" x14ac:dyDescent="0.25">
      <c r="A15" s="21" t="s">
        <v>31</v>
      </c>
      <c r="B15" s="2">
        <f t="shared" si="0"/>
        <v>14</v>
      </c>
      <c r="C15" s="3">
        <v>4</v>
      </c>
      <c r="D15" s="11">
        <v>2022</v>
      </c>
      <c r="E15" s="4">
        <f>Hotel!Q20</f>
        <v>510</v>
      </c>
      <c r="F15" s="4">
        <f>Hotel!R20</f>
        <v>12450</v>
      </c>
      <c r="G15" s="4">
        <f>Hotel!S20</f>
        <v>0</v>
      </c>
      <c r="H15" s="4">
        <f>Hotel!T20</f>
        <v>1510</v>
      </c>
      <c r="I15" s="4">
        <f>Hotel!U20</f>
        <v>4560</v>
      </c>
      <c r="J15" s="4">
        <f>Hotel!V20</f>
        <v>3870</v>
      </c>
      <c r="K15" s="4">
        <f>Hotel!W20</f>
        <v>4610</v>
      </c>
      <c r="L15" s="4">
        <f>Hotel!X20</f>
        <v>3530</v>
      </c>
      <c r="M15" s="4">
        <f>Hotel!Y20</f>
        <v>3560</v>
      </c>
      <c r="N15" s="4">
        <f>Hotel!Z20</f>
        <v>2280</v>
      </c>
      <c r="O15" s="4">
        <f>Hotel!AA20</f>
        <v>2650</v>
      </c>
      <c r="P15" s="4">
        <f>Hotel!AB20</f>
        <v>6870</v>
      </c>
      <c r="Q15" s="4">
        <f>Hotel!AC20</f>
        <v>7400</v>
      </c>
      <c r="R15" s="4">
        <f>Hotel!AV20*0.00378541*100</f>
        <v>807.427953</v>
      </c>
      <c r="S15" s="4">
        <f>Hotel!B20</f>
        <v>62</v>
      </c>
    </row>
    <row r="16" spans="1:19" x14ac:dyDescent="0.25">
      <c r="A16" s="21" t="s">
        <v>31</v>
      </c>
      <c r="B16" s="2">
        <f t="shared" si="0"/>
        <v>15</v>
      </c>
      <c r="C16" s="3">
        <v>4</v>
      </c>
      <c r="D16" s="11">
        <v>2022</v>
      </c>
      <c r="E16" s="4">
        <f>Hotel!Q21</f>
        <v>540</v>
      </c>
      <c r="F16" s="4">
        <f>Hotel!R21</f>
        <v>13580</v>
      </c>
      <c r="G16" s="4">
        <f>Hotel!S21</f>
        <v>0</v>
      </c>
      <c r="H16" s="4">
        <f>Hotel!T21</f>
        <v>1570</v>
      </c>
      <c r="I16" s="4">
        <f>Hotel!U21</f>
        <v>4880</v>
      </c>
      <c r="J16" s="4">
        <f>Hotel!V21</f>
        <v>4070</v>
      </c>
      <c r="K16" s="4">
        <f>Hotel!W21</f>
        <v>5090</v>
      </c>
      <c r="L16" s="4">
        <f>Hotel!X21</f>
        <v>3650</v>
      </c>
      <c r="M16" s="4">
        <f>Hotel!Y21</f>
        <v>3900</v>
      </c>
      <c r="N16" s="4">
        <f>Hotel!Z21</f>
        <v>2420</v>
      </c>
      <c r="O16" s="4">
        <f>Hotel!AA21</f>
        <v>2860</v>
      </c>
      <c r="P16" s="4">
        <f>Hotel!AB21</f>
        <v>7260</v>
      </c>
      <c r="Q16" s="4">
        <f>Hotel!AC21</f>
        <v>7740</v>
      </c>
      <c r="R16" s="4">
        <f>Hotel!AV21*0.00378541*100</f>
        <v>530.33594099999993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4</v>
      </c>
      <c r="D17" s="11">
        <v>2022</v>
      </c>
      <c r="E17" s="4">
        <f>Hotel!Q22</f>
        <v>510</v>
      </c>
      <c r="F17" s="4">
        <f>Hotel!R22</f>
        <v>12540</v>
      </c>
      <c r="G17" s="4">
        <f>Hotel!S22</f>
        <v>0</v>
      </c>
      <c r="H17" s="4">
        <f>Hotel!T22</f>
        <v>1500</v>
      </c>
      <c r="I17" s="4">
        <f>Hotel!U22</f>
        <v>4520</v>
      </c>
      <c r="J17" s="4">
        <f>Hotel!V22</f>
        <v>3860</v>
      </c>
      <c r="K17" s="4">
        <f>Hotel!W22</f>
        <v>4410</v>
      </c>
      <c r="L17" s="4">
        <f>Hotel!X22</f>
        <v>3720</v>
      </c>
      <c r="M17" s="4">
        <f>Hotel!Y22</f>
        <v>3700</v>
      </c>
      <c r="N17" s="4">
        <f>Hotel!Z22</f>
        <v>2310</v>
      </c>
      <c r="O17" s="4">
        <f>Hotel!AA22</f>
        <v>2710</v>
      </c>
      <c r="P17" s="4">
        <f>Hotel!AB22</f>
        <v>6750</v>
      </c>
      <c r="Q17" s="4">
        <f>Hotel!AC22</f>
        <v>7450</v>
      </c>
      <c r="R17" s="4">
        <f>Hotel!AV22*0.00378541*100</f>
        <v>466.74105299999997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4</v>
      </c>
      <c r="D18" s="11">
        <v>2022</v>
      </c>
      <c r="E18" s="4">
        <f>Hotel!Q23</f>
        <v>510</v>
      </c>
      <c r="F18" s="4">
        <f>Hotel!R23</f>
        <v>12860</v>
      </c>
      <c r="G18" s="4">
        <f>Hotel!S23</f>
        <v>0</v>
      </c>
      <c r="H18" s="4">
        <f>Hotel!T23</f>
        <v>1510</v>
      </c>
      <c r="I18" s="4">
        <f>Hotel!U23</f>
        <v>4510</v>
      </c>
      <c r="J18" s="4">
        <f>Hotel!V23</f>
        <v>3830</v>
      </c>
      <c r="K18" s="4">
        <f>Hotel!W23</f>
        <v>4730</v>
      </c>
      <c r="L18" s="4">
        <f>Hotel!X23</f>
        <v>3570</v>
      </c>
      <c r="M18" s="4">
        <f>Hotel!Y23</f>
        <v>3720</v>
      </c>
      <c r="N18" s="4">
        <f>Hotel!Z23</f>
        <v>2290</v>
      </c>
      <c r="O18" s="4">
        <f>Hotel!AA23</f>
        <v>2770</v>
      </c>
      <c r="P18" s="4">
        <f>Hotel!AB23</f>
        <v>7000</v>
      </c>
      <c r="Q18" s="4">
        <f>Hotel!AC23</f>
        <v>7420</v>
      </c>
      <c r="R18" s="4">
        <f>Hotel!AV23*0.00378541*100</f>
        <v>703.32917799999996</v>
      </c>
      <c r="S18" s="4">
        <f>Hotel!B23</f>
        <v>40</v>
      </c>
    </row>
    <row r="19" spans="1:19" x14ac:dyDescent="0.25">
      <c r="A19" s="21" t="s">
        <v>31</v>
      </c>
      <c r="B19" s="2">
        <f t="shared" si="0"/>
        <v>18</v>
      </c>
      <c r="C19" s="3">
        <v>4</v>
      </c>
      <c r="D19" s="11">
        <v>2022</v>
      </c>
      <c r="E19" s="4" t="str">
        <f>Hotel!Q24</f>
        <v>0</v>
      </c>
      <c r="F19" s="4" t="str">
        <f>Hotel!R24</f>
        <v>0</v>
      </c>
      <c r="G19" s="4" t="str">
        <f>Hotel!S24</f>
        <v>0</v>
      </c>
      <c r="H19" s="4" t="str">
        <f>Hotel!T24</f>
        <v>0</v>
      </c>
      <c r="I19" s="4" t="str">
        <f>Hotel!U24</f>
        <v>0</v>
      </c>
      <c r="J19" s="4" t="str">
        <f>Hotel!V24</f>
        <v>0</v>
      </c>
      <c r="K19" s="4" t="str">
        <f>Hotel!W24</f>
        <v>0</v>
      </c>
      <c r="L19" s="4" t="str">
        <f>Hotel!X24</f>
        <v>0</v>
      </c>
      <c r="M19" s="4" t="str">
        <f>Hotel!Y24</f>
        <v>0</v>
      </c>
      <c r="N19" s="4" t="str">
        <f>Hotel!Z24</f>
        <v>0</v>
      </c>
      <c r="O19" s="4" t="str">
        <f>Hotel!AA24</f>
        <v>0</v>
      </c>
      <c r="P19" s="4" t="str">
        <f>Hotel!AB24</f>
        <v>0</v>
      </c>
      <c r="Q19" s="4" t="str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4</v>
      </c>
      <c r="D20" s="11">
        <v>2022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4</v>
      </c>
      <c r="D21" s="11">
        <v>2022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4</v>
      </c>
      <c r="D22" s="11">
        <v>2022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4</v>
      </c>
      <c r="D23" s="11">
        <v>2022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4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4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4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4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4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4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4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4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4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G1" zoomScale="93" zoomScaleNormal="93" workbookViewId="0">
      <selection activeCell="AU23" sqref="AU23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44651</v>
      </c>
      <c r="B2" s="40">
        <v>194</v>
      </c>
      <c r="C2" s="24">
        <v>7826610</v>
      </c>
      <c r="D2" s="24">
        <v>18285450</v>
      </c>
      <c r="E2" s="24">
        <v>3200810</v>
      </c>
      <c r="F2" s="24">
        <v>3961040</v>
      </c>
      <c r="G2" s="24">
        <v>11775890</v>
      </c>
      <c r="H2" s="24">
        <v>6671130</v>
      </c>
      <c r="I2" s="24">
        <v>5818990</v>
      </c>
      <c r="J2" s="24">
        <v>7226310</v>
      </c>
      <c r="K2" s="24">
        <v>10766020</v>
      </c>
      <c r="L2" s="24">
        <v>4602530</v>
      </c>
      <c r="M2" s="24">
        <v>8833100</v>
      </c>
      <c r="N2" s="24">
        <v>14162030</v>
      </c>
      <c r="O2" s="24">
        <v>19781790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617392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617392</v>
      </c>
    </row>
    <row r="7" spans="1:49" x14ac:dyDescent="0.25">
      <c r="A7" s="23">
        <v>44652</v>
      </c>
      <c r="B7" s="40">
        <v>59</v>
      </c>
      <c r="C7" s="24">
        <v>7827150</v>
      </c>
      <c r="D7" s="24">
        <v>18297170</v>
      </c>
      <c r="E7" s="24">
        <v>3200810</v>
      </c>
      <c r="F7" s="24">
        <v>3962500</v>
      </c>
      <c r="G7" s="24">
        <v>11781090</v>
      </c>
      <c r="H7" s="24">
        <v>6675110</v>
      </c>
      <c r="I7" s="24">
        <v>5822250</v>
      </c>
      <c r="J7" s="24">
        <v>7230720</v>
      </c>
      <c r="K7" s="24">
        <v>10770560</v>
      </c>
      <c r="L7" s="24">
        <v>4605090</v>
      </c>
      <c r="M7" s="24">
        <v>8836440</v>
      </c>
      <c r="N7" s="24">
        <v>14168900</v>
      </c>
      <c r="O7" s="24">
        <v>19793110</v>
      </c>
      <c r="Q7" s="37">
        <f>IF((C7-C2&lt;0), "0",C7-C2)</f>
        <v>540</v>
      </c>
      <c r="R7" s="37">
        <f t="shared" ref="R7:AC7" si="0">IF((D7-D2&lt;0), "0",D7-D2)</f>
        <v>11720</v>
      </c>
      <c r="S7" s="37">
        <f>IF((E7-E2&lt;0), "0",E7-E2)</f>
        <v>0</v>
      </c>
      <c r="T7" s="37">
        <f t="shared" si="0"/>
        <v>1460</v>
      </c>
      <c r="U7" s="37">
        <f t="shared" si="0"/>
        <v>5200</v>
      </c>
      <c r="V7" s="37">
        <f t="shared" si="0"/>
        <v>3980</v>
      </c>
      <c r="W7" s="37">
        <f t="shared" si="0"/>
        <v>3260</v>
      </c>
      <c r="X7" s="37">
        <f t="shared" si="0"/>
        <v>4410</v>
      </c>
      <c r="Y7" s="37">
        <f t="shared" si="0"/>
        <v>4540</v>
      </c>
      <c r="Z7" s="37">
        <f t="shared" si="0"/>
        <v>2560</v>
      </c>
      <c r="AA7" s="37">
        <f t="shared" si="0"/>
        <v>3340</v>
      </c>
      <c r="AB7" s="37">
        <f t="shared" si="0"/>
        <v>6870</v>
      </c>
      <c r="AC7" s="37">
        <f t="shared" si="0"/>
        <v>11320</v>
      </c>
      <c r="AD7" s="34">
        <f>SUM(Q7:AC7)</f>
        <v>59200</v>
      </c>
      <c r="AF7" s="20">
        <f t="shared" ref="AF7:AF36" si="1">Q7*$D$39</f>
        <v>2.7</v>
      </c>
      <c r="AG7" s="20">
        <f t="shared" ref="AG7:AG36" si="2">R7*$D$39</f>
        <v>58.6</v>
      </c>
      <c r="AH7" s="20">
        <f t="shared" ref="AH7:AH36" si="3">S7*$D$39</f>
        <v>0</v>
      </c>
      <c r="AI7" s="20">
        <f t="shared" ref="AI7:AI36" si="4">T7*$D$39</f>
        <v>7.3</v>
      </c>
      <c r="AJ7" s="20">
        <f t="shared" ref="AJ7:AJ36" si="5">U7*$D$39</f>
        <v>26</v>
      </c>
      <c r="AK7" s="20">
        <f t="shared" ref="AK7:AK36" si="6">V7*$D$39</f>
        <v>19.900000000000002</v>
      </c>
      <c r="AL7" s="20">
        <f t="shared" ref="AL7:AL36" si="7">W7*$D$39</f>
        <v>16.3</v>
      </c>
      <c r="AM7" s="20">
        <f t="shared" ref="AM7:AM36" si="8">X7*$D$39</f>
        <v>22.05</v>
      </c>
      <c r="AN7" s="20">
        <f t="shared" ref="AN7:AN36" si="9">Y7*$D$39</f>
        <v>22.7</v>
      </c>
      <c r="AO7" s="20">
        <f t="shared" ref="AO7:AO36" si="10">Z7*$D$39</f>
        <v>12.8</v>
      </c>
      <c r="AP7" s="20">
        <f t="shared" ref="AP7:AP36" si="11">AA7*$D$39</f>
        <v>16.7</v>
      </c>
      <c r="AQ7" s="20">
        <f t="shared" ref="AQ7:AQ36" si="12">AB7*$D$39</f>
        <v>34.35</v>
      </c>
      <c r="AR7" s="20">
        <f t="shared" ref="AR7:AR36" si="13">AC7*$D$39</f>
        <v>56.6</v>
      </c>
      <c r="AS7" s="35">
        <f>SUM(AF7:AR7)</f>
        <v>296</v>
      </c>
      <c r="AU7" s="47">
        <v>619105</v>
      </c>
      <c r="AV7" s="37">
        <f>IF((AU7-AU6&lt;0),"0",AU7-AU6)</f>
        <v>1713</v>
      </c>
      <c r="AW7" s="35">
        <f t="shared" ref="AW7:AW35" si="14">AV7*$D$40</f>
        <v>3.4260000000000002</v>
      </c>
    </row>
    <row r="8" spans="1:49" x14ac:dyDescent="0.25">
      <c r="A8" s="23">
        <v>44653</v>
      </c>
      <c r="B8" s="40">
        <v>21</v>
      </c>
      <c r="C8" s="24">
        <v>7827710</v>
      </c>
      <c r="D8" s="24">
        <v>18309960</v>
      </c>
      <c r="E8" s="24">
        <v>3200820</v>
      </c>
      <c r="F8" s="24">
        <v>3964030</v>
      </c>
      <c r="G8" s="24">
        <v>11785640</v>
      </c>
      <c r="H8" s="24">
        <v>6679080</v>
      </c>
      <c r="I8" s="24">
        <v>5826180</v>
      </c>
      <c r="J8" s="24">
        <v>7234680</v>
      </c>
      <c r="K8" s="24">
        <v>10775300</v>
      </c>
      <c r="L8" s="24">
        <v>4607500</v>
      </c>
      <c r="M8" s="24">
        <v>8839490</v>
      </c>
      <c r="N8" s="24">
        <v>14175780</v>
      </c>
      <c r="O8" s="24">
        <v>19805500</v>
      </c>
      <c r="Q8" s="37">
        <f>IF((C8-C7&lt;0), "0",C8-C7)</f>
        <v>560</v>
      </c>
      <c r="R8" s="37">
        <f t="shared" ref="R8:AC8" si="15">IF((D8-D7&lt;0), "0",D8-D7)</f>
        <v>12790</v>
      </c>
      <c r="S8" s="37">
        <f t="shared" ref="S8:S35" si="16">IF((E8-E7&lt;0), "0",E8-E7)</f>
        <v>10</v>
      </c>
      <c r="T8" s="37">
        <f t="shared" si="15"/>
        <v>1530</v>
      </c>
      <c r="U8" s="37">
        <f t="shared" si="15"/>
        <v>4550</v>
      </c>
      <c r="V8" s="37">
        <f t="shared" si="15"/>
        <v>3970</v>
      </c>
      <c r="W8" s="37">
        <f t="shared" si="15"/>
        <v>3930</v>
      </c>
      <c r="X8" s="37">
        <f t="shared" si="15"/>
        <v>3960</v>
      </c>
      <c r="Y8" s="37">
        <f t="shared" si="15"/>
        <v>4740</v>
      </c>
      <c r="Z8" s="37">
        <f t="shared" si="15"/>
        <v>2410</v>
      </c>
      <c r="AA8" s="37">
        <f t="shared" si="15"/>
        <v>3050</v>
      </c>
      <c r="AB8" s="37">
        <f t="shared" si="15"/>
        <v>6880</v>
      </c>
      <c r="AC8" s="37">
        <f t="shared" si="15"/>
        <v>12390</v>
      </c>
      <c r="AD8" s="35">
        <f>SUM(Q8:AC8)</f>
        <v>60770</v>
      </c>
      <c r="AF8" s="20">
        <f t="shared" si="1"/>
        <v>2.8000000000000003</v>
      </c>
      <c r="AG8" s="20">
        <f t="shared" si="2"/>
        <v>63.95</v>
      </c>
      <c r="AH8" s="20">
        <f t="shared" si="3"/>
        <v>0.05</v>
      </c>
      <c r="AI8" s="20">
        <f t="shared" si="4"/>
        <v>7.65</v>
      </c>
      <c r="AJ8" s="20">
        <f t="shared" si="5"/>
        <v>22.75</v>
      </c>
      <c r="AK8" s="20">
        <f t="shared" si="6"/>
        <v>19.850000000000001</v>
      </c>
      <c r="AL8" s="20">
        <f t="shared" si="7"/>
        <v>19.650000000000002</v>
      </c>
      <c r="AM8" s="20">
        <f t="shared" si="8"/>
        <v>19.8</v>
      </c>
      <c r="AN8" s="20">
        <f t="shared" si="9"/>
        <v>23.7</v>
      </c>
      <c r="AO8" s="20">
        <f t="shared" si="10"/>
        <v>12.05</v>
      </c>
      <c r="AP8" s="20">
        <f t="shared" si="11"/>
        <v>15.25</v>
      </c>
      <c r="AQ8" s="20">
        <f t="shared" si="12"/>
        <v>34.4</v>
      </c>
      <c r="AR8" s="20">
        <f t="shared" si="13"/>
        <v>61.95</v>
      </c>
      <c r="AS8" s="35">
        <f>SUM(AF8:AR8)</f>
        <v>303.85000000000002</v>
      </c>
      <c r="AU8" s="47">
        <v>620542</v>
      </c>
      <c r="AV8" s="37">
        <f>IF((AU8-AU7&lt;0),"0",AU8-AU7)</f>
        <v>1437</v>
      </c>
      <c r="AW8" s="35">
        <f t="shared" si="14"/>
        <v>2.8740000000000001</v>
      </c>
    </row>
    <row r="9" spans="1:49" x14ac:dyDescent="0.25">
      <c r="A9" s="23">
        <v>44654</v>
      </c>
      <c r="B9" s="40">
        <v>22</v>
      </c>
      <c r="C9" s="24">
        <v>7828250</v>
      </c>
      <c r="D9" s="24">
        <v>18322310</v>
      </c>
      <c r="E9" s="24">
        <v>3200880</v>
      </c>
      <c r="F9" s="24">
        <v>3965490</v>
      </c>
      <c r="G9" s="24">
        <v>11789890</v>
      </c>
      <c r="H9" s="24">
        <v>6682790</v>
      </c>
      <c r="I9" s="24">
        <v>5829820</v>
      </c>
      <c r="J9" s="24">
        <v>7238370</v>
      </c>
      <c r="K9" s="24">
        <v>10779960</v>
      </c>
      <c r="L9" s="24">
        <v>4609690</v>
      </c>
      <c r="M9" s="24">
        <v>8842140</v>
      </c>
      <c r="N9" s="24">
        <v>14182350</v>
      </c>
      <c r="O9" s="24">
        <v>19817350</v>
      </c>
      <c r="Q9" s="37">
        <f t="shared" ref="Q9:Q30" si="17">IF((C9-C8&lt;0), "0",C9-C8)</f>
        <v>540</v>
      </c>
      <c r="R9" s="37">
        <f t="shared" ref="R9:R37" si="18">IF((D9-D8&lt;0), "0",D9-D8)</f>
        <v>12350</v>
      </c>
      <c r="S9" s="37">
        <f t="shared" si="16"/>
        <v>60</v>
      </c>
      <c r="T9" s="37">
        <f t="shared" ref="T9:T35" si="19">IF((F9-F8&lt;0), "0",F9-F8)</f>
        <v>1460</v>
      </c>
      <c r="U9" s="37">
        <f t="shared" ref="U9:U35" si="20">IF((G9-G8&lt;0), "0",G9-G8)</f>
        <v>4250</v>
      </c>
      <c r="V9" s="37">
        <f t="shared" ref="V9:V35" si="21">IF((H9-H8&lt;0), "0",H9-H8)</f>
        <v>3710</v>
      </c>
      <c r="W9" s="37">
        <f t="shared" ref="W9:W35" si="22">IF((I9-I8&lt;0), "0",I9-I8)</f>
        <v>3640</v>
      </c>
      <c r="X9" s="37">
        <f t="shared" ref="X9:X37" si="23">IF((J9-J8&lt;0), "0",J9-J8)</f>
        <v>3690</v>
      </c>
      <c r="Y9" s="37">
        <f t="shared" ref="Y9:Y35" si="24">IF((K9-K8&lt;0), "0",K9-K8)</f>
        <v>4660</v>
      </c>
      <c r="Z9" s="37">
        <f t="shared" ref="Z9:Z35" si="25">IF((L9-L8&lt;0), "0",L9-L8)</f>
        <v>2190</v>
      </c>
      <c r="AA9" s="37">
        <f t="shared" ref="AA9:AA35" si="26">IF((M9-M8&lt;0), "0",M9-M8)</f>
        <v>2650</v>
      </c>
      <c r="AB9" s="37">
        <f t="shared" ref="AB9:AB37" si="27">IF((N9-N8&lt;0), "0",N9-N8)</f>
        <v>6570</v>
      </c>
      <c r="AC9" s="37">
        <f t="shared" ref="AC9:AC37" si="28">IF((O9-O8&lt;0), "0",O9-O8)</f>
        <v>11850</v>
      </c>
      <c r="AD9" s="35">
        <f t="shared" ref="AD9:AD37" si="29">SUM(Q9:AC9)</f>
        <v>57620</v>
      </c>
      <c r="AF9" s="20">
        <f t="shared" si="1"/>
        <v>2.7</v>
      </c>
      <c r="AG9" s="20">
        <f t="shared" si="2"/>
        <v>61.75</v>
      </c>
      <c r="AH9" s="20">
        <f t="shared" si="3"/>
        <v>0.3</v>
      </c>
      <c r="AI9" s="20">
        <f t="shared" si="4"/>
        <v>7.3</v>
      </c>
      <c r="AJ9" s="20">
        <f t="shared" si="5"/>
        <v>21.25</v>
      </c>
      <c r="AK9" s="20">
        <f t="shared" si="6"/>
        <v>18.55</v>
      </c>
      <c r="AL9" s="20">
        <f t="shared" si="7"/>
        <v>18.2</v>
      </c>
      <c r="AM9" s="20">
        <f t="shared" si="8"/>
        <v>18.45</v>
      </c>
      <c r="AN9" s="20">
        <f t="shared" si="9"/>
        <v>23.3</v>
      </c>
      <c r="AO9" s="20">
        <f t="shared" si="10"/>
        <v>10.950000000000001</v>
      </c>
      <c r="AP9" s="20">
        <f t="shared" si="11"/>
        <v>13.25</v>
      </c>
      <c r="AQ9" s="20">
        <f t="shared" si="12"/>
        <v>32.85</v>
      </c>
      <c r="AR9" s="20">
        <f t="shared" si="13"/>
        <v>59.25</v>
      </c>
      <c r="AS9" s="35">
        <f t="shared" ref="AS9:AS33" si="30">SUM(AF9:AR9)</f>
        <v>288.09999999999997</v>
      </c>
      <c r="AU9" s="47">
        <v>622047</v>
      </c>
      <c r="AV9" s="37">
        <f>IF((AU9-AU8&lt;0),"0",AU9-AU8)</f>
        <v>1505</v>
      </c>
      <c r="AW9" s="35">
        <f t="shared" si="14"/>
        <v>3.0100000000000002</v>
      </c>
    </row>
    <row r="10" spans="1:49" x14ac:dyDescent="0.25">
      <c r="A10" s="23">
        <v>44655</v>
      </c>
      <c r="B10" s="40">
        <v>26</v>
      </c>
      <c r="C10" s="24">
        <v>7828820</v>
      </c>
      <c r="D10" s="24">
        <v>18335600</v>
      </c>
      <c r="E10" s="24">
        <v>3200940</v>
      </c>
      <c r="F10" s="24">
        <v>3967080</v>
      </c>
      <c r="G10" s="24">
        <v>11794360</v>
      </c>
      <c r="H10" s="24">
        <v>6686890</v>
      </c>
      <c r="I10" s="24">
        <v>5834030</v>
      </c>
      <c r="J10" s="24">
        <v>7242170</v>
      </c>
      <c r="K10" s="24">
        <v>10784210</v>
      </c>
      <c r="L10" s="24">
        <v>4612110</v>
      </c>
      <c r="M10" s="24">
        <v>8844820</v>
      </c>
      <c r="N10" s="24">
        <v>14189250</v>
      </c>
      <c r="O10" s="24">
        <v>19827880</v>
      </c>
      <c r="Q10" s="37">
        <f t="shared" si="17"/>
        <v>570</v>
      </c>
      <c r="R10" s="37">
        <f t="shared" si="18"/>
        <v>13290</v>
      </c>
      <c r="S10" s="37">
        <f t="shared" si="16"/>
        <v>60</v>
      </c>
      <c r="T10" s="37">
        <f t="shared" si="19"/>
        <v>1590</v>
      </c>
      <c r="U10" s="37">
        <f t="shared" si="20"/>
        <v>4470</v>
      </c>
      <c r="V10" s="37">
        <f t="shared" si="21"/>
        <v>4100</v>
      </c>
      <c r="W10" s="37">
        <f t="shared" si="22"/>
        <v>4210</v>
      </c>
      <c r="X10" s="37">
        <f t="shared" si="23"/>
        <v>3800</v>
      </c>
      <c r="Y10" s="37">
        <f t="shared" si="24"/>
        <v>4250</v>
      </c>
      <c r="Z10" s="37">
        <f t="shared" si="25"/>
        <v>2420</v>
      </c>
      <c r="AA10" s="37">
        <f t="shared" si="26"/>
        <v>2680</v>
      </c>
      <c r="AB10" s="37">
        <f t="shared" si="27"/>
        <v>6900</v>
      </c>
      <c r="AC10" s="37">
        <f t="shared" si="28"/>
        <v>10530</v>
      </c>
      <c r="AD10" s="35">
        <f t="shared" si="29"/>
        <v>58870</v>
      </c>
      <c r="AF10" s="20">
        <f t="shared" si="1"/>
        <v>2.85</v>
      </c>
      <c r="AG10" s="20">
        <f t="shared" si="2"/>
        <v>66.45</v>
      </c>
      <c r="AH10" s="20">
        <f t="shared" si="3"/>
        <v>0.3</v>
      </c>
      <c r="AI10" s="20">
        <f t="shared" si="4"/>
        <v>7.95</v>
      </c>
      <c r="AJ10" s="20">
        <f t="shared" si="5"/>
        <v>22.35</v>
      </c>
      <c r="AK10" s="20">
        <f t="shared" si="6"/>
        <v>20.5</v>
      </c>
      <c r="AL10" s="20">
        <f t="shared" si="7"/>
        <v>21.05</v>
      </c>
      <c r="AM10" s="20">
        <f t="shared" si="8"/>
        <v>19</v>
      </c>
      <c r="AN10" s="20">
        <f t="shared" si="9"/>
        <v>21.25</v>
      </c>
      <c r="AO10" s="20">
        <f t="shared" si="10"/>
        <v>12.1</v>
      </c>
      <c r="AP10" s="20">
        <f t="shared" si="11"/>
        <v>13.4</v>
      </c>
      <c r="AQ10" s="20">
        <f t="shared" si="12"/>
        <v>34.5</v>
      </c>
      <c r="AR10" s="20">
        <f t="shared" si="13"/>
        <v>52.65</v>
      </c>
      <c r="AS10" s="35">
        <f t="shared" si="30"/>
        <v>294.35000000000002</v>
      </c>
      <c r="AU10" s="47">
        <v>623998</v>
      </c>
      <c r="AV10" s="37">
        <f t="shared" ref="AV10:AV26" si="31">IF((AU10-AU9&lt;0),"0",AU10-AU9)</f>
        <v>1951</v>
      </c>
      <c r="AW10" s="35">
        <f t="shared" si="14"/>
        <v>3.9020000000000001</v>
      </c>
    </row>
    <row r="11" spans="1:49" x14ac:dyDescent="0.25">
      <c r="A11" s="23">
        <v>44656</v>
      </c>
      <c r="B11" s="40">
        <v>25</v>
      </c>
      <c r="C11" s="24">
        <v>7829350</v>
      </c>
      <c r="D11" s="24">
        <v>18347250</v>
      </c>
      <c r="E11" s="24">
        <v>3201120</v>
      </c>
      <c r="F11" s="24">
        <v>3968560</v>
      </c>
      <c r="G11" s="24">
        <v>11798490</v>
      </c>
      <c r="H11" s="24">
        <v>6690920</v>
      </c>
      <c r="I11" s="24">
        <v>5837910</v>
      </c>
      <c r="J11" s="24">
        <v>7245640</v>
      </c>
      <c r="K11" s="24">
        <v>10787510</v>
      </c>
      <c r="L11" s="24">
        <v>4614400</v>
      </c>
      <c r="M11" s="24">
        <v>8847250</v>
      </c>
      <c r="N11" s="24">
        <v>14195670</v>
      </c>
      <c r="O11" s="24">
        <v>19839150</v>
      </c>
      <c r="Q11" s="37">
        <f t="shared" si="17"/>
        <v>530</v>
      </c>
      <c r="R11" s="37">
        <f t="shared" si="18"/>
        <v>11650</v>
      </c>
      <c r="S11" s="37">
        <f t="shared" si="16"/>
        <v>180</v>
      </c>
      <c r="T11" s="37">
        <f t="shared" si="19"/>
        <v>1480</v>
      </c>
      <c r="U11" s="37">
        <f t="shared" si="20"/>
        <v>4130</v>
      </c>
      <c r="V11" s="37">
        <f t="shared" si="21"/>
        <v>4030</v>
      </c>
      <c r="W11" s="37">
        <f t="shared" si="22"/>
        <v>3880</v>
      </c>
      <c r="X11" s="37">
        <f t="shared" si="23"/>
        <v>3470</v>
      </c>
      <c r="Y11" s="37">
        <f t="shared" si="24"/>
        <v>3300</v>
      </c>
      <c r="Z11" s="37">
        <f t="shared" si="25"/>
        <v>2290</v>
      </c>
      <c r="AA11" s="37">
        <f t="shared" si="26"/>
        <v>2430</v>
      </c>
      <c r="AB11" s="37">
        <f t="shared" si="27"/>
        <v>6420</v>
      </c>
      <c r="AC11" s="37">
        <f t="shared" si="28"/>
        <v>11270</v>
      </c>
      <c r="AD11" s="35">
        <f t="shared" si="29"/>
        <v>55060</v>
      </c>
      <c r="AF11" s="20">
        <f t="shared" si="1"/>
        <v>2.65</v>
      </c>
      <c r="AG11" s="20">
        <f t="shared" si="2"/>
        <v>58.25</v>
      </c>
      <c r="AH11" s="20">
        <f t="shared" si="3"/>
        <v>0.9</v>
      </c>
      <c r="AI11" s="20">
        <f t="shared" si="4"/>
        <v>7.4</v>
      </c>
      <c r="AJ11" s="20">
        <f t="shared" si="5"/>
        <v>20.650000000000002</v>
      </c>
      <c r="AK11" s="20">
        <f t="shared" si="6"/>
        <v>20.150000000000002</v>
      </c>
      <c r="AL11" s="20">
        <f t="shared" si="7"/>
        <v>19.400000000000002</v>
      </c>
      <c r="AM11" s="20">
        <f t="shared" si="8"/>
        <v>17.350000000000001</v>
      </c>
      <c r="AN11" s="20">
        <f t="shared" si="9"/>
        <v>16.5</v>
      </c>
      <c r="AO11" s="20">
        <f t="shared" si="10"/>
        <v>11.450000000000001</v>
      </c>
      <c r="AP11" s="20">
        <f t="shared" si="11"/>
        <v>12.15</v>
      </c>
      <c r="AQ11" s="20">
        <f t="shared" si="12"/>
        <v>32.1</v>
      </c>
      <c r="AR11" s="20">
        <f t="shared" si="13"/>
        <v>56.35</v>
      </c>
      <c r="AS11" s="35">
        <f t="shared" si="30"/>
        <v>275.3</v>
      </c>
      <c r="AU11" s="47">
        <v>626014</v>
      </c>
      <c r="AV11" s="37">
        <f t="shared" si="31"/>
        <v>2016</v>
      </c>
      <c r="AW11" s="35">
        <f t="shared" si="14"/>
        <v>4.032</v>
      </c>
    </row>
    <row r="12" spans="1:49" x14ac:dyDescent="0.25">
      <c r="A12" s="23">
        <v>44657</v>
      </c>
      <c r="B12" s="40">
        <v>29</v>
      </c>
      <c r="C12" s="49">
        <v>7829870</v>
      </c>
      <c r="D12" s="24">
        <v>18359740</v>
      </c>
      <c r="E12" s="24">
        <v>3201160</v>
      </c>
      <c r="F12" s="24">
        <v>3970060</v>
      </c>
      <c r="G12" s="24">
        <v>11802780</v>
      </c>
      <c r="H12" s="24">
        <v>6694740</v>
      </c>
      <c r="I12" s="24">
        <v>5841970</v>
      </c>
      <c r="J12" s="24">
        <v>7249210</v>
      </c>
      <c r="K12" s="24">
        <v>10791020</v>
      </c>
      <c r="L12" s="24">
        <v>4616680</v>
      </c>
      <c r="M12" s="24">
        <v>8849720</v>
      </c>
      <c r="N12" s="24">
        <v>14202390</v>
      </c>
      <c r="O12" s="24">
        <v>19850570</v>
      </c>
      <c r="Q12" s="37">
        <f t="shared" si="17"/>
        <v>520</v>
      </c>
      <c r="R12" s="37">
        <f t="shared" si="18"/>
        <v>12490</v>
      </c>
      <c r="S12" s="37">
        <f t="shared" si="16"/>
        <v>40</v>
      </c>
      <c r="T12" s="37">
        <f t="shared" ref="T12:W14" si="32">IF((F12-F11&lt;0), "0",F12-F11)</f>
        <v>1500</v>
      </c>
      <c r="U12" s="37">
        <f t="shared" si="32"/>
        <v>4290</v>
      </c>
      <c r="V12" s="37">
        <f t="shared" si="32"/>
        <v>3820</v>
      </c>
      <c r="W12" s="37">
        <f t="shared" si="32"/>
        <v>4060</v>
      </c>
      <c r="X12" s="37">
        <f t="shared" si="23"/>
        <v>3570</v>
      </c>
      <c r="Y12" s="37">
        <f t="shared" si="24"/>
        <v>3510</v>
      </c>
      <c r="Z12" s="37">
        <f>IF((L12-L11&lt;0), "0",L12-L11)</f>
        <v>2280</v>
      </c>
      <c r="AA12" s="37">
        <f t="shared" si="26"/>
        <v>2470</v>
      </c>
      <c r="AB12" s="37">
        <f t="shared" si="27"/>
        <v>6720</v>
      </c>
      <c r="AC12" s="37">
        <f t="shared" si="28"/>
        <v>11420</v>
      </c>
      <c r="AD12" s="35">
        <f t="shared" si="29"/>
        <v>56690</v>
      </c>
      <c r="AF12" s="20">
        <f t="shared" si="1"/>
        <v>2.6</v>
      </c>
      <c r="AG12" s="20">
        <f t="shared" si="2"/>
        <v>62.45</v>
      </c>
      <c r="AH12" s="20">
        <f t="shared" si="3"/>
        <v>0.2</v>
      </c>
      <c r="AI12" s="20">
        <f t="shared" si="4"/>
        <v>7.5</v>
      </c>
      <c r="AJ12" s="20">
        <f t="shared" si="5"/>
        <v>21.45</v>
      </c>
      <c r="AK12" s="20">
        <f t="shared" si="6"/>
        <v>19.100000000000001</v>
      </c>
      <c r="AL12" s="20">
        <f t="shared" si="7"/>
        <v>20.3</v>
      </c>
      <c r="AM12" s="20">
        <f t="shared" si="8"/>
        <v>17.850000000000001</v>
      </c>
      <c r="AN12" s="20">
        <f t="shared" si="9"/>
        <v>17.55</v>
      </c>
      <c r="AO12" s="20">
        <f t="shared" si="10"/>
        <v>11.4</v>
      </c>
      <c r="AP12" s="20">
        <f t="shared" si="11"/>
        <v>12.35</v>
      </c>
      <c r="AQ12" s="20">
        <f t="shared" si="12"/>
        <v>33.6</v>
      </c>
      <c r="AR12" s="20">
        <f t="shared" si="13"/>
        <v>57.1</v>
      </c>
      <c r="AS12" s="35">
        <f t="shared" si="30"/>
        <v>283.45000000000005</v>
      </c>
      <c r="AU12" s="47">
        <v>628192</v>
      </c>
      <c r="AV12" s="37">
        <f t="shared" si="31"/>
        <v>2178</v>
      </c>
      <c r="AW12" s="35">
        <f t="shared" si="14"/>
        <v>4.3559999999999999</v>
      </c>
    </row>
    <row r="13" spans="1:49" x14ac:dyDescent="0.25">
      <c r="A13" s="23">
        <v>44658</v>
      </c>
      <c r="B13" s="40">
        <v>39</v>
      </c>
      <c r="C13" s="24">
        <v>7830380</v>
      </c>
      <c r="D13" s="24">
        <v>18372510</v>
      </c>
      <c r="E13" s="24">
        <v>3201230</v>
      </c>
      <c r="F13" s="24">
        <v>3971570</v>
      </c>
      <c r="G13" s="24">
        <v>11807220</v>
      </c>
      <c r="H13" s="24">
        <v>6698370</v>
      </c>
      <c r="I13" s="24">
        <v>5846290</v>
      </c>
      <c r="J13" s="24">
        <v>7252770</v>
      </c>
      <c r="K13" s="24">
        <v>10794570</v>
      </c>
      <c r="L13" s="24">
        <v>4619040</v>
      </c>
      <c r="M13" s="24">
        <v>8852320</v>
      </c>
      <c r="N13" s="24">
        <v>14209120</v>
      </c>
      <c r="O13" s="24">
        <v>19862520</v>
      </c>
      <c r="Q13" s="37">
        <f t="shared" si="17"/>
        <v>510</v>
      </c>
      <c r="R13" s="37">
        <f t="shared" si="18"/>
        <v>12770</v>
      </c>
      <c r="S13" s="37">
        <f t="shared" si="16"/>
        <v>70</v>
      </c>
      <c r="T13" s="37">
        <f t="shared" si="32"/>
        <v>1510</v>
      </c>
      <c r="U13" s="37">
        <f t="shared" si="32"/>
        <v>4440</v>
      </c>
      <c r="V13" s="37">
        <f t="shared" si="32"/>
        <v>3630</v>
      </c>
      <c r="W13" s="37">
        <f t="shared" si="32"/>
        <v>4320</v>
      </c>
      <c r="X13" s="37">
        <f t="shared" si="23"/>
        <v>3560</v>
      </c>
      <c r="Y13" s="37">
        <f t="shared" si="24"/>
        <v>3550</v>
      </c>
      <c r="Z13" s="37">
        <f>IF((L13-L12&lt;0), "0",L13-L12)</f>
        <v>2360</v>
      </c>
      <c r="AA13" s="37">
        <f t="shared" si="26"/>
        <v>2600</v>
      </c>
      <c r="AB13" s="37">
        <f t="shared" si="27"/>
        <v>6730</v>
      </c>
      <c r="AC13" s="37">
        <f t="shared" si="28"/>
        <v>11950</v>
      </c>
      <c r="AD13" s="35">
        <f t="shared" si="29"/>
        <v>58000</v>
      </c>
      <c r="AF13" s="20">
        <f t="shared" si="1"/>
        <v>2.5500000000000003</v>
      </c>
      <c r="AG13" s="20">
        <f t="shared" si="2"/>
        <v>63.85</v>
      </c>
      <c r="AH13" s="20">
        <f t="shared" si="3"/>
        <v>0.35000000000000003</v>
      </c>
      <c r="AI13" s="20">
        <f t="shared" si="4"/>
        <v>7.55</v>
      </c>
      <c r="AJ13" s="20">
        <f t="shared" si="5"/>
        <v>22.2</v>
      </c>
      <c r="AK13" s="20">
        <f t="shared" si="6"/>
        <v>18.150000000000002</v>
      </c>
      <c r="AL13" s="20">
        <f t="shared" si="7"/>
        <v>21.6</v>
      </c>
      <c r="AM13" s="20">
        <f t="shared" si="8"/>
        <v>17.8</v>
      </c>
      <c r="AN13" s="20">
        <f t="shared" si="9"/>
        <v>17.75</v>
      </c>
      <c r="AO13" s="20">
        <f t="shared" si="10"/>
        <v>11.8</v>
      </c>
      <c r="AP13" s="20">
        <f t="shared" si="11"/>
        <v>13</v>
      </c>
      <c r="AQ13" s="20">
        <f t="shared" si="12"/>
        <v>33.65</v>
      </c>
      <c r="AR13" s="20">
        <f t="shared" si="13"/>
        <v>59.75</v>
      </c>
      <c r="AS13" s="35">
        <f t="shared" si="30"/>
        <v>290</v>
      </c>
      <c r="AU13" s="47">
        <v>629554</v>
      </c>
      <c r="AV13" s="37">
        <f t="shared" si="31"/>
        <v>1362</v>
      </c>
      <c r="AW13" s="35">
        <f t="shared" si="14"/>
        <v>2.7240000000000002</v>
      </c>
    </row>
    <row r="14" spans="1:49" x14ac:dyDescent="0.25">
      <c r="A14" s="23">
        <v>44659</v>
      </c>
      <c r="B14" s="40">
        <v>37</v>
      </c>
      <c r="C14" s="24">
        <v>7830910</v>
      </c>
      <c r="D14" s="24">
        <v>18385220</v>
      </c>
      <c r="E14" s="24">
        <v>3201270</v>
      </c>
      <c r="F14" s="24">
        <v>3973100</v>
      </c>
      <c r="G14" s="24">
        <v>11811940</v>
      </c>
      <c r="H14" s="24">
        <v>6702050</v>
      </c>
      <c r="I14" s="24">
        <v>5850740</v>
      </c>
      <c r="J14" s="24">
        <v>7256210</v>
      </c>
      <c r="K14" s="24">
        <v>10798080</v>
      </c>
      <c r="L14" s="24">
        <v>4621480</v>
      </c>
      <c r="M14" s="24">
        <v>8854940</v>
      </c>
      <c r="N14" s="24">
        <v>14216220</v>
      </c>
      <c r="O14" s="24">
        <v>19873820</v>
      </c>
      <c r="P14" s="53"/>
      <c r="Q14" s="37">
        <f t="shared" si="17"/>
        <v>530</v>
      </c>
      <c r="R14" s="37">
        <f t="shared" si="18"/>
        <v>12710</v>
      </c>
      <c r="S14" s="37">
        <f t="shared" si="16"/>
        <v>40</v>
      </c>
      <c r="T14" s="37">
        <f t="shared" si="32"/>
        <v>1530</v>
      </c>
      <c r="U14" s="37">
        <f t="shared" si="32"/>
        <v>4720</v>
      </c>
      <c r="V14" s="37">
        <f t="shared" si="32"/>
        <v>3680</v>
      </c>
      <c r="W14" s="37">
        <f t="shared" si="32"/>
        <v>4450</v>
      </c>
      <c r="X14" s="37">
        <f t="shared" si="23"/>
        <v>3440</v>
      </c>
      <c r="Y14" s="37">
        <f t="shared" si="24"/>
        <v>3510</v>
      </c>
      <c r="Z14" s="37">
        <f>IF((L14-L13&lt;0), "0",L14-L13)</f>
        <v>2440</v>
      </c>
      <c r="AA14" s="37">
        <f t="shared" si="26"/>
        <v>2620</v>
      </c>
      <c r="AB14" s="37">
        <f t="shared" si="27"/>
        <v>7100</v>
      </c>
      <c r="AC14" s="37">
        <f t="shared" si="28"/>
        <v>11300</v>
      </c>
      <c r="AD14" s="35">
        <f t="shared" si="29"/>
        <v>58070</v>
      </c>
      <c r="AF14" s="20">
        <f t="shared" si="1"/>
        <v>2.65</v>
      </c>
      <c r="AG14" s="20">
        <f t="shared" si="2"/>
        <v>63.550000000000004</v>
      </c>
      <c r="AH14" s="20">
        <f t="shared" si="3"/>
        <v>0.2</v>
      </c>
      <c r="AI14" s="20">
        <f t="shared" si="4"/>
        <v>7.65</v>
      </c>
      <c r="AJ14" s="20">
        <f t="shared" si="5"/>
        <v>23.6</v>
      </c>
      <c r="AK14" s="20">
        <f t="shared" si="6"/>
        <v>18.400000000000002</v>
      </c>
      <c r="AL14" s="20">
        <f t="shared" si="7"/>
        <v>22.25</v>
      </c>
      <c r="AM14" s="20">
        <f t="shared" si="8"/>
        <v>17.2</v>
      </c>
      <c r="AN14" s="20">
        <f t="shared" si="9"/>
        <v>17.55</v>
      </c>
      <c r="AO14" s="20">
        <f t="shared" si="10"/>
        <v>12.200000000000001</v>
      </c>
      <c r="AP14" s="20">
        <f t="shared" si="11"/>
        <v>13.1</v>
      </c>
      <c r="AQ14" s="20">
        <f t="shared" si="12"/>
        <v>35.5</v>
      </c>
      <c r="AR14" s="20">
        <f t="shared" si="13"/>
        <v>56.5</v>
      </c>
      <c r="AS14" s="35">
        <f t="shared" si="30"/>
        <v>290.35000000000002</v>
      </c>
      <c r="AU14" s="47">
        <v>630920</v>
      </c>
      <c r="AV14" s="37">
        <f t="shared" si="31"/>
        <v>1366</v>
      </c>
      <c r="AW14" s="35">
        <f t="shared" si="14"/>
        <v>2.7320000000000002</v>
      </c>
    </row>
    <row r="15" spans="1:49" x14ac:dyDescent="0.25">
      <c r="A15" s="23">
        <v>44660</v>
      </c>
      <c r="B15" s="40">
        <v>34</v>
      </c>
      <c r="C15" s="24">
        <v>7831420</v>
      </c>
      <c r="D15" s="24">
        <v>18397700</v>
      </c>
      <c r="E15" s="24">
        <v>3201300</v>
      </c>
      <c r="F15" s="24">
        <v>3974600</v>
      </c>
      <c r="G15" s="24">
        <v>11816390</v>
      </c>
      <c r="H15" s="24">
        <v>6705580</v>
      </c>
      <c r="I15" s="24">
        <v>5854870</v>
      </c>
      <c r="J15" s="24">
        <v>7259620</v>
      </c>
      <c r="K15" s="24">
        <v>10801540</v>
      </c>
      <c r="L15" s="24">
        <v>4623760</v>
      </c>
      <c r="M15" s="24">
        <v>8857440</v>
      </c>
      <c r="N15" s="24">
        <v>14223010</v>
      </c>
      <c r="O15" s="24">
        <v>19885490</v>
      </c>
      <c r="Q15" s="37">
        <f t="shared" si="17"/>
        <v>510</v>
      </c>
      <c r="R15" s="37">
        <f t="shared" si="18"/>
        <v>12480</v>
      </c>
      <c r="S15" s="37">
        <f t="shared" si="16"/>
        <v>30</v>
      </c>
      <c r="T15" s="37">
        <f t="shared" si="19"/>
        <v>1500</v>
      </c>
      <c r="U15" s="37">
        <f t="shared" si="20"/>
        <v>4450</v>
      </c>
      <c r="V15" s="37">
        <f t="shared" si="21"/>
        <v>3530</v>
      </c>
      <c r="W15" s="37">
        <f t="shared" si="22"/>
        <v>4130</v>
      </c>
      <c r="X15" s="37">
        <f t="shared" si="23"/>
        <v>3410</v>
      </c>
      <c r="Y15" s="37">
        <f t="shared" si="24"/>
        <v>3460</v>
      </c>
      <c r="Z15" s="37">
        <f t="shared" si="25"/>
        <v>2280</v>
      </c>
      <c r="AA15" s="37">
        <f t="shared" si="26"/>
        <v>2500</v>
      </c>
      <c r="AB15" s="37">
        <f t="shared" si="27"/>
        <v>6790</v>
      </c>
      <c r="AC15" s="37">
        <f t="shared" si="28"/>
        <v>11670</v>
      </c>
      <c r="AD15" s="35">
        <f t="shared" si="29"/>
        <v>56740</v>
      </c>
      <c r="AF15" s="20">
        <f t="shared" si="1"/>
        <v>2.5500000000000003</v>
      </c>
      <c r="AG15" s="20">
        <f t="shared" si="2"/>
        <v>62.4</v>
      </c>
      <c r="AH15" s="20">
        <f t="shared" si="3"/>
        <v>0.15</v>
      </c>
      <c r="AI15" s="20">
        <f t="shared" si="4"/>
        <v>7.5</v>
      </c>
      <c r="AJ15" s="20">
        <f t="shared" si="5"/>
        <v>22.25</v>
      </c>
      <c r="AK15" s="20">
        <f t="shared" si="6"/>
        <v>17.650000000000002</v>
      </c>
      <c r="AL15" s="20">
        <f t="shared" si="7"/>
        <v>20.650000000000002</v>
      </c>
      <c r="AM15" s="20">
        <f t="shared" si="8"/>
        <v>17.05</v>
      </c>
      <c r="AN15" s="20">
        <f t="shared" si="9"/>
        <v>17.3</v>
      </c>
      <c r="AO15" s="20">
        <f t="shared" si="10"/>
        <v>11.4</v>
      </c>
      <c r="AP15" s="20">
        <f t="shared" si="11"/>
        <v>12.5</v>
      </c>
      <c r="AQ15" s="20">
        <f t="shared" si="12"/>
        <v>33.950000000000003</v>
      </c>
      <c r="AR15" s="20">
        <f t="shared" si="13"/>
        <v>58.35</v>
      </c>
      <c r="AS15" s="35">
        <f t="shared" si="30"/>
        <v>283.70000000000005</v>
      </c>
      <c r="AU15" s="47">
        <v>632301</v>
      </c>
      <c r="AV15" s="37">
        <f t="shared" si="31"/>
        <v>1381</v>
      </c>
      <c r="AW15" s="35">
        <f t="shared" si="14"/>
        <v>2.762</v>
      </c>
    </row>
    <row r="16" spans="1:49" x14ac:dyDescent="0.25">
      <c r="A16" s="23">
        <v>44661</v>
      </c>
      <c r="B16" s="40">
        <v>41</v>
      </c>
      <c r="C16" s="24">
        <v>7831940</v>
      </c>
      <c r="D16" s="24">
        <v>18409670</v>
      </c>
      <c r="E16" s="24">
        <v>3201340</v>
      </c>
      <c r="F16" s="24">
        <v>3976100</v>
      </c>
      <c r="G16" s="24">
        <v>11820740</v>
      </c>
      <c r="H16" s="24">
        <v>6709270</v>
      </c>
      <c r="I16" s="24">
        <v>5859510</v>
      </c>
      <c r="J16" s="24">
        <v>7263100</v>
      </c>
      <c r="K16" s="24">
        <v>10805120</v>
      </c>
      <c r="L16" s="24">
        <v>4626060</v>
      </c>
      <c r="M16" s="24">
        <v>8859960</v>
      </c>
      <c r="N16" s="24">
        <v>14229790</v>
      </c>
      <c r="O16" s="24">
        <v>19892440</v>
      </c>
      <c r="Q16" s="37">
        <f t="shared" si="17"/>
        <v>520</v>
      </c>
      <c r="R16" s="37">
        <f t="shared" si="18"/>
        <v>11970</v>
      </c>
      <c r="S16" s="37">
        <f t="shared" si="16"/>
        <v>40</v>
      </c>
      <c r="T16" s="37">
        <f t="shared" si="19"/>
        <v>1500</v>
      </c>
      <c r="U16" s="37">
        <f t="shared" si="20"/>
        <v>4350</v>
      </c>
      <c r="V16" s="37">
        <f t="shared" si="21"/>
        <v>3690</v>
      </c>
      <c r="W16" s="37">
        <f t="shared" si="22"/>
        <v>4640</v>
      </c>
      <c r="X16" s="37">
        <f t="shared" si="23"/>
        <v>3480</v>
      </c>
      <c r="Y16" s="37">
        <f t="shared" si="24"/>
        <v>3580</v>
      </c>
      <c r="Z16" s="37">
        <f t="shared" si="25"/>
        <v>2300</v>
      </c>
      <c r="AA16" s="37">
        <f t="shared" si="26"/>
        <v>2520</v>
      </c>
      <c r="AB16" s="37">
        <f t="shared" si="27"/>
        <v>6780</v>
      </c>
      <c r="AC16" s="37">
        <f t="shared" si="28"/>
        <v>6950</v>
      </c>
      <c r="AD16" s="35">
        <f t="shared" si="29"/>
        <v>52320</v>
      </c>
      <c r="AF16" s="20">
        <f t="shared" si="1"/>
        <v>2.6</v>
      </c>
      <c r="AG16" s="20">
        <f t="shared" si="2"/>
        <v>59.85</v>
      </c>
      <c r="AH16" s="20">
        <f t="shared" si="3"/>
        <v>0.2</v>
      </c>
      <c r="AI16" s="20">
        <f t="shared" si="4"/>
        <v>7.5</v>
      </c>
      <c r="AJ16" s="20">
        <f t="shared" si="5"/>
        <v>21.75</v>
      </c>
      <c r="AK16" s="20">
        <f t="shared" si="6"/>
        <v>18.45</v>
      </c>
      <c r="AL16" s="20">
        <f t="shared" si="7"/>
        <v>23.2</v>
      </c>
      <c r="AM16" s="20">
        <f t="shared" si="8"/>
        <v>17.400000000000002</v>
      </c>
      <c r="AN16" s="20">
        <f t="shared" si="9"/>
        <v>17.900000000000002</v>
      </c>
      <c r="AO16" s="20">
        <f t="shared" si="10"/>
        <v>11.5</v>
      </c>
      <c r="AP16" s="20">
        <f t="shared" si="11"/>
        <v>12.6</v>
      </c>
      <c r="AQ16" s="20">
        <f t="shared" si="12"/>
        <v>33.9</v>
      </c>
      <c r="AR16" s="20">
        <f t="shared" si="13"/>
        <v>34.75</v>
      </c>
      <c r="AS16" s="35">
        <f t="shared" si="30"/>
        <v>261.60000000000002</v>
      </c>
      <c r="AU16" s="47">
        <v>633535</v>
      </c>
      <c r="AV16" s="37">
        <f t="shared" si="31"/>
        <v>1234</v>
      </c>
      <c r="AW16" s="35">
        <f t="shared" si="14"/>
        <v>2.468</v>
      </c>
    </row>
    <row r="17" spans="1:49" x14ac:dyDescent="0.25">
      <c r="A17" s="23">
        <v>44662</v>
      </c>
      <c r="B17" s="40">
        <v>49</v>
      </c>
      <c r="C17" s="24">
        <v>7832460</v>
      </c>
      <c r="D17" s="24">
        <v>18422140</v>
      </c>
      <c r="E17" s="24">
        <v>3201370</v>
      </c>
      <c r="F17" s="24">
        <v>3977630</v>
      </c>
      <c r="G17" s="24">
        <v>11825300</v>
      </c>
      <c r="H17" s="24">
        <v>6713010</v>
      </c>
      <c r="I17" s="24">
        <v>5864160</v>
      </c>
      <c r="J17" s="24">
        <v>7266690</v>
      </c>
      <c r="K17" s="24">
        <v>10808830</v>
      </c>
      <c r="L17" s="24">
        <v>4628410</v>
      </c>
      <c r="M17" s="24">
        <v>8862530</v>
      </c>
      <c r="N17" s="24">
        <v>14236490</v>
      </c>
      <c r="O17" s="24">
        <v>19899570</v>
      </c>
      <c r="Q17" s="37">
        <f t="shared" si="17"/>
        <v>520</v>
      </c>
      <c r="R17" s="37">
        <f t="shared" si="18"/>
        <v>12470</v>
      </c>
      <c r="S17" s="37">
        <f t="shared" si="16"/>
        <v>30</v>
      </c>
      <c r="T17" s="37">
        <f t="shared" si="19"/>
        <v>1530</v>
      </c>
      <c r="U17" s="37">
        <f t="shared" si="20"/>
        <v>4560</v>
      </c>
      <c r="V17" s="37">
        <f t="shared" si="21"/>
        <v>3740</v>
      </c>
      <c r="W17" s="37">
        <f t="shared" si="22"/>
        <v>4650</v>
      </c>
      <c r="X17" s="37">
        <f t="shared" si="23"/>
        <v>3590</v>
      </c>
      <c r="Y17" s="37">
        <f t="shared" si="24"/>
        <v>3710</v>
      </c>
      <c r="Z17" s="37">
        <f t="shared" si="25"/>
        <v>2350</v>
      </c>
      <c r="AA17" s="37">
        <f t="shared" si="26"/>
        <v>2570</v>
      </c>
      <c r="AB17" s="37">
        <f t="shared" si="27"/>
        <v>6700</v>
      </c>
      <c r="AC17" s="37">
        <f t="shared" si="28"/>
        <v>7130</v>
      </c>
      <c r="AD17" s="35">
        <f t="shared" si="29"/>
        <v>53550</v>
      </c>
      <c r="AF17" s="20">
        <f t="shared" si="1"/>
        <v>2.6</v>
      </c>
      <c r="AG17" s="20">
        <f t="shared" si="2"/>
        <v>62.35</v>
      </c>
      <c r="AH17" s="20">
        <f t="shared" si="3"/>
        <v>0.15</v>
      </c>
      <c r="AI17" s="20">
        <f t="shared" si="4"/>
        <v>7.65</v>
      </c>
      <c r="AJ17" s="20">
        <f t="shared" si="5"/>
        <v>22.8</v>
      </c>
      <c r="AK17" s="20">
        <f t="shared" si="6"/>
        <v>18.7</v>
      </c>
      <c r="AL17" s="20">
        <f t="shared" si="7"/>
        <v>23.25</v>
      </c>
      <c r="AM17" s="20">
        <f t="shared" si="8"/>
        <v>17.95</v>
      </c>
      <c r="AN17" s="20">
        <f t="shared" si="9"/>
        <v>18.55</v>
      </c>
      <c r="AO17" s="20">
        <f t="shared" si="10"/>
        <v>11.75</v>
      </c>
      <c r="AP17" s="20">
        <f t="shared" si="11"/>
        <v>12.85</v>
      </c>
      <c r="AQ17" s="20">
        <f t="shared" si="12"/>
        <v>33.5</v>
      </c>
      <c r="AR17" s="20">
        <f t="shared" si="13"/>
        <v>35.65</v>
      </c>
      <c r="AS17" s="35">
        <f t="shared" si="30"/>
        <v>267.75</v>
      </c>
      <c r="AU17" s="47">
        <v>634749</v>
      </c>
      <c r="AV17" s="37">
        <f t="shared" si="31"/>
        <v>1214</v>
      </c>
      <c r="AW17" s="35">
        <f t="shared" si="14"/>
        <v>2.4279999999999999</v>
      </c>
    </row>
    <row r="18" spans="1:49" x14ac:dyDescent="0.25">
      <c r="A18" s="23">
        <v>44663</v>
      </c>
      <c r="B18" s="40">
        <v>60</v>
      </c>
      <c r="C18" s="24">
        <v>7832980</v>
      </c>
      <c r="D18" s="24">
        <v>18434760</v>
      </c>
      <c r="E18" s="24">
        <v>3201370</v>
      </c>
      <c r="F18" s="24">
        <v>3979160</v>
      </c>
      <c r="G18" s="24">
        <v>11829880</v>
      </c>
      <c r="H18" s="24">
        <v>6716850</v>
      </c>
      <c r="I18" s="24">
        <v>5868650</v>
      </c>
      <c r="J18" s="24">
        <v>7270310</v>
      </c>
      <c r="K18" s="24">
        <v>10812500</v>
      </c>
      <c r="L18" s="24">
        <v>4630780</v>
      </c>
      <c r="M18" s="24">
        <v>8865190</v>
      </c>
      <c r="N18" s="24">
        <v>14242950</v>
      </c>
      <c r="O18" s="24">
        <v>19906750</v>
      </c>
      <c r="Q18" s="37">
        <f t="shared" si="17"/>
        <v>520</v>
      </c>
      <c r="R18" s="37">
        <f t="shared" si="18"/>
        <v>12620</v>
      </c>
      <c r="S18" s="37">
        <f t="shared" si="16"/>
        <v>0</v>
      </c>
      <c r="T18" s="37">
        <f t="shared" si="19"/>
        <v>1530</v>
      </c>
      <c r="U18" s="37">
        <f t="shared" si="20"/>
        <v>4580</v>
      </c>
      <c r="V18" s="37">
        <f t="shared" si="21"/>
        <v>3840</v>
      </c>
      <c r="W18" s="37">
        <f t="shared" si="22"/>
        <v>4490</v>
      </c>
      <c r="X18" s="37">
        <f t="shared" si="23"/>
        <v>3620</v>
      </c>
      <c r="Y18" s="37">
        <f t="shared" si="24"/>
        <v>3670</v>
      </c>
      <c r="Z18" s="37">
        <f t="shared" si="25"/>
        <v>2370</v>
      </c>
      <c r="AA18" s="37">
        <f t="shared" si="26"/>
        <v>2660</v>
      </c>
      <c r="AB18" s="37">
        <f t="shared" si="27"/>
        <v>6460</v>
      </c>
      <c r="AC18" s="37">
        <f t="shared" si="28"/>
        <v>7180</v>
      </c>
      <c r="AD18" s="35">
        <f t="shared" si="29"/>
        <v>53540</v>
      </c>
      <c r="AF18" s="20">
        <f t="shared" si="1"/>
        <v>2.6</v>
      </c>
      <c r="AG18" s="20">
        <f t="shared" si="2"/>
        <v>63.1</v>
      </c>
      <c r="AH18" s="20">
        <f t="shared" si="3"/>
        <v>0</v>
      </c>
      <c r="AI18" s="20">
        <f t="shared" si="4"/>
        <v>7.65</v>
      </c>
      <c r="AJ18" s="20">
        <f t="shared" si="5"/>
        <v>22.900000000000002</v>
      </c>
      <c r="AK18" s="20">
        <f t="shared" si="6"/>
        <v>19.2</v>
      </c>
      <c r="AL18" s="20">
        <f t="shared" si="7"/>
        <v>22.45</v>
      </c>
      <c r="AM18" s="20">
        <f t="shared" si="8"/>
        <v>18.100000000000001</v>
      </c>
      <c r="AN18" s="20">
        <f t="shared" si="9"/>
        <v>18.350000000000001</v>
      </c>
      <c r="AO18" s="20">
        <f t="shared" si="10"/>
        <v>11.85</v>
      </c>
      <c r="AP18" s="20">
        <f t="shared" si="11"/>
        <v>13.3</v>
      </c>
      <c r="AQ18" s="20">
        <f t="shared" si="12"/>
        <v>32.299999999999997</v>
      </c>
      <c r="AR18" s="20">
        <f t="shared" si="13"/>
        <v>35.9</v>
      </c>
      <c r="AS18" s="35">
        <f t="shared" si="30"/>
        <v>267.7</v>
      </c>
      <c r="AU18" s="47">
        <v>636574</v>
      </c>
      <c r="AV18" s="37">
        <f t="shared" si="31"/>
        <v>1825</v>
      </c>
      <c r="AW18" s="35">
        <f t="shared" si="14"/>
        <v>3.65</v>
      </c>
    </row>
    <row r="19" spans="1:49" x14ac:dyDescent="0.25">
      <c r="A19" s="23">
        <v>44664</v>
      </c>
      <c r="B19" s="40">
        <v>71</v>
      </c>
      <c r="C19" s="24">
        <v>7833520</v>
      </c>
      <c r="D19" s="24">
        <v>18447610</v>
      </c>
      <c r="E19" s="24">
        <v>3201370</v>
      </c>
      <c r="F19" s="24">
        <v>3980730</v>
      </c>
      <c r="G19" s="24">
        <v>11834440</v>
      </c>
      <c r="H19" s="24">
        <v>6720790</v>
      </c>
      <c r="I19" s="24">
        <v>5873250</v>
      </c>
      <c r="J19" s="24">
        <v>7273910</v>
      </c>
      <c r="K19" s="24">
        <v>10816380</v>
      </c>
      <c r="L19" s="24">
        <v>4633150</v>
      </c>
      <c r="M19" s="24">
        <v>8867860</v>
      </c>
      <c r="N19" s="24">
        <v>14249900</v>
      </c>
      <c r="O19" s="24">
        <v>19914420</v>
      </c>
      <c r="Q19" s="37">
        <f t="shared" si="17"/>
        <v>540</v>
      </c>
      <c r="R19" s="37">
        <f t="shared" si="18"/>
        <v>12850</v>
      </c>
      <c r="S19" s="37">
        <f t="shared" si="16"/>
        <v>0</v>
      </c>
      <c r="T19" s="37">
        <f t="shared" si="19"/>
        <v>1570</v>
      </c>
      <c r="U19" s="37">
        <f t="shared" si="20"/>
        <v>4560</v>
      </c>
      <c r="V19" s="37">
        <f t="shared" si="21"/>
        <v>3940</v>
      </c>
      <c r="W19" s="37">
        <f t="shared" si="22"/>
        <v>4600</v>
      </c>
      <c r="X19" s="37">
        <f t="shared" si="23"/>
        <v>3600</v>
      </c>
      <c r="Y19" s="37">
        <f t="shared" si="24"/>
        <v>3880</v>
      </c>
      <c r="Z19" s="37">
        <f t="shared" si="25"/>
        <v>2370</v>
      </c>
      <c r="AA19" s="37">
        <f t="shared" si="26"/>
        <v>2670</v>
      </c>
      <c r="AB19" s="37">
        <f t="shared" si="27"/>
        <v>6950</v>
      </c>
      <c r="AC19" s="37">
        <f t="shared" si="28"/>
        <v>7670</v>
      </c>
      <c r="AD19" s="35">
        <f t="shared" si="29"/>
        <v>55200</v>
      </c>
      <c r="AF19" s="20">
        <f t="shared" si="1"/>
        <v>2.7</v>
      </c>
      <c r="AG19" s="20">
        <f t="shared" si="2"/>
        <v>64.25</v>
      </c>
      <c r="AH19" s="20">
        <f t="shared" si="3"/>
        <v>0</v>
      </c>
      <c r="AI19" s="20">
        <f t="shared" si="4"/>
        <v>7.8500000000000005</v>
      </c>
      <c r="AJ19" s="20">
        <f t="shared" si="5"/>
        <v>22.8</v>
      </c>
      <c r="AK19" s="20">
        <f t="shared" si="6"/>
        <v>19.7</v>
      </c>
      <c r="AL19" s="20">
        <f t="shared" si="7"/>
        <v>23</v>
      </c>
      <c r="AM19" s="20">
        <f t="shared" si="8"/>
        <v>18</v>
      </c>
      <c r="AN19" s="20">
        <f t="shared" si="9"/>
        <v>19.400000000000002</v>
      </c>
      <c r="AO19" s="20">
        <f t="shared" si="10"/>
        <v>11.85</v>
      </c>
      <c r="AP19" s="20">
        <f t="shared" si="11"/>
        <v>13.35</v>
      </c>
      <c r="AQ19" s="20">
        <f t="shared" si="12"/>
        <v>34.75</v>
      </c>
      <c r="AR19" s="20">
        <f t="shared" si="13"/>
        <v>38.35</v>
      </c>
      <c r="AS19" s="35">
        <f t="shared" si="30"/>
        <v>276</v>
      </c>
      <c r="AU19" s="47">
        <v>637599</v>
      </c>
      <c r="AV19" s="37">
        <f t="shared" si="31"/>
        <v>1025</v>
      </c>
      <c r="AW19" s="35">
        <f t="shared" si="14"/>
        <v>2.0499999999999998</v>
      </c>
    </row>
    <row r="20" spans="1:49" x14ac:dyDescent="0.25">
      <c r="A20" s="23">
        <v>44665</v>
      </c>
      <c r="B20" s="40">
        <v>62</v>
      </c>
      <c r="C20" s="24">
        <v>7834030</v>
      </c>
      <c r="D20" s="24">
        <v>18460060</v>
      </c>
      <c r="E20" s="24">
        <v>3201370</v>
      </c>
      <c r="F20" s="24">
        <v>3982240</v>
      </c>
      <c r="G20" s="24">
        <v>11839000</v>
      </c>
      <c r="H20" s="24">
        <v>6724660</v>
      </c>
      <c r="I20" s="24">
        <v>5877860</v>
      </c>
      <c r="J20" s="24">
        <v>7277440</v>
      </c>
      <c r="K20" s="24">
        <v>10819940</v>
      </c>
      <c r="L20" s="24">
        <v>4635430</v>
      </c>
      <c r="M20" s="24">
        <v>8870510</v>
      </c>
      <c r="N20" s="24">
        <v>14256770</v>
      </c>
      <c r="O20" s="24">
        <v>19921820</v>
      </c>
      <c r="Q20" s="37">
        <f t="shared" si="17"/>
        <v>510</v>
      </c>
      <c r="R20" s="37">
        <f t="shared" si="18"/>
        <v>12450</v>
      </c>
      <c r="S20" s="37">
        <f t="shared" si="16"/>
        <v>0</v>
      </c>
      <c r="T20" s="37">
        <f t="shared" si="19"/>
        <v>1510</v>
      </c>
      <c r="U20" s="37">
        <f t="shared" si="20"/>
        <v>4560</v>
      </c>
      <c r="V20" s="37">
        <f t="shared" si="21"/>
        <v>3870</v>
      </c>
      <c r="W20" s="37">
        <f t="shared" si="22"/>
        <v>4610</v>
      </c>
      <c r="X20" s="37">
        <f t="shared" si="23"/>
        <v>3530</v>
      </c>
      <c r="Y20" s="37">
        <f t="shared" si="24"/>
        <v>3560</v>
      </c>
      <c r="Z20" s="37">
        <f t="shared" si="25"/>
        <v>2280</v>
      </c>
      <c r="AA20" s="37">
        <f t="shared" si="26"/>
        <v>2650</v>
      </c>
      <c r="AB20" s="37">
        <f t="shared" si="27"/>
        <v>6870</v>
      </c>
      <c r="AC20" s="37">
        <f t="shared" si="28"/>
        <v>7400</v>
      </c>
      <c r="AD20" s="35">
        <f t="shared" si="29"/>
        <v>53800</v>
      </c>
      <c r="AF20" s="20">
        <f t="shared" si="1"/>
        <v>2.5500000000000003</v>
      </c>
      <c r="AG20" s="20">
        <f t="shared" si="2"/>
        <v>62.25</v>
      </c>
      <c r="AH20" s="20">
        <f t="shared" si="3"/>
        <v>0</v>
      </c>
      <c r="AI20" s="20">
        <f t="shared" si="4"/>
        <v>7.55</v>
      </c>
      <c r="AJ20" s="20">
        <f t="shared" si="5"/>
        <v>22.8</v>
      </c>
      <c r="AK20" s="20">
        <f t="shared" si="6"/>
        <v>19.350000000000001</v>
      </c>
      <c r="AL20" s="20">
        <f t="shared" si="7"/>
        <v>23.05</v>
      </c>
      <c r="AM20" s="20">
        <f t="shared" si="8"/>
        <v>17.650000000000002</v>
      </c>
      <c r="AN20" s="20">
        <f t="shared" si="9"/>
        <v>17.8</v>
      </c>
      <c r="AO20" s="20">
        <f t="shared" si="10"/>
        <v>11.4</v>
      </c>
      <c r="AP20" s="20">
        <f t="shared" si="11"/>
        <v>13.25</v>
      </c>
      <c r="AQ20" s="20">
        <f t="shared" si="12"/>
        <v>34.35</v>
      </c>
      <c r="AR20" s="20">
        <f t="shared" si="13"/>
        <v>37</v>
      </c>
      <c r="AS20" s="35">
        <f t="shared" si="30"/>
        <v>269</v>
      </c>
      <c r="AU20" s="47">
        <v>639732</v>
      </c>
      <c r="AV20" s="37">
        <f t="shared" si="31"/>
        <v>2133</v>
      </c>
      <c r="AW20" s="35">
        <f t="shared" si="14"/>
        <v>4.266</v>
      </c>
    </row>
    <row r="21" spans="1:49" x14ac:dyDescent="0.25">
      <c r="A21" s="23">
        <v>44666</v>
      </c>
      <c r="B21" s="40">
        <v>59</v>
      </c>
      <c r="C21" s="24">
        <v>7834570</v>
      </c>
      <c r="D21" s="24">
        <v>18473640</v>
      </c>
      <c r="E21" s="24">
        <v>3201370</v>
      </c>
      <c r="F21" s="24">
        <v>3983810</v>
      </c>
      <c r="G21" s="24">
        <v>11843880</v>
      </c>
      <c r="H21" s="24">
        <v>6728730</v>
      </c>
      <c r="I21" s="24">
        <v>5882950</v>
      </c>
      <c r="J21" s="24">
        <v>7281090</v>
      </c>
      <c r="K21" s="24">
        <v>10823840</v>
      </c>
      <c r="L21" s="24">
        <v>4637850</v>
      </c>
      <c r="M21" s="24">
        <v>8873370</v>
      </c>
      <c r="N21" s="24">
        <v>14264030</v>
      </c>
      <c r="O21" s="24">
        <v>19929560</v>
      </c>
      <c r="Q21" s="37">
        <f t="shared" si="17"/>
        <v>540</v>
      </c>
      <c r="R21" s="37">
        <f t="shared" si="18"/>
        <v>13580</v>
      </c>
      <c r="S21" s="37">
        <f t="shared" si="16"/>
        <v>0</v>
      </c>
      <c r="T21" s="37">
        <f t="shared" si="19"/>
        <v>1570</v>
      </c>
      <c r="U21" s="37">
        <f t="shared" si="20"/>
        <v>4880</v>
      </c>
      <c r="V21" s="37">
        <f t="shared" si="21"/>
        <v>4070</v>
      </c>
      <c r="W21" s="37">
        <f t="shared" si="22"/>
        <v>5090</v>
      </c>
      <c r="X21" s="37">
        <f t="shared" si="23"/>
        <v>3650</v>
      </c>
      <c r="Y21" s="37">
        <f t="shared" si="24"/>
        <v>3900</v>
      </c>
      <c r="Z21" s="37">
        <f t="shared" si="25"/>
        <v>2420</v>
      </c>
      <c r="AA21" s="37">
        <f t="shared" si="26"/>
        <v>2860</v>
      </c>
      <c r="AB21" s="37">
        <f t="shared" si="27"/>
        <v>7260</v>
      </c>
      <c r="AC21" s="37">
        <f t="shared" si="28"/>
        <v>7740</v>
      </c>
      <c r="AD21" s="35">
        <f t="shared" si="29"/>
        <v>57560</v>
      </c>
      <c r="AF21" s="20">
        <f t="shared" si="1"/>
        <v>2.7</v>
      </c>
      <c r="AG21" s="20">
        <f t="shared" si="2"/>
        <v>67.900000000000006</v>
      </c>
      <c r="AH21" s="20">
        <f t="shared" si="3"/>
        <v>0</v>
      </c>
      <c r="AI21" s="20">
        <f t="shared" si="4"/>
        <v>7.8500000000000005</v>
      </c>
      <c r="AJ21" s="20">
        <f t="shared" si="5"/>
        <v>24.400000000000002</v>
      </c>
      <c r="AK21" s="20">
        <f t="shared" si="6"/>
        <v>20.350000000000001</v>
      </c>
      <c r="AL21" s="20">
        <f t="shared" si="7"/>
        <v>25.45</v>
      </c>
      <c r="AM21" s="20">
        <f t="shared" si="8"/>
        <v>18.25</v>
      </c>
      <c r="AN21" s="20">
        <f t="shared" si="9"/>
        <v>19.5</v>
      </c>
      <c r="AO21" s="20">
        <f t="shared" si="10"/>
        <v>12.1</v>
      </c>
      <c r="AP21" s="20">
        <f t="shared" si="11"/>
        <v>14.3</v>
      </c>
      <c r="AQ21" s="20">
        <f t="shared" si="12"/>
        <v>36.300000000000004</v>
      </c>
      <c r="AR21" s="20">
        <f t="shared" si="13"/>
        <v>38.700000000000003</v>
      </c>
      <c r="AS21" s="35">
        <f t="shared" si="30"/>
        <v>287.8</v>
      </c>
      <c r="AU21" s="47">
        <v>641133</v>
      </c>
      <c r="AV21" s="37">
        <f t="shared" si="31"/>
        <v>1401</v>
      </c>
      <c r="AW21" s="35">
        <f t="shared" si="14"/>
        <v>2.802</v>
      </c>
    </row>
    <row r="22" spans="1:49" x14ac:dyDescent="0.25">
      <c r="A22" s="23">
        <v>44667</v>
      </c>
      <c r="B22" s="40">
        <v>48</v>
      </c>
      <c r="C22" s="24">
        <v>7835080</v>
      </c>
      <c r="D22" s="24">
        <v>18486180</v>
      </c>
      <c r="E22" s="24">
        <v>3201370</v>
      </c>
      <c r="F22" s="24">
        <v>3985310</v>
      </c>
      <c r="G22" s="24">
        <v>11848400</v>
      </c>
      <c r="H22" s="24">
        <v>6732590</v>
      </c>
      <c r="I22" s="24">
        <v>5887360</v>
      </c>
      <c r="J22" s="44">
        <v>7284810</v>
      </c>
      <c r="K22" s="24">
        <v>10827540</v>
      </c>
      <c r="L22" s="24">
        <v>4640160</v>
      </c>
      <c r="M22" s="24">
        <v>8876080</v>
      </c>
      <c r="N22" s="24">
        <v>14270780</v>
      </c>
      <c r="O22" s="44">
        <v>19937010</v>
      </c>
      <c r="Q22" s="37">
        <f t="shared" si="17"/>
        <v>510</v>
      </c>
      <c r="R22" s="37">
        <f t="shared" si="18"/>
        <v>12540</v>
      </c>
      <c r="S22" s="37">
        <f t="shared" si="16"/>
        <v>0</v>
      </c>
      <c r="T22" s="37">
        <f t="shared" si="19"/>
        <v>1500</v>
      </c>
      <c r="U22" s="37">
        <f t="shared" si="20"/>
        <v>4520</v>
      </c>
      <c r="V22" s="37">
        <f t="shared" si="21"/>
        <v>3860</v>
      </c>
      <c r="W22" s="37">
        <f t="shared" si="22"/>
        <v>4410</v>
      </c>
      <c r="X22" s="37">
        <f t="shared" si="23"/>
        <v>3720</v>
      </c>
      <c r="Y22" s="37">
        <f t="shared" si="24"/>
        <v>3700</v>
      </c>
      <c r="Z22" s="37">
        <f t="shared" si="25"/>
        <v>2310</v>
      </c>
      <c r="AA22" s="37">
        <f t="shared" si="26"/>
        <v>2710</v>
      </c>
      <c r="AB22" s="37">
        <f t="shared" si="27"/>
        <v>6750</v>
      </c>
      <c r="AC22" s="37">
        <f t="shared" si="28"/>
        <v>7450</v>
      </c>
      <c r="AD22" s="35">
        <f t="shared" si="29"/>
        <v>53980</v>
      </c>
      <c r="AF22" s="20">
        <f t="shared" si="1"/>
        <v>2.5500000000000003</v>
      </c>
      <c r="AG22" s="20">
        <f t="shared" si="2"/>
        <v>62.7</v>
      </c>
      <c r="AH22" s="20">
        <f t="shared" si="3"/>
        <v>0</v>
      </c>
      <c r="AI22" s="20">
        <f t="shared" si="4"/>
        <v>7.5</v>
      </c>
      <c r="AJ22" s="20">
        <f t="shared" si="5"/>
        <v>22.6</v>
      </c>
      <c r="AK22" s="20">
        <f t="shared" si="6"/>
        <v>19.3</v>
      </c>
      <c r="AL22" s="20">
        <f t="shared" si="7"/>
        <v>22.05</v>
      </c>
      <c r="AM22" s="20">
        <f t="shared" si="8"/>
        <v>18.600000000000001</v>
      </c>
      <c r="AN22" s="20">
        <f t="shared" si="9"/>
        <v>18.5</v>
      </c>
      <c r="AO22" s="20">
        <f t="shared" si="10"/>
        <v>11.55</v>
      </c>
      <c r="AP22" s="20">
        <f t="shared" si="11"/>
        <v>13.55</v>
      </c>
      <c r="AQ22" s="20">
        <f t="shared" si="12"/>
        <v>33.75</v>
      </c>
      <c r="AR22" s="20">
        <f t="shared" si="13"/>
        <v>37.25</v>
      </c>
      <c r="AS22" s="35">
        <f t="shared" si="30"/>
        <v>269.89999999999998</v>
      </c>
      <c r="AU22" s="47">
        <v>642366</v>
      </c>
      <c r="AV22" s="37">
        <f t="shared" si="31"/>
        <v>1233</v>
      </c>
      <c r="AW22" s="35">
        <f t="shared" si="14"/>
        <v>2.4660000000000002</v>
      </c>
    </row>
    <row r="23" spans="1:49" x14ac:dyDescent="0.25">
      <c r="A23" s="23">
        <v>44668</v>
      </c>
      <c r="B23" s="40">
        <v>40</v>
      </c>
      <c r="C23" s="24">
        <v>7835590</v>
      </c>
      <c r="D23" s="24">
        <v>18499040</v>
      </c>
      <c r="E23" s="24">
        <v>3201370</v>
      </c>
      <c r="F23" s="24">
        <v>3986820</v>
      </c>
      <c r="G23" s="24">
        <v>11852910</v>
      </c>
      <c r="H23" s="24">
        <v>6736420</v>
      </c>
      <c r="I23" s="24">
        <v>5892090</v>
      </c>
      <c r="J23" s="24">
        <v>7288380</v>
      </c>
      <c r="K23" s="24">
        <v>10831260</v>
      </c>
      <c r="L23" s="24">
        <v>4642450</v>
      </c>
      <c r="M23" s="24">
        <v>8878850</v>
      </c>
      <c r="N23" s="24">
        <v>14277780</v>
      </c>
      <c r="O23" s="24">
        <v>19944430</v>
      </c>
      <c r="Q23" s="37">
        <f t="shared" si="17"/>
        <v>510</v>
      </c>
      <c r="R23" s="37">
        <f t="shared" si="18"/>
        <v>12860</v>
      </c>
      <c r="S23" s="37">
        <f t="shared" si="16"/>
        <v>0</v>
      </c>
      <c r="T23" s="37">
        <f t="shared" si="19"/>
        <v>1510</v>
      </c>
      <c r="U23" s="37">
        <f t="shared" si="20"/>
        <v>4510</v>
      </c>
      <c r="V23" s="37">
        <f t="shared" si="21"/>
        <v>3830</v>
      </c>
      <c r="W23" s="37">
        <f t="shared" si="22"/>
        <v>4730</v>
      </c>
      <c r="X23" s="37">
        <f t="shared" si="23"/>
        <v>3570</v>
      </c>
      <c r="Y23" s="37">
        <f t="shared" si="24"/>
        <v>3720</v>
      </c>
      <c r="Z23" s="37">
        <f t="shared" si="25"/>
        <v>2290</v>
      </c>
      <c r="AA23" s="37">
        <f t="shared" si="26"/>
        <v>2770</v>
      </c>
      <c r="AB23" s="37">
        <f t="shared" si="27"/>
        <v>7000</v>
      </c>
      <c r="AC23" s="37">
        <f t="shared" si="28"/>
        <v>7420</v>
      </c>
      <c r="AD23" s="35">
        <f t="shared" si="29"/>
        <v>54720</v>
      </c>
      <c r="AF23" s="20">
        <f t="shared" si="1"/>
        <v>2.5500000000000003</v>
      </c>
      <c r="AG23" s="20">
        <f t="shared" si="2"/>
        <v>64.3</v>
      </c>
      <c r="AH23" s="20">
        <f t="shared" si="3"/>
        <v>0</v>
      </c>
      <c r="AI23" s="20">
        <f t="shared" si="4"/>
        <v>7.55</v>
      </c>
      <c r="AJ23" s="20">
        <f t="shared" si="5"/>
        <v>22.55</v>
      </c>
      <c r="AK23" s="20">
        <f t="shared" si="6"/>
        <v>19.150000000000002</v>
      </c>
      <c r="AL23" s="20">
        <f t="shared" si="7"/>
        <v>23.650000000000002</v>
      </c>
      <c r="AM23" s="20">
        <f t="shared" si="8"/>
        <v>17.850000000000001</v>
      </c>
      <c r="AN23" s="20">
        <f t="shared" si="9"/>
        <v>18.600000000000001</v>
      </c>
      <c r="AO23" s="20">
        <f t="shared" si="10"/>
        <v>11.450000000000001</v>
      </c>
      <c r="AP23" s="20">
        <f t="shared" si="11"/>
        <v>13.85</v>
      </c>
      <c r="AQ23" s="20">
        <f t="shared" si="12"/>
        <v>35</v>
      </c>
      <c r="AR23" s="20">
        <f t="shared" si="13"/>
        <v>37.1</v>
      </c>
      <c r="AS23" s="35">
        <f t="shared" si="30"/>
        <v>273.59999999999997</v>
      </c>
      <c r="AU23" s="47">
        <v>644224</v>
      </c>
      <c r="AV23" s="37">
        <f t="shared" si="31"/>
        <v>1858</v>
      </c>
      <c r="AW23" s="35">
        <f t="shared" si="14"/>
        <v>3.7160000000000002</v>
      </c>
    </row>
    <row r="24" spans="1:49" x14ac:dyDescent="0.25">
      <c r="A24" s="23">
        <v>44669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 t="str">
        <f t="shared" si="17"/>
        <v>0</v>
      </c>
      <c r="R24" s="37" t="str">
        <f t="shared" si="18"/>
        <v>0</v>
      </c>
      <c r="S24" s="37" t="str">
        <f t="shared" si="16"/>
        <v>0</v>
      </c>
      <c r="T24" s="37" t="str">
        <f t="shared" si="19"/>
        <v>0</v>
      </c>
      <c r="U24" s="37" t="str">
        <f t="shared" si="20"/>
        <v>0</v>
      </c>
      <c r="V24" s="37" t="str">
        <f t="shared" si="21"/>
        <v>0</v>
      </c>
      <c r="W24" s="37" t="str">
        <f t="shared" si="22"/>
        <v>0</v>
      </c>
      <c r="X24" s="37" t="str">
        <f t="shared" si="23"/>
        <v>0</v>
      </c>
      <c r="Y24" s="37" t="str">
        <f t="shared" si="24"/>
        <v>0</v>
      </c>
      <c r="Z24" s="37" t="str">
        <f t="shared" si="25"/>
        <v>0</v>
      </c>
      <c r="AA24" s="37" t="str">
        <f t="shared" si="26"/>
        <v>0</v>
      </c>
      <c r="AB24" s="37" t="str">
        <f t="shared" si="27"/>
        <v>0</v>
      </c>
      <c r="AC24" s="37" t="str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47"/>
      <c r="AV24" s="37" t="str">
        <f t="shared" si="31"/>
        <v>0</v>
      </c>
      <c r="AW24" s="35">
        <f t="shared" si="14"/>
        <v>0</v>
      </c>
    </row>
    <row r="25" spans="1:49" x14ac:dyDescent="0.25">
      <c r="A25" s="23">
        <v>44670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18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47"/>
      <c r="AV25" s="37">
        <f t="shared" si="31"/>
        <v>0</v>
      </c>
      <c r="AW25" s="35">
        <f t="shared" si="14"/>
        <v>0</v>
      </c>
    </row>
    <row r="26" spans="1:49" x14ac:dyDescent="0.25">
      <c r="A26" s="23">
        <v>44671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18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>
        <f t="shared" si="31"/>
        <v>0</v>
      </c>
      <c r="AW26" s="35">
        <f t="shared" si="14"/>
        <v>0</v>
      </c>
    </row>
    <row r="27" spans="1:49" x14ac:dyDescent="0.25">
      <c r="A27" s="23">
        <v>44672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18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44673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44674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>IF((AU29-AU28&lt;0),"0",AU29-AU28)</f>
        <v>0</v>
      </c>
      <c r="AW29" s="35">
        <f t="shared" si="14"/>
        <v>0</v>
      </c>
    </row>
    <row r="30" spans="1:49" x14ac:dyDescent="0.25">
      <c r="A30" s="23">
        <v>44675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ref="AV30:AV35" si="34">IF((AU30-AU29&lt;0),"0",AU30-AU29)</f>
        <v>0</v>
      </c>
      <c r="AW30" s="35">
        <f t="shared" si="14"/>
        <v>0</v>
      </c>
    </row>
    <row r="31" spans="1:49" x14ac:dyDescent="0.25">
      <c r="A31" s="23">
        <v>44676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44677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44678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44679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44680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44681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si="18"/>
        <v>0</v>
      </c>
      <c r="S37" s="37">
        <f t="shared" ref="S37" si="39">IF((E37-E36&lt;0), "0",E37-E36)</f>
        <v>0</v>
      </c>
      <c r="T37" s="37">
        <f t="shared" ref="T37" si="40">IF((F37-F36&lt;0), "0",F37-F36)</f>
        <v>0</v>
      </c>
      <c r="U37" s="37">
        <f t="shared" ref="U37" si="41">IF((G37-G36&lt;0), "0",G37-G36)</f>
        <v>0</v>
      </c>
      <c r="V37" s="37">
        <f t="shared" ref="V37" si="42">IF((H37-H36&lt;0), "0",H37-H36)</f>
        <v>0</v>
      </c>
      <c r="W37" s="37">
        <f t="shared" ref="W37" si="43">IF((I37-I36&lt;0), "0",I37-I36)</f>
        <v>0</v>
      </c>
      <c r="X37" s="37">
        <f t="shared" si="23"/>
        <v>0</v>
      </c>
      <c r="Y37" s="37">
        <f t="shared" ref="Y37" si="44">IF((K37-K36&lt;0), "0",K37-K36)</f>
        <v>0</v>
      </c>
      <c r="Z37" s="37">
        <f t="shared" ref="Z37" si="45">IF((L37-L36&lt;0), "0",L37-L36)</f>
        <v>0</v>
      </c>
      <c r="AA37" s="37">
        <f t="shared" ref="AA37" si="46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7">Q37*$D$39</f>
        <v>0</v>
      </c>
      <c r="AG37" s="20">
        <f t="shared" ref="AG37" si="48">R37*$D$39</f>
        <v>0</v>
      </c>
      <c r="AH37" s="20">
        <f t="shared" ref="AH37" si="49">S37*$D$39</f>
        <v>0</v>
      </c>
      <c r="AI37" s="20">
        <f t="shared" ref="AI37" si="50">T37*$D$39</f>
        <v>0</v>
      </c>
      <c r="AJ37" s="20">
        <f t="shared" ref="AJ37" si="51">U37*$D$39</f>
        <v>0</v>
      </c>
      <c r="AK37" s="20">
        <f t="shared" ref="AK37" si="52">V37*$D$39</f>
        <v>0</v>
      </c>
      <c r="AL37" s="20">
        <f t="shared" ref="AL37" si="53">W37*$D$39</f>
        <v>0</v>
      </c>
      <c r="AM37" s="20">
        <f t="shared" ref="AM37" si="54">X37*$D$39</f>
        <v>0</v>
      </c>
      <c r="AN37" s="20">
        <f t="shared" ref="AN37" si="55">Y37*$D$39</f>
        <v>0</v>
      </c>
      <c r="AO37" s="20">
        <f t="shared" ref="AO37" si="56">Z37*$D$39</f>
        <v>0</v>
      </c>
      <c r="AP37" s="20">
        <f t="shared" ref="AP37" si="57">AA37*$D$39</f>
        <v>0</v>
      </c>
      <c r="AQ37" s="20">
        <f t="shared" ref="AQ37" si="58">AB37*$D$39</f>
        <v>0</v>
      </c>
      <c r="AR37" s="20">
        <f t="shared" ref="AR37" si="59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8980</v>
      </c>
      <c r="R38" s="38">
        <f t="shared" ref="R38:AD38" si="60">SUM(R7:R37)</f>
        <v>213590</v>
      </c>
      <c r="S38" s="38">
        <f t="shared" si="60"/>
        <v>560</v>
      </c>
      <c r="T38" s="38">
        <f t="shared" si="60"/>
        <v>25780</v>
      </c>
      <c r="U38" s="38">
        <f t="shared" si="60"/>
        <v>77020</v>
      </c>
      <c r="V38" s="38">
        <f t="shared" si="60"/>
        <v>65290</v>
      </c>
      <c r="W38" s="38">
        <f t="shared" si="60"/>
        <v>73100</v>
      </c>
      <c r="X38" s="38">
        <f t="shared" si="60"/>
        <v>62070</v>
      </c>
      <c r="Y38" s="38">
        <f t="shared" si="60"/>
        <v>65240</v>
      </c>
      <c r="Z38" s="38">
        <f t="shared" si="60"/>
        <v>39920</v>
      </c>
      <c r="AA38" s="38">
        <f t="shared" si="60"/>
        <v>45750</v>
      </c>
      <c r="AB38" s="38">
        <f t="shared" si="60"/>
        <v>115750</v>
      </c>
      <c r="AC38" s="38">
        <f t="shared" si="60"/>
        <v>162640</v>
      </c>
      <c r="AD38" s="38">
        <f t="shared" si="60"/>
        <v>955690</v>
      </c>
      <c r="AF38" s="35">
        <f>SUM(AF7:AF37)</f>
        <v>44.9</v>
      </c>
      <c r="AG38" s="35">
        <f t="shared" ref="AG38:AS38" si="61">SUM(AG7:AG37)</f>
        <v>1067.95</v>
      </c>
      <c r="AH38" s="35">
        <f t="shared" si="61"/>
        <v>2.8</v>
      </c>
      <c r="AI38" s="35">
        <f t="shared" si="61"/>
        <v>128.9</v>
      </c>
      <c r="AJ38" s="35">
        <f t="shared" si="61"/>
        <v>385.1</v>
      </c>
      <c r="AK38" s="35">
        <f t="shared" si="61"/>
        <v>326.45</v>
      </c>
      <c r="AL38" s="35">
        <f t="shared" si="61"/>
        <v>365.49999999999994</v>
      </c>
      <c r="AM38" s="35">
        <f t="shared" si="61"/>
        <v>310.35000000000002</v>
      </c>
      <c r="AN38" s="35">
        <f t="shared" si="61"/>
        <v>326.20000000000005</v>
      </c>
      <c r="AO38" s="35">
        <f t="shared" si="61"/>
        <v>199.60000000000002</v>
      </c>
      <c r="AP38" s="35">
        <f t="shared" si="61"/>
        <v>228.75</v>
      </c>
      <c r="AQ38" s="35">
        <f t="shared" si="61"/>
        <v>578.75</v>
      </c>
      <c r="AR38" s="35">
        <f t="shared" si="61"/>
        <v>813.2</v>
      </c>
      <c r="AS38" s="35">
        <f t="shared" si="61"/>
        <v>4778.45</v>
      </c>
      <c r="AU38" s="48"/>
      <c r="AV38" s="34">
        <f>SUM(AV7:AV37)</f>
        <v>26832</v>
      </c>
      <c r="AW38" s="35">
        <f>SUM(AW7:AW37)</f>
        <v>53.663999999999994</v>
      </c>
    </row>
    <row r="39" spans="1:49" x14ac:dyDescent="0.25">
      <c r="D39">
        <v>5.0000000000000001E-3</v>
      </c>
      <c r="AV39" s="36">
        <f>AV38*0.00378541*1000</f>
        <v>101570.12112</v>
      </c>
    </row>
    <row r="40" spans="1:49" x14ac:dyDescent="0.25">
      <c r="D40">
        <v>2E-3</v>
      </c>
      <c r="AV40">
        <f>AV39/31</f>
        <v>3276.45552</v>
      </c>
    </row>
    <row r="41" spans="1:49" x14ac:dyDescent="0.25">
      <c r="AV41">
        <f>AV38*0.00378541</f>
        <v>101.57012112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2022-04-18T14:19:00Z</dcterms:modified>
</cp:coreProperties>
</file>