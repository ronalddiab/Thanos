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M31" i="1" l="1"/>
  <c r="M30" i="1"/>
  <c r="M29" i="1"/>
  <c r="M28" i="1"/>
  <c r="M27" i="1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L31" i="3"/>
  <c r="K31" i="3"/>
  <c r="I31" i="3"/>
  <c r="G31" i="3"/>
  <c r="E31" i="3"/>
  <c r="B31" i="3"/>
  <c r="B32" i="3" s="1"/>
  <c r="J32" i="2"/>
  <c r="I32" i="2"/>
  <c r="H32" i="2"/>
  <c r="F32" i="2"/>
  <c r="E32" i="2"/>
  <c r="J31" i="2"/>
  <c r="I31" i="2"/>
  <c r="H31" i="2"/>
  <c r="F31" i="2"/>
  <c r="E31" i="2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M9" i="1"/>
  <c r="A9" i="1"/>
  <c r="M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<sst xmlns="http://schemas.openxmlformats.org/spreadsheetml/2006/main" count="106" uniqueCount="37">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</sst>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P28" sqref="P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4109</v>
      </c>
      <c r="F24" s="24">
        <v>0.11799999999999999</v>
      </c>
      <c r="G24" s="26">
        <f>(('03 - 2020'!E30-'03 - 2020'!E29)+('03 - 2020'!F30-'03 - 2020'!F29)+('03 - 2020'!G30-'03 - 2020'!G29))*1.81</f>
        <v>46.173099999998747</v>
      </c>
      <c r="H24" s="24">
        <v>0.99</v>
      </c>
      <c r="I24" s="26">
        <f>'03 - 2020'!J30-'03 - 2020'!J29</f>
        <v>7402</v>
      </c>
      <c r="J24" s="24">
        <v>8.1000000000000003E-2</v>
      </c>
      <c r="K24" s="63">
        <f>'03 - 2020'!H30-'03 - 2020'!H29</f>
        <v>0</v>
      </c>
      <c r="L24" s="26">
        <f>'03 - 2020'!I30-'03 - 2020'!I29</f>
        <v>25</v>
      </c>
      <c r="M24" s="25">
        <v>4.393629424766913</v>
      </c>
      <c r="N24" s="52">
        <v>8</v>
      </c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4024</v>
      </c>
      <c r="F25" s="24">
        <v>0.11799999999999999</v>
      </c>
      <c r="G25" s="26">
        <f>(('03 - 2020'!E31-'03 - 2020'!E30)+('03 - 2020'!F31-'03 - 2020'!F30)+('03 - 2020'!G31-'03 - 2020'!G30))*1.81</f>
        <v>61.413300000000525</v>
      </c>
      <c r="H25" s="24">
        <v>0.99</v>
      </c>
      <c r="I25" s="26">
        <f>'03 - 2020'!J31-'03 - 2020'!J30</f>
        <v>5234</v>
      </c>
      <c r="J25" s="24">
        <v>8.1000000000000003E-2</v>
      </c>
      <c r="K25" s="63">
        <f>'03 - 2020'!H31-'03 - 2020'!H30</f>
        <v>0</v>
      </c>
      <c r="L25" s="26">
        <f>'03 - 2020'!I31-'03 - 2020'!I30</f>
        <v>23</v>
      </c>
      <c r="M25" s="25">
        <v>4.393629424766913</v>
      </c>
      <c r="N25" s="52">
        <v>6</v>
      </c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v>0</v>
      </c>
      <c r="F26" s="24">
        <v>0.11799999999999999</v>
      </c>
      <c r="G26" s="26">
        <v>0</v>
      </c>
      <c r="H26" s="24">
        <v>0.99</v>
      </c>
      <c r="I26" s="26">
        <v>0</v>
      </c>
      <c r="J26" s="24">
        <v>8.1000000000000003E-2</v>
      </c>
      <c r="K26" s="63">
        <v>0</v>
      </c>
      <c r="L26" s="26"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0</v>
      </c>
      <c r="F27" s="24">
        <v>0.11799999999999999</v>
      </c>
      <c r="G27" s="26">
        <f>(('03 - 2020'!E33-'03 - 2020'!E32)+('03 - 2020'!F33-'03 - 2020'!F32)+('03 - 2020'!G33-'03 - 2020'!G32))*1.81</f>
        <v>0</v>
      </c>
      <c r="H27" s="24">
        <v>0.99</v>
      </c>
      <c r="I27" s="26">
        <f>'03 - 2020'!J33-'03 - 2020'!J32</f>
        <v>0</v>
      </c>
      <c r="J27" s="24">
        <v>8.1000000000000003E-2</v>
      </c>
      <c r="K27" s="63">
        <f>'03 - 2020'!H33-'03 - 2020'!H32</f>
        <v>0</v>
      </c>
      <c r="L27" s="26">
        <f>'03 - 2020'!I33-'03 - 2020'!I32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0</v>
      </c>
      <c r="F28" s="24">
        <v>0.11799999999999999</v>
      </c>
      <c r="G28" s="26">
        <f>(('03 - 2020'!E34-'03 - 2020'!E33)+('03 - 2020'!F34-'03 - 2020'!F33)+('03 - 2020'!G34-'03 - 2020'!G33))*1.81</f>
        <v>0</v>
      </c>
      <c r="H28" s="24">
        <v>0.99</v>
      </c>
      <c r="I28" s="26">
        <f>'03 - 2020'!J34-'03 - 2020'!J33</f>
        <v>0</v>
      </c>
      <c r="J28" s="24">
        <v>8.1000000000000003E-2</v>
      </c>
      <c r="K28" s="63">
        <f>'03 - 2020'!H34-'03 - 2020'!H33</f>
        <v>0</v>
      </c>
      <c r="L28" s="26">
        <f>'03 - 2020'!I34-'03 - 2020'!I33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0</v>
      </c>
      <c r="F29" s="24">
        <v>0.11799999999999999</v>
      </c>
      <c r="G29" s="26">
        <f>(('03 - 2020'!E35-'03 - 2020'!E34)+('03 - 2020'!F35-'03 - 2020'!F34)+('03 - 2020'!G35-'03 - 2020'!G34))*1.81</f>
        <v>0</v>
      </c>
      <c r="H29" s="24">
        <v>0.99</v>
      </c>
      <c r="I29" s="26">
        <f>'03 - 2020'!J35-'03 - 2020'!J34</f>
        <v>0</v>
      </c>
      <c r="J29" s="24">
        <v>8.1000000000000003E-2</v>
      </c>
      <c r="K29" s="63">
        <f>'03 - 2020'!H35-'03 - 2020'!H34</f>
        <v>0</v>
      </c>
      <c r="L29" s="26">
        <f>'03 - 2020'!I35-'03 - 2020'!I34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0</v>
      </c>
      <c r="F30" s="24">
        <v>0.11799999999999999</v>
      </c>
      <c r="G30" s="26">
        <f>(('03 - 2020'!E36-'03 - 2020'!E35)+('03 - 2020'!F36-'03 - 2020'!F35)+('03 - 2020'!G36-'03 - 2020'!G35))*1.81</f>
        <v>0</v>
      </c>
      <c r="H30" s="24">
        <v>0.99</v>
      </c>
      <c r="I30" s="26">
        <f>'03 - 2020'!J36-'03 - 2020'!J35</f>
        <v>0</v>
      </c>
      <c r="J30" s="24">
        <v>8.1000000000000003E-2</v>
      </c>
      <c r="K30" s="63">
        <f>'03 - 2020'!H36-'03 - 2020'!H35</f>
        <v>0</v>
      </c>
      <c r="L30" s="26">
        <f>'03 - 2020'!I36-'03 - 2020'!I35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0</v>
      </c>
      <c r="F31" s="24">
        <v>0.11799999999999999</v>
      </c>
      <c r="G31" s="26">
        <f>(('03 - 2020'!E37-'03 - 2020'!E36)+('03 - 2020'!F37-'03 - 2020'!F36)+('03 - 2020'!G37-'03 - 2020'!G36))*1.81</f>
        <v>0</v>
      </c>
      <c r="H31" s="24">
        <v>0.99</v>
      </c>
      <c r="I31" s="26">
        <f>'03 - 2020'!J37-'03 - 2020'!J36</f>
        <v>0</v>
      </c>
      <c r="J31" s="24">
        <v>8.1000000000000003E-2</v>
      </c>
      <c r="K31" s="63">
        <f>'03 - 2020'!H37-'03 - 2020'!H36</f>
        <v>0</v>
      </c>
      <c r="L31" s="26">
        <f>'03 - 2020'!I37-'03 - 2020'!I36</f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6" sqref="K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1215</v>
      </c>
      <c r="F24" s="26">
        <f>'03 - 2020'!C30-'03 - 2020'!C29</f>
        <v>2894</v>
      </c>
      <c r="G24" s="24">
        <v>0.11799999999999999</v>
      </c>
      <c r="H24" s="26">
        <f>'03 - 2020'!E30-'03 - 2020'!E29</f>
        <v>10.819999999999709</v>
      </c>
      <c r="I24" s="26">
        <f>'03 - 2020'!F30-'03 - 2020'!F29</f>
        <v>1.7100000000000364</v>
      </c>
      <c r="J24" s="26">
        <f>'03 - 2020'!G30-'03 - 2020'!G29</f>
        <v>12.979999999999563</v>
      </c>
      <c r="K24" s="24">
        <v>0.74</v>
      </c>
      <c r="L24" s="26">
        <v>8</v>
      </c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992</v>
      </c>
      <c r="F25" s="26">
        <f>'03 - 2020'!C31-'03 - 2020'!C30</f>
        <v>3032</v>
      </c>
      <c r="G25" s="24">
        <v>0.11799999999999999</v>
      </c>
      <c r="H25" s="26">
        <f>'03 - 2020'!E31-'03 - 2020'!E30</f>
        <v>14.930000000000291</v>
      </c>
      <c r="I25" s="26">
        <f>'03 - 2020'!F31-'03 - 2020'!F30</f>
        <v>0</v>
      </c>
      <c r="J25" s="26">
        <f>'03 - 2020'!G31-'03 - 2020'!G30</f>
        <v>19</v>
      </c>
      <c r="K25" s="24">
        <v>0.74</v>
      </c>
      <c r="L25" s="6">
        <v>6</v>
      </c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v>0</v>
      </c>
      <c r="F26" s="26">
        <v>0</v>
      </c>
      <c r="G26" s="24">
        <v>0.11799999999999999</v>
      </c>
      <c r="H26" s="26">
        <v>0</v>
      </c>
      <c r="I26" s="26">
        <v>0</v>
      </c>
      <c r="J26" s="26"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0</v>
      </c>
      <c r="F27" s="26">
        <f>'03 - 2020'!C33-'03 - 2020'!C32</f>
        <v>0</v>
      </c>
      <c r="G27" s="24">
        <v>0.11799999999999999</v>
      </c>
      <c r="H27" s="26">
        <f>'03 - 2020'!E33-'03 - 2020'!E32</f>
        <v>0</v>
      </c>
      <c r="I27" s="26">
        <f>'03 - 2020'!F33-'03 - 2020'!F32</f>
        <v>0</v>
      </c>
      <c r="J27" s="26">
        <f>'03 - 2020'!G33-'03 - 2020'!G32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0</v>
      </c>
      <c r="F28" s="26">
        <f>'03 - 2020'!C34-'03 - 2020'!C33</f>
        <v>0</v>
      </c>
      <c r="G28" s="24">
        <v>0.11799999999999999</v>
      </c>
      <c r="H28" s="26">
        <f>'03 - 2020'!E34-'03 - 2020'!E33</f>
        <v>0</v>
      </c>
      <c r="I28" s="26">
        <f>'03 - 2020'!F34-'03 - 2020'!F33</f>
        <v>0</v>
      </c>
      <c r="J28" s="26">
        <f>'03 - 2020'!G34-'03 - 2020'!G33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0</v>
      </c>
      <c r="F29" s="26">
        <f>'03 - 2020'!C35-'03 - 2020'!C34</f>
        <v>0</v>
      </c>
      <c r="G29" s="24">
        <v>0.11799999999999999</v>
      </c>
      <c r="H29" s="26">
        <f>'03 - 2020'!E35-'03 - 2020'!E34</f>
        <v>0</v>
      </c>
      <c r="I29" s="26">
        <f>'03 - 2020'!F35-'03 - 2020'!F34</f>
        <v>0</v>
      </c>
      <c r="J29" s="26">
        <f>'03 - 2020'!G35-'03 - 2020'!G34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0</v>
      </c>
      <c r="F30" s="26">
        <f>'03 - 2020'!C36-'03 - 2020'!C35</f>
        <v>0</v>
      </c>
      <c r="G30" s="24">
        <v>0.11799999999999999</v>
      </c>
      <c r="H30" s="26">
        <f>'03 - 2020'!E36-'03 - 2020'!E35</f>
        <v>0</v>
      </c>
      <c r="I30" s="26">
        <f>'03 - 2020'!F36-'03 - 2020'!F35</f>
        <v>0</v>
      </c>
      <c r="J30" s="26">
        <f>'03 - 2020'!G36-'03 - 2020'!G35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0</v>
      </c>
      <c r="F31" s="26">
        <f>'03 - 2020'!C37-'03 - 2020'!C36</f>
        <v>0</v>
      </c>
      <c r="G31" s="24">
        <v>0.11799999999999999</v>
      </c>
      <c r="H31" s="26">
        <f>'03 - 2020'!E37-'03 - 2020'!E36</f>
        <v>0</v>
      </c>
      <c r="I31" s="26">
        <f>'03 - 2020'!F37-'03 - 2020'!F36</f>
        <v>0</v>
      </c>
      <c r="J31" s="26">
        <f>'03 - 2020'!G37-'03 - 2020'!G36</f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M27" sqref="M27:M3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31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>
        <f t="shared" si="0"/>
        <v>9269</v>
      </c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0.52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>
        <f t="shared" si="0"/>
        <v>8761</v>
      </c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49">
        <f t="shared" si="0"/>
        <v>6745</v>
      </c>
      <c r="P29" s="6"/>
    </row>
    <row r="30" spans="1:16" ht="12.75" customHeight="1" x14ac:dyDescent="0.25">
      <c r="A30" s="48">
        <f t="shared" si="1"/>
        <v>43913</v>
      </c>
      <c r="B30" s="15">
        <v>665145</v>
      </c>
      <c r="C30" s="15">
        <v>729850</v>
      </c>
      <c r="D30" s="16">
        <v>0.48</v>
      </c>
      <c r="E30" s="29">
        <v>10711</v>
      </c>
      <c r="F30" s="29">
        <v>2068</v>
      </c>
      <c r="G30" s="17">
        <v>18480</v>
      </c>
      <c r="H30" s="15">
        <v>14528</v>
      </c>
      <c r="I30" s="15">
        <v>92379</v>
      </c>
      <c r="J30" s="15">
        <v>38248596</v>
      </c>
      <c r="K30" s="18"/>
      <c r="L30" s="33"/>
      <c r="M30" s="49">
        <f t="shared" si="0"/>
        <v>7402</v>
      </c>
      <c r="P30" s="6"/>
    </row>
    <row r="31" spans="1:16" ht="12.75" customHeight="1" x14ac:dyDescent="0.25">
      <c r="A31" s="48">
        <f t="shared" si="1"/>
        <v>43914</v>
      </c>
      <c r="B31" s="15">
        <v>666137</v>
      </c>
      <c r="C31" s="15">
        <v>732882</v>
      </c>
      <c r="D31" s="16">
        <v>0.47</v>
      </c>
      <c r="E31" s="29">
        <v>10725.93</v>
      </c>
      <c r="F31" s="29">
        <v>2068</v>
      </c>
      <c r="G31" s="17">
        <v>18499</v>
      </c>
      <c r="H31" s="15">
        <v>14528</v>
      </c>
      <c r="I31" s="15">
        <v>92402</v>
      </c>
      <c r="J31" s="15">
        <v>38253830</v>
      </c>
      <c r="K31" s="18"/>
      <c r="L31" s="35"/>
      <c r="M31" s="49">
        <f t="shared" si="0"/>
        <v>5234</v>
      </c>
      <c r="P31" s="6"/>
    </row>
    <row r="32" spans="1:16" ht="12.75" customHeight="1" x14ac:dyDescent="0.25">
      <c r="A32" s="48">
        <f t="shared" si="1"/>
        <v>43915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-604675</v>
      </c>
      <c r="C39" s="36">
        <f>C36-C7</f>
        <v>-621646</v>
      </c>
      <c r="D39" s="36">
        <v>0</v>
      </c>
      <c r="E39" s="36">
        <f t="shared" ref="E39:J39" si="2">E36-E7</f>
        <v>-10249.07</v>
      </c>
      <c r="F39" s="36">
        <f t="shared" si="2"/>
        <v>-1977.24</v>
      </c>
      <c r="G39" s="36">
        <f t="shared" si="2"/>
        <v>-17755</v>
      </c>
      <c r="H39" s="36">
        <f t="shared" si="2"/>
        <v>-14528</v>
      </c>
      <c r="I39" s="36">
        <f t="shared" si="2"/>
        <v>-90695</v>
      </c>
      <c r="J39" s="36">
        <f t="shared" si="2"/>
        <v>-37991508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-3195709.6319999998</v>
      </c>
      <c r="I40" s="36">
        <f>I39*219.969</f>
        <v>-19950088.454999998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2020-03-24T04:46:43Z</dcterms:modified>
</cp:coreProperties>
</file>