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41" i="5" l="1"/>
  <c r="J44" i="5" s="1"/>
  <c r="I41" i="5"/>
  <c r="I42" i="5" s="1"/>
  <c r="I45" i="5" s="1"/>
  <c r="H41" i="5"/>
  <c r="G41" i="5"/>
  <c r="F41" i="5"/>
  <c r="E41" i="5"/>
  <c r="C41" i="5"/>
  <c r="C43" i="5" s="1"/>
  <c r="C45" i="5" s="1"/>
  <c r="B41" i="5"/>
  <c r="I39" i="5"/>
  <c r="K38" i="5"/>
  <c r="J38" i="5"/>
  <c r="I38" i="5"/>
  <c r="H38" i="5"/>
  <c r="H39" i="5" s="1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0" i="2" l="1"/>
  <c r="I30" i="2"/>
  <c r="H30" i="2"/>
  <c r="F30" i="2"/>
  <c r="E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3" i="3" l="1"/>
  <c r="K23" i="3"/>
  <c r="I23" i="3"/>
  <c r="G23" i="3"/>
  <c r="E23" i="3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L25" i="3" l="1"/>
  <c r="K25" i="3"/>
  <c r="I25" i="3"/>
  <c r="G25" i="3"/>
  <c r="E25" i="3"/>
  <c r="L24" i="3" l="1"/>
  <c r="K24" i="3"/>
  <c r="I24" i="3"/>
  <c r="G24" i="3"/>
  <c r="E24" i="3" l="1"/>
  <c r="L18" i="3" l="1"/>
  <c r="L17" i="3" l="1"/>
  <c r="K17" i="3"/>
  <c r="I17" i="3"/>
  <c r="G17" i="3"/>
  <c r="E17" i="3"/>
  <c r="J17" i="2"/>
  <c r="I17" i="2"/>
  <c r="H17" i="2"/>
  <c r="F17" i="2"/>
  <c r="E17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K18" i="3" l="1"/>
  <c r="I18" i="3"/>
  <c r="G18" i="3"/>
  <c r="E18" i="3"/>
  <c r="J18" i="2"/>
  <c r="I18" i="2"/>
  <c r="H18" i="2"/>
  <c r="F18" i="2"/>
  <c r="E18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<sst xmlns="http://schemas.openxmlformats.org/spreadsheetml/2006/main" count="106" uniqueCount="39">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</sst>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S8" sqref="S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v>0</v>
      </c>
      <c r="F9" s="13">
        <v>0.11799999999999999</v>
      </c>
      <c r="G9" s="15">
        <v>0</v>
      </c>
      <c r="H9" s="13">
        <v>0.99</v>
      </c>
      <c r="I9" s="15">
        <v>0</v>
      </c>
      <c r="J9" s="13">
        <v>8.1000000000000003E-2</v>
      </c>
      <c r="K9" s="21">
        <v>0</v>
      </c>
      <c r="L9" s="15"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0</v>
      </c>
      <c r="F10" s="13">
        <v>0.11799999999999999</v>
      </c>
      <c r="G10" s="15">
        <f>'11 - 2022'!D16-'11 - 2022'!D15+'11 - 2022'!E16-'11 - 2022'!E15</f>
        <v>0</v>
      </c>
      <c r="H10" s="13">
        <v>0.99</v>
      </c>
      <c r="I10" s="15">
        <f>'11 - 2022'!J16-'11 - 2022'!J15</f>
        <v>0</v>
      </c>
      <c r="J10" s="13">
        <v>8.1000000000000003E-2</v>
      </c>
      <c r="K10" s="21">
        <f>'11 - 2022'!H16-'11 - 2022'!H15</f>
        <v>0</v>
      </c>
      <c r="L10" s="15">
        <f>'11 - 2022'!I16-'11 - 2022'!I15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0</v>
      </c>
      <c r="F11" s="13">
        <v>0.11799999999999999</v>
      </c>
      <c r="G11" s="15">
        <f>'11 - 2022'!D17-'11 - 2022'!D16+'11 - 2022'!E17-'11 - 2022'!E16</f>
        <v>0</v>
      </c>
      <c r="H11" s="13">
        <v>0.99</v>
      </c>
      <c r="I11" s="15">
        <f>'11 - 2022'!J17-'11 - 2022'!J16</f>
        <v>0</v>
      </c>
      <c r="J11" s="13">
        <v>8.1000000000000003E-2</v>
      </c>
      <c r="K11" s="21">
        <f>'11 - 2022'!H17-'11 - 2022'!H16</f>
        <v>0</v>
      </c>
      <c r="L11" s="15">
        <f>'11 - 2022'!I17-'11 - 2022'!I16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0</v>
      </c>
      <c r="F12" s="13">
        <v>0.11799999999999999</v>
      </c>
      <c r="G12" s="15">
        <f>'11 - 2022'!D18-'11 - 2022'!D17+'11 - 2022'!E18-'11 - 2022'!E17</f>
        <v>0</v>
      </c>
      <c r="H12" s="13">
        <v>0.99</v>
      </c>
      <c r="I12" s="15">
        <f>'11 - 2022'!J18-'11 - 2022'!J17</f>
        <v>0</v>
      </c>
      <c r="J12" s="13">
        <v>8.1000000000000003E-2</v>
      </c>
      <c r="K12" s="21">
        <f>'11 - 2022'!H18-'11 - 2022'!H17</f>
        <v>0</v>
      </c>
      <c r="L12" s="15">
        <f>'11 - 2022'!I18-'11 - 2022'!I17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0</v>
      </c>
      <c r="F13" s="13">
        <v>0.11799999999999999</v>
      </c>
      <c r="G13" s="15">
        <f>'11 - 2022'!D19-'11 - 2022'!D18+'11 - 2022'!E19-'11 - 2022'!E18</f>
        <v>0</v>
      </c>
      <c r="H13" s="13">
        <v>0.99</v>
      </c>
      <c r="I13" s="15">
        <f>'11 - 2022'!J19-'11 - 2022'!J18</f>
        <v>0</v>
      </c>
      <c r="J13" s="13">
        <v>8.1000000000000003E-2</v>
      </c>
      <c r="K13" s="21">
        <f>'11 - 2022'!H19-'11 - 2022'!H18</f>
        <v>0</v>
      </c>
      <c r="L13" s="15">
        <f>'11 - 2022'!I19-'11 - 2022'!I18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0</v>
      </c>
      <c r="F14" s="13">
        <v>0.11799999999999999</v>
      </c>
      <c r="G14" s="15">
        <f>'11 - 2022'!D20-'11 - 2022'!D19+'11 - 2022'!E20-'11 - 2022'!E19</f>
        <v>0</v>
      </c>
      <c r="H14" s="13">
        <v>0.99</v>
      </c>
      <c r="I14" s="15">
        <f>'11 - 2022'!J20-'11 - 2022'!J19</f>
        <v>0</v>
      </c>
      <c r="J14" s="13">
        <v>8.1000000000000003E-2</v>
      </c>
      <c r="K14" s="21">
        <f>'11 - 2022'!H20-'11 - 2022'!H19</f>
        <v>0</v>
      </c>
      <c r="L14" s="15">
        <f>'11 - 2022'!I20-'11 - 2022'!I19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0</v>
      </c>
      <c r="F15" s="13">
        <v>0.11799999999999999</v>
      </c>
      <c r="G15" s="15">
        <f>'11 - 2022'!D21-'11 - 2022'!D20+'11 - 2022'!E21-'11 - 2022'!E20</f>
        <v>0</v>
      </c>
      <c r="H15" s="13">
        <v>0.99</v>
      </c>
      <c r="I15" s="15">
        <f>'11 - 2022'!J21-'11 - 2022'!J20</f>
        <v>0</v>
      </c>
      <c r="J15" s="13">
        <v>8.1000000000000003E-2</v>
      </c>
      <c r="K15" s="21">
        <f>'11 - 2022'!H21-'11 - 2022'!H20</f>
        <v>0</v>
      </c>
      <c r="L15" s="15">
        <f>'11 - 2022'!I21-'11 - 2022'!I20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0</v>
      </c>
      <c r="F16" s="13">
        <v>0.11799999999999999</v>
      </c>
      <c r="G16" s="15">
        <f>'11 - 2022'!D22-'11 - 2022'!D21+'11 - 2022'!E22-'11 - 2022'!E21</f>
        <v>0</v>
      </c>
      <c r="H16" s="13">
        <v>0.99</v>
      </c>
      <c r="I16" s="15">
        <f>'11 - 2022'!J22-'11 - 2022'!J21</f>
        <v>0</v>
      </c>
      <c r="J16" s="13">
        <v>8.1000000000000003E-2</v>
      </c>
      <c r="K16" s="21">
        <f>'11 - 2022'!H22-'11 - 2022'!H21</f>
        <v>0</v>
      </c>
      <c r="L16" s="15">
        <f>'11 - 2022'!I22-'11 - 2022'!I21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0</v>
      </c>
      <c r="F17" s="13">
        <v>0.11799999999999999</v>
      </c>
      <c r="G17" s="15">
        <f>'11 - 2022'!D23-'11 - 2022'!D22+'11 - 2022'!E23-'11 - 2022'!E22</f>
        <v>0</v>
      </c>
      <c r="H17" s="13">
        <v>0.99</v>
      </c>
      <c r="I17" s="15">
        <f>'11 - 2022'!J23-'11 - 2022'!J22</f>
        <v>0</v>
      </c>
      <c r="J17" s="13">
        <v>8.1000000000000003E-2</v>
      </c>
      <c r="K17" s="21">
        <f>'11 - 2022'!H23-'11 - 2022'!H22</f>
        <v>0</v>
      </c>
      <c r="L17" s="15">
        <f>'11 - 2022'!I23-'11 - 2022'!I22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0</v>
      </c>
      <c r="F18" s="13">
        <v>0.11799999999999999</v>
      </c>
      <c r="G18" s="15">
        <f>'11 - 2022'!D24-'11 - 2022'!D23+'11 - 2022'!E24-'11 - 2022'!E23</f>
        <v>0</v>
      </c>
      <c r="H18" s="13">
        <v>0.99</v>
      </c>
      <c r="I18" s="15">
        <f>'11 - 2022'!J24-'11 - 2022'!J23</f>
        <v>0</v>
      </c>
      <c r="J18" s="13">
        <v>8.1000000000000003E-2</v>
      </c>
      <c r="K18" s="21">
        <f>'11 - 2022'!H24-'11 - 2022'!H23</f>
        <v>0</v>
      </c>
      <c r="L18" s="15">
        <f>'11 - 2022'!I24-'11 - 2022'!I23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0</v>
      </c>
      <c r="F19" s="13">
        <v>0.11799999999999999</v>
      </c>
      <c r="G19" s="15">
        <f>'11 - 2022'!D25-'11 - 2022'!D24+'11 - 2022'!E25-'11 - 2022'!E24</f>
        <v>0</v>
      </c>
      <c r="H19" s="13">
        <v>0.99</v>
      </c>
      <c r="I19" s="15">
        <f>'11 - 2022'!J25-'11 - 2022'!J24</f>
        <v>0</v>
      </c>
      <c r="J19" s="13">
        <v>8.1000000000000003E-2</v>
      </c>
      <c r="K19" s="21">
        <f>'11 - 2022'!H25-'11 - 2022'!H24</f>
        <v>0</v>
      </c>
      <c r="L19" s="15">
        <f>'11 - 2022'!I25-'11 - 2022'!I24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0</v>
      </c>
      <c r="F20" s="13">
        <v>0.11799999999999999</v>
      </c>
      <c r="G20" s="15">
        <f>'11 - 2022'!D26-'11 - 2022'!D25+'11 - 2022'!E26-'11 - 2022'!E25</f>
        <v>0</v>
      </c>
      <c r="H20" s="13">
        <v>0.99</v>
      </c>
      <c r="I20" s="15">
        <f>'11 - 2022'!J26-'11 - 2022'!J25</f>
        <v>0</v>
      </c>
      <c r="J20" s="13">
        <v>8.1000000000000003E-2</v>
      </c>
      <c r="K20" s="21">
        <f>'11 - 2022'!H26-'11 - 2022'!H25</f>
        <v>0</v>
      </c>
      <c r="L20" s="15">
        <f>'11 - 2022'!I26-'11 - 2022'!I25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0</v>
      </c>
      <c r="F21" s="13">
        <v>0.11799999999999999</v>
      </c>
      <c r="G21" s="15">
        <f>'11 - 2022'!D27-'11 - 2022'!D26+'11 - 2022'!E27-'11 - 2022'!E26</f>
        <v>0</v>
      </c>
      <c r="H21" s="13">
        <v>0.99</v>
      </c>
      <c r="I21" s="15">
        <f>'11 - 2022'!J27-'11 - 2022'!J26</f>
        <v>0</v>
      </c>
      <c r="J21" s="13">
        <v>8.1000000000000003E-2</v>
      </c>
      <c r="K21" s="21">
        <f>'11 - 2022'!H27-'11 - 2022'!H26</f>
        <v>0</v>
      </c>
      <c r="L21" s="15">
        <f>'11 - 2022'!I27-'11 - 2022'!I26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0</v>
      </c>
      <c r="F22" s="13">
        <v>0.11799999999999999</v>
      </c>
      <c r="G22" s="15">
        <f>'11 - 2022'!D28-'11 - 2022'!D27+'11 - 2022'!E28-'11 - 2022'!E27</f>
        <v>0</v>
      </c>
      <c r="H22" s="13">
        <v>0.99</v>
      </c>
      <c r="I22" s="15">
        <f>'11 - 2022'!J28-'11 - 2022'!J27</f>
        <v>0</v>
      </c>
      <c r="J22" s="13">
        <v>8.1000000000000003E-2</v>
      </c>
      <c r="K22" s="21">
        <f>'11 - 2022'!H28-'11 - 2022'!H27</f>
        <v>0</v>
      </c>
      <c r="L22" s="15">
        <f>'11 - 2022'!I28-'11 - 2022'!I27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0</v>
      </c>
      <c r="F23" s="13">
        <v>0.11799999999999999</v>
      </c>
      <c r="G23" s="15">
        <f>'11 - 2022'!D29-'11 - 2022'!D28+'11 - 2022'!E29-'11 - 2022'!E28</f>
        <v>0</v>
      </c>
      <c r="H23" s="13">
        <v>0.99</v>
      </c>
      <c r="I23" s="15">
        <f>'11 - 2022'!J29-'11 - 2022'!J28</f>
        <v>0</v>
      </c>
      <c r="J23" s="13">
        <v>8.1000000000000003E-2</v>
      </c>
      <c r="K23" s="21">
        <f>'11 - 2022'!H29-'11 - 2022'!H28</f>
        <v>0</v>
      </c>
      <c r="L23" s="15">
        <f>'11 - 2022'!I29-'11 - 2022'!I28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0</v>
      </c>
      <c r="F24" s="13">
        <v>0.11799999999999999</v>
      </c>
      <c r="G24" s="15">
        <f>'11 - 2022'!D30-'11 - 2022'!D29+'11 - 2022'!E30-'11 - 2022'!E29</f>
        <v>0</v>
      </c>
      <c r="H24" s="13">
        <v>0.99</v>
      </c>
      <c r="I24" s="15">
        <f>'11 - 2022'!J30-'11 - 2022'!J29</f>
        <v>0</v>
      </c>
      <c r="J24" s="13">
        <v>8.1000000000000003E-2</v>
      </c>
      <c r="K24" s="21">
        <f>'11 - 2022'!H30-'11 - 2022'!H29</f>
        <v>0</v>
      </c>
      <c r="L24" s="15">
        <f>'11 - 2022'!I30-'11 - 2022'!I29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0</v>
      </c>
      <c r="F25" s="13">
        <v>0.11799999999999999</v>
      </c>
      <c r="G25" s="15">
        <f>'11 - 2022'!D31-'11 - 2022'!D30+'11 - 2022'!E31-'11 - 2022'!E30</f>
        <v>0</v>
      </c>
      <c r="H25" s="13">
        <v>0.99</v>
      </c>
      <c r="I25" s="15">
        <f>'11 - 2022'!J31-'11 - 2022'!J30</f>
        <v>0</v>
      </c>
      <c r="J25" s="13">
        <v>8.1000000000000003E-2</v>
      </c>
      <c r="K25" s="21">
        <f>'11 - 2022'!H31-'11 - 2022'!H30</f>
        <v>0</v>
      </c>
      <c r="L25" s="15">
        <f>'11 - 2022'!I31-'11 - 2022'!I30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0</v>
      </c>
      <c r="F26" s="13">
        <v>0.11799999999999999</v>
      </c>
      <c r="G26" s="15">
        <f>'11 - 2022'!D32-'11 - 2022'!D31+'11 - 2022'!E32-'11 - 2022'!E31</f>
        <v>0</v>
      </c>
      <c r="H26" s="13">
        <v>0.99</v>
      </c>
      <c r="I26" s="15">
        <f>'11 - 2022'!J32-'11 - 2022'!J31</f>
        <v>0</v>
      </c>
      <c r="J26" s="13">
        <v>8.1000000000000003E-2</v>
      </c>
      <c r="K26" s="21">
        <f>'11 - 2022'!H32-'11 - 2022'!H31</f>
        <v>0</v>
      </c>
      <c r="L26" s="15">
        <f>'11 - 2022'!I32-'11 - 2022'!I31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0</v>
      </c>
      <c r="F27" s="13">
        <v>0.11799999999999999</v>
      </c>
      <c r="G27" s="15">
        <f>'11 - 2022'!D33-'11 - 2022'!D32+'11 - 2022'!E33-'11 - 2022'!E32</f>
        <v>0</v>
      </c>
      <c r="H27" s="13">
        <v>0.99</v>
      </c>
      <c r="I27" s="15">
        <f>'11 - 2022'!J33-'11 - 2022'!J32</f>
        <v>0</v>
      </c>
      <c r="J27" s="13">
        <v>8.1000000000000003E-2</v>
      </c>
      <c r="K27" s="21">
        <f>'11 - 2022'!H33-'11 - 2022'!H32</f>
        <v>0</v>
      </c>
      <c r="L27" s="15">
        <f>'11 - 2022'!I33-'11 - 2022'!I32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0</v>
      </c>
      <c r="F28" s="13">
        <v>0.11799999999999999</v>
      </c>
      <c r="G28" s="15">
        <f>'11 - 2022'!D34-'11 - 2022'!D33+'11 - 2022'!E34-'11 - 2022'!E33</f>
        <v>0</v>
      </c>
      <c r="H28" s="13">
        <v>0.99</v>
      </c>
      <c r="I28" s="15">
        <f>'11 - 2022'!J34-'11 - 2022'!J33</f>
        <v>0</v>
      </c>
      <c r="J28" s="13">
        <v>8.1000000000000003E-2</v>
      </c>
      <c r="K28" s="21">
        <f>'11 - 2022'!H34-'11 - 2022'!H33</f>
        <v>0</v>
      </c>
      <c r="L28" s="15">
        <f>'11 - 2022'!I34-'11 - 2022'!I33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0</v>
      </c>
      <c r="F29" s="13">
        <v>0.11799999999999999</v>
      </c>
      <c r="G29" s="15">
        <f>'11 - 2022'!D35-'11 - 2022'!D34+'11 - 2022'!E35-'11 - 2022'!E34</f>
        <v>0</v>
      </c>
      <c r="H29" s="13">
        <v>0.99</v>
      </c>
      <c r="I29" s="15">
        <f>'11 - 2022'!J35-'11 - 2022'!J34</f>
        <v>0</v>
      </c>
      <c r="J29" s="13">
        <v>8.1000000000000003E-2</v>
      </c>
      <c r="K29" s="21">
        <f>'11 - 2022'!H35-'11 - 2022'!H34</f>
        <v>0</v>
      </c>
      <c r="L29" s="15">
        <f>'11 - 2022'!I35-'11 - 2022'!I34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'11 - 2022'!B36-'11 - 2022'!B35+'11 - 2022'!C36-'11 - 2022'!C35</f>
        <v>0</v>
      </c>
      <c r="F30" s="13">
        <v>0.11799999999999999</v>
      </c>
      <c r="G30" s="15">
        <f>'11 - 2022'!D36-'11 - 2022'!D35+'11 - 2022'!E36-'11 - 2022'!E35</f>
        <v>0</v>
      </c>
      <c r="H30" s="13">
        <v>0.99</v>
      </c>
      <c r="I30" s="15">
        <f>'11 - 2022'!J36-'11 - 2022'!J35</f>
        <v>0</v>
      </c>
      <c r="J30" s="13">
        <v>8.1000000000000003E-2</v>
      </c>
      <c r="K30" s="21">
        <f>'11 - 2022'!H36-'11 - 2022'!H35</f>
        <v>0</v>
      </c>
      <c r="L30" s="15">
        <f>'11 - 2022'!I36-'11 - 2022'!I35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E6" sqref="E6:K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v>0</v>
      </c>
      <c r="F9" s="15">
        <v>0</v>
      </c>
      <c r="G9" s="13">
        <v>0.11799999999999999</v>
      </c>
      <c r="H9" s="15">
        <v>0</v>
      </c>
      <c r="I9" s="15">
        <v>0</v>
      </c>
      <c r="J9" s="15"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0</v>
      </c>
      <c r="F10" s="15">
        <f>'11 - 2022'!C16-'11 - 2022'!C15</f>
        <v>0</v>
      </c>
      <c r="G10" s="13">
        <v>0.11799999999999999</v>
      </c>
      <c r="H10" s="15">
        <f>'11 - 2022'!E16-'11 - 2022'!E15</f>
        <v>0</v>
      </c>
      <c r="I10" s="15">
        <f>'11 - 2022'!F16-'11 - 2022'!F15</f>
        <v>0</v>
      </c>
      <c r="J10" s="15">
        <f>'11 - 2022'!G16-'11 - 2022'!G15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0</v>
      </c>
      <c r="F11" s="15">
        <f>'11 - 2022'!C17-'11 - 2022'!C16</f>
        <v>0</v>
      </c>
      <c r="G11" s="13">
        <v>0.11799999999999999</v>
      </c>
      <c r="H11" s="15">
        <f>'11 - 2022'!E17-'11 - 2022'!E16</f>
        <v>0</v>
      </c>
      <c r="I11" s="15">
        <f>'11 - 2022'!F17-'11 - 2022'!F16</f>
        <v>0</v>
      </c>
      <c r="J11" s="15">
        <f>'11 - 2022'!G17-'11 - 2022'!G16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0</v>
      </c>
      <c r="F12" s="15">
        <f>'11 - 2022'!C18-'11 - 2022'!C17</f>
        <v>0</v>
      </c>
      <c r="G12" s="13">
        <v>0.11799999999999999</v>
      </c>
      <c r="H12" s="15">
        <f>'11 - 2022'!E18-'11 - 2022'!E17</f>
        <v>0</v>
      </c>
      <c r="I12" s="15">
        <f>'11 - 2022'!F18-'11 - 2022'!F17</f>
        <v>0</v>
      </c>
      <c r="J12" s="15">
        <f>'11 - 2022'!G18-'11 - 2022'!G17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0</v>
      </c>
      <c r="F13" s="15">
        <f>'11 - 2022'!C19-'11 - 2022'!C18</f>
        <v>0</v>
      </c>
      <c r="G13" s="13">
        <v>0.11799999999999999</v>
      </c>
      <c r="H13" s="15">
        <f>'11 - 2022'!E19-'11 - 2022'!E18</f>
        <v>0</v>
      </c>
      <c r="I13" s="15">
        <f>'11 - 2022'!F19-'11 - 2022'!F18</f>
        <v>0</v>
      </c>
      <c r="J13" s="15">
        <f>'11 - 2022'!G19-'11 - 2022'!G18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0</v>
      </c>
      <c r="F14" s="15">
        <f>'11 - 2022'!C20-'11 - 2022'!C19</f>
        <v>0</v>
      </c>
      <c r="G14" s="13">
        <v>0.11799999999999999</v>
      </c>
      <c r="H14" s="15">
        <f>'11 - 2022'!E20-'11 - 2022'!E19</f>
        <v>0</v>
      </c>
      <c r="I14" s="15">
        <f>'11 - 2022'!F20-'11 - 2022'!F19</f>
        <v>0</v>
      </c>
      <c r="J14" s="15">
        <f>'11 - 2022'!G20-'11 - 2022'!G19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0</v>
      </c>
      <c r="F15" s="15">
        <f>'11 - 2022'!C21-'11 - 2022'!C20</f>
        <v>0</v>
      </c>
      <c r="G15" s="13">
        <v>0.11799999999999999</v>
      </c>
      <c r="H15" s="15">
        <f>'11 - 2022'!E21-'11 - 2022'!E20</f>
        <v>0</v>
      </c>
      <c r="I15" s="15">
        <f>'11 - 2022'!F21-'11 - 2022'!F20</f>
        <v>0</v>
      </c>
      <c r="J15" s="15">
        <f>'11 - 2022'!G21-'11 - 2022'!G20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0</v>
      </c>
      <c r="F16" s="15">
        <f>'11 - 2022'!C22-'11 - 2022'!C21</f>
        <v>0</v>
      </c>
      <c r="G16" s="13">
        <v>0.11799999999999999</v>
      </c>
      <c r="H16" s="15">
        <f>'11 - 2022'!E22-'11 - 2022'!E21</f>
        <v>0</v>
      </c>
      <c r="I16" s="15">
        <f>'11 - 2022'!F22-'11 - 2022'!F21</f>
        <v>0</v>
      </c>
      <c r="J16" s="15">
        <f>'11 - 2022'!G22-'11 - 2022'!G21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0</v>
      </c>
      <c r="F17" s="15">
        <f>'11 - 2022'!C23-'11 - 2022'!C22</f>
        <v>0</v>
      </c>
      <c r="G17" s="13">
        <v>0.11799999999999999</v>
      </c>
      <c r="H17" s="15">
        <f>'11 - 2022'!E23-'11 - 2022'!E22</f>
        <v>0</v>
      </c>
      <c r="I17" s="15">
        <f>'11 - 2022'!F23-'11 - 2022'!F22</f>
        <v>0</v>
      </c>
      <c r="J17" s="15">
        <f>'11 - 2022'!G23-'11 - 2022'!G22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0</v>
      </c>
      <c r="F18" s="15">
        <f>'11 - 2022'!C24-'11 - 2022'!C23</f>
        <v>0</v>
      </c>
      <c r="G18" s="13">
        <v>0.11799999999999999</v>
      </c>
      <c r="H18" s="15">
        <f>'11 - 2022'!E24-'11 - 2022'!E23</f>
        <v>0</v>
      </c>
      <c r="I18" s="15">
        <f>'11 - 2022'!F24-'11 - 2022'!F23</f>
        <v>0</v>
      </c>
      <c r="J18" s="15">
        <f>'11 - 2022'!G24-'11 - 2022'!G23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0</v>
      </c>
      <c r="F19" s="15">
        <f>'11 - 2022'!C25-'11 - 2022'!C24</f>
        <v>0</v>
      </c>
      <c r="G19" s="13">
        <v>0.11799999999999999</v>
      </c>
      <c r="H19" s="15">
        <f>'11 - 2022'!E25-'11 - 2022'!E24</f>
        <v>0</v>
      </c>
      <c r="I19" s="15">
        <f>'11 - 2022'!F25-'11 - 2022'!F24</f>
        <v>0</v>
      </c>
      <c r="J19" s="15">
        <f>'11 - 2022'!G25-'11 - 2022'!G24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0</v>
      </c>
      <c r="F20" s="15">
        <f>'11 - 2022'!C26-'11 - 2022'!C25</f>
        <v>0</v>
      </c>
      <c r="G20" s="13">
        <v>0.11799999999999999</v>
      </c>
      <c r="H20" s="15">
        <f>'11 - 2022'!E26-'11 - 2022'!E25</f>
        <v>0</v>
      </c>
      <c r="I20" s="15">
        <f>'11 - 2022'!F26-'11 - 2022'!F25</f>
        <v>0</v>
      </c>
      <c r="J20" s="15">
        <f>'11 - 2022'!G26-'11 - 2022'!G25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0</v>
      </c>
      <c r="F21" s="15">
        <f>'11 - 2022'!C27-'11 - 2022'!C26</f>
        <v>0</v>
      </c>
      <c r="G21" s="13">
        <v>0.11799999999999999</v>
      </c>
      <c r="H21" s="15">
        <f>'11 - 2022'!E27-'11 - 2022'!E26</f>
        <v>0</v>
      </c>
      <c r="I21" s="15">
        <f>'11 - 2022'!F27-'11 - 2022'!F26</f>
        <v>0</v>
      </c>
      <c r="J21" s="15">
        <f>'11 - 2022'!G27-'11 - 2022'!G26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0</v>
      </c>
      <c r="F22" s="15">
        <f>'11 - 2022'!C28-'11 - 2022'!C27</f>
        <v>0</v>
      </c>
      <c r="G22" s="13">
        <v>0.11799999999999999</v>
      </c>
      <c r="H22" s="15">
        <f>'11 - 2022'!E28-'11 - 2022'!E27</f>
        <v>0</v>
      </c>
      <c r="I22" s="15">
        <f>'11 - 2022'!F28-'11 - 2022'!F27</f>
        <v>0</v>
      </c>
      <c r="J22" s="15">
        <f>'11 - 2022'!G28-'11 - 2022'!G27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0</v>
      </c>
      <c r="F23" s="15">
        <f>'11 - 2022'!C29-'11 - 2022'!C28</f>
        <v>0</v>
      </c>
      <c r="G23" s="13">
        <v>0.11799999999999999</v>
      </c>
      <c r="H23" s="15">
        <f>'11 - 2022'!E29-'11 - 2022'!E28</f>
        <v>0</v>
      </c>
      <c r="I23" s="15">
        <f>'11 - 2022'!F29-'11 - 2022'!F28</f>
        <v>0</v>
      </c>
      <c r="J23" s="15">
        <f>'11 - 2022'!G29-'11 - 2022'!G28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0</v>
      </c>
      <c r="F24" s="15">
        <f>'11 - 2022'!C30-'11 - 2022'!C29</f>
        <v>0</v>
      </c>
      <c r="G24" s="13">
        <v>0.11799999999999999</v>
      </c>
      <c r="H24" s="15">
        <f>'11 - 2022'!E30-'11 - 2022'!E29</f>
        <v>0</v>
      </c>
      <c r="I24" s="15">
        <f>'11 - 2022'!F30-'11 - 2022'!F29</f>
        <v>0</v>
      </c>
      <c r="J24" s="15">
        <f>'11 - 2022'!G30-'11 - 2022'!G29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0</v>
      </c>
      <c r="F25" s="15">
        <f>'11 - 2022'!C31-'11 - 2022'!C30</f>
        <v>0</v>
      </c>
      <c r="G25" s="13">
        <v>0.11799999999999999</v>
      </c>
      <c r="H25" s="15">
        <f>'11 - 2022'!E31-'11 - 2022'!E30</f>
        <v>0</v>
      </c>
      <c r="I25" s="15">
        <f>'11 - 2022'!F31-'11 - 2022'!F30</f>
        <v>0</v>
      </c>
      <c r="J25" s="15">
        <f>'11 - 2022'!G31-'11 - 2022'!G30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0</v>
      </c>
      <c r="F26" s="15">
        <f>'11 - 2022'!C32-'11 - 2022'!C31</f>
        <v>0</v>
      </c>
      <c r="G26" s="13">
        <v>0.11799999999999999</v>
      </c>
      <c r="H26" s="15">
        <f>'11 - 2022'!E32-'11 - 2022'!E31</f>
        <v>0</v>
      </c>
      <c r="I26" s="15">
        <f>'11 - 2022'!F32-'11 - 2022'!F31</f>
        <v>0</v>
      </c>
      <c r="J26" s="15">
        <f>'11 - 2022'!G32-'11 - 2022'!G31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0</v>
      </c>
      <c r="F27" s="15">
        <f>'11 - 2022'!C33-'11 - 2022'!C32</f>
        <v>0</v>
      </c>
      <c r="G27" s="13">
        <v>0.11799999999999999</v>
      </c>
      <c r="H27" s="15">
        <f>'11 - 2022'!E33-'11 - 2022'!E32</f>
        <v>0</v>
      </c>
      <c r="I27" s="15">
        <f>'11 - 2022'!F33-'11 - 2022'!F32</f>
        <v>0</v>
      </c>
      <c r="J27" s="15">
        <f>'11 - 2022'!G33-'11 - 2022'!G32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0</v>
      </c>
      <c r="F28" s="15">
        <f>'11 - 2022'!C34-'11 - 2022'!C33</f>
        <v>0</v>
      </c>
      <c r="G28" s="13">
        <v>0.11799999999999999</v>
      </c>
      <c r="H28" s="15">
        <f>'11 - 2022'!E34-'11 - 2022'!E33</f>
        <v>0</v>
      </c>
      <c r="I28" s="15">
        <f>'11 - 2022'!F34-'11 - 2022'!F33</f>
        <v>0</v>
      </c>
      <c r="J28" s="15">
        <f>'11 - 2022'!G34-'11 - 2022'!G33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0</v>
      </c>
      <c r="F29" s="15">
        <f>'11 - 2022'!C35-'11 - 2022'!C34</f>
        <v>0</v>
      </c>
      <c r="G29" s="13">
        <v>0.11799999999999999</v>
      </c>
      <c r="H29" s="15">
        <f>'11 - 2022'!E35-'11 - 2022'!E34</f>
        <v>0</v>
      </c>
      <c r="I29" s="15">
        <f>'11 - 2022'!F35-'11 - 2022'!F34</f>
        <v>0</v>
      </c>
      <c r="J29" s="15">
        <f>'11 - 2022'!G35-'11 - 2022'!G34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f>'11 - 2022'!B36-'11 - 2022'!B35</f>
        <v>0</v>
      </c>
      <c r="F30" s="15">
        <f>'11 - 2022'!C36-'11 - 2022'!C35</f>
        <v>0</v>
      </c>
      <c r="G30" s="13">
        <v>0.11799999999999999</v>
      </c>
      <c r="H30" s="15">
        <f>'11 - 2022'!E36-'11 - 2022'!E35</f>
        <v>0</v>
      </c>
      <c r="I30" s="15">
        <f>'11 - 2022'!F36-'11 - 2022'!F35</f>
        <v>0</v>
      </c>
      <c r="J30" s="15">
        <f>'11 - 2022'!G36-'11 - 2022'!G35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H22" sqref="H22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9"/>
      <c r="L3" s="49"/>
    </row>
    <row r="4" spans="1:17" ht="16.5" thickBot="1" x14ac:dyDescent="0.3">
      <c r="A4" s="94" t="s">
        <v>38</v>
      </c>
      <c r="B4" s="94"/>
      <c r="C4" s="94"/>
      <c r="D4" s="94"/>
      <c r="E4" s="94"/>
      <c r="F4" s="94"/>
      <c r="G4" s="94"/>
      <c r="H4" s="94"/>
      <c r="I4" s="94"/>
      <c r="J4" s="94"/>
      <c r="K4" s="49"/>
      <c r="L4" s="49"/>
    </row>
    <row r="5" spans="1:17" ht="16.5" thickBot="1" x14ac:dyDescent="0.3">
      <c r="A5" s="50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2" t="s">
        <v>31</v>
      </c>
      <c r="L6" s="73" t="s">
        <v>32</v>
      </c>
    </row>
    <row r="7" spans="1:17" s="27" customFormat="1" ht="12.95" customHeight="1" thickBot="1" x14ac:dyDescent="0.3">
      <c r="A7" s="74">
        <v>44865</v>
      </c>
      <c r="B7" s="75">
        <v>733438</v>
      </c>
      <c r="C7" s="76">
        <v>805563</v>
      </c>
      <c r="D7" s="77">
        <v>0.42</v>
      </c>
      <c r="E7" s="78">
        <v>5686.06</v>
      </c>
      <c r="F7" s="79">
        <v>3685.88</v>
      </c>
      <c r="G7" s="79">
        <v>47050.26</v>
      </c>
      <c r="H7" s="75">
        <v>14528</v>
      </c>
      <c r="I7" s="75">
        <v>176040</v>
      </c>
      <c r="J7" s="75">
        <v>61124038</v>
      </c>
      <c r="K7" s="80"/>
      <c r="L7" s="81"/>
      <c r="M7" s="26"/>
    </row>
    <row r="8" spans="1:17" s="29" customFormat="1" ht="12.95" customHeight="1" thickTop="1" x14ac:dyDescent="0.25">
      <c r="A8" s="86">
        <f>A7+1</f>
        <v>44866</v>
      </c>
      <c r="B8" s="87">
        <v>737533</v>
      </c>
      <c r="C8" s="87">
        <v>811658</v>
      </c>
      <c r="D8" s="88">
        <v>0.38</v>
      </c>
      <c r="E8" s="89">
        <v>5708.86</v>
      </c>
      <c r="F8" s="90">
        <v>3696.64</v>
      </c>
      <c r="G8" s="87">
        <v>47079.95</v>
      </c>
      <c r="H8" s="87">
        <v>14528</v>
      </c>
      <c r="I8" s="87">
        <v>176162</v>
      </c>
      <c r="J8" s="87">
        <v>61153249</v>
      </c>
      <c r="K8" s="91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59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59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92">
        <v>61207393</v>
      </c>
      <c r="K10" s="56"/>
      <c r="L10" s="60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60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61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60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59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2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59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60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/>
      <c r="C15" s="43"/>
      <c r="D15" s="42"/>
      <c r="E15" s="41"/>
      <c r="F15" s="63"/>
      <c r="G15" s="41"/>
      <c r="H15" s="43"/>
      <c r="I15" s="43"/>
      <c r="J15" s="43"/>
      <c r="K15" s="56"/>
      <c r="L15" s="60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43"/>
      <c r="C16" s="43"/>
      <c r="D16" s="42"/>
      <c r="E16" s="41"/>
      <c r="F16" s="63"/>
      <c r="G16" s="41"/>
      <c r="H16" s="43"/>
      <c r="I16" s="43"/>
      <c r="J16" s="43"/>
      <c r="K16" s="56"/>
      <c r="L16" s="60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/>
      <c r="C17" s="41"/>
      <c r="D17" s="42"/>
      <c r="E17" s="41"/>
      <c r="F17" s="63"/>
      <c r="G17" s="41"/>
      <c r="H17" s="43"/>
      <c r="I17" s="41"/>
      <c r="J17" s="41"/>
      <c r="K17" s="56"/>
      <c r="L17" s="60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/>
      <c r="C18" s="43"/>
      <c r="D18" s="42"/>
      <c r="E18" s="41"/>
      <c r="F18" s="41"/>
      <c r="G18" s="41"/>
      <c r="H18" s="43"/>
      <c r="I18" s="43"/>
      <c r="J18" s="43"/>
      <c r="K18" s="56"/>
      <c r="L18" s="60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/>
      <c r="C19" s="43"/>
      <c r="D19" s="42"/>
      <c r="E19" s="41"/>
      <c r="F19" s="41"/>
      <c r="G19" s="41"/>
      <c r="H19" s="43"/>
      <c r="I19" s="43"/>
      <c r="J19" s="43"/>
      <c r="K19" s="56"/>
      <c r="L19" s="60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/>
      <c r="C20" s="46"/>
      <c r="D20" s="42"/>
      <c r="E20" s="43"/>
      <c r="F20" s="43"/>
      <c r="G20" s="47"/>
      <c r="H20" s="43"/>
      <c r="I20" s="46"/>
      <c r="J20" s="46"/>
      <c r="K20" s="56"/>
      <c r="L20" s="64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/>
      <c r="C21" s="46"/>
      <c r="D21" s="42"/>
      <c r="E21" s="47"/>
      <c r="F21" s="41"/>
      <c r="G21" s="47"/>
      <c r="H21" s="43"/>
      <c r="I21" s="46"/>
      <c r="J21" s="46"/>
      <c r="K21" s="56"/>
      <c r="L21" s="64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/>
      <c r="C22" s="43"/>
      <c r="D22" s="42"/>
      <c r="E22" s="41"/>
      <c r="F22" s="41"/>
      <c r="G22" s="47"/>
      <c r="H22" s="43"/>
      <c r="I22" s="47"/>
      <c r="J22" s="46"/>
      <c r="K22" s="56"/>
      <c r="L22" s="64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/>
      <c r="C23" s="46"/>
      <c r="D23" s="42"/>
      <c r="E23" s="47"/>
      <c r="F23" s="41"/>
      <c r="G23" s="47"/>
      <c r="H23" s="43"/>
      <c r="I23" s="46"/>
      <c r="J23" s="46"/>
      <c r="K23" s="56"/>
      <c r="L23" s="64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/>
      <c r="C24" s="46"/>
      <c r="D24" s="42"/>
      <c r="E24" s="47"/>
      <c r="F24" s="41"/>
      <c r="G24" s="47"/>
      <c r="H24" s="43"/>
      <c r="I24" s="46"/>
      <c r="J24" s="46"/>
      <c r="K24" s="56"/>
      <c r="L24" s="65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/>
      <c r="C25" s="47"/>
      <c r="D25" s="42"/>
      <c r="E25" s="47"/>
      <c r="F25" s="41"/>
      <c r="G25" s="47"/>
      <c r="H25" s="43"/>
      <c r="I25" s="46"/>
      <c r="J25" s="46"/>
      <c r="K25" s="66"/>
      <c r="L25" s="65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/>
      <c r="C26" s="47"/>
      <c r="D26" s="45"/>
      <c r="E26" s="47"/>
      <c r="F26" s="41"/>
      <c r="G26" s="47"/>
      <c r="H26" s="43"/>
      <c r="I26" s="46"/>
      <c r="J26" s="46"/>
      <c r="K26" s="56"/>
      <c r="L26" s="65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/>
      <c r="C27" s="46"/>
      <c r="D27" s="42"/>
      <c r="E27" s="47"/>
      <c r="F27" s="41"/>
      <c r="G27" s="47"/>
      <c r="H27" s="43"/>
      <c r="I27" s="46"/>
      <c r="J27" s="46"/>
      <c r="K27" s="67"/>
      <c r="L27" s="64"/>
      <c r="M27" s="28"/>
    </row>
    <row r="28" spans="1:19" s="29" customFormat="1" ht="12.95" customHeight="1" x14ac:dyDescent="0.25">
      <c r="A28" s="55">
        <f t="shared" si="0"/>
        <v>44886</v>
      </c>
      <c r="B28" s="46"/>
      <c r="C28" s="46"/>
      <c r="D28" s="42"/>
      <c r="E28" s="47"/>
      <c r="F28" s="41"/>
      <c r="G28" s="47"/>
      <c r="H28" s="43"/>
      <c r="I28" s="46"/>
      <c r="J28" s="46"/>
      <c r="K28" s="56"/>
      <c r="L28" s="64"/>
      <c r="M28" s="28"/>
    </row>
    <row r="29" spans="1:19" s="29" customFormat="1" ht="12.95" customHeight="1" x14ac:dyDescent="0.25">
      <c r="A29" s="55">
        <f t="shared" si="0"/>
        <v>44887</v>
      </c>
      <c r="B29" s="46"/>
      <c r="C29" s="46"/>
      <c r="D29" s="42"/>
      <c r="E29" s="47"/>
      <c r="F29" s="41"/>
      <c r="G29" s="47"/>
      <c r="H29" s="43"/>
      <c r="I29" s="46"/>
      <c r="J29" s="46"/>
      <c r="K29" s="56"/>
      <c r="L29" s="64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/>
      <c r="C30" s="46"/>
      <c r="D30" s="42"/>
      <c r="E30" s="47"/>
      <c r="F30" s="41"/>
      <c r="G30" s="47"/>
      <c r="H30" s="43"/>
      <c r="I30" s="46"/>
      <c r="J30" s="46"/>
      <c r="K30" s="56"/>
      <c r="L30" s="64"/>
      <c r="M30" s="28"/>
    </row>
    <row r="31" spans="1:19" s="29" customFormat="1" ht="12.95" customHeight="1" x14ac:dyDescent="0.25">
      <c r="A31" s="55">
        <f t="shared" si="0"/>
        <v>44889</v>
      </c>
      <c r="B31" s="46"/>
      <c r="C31" s="46"/>
      <c r="D31" s="42"/>
      <c r="E31" s="47"/>
      <c r="F31" s="41"/>
      <c r="G31" s="47"/>
      <c r="H31" s="43"/>
      <c r="I31" s="46"/>
      <c r="J31" s="46"/>
      <c r="K31" s="56"/>
      <c r="L31" s="64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/>
      <c r="C32" s="46"/>
      <c r="D32" s="42"/>
      <c r="E32" s="47"/>
      <c r="F32" s="41"/>
      <c r="G32" s="47"/>
      <c r="H32" s="43"/>
      <c r="I32" s="46"/>
      <c r="J32" s="46"/>
      <c r="K32" s="56"/>
      <c r="L32" s="64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/>
      <c r="C33" s="46"/>
      <c r="D33" s="42"/>
      <c r="E33" s="47"/>
      <c r="F33" s="41"/>
      <c r="G33" s="47"/>
      <c r="H33" s="43"/>
      <c r="I33" s="46"/>
      <c r="J33" s="46"/>
      <c r="K33" s="56"/>
      <c r="L33" s="64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/>
      <c r="C34" s="46"/>
      <c r="D34" s="42"/>
      <c r="E34" s="47"/>
      <c r="F34" s="41"/>
      <c r="G34" s="47"/>
      <c r="H34" s="43"/>
      <c r="I34" s="47"/>
      <c r="J34" s="47"/>
      <c r="K34" s="56"/>
      <c r="L34" s="68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/>
      <c r="C35" s="48"/>
      <c r="D35" s="42"/>
      <c r="E35" s="47"/>
      <c r="F35" s="41"/>
      <c r="G35" s="41"/>
      <c r="H35" s="43"/>
      <c r="I35" s="43"/>
      <c r="J35" s="43"/>
      <c r="K35" s="56"/>
      <c r="L35" s="64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9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4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70"/>
      <c r="F39" s="70"/>
      <c r="G39" s="70"/>
      <c r="H39" s="37">
        <f>H38*219.969</f>
        <v>-3195709.6319999998</v>
      </c>
      <c r="I39" s="36">
        <f>I38*219.969</f>
        <v>-38723342.759999998</v>
      </c>
      <c r="J39" s="70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71" t="s">
        <v>37</v>
      </c>
      <c r="I40" s="49"/>
      <c r="J40" s="49"/>
      <c r="K40" s="49"/>
      <c r="L40" s="49"/>
    </row>
    <row r="41" spans="1:16" x14ac:dyDescent="0.25">
      <c r="A41" s="82"/>
      <c r="B41" s="83">
        <f>B32-B10</f>
        <v>-745537</v>
      </c>
      <c r="C41" s="83">
        <f>C32-C10</f>
        <v>-823516</v>
      </c>
      <c r="D41" s="82"/>
      <c r="E41" s="83" t="e">
        <f>E32-#REF!</f>
        <v>#REF!</v>
      </c>
      <c r="F41" s="83">
        <f>F32-F10</f>
        <v>-3716.3</v>
      </c>
      <c r="G41" s="83">
        <f>G32-G10</f>
        <v>-47143.8</v>
      </c>
      <c r="H41" s="83">
        <f>H32-H10</f>
        <v>-14528</v>
      </c>
      <c r="I41" s="83">
        <f t="shared" ref="I41:J41" si="2">I32-I10</f>
        <v>-176410</v>
      </c>
      <c r="J41" s="83">
        <f t="shared" si="2"/>
        <v>-61207393</v>
      </c>
      <c r="K41" s="82"/>
      <c r="L41" s="82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>
        <f>I41*219.969</f>
        <v>-38804731.289999999</v>
      </c>
      <c r="J42" s="49">
        <v>768611</v>
      </c>
      <c r="K42" s="49"/>
      <c r="L42" s="49"/>
    </row>
    <row r="43" spans="1:16" x14ac:dyDescent="0.25">
      <c r="A43" s="49"/>
      <c r="B43" s="49"/>
      <c r="C43" s="70">
        <f>C41+B41</f>
        <v>-1569053</v>
      </c>
      <c r="D43" s="49"/>
      <c r="E43" s="49"/>
      <c r="F43" s="49"/>
      <c r="G43" s="49"/>
      <c r="H43" s="49"/>
      <c r="I43" s="49">
        <v>450276.54300000001</v>
      </c>
      <c r="J43" s="49"/>
      <c r="K43" s="49"/>
      <c r="L43" s="49"/>
    </row>
    <row r="44" spans="1:16" x14ac:dyDescent="0.25">
      <c r="A44" s="49"/>
      <c r="B44" s="49"/>
      <c r="C44" s="49">
        <v>178662</v>
      </c>
      <c r="D44" s="49"/>
      <c r="E44" s="49"/>
      <c r="F44" s="49"/>
      <c r="G44" s="49"/>
      <c r="H44" s="49"/>
      <c r="I44" s="49"/>
      <c r="J44" s="84">
        <f>SUM(J42-J41)/J41</f>
        <v>-1.0125574863154194</v>
      </c>
      <c r="K44" s="49"/>
      <c r="L44" s="49"/>
    </row>
    <row r="45" spans="1:16" x14ac:dyDescent="0.25">
      <c r="A45" s="49"/>
      <c r="B45" s="49"/>
      <c r="C45" s="85">
        <f>SUM(C44-C43)/C43</f>
        <v>-1.1138661345410257</v>
      </c>
      <c r="D45" s="49"/>
      <c r="E45" s="49"/>
      <c r="F45" s="49"/>
      <c r="G45" s="49"/>
      <c r="H45" s="49"/>
      <c r="I45" s="84">
        <f>SUM(I43-I42)/I42</f>
        <v>-1.0116036505867014</v>
      </c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2022-11-07T06:21:03Z</dcterms:modified>
</cp:coreProperties>
</file>