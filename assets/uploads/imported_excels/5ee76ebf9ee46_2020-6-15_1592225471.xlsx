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19\"/>
    </mc:Choice>
  </mc:AlternateContent>
  <bookViews>
    <workbookView xWindow="0" yWindow="0" windowWidth="28800" windowHeight="12000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H23" i="6" s="1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AW16" i="6"/>
  <c r="F17" i="6"/>
  <c r="AW17" i="6"/>
  <c r="AW18" i="6"/>
  <c r="H19" i="6"/>
  <c r="AW19" i="6"/>
  <c r="AW20" i="6"/>
  <c r="AW21" i="6"/>
  <c r="AW22" i="6"/>
  <c r="G23" i="6"/>
  <c r="AW23" i="6"/>
  <c r="AW24" i="6"/>
  <c r="AW25" i="6"/>
  <c r="AW26" i="6"/>
  <c r="G27" i="6"/>
  <c r="AW27" i="6"/>
  <c r="G28" i="6"/>
  <c r="AW28" i="6"/>
  <c r="AW29" i="6"/>
  <c r="AW30" i="6"/>
  <c r="H31" i="6"/>
  <c r="AW31" i="6"/>
  <c r="F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<sst xmlns="http://schemas.openxmlformats.org/spreadsheetml/2006/main" count="296" uniqueCount="138">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</sst>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topLeftCell="A5" workbookViewId="0">
      <selection activeCell="E32" sqref="E32"/>
    </sheetView>
  </sheetViews>
  <sheetFormatPr defaultColWidth="11.5546875" defaultRowHeight="14.4" x14ac:dyDescent="0.3"/>
  <cols>
    <col min="1" max="1" width="27" style="1" customWidth="1"/>
    <col min="2" max="2" width="11.5546875" style="1"/>
    <col min="3" max="3" width="11.5546875" style="18"/>
    <col min="4" max="4" width="13.44140625" style="1" customWidth="1"/>
    <col min="5" max="5" width="9.6640625" style="17" bestFit="1" customWidth="1"/>
    <col min="6" max="6" width="12.5546875" style="18" customWidth="1"/>
    <col min="7" max="7" width="13" style="19" customWidth="1"/>
    <col min="8" max="8" width="11.5546875" style="18"/>
    <col min="9" max="9" width="11.5546875" style="1"/>
    <col min="10" max="10" width="11.5546875" style="18"/>
    <col min="11" max="11" width="11.5546875" style="1"/>
  </cols>
  <sheetData>
    <row r="1" spans="1:13" s="9" customFormat="1" ht="43.2" x14ac:dyDescent="0.3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3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Submetering!E2+Submetering!F2+Submetering!G2+Submetering!H2+Submetering!J2-Submetering!AV2</f>
        <v>9940.0000000004475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3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Submetering!E3+Submetering!F3+Submetering!G3+Submetering!H3+Submetering!J3-Submetering!AV3</f>
        <v>8029.9999999998254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3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Submetering!E4+Submetering!F4+Submetering!G4+Submetering!H4+Submetering!J4-Submetering!AV4</f>
        <v>8489.9999999999145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3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Submetering!E5+Submetering!F5+Submetering!G5+Submetering!H5+Submetering!J5-Submetering!AV5</f>
        <v>8850.0000000003038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3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Submetering!E6+Submetering!F6+Submetering!G6+Submetering!H6+Submetering!J6-Submetering!AV6</f>
        <v>8320.00000000008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3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Submetering!E7+Submetering!F7+Submetering!G7+Submetering!H7+Submetering!J7-Submetering!AV7</f>
        <v>9080.0000000000673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3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Submetering!E8+Submetering!F8+Submetering!G8+Submetering!H8+Submetering!J8-Submetering!AV8</f>
        <v>8429.9999999996217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3</v>
      </c>
    </row>
    <row r="9" spans="1:13" s="16" customFormat="1" x14ac:dyDescent="0.3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Submetering!E9+Submetering!F9+Submetering!G9+Submetering!H9+Submetering!J9-Submetering!AV9</f>
        <v>9070.0000000000236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3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Submetering!E10+Submetering!F10+Submetering!G10+Submetering!H10+Submetering!J10-Submetering!AV10</f>
        <v>9720.0000000004766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3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Submetering!E11+Submetering!F11+Submetering!G11+Submetering!H11+Submetering!J11-Submetering!AV11</f>
        <v>8829.9999999996908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3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Submetering!E12+Submetering!F12+Submetering!G12+Submetering!H12+Submetering!J12-Submetering!AV12</f>
        <v>10750.00000000016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3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Submetering!E13+Submetering!F13+Submetering!G13+Submetering!H13+Submetering!J13-Submetering!AV13</f>
        <v>11019.999999999935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3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Submetering!E14+Submetering!F14+Submetering!G14+Submetering!H14+Submetering!J14-Submetering!AV14</f>
        <v>11719.999999999782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3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Submetering!E15+Submetering!F15+Submetering!G15+Submetering!H15+Submetering!J15-Submetering!AV15</f>
        <v>12459.999999999742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3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Submetering!E16+Submetering!F16+Submetering!G16+Submetering!H16+Submetering!J16-Submetering!AV16</f>
        <v>11430.000000000149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84.2</v>
      </c>
      <c r="J16" s="11">
        <f t="shared" si="3"/>
        <v>10.487297712684205</v>
      </c>
      <c r="K16" s="13">
        <f>'FS Desroches Daily'!CN18</f>
        <v>34</v>
      </c>
    </row>
    <row r="17" spans="1:11" s="16" customFormat="1" x14ac:dyDescent="0.3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Submetering!E17+Submetering!F17+Submetering!G17+Submetering!H17+Submetering!J17-Submetering!AV17</f>
        <v>12780.000000000062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95</v>
      </c>
      <c r="J17" s="11">
        <f t="shared" si="3"/>
        <v>10.487297712684205</v>
      </c>
      <c r="K17" s="13">
        <f>'FS Desroches Daily'!CN19</f>
        <v>37</v>
      </c>
    </row>
    <row r="18" spans="1:11" s="16" customFormat="1" x14ac:dyDescent="0.3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Submetering!E18+Submetering!F18+Submetering!G18+Submetering!H18+Submetering!J18-Submetering!AV18</f>
        <v>12060.000000000455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97</v>
      </c>
      <c r="J18" s="11">
        <f t="shared" si="3"/>
        <v>10.487297712684205</v>
      </c>
      <c r="K18" s="13">
        <f>'FS Desroches Daily'!CN20</f>
        <v>37</v>
      </c>
    </row>
    <row r="19" spans="1:11" s="16" customFormat="1" x14ac:dyDescent="0.3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Submetering!E19+Submetering!F19+Submetering!G19+Submetering!H19+Submetering!J19-Submetering!AV19</f>
        <v>10899.999999999651</v>
      </c>
      <c r="F19" s="11">
        <f t="shared" si="1"/>
        <v>0.58765030286592534</v>
      </c>
      <c r="G19" s="12">
        <f>(Submetering!AX19+Submetering!AY19+Submetering!AZ19+Submetering!BA19+Submetering!BB19)</f>
        <v>31.135499999999997</v>
      </c>
      <c r="H19" s="11">
        <f t="shared" si="2"/>
        <v>0.99</v>
      </c>
      <c r="I19" s="12">
        <f>'FS Desroches Daily'!CM21</f>
        <v>88</v>
      </c>
      <c r="J19" s="11">
        <f t="shared" si="3"/>
        <v>10.487297712684205</v>
      </c>
      <c r="K19" s="13">
        <f>'FS Desroches Daily'!CN21</f>
        <v>28</v>
      </c>
    </row>
    <row r="20" spans="1:11" s="16" customFormat="1" x14ac:dyDescent="0.3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Submetering!E20+Submetering!F20+Submetering!G20+Submetering!H20+Submetering!J20-Submetering!AV20</f>
        <v>11519.999999999778</v>
      </c>
      <c r="F20" s="11">
        <f t="shared" si="1"/>
        <v>0.58765030286592534</v>
      </c>
      <c r="G20" s="12">
        <f>(Submetering!AX20+Submetering!AY20+Submetering!AZ20+Submetering!BA20+Submetering!BB20)</f>
        <v>40.292999999999999</v>
      </c>
      <c r="H20" s="11">
        <f t="shared" si="2"/>
        <v>0.99</v>
      </c>
      <c r="I20" s="12">
        <f>'FS Desroches Daily'!CM22</f>
        <v>92</v>
      </c>
      <c r="J20" s="11">
        <f t="shared" si="3"/>
        <v>10.487297712684205</v>
      </c>
      <c r="K20" s="13">
        <f>'FS Desroches Daily'!CN22</f>
        <v>34</v>
      </c>
    </row>
    <row r="21" spans="1:11" s="16" customFormat="1" x14ac:dyDescent="0.3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Submetering!E21+Submetering!F21+Submetering!G21+Submetering!H21+Submetering!J21-Submetering!AV21</f>
        <v>12770.000000000258</v>
      </c>
      <c r="F21" s="11">
        <f t="shared" si="1"/>
        <v>0.58765030286592534</v>
      </c>
      <c r="G21" s="12">
        <f>(Submetering!AX21+Submetering!AY21+Submetering!AZ21+Submetering!BA21+Submetering!BB21)</f>
        <v>42.124499999999998</v>
      </c>
      <c r="H21" s="11">
        <f t="shared" si="2"/>
        <v>0.99</v>
      </c>
      <c r="I21" s="12">
        <f>'FS Desroches Daily'!CM23</f>
        <v>86</v>
      </c>
      <c r="J21" s="11">
        <f t="shared" si="3"/>
        <v>10.487297712684205</v>
      </c>
      <c r="K21" s="13">
        <f>'FS Desroches Daily'!CN23</f>
        <v>42</v>
      </c>
    </row>
    <row r="22" spans="1:11" s="16" customFormat="1" x14ac:dyDescent="0.3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Submetering!E22+Submetering!F22+Submetering!G22+Submetering!H22+Submetering!J22-Submetering!AV22</f>
        <v>13399.999999999713</v>
      </c>
      <c r="F22" s="11">
        <f t="shared" si="1"/>
        <v>0.58765030286592534</v>
      </c>
      <c r="G22" s="12">
        <f>(Submetering!AX22+Submetering!AY22+Submetering!AZ22+Submetering!BA22+Submetering!BB22)</f>
        <v>34.798499999999997</v>
      </c>
      <c r="H22" s="11">
        <f t="shared" si="2"/>
        <v>0.99</v>
      </c>
      <c r="I22" s="12">
        <f>'FS Desroches Daily'!CM24</f>
        <v>103</v>
      </c>
      <c r="J22" s="11">
        <f t="shared" si="3"/>
        <v>10.487297712684205</v>
      </c>
      <c r="K22" s="13">
        <f>'FS Desroches Daily'!CN24</f>
        <v>45</v>
      </c>
    </row>
    <row r="23" spans="1:11" s="16" customFormat="1" x14ac:dyDescent="0.3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Submetering!E23+Submetering!F23+Submetering!G23+Submetering!H23+Submetering!J23-Submetering!AV23</f>
        <v>13990.00000000012</v>
      </c>
      <c r="F23" s="11">
        <f t="shared" si="1"/>
        <v>0.58765030286592534</v>
      </c>
      <c r="G23" s="12">
        <f>(Submetering!AX23+Submetering!AY23+Submetering!AZ23+Submetering!BA23+Submetering!BB23)</f>
        <v>32.966999999999999</v>
      </c>
      <c r="H23" s="11">
        <f t="shared" si="2"/>
        <v>0.99</v>
      </c>
      <c r="I23" s="12">
        <f>'FS Desroches Daily'!CM25</f>
        <v>101</v>
      </c>
      <c r="J23" s="11">
        <f t="shared" si="3"/>
        <v>10.487297712684205</v>
      </c>
      <c r="K23" s="13">
        <f>'FS Desroches Daily'!CN25</f>
        <v>48</v>
      </c>
    </row>
    <row r="24" spans="1:11" s="16" customFormat="1" x14ac:dyDescent="0.3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Submetering!E24+Submetering!F24+Submetering!G24+Submetering!H24+Submetering!J24-Submetering!AV24</f>
        <v>13949.999999999909</v>
      </c>
      <c r="F24" s="11">
        <f t="shared" si="1"/>
        <v>0.58765030286592534</v>
      </c>
      <c r="G24" s="12">
        <f>(Submetering!AX24+Submetering!AY24+Submetering!AZ24+Submetering!BA24+Submetering!BB24)</f>
        <v>34.798499999999997</v>
      </c>
      <c r="H24" s="11">
        <f t="shared" si="2"/>
        <v>0.99</v>
      </c>
      <c r="I24" s="12">
        <f>'FS Desroches Daily'!CM26</f>
        <v>105.2</v>
      </c>
      <c r="J24" s="11">
        <f t="shared" si="3"/>
        <v>10.487297712684205</v>
      </c>
      <c r="K24" s="13">
        <f>'FS Desroches Daily'!CN26</f>
        <v>41</v>
      </c>
    </row>
    <row r="25" spans="1:11" s="16" customFormat="1" x14ac:dyDescent="0.3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Submetering!E25+Submetering!F25+Submetering!G25+Submetering!H25+Submetering!J25-Submetering!AV25</f>
        <v>13740.000000000062</v>
      </c>
      <c r="F25" s="11">
        <f t="shared" si="1"/>
        <v>0.58765030286592534</v>
      </c>
      <c r="G25" s="12">
        <f>(Submetering!AX25+Submetering!AY25+Submetering!AZ25+Submetering!BA25+Submetering!BB25)</f>
        <v>32.966999999999999</v>
      </c>
      <c r="H25" s="11">
        <f t="shared" si="2"/>
        <v>0.99</v>
      </c>
      <c r="I25" s="12">
        <f>'FS Desroches Daily'!CM27</f>
        <v>102.9</v>
      </c>
      <c r="J25" s="11">
        <f t="shared" si="3"/>
        <v>10.487297712684205</v>
      </c>
      <c r="K25" s="13">
        <f>'FS Desroches Daily'!CN27</f>
        <v>42</v>
      </c>
    </row>
    <row r="26" spans="1:11" s="16" customFormat="1" x14ac:dyDescent="0.3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Submetering!E26+Submetering!F26+Submetering!G26+Submetering!H26+Submetering!J26-Submetering!AV26</f>
        <v>14210.000000000182</v>
      </c>
      <c r="F26" s="11">
        <f t="shared" si="1"/>
        <v>0.58765030286592534</v>
      </c>
      <c r="G26" s="12">
        <f>(Submetering!AX26+Submetering!AY26+Submetering!AZ26+Submetering!BA26+Submetering!BB26)</f>
        <v>38.461500000000001</v>
      </c>
      <c r="H26" s="11">
        <f t="shared" si="2"/>
        <v>0.99</v>
      </c>
      <c r="I26" s="12">
        <f>'FS Desroches Daily'!CM28</f>
        <v>113.9</v>
      </c>
      <c r="J26" s="11">
        <f t="shared" si="3"/>
        <v>10.487297712684205</v>
      </c>
      <c r="K26" s="13">
        <f>'FS Desroches Daily'!CN28</f>
        <v>36</v>
      </c>
    </row>
    <row r="27" spans="1:11" s="16" customFormat="1" x14ac:dyDescent="0.3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Submetering!E27+Submetering!F27+Submetering!G27+Submetering!H27+Submetering!J27-Submetering!AV27</f>
        <v>16080.000000000151</v>
      </c>
      <c r="F27" s="11">
        <f t="shared" si="1"/>
        <v>0.58765030286592534</v>
      </c>
      <c r="G27" s="12">
        <f>(Submetering!AX27+Submetering!AY27+Submetering!AZ27+Submetering!BA27+Submetering!BB27)</f>
        <v>38.461500000000001</v>
      </c>
      <c r="H27" s="11">
        <f t="shared" si="2"/>
        <v>0.99</v>
      </c>
      <c r="I27" s="12">
        <f>'FS Desroches Daily'!CM29</f>
        <v>136</v>
      </c>
      <c r="J27" s="11">
        <f t="shared" si="3"/>
        <v>10.487297712684205</v>
      </c>
      <c r="K27" s="13">
        <f>'FS Desroches Daily'!CN29</f>
        <v>36</v>
      </c>
    </row>
    <row r="28" spans="1:11" s="16" customFormat="1" x14ac:dyDescent="0.3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Submetering!E28+Submetering!F28+Submetering!G28+Submetering!H28+Submetering!J28-Submetering!AV28</f>
        <v>13379.99999999966</v>
      </c>
      <c r="F28" s="11">
        <f t="shared" si="1"/>
        <v>0.58765030286592534</v>
      </c>
      <c r="G28" s="12">
        <f>(Submetering!AX28+Submetering!AY28+Submetering!AZ28+Submetering!BA28+Submetering!BB28)</f>
        <v>31.135499999999997</v>
      </c>
      <c r="H28" s="11">
        <f t="shared" si="2"/>
        <v>0.99</v>
      </c>
      <c r="I28" s="12">
        <f>'FS Desroches Daily'!CM30</f>
        <v>104.4</v>
      </c>
      <c r="J28" s="11">
        <f t="shared" si="3"/>
        <v>10.487297712684205</v>
      </c>
      <c r="K28" s="13">
        <f>'FS Desroches Daily'!CN30</f>
        <v>34</v>
      </c>
    </row>
    <row r="29" spans="1:11" s="16" customFormat="1" x14ac:dyDescent="0.3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Submetering!E29+Submetering!F29+Submetering!G29+Submetering!H29+Submetering!J29-Submetering!AV29</f>
        <v>13120.000000000426</v>
      </c>
      <c r="F29" s="11">
        <f t="shared" si="1"/>
        <v>0.58765030286592534</v>
      </c>
      <c r="G29" s="12">
        <f>(Submetering!AX29+Submetering!AY29+Submetering!AZ29+Submetering!BA29+Submetering!BB29)</f>
        <v>31.135499999999997</v>
      </c>
      <c r="H29" s="11">
        <f t="shared" si="2"/>
        <v>0.99</v>
      </c>
      <c r="I29" s="12">
        <f>'FS Desroches Daily'!CM31</f>
        <v>106</v>
      </c>
      <c r="J29" s="11">
        <f t="shared" si="3"/>
        <v>10.487297712684205</v>
      </c>
      <c r="K29" s="13">
        <f>'FS Desroches Daily'!CN31</f>
        <v>35</v>
      </c>
    </row>
    <row r="30" spans="1:11" s="16" customFormat="1" x14ac:dyDescent="0.3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Submetering!E30+Submetering!F30+Submetering!G30+Submetering!H30+Submetering!J30-Submetering!AV30</f>
        <v>13339.999999999418</v>
      </c>
      <c r="F30" s="11">
        <f t="shared" si="1"/>
        <v>0.58765030286592534</v>
      </c>
      <c r="G30" s="12">
        <f>(Submetering!AX30+Submetering!AY30+Submetering!AZ30+Submetering!BA30+Submetering!BB30)</f>
        <v>32.966999999999999</v>
      </c>
      <c r="H30" s="11">
        <f t="shared" si="2"/>
        <v>0.99</v>
      </c>
      <c r="I30" s="12">
        <f>'FS Desroches Daily'!CM32</f>
        <v>94</v>
      </c>
      <c r="J30" s="11">
        <f t="shared" si="3"/>
        <v>10.487297712684205</v>
      </c>
      <c r="K30" s="13">
        <f>'FS Desroches Daily'!CN32</f>
        <v>34</v>
      </c>
    </row>
    <row r="31" spans="1:11" s="14" customFormat="1" x14ac:dyDescent="0.3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Submetering!E31+Submetering!F31+Submetering!G31+Submetering!H31+Submetering!J31-Submetering!AV31</f>
        <v>12770.000000000004</v>
      </c>
      <c r="F31" s="11">
        <f t="shared" si="1"/>
        <v>0.58765030286592534</v>
      </c>
      <c r="G31" s="12">
        <f>(Submetering!AX31+Submetering!AY31+Submetering!AZ31+Submetering!BA31+Submetering!BB31)</f>
        <v>27.472499999999997</v>
      </c>
      <c r="H31" s="11">
        <f t="shared" si="2"/>
        <v>0.99</v>
      </c>
      <c r="I31" s="12">
        <f>'FS Desroches Daily'!CM33</f>
        <v>110</v>
      </c>
      <c r="J31" s="11">
        <f t="shared" si="3"/>
        <v>10.487297712684205</v>
      </c>
      <c r="K31" s="13">
        <f>'FS Desroches Daily'!CN33</f>
        <v>38</v>
      </c>
    </row>
    <row r="32" spans="1:11" x14ac:dyDescent="0.3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Submetering!E32+Submetering!F32+Submetering!G32+Submetering!H32+Submetering!J32-Submetering!AV32</f>
        <v>13670.000000000182</v>
      </c>
      <c r="F32" s="11">
        <f t="shared" si="1"/>
        <v>0.58765030286592534</v>
      </c>
      <c r="G32" s="12">
        <f>(Submetering!AX32+Submetering!AY32+Submetering!AZ32+Submetering!BA32+Submetering!BB32)</f>
        <v>27.472499999999993</v>
      </c>
      <c r="H32" s="11">
        <f t="shared" si="2"/>
        <v>0.99</v>
      </c>
      <c r="I32" s="12">
        <f>'FS Desroches Daily'!CM34</f>
        <v>104.3</v>
      </c>
      <c r="J32" s="11">
        <f t="shared" si="3"/>
        <v>10.487297712684205</v>
      </c>
      <c r="K32" s="13">
        <f>'FS Desroches Daily'!CN34</f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H2" sqref="H2"/>
    </sheetView>
  </sheetViews>
  <sheetFormatPr defaultColWidth="11.5546875" defaultRowHeight="14.4" x14ac:dyDescent="0.3"/>
  <cols>
    <col min="1" max="1" width="27" style="31" customWidth="1"/>
    <col min="2" max="2" width="11.5546875" style="31"/>
    <col min="3" max="3" width="11.5546875" style="18"/>
    <col min="4" max="4" width="13.44140625" style="31" customWidth="1"/>
    <col min="5" max="5" width="13" style="17" customWidth="1"/>
    <col min="6" max="6" width="12.5546875" style="18" customWidth="1"/>
    <col min="7" max="7" width="13" style="33" customWidth="1"/>
    <col min="8" max="8" width="11.5546875" style="18"/>
    <col min="9" max="9" width="11.5546875" style="31"/>
    <col min="10" max="10" width="11.5546875" style="18"/>
    <col min="11" max="11" width="11.5546875" style="31"/>
    <col min="12" max="12" width="12" style="31" bestFit="1" customWidth="1"/>
    <col min="13" max="20" width="11.5546875" style="31"/>
    <col min="21" max="31" width="11.5546875" style="40"/>
    <col min="32" max="32" width="11.5546875" style="31"/>
    <col min="33" max="42" width="11.5546875" style="18"/>
    <col min="43" max="55" width="11.5546875" style="31"/>
    <col min="56" max="56" width="12" style="32" bestFit="1" customWidth="1"/>
    <col min="57" max="16384" width="11.5546875" style="32"/>
  </cols>
  <sheetData>
    <row r="1" spans="1:56" s="9" customFormat="1" ht="55.5" customHeight="1" x14ac:dyDescent="0.3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3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3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3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3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3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3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3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3</v>
      </c>
      <c r="BD8" s="9"/>
    </row>
    <row r="9" spans="1:56" s="16" customFormat="1" x14ac:dyDescent="0.3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3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3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3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3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3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3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>
        <f>'FS Desroches Daily'!T17</f>
        <v>1169</v>
      </c>
      <c r="N15" s="35">
        <f>'FS Desroches Daily'!V17</f>
        <v>518</v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3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2499.9999999999468</v>
      </c>
      <c r="F16" s="36">
        <f>'FS Desroches Daily'!F18</f>
        <v>3200.0000000000919</v>
      </c>
      <c r="G16" s="35">
        <f>'FS Desroches Daily'!H18</f>
        <v>3400.0000000000696</v>
      </c>
      <c r="H16" s="36">
        <f>'FS Desroches Daily'!J18</f>
        <v>1420.0000000000728</v>
      </c>
      <c r="I16" s="35">
        <f>'FS Desroches Daily'!L18</f>
        <v>2199.9999999999795</v>
      </c>
      <c r="J16" s="36">
        <f>'FS Desroches Daily'!N18</f>
        <v>1769.9999999999818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1120</v>
      </c>
      <c r="N16" s="35">
        <f>'FS Desroches Daily'!V18</f>
        <v>537</v>
      </c>
      <c r="O16" s="35">
        <f>'FS Desroches Daily'!X18</f>
        <v>379.99999999999545</v>
      </c>
      <c r="P16" s="35">
        <f>'FS Desroches Daily'!Z18</f>
        <v>3000.0000000001137</v>
      </c>
      <c r="Q16" s="35">
        <f>'FS Desroches Daily'!AB18</f>
        <v>540.00000000002046</v>
      </c>
      <c r="R16" s="35">
        <f>'FS Desroches Daily'!AD18</f>
        <v>509.99999999999091</v>
      </c>
      <c r="S16" s="35">
        <f>'FS Desroches Daily'!AF18</f>
        <v>659.99999999996817</v>
      </c>
      <c r="T16" s="35">
        <f>'FS Desroches Daily'!AH18</f>
        <v>2.6999999999999318</v>
      </c>
      <c r="U16" s="39">
        <f>'FS Desroches Daily'!AJ18</f>
        <v>360.00000000001364</v>
      </c>
      <c r="V16" s="39">
        <f>'FS Desroches Daily'!AL18</f>
        <v>0.25</v>
      </c>
      <c r="W16" s="39">
        <f>'FS Desroches Daily'!AN18</f>
        <v>0.26000000000000512</v>
      </c>
      <c r="X16" s="39">
        <f>'FS Desroches Daily'!AP18</f>
        <v>0.23999999999999488</v>
      </c>
      <c r="Y16" s="39">
        <f>'FS Desroches Daily'!AR18</f>
        <v>40.000000000020464</v>
      </c>
      <c r="Z16" s="39">
        <f>'FS Desroches Daily'!AT18</f>
        <v>60.000000000002274</v>
      </c>
      <c r="AA16" s="39">
        <f>'FS Desroches Daily'!AT18</f>
        <v>60.000000000002274</v>
      </c>
      <c r="AB16" s="39">
        <f>'FS Desroches Daily'!AV18</f>
        <v>209.99999999997954</v>
      </c>
      <c r="AC16" s="39">
        <f>'FS Desroches Daily'!AZ18</f>
        <v>210.00000000003638</v>
      </c>
      <c r="AD16" s="39">
        <f>'FS Desroches Daily'!BB18</f>
        <v>329.99999999998408</v>
      </c>
      <c r="AE16" s="39">
        <f>'FS Desroches Daily'!BD18</f>
        <v>9.9999999999909051</v>
      </c>
      <c r="AF16" s="35">
        <f>'FS Desroches Daily'!BF18</f>
        <v>53</v>
      </c>
      <c r="AG16" s="36">
        <f>'FS Desroches Daily'!BH18</f>
        <v>40.000000000020464</v>
      </c>
      <c r="AH16" s="36">
        <f>'FS Desroches Daily'!BJ18</f>
        <v>49.999999999954525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50.000000000011369</v>
      </c>
      <c r="AL16" s="36">
        <f>'FS Desroches Daily'!BR18</f>
        <v>45</v>
      </c>
      <c r="AM16" s="36">
        <f>'FS Desroches Daily'!BT18</f>
        <v>39.999999999992042</v>
      </c>
      <c r="AN16" s="36">
        <f>'FS Desroches Daily'!BV18</f>
        <v>36</v>
      </c>
      <c r="AO16" s="36">
        <f>'FS Desroches Daily'!BX18</f>
        <v>49.999999999982947</v>
      </c>
      <c r="AP16" s="36">
        <f>'FS Desroches Daily'!BZ18</f>
        <v>67</v>
      </c>
      <c r="AQ16" s="35">
        <f>'FS Desroches Daily'!CB18</f>
        <v>29.399999999997817</v>
      </c>
      <c r="AR16" s="35">
        <f>'FS Desroches Daily'!CD18</f>
        <v>11.5</v>
      </c>
      <c r="AS16" s="35">
        <f>'FS Desroches Daily'!CF18</f>
        <v>10.199999999999818</v>
      </c>
      <c r="AT16" s="35">
        <f>'FS Desroches Daily'!CH18</f>
        <v>74.19999999999709</v>
      </c>
      <c r="AU16" s="35">
        <f>'FS Desroches Daily'!CJ18</f>
        <v>290</v>
      </c>
      <c r="AV16" s="35">
        <f>'FS Desroches Daily'!CL18</f>
        <v>860.00000000001364</v>
      </c>
      <c r="AW16" s="35">
        <f>'FS Desroches Daily'!CM18</f>
        <v>84.2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0</v>
      </c>
      <c r="BA16" s="35">
        <f>IF(LPG!M23-LPG!M22&lt;0,"0",(LPG!M23-LPG!M22)*1.8315)</f>
        <v>7.3259999999999996</v>
      </c>
      <c r="BB16" s="35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3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2800.0000000001355</v>
      </c>
      <c r="F17" s="36">
        <f>'FS Desroches Daily'!F19</f>
        <v>3600.0000000000477</v>
      </c>
      <c r="G17" s="35">
        <f>'FS Desroches Daily'!H19</f>
        <v>3699.9999999998145</v>
      </c>
      <c r="H17" s="36">
        <f>'FS Desroches Daily'!J19</f>
        <v>1610.0000000000136</v>
      </c>
      <c r="I17" s="35">
        <f>'FS Desroches Daily'!L19</f>
        <v>2599.9999999999359</v>
      </c>
      <c r="J17" s="36">
        <f>'FS Desroches Daily'!N19</f>
        <v>1950.0000000000455</v>
      </c>
      <c r="K17" s="13">
        <f>'FS Desroches Daily'!P19</f>
        <v>18</v>
      </c>
      <c r="L17" s="35">
        <f>'FS Desroches Daily'!R19</f>
        <v>7</v>
      </c>
      <c r="M17" s="35">
        <f>'FS Desroches Daily'!T19</f>
        <v>991</v>
      </c>
      <c r="N17" s="35">
        <f>'FS Desroches Daily'!V19</f>
        <v>518</v>
      </c>
      <c r="O17" s="35">
        <f>'FS Desroches Daily'!X19</f>
        <v>470.00000000002728</v>
      </c>
      <c r="P17" s="35">
        <f>'FS Desroches Daily'!Z19</f>
        <v>3099.9999999998809</v>
      </c>
      <c r="Q17" s="35">
        <f>'FS Desroches Daily'!AB19</f>
        <v>560.00000000000227</v>
      </c>
      <c r="R17" s="35">
        <f>'FS Desroches Daily'!AD19</f>
        <v>469.99999999999886</v>
      </c>
      <c r="S17" s="35">
        <f>'FS Desroches Daily'!AF19</f>
        <v>790.00000000002046</v>
      </c>
      <c r="T17" s="35">
        <f>'FS Desroches Daily'!AH19</f>
        <v>2.9000000000000909</v>
      </c>
      <c r="U17" s="39">
        <f>'FS Desroches Daily'!AJ19</f>
        <v>410.00000000002501</v>
      </c>
      <c r="V17" s="39">
        <f>'FS Desroches Daily'!AL19</f>
        <v>0.28999999999999204</v>
      </c>
      <c r="W17" s="39">
        <f>'FS Desroches Daily'!AN19</f>
        <v>0.22999999999998977</v>
      </c>
      <c r="X17" s="39">
        <f>'FS Desroches Daily'!AP19</f>
        <v>0.14000000000000057</v>
      </c>
      <c r="Y17" s="39">
        <f>'FS Desroches Daily'!AR19</f>
        <v>99.999999999994316</v>
      </c>
      <c r="Z17" s="39">
        <f>'FS Desroches Daily'!AT19</f>
        <v>60.000000000002274</v>
      </c>
      <c r="AA17" s="39">
        <f>'FS Desroches Daily'!AT19</f>
        <v>60.000000000002274</v>
      </c>
      <c r="AB17" s="39">
        <f>'FS Desroches Daily'!AV19</f>
        <v>219.99999999999886</v>
      </c>
      <c r="AC17" s="39">
        <f>'FS Desroches Daily'!AZ19</f>
        <v>219.99999999997044</v>
      </c>
      <c r="AD17" s="39">
        <f>'FS Desroches Daily'!BB19</f>
        <v>290.00000000002046</v>
      </c>
      <c r="AE17" s="39">
        <f>'FS Desroches Daily'!BD19</f>
        <v>99.999999999994316</v>
      </c>
      <c r="AF17" s="35">
        <f>'FS Desroches Daily'!BF19</f>
        <v>40</v>
      </c>
      <c r="AG17" s="36">
        <f>'FS Desroches Daily'!BH19</f>
        <v>30.000000000001137</v>
      </c>
      <c r="AH17" s="36">
        <f>'FS Desroches Daily'!BJ19</f>
        <v>40.000000000020464</v>
      </c>
      <c r="AI17" s="36">
        <f>'FS Desroches Daily'!BL19</f>
        <v>40.000000000020464</v>
      </c>
      <c r="AJ17" s="36">
        <f>'FS Desroches Daily'!BN19</f>
        <v>40.000000000020464</v>
      </c>
      <c r="AK17" s="36">
        <f>'FS Desroches Daily'!BP19</f>
        <v>60.000000000002274</v>
      </c>
      <c r="AL17" s="36">
        <f>'FS Desroches Daily'!BR19</f>
        <v>39</v>
      </c>
      <c r="AM17" s="36">
        <f>'FS Desroches Daily'!BT19</f>
        <v>50.000000000011369</v>
      </c>
      <c r="AN17" s="36">
        <f>'FS Desroches Daily'!BV19</f>
        <v>38</v>
      </c>
      <c r="AO17" s="36">
        <f>'FS Desroches Daily'!BX19</f>
        <v>40.000000000020464</v>
      </c>
      <c r="AP17" s="36">
        <f>'FS Desroches Daily'!BZ19</f>
        <v>79</v>
      </c>
      <c r="AQ17" s="35">
        <f>'FS Desroches Daily'!CB19</f>
        <v>21.200000000000728</v>
      </c>
      <c r="AR17" s="35">
        <f>'FS Desroches Daily'!CD19</f>
        <v>13.399999999999636</v>
      </c>
      <c r="AS17" s="35">
        <f>'FS Desroches Daily'!CF19</f>
        <v>11.699999999999818</v>
      </c>
      <c r="AT17" s="35">
        <f>'FS Desroches Daily'!CH19</f>
        <v>64.200000000004366</v>
      </c>
      <c r="AU17" s="35">
        <f>'FS Desroches Daily'!CJ19</f>
        <v>360</v>
      </c>
      <c r="AV17" s="35">
        <f>'FS Desroches Daily'!CL19</f>
        <v>879.99999999999545</v>
      </c>
      <c r="AW17" s="35">
        <f>'FS Desroches Daily'!CM19</f>
        <v>95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3.6629999999999998</v>
      </c>
      <c r="BC17" s="13">
        <f>'FS Desroches Daily'!CN19</f>
        <v>37</v>
      </c>
      <c r="BD17" s="9"/>
    </row>
    <row r="18" spans="1:56" s="16" customFormat="1" x14ac:dyDescent="0.3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2499.9999999999468</v>
      </c>
      <c r="F18" s="36">
        <f>'FS Desroches Daily'!F20</f>
        <v>3500.0000000002806</v>
      </c>
      <c r="G18" s="35">
        <f>'FS Desroches Daily'!H20</f>
        <v>3500.0000000002806</v>
      </c>
      <c r="H18" s="36">
        <f>'FS Desroches Daily'!J20</f>
        <v>1529.9999999999727</v>
      </c>
      <c r="I18" s="35">
        <f>'FS Desroches Daily'!L20</f>
        <v>2599.9999999999359</v>
      </c>
      <c r="J18" s="36">
        <f>'FS Desroches Daily'!N20</f>
        <v>1669.9999999999591</v>
      </c>
      <c r="K18" s="13">
        <f>'FS Desroches Daily'!P20</f>
        <v>19</v>
      </c>
      <c r="L18" s="35">
        <f>'FS Desroches Daily'!R20</f>
        <v>9</v>
      </c>
      <c r="M18" s="35">
        <f>'FS Desroches Daily'!T20</f>
        <v>1904</v>
      </c>
      <c r="N18" s="35">
        <f>'FS Desroches Daily'!V20</f>
        <v>684</v>
      </c>
      <c r="O18" s="35">
        <f>'FS Desroches Daily'!X20</f>
        <v>359.9999999999568</v>
      </c>
      <c r="P18" s="35">
        <f>'FS Desroches Daily'!Z20</f>
        <v>3200.0000000000919</v>
      </c>
      <c r="Q18" s="35">
        <f>'FS Desroches Daily'!AB20</f>
        <v>480.00000000001819</v>
      </c>
      <c r="R18" s="35">
        <f>'FS Desroches Daily'!AD20</f>
        <v>379.99999999999545</v>
      </c>
      <c r="S18" s="35">
        <f>'FS Desroches Daily'!AF20</f>
        <v>740.00000000000909</v>
      </c>
      <c r="T18" s="35">
        <f>'FS Desroches Daily'!AH20</f>
        <v>2.2999999999999545</v>
      </c>
      <c r="U18" s="39">
        <f>'FS Desroches Daily'!AJ20</f>
        <v>609.9999999999568</v>
      </c>
      <c r="V18" s="39">
        <f>'FS Desroches Daily'!AL20</f>
        <v>0.29000000000000625</v>
      </c>
      <c r="W18" s="39">
        <f>'FS Desroches Daily'!AN20</f>
        <v>9.0000000000003411E-2</v>
      </c>
      <c r="X18" s="39">
        <f>'FS Desroches Daily'!AP20</f>
        <v>0.15000000000000568</v>
      </c>
      <c r="Y18" s="39">
        <f>'FS Desroches Daily'!AR20</f>
        <v>90.000000000003411</v>
      </c>
      <c r="Z18" s="39">
        <f>'FS Desroches Daily'!AT20</f>
        <v>60.000000000002274</v>
      </c>
      <c r="AA18" s="39">
        <f>'FS Desroches Daily'!AT20</f>
        <v>60.000000000002274</v>
      </c>
      <c r="AB18" s="39">
        <f>'FS Desroches Daily'!AV20</f>
        <v>219.99999999999886</v>
      </c>
      <c r="AC18" s="39">
        <f>'FS Desroches Daily'!AZ20</f>
        <v>160.00000000002501</v>
      </c>
      <c r="AD18" s="39">
        <f>'FS Desroches Daily'!BB20</f>
        <v>209.99999999997954</v>
      </c>
      <c r="AE18" s="39">
        <f>'FS Desroches Daily'!BD20</f>
        <v>90.000000000003411</v>
      </c>
      <c r="AF18" s="35">
        <f>'FS Desroches Daily'!BF20</f>
        <v>56</v>
      </c>
      <c r="AG18" s="36">
        <f>'FS Desroches Daily'!BH20</f>
        <v>30.000000000001137</v>
      </c>
      <c r="AH18" s="36">
        <f>'FS Desroches Daily'!BJ20</f>
        <v>40.000000000020464</v>
      </c>
      <c r="AI18" s="36">
        <f>'FS Desroches Daily'!BL20</f>
        <v>39.999999999992042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39.999999999992042</v>
      </c>
      <c r="AN18" s="36">
        <f>'FS Desroches Daily'!BV20</f>
        <v>32</v>
      </c>
      <c r="AO18" s="36">
        <f>'FS Desroches Daily'!BX20</f>
        <v>39.999999999992042</v>
      </c>
      <c r="AP18" s="36">
        <f>'FS Desroches Daily'!BZ20</f>
        <v>49</v>
      </c>
      <c r="AQ18" s="35">
        <f>'FS Desroches Daily'!CB20</f>
        <v>38.100000000002183</v>
      </c>
      <c r="AR18" s="35">
        <f>'FS Desroches Daily'!CD20</f>
        <v>12.5</v>
      </c>
      <c r="AS18" s="35">
        <f>'FS Desroches Daily'!CF20</f>
        <v>12.600000000000364</v>
      </c>
      <c r="AT18" s="35">
        <f>'FS Desroches Daily'!CH20</f>
        <v>51</v>
      </c>
      <c r="AU18" s="35">
        <f>'FS Desroches Daily'!CJ20</f>
        <v>368</v>
      </c>
      <c r="AV18" s="35">
        <f>'FS Desroches Daily'!CL20</f>
        <v>639.99999999998636</v>
      </c>
      <c r="AW18" s="35">
        <f>'FS Desroches Daily'!CM20</f>
        <v>97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0</v>
      </c>
      <c r="BA18" s="35">
        <f>IF(LPG!M25-LPG!M24&lt;0,"0",(LPG!M25-LPG!M24)*1.8315)</f>
        <v>5.4944999999999995</v>
      </c>
      <c r="BB18" s="35">
        <f>IF(LPG!Q25-LPG!Q24&lt;0,"0",(LPG!Q25-LPG!Q24)*1.8315)</f>
        <v>5.4944999999999995</v>
      </c>
      <c r="BC18" s="13">
        <f>'FS Desroches Daily'!CN20</f>
        <v>37</v>
      </c>
      <c r="BD18" s="9"/>
    </row>
    <row r="19" spans="1:56" s="16" customFormat="1" x14ac:dyDescent="0.3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2000.0000000000018</v>
      </c>
      <c r="F19" s="36">
        <f>'FS Desroches Daily'!F21</f>
        <v>3599.9999999996035</v>
      </c>
      <c r="G19" s="35">
        <f>'FS Desroches Daily'!H21</f>
        <v>3400.0000000000696</v>
      </c>
      <c r="H19" s="36">
        <f>'FS Desroches Daily'!J21</f>
        <v>1399.9999999999773</v>
      </c>
      <c r="I19" s="35">
        <f>'FS Desroches Daily'!L21</f>
        <v>2500.0000000001687</v>
      </c>
      <c r="J19" s="36">
        <f>'FS Desroches Daily'!N21</f>
        <v>1370.0000000000045</v>
      </c>
      <c r="K19" s="13">
        <f>'FS Desroches Daily'!P21</f>
        <v>18</v>
      </c>
      <c r="L19" s="35">
        <f>'FS Desroches Daily'!R21</f>
        <v>6</v>
      </c>
      <c r="M19" s="35">
        <f>'FS Desroches Daily'!T21</f>
        <v>1385</v>
      </c>
      <c r="N19" s="35">
        <f>'FS Desroches Daily'!V21</f>
        <v>520</v>
      </c>
      <c r="O19" s="35">
        <f>'FS Desroches Daily'!X21</f>
        <v>439.99999999999773</v>
      </c>
      <c r="P19" s="35">
        <f>'FS Desroches Daily'!Z21</f>
        <v>3099.9999999998809</v>
      </c>
      <c r="Q19" s="35">
        <f>'FS Desroches Daily'!AB21</f>
        <v>459.99999999997954</v>
      </c>
      <c r="R19" s="35">
        <f>'FS Desroches Daily'!AD21</f>
        <v>300.00000000001137</v>
      </c>
      <c r="S19" s="35">
        <f>'FS Desroches Daily'!AF21</f>
        <v>490.00000000000909</v>
      </c>
      <c r="T19" s="35">
        <f>'FS Desroches Daily'!AH21</f>
        <v>2.7000000000000455</v>
      </c>
      <c r="U19" s="39">
        <f>'FS Desroches Daily'!AJ21</f>
        <v>379.99999999999545</v>
      </c>
      <c r="V19" s="39">
        <f>'FS Desroches Daily'!AL21</f>
        <v>0.18999999999999773</v>
      </c>
      <c r="W19" s="39">
        <f>'FS Desroches Daily'!AN21</f>
        <v>7.9999999999998295E-2</v>
      </c>
      <c r="X19" s="39">
        <f>'FS Desroches Daily'!AP21</f>
        <v>0.14000000000000057</v>
      </c>
      <c r="Y19" s="39">
        <f>'FS Desroches Daily'!AR21</f>
        <v>99.999999999994316</v>
      </c>
      <c r="Z19" s="39">
        <f>'FS Desroches Daily'!AT21</f>
        <v>60.000000000002274</v>
      </c>
      <c r="AA19" s="39">
        <f>'FS Desroches Daily'!AT21</f>
        <v>60.000000000002274</v>
      </c>
      <c r="AB19" s="39">
        <f>'FS Desroches Daily'!AV21</f>
        <v>180.00000000000682</v>
      </c>
      <c r="AC19" s="39">
        <f>'FS Desroches Daily'!AZ21</f>
        <v>149.99999999997726</v>
      </c>
      <c r="AD19" s="39">
        <f>'FS Desroches Daily'!BB21</f>
        <v>170.00000000001592</v>
      </c>
      <c r="AE19" s="39">
        <f>'FS Desroches Daily'!BD21</f>
        <v>20.000000000010232</v>
      </c>
      <c r="AF19" s="35">
        <f>'FS Desroches Daily'!BF21</f>
        <v>38</v>
      </c>
      <c r="AG19" s="36">
        <f>'FS Desroches Daily'!BH21</f>
        <v>19.99999999998181</v>
      </c>
      <c r="AH19" s="36">
        <f>'FS Desroches Daily'!BJ21</f>
        <v>29.999999999972715</v>
      </c>
      <c r="AI19" s="36">
        <f>'FS Desroches Daily'!BL21</f>
        <v>30.000000000001137</v>
      </c>
      <c r="AJ19" s="36">
        <f>'FS Desroches Daily'!BN21</f>
        <v>30.000000000001137</v>
      </c>
      <c r="AK19" s="36">
        <f>'FS Desroches Daily'!BP21</f>
        <v>29.999999999972715</v>
      </c>
      <c r="AL19" s="36">
        <f>'FS Desroches Daily'!BR21</f>
        <v>33</v>
      </c>
      <c r="AM19" s="36">
        <f>'FS Desroches Daily'!BT21</f>
        <v>30.000000000001137</v>
      </c>
      <c r="AN19" s="36">
        <f>'FS Desroches Daily'!BV21</f>
        <v>23</v>
      </c>
      <c r="AO19" s="36">
        <f>'FS Desroches Daily'!BX21</f>
        <v>30.000000000001137</v>
      </c>
      <c r="AP19" s="36">
        <f>'FS Desroches Daily'!BZ21</f>
        <v>37</v>
      </c>
      <c r="AQ19" s="35">
        <f>'FS Desroches Daily'!CB21</f>
        <v>67.19999999999709</v>
      </c>
      <c r="AR19" s="35">
        <f>'FS Desroches Daily'!CD21</f>
        <v>17.200000000000728</v>
      </c>
      <c r="AS19" s="35">
        <f>'FS Desroches Daily'!CF21</f>
        <v>15.800000000000182</v>
      </c>
      <c r="AT19" s="35">
        <f>'FS Desroches Daily'!CH21</f>
        <v>41.599999999998545</v>
      </c>
      <c r="AU19" s="35">
        <f>'FS Desroches Daily'!CJ21</f>
        <v>355</v>
      </c>
      <c r="AV19" s="35">
        <f>'FS Desroches Daily'!CL21</f>
        <v>870.00000000000455</v>
      </c>
      <c r="AW19" s="35">
        <f>'FS Desroches Daily'!CM21</f>
        <v>88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0</v>
      </c>
      <c r="BA19" s="35">
        <f>IF(LPG!M26-LPG!M25&lt;0,"0",(LPG!M26-LPG!M25)*1.8315)</f>
        <v>5.4944999999999995</v>
      </c>
      <c r="BB19" s="35">
        <f>IF(LPG!Q26-LPG!Q25&lt;0,"0",(LPG!Q26-LPG!Q25)*1.8315)</f>
        <v>5.4944999999999995</v>
      </c>
      <c r="BC19" s="13">
        <f>'FS Desroches Daily'!CN21</f>
        <v>28</v>
      </c>
      <c r="BD19" s="9"/>
    </row>
    <row r="20" spans="1:56" s="16" customFormat="1" x14ac:dyDescent="0.3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2199.9999999999795</v>
      </c>
      <c r="F20" s="36">
        <f>'FS Desroches Daily'!F22</f>
        <v>3600.0000000000477</v>
      </c>
      <c r="G20" s="35">
        <f>'FS Desroches Daily'!H22</f>
        <v>3499.9999999998367</v>
      </c>
      <c r="H20" s="36">
        <f>'FS Desroches Daily'!J22</f>
        <v>1529.9999999999727</v>
      </c>
      <c r="I20" s="35">
        <f>'FS Desroches Daily'!L22</f>
        <v>2899.9999999999027</v>
      </c>
      <c r="J20" s="36">
        <f>'FS Desroches Daily'!N22</f>
        <v>1519.9999999999818</v>
      </c>
      <c r="K20" s="13">
        <f>'FS Desroches Daily'!P22</f>
        <v>20</v>
      </c>
      <c r="L20" s="35">
        <f>'FS Desroches Daily'!R22</f>
        <v>7</v>
      </c>
      <c r="M20" s="35">
        <f>'FS Desroches Daily'!T22</f>
        <v>1146</v>
      </c>
      <c r="N20" s="35">
        <f>'FS Desroches Daily'!V22</f>
        <v>353</v>
      </c>
      <c r="O20" s="35">
        <f>'FS Desroches Daily'!X22</f>
        <v>450.00000000004547</v>
      </c>
      <c r="P20" s="35">
        <f>'FS Desroches Daily'!Z22</f>
        <v>3200.0000000000919</v>
      </c>
      <c r="Q20" s="35">
        <f>'FS Desroches Daily'!AB22</f>
        <v>560.00000000000227</v>
      </c>
      <c r="R20" s="35">
        <f>'FS Desroches Daily'!AD22</f>
        <v>329.99999999998408</v>
      </c>
      <c r="S20" s="35">
        <f>'FS Desroches Daily'!AF22</f>
        <v>529.99999999997272</v>
      </c>
      <c r="T20" s="35">
        <f>'FS Desroches Daily'!AH22</f>
        <v>1.5999999999999091</v>
      </c>
      <c r="U20" s="39">
        <f>'FS Desroches Daily'!AJ22</f>
        <v>420.00000000001592</v>
      </c>
      <c r="V20" s="39">
        <f>'FS Desroches Daily'!AL22</f>
        <v>0.21999999999999886</v>
      </c>
      <c r="W20" s="39">
        <f>'FS Desroches Daily'!AN22</f>
        <v>0.17000000000000171</v>
      </c>
      <c r="X20" s="39">
        <f>'FS Desroches Daily'!AP22</f>
        <v>0.17000000000000171</v>
      </c>
      <c r="Y20" s="39">
        <f>'FS Desroches Daily'!AR22</f>
        <v>90.000000000003411</v>
      </c>
      <c r="Z20" s="39">
        <f>'FS Desroches Daily'!AT22</f>
        <v>89.999999999974989</v>
      </c>
      <c r="AA20" s="39">
        <f>'FS Desroches Daily'!AT22</f>
        <v>89.999999999974989</v>
      </c>
      <c r="AB20" s="39">
        <f>'FS Desroches Daily'!AV22</f>
        <v>159.99999999999659</v>
      </c>
      <c r="AC20" s="39">
        <f>'FS Desroches Daily'!AZ22</f>
        <v>160.00000000002501</v>
      </c>
      <c r="AD20" s="39">
        <f>'FS Desroches Daily'!BB22</f>
        <v>209.99999999997954</v>
      </c>
      <c r="AE20" s="39">
        <f>'FS Desroches Daily'!BD22</f>
        <v>19.99999999998181</v>
      </c>
      <c r="AF20" s="35">
        <f>'FS Desroches Daily'!BF22</f>
        <v>46</v>
      </c>
      <c r="AG20" s="36">
        <f>'FS Desroches Daily'!BH22</f>
        <v>30.000000000001137</v>
      </c>
      <c r="AH20" s="36">
        <f>'FS Desroches Daily'!BJ22</f>
        <v>50.000000000011369</v>
      </c>
      <c r="AI20" s="36">
        <f>'FS Desroches Daily'!BL22</f>
        <v>39.999999999992042</v>
      </c>
      <c r="AJ20" s="36">
        <f>'FS Desroches Daily'!BN22</f>
        <v>30.000000000001137</v>
      </c>
      <c r="AK20" s="36">
        <f>'FS Desroches Daily'!BP22</f>
        <v>40.000000000020464</v>
      </c>
      <c r="AL20" s="36">
        <f>'FS Desroches Daily'!BR22</f>
        <v>37</v>
      </c>
      <c r="AM20" s="36">
        <f>'FS Desroches Daily'!BT22</f>
        <v>30.000000000001137</v>
      </c>
      <c r="AN20" s="36">
        <f>'FS Desroches Daily'!BV22</f>
        <v>23</v>
      </c>
      <c r="AO20" s="36">
        <f>'FS Desroches Daily'!BX22</f>
        <v>30.000000000001137</v>
      </c>
      <c r="AP20" s="36">
        <f>'FS Desroches Daily'!BZ22</f>
        <v>59</v>
      </c>
      <c r="AQ20" s="35">
        <f>'FS Desroches Daily'!CB22</f>
        <v>52.400000000001455</v>
      </c>
      <c r="AR20" s="35">
        <f>'FS Desroches Daily'!CD22</f>
        <v>25.599999999998545</v>
      </c>
      <c r="AS20" s="35">
        <f>'FS Desroches Daily'!CF22</f>
        <v>0</v>
      </c>
      <c r="AT20" s="35">
        <f>'FS Desroches Daily'!CH22</f>
        <v>50</v>
      </c>
      <c r="AU20" s="35">
        <f>'FS Desroches Daily'!CJ22</f>
        <v>334</v>
      </c>
      <c r="AV20" s="35">
        <f>'FS Desroches Daily'!CL22</f>
        <v>830.00000000004093</v>
      </c>
      <c r="AW20" s="35">
        <f>'FS Desroches Daily'!CM22</f>
        <v>92</v>
      </c>
      <c r="AX20" s="35">
        <f>IF(LPG!F27-LPG!F26&lt;0,"0",(LPG!F27-LPG!F26)*1.8315)</f>
        <v>20.1465</v>
      </c>
      <c r="AY20" s="35">
        <f>IF(LPG!H27-LPG!H26&lt;0,"0",(LPG!H27-LPG!H26)*1.8315)</f>
        <v>5.4944999999999995</v>
      </c>
      <c r="AZ20" s="35">
        <f>IF(LPG!J27-LPG!J26&lt;0,"0",(LPG!J27-LPG!J26)*1.8315)</f>
        <v>1.8314999999999999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34</v>
      </c>
      <c r="BD20" s="9"/>
    </row>
    <row r="21" spans="1:56" s="16" customFormat="1" x14ac:dyDescent="0.3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2800.0000000001355</v>
      </c>
      <c r="F21" s="36">
        <f>'FS Desroches Daily'!F23</f>
        <v>3700.0000000002588</v>
      </c>
      <c r="G21" s="35">
        <f>'FS Desroches Daily'!H23</f>
        <v>3699.9999999998145</v>
      </c>
      <c r="H21" s="36">
        <f>'FS Desroches Daily'!J23</f>
        <v>1610.0000000000136</v>
      </c>
      <c r="I21" s="35">
        <f>'FS Desroches Daily'!L23</f>
        <v>2800.0000000001355</v>
      </c>
      <c r="J21" s="36">
        <f>'FS Desroches Daily'!N23</f>
        <v>1860.0000000000136</v>
      </c>
      <c r="K21" s="13">
        <f>'FS Desroches Daily'!P23</f>
        <v>21</v>
      </c>
      <c r="L21" s="35">
        <f>'FS Desroches Daily'!R23</f>
        <v>8</v>
      </c>
      <c r="M21" s="35">
        <f>'FS Desroches Daily'!T23</f>
        <v>1285</v>
      </c>
      <c r="N21" s="35">
        <f>'FS Desroches Daily'!V23</f>
        <v>509</v>
      </c>
      <c r="O21" s="35">
        <f>'FS Desroches Daily'!X23</f>
        <v>439.99999999999773</v>
      </c>
      <c r="P21" s="35">
        <f>'FS Desroches Daily'!Z23</f>
        <v>3099.9999999998809</v>
      </c>
      <c r="Q21" s="35">
        <f>'FS Desroches Daily'!AB23</f>
        <v>480.00000000001819</v>
      </c>
      <c r="R21" s="35">
        <f>'FS Desroches Daily'!AD23</f>
        <v>500</v>
      </c>
      <c r="S21" s="35">
        <f>'FS Desroches Daily'!AF23</f>
        <v>670.00000000001592</v>
      </c>
      <c r="T21" s="35">
        <f>'FS Desroches Daily'!AH23</f>
        <v>1.8000000000000682</v>
      </c>
      <c r="U21" s="39">
        <f>'FS Desroches Daily'!AJ23</f>
        <v>650.00000000003411</v>
      </c>
      <c r="V21" s="39">
        <f>'FS Desroches Daily'!AL23</f>
        <v>0</v>
      </c>
      <c r="W21" s="39">
        <f>'FS Desroches Daily'!AN23</f>
        <v>0.18999999999999773</v>
      </c>
      <c r="X21" s="39">
        <f>'FS Desroches Daily'!AP23</f>
        <v>0.17000000000000171</v>
      </c>
      <c r="Y21" s="39">
        <f>'FS Desroches Daily'!AR23</f>
        <v>49.999999999982947</v>
      </c>
      <c r="Z21" s="39">
        <f>'FS Desroches Daily'!AT23</f>
        <v>60.000000000002274</v>
      </c>
      <c r="AA21" s="39">
        <f>'FS Desroches Daily'!AT23</f>
        <v>60.000000000002274</v>
      </c>
      <c r="AB21" s="39">
        <f>'FS Desroches Daily'!AV23</f>
        <v>180.00000000000682</v>
      </c>
      <c r="AC21" s="39">
        <f>'FS Desroches Daily'!AZ23</f>
        <v>170.00000000001592</v>
      </c>
      <c r="AD21" s="39">
        <f>'FS Desroches Daily'!BB23</f>
        <v>300.00000000001137</v>
      </c>
      <c r="AE21" s="39">
        <f>'FS Desroches Daily'!BD23</f>
        <v>10.000000000019327</v>
      </c>
      <c r="AF21" s="35">
        <f>'FS Desroches Daily'!BF23</f>
        <v>50</v>
      </c>
      <c r="AG21" s="36">
        <f>'FS Desroches Daily'!BH23</f>
        <v>39.999999999992042</v>
      </c>
      <c r="AH21" s="36">
        <f>'FS Desroches Daily'!BJ23</f>
        <v>40.000000000020464</v>
      </c>
      <c r="AI21" s="36">
        <f>'FS Desroches Daily'!BL23</f>
        <v>60.000000000002274</v>
      </c>
      <c r="AJ21" s="36">
        <f>'FS Desroches Daily'!BN23</f>
        <v>39.999999999992042</v>
      </c>
      <c r="AK21" s="36">
        <f>'FS Desroches Daily'!BP23</f>
        <v>49.999999999954525</v>
      </c>
      <c r="AL21" s="36">
        <f>'FS Desroches Daily'!BR23</f>
        <v>38</v>
      </c>
      <c r="AM21" s="36">
        <f>'FS Desroches Daily'!BT23</f>
        <v>39.999999999992042</v>
      </c>
      <c r="AN21" s="36">
        <f>'FS Desroches Daily'!BV23</f>
        <v>36</v>
      </c>
      <c r="AO21" s="36">
        <f>'FS Desroches Daily'!BX23</f>
        <v>49.999999999982947</v>
      </c>
      <c r="AP21" s="36">
        <f>'FS Desroches Daily'!BZ23</f>
        <v>63</v>
      </c>
      <c r="AQ21" s="35">
        <f>'FS Desroches Daily'!CB23</f>
        <v>49.5</v>
      </c>
      <c r="AR21" s="35">
        <f>'FS Desroches Daily'!CD23</f>
        <v>17.400000000001455</v>
      </c>
      <c r="AS21" s="35">
        <f>'FS Desroches Daily'!CF23</f>
        <v>12.099999999999454</v>
      </c>
      <c r="AT21" s="35">
        <f>'FS Desroches Daily'!CH23</f>
        <v>30.900000000001455</v>
      </c>
      <c r="AU21" s="35">
        <f>'FS Desroches Daily'!CJ23</f>
        <v>339</v>
      </c>
      <c r="AV21" s="35">
        <f>'FS Desroches Daily'!CL23</f>
        <v>899.99999999997726</v>
      </c>
      <c r="AW21" s="35">
        <f>'FS Desroches Daily'!CM23</f>
        <v>86</v>
      </c>
      <c r="AX21" s="35">
        <f>IF(LPG!F28-LPG!F27&lt;0,"0",(LPG!F28-LPG!F27)*1.8315)</f>
        <v>20.1465</v>
      </c>
      <c r="AY21" s="35">
        <f>IF(LPG!H28-LPG!H27&lt;0,"0",(LPG!H28-LPG!H27)*1.8315)</f>
        <v>3.6629999999999998</v>
      </c>
      <c r="AZ21" s="35">
        <f>IF(LPG!J28-LPG!J27&lt;0,"0",(LPG!J28-LPG!J27)*1.8315)</f>
        <v>5.4944999999999995</v>
      </c>
      <c r="BA21" s="35">
        <f>IF(LPG!M28-LPG!M27&lt;0,"0",(LPG!M28-LPG!M27)*1.8315)</f>
        <v>5.4944999999999995</v>
      </c>
      <c r="BB21" s="35">
        <f>IF(LPG!Q28-LPG!Q27&lt;0,"0",(LPG!Q28-LPG!Q27)*1.8315)</f>
        <v>7.3259999999999996</v>
      </c>
      <c r="BC21" s="13">
        <f>'FS Desroches Daily'!CN23</f>
        <v>42</v>
      </c>
      <c r="BD21" s="9"/>
    </row>
    <row r="22" spans="1:56" s="16" customFormat="1" x14ac:dyDescent="0.3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2999.9999999998918</v>
      </c>
      <c r="F22" s="36">
        <f>'FS Desroches Daily'!F24</f>
        <v>4099.9999999997708</v>
      </c>
      <c r="G22" s="35">
        <f>'FS Desroches Daily'!H24</f>
        <v>3400.0000000000696</v>
      </c>
      <c r="H22" s="36">
        <f>'FS Desroches Daily'!J24</f>
        <v>1600.0000000000227</v>
      </c>
      <c r="I22" s="35">
        <f>'FS Desroches Daily'!L24</f>
        <v>2799.9999999999136</v>
      </c>
      <c r="J22" s="36">
        <f>'FS Desroches Daily'!N24</f>
        <v>1919.9999999999591</v>
      </c>
      <c r="K22" s="13">
        <f>'FS Desroches Daily'!P24</f>
        <v>21</v>
      </c>
      <c r="L22" s="35">
        <f>'FS Desroches Daily'!R24</f>
        <v>8</v>
      </c>
      <c r="M22" s="35">
        <f>'FS Desroches Daily'!T24</f>
        <v>1210</v>
      </c>
      <c r="N22" s="35">
        <f>'FS Desroches Daily'!V24</f>
        <v>466</v>
      </c>
      <c r="O22" s="35">
        <f>'FS Desroches Daily'!X24</f>
        <v>519.99999999998181</v>
      </c>
      <c r="P22" s="35">
        <f>'FS Desroches Daily'!Z24</f>
        <v>3600.0000000000477</v>
      </c>
      <c r="Q22" s="35">
        <f>'FS Desroches Daily'!AB24</f>
        <v>519.99999999998181</v>
      </c>
      <c r="R22" s="35">
        <f>'FS Desroches Daily'!AD24</f>
        <v>480.00000000001819</v>
      </c>
      <c r="S22" s="35">
        <f>'FS Desroches Daily'!AF24</f>
        <v>819.99999999999318</v>
      </c>
      <c r="T22" s="35">
        <f>'FS Desroches Daily'!AH24</f>
        <v>1.8999999999999773</v>
      </c>
      <c r="U22" s="39">
        <f>'FS Desroches Daily'!AJ24</f>
        <v>449.99999999998863</v>
      </c>
      <c r="V22" s="39">
        <f>'FS Desroches Daily'!AL24</f>
        <v>0.25999999999999091</v>
      </c>
      <c r="W22" s="39">
        <f>'FS Desroches Daily'!AN24</f>
        <v>0.26000000000000512</v>
      </c>
      <c r="X22" s="39">
        <f>'FS Desroches Daily'!AP24</f>
        <v>0.18999999999999773</v>
      </c>
      <c r="Y22" s="39">
        <f>'FS Desroches Daily'!AR24</f>
        <v>170.00000000001592</v>
      </c>
      <c r="Z22" s="39">
        <f>'FS Desroches Daily'!AT24</f>
        <v>100.00000000002274</v>
      </c>
      <c r="AA22" s="39">
        <f>'FS Desroches Daily'!AT24</f>
        <v>100.00000000002274</v>
      </c>
      <c r="AB22" s="39">
        <f>'FS Desroches Daily'!AV24</f>
        <v>210.00000000000796</v>
      </c>
      <c r="AC22" s="39">
        <f>'FS Desroches Daily'!AZ24</f>
        <v>199.99999999998863</v>
      </c>
      <c r="AD22" s="39">
        <f>'FS Desroches Daily'!BB24</f>
        <v>319.99999999999318</v>
      </c>
      <c r="AE22" s="39">
        <f>'FS Desroches Daily'!BD24</f>
        <v>139.99999999998636</v>
      </c>
      <c r="AF22" s="35">
        <f>'FS Desroches Daily'!BF24</f>
        <v>54</v>
      </c>
      <c r="AG22" s="36">
        <f>'FS Desroches Daily'!BH24</f>
        <v>40.000000000020464</v>
      </c>
      <c r="AH22" s="36">
        <f>'FS Desroches Daily'!BJ24</f>
        <v>39.99999999996362</v>
      </c>
      <c r="AI22" s="36">
        <f>'FS Desroches Daily'!BL24</f>
        <v>50.000000000011369</v>
      </c>
      <c r="AJ22" s="36">
        <f>'FS Desroches Daily'!BN24</f>
        <v>39.999999999992042</v>
      </c>
      <c r="AK22" s="36">
        <f>'FS Desroches Daily'!BP24</f>
        <v>40.000000000020464</v>
      </c>
      <c r="AL22" s="36">
        <f>'FS Desroches Daily'!BR24</f>
        <v>40</v>
      </c>
      <c r="AM22" s="36">
        <f>'FS Desroches Daily'!BT24</f>
        <v>50.000000000011369</v>
      </c>
      <c r="AN22" s="36">
        <f>'FS Desroches Daily'!BV24</f>
        <v>39</v>
      </c>
      <c r="AO22" s="36">
        <f>'FS Desroches Daily'!BX24</f>
        <v>50.000000000011369</v>
      </c>
      <c r="AP22" s="36">
        <f>'FS Desroches Daily'!BZ24</f>
        <v>69</v>
      </c>
      <c r="AQ22" s="35">
        <f>'FS Desroches Daily'!CB24</f>
        <v>72.700000000000728</v>
      </c>
      <c r="AR22" s="35">
        <f>'FS Desroches Daily'!CD24</f>
        <v>17.299999999999272</v>
      </c>
      <c r="AS22" s="35">
        <f>'FS Desroches Daily'!CF24</f>
        <v>7.9000000000005457</v>
      </c>
      <c r="AT22" s="35">
        <f>'FS Desroches Daily'!CH24</f>
        <v>62</v>
      </c>
      <c r="AU22" s="35">
        <f>'FS Desroches Daily'!CJ24</f>
        <v>313</v>
      </c>
      <c r="AV22" s="35">
        <f>'FS Desroches Daily'!CL24</f>
        <v>620.00000000000455</v>
      </c>
      <c r="AW22" s="35">
        <f>'FS Desroches Daily'!CM24</f>
        <v>103</v>
      </c>
      <c r="AX22" s="35">
        <f>IF(LPG!F29-LPG!F28&lt;0,"0",(LPG!F29-LPG!F28)*1.8315)</f>
        <v>18.314999999999998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5.4944999999999995</v>
      </c>
      <c r="BB22" s="35">
        <f>IF(LPG!Q29-LPG!Q28&lt;0,"0",(LPG!Q29-LPG!Q28)*1.8315)</f>
        <v>7.3259999999999996</v>
      </c>
      <c r="BC22" s="13">
        <f>'FS Desroches Daily'!CN24</f>
        <v>45</v>
      </c>
      <c r="BD22" s="9"/>
    </row>
    <row r="23" spans="1:56" s="16" customFormat="1" x14ac:dyDescent="0.3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3100.0000000001028</v>
      </c>
      <c r="F23" s="36">
        <f>'FS Desroches Daily'!F25</f>
        <v>4000.0000000000036</v>
      </c>
      <c r="G23" s="35">
        <f>'FS Desroches Daily'!H25</f>
        <v>3600.0000000000477</v>
      </c>
      <c r="H23" s="36">
        <f>'FS Desroches Daily'!J25</f>
        <v>1769.9999999999818</v>
      </c>
      <c r="I23" s="35">
        <f>'FS Desroches Daily'!L25</f>
        <v>2799.9999999999136</v>
      </c>
      <c r="J23" s="36">
        <f>'FS Desroches Daily'!N25</f>
        <v>2120.0000000000045</v>
      </c>
      <c r="K23" s="13">
        <f>'FS Desroches Daily'!P25</f>
        <v>22</v>
      </c>
      <c r="L23" s="35">
        <f>'FS Desroches Daily'!R25</f>
        <v>10</v>
      </c>
      <c r="M23" s="35">
        <f>'FS Desroches Daily'!T25</f>
        <v>1530</v>
      </c>
      <c r="N23" s="35">
        <f>'FS Desroches Daily'!V25</f>
        <v>690</v>
      </c>
      <c r="O23" s="35">
        <f>'FS Desroches Daily'!X25</f>
        <v>610.00000000001364</v>
      </c>
      <c r="P23" s="35">
        <f>'FS Desroches Daily'!Z25</f>
        <v>3499.9999999998367</v>
      </c>
      <c r="Q23" s="35">
        <f>'FS Desroches Daily'!AB25</f>
        <v>560.00000000000227</v>
      </c>
      <c r="R23" s="35">
        <f>'FS Desroches Daily'!AD25</f>
        <v>419.99999999998749</v>
      </c>
      <c r="S23" s="35">
        <f>'FS Desroches Daily'!AF25</f>
        <v>1040.0000000000205</v>
      </c>
      <c r="T23" s="35">
        <f>'FS Desroches Daily'!AH25</f>
        <v>2.3999999999999773</v>
      </c>
      <c r="U23" s="39">
        <f>'FS Desroches Daily'!AJ25</f>
        <v>509.99999999999091</v>
      </c>
      <c r="V23" s="39">
        <f>'FS Desroches Daily'!AL25</f>
        <v>0.32000000000000739</v>
      </c>
      <c r="W23" s="39">
        <f>'FS Desroches Daily'!AN25</f>
        <v>0.28000000000000114</v>
      </c>
      <c r="X23" s="39">
        <f>'FS Desroches Daily'!AP25</f>
        <v>0.20999999999999375</v>
      </c>
      <c r="Y23" s="39">
        <f>'FS Desroches Daily'!AR25</f>
        <v>210.00000000000796</v>
      </c>
      <c r="Z23" s="39">
        <f>'FS Desroches Daily'!AT25</f>
        <v>79.999999999984084</v>
      </c>
      <c r="AA23" s="39">
        <f>'FS Desroches Daily'!AT25</f>
        <v>79.999999999984084</v>
      </c>
      <c r="AB23" s="39">
        <f>'FS Desroches Daily'!AV25</f>
        <v>169.99999999998749</v>
      </c>
      <c r="AC23" s="39">
        <f>'FS Desroches Daily'!AZ25</f>
        <v>180.00000000000682</v>
      </c>
      <c r="AD23" s="39">
        <f>'FS Desroches Daily'!BB25</f>
        <v>370.00000000000455</v>
      </c>
      <c r="AE23" s="39">
        <f>'FS Desroches Daily'!BD25</f>
        <v>219.99999999999886</v>
      </c>
      <c r="AF23" s="35">
        <f>'FS Desroches Daily'!BF25</f>
        <v>44</v>
      </c>
      <c r="AG23" s="36">
        <f>'FS Desroches Daily'!BH25</f>
        <v>49.999999999982947</v>
      </c>
      <c r="AH23" s="36">
        <f>'FS Desroches Daily'!BJ25</f>
        <v>60.000000000002274</v>
      </c>
      <c r="AI23" s="36">
        <f>'FS Desroches Daily'!BL25</f>
        <v>59.999999999973852</v>
      </c>
      <c r="AJ23" s="36">
        <f>'FS Desroches Daily'!BN25</f>
        <v>50.000000000011369</v>
      </c>
      <c r="AK23" s="36">
        <f>'FS Desroches Daily'!BP25</f>
        <v>60.000000000002274</v>
      </c>
      <c r="AL23" s="36">
        <f>'FS Desroches Daily'!BR25</f>
        <v>52</v>
      </c>
      <c r="AM23" s="36">
        <f>'FS Desroches Daily'!BT25</f>
        <v>60.000000000002274</v>
      </c>
      <c r="AN23" s="36">
        <f>'FS Desroches Daily'!BV25</f>
        <v>48</v>
      </c>
      <c r="AO23" s="36">
        <f>'FS Desroches Daily'!BX25</f>
        <v>50.000000000011369</v>
      </c>
      <c r="AP23" s="36">
        <f>'FS Desroches Daily'!BZ25</f>
        <v>62</v>
      </c>
      <c r="AQ23" s="35">
        <f>'FS Desroches Daily'!CB25</f>
        <v>40.799999999999272</v>
      </c>
      <c r="AR23" s="35">
        <f>'FS Desroches Daily'!CD25</f>
        <v>20.399999999999636</v>
      </c>
      <c r="AS23" s="35">
        <f>'FS Desroches Daily'!CF25</f>
        <v>10.599999999999454</v>
      </c>
      <c r="AT23" s="35">
        <f>'FS Desroches Daily'!CH25</f>
        <v>96.69999999999709</v>
      </c>
      <c r="AU23" s="35">
        <f>'FS Desroches Daily'!CJ25</f>
        <v>350</v>
      </c>
      <c r="AV23" s="35">
        <f>'FS Desroches Daily'!CL25</f>
        <v>600.00000000002274</v>
      </c>
      <c r="AW23" s="35">
        <f>'FS Desroches Daily'!CM25</f>
        <v>101</v>
      </c>
      <c r="AX23" s="35">
        <f>IF(LPG!F30-LPG!F29&lt;0,"0",(LPG!F30-LPG!F29)*1.8315)</f>
        <v>16.483499999999999</v>
      </c>
      <c r="AY23" s="35">
        <f>IF(LPG!H30-LPG!H29&lt;0,"0",(LPG!H30-LPG!H29)*1.8315)</f>
        <v>3.6629999999999998</v>
      </c>
      <c r="AZ23" s="35">
        <f>IF(LPG!J30-LPG!J29&lt;0,"0",(LPG!J30-LPG!J29)*1.8315)</f>
        <v>0</v>
      </c>
      <c r="BA23" s="35">
        <f>IF(LPG!M30-LPG!M29&lt;0,"0",(LPG!M30-LPG!M29)*1.8315)</f>
        <v>5.4944999999999995</v>
      </c>
      <c r="BB23" s="35">
        <f>IF(LPG!Q30-LPG!Q29&lt;0,"0",(LPG!Q30-LPG!Q29)*1.8315)</f>
        <v>7.3259999999999996</v>
      </c>
      <c r="BC23" s="13">
        <f>'FS Desroches Daily'!CN25</f>
        <v>48</v>
      </c>
      <c r="BD23" s="9"/>
    </row>
    <row r="24" spans="1:56" s="16" customFormat="1" x14ac:dyDescent="0.3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3699.9999999998145</v>
      </c>
      <c r="F24" s="36">
        <f>'FS Desroches Daily'!F26</f>
        <v>4000.0000000000036</v>
      </c>
      <c r="G24" s="35">
        <f>'FS Desroches Daily'!H26</f>
        <v>3400.0000000000696</v>
      </c>
      <c r="H24" s="36">
        <f>'FS Desroches Daily'!J26</f>
        <v>1539.9999999999636</v>
      </c>
      <c r="I24" s="35">
        <f>'FS Desroches Daily'!L26</f>
        <v>2700.0000000001469</v>
      </c>
      <c r="J24" s="36">
        <f>'FS Desroches Daily'!N26</f>
        <v>1980.0000000000182</v>
      </c>
      <c r="K24" s="13">
        <f>'FS Desroches Daily'!P26</f>
        <v>22</v>
      </c>
      <c r="L24" s="35">
        <f>'FS Desroches Daily'!R26</f>
        <v>8</v>
      </c>
      <c r="M24" s="35">
        <f>'FS Desroches Daily'!T26</f>
        <v>1722</v>
      </c>
      <c r="N24" s="35">
        <f>'FS Desroches Daily'!V26</f>
        <v>648</v>
      </c>
      <c r="O24" s="35">
        <f>'FS Desroches Daily'!X26</f>
        <v>479.99999999996135</v>
      </c>
      <c r="P24" s="35">
        <f>'FS Desroches Daily'!Z26</f>
        <v>3600.0000000000477</v>
      </c>
      <c r="Q24" s="35">
        <f>'FS Desroches Daily'!AB26</f>
        <v>569.99999999999318</v>
      </c>
      <c r="R24" s="35">
        <f>'FS Desroches Daily'!AD26</f>
        <v>490.00000000000909</v>
      </c>
      <c r="S24" s="35">
        <f>'FS Desroches Daily'!AF26</f>
        <v>1009.9999999999909</v>
      </c>
      <c r="T24" s="35">
        <f>'FS Desroches Daily'!AH26</f>
        <v>2.1000000000000227</v>
      </c>
      <c r="U24" s="39">
        <f>'FS Desroches Daily'!AJ26</f>
        <v>1300.0000000000114</v>
      </c>
      <c r="V24" s="39">
        <f>'FS Desroches Daily'!AL26</f>
        <v>0.25</v>
      </c>
      <c r="W24" s="39">
        <f>'FS Desroches Daily'!AN26</f>
        <v>0.21999999999999886</v>
      </c>
      <c r="X24" s="39">
        <f>'FS Desroches Daily'!AP26</f>
        <v>0.23000000000000398</v>
      </c>
      <c r="Y24" s="39">
        <f>'FS Desroches Daily'!AR26</f>
        <v>149.99999999997726</v>
      </c>
      <c r="Z24" s="39">
        <f>'FS Desroches Daily'!AT26</f>
        <v>60.000000000002274</v>
      </c>
      <c r="AA24" s="39">
        <f>'FS Desroches Daily'!AT26</f>
        <v>60.000000000002274</v>
      </c>
      <c r="AB24" s="39">
        <f>'FS Desroches Daily'!AV26</f>
        <v>120.00000000000455</v>
      </c>
      <c r="AC24" s="39">
        <f>'FS Desroches Daily'!AZ26</f>
        <v>189.99999999999773</v>
      </c>
      <c r="AD24" s="39">
        <f>'FS Desroches Daily'!BB26</f>
        <v>330.00000000004093</v>
      </c>
      <c r="AE24" s="39">
        <f>'FS Desroches Daily'!BD26</f>
        <v>189.99999999999773</v>
      </c>
      <c r="AF24" s="35">
        <f>'FS Desroches Daily'!BF26</f>
        <v>52</v>
      </c>
      <c r="AG24" s="36">
        <f>'FS Desroches Daily'!BH26</f>
        <v>30.000000000001137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39.999999999992042</v>
      </c>
      <c r="AK24" s="36">
        <f>'FS Desroches Daily'!BP26</f>
        <v>50.000000000011369</v>
      </c>
      <c r="AL24" s="36">
        <f>'FS Desroches Daily'!BR26</f>
        <v>43</v>
      </c>
      <c r="AM24" s="36">
        <f>'FS Desroches Daily'!BT26</f>
        <v>49.999999999982947</v>
      </c>
      <c r="AN24" s="36">
        <f>'FS Desroches Daily'!BV26</f>
        <v>45</v>
      </c>
      <c r="AO24" s="36">
        <f>'FS Desroches Daily'!BX26</f>
        <v>49.999999999982947</v>
      </c>
      <c r="AP24" s="36">
        <f>'FS Desroches Daily'!BZ26</f>
        <v>62</v>
      </c>
      <c r="AQ24" s="35">
        <f>'FS Desroches Daily'!CB26</f>
        <v>46</v>
      </c>
      <c r="AR24" s="35">
        <f>'FS Desroches Daily'!CD26</f>
        <v>23.899999999999636</v>
      </c>
      <c r="AS24" s="35">
        <f>'FS Desroches Daily'!CF26</f>
        <v>6.6000000000003638</v>
      </c>
      <c r="AT24" s="35">
        <f>'FS Desroches Daily'!CH26</f>
        <v>22.599999999998545</v>
      </c>
      <c r="AU24" s="35">
        <f>'FS Desroches Daily'!CJ26</f>
        <v>330</v>
      </c>
      <c r="AV24" s="35">
        <f>'FS Desroches Daily'!CL26</f>
        <v>669.99999999995907</v>
      </c>
      <c r="AW24" s="35">
        <f>'FS Desroches Daily'!CM26</f>
        <v>105.2</v>
      </c>
      <c r="AX24" s="35">
        <f>IF(LPG!F31-LPG!F30&lt;0,"0",(LPG!F31-LPG!F30)*1.8315)</f>
        <v>16.483499999999999</v>
      </c>
      <c r="AY24" s="35">
        <f>IF(LPG!H31-LPG!H30&lt;0,"0",(LPG!H31-LPG!H30)*1.8315)</f>
        <v>5.4944999999999995</v>
      </c>
      <c r="AZ24" s="35">
        <f>IF(LPG!J31-LPG!J30&lt;0,"0",(LPG!J31-LPG!J30)*1.8315)</f>
        <v>1.8314999999999999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41</v>
      </c>
      <c r="BD24" s="9"/>
    </row>
    <row r="25" spans="1:56" s="16" customFormat="1" x14ac:dyDescent="0.3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3400.0000000000696</v>
      </c>
      <c r="F25" s="36">
        <f>'FS Desroches Daily'!F27</f>
        <v>3800.0000000000255</v>
      </c>
      <c r="G25" s="35">
        <f>'FS Desroches Daily'!H27</f>
        <v>4000.0000000000036</v>
      </c>
      <c r="H25" s="36">
        <f>'FS Desroches Daily'!J27</f>
        <v>1480.0000000000182</v>
      </c>
      <c r="I25" s="35">
        <f>'FS Desroches Daily'!L27</f>
        <v>2899.9999999999027</v>
      </c>
      <c r="J25" s="36">
        <f>'FS Desroches Daily'!N27</f>
        <v>1769.9999999999818</v>
      </c>
      <c r="K25" s="13">
        <f>'FS Desroches Daily'!P27</f>
        <v>20</v>
      </c>
      <c r="L25" s="35">
        <f>'FS Desroches Daily'!R27</f>
        <v>7</v>
      </c>
      <c r="M25" s="35">
        <f>'FS Desroches Daily'!T27</f>
        <v>1399</v>
      </c>
      <c r="N25" s="35">
        <f>'FS Desroches Daily'!V27</f>
        <v>584</v>
      </c>
      <c r="O25" s="35">
        <f>'FS Desroches Daily'!X27</f>
        <v>570.00000000005002</v>
      </c>
      <c r="P25" s="35">
        <f>'FS Desroches Daily'!Z27</f>
        <v>3300.0000000003029</v>
      </c>
      <c r="Q25" s="35">
        <f>'FS Desroches Daily'!AB27</f>
        <v>509.99999999999091</v>
      </c>
      <c r="R25" s="35">
        <f>'FS Desroches Daily'!AD27</f>
        <v>359.99999999998522</v>
      </c>
      <c r="S25" s="35">
        <f>'FS Desroches Daily'!AF27</f>
        <v>750</v>
      </c>
      <c r="T25" s="35">
        <f>'FS Desroches Daily'!AH27</f>
        <v>2.2000000000000455</v>
      </c>
      <c r="U25" s="39">
        <f>'FS Desroches Daily'!AJ27</f>
        <v>1060.0000000000023</v>
      </c>
      <c r="V25" s="39">
        <f>'FS Desroches Daily'!AL27</f>
        <v>0.23999999999999488</v>
      </c>
      <c r="W25" s="39">
        <f>'FS Desroches Daily'!AN27</f>
        <v>0.17000000000000171</v>
      </c>
      <c r="X25" s="39">
        <f>'FS Desroches Daily'!AP27</f>
        <v>0.17999999999999261</v>
      </c>
      <c r="Y25" s="39">
        <f>'FS Desroches Daily'!AR27</f>
        <v>140.00000000001478</v>
      </c>
      <c r="Z25" s="39">
        <f>'FS Desroches Daily'!AT27</f>
        <v>50.000000000011369</v>
      </c>
      <c r="AA25" s="39">
        <f>'FS Desroches Daily'!AT27</f>
        <v>50.000000000011369</v>
      </c>
      <c r="AB25" s="39">
        <f>'FS Desroches Daily'!AV27</f>
        <v>150.00000000000568</v>
      </c>
      <c r="AC25" s="39">
        <f>'FS Desroches Daily'!AZ27</f>
        <v>159.99999999996817</v>
      </c>
      <c r="AD25" s="39">
        <f>'FS Desroches Daily'!BB27</f>
        <v>319.99999999999318</v>
      </c>
      <c r="AE25" s="39">
        <f>'FS Desroches Daily'!BD27</f>
        <v>159.99999999999659</v>
      </c>
      <c r="AF25" s="35">
        <f>'FS Desroches Daily'!BF27</f>
        <v>49</v>
      </c>
      <c r="AG25" s="36">
        <f>'FS Desroches Daily'!BH27</f>
        <v>40.000000000020464</v>
      </c>
      <c r="AH25" s="36">
        <f>'FS Desroches Daily'!BJ27</f>
        <v>40.000000000020464</v>
      </c>
      <c r="AI25" s="36">
        <f>'FS Desroches Daily'!BL27</f>
        <v>40.000000000020464</v>
      </c>
      <c r="AJ25" s="36">
        <f>'FS Desroches Daily'!BN27</f>
        <v>30.000000000001137</v>
      </c>
      <c r="AK25" s="36">
        <f>'FS Desroches Daily'!BP27</f>
        <v>39.99999999996362</v>
      </c>
      <c r="AL25" s="36">
        <f>'FS Desroches Daily'!BR27</f>
        <v>37</v>
      </c>
      <c r="AM25" s="36">
        <f>'FS Desroches Daily'!BT27</f>
        <v>30.000000000001137</v>
      </c>
      <c r="AN25" s="36">
        <f>'FS Desroches Daily'!BV27</f>
        <v>31</v>
      </c>
      <c r="AO25" s="36">
        <f>'FS Desroches Daily'!BX27</f>
        <v>40.000000000020464</v>
      </c>
      <c r="AP25" s="36">
        <f>'FS Desroches Daily'!BZ27</f>
        <v>54</v>
      </c>
      <c r="AQ25" s="35">
        <f>'FS Desroches Daily'!CB27</f>
        <v>39.700000000000728</v>
      </c>
      <c r="AR25" s="35">
        <f>'FS Desroches Daily'!CD27</f>
        <v>18.200000000000728</v>
      </c>
      <c r="AS25" s="35">
        <f>'FS Desroches Daily'!CF27</f>
        <v>8.5</v>
      </c>
      <c r="AT25" s="35">
        <f>'FS Desroches Daily'!CH27</f>
        <v>31</v>
      </c>
      <c r="AU25" s="35">
        <f>'FS Desroches Daily'!CJ27</f>
        <v>309</v>
      </c>
      <c r="AV25" s="35">
        <f>'FS Desroches Daily'!CL27</f>
        <v>710.00000000003638</v>
      </c>
      <c r="AW25" s="35">
        <f>'FS Desroches Daily'!CM27</f>
        <v>102.9</v>
      </c>
      <c r="AX25" s="35">
        <f>IF(LPG!F32-LPG!F31&lt;0,"0",(LPG!F32-LPG!F31)*1.8315)</f>
        <v>12.820499999999999</v>
      </c>
      <c r="AY25" s="35">
        <f>IF(LPG!H32-LPG!H31&lt;0,"0",(LPG!H32-LPG!H31)*1.8315)</f>
        <v>3.6629999999999998</v>
      </c>
      <c r="AZ25" s="35">
        <f>IF(LPG!J32-LPG!J31&lt;0,"0",(LPG!J32-LPG!J31)*1.8315)</f>
        <v>5.4944999999999995</v>
      </c>
      <c r="BA25" s="35">
        <f>IF(LPG!M32-LPG!M31&lt;0,"0",(LPG!M32-LPG!M31)*1.8315)</f>
        <v>3.6629999999999998</v>
      </c>
      <c r="BB25" s="35">
        <f>IF(LPG!Q32-LPG!Q31&lt;0,"0",(LPG!Q32-LPG!Q31)*1.8315)</f>
        <v>7.3259999999999996</v>
      </c>
      <c r="BC25" s="13">
        <f>'FS Desroches Daily'!CN27</f>
        <v>42</v>
      </c>
      <c r="BD25" s="9"/>
    </row>
    <row r="26" spans="1:56" s="16" customFormat="1" x14ac:dyDescent="0.3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3800.0000000000255</v>
      </c>
      <c r="F26" s="36">
        <f>'FS Desroches Daily'!F28</f>
        <v>4000.0000000000036</v>
      </c>
      <c r="G26" s="35">
        <f>'FS Desroches Daily'!H28</f>
        <v>3800.0000000000255</v>
      </c>
      <c r="H26" s="36">
        <f>'FS Desroches Daily'!J28</f>
        <v>1610.0000000000136</v>
      </c>
      <c r="I26" s="35">
        <f>'FS Desroches Daily'!L28</f>
        <v>2900.0000000001246</v>
      </c>
      <c r="J26" s="36">
        <f>'FS Desroches Daily'!N28</f>
        <v>1790.0000000000773</v>
      </c>
      <c r="K26" s="13">
        <f>'FS Desroches Daily'!P28</f>
        <v>19</v>
      </c>
      <c r="L26" s="35">
        <f>'FS Desroches Daily'!R28</f>
        <v>7</v>
      </c>
      <c r="M26" s="35">
        <f>'FS Desroches Daily'!T28</f>
        <v>1699</v>
      </c>
      <c r="N26" s="35">
        <f>'FS Desroches Daily'!V28</f>
        <v>595</v>
      </c>
      <c r="O26" s="35">
        <f>'FS Desroches Daily'!X28</f>
        <v>359.9999999999568</v>
      </c>
      <c r="P26" s="35">
        <f>'FS Desroches Daily'!Z28</f>
        <v>3499.9999999998367</v>
      </c>
      <c r="Q26" s="35">
        <f>'FS Desroches Daily'!AB28</f>
        <v>520.00000000003865</v>
      </c>
      <c r="R26" s="35">
        <f>'FS Desroches Daily'!AD28</f>
        <v>350.00000000002274</v>
      </c>
      <c r="S26" s="35">
        <f>'FS Desroches Daily'!AF28</f>
        <v>799.99999999995453</v>
      </c>
      <c r="T26" s="35">
        <f>'FS Desroches Daily'!AH28</f>
        <v>2.1999999999999318</v>
      </c>
      <c r="U26" s="39">
        <f>'FS Desroches Daily'!AJ28</f>
        <v>119.12</v>
      </c>
      <c r="V26" s="39">
        <f>'FS Desroches Daily'!AL28</f>
        <v>0.26000000000000512</v>
      </c>
      <c r="W26" s="39">
        <f>'FS Desroches Daily'!AN28</f>
        <v>0.20000000000000284</v>
      </c>
      <c r="X26" s="39">
        <f>'FS Desroches Daily'!AP28</f>
        <v>0.21000000000000796</v>
      </c>
      <c r="Y26" s="39">
        <f>'FS Desroches Daily'!AR28</f>
        <v>180.00000000000682</v>
      </c>
      <c r="Z26" s="39">
        <f>'FS Desroches Daily'!AT28</f>
        <v>139.99999999998636</v>
      </c>
      <c r="AA26" s="39">
        <f>'FS Desroches Daily'!AT28</f>
        <v>139.99999999998636</v>
      </c>
      <c r="AB26" s="39">
        <f>'FS Desroches Daily'!AV28</f>
        <v>129.99999999999545</v>
      </c>
      <c r="AC26" s="39">
        <f>'FS Desroches Daily'!AZ28</f>
        <v>189.99999999999773</v>
      </c>
      <c r="AD26" s="39">
        <f>'FS Desroches Daily'!BB28</f>
        <v>339.99999999997499</v>
      </c>
      <c r="AE26" s="39">
        <f>'FS Desroches Daily'!BD28</f>
        <v>200.00000000001705</v>
      </c>
      <c r="AF26" s="35">
        <f>'FS Desroches Daily'!BF28</f>
        <v>49</v>
      </c>
      <c r="AG26" s="36">
        <f>'FS Desroches Daily'!BH28</f>
        <v>30.000000000001137</v>
      </c>
      <c r="AH26" s="36">
        <f>'FS Desroches Daily'!BJ28</f>
        <v>39.99999999996362</v>
      </c>
      <c r="AI26" s="36">
        <f>'FS Desroches Daily'!BL28</f>
        <v>39.999999999992042</v>
      </c>
      <c r="AJ26" s="36">
        <f>'FS Desroches Daily'!BN28</f>
        <v>39.999999999992042</v>
      </c>
      <c r="AK26" s="36">
        <f>'FS Desroches Daily'!BP28</f>
        <v>40.000000000020464</v>
      </c>
      <c r="AL26" s="36">
        <f>'FS Desroches Daily'!BR28</f>
        <v>38</v>
      </c>
      <c r="AM26" s="36">
        <f>'FS Desroches Daily'!BT28</f>
        <v>40.000000000020464</v>
      </c>
      <c r="AN26" s="36">
        <f>'FS Desroches Daily'!BV28</f>
        <v>31</v>
      </c>
      <c r="AO26" s="36">
        <f>'FS Desroches Daily'!BX28</f>
        <v>30.000000000001137</v>
      </c>
      <c r="AP26" s="36">
        <f>'FS Desroches Daily'!BZ28</f>
        <v>54</v>
      </c>
      <c r="AQ26" s="35">
        <f>'FS Desroches Daily'!CB28</f>
        <v>46.899999999997817</v>
      </c>
      <c r="AR26" s="35">
        <f>'FS Desroches Daily'!CD28</f>
        <v>10.200000000000728</v>
      </c>
      <c r="AS26" s="35">
        <f>'FS Desroches Daily'!CF28</f>
        <v>11.199999999999818</v>
      </c>
      <c r="AT26" s="35">
        <f>'FS Desroches Daily'!CH28</f>
        <v>26.100000000005821</v>
      </c>
      <c r="AU26" s="35">
        <f>'FS Desroches Daily'!CJ28</f>
        <v>334</v>
      </c>
      <c r="AV26" s="35">
        <f>'FS Desroches Daily'!CL28</f>
        <v>789.99999999996362</v>
      </c>
      <c r="AW26" s="35">
        <f>'FS Desroches Daily'!CM28</f>
        <v>113.9</v>
      </c>
      <c r="AX26" s="35">
        <f>IF(LPG!F33-LPG!F32&lt;0,"0",(LPG!F33-LPG!F32)*1.8315)</f>
        <v>18.314999999999998</v>
      </c>
      <c r="AY26" s="35">
        <f>IF(LPG!H33-LPG!H32&lt;0,"0",(LPG!H33-LPG!H32)*1.8315)</f>
        <v>3.6629999999999998</v>
      </c>
      <c r="AZ26" s="35">
        <f>IF(LPG!J33-LPG!J32&lt;0,"0",(LPG!J33-LPG!J32)*1.8315)</f>
        <v>5.4944999999999995</v>
      </c>
      <c r="BA26" s="35">
        <f>IF(LPG!M33-LPG!M32&lt;0,"0",(LPG!M33-LPG!M32)*1.8315)</f>
        <v>5.4944999999999995</v>
      </c>
      <c r="BB26" s="35">
        <f>IF(LPG!Q33-LPG!Q32&lt;0,"0",(LPG!Q33-LPG!Q32)*1.8315)</f>
        <v>5.4944999999999995</v>
      </c>
      <c r="BC26" s="13">
        <f>'FS Desroches Daily'!CN28</f>
        <v>36</v>
      </c>
      <c r="BD26" s="9"/>
    </row>
    <row r="27" spans="1:56" s="16" customFormat="1" x14ac:dyDescent="0.3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4399.9999999999591</v>
      </c>
      <c r="F27" s="36">
        <f>'FS Desroches Daily'!F29</f>
        <v>4300.0000000001928</v>
      </c>
      <c r="G27" s="35">
        <f>'FS Desroches Daily'!H29</f>
        <v>4000.0000000000036</v>
      </c>
      <c r="H27" s="36">
        <f>'FS Desroches Daily'!J29</f>
        <v>1950.0000000000455</v>
      </c>
      <c r="I27" s="35">
        <f>'FS Desroches Daily'!L29</f>
        <v>3699.9999999998145</v>
      </c>
      <c r="J27" s="36">
        <f>'FS Desroches Daily'!N29</f>
        <v>2169.9999999999591</v>
      </c>
      <c r="K27" s="13">
        <f>'FS Desroches Daily'!P29</f>
        <v>21</v>
      </c>
      <c r="L27" s="35">
        <f>'FS Desroches Daily'!R29</f>
        <v>9</v>
      </c>
      <c r="M27" s="35">
        <f>'FS Desroches Daily'!T29</f>
        <v>1440</v>
      </c>
      <c r="N27" s="35">
        <f>'FS Desroches Daily'!V29</f>
        <v>461</v>
      </c>
      <c r="O27" s="35">
        <f>'FS Desroches Daily'!X29</f>
        <v>509.99999999999091</v>
      </c>
      <c r="P27" s="35">
        <f>'FS Desroches Daily'!Z29</f>
        <v>3400.0000000000696</v>
      </c>
      <c r="Q27" s="35">
        <f>'FS Desroches Daily'!AB29</f>
        <v>559.99999999994543</v>
      </c>
      <c r="R27" s="35">
        <f>'FS Desroches Daily'!AD29</f>
        <v>389.99999999998636</v>
      </c>
      <c r="S27" s="35">
        <f>'FS Desroches Daily'!AF29</f>
        <v>890.0000000000432</v>
      </c>
      <c r="T27" s="35">
        <f>'FS Desroches Daily'!AH29</f>
        <v>2.5</v>
      </c>
      <c r="U27" s="39">
        <f>'FS Desroches Daily'!AJ29</f>
        <v>949.99999999998863</v>
      </c>
      <c r="V27" s="39">
        <f>'FS Desroches Daily'!AL29</f>
        <v>0.31999999999999318</v>
      </c>
      <c r="W27" s="39">
        <f>'FS Desroches Daily'!AN29</f>
        <v>0.25999999999999091</v>
      </c>
      <c r="X27" s="39">
        <f>'FS Desroches Daily'!AP29</f>
        <v>0.25</v>
      </c>
      <c r="Y27" s="39">
        <f>'FS Desroches Daily'!AR29</f>
        <v>209.99999999997954</v>
      </c>
      <c r="Z27" s="39">
        <f>'FS Desroches Daily'!AT29</f>
        <v>250</v>
      </c>
      <c r="AA27" s="39">
        <f>'FS Desroches Daily'!AT29</f>
        <v>250</v>
      </c>
      <c r="AB27" s="39">
        <f>'FS Desroches Daily'!AV29</f>
        <v>150.00000000000568</v>
      </c>
      <c r="AC27" s="39">
        <f>'FS Desroches Daily'!AZ29</f>
        <v>220.00000000002728</v>
      </c>
      <c r="AD27" s="39">
        <f>'FS Desroches Daily'!BB29</f>
        <v>340.00000000003183</v>
      </c>
      <c r="AE27" s="39">
        <f>'FS Desroches Daily'!BD29</f>
        <v>259.99999999999091</v>
      </c>
      <c r="AF27" s="35">
        <f>'FS Desroches Daily'!BF29</f>
        <v>47</v>
      </c>
      <c r="AG27" s="36">
        <f>'FS Desroches Daily'!BH29</f>
        <v>30.000000000001137</v>
      </c>
      <c r="AH27" s="36">
        <f>'FS Desroches Daily'!BJ29</f>
        <v>50.000000000011369</v>
      </c>
      <c r="AI27" s="36">
        <f>'FS Desroches Daily'!BL29</f>
        <v>50.000000000011369</v>
      </c>
      <c r="AJ27" s="36">
        <f>'FS Desroches Daily'!BN29</f>
        <v>30.000000000001137</v>
      </c>
      <c r="AK27" s="36">
        <f>'FS Desroches Daily'!BP29</f>
        <v>40.000000000020464</v>
      </c>
      <c r="AL27" s="36">
        <f>'FS Desroches Daily'!BR29</f>
        <v>40</v>
      </c>
      <c r="AM27" s="36">
        <f>'FS Desroches Daily'!BT29</f>
        <v>49.999999999982947</v>
      </c>
      <c r="AN27" s="36">
        <f>'FS Desroches Daily'!BV29</f>
        <v>49</v>
      </c>
      <c r="AO27" s="36">
        <f>'FS Desroches Daily'!BX29</f>
        <v>39.999999999992042</v>
      </c>
      <c r="AP27" s="36">
        <f>'FS Desroches Daily'!BZ29</f>
        <v>74</v>
      </c>
      <c r="AQ27" s="35">
        <f>'FS Desroches Daily'!CB29</f>
        <v>47.30000000000291</v>
      </c>
      <c r="AR27" s="35">
        <f>'FS Desroches Daily'!CD29</f>
        <v>17.099999999998545</v>
      </c>
      <c r="AS27" s="35">
        <f>'FS Desroches Daily'!CF29</f>
        <v>8.3999999999996362</v>
      </c>
      <c r="AT27" s="35">
        <f>'FS Desroches Daily'!CH29</f>
        <v>28.19999999999709</v>
      </c>
      <c r="AU27" s="35">
        <f>'FS Desroches Daily'!CJ29</f>
        <v>353</v>
      </c>
      <c r="AV27" s="35">
        <f>'FS Desroches Daily'!CL29</f>
        <v>740.00000000000909</v>
      </c>
      <c r="AW27" s="35">
        <f>'FS Desroches Daily'!CM29</f>
        <v>136</v>
      </c>
      <c r="AX27" s="35">
        <f>IF(LPG!F34-LPG!F33&lt;0,"0",(LPG!F34-LPG!F33)*1.8315)</f>
        <v>14.651999999999999</v>
      </c>
      <c r="AY27" s="35">
        <f>IF(LPG!H34-LPG!H33&lt;0,"0",(LPG!H34-LPG!H33)*1.8315)</f>
        <v>5.4944999999999995</v>
      </c>
      <c r="AZ27" s="35">
        <f>IF(LPG!J34-LPG!J33&lt;0,"0",(LPG!J34-LPG!J33)*1.8315)</f>
        <v>5.4944999999999995</v>
      </c>
      <c r="BA27" s="35">
        <f>IF(LPG!M34-LPG!M33&lt;0,"0",(LPG!M34-LPG!M33)*1.8315)</f>
        <v>7.3259999999999996</v>
      </c>
      <c r="BB27" s="35">
        <f>IF(LPG!Q34-LPG!Q33&lt;0,"0",(LPG!Q34-LPG!Q33)*1.8315)</f>
        <v>5.4944999999999995</v>
      </c>
      <c r="BC27" s="13">
        <f>'FS Desroches Daily'!CN29</f>
        <v>36</v>
      </c>
      <c r="BD27" s="9"/>
    </row>
    <row r="28" spans="1:56" s="16" customFormat="1" x14ac:dyDescent="0.3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3300.0000000000805</v>
      </c>
      <c r="F28" s="36">
        <f>'FS Desroches Daily'!F30</f>
        <v>3699.9999999998145</v>
      </c>
      <c r="G28" s="35">
        <f>'FS Desroches Daily'!H30</f>
        <v>3699.9999999998145</v>
      </c>
      <c r="H28" s="36">
        <f>'FS Desroches Daily'!J30</f>
        <v>1589.9999999999181</v>
      </c>
      <c r="I28" s="35">
        <f>'FS Desroches Daily'!L30</f>
        <v>3300.0000000000805</v>
      </c>
      <c r="J28" s="36">
        <f>'FS Desroches Daily'!N30</f>
        <v>1850.0000000000227</v>
      </c>
      <c r="K28" s="13">
        <f>'FS Desroches Daily'!P30</f>
        <v>20</v>
      </c>
      <c r="L28" s="35">
        <f>'FS Desroches Daily'!R30</f>
        <v>8</v>
      </c>
      <c r="M28" s="35">
        <f>'FS Desroches Daily'!T30</f>
        <v>1718</v>
      </c>
      <c r="N28" s="35">
        <f>'FS Desroches Daily'!V30</f>
        <v>692</v>
      </c>
      <c r="O28" s="35">
        <f>'FS Desroches Daily'!X30</f>
        <v>520.00000000003865</v>
      </c>
      <c r="P28" s="35">
        <f>'FS Desroches Daily'!Z30</f>
        <v>3200.0000000000919</v>
      </c>
      <c r="Q28" s="35">
        <f>'FS Desroches Daily'!AB30</f>
        <v>540.00000000002046</v>
      </c>
      <c r="R28" s="35">
        <f>'FS Desroches Daily'!AD30</f>
        <v>360.00000000001364</v>
      </c>
      <c r="S28" s="35">
        <f>'FS Desroches Daily'!AF30</f>
        <v>930.00000000000682</v>
      </c>
      <c r="T28" s="35">
        <f>'FS Desroches Daily'!AH30</f>
        <v>2.3000000000000682</v>
      </c>
      <c r="U28" s="39">
        <f>'FS Desroches Daily'!AJ30</f>
        <v>430.00000000000682</v>
      </c>
      <c r="V28" s="39">
        <f>'FS Desroches Daily'!AL30</f>
        <v>0.20000000000000284</v>
      </c>
      <c r="W28" s="39">
        <f>'FS Desroches Daily'!AN30</f>
        <v>0.24000000000000909</v>
      </c>
      <c r="X28" s="39">
        <f>'FS Desroches Daily'!AP30</f>
        <v>0.23000000000000398</v>
      </c>
      <c r="Y28" s="39">
        <f>'FS Desroches Daily'!AR30</f>
        <v>210.00000000000796</v>
      </c>
      <c r="Z28" s="39">
        <f>'FS Desroches Daily'!AT30</f>
        <v>280.00000000002956</v>
      </c>
      <c r="AA28" s="39">
        <f>'FS Desroches Daily'!AT30</f>
        <v>280.00000000002956</v>
      </c>
      <c r="AB28" s="39">
        <f>'FS Desroches Daily'!AV30</f>
        <v>180.00000000000682</v>
      </c>
      <c r="AC28" s="39">
        <f>'FS Desroches Daily'!AZ30</f>
        <v>219.99999999997044</v>
      </c>
      <c r="AD28" s="39">
        <f>'FS Desroches Daily'!BB30</f>
        <v>319.99999999999318</v>
      </c>
      <c r="AE28" s="39">
        <f>'FS Desroches Daily'!BD30</f>
        <v>240.00000000000909</v>
      </c>
      <c r="AF28" s="35">
        <f>'FS Desroches Daily'!BF30</f>
        <v>59</v>
      </c>
      <c r="AG28" s="36">
        <f>'FS Desroches Daily'!BH30</f>
        <v>49.999999999982947</v>
      </c>
      <c r="AH28" s="36">
        <f>'FS Desroches Daily'!BJ30</f>
        <v>60.000000000002274</v>
      </c>
      <c r="AI28" s="36">
        <f>'FS Desroches Daily'!BL30</f>
        <v>59.999999999973852</v>
      </c>
      <c r="AJ28" s="36">
        <f>'FS Desroches Daily'!BN30</f>
        <v>50.000000000011369</v>
      </c>
      <c r="AK28" s="36">
        <f>'FS Desroches Daily'!BP30</f>
        <v>60.000000000002274</v>
      </c>
      <c r="AL28" s="36">
        <f>'FS Desroches Daily'!BR30</f>
        <v>49</v>
      </c>
      <c r="AM28" s="36">
        <f>'FS Desroches Daily'!BT30</f>
        <v>50.000000000011369</v>
      </c>
      <c r="AN28" s="36">
        <f>'FS Desroches Daily'!BV30</f>
        <v>48</v>
      </c>
      <c r="AO28" s="36">
        <f>'FS Desroches Daily'!BX30</f>
        <v>60.000000000002274</v>
      </c>
      <c r="AP28" s="36">
        <f>'FS Desroches Daily'!BZ30</f>
        <v>85</v>
      </c>
      <c r="AQ28" s="35">
        <f>'FS Desroches Daily'!CB30</f>
        <v>40.399999999997817</v>
      </c>
      <c r="AR28" s="35">
        <f>'FS Desroches Daily'!CD30</f>
        <v>12.600000000000364</v>
      </c>
      <c r="AS28" s="35">
        <f>'FS Desroches Daily'!CF30</f>
        <v>7.2000000000007276</v>
      </c>
      <c r="AT28" s="35">
        <f>'FS Desroches Daily'!CH30</f>
        <v>80.5</v>
      </c>
      <c r="AU28" s="35">
        <f>'FS Desroches Daily'!CJ30</f>
        <v>320</v>
      </c>
      <c r="AV28" s="35">
        <f>'FS Desroches Daily'!CL30</f>
        <v>759.99999999999091</v>
      </c>
      <c r="AW28" s="35">
        <f>'FS Desroches Daily'!CM30</f>
        <v>104.4</v>
      </c>
      <c r="AX28" s="35">
        <f>IF(LPG!F35-LPG!F34&lt;0,"0",(LPG!F35-LPG!F34)*1.8315)</f>
        <v>16.483499999999999</v>
      </c>
      <c r="AY28" s="35">
        <f>IF(LPG!H35-LPG!H34&lt;0,"0",(LPG!H35-LPG!H34)*1.8315)</f>
        <v>5.4944999999999995</v>
      </c>
      <c r="AZ28" s="35">
        <f>IF(LPG!J35-LPG!J34&lt;0,"0",(LPG!J35-LPG!J34)*1.8315)</f>
        <v>0</v>
      </c>
      <c r="BA28" s="35">
        <f>IF(LPG!M35-LPG!M34&lt;0,"0",(LPG!M35-LPG!M34)*1.8315)</f>
        <v>5.4944999999999995</v>
      </c>
      <c r="BB28" s="35">
        <f>IF(LPG!Q35-LPG!Q34&lt;0,"0",(LPG!Q35-LPG!Q34)*1.8315)</f>
        <v>3.6629999999999998</v>
      </c>
      <c r="BC28" s="13">
        <f>'FS Desroches Daily'!CN30</f>
        <v>34</v>
      </c>
      <c r="BD28" s="9"/>
    </row>
    <row r="29" spans="1:56" s="16" customFormat="1" x14ac:dyDescent="0.3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3199.9999999998695</v>
      </c>
      <c r="F29" s="36">
        <f>'FS Desroches Daily'!F31</f>
        <v>3700.0000000002588</v>
      </c>
      <c r="G29" s="35">
        <f>'FS Desroches Daily'!H31</f>
        <v>3700.0000000002588</v>
      </c>
      <c r="H29" s="36">
        <f>'FS Desroches Daily'!J31</f>
        <v>1550.0000000000682</v>
      </c>
      <c r="I29" s="35">
        <f>'FS Desroches Daily'!L31</f>
        <v>3400.0000000000696</v>
      </c>
      <c r="J29" s="36">
        <f>'FS Desroches Daily'!N31</f>
        <v>1759.9999999999909</v>
      </c>
      <c r="K29" s="13">
        <f>'FS Desroches Daily'!P31</f>
        <v>19</v>
      </c>
      <c r="L29" s="35">
        <f>'FS Desroches Daily'!R31</f>
        <v>9</v>
      </c>
      <c r="M29" s="35">
        <f>'FS Desroches Daily'!T31</f>
        <v>1194</v>
      </c>
      <c r="N29" s="35">
        <f>'FS Desroches Daily'!V31</f>
        <v>597</v>
      </c>
      <c r="O29" s="35">
        <f>'FS Desroches Daily'!X31</f>
        <v>490.00000000000909</v>
      </c>
      <c r="P29" s="35">
        <f>'FS Desroches Daily'!Z31</f>
        <v>3299.9999999998586</v>
      </c>
      <c r="Q29" s="35">
        <f>'FS Desroches Daily'!AB31</f>
        <v>439.99999999999773</v>
      </c>
      <c r="R29" s="35">
        <f>'FS Desroches Daily'!AD31</f>
        <v>329.99999999998408</v>
      </c>
      <c r="S29" s="35">
        <f>'FS Desroches Daily'!AF31</f>
        <v>839.99999999997499</v>
      </c>
      <c r="T29" s="35">
        <f>'FS Desroches Daily'!AH31</f>
        <v>2.1999999999999318</v>
      </c>
      <c r="U29" s="39">
        <f>'FS Desroches Daily'!AJ31</f>
        <v>339.99999999997499</v>
      </c>
      <c r="V29" s="39">
        <f>'FS Desroches Daily'!AL31</f>
        <v>9.9999999999994316E-2</v>
      </c>
      <c r="W29" s="39">
        <f>'FS Desroches Daily'!AN31</f>
        <v>0.21999999999999886</v>
      </c>
      <c r="X29" s="39">
        <f>'FS Desroches Daily'!AP31</f>
        <v>0.23999999999999488</v>
      </c>
      <c r="Y29" s="39">
        <f>'FS Desroches Daily'!AR31</f>
        <v>250</v>
      </c>
      <c r="Z29" s="39">
        <f>'FS Desroches Daily'!AT31</f>
        <v>370.00000000000455</v>
      </c>
      <c r="AA29" s="39">
        <f>'FS Desroches Daily'!AT31</f>
        <v>370.00000000000455</v>
      </c>
      <c r="AB29" s="39">
        <f>'FS Desroches Daily'!AV31</f>
        <v>189.99999999999773</v>
      </c>
      <c r="AC29" s="39">
        <f>'FS Desroches Daily'!AZ31</f>
        <v>120.00000000000455</v>
      </c>
      <c r="AD29" s="39">
        <f>'FS Desroches Daily'!BB31</f>
        <v>300.00000000001137</v>
      </c>
      <c r="AE29" s="39">
        <f>'FS Desroches Daily'!BD31</f>
        <v>219.99999999999886</v>
      </c>
      <c r="AF29" s="35">
        <f>'FS Desroches Daily'!BF31</f>
        <v>62</v>
      </c>
      <c r="AG29" s="36">
        <f>'FS Desroches Daily'!BH31</f>
        <v>30.000000000001137</v>
      </c>
      <c r="AH29" s="36">
        <f>'FS Desroches Daily'!BJ31</f>
        <v>40.000000000020464</v>
      </c>
      <c r="AI29" s="36">
        <f>'FS Desroches Daily'!BL31</f>
        <v>30.000000000001137</v>
      </c>
      <c r="AJ29" s="36">
        <f>'FS Desroches Daily'!BN31</f>
        <v>30.000000000001137</v>
      </c>
      <c r="AK29" s="36">
        <f>'FS Desroches Daily'!BP31</f>
        <v>29.999999999972715</v>
      </c>
      <c r="AL29" s="36">
        <f>'FS Desroches Daily'!BR31</f>
        <v>32</v>
      </c>
      <c r="AM29" s="36">
        <f>'FS Desroches Daily'!BT31</f>
        <v>39.999999999992042</v>
      </c>
      <c r="AN29" s="36">
        <f>'FS Desroches Daily'!BV31</f>
        <v>34</v>
      </c>
      <c r="AO29" s="36">
        <f>'FS Desroches Daily'!BX31</f>
        <v>30.000000000001137</v>
      </c>
      <c r="AP29" s="36">
        <f>'FS Desroches Daily'!BZ31</f>
        <v>55</v>
      </c>
      <c r="AQ29" s="35">
        <f>'FS Desroches Daily'!CB31</f>
        <v>49</v>
      </c>
      <c r="AR29" s="35">
        <f>'FS Desroches Daily'!CD31</f>
        <v>13.200000000000728</v>
      </c>
      <c r="AS29" s="35">
        <f>'FS Desroches Daily'!CF31</f>
        <v>7.7999999999992724</v>
      </c>
      <c r="AT29" s="35">
        <f>'FS Desroches Daily'!CH31</f>
        <v>77.69999999999709</v>
      </c>
      <c r="AU29" s="35">
        <f>'FS Desroches Daily'!CJ31</f>
        <v>320</v>
      </c>
      <c r="AV29" s="35">
        <f>'FS Desroches Daily'!CL31</f>
        <v>790.00000000002046</v>
      </c>
      <c r="AW29" s="35">
        <f>'FS Desroches Daily'!CM31</f>
        <v>106</v>
      </c>
      <c r="AX29" s="35">
        <f>IF(LPG!F36-LPG!F35&lt;0,"0",(LPG!F36-LPG!F35)*1.8315)</f>
        <v>14.651999999999999</v>
      </c>
      <c r="AY29" s="35">
        <f>IF(LPG!H36-LPG!H35&lt;0,"0",(LPG!H36-LPG!H35)*1.8315)</f>
        <v>3.6629999999999998</v>
      </c>
      <c r="AZ29" s="35">
        <f>IF(LPG!J36-LPG!J35&lt;0,"0",(LPG!J36-LPG!J35)*1.8315)</f>
        <v>0</v>
      </c>
      <c r="BA29" s="35">
        <f>IF(LPG!M36-LPG!M35&lt;0,"0",(LPG!M36-LPG!M35)*1.8315)</f>
        <v>5.4944999999999995</v>
      </c>
      <c r="BB29" s="35">
        <f>IF(LPG!Q36-LPG!Q35&lt;0,"0",(LPG!Q36-LPG!Q35)*1.8315)</f>
        <v>7.3259999999999996</v>
      </c>
      <c r="BC29" s="13">
        <f>'FS Desroches Daily'!CN31</f>
        <v>35</v>
      </c>
      <c r="BD29" s="9"/>
    </row>
    <row r="30" spans="1:56" s="16" customFormat="1" x14ac:dyDescent="0.3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3400.0000000000696</v>
      </c>
      <c r="F30" s="36">
        <f>'FS Desroches Daily'!F32</f>
        <v>3599.9999999996035</v>
      </c>
      <c r="G30" s="35">
        <f>'FS Desroches Daily'!H32</f>
        <v>3699.9999999998145</v>
      </c>
      <c r="H30" s="36">
        <f>'FS Desroches Daily'!J32</f>
        <v>1799.9999999999545</v>
      </c>
      <c r="I30" s="35">
        <f>'FS Desroches Daily'!L32</f>
        <v>3499.9999999998367</v>
      </c>
      <c r="J30" s="36">
        <f>'FS Desroches Daily'!N32</f>
        <v>1679.99999999995</v>
      </c>
      <c r="K30" s="13">
        <f>'FS Desroches Daily'!P32</f>
        <v>21</v>
      </c>
      <c r="L30" s="35">
        <f>'FS Desroches Daily'!R32</f>
        <v>8</v>
      </c>
      <c r="M30" s="35">
        <f>'FS Desroches Daily'!T32</f>
        <v>1870</v>
      </c>
      <c r="N30" s="35">
        <f>'FS Desroches Daily'!V32</f>
        <v>512</v>
      </c>
      <c r="O30" s="35">
        <f>'FS Desroches Daily'!X32</f>
        <v>519.99999999998181</v>
      </c>
      <c r="P30" s="35">
        <f>'FS Desroches Daily'!Z32</f>
        <v>3000.0000000001137</v>
      </c>
      <c r="Q30" s="35">
        <f>'FS Desroches Daily'!AB32</f>
        <v>530.00000000002956</v>
      </c>
      <c r="R30" s="35">
        <f>'FS Desroches Daily'!AD32</f>
        <v>219.99999999999886</v>
      </c>
      <c r="S30" s="35">
        <f>'FS Desroches Daily'!AF32</f>
        <v>780.00000000002956</v>
      </c>
      <c r="T30" s="35">
        <f>'FS Desroches Daily'!AH32</f>
        <v>2.2000000000000455</v>
      </c>
      <c r="U30" s="39">
        <f>'FS Desroches Daily'!AJ32</f>
        <v>400.00000000003411</v>
      </c>
      <c r="V30" s="39">
        <f>'FS Desroches Daily'!AL32</f>
        <v>0.17000000000000171</v>
      </c>
      <c r="W30" s="39">
        <f>'FS Desroches Daily'!AN32</f>
        <v>0.23999999999999488</v>
      </c>
      <c r="X30" s="39">
        <f>'FS Desroches Daily'!AP32</f>
        <v>0.29000000000000625</v>
      </c>
      <c r="Y30" s="39">
        <f>'FS Desroches Daily'!AR32</f>
        <v>319.99999999999318</v>
      </c>
      <c r="Z30" s="39">
        <f>'FS Desroches Daily'!AT32</f>
        <v>300.00000000001137</v>
      </c>
      <c r="AA30" s="39">
        <f>'FS Desroches Daily'!AT32</f>
        <v>300.00000000001137</v>
      </c>
      <c r="AB30" s="39">
        <f>'FS Desroches Daily'!AV32</f>
        <v>189.99999999999773</v>
      </c>
      <c r="AC30" s="39">
        <f>'FS Desroches Daily'!AZ32</f>
        <v>50.000000000011369</v>
      </c>
      <c r="AD30" s="39">
        <f>'FS Desroches Daily'!BB32</f>
        <v>279.99999999997272</v>
      </c>
      <c r="AE30" s="39">
        <f>'FS Desroches Daily'!BD32</f>
        <v>210.00000000000796</v>
      </c>
      <c r="AF30" s="35">
        <f>'FS Desroches Daily'!BF32</f>
        <v>62</v>
      </c>
      <c r="AG30" s="36">
        <f>'FS Desroches Daily'!BH32</f>
        <v>50.000000000011369</v>
      </c>
      <c r="AH30" s="36">
        <f>'FS Desroches Daily'!BJ32</f>
        <v>60.000000000002274</v>
      </c>
      <c r="AI30" s="36">
        <f>'FS Desroches Daily'!BL32</f>
        <v>60.000000000002274</v>
      </c>
      <c r="AJ30" s="36">
        <f>'FS Desroches Daily'!BN32</f>
        <v>50.000000000011369</v>
      </c>
      <c r="AK30" s="36">
        <f>'FS Desroches Daily'!BP32</f>
        <v>60.000000000002274</v>
      </c>
      <c r="AL30" s="36">
        <f>'FS Desroches Daily'!BR32</f>
        <v>49</v>
      </c>
      <c r="AM30" s="36">
        <f>'FS Desroches Daily'!BT32</f>
        <v>50.000000000011369</v>
      </c>
      <c r="AN30" s="36">
        <f>'FS Desroches Daily'!BV32</f>
        <v>49</v>
      </c>
      <c r="AO30" s="36">
        <f>'FS Desroches Daily'!BX32</f>
        <v>49.999999999982947</v>
      </c>
      <c r="AP30" s="36">
        <f>'FS Desroches Daily'!BZ32</f>
        <v>78</v>
      </c>
      <c r="AQ30" s="35">
        <f>'FS Desroches Daily'!CB32</f>
        <v>43.900000000001455</v>
      </c>
      <c r="AR30" s="35">
        <f>'FS Desroches Daily'!CD32</f>
        <v>18.299999999999272</v>
      </c>
      <c r="AS30" s="35">
        <f>'FS Desroches Daily'!CF32</f>
        <v>8.7000000000007276</v>
      </c>
      <c r="AT30" s="35">
        <f>'FS Desroches Daily'!CH32</f>
        <v>69.900000000001455</v>
      </c>
      <c r="AU30" s="35">
        <f>'FS Desroches Daily'!CJ32</f>
        <v>332</v>
      </c>
      <c r="AV30" s="35">
        <f>'FS Desroches Daily'!CL32</f>
        <v>839.99999999997499</v>
      </c>
      <c r="AW30" s="35">
        <f>'FS Desroches Daily'!CM32</f>
        <v>94</v>
      </c>
      <c r="AX30" s="35">
        <f>IF(LPG!F37-LPG!F36&lt;0,"0",(LPG!F37-LPG!F36)*1.8315)</f>
        <v>14.651999999999999</v>
      </c>
      <c r="AY30" s="35">
        <f>IF(LPG!H37-LPG!H36&lt;0,"0",(LPG!H37-LPG!H36)*1.8315)</f>
        <v>5.4944999999999995</v>
      </c>
      <c r="AZ30" s="35">
        <f>IF(LPG!J37-LPG!J36&lt;0,"0",(LPG!J37-LPG!J36)*1.8315)</f>
        <v>1.8314999999999999</v>
      </c>
      <c r="BA30" s="35">
        <f>IF(LPG!M37-LPG!M36&lt;0,"0",(LPG!M37-LPG!M36)*1.8315)</f>
        <v>7.3259999999999996</v>
      </c>
      <c r="BB30" s="35">
        <f>IF(LPG!Q37-LPG!Q36&lt;0,"0",(LPG!Q37-LPG!Q36)*1.8315)</f>
        <v>3.6629999999999998</v>
      </c>
      <c r="BC30" s="13">
        <f>'FS Desroches Daily'!CN32</f>
        <v>34</v>
      </c>
      <c r="BD30" s="9"/>
    </row>
    <row r="31" spans="1:56" s="16" customFormat="1" x14ac:dyDescent="0.3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3400.0000000000696</v>
      </c>
      <c r="F31" s="36">
        <f>'FS Desroches Daily'!F33</f>
        <v>3600.0000000000477</v>
      </c>
      <c r="G31" s="35">
        <f>'FS Desroches Daily'!H33</f>
        <v>3299.9999999998586</v>
      </c>
      <c r="H31" s="36">
        <f>'FS Desroches Daily'!J33</f>
        <v>1600.0000000000227</v>
      </c>
      <c r="I31" s="35">
        <f>'FS Desroches Daily'!L33</f>
        <v>3200.0000000000919</v>
      </c>
      <c r="J31" s="36">
        <f>'FS Desroches Daily'!N33</f>
        <v>1580.0000000000409</v>
      </c>
      <c r="K31" s="13">
        <f>'FS Desroches Daily'!P33</f>
        <v>22</v>
      </c>
      <c r="L31" s="35">
        <f>'FS Desroches Daily'!R33</f>
        <v>8</v>
      </c>
      <c r="M31" s="35">
        <f>'FS Desroches Daily'!T33</f>
        <v>1435</v>
      </c>
      <c r="N31" s="35">
        <f>'FS Desroches Daily'!V33</f>
        <v>536</v>
      </c>
      <c r="O31" s="35">
        <f>'FS Desroches Daily'!X33</f>
        <v>500</v>
      </c>
      <c r="P31" s="35">
        <f>'FS Desroches Daily'!Z33</f>
        <v>3199.9999999996476</v>
      </c>
      <c r="Q31" s="35">
        <f>'FS Desroches Daily'!AB33</f>
        <v>519.99999999998181</v>
      </c>
      <c r="R31" s="35">
        <f>'FS Desroches Daily'!AD33</f>
        <v>259.99999999999091</v>
      </c>
      <c r="S31" s="35">
        <f>'FS Desroches Daily'!AF33</f>
        <v>729.99999999996135</v>
      </c>
      <c r="T31" s="35">
        <f>'FS Desroches Daily'!AH33</f>
        <v>2</v>
      </c>
      <c r="U31" s="39">
        <f>'FS Desroches Daily'!AJ33</f>
        <v>539.99999999996362</v>
      </c>
      <c r="V31" s="39">
        <f>'FS Desroches Daily'!AL33</f>
        <v>0.17000000000000171</v>
      </c>
      <c r="W31" s="39">
        <f>'FS Desroches Daily'!AN33</f>
        <v>0.23000000000000398</v>
      </c>
      <c r="X31" s="39">
        <f>'FS Desroches Daily'!AP33</f>
        <v>0.26999999999999602</v>
      </c>
      <c r="Y31" s="39">
        <f>'FS Desroches Daily'!AR33</f>
        <v>319.99999999999318</v>
      </c>
      <c r="Z31" s="39">
        <f>'FS Desroches Daily'!AT33</f>
        <v>319.99999999999318</v>
      </c>
      <c r="AA31" s="39">
        <f>'FS Desroches Daily'!AT33</f>
        <v>319.99999999999318</v>
      </c>
      <c r="AB31" s="39">
        <f>'FS Desroches Daily'!AV33</f>
        <v>180.00000000000682</v>
      </c>
      <c r="AC31" s="39">
        <f>'FS Desroches Daily'!AZ33</f>
        <v>60.000000000002274</v>
      </c>
      <c r="AD31" s="39">
        <f>'FS Desroches Daily'!BB33</f>
        <v>319.99999999999318</v>
      </c>
      <c r="AE31" s="39">
        <f>'FS Desroches Daily'!BD33</f>
        <v>229.99999999998977</v>
      </c>
      <c r="AF31" s="35">
        <f>'FS Desroches Daily'!BF33</f>
        <v>49</v>
      </c>
      <c r="AG31" s="36">
        <f>'FS Desroches Daily'!BH33</f>
        <v>30.000000000001137</v>
      </c>
      <c r="AH31" s="36">
        <f>'FS Desroches Daily'!BJ33</f>
        <v>39.99999999996362</v>
      </c>
      <c r="AI31" s="36">
        <f>'FS Desroches Daily'!BL33</f>
        <v>50.000000000011369</v>
      </c>
      <c r="AJ31" s="36">
        <f>'FS Desroches Daily'!BN33</f>
        <v>39.999999999992042</v>
      </c>
      <c r="AK31" s="36">
        <f>'FS Desroches Daily'!BP33</f>
        <v>40.000000000020464</v>
      </c>
      <c r="AL31" s="36">
        <f>'FS Desroches Daily'!BR33</f>
        <v>30</v>
      </c>
      <c r="AM31" s="36">
        <f>'FS Desroches Daily'!BT33</f>
        <v>39.999999999992042</v>
      </c>
      <c r="AN31" s="36">
        <f>'FS Desroches Daily'!BV33</f>
        <v>33</v>
      </c>
      <c r="AO31" s="36">
        <f>'FS Desroches Daily'!BX33</f>
        <v>50.000000000011369</v>
      </c>
      <c r="AP31" s="36">
        <f>'FS Desroches Daily'!BZ33</f>
        <v>56</v>
      </c>
      <c r="AQ31" s="35">
        <f>'FS Desroches Daily'!CB33</f>
        <v>24</v>
      </c>
      <c r="AR31" s="35">
        <f>'FS Desroches Daily'!CD33</f>
        <v>0</v>
      </c>
      <c r="AS31" s="35">
        <f>'FS Desroches Daily'!CF33</f>
        <v>6.7999999999992724</v>
      </c>
      <c r="AT31" s="35">
        <f>'FS Desroches Daily'!CH33</f>
        <v>61.700000000004366</v>
      </c>
      <c r="AU31" s="35">
        <f>'FS Desroches Daily'!CJ33</f>
        <v>339</v>
      </c>
      <c r="AV31" s="35">
        <f>'FS Desroches Daily'!CL33</f>
        <v>710.00000000003638</v>
      </c>
      <c r="AW31" s="35">
        <f>'FS Desroches Daily'!CM33</f>
        <v>110</v>
      </c>
      <c r="AX31" s="35">
        <f>IF(LPG!F38-LPG!F37&lt;0,"0",(LPG!F38-LPG!F37)*1.8315)</f>
        <v>12.820499999999999</v>
      </c>
      <c r="AY31" s="35">
        <f>IF(LPG!H38-LPG!H37&lt;0,"0",(LPG!H38-LPG!H37)*1.8315)</f>
        <v>3.6629999999999998</v>
      </c>
      <c r="AZ31" s="35">
        <f>IF(LPG!J38-LPG!J37&lt;0,"0",(LPG!J38-LPG!J37)*1.8315)</f>
        <v>0</v>
      </c>
      <c r="BA31" s="35">
        <f>IF(LPG!M38-LPG!M37&lt;0,"0",(LPG!M38-LPG!M37)*1.8315)</f>
        <v>5.4944999999999995</v>
      </c>
      <c r="BB31" s="35">
        <f>IF(LPG!Q38-LPG!Q37&lt;0,"0",(LPG!Q38-LPG!Q37)*1.8315)</f>
        <v>5.4944999999999995</v>
      </c>
      <c r="BC31" s="13">
        <f>'FS Desroches Daily'!CN33</f>
        <v>38</v>
      </c>
      <c r="BD31" s="9"/>
    </row>
    <row r="32" spans="1:56" x14ac:dyDescent="0.3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3499.9999999998367</v>
      </c>
      <c r="F32" s="36">
        <f>'FS Desroches Daily'!F34</f>
        <v>4000.0000000000036</v>
      </c>
      <c r="G32" s="35">
        <f>'FS Desroches Daily'!H34</f>
        <v>3700.0000000002588</v>
      </c>
      <c r="H32" s="36">
        <f>'FS Desroches Daily'!J34</f>
        <v>1700.0000000000455</v>
      </c>
      <c r="I32" s="35">
        <f>'FS Desroches Daily'!L34</f>
        <v>3200.0000000000919</v>
      </c>
      <c r="J32" s="36">
        <f>'FS Desroches Daily'!N34</f>
        <v>1590.0000000000318</v>
      </c>
      <c r="K32" s="13">
        <f>'FS Desroches Daily'!P34</f>
        <v>22</v>
      </c>
      <c r="L32" s="35">
        <f>'FS Desroches Daily'!R34</f>
        <v>9</v>
      </c>
      <c r="M32" s="35">
        <f>'FS Desroches Daily'!T34</f>
        <v>1243</v>
      </c>
      <c r="N32" s="35">
        <f>'FS Desroches Daily'!V34</f>
        <v>533</v>
      </c>
      <c r="O32" s="35">
        <f>'FS Desroches Daily'!X34</f>
        <v>509.99999999999091</v>
      </c>
      <c r="P32" s="35">
        <f>'FS Desroches Daily'!Z34</f>
        <v>3700.0000000002588</v>
      </c>
      <c r="Q32" s="35">
        <f>'FS Desroches Daily'!AB34</f>
        <v>500</v>
      </c>
      <c r="R32" s="35">
        <f>'FS Desroches Daily'!AD34</f>
        <v>310.00000000000227</v>
      </c>
      <c r="S32" s="35">
        <f>'FS Desroches Daily'!AF34</f>
        <v>819.99999999999318</v>
      </c>
      <c r="T32" s="35">
        <f>'FS Desroches Daily'!AH34</f>
        <v>2</v>
      </c>
      <c r="U32" s="39">
        <f>'FS Desroches Daily'!AJ34</f>
        <v>660.00000000002501</v>
      </c>
      <c r="V32" s="39">
        <f>'FS Desroches Daily'!AL34</f>
        <v>0.18000000000000682</v>
      </c>
      <c r="W32" s="39">
        <f>'FS Desroches Daily'!AN34</f>
        <v>0.23999999999999488</v>
      </c>
      <c r="X32" s="39">
        <f>'FS Desroches Daily'!AP34</f>
        <v>0.31000000000000227</v>
      </c>
      <c r="Y32" s="39">
        <f>'FS Desroches Daily'!AR34</f>
        <v>300.00000000001137</v>
      </c>
      <c r="Z32" s="39">
        <f>'FS Desroches Daily'!AT34</f>
        <v>299.99999999995453</v>
      </c>
      <c r="AA32" s="39">
        <f>'FS Desroches Daily'!AT34</f>
        <v>299.99999999995453</v>
      </c>
      <c r="AB32" s="39">
        <f>'FS Desroches Daily'!AV34</f>
        <v>169.99999999998749</v>
      </c>
      <c r="AC32" s="39">
        <f>'FS Desroches Daily'!AZ34</f>
        <v>60.000000000002274</v>
      </c>
      <c r="AD32" s="39">
        <f>'FS Desroches Daily'!BB34</f>
        <v>319.99999999999318</v>
      </c>
      <c r="AE32" s="39">
        <f>'FS Desroches Daily'!BD34</f>
        <v>240.00000000000909</v>
      </c>
      <c r="AF32" s="35">
        <f>'FS Desroches Daily'!BF34</f>
        <v>69</v>
      </c>
      <c r="AG32" s="36">
        <f>'FS Desroches Daily'!BH34</f>
        <v>30.000000000001137</v>
      </c>
      <c r="AH32" s="36">
        <f>'FS Desroches Daily'!BJ34</f>
        <v>40.000000000020464</v>
      </c>
      <c r="AI32" s="36">
        <f>'FS Desroches Daily'!BL34</f>
        <v>50.000000000011369</v>
      </c>
      <c r="AJ32" s="36">
        <f>'FS Desroches Daily'!BN34</f>
        <v>39.999999999992042</v>
      </c>
      <c r="AK32" s="36">
        <f>'FS Desroches Daily'!BP34</f>
        <v>50.000000000011369</v>
      </c>
      <c r="AL32" s="36">
        <f>'FS Desroches Daily'!BR34</f>
        <v>30</v>
      </c>
      <c r="AM32" s="36">
        <f>'FS Desroches Daily'!BT34</f>
        <v>50.000000000011369</v>
      </c>
      <c r="AN32" s="36">
        <f>'FS Desroches Daily'!BV34</f>
        <v>32</v>
      </c>
      <c r="AO32" s="36">
        <f>'FS Desroches Daily'!BX34</f>
        <v>39.999999999992042</v>
      </c>
      <c r="AP32" s="36">
        <f>'FS Desroches Daily'!BZ34</f>
        <v>61</v>
      </c>
      <c r="AQ32" s="35">
        <f>'FS Desroches Daily'!CB34</f>
        <v>38</v>
      </c>
      <c r="AR32" s="35">
        <f>'FS Desroches Daily'!CD34</f>
        <v>45.100000000000364</v>
      </c>
      <c r="AS32" s="35">
        <f>'FS Desroches Daily'!CF34</f>
        <v>3.8000000000001819</v>
      </c>
      <c r="AT32" s="35">
        <f>'FS Desroches Daily'!CH34</f>
        <v>66.399999999994179</v>
      </c>
      <c r="AU32" s="35">
        <f>'FS Desroches Daily'!CJ34</f>
        <v>373</v>
      </c>
      <c r="AV32" s="35">
        <f>'FS Desroches Daily'!CL34</f>
        <v>819.99999999999318</v>
      </c>
      <c r="AW32" s="35">
        <f>'FS Desroches Daily'!CM34</f>
        <v>104.3</v>
      </c>
      <c r="AX32" s="35">
        <f>IF(LPG!F39-LPG!F38&lt;0,"0",(LPG!F39-LPG!F38)*1.8315)</f>
        <v>18.314999999999998</v>
      </c>
      <c r="AY32" s="35">
        <f>IF(LPG!H39-LPG!H38&lt;0,"0",(LPG!H39-LPG!H38)*1.8315)</f>
        <v>0</v>
      </c>
      <c r="AZ32" s="35">
        <f>IF(LPG!J39-LPG!J38&lt;0,"0",(LPG!J39-LPG!J38)*1.8315)</f>
        <v>1.8314999999999999</v>
      </c>
      <c r="BA32" s="35">
        <f>IF(LPG!M39-LPG!M38&lt;0,"0",(LPG!M39-LPG!M38)*1.8315)</f>
        <v>1.8314999999999999</v>
      </c>
      <c r="BB32" s="35">
        <f>IF(LPG!Q39-LPG!Q38&lt;0,"0",(LPG!Q39-LPG!Q38)*1.8315)</f>
        <v>5.4944999999999995</v>
      </c>
      <c r="BC32" s="13">
        <f>'FS Desroches Daily'!CN34</f>
        <v>38</v>
      </c>
      <c r="BD32" s="9"/>
    </row>
    <row r="33" spans="5:55" x14ac:dyDescent="0.3">
      <c r="E33" s="39">
        <f>SUM(E2:E32)</f>
        <v>75799.999999999869</v>
      </c>
      <c r="F33" s="17">
        <f t="shared" ref="F33:BC33" si="1">SUM(F2:F32)</f>
        <v>104400.00000000004</v>
      </c>
      <c r="G33" s="17">
        <f t="shared" si="1"/>
        <v>102800.00000000023</v>
      </c>
      <c r="H33" s="17">
        <f t="shared" si="1"/>
        <v>46560.000000000051</v>
      </c>
      <c r="I33" s="17">
        <f t="shared" si="1"/>
        <v>82200.000000000044</v>
      </c>
      <c r="J33" s="17">
        <f t="shared" si="1"/>
        <v>50720.000000000029</v>
      </c>
      <c r="K33" s="17">
        <f t="shared" si="1"/>
        <v>595</v>
      </c>
      <c r="L33" s="17">
        <f t="shared" si="1"/>
        <v>237</v>
      </c>
      <c r="M33" s="17">
        <f t="shared" si="1"/>
        <v>37785</v>
      </c>
      <c r="N33" s="17">
        <f t="shared" si="1"/>
        <v>15077</v>
      </c>
      <c r="O33" s="17">
        <f t="shared" si="1"/>
        <v>12370.000000000004</v>
      </c>
      <c r="P33" s="17">
        <f t="shared" si="1"/>
        <v>91400.000000000175</v>
      </c>
      <c r="Q33" s="17">
        <f t="shared" si="1"/>
        <v>14129.999999999993</v>
      </c>
      <c r="R33" s="17">
        <f t="shared" si="1"/>
        <v>11179.999999999975</v>
      </c>
      <c r="S33" s="17">
        <f t="shared" si="1"/>
        <v>22029.999999999971</v>
      </c>
      <c r="T33" s="17">
        <f t="shared" si="1"/>
        <v>61.800000000000068</v>
      </c>
      <c r="U33" s="39">
        <f t="shared" si="1"/>
        <v>14439.119999999995</v>
      </c>
      <c r="V33" s="39">
        <f t="shared" si="1"/>
        <v>5.9599999999999937</v>
      </c>
      <c r="W33" s="39">
        <f t="shared" si="1"/>
        <v>6.0900000000000034</v>
      </c>
      <c r="X33" s="39">
        <f t="shared" si="1"/>
        <v>5.6500000000000057</v>
      </c>
      <c r="Y33" s="39">
        <f t="shared" si="1"/>
        <v>3650.0000000000059</v>
      </c>
      <c r="Z33" s="39">
        <f t="shared" si="1"/>
        <v>3659.9999999999682</v>
      </c>
      <c r="AA33" s="39">
        <f t="shared" si="1"/>
        <v>3659.9999999999682</v>
      </c>
      <c r="AB33" s="39">
        <f t="shared" si="1"/>
        <v>4800.0000000000109</v>
      </c>
      <c r="AC33" s="39">
        <f t="shared" si="1"/>
        <v>3910.000000000025</v>
      </c>
      <c r="AD33" s="39">
        <f t="shared" si="1"/>
        <v>5990.0000000000073</v>
      </c>
      <c r="AE33" s="39">
        <f t="shared" si="1"/>
        <v>2840.0000000000036</v>
      </c>
      <c r="AF33" s="17">
        <f t="shared" si="1"/>
        <v>1506</v>
      </c>
      <c r="AG33" s="36">
        <f t="shared" si="1"/>
        <v>950.00000000001705</v>
      </c>
      <c r="AH33" s="36">
        <f t="shared" si="1"/>
        <v>1300.0000000000114</v>
      </c>
      <c r="AI33" s="36">
        <f t="shared" si="1"/>
        <v>1320.0000000000216</v>
      </c>
      <c r="AJ33" s="36">
        <f t="shared" si="1"/>
        <v>1139.9999999999864</v>
      </c>
      <c r="AK33" s="36">
        <f t="shared" si="1"/>
        <v>1330.0000000000409</v>
      </c>
      <c r="AL33" s="36">
        <f t="shared" si="1"/>
        <v>1197</v>
      </c>
      <c r="AM33" s="36">
        <f t="shared" si="1"/>
        <v>1219.9999999999989</v>
      </c>
      <c r="AN33" s="36">
        <f t="shared" si="1"/>
        <v>1050</v>
      </c>
      <c r="AO33" s="36">
        <f t="shared" si="1"/>
        <v>1229.9999999999898</v>
      </c>
      <c r="AP33" s="36">
        <f t="shared" si="1"/>
        <v>1898</v>
      </c>
      <c r="AQ33" s="17">
        <f t="shared" si="1"/>
        <v>1181.9000000000015</v>
      </c>
      <c r="AR33" s="17">
        <f t="shared" si="1"/>
        <v>448.20000000000073</v>
      </c>
      <c r="AS33" s="17">
        <f t="shared" si="1"/>
        <v>264.30000000000018</v>
      </c>
      <c r="AT33" s="17">
        <f t="shared" si="1"/>
        <v>1767.8999999999942</v>
      </c>
      <c r="AU33" s="17">
        <f t="shared" si="1"/>
        <v>9754</v>
      </c>
      <c r="AV33" s="17">
        <f t="shared" si="1"/>
        <v>22459.999999999982</v>
      </c>
      <c r="AW33" s="17">
        <f t="shared" si="1"/>
        <v>2923.1000000000004</v>
      </c>
      <c r="AX33" s="17">
        <f t="shared" si="1"/>
        <v>446.88599999999991</v>
      </c>
      <c r="AY33" s="17">
        <f t="shared" si="1"/>
        <v>111.72149999999996</v>
      </c>
      <c r="AZ33" s="17">
        <f t="shared" si="1"/>
        <v>43.955999999999996</v>
      </c>
      <c r="BA33" s="17">
        <f t="shared" si="1"/>
        <v>135.53100000000001</v>
      </c>
      <c r="BB33" s="17">
        <f t="shared" si="1"/>
        <v>177.65549999999993</v>
      </c>
      <c r="BC33" s="17">
        <f t="shared" si="1"/>
        <v>883</v>
      </c>
    </row>
    <row r="35" spans="5:55" x14ac:dyDescent="0.3">
      <c r="E35" s="42">
        <f>E33/E37</f>
        <v>0.20408273158543694</v>
      </c>
      <c r="G35" s="33">
        <f>G33-M36</f>
        <v>49938.000000000233</v>
      </c>
      <c r="AE35" s="39">
        <f>SUM(U33:AE33)</f>
        <v>42966.819999999978</v>
      </c>
      <c r="AG35" s="36">
        <f>SUM(AG33:AP33)</f>
        <v>12635.000000000065</v>
      </c>
    </row>
    <row r="36" spans="5:55" x14ac:dyDescent="0.3">
      <c r="G36" s="33">
        <f>G35-633*14</f>
        <v>41076.000000000233</v>
      </c>
      <c r="M36" s="33">
        <f>M33+N33</f>
        <v>52862</v>
      </c>
    </row>
    <row r="37" spans="5:55" x14ac:dyDescent="0.3">
      <c r="E37" s="17">
        <f>E33+F33+G33+H33+J33-633*14</f>
        <v>371418.00000000023</v>
      </c>
      <c r="G37" s="41">
        <f>M36/E37</f>
        <v>0.14232482001410801</v>
      </c>
      <c r="M37" s="39">
        <f>AE35</f>
        <v>42966.819999999978</v>
      </c>
    </row>
    <row r="38" spans="5:55" x14ac:dyDescent="0.3">
      <c r="L38" s="31">
        <f>M38/E37</f>
        <v>3.4018275904775908E-2</v>
      </c>
      <c r="M38" s="33">
        <f>AG35</f>
        <v>12635.000000000065</v>
      </c>
    </row>
    <row r="39" spans="5:55" x14ac:dyDescent="0.3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zoomScale="70" zoomScaleNormal="70" workbookViewId="0">
      <pane ySplit="1" topLeftCell="A18" activePane="bottomLeft" state="frozen"/>
      <selection pane="bottomLeft" activeCell="CJ34" sqref="CJ34"/>
    </sheetView>
  </sheetViews>
  <sheetFormatPr defaultRowHeight="18" x14ac:dyDescent="0.35"/>
  <cols>
    <col min="1" max="1" width="14" style="63" customWidth="1"/>
    <col min="2" max="2" width="2" style="63" customWidth="1"/>
    <col min="3" max="3" width="11.88671875" style="74" customWidth="1"/>
    <col min="4" max="4" width="18.44140625" style="86" customWidth="1"/>
    <col min="5" max="5" width="13.6640625" style="63" customWidth="1"/>
    <col min="6" max="6" width="13.88671875" style="87" customWidth="1"/>
    <col min="7" max="7" width="14.6640625" style="74" customWidth="1"/>
    <col min="8" max="8" width="14.5546875" style="74" customWidth="1"/>
    <col min="9" max="9" width="13.44140625" style="63" customWidth="1"/>
    <col min="10" max="10" width="13.44140625" style="74" customWidth="1"/>
    <col min="11" max="11" width="13.44140625" style="63" customWidth="1"/>
    <col min="12" max="12" width="13.44140625" style="74" customWidth="1"/>
    <col min="13" max="13" width="13.44140625" style="63" customWidth="1"/>
    <col min="14" max="16" width="13.44140625" style="88" customWidth="1"/>
    <col min="17" max="17" width="13.44140625" style="63" customWidth="1"/>
    <col min="18" max="18" width="13.44140625" style="88" customWidth="1"/>
    <col min="19" max="19" width="13.44140625" style="63" customWidth="1"/>
    <col min="20" max="20" width="13.44140625" style="88" customWidth="1"/>
    <col min="21" max="21" width="13.44140625" style="63" customWidth="1"/>
    <col min="22" max="22" width="13.44140625" style="88" customWidth="1"/>
    <col min="23" max="23" width="13.44140625" style="63" customWidth="1"/>
    <col min="24" max="24" width="13.44140625" style="88" customWidth="1"/>
    <col min="25" max="25" width="13.44140625" style="63" customWidth="1"/>
    <col min="26" max="26" width="13.44140625" style="88" customWidth="1"/>
    <col min="27" max="27" width="14.44140625" style="63" customWidth="1"/>
    <col min="28" max="28" width="10.5546875" style="88" customWidth="1"/>
    <col min="29" max="29" width="13.44140625" style="63" customWidth="1"/>
    <col min="30" max="30" width="11" style="88" customWidth="1"/>
    <col min="31" max="31" width="13.44140625" style="63" customWidth="1"/>
    <col min="32" max="32" width="13.44140625" style="88" customWidth="1"/>
    <col min="33" max="33" width="11.88671875" style="63" customWidth="1"/>
    <col min="34" max="34" width="9.5546875" style="88" customWidth="1"/>
    <col min="35" max="35" width="13.109375" style="63" customWidth="1"/>
    <col min="36" max="36" width="12.5546875" style="88" customWidth="1"/>
    <col min="37" max="37" width="13.44140625" style="63" customWidth="1"/>
    <col min="38" max="38" width="16" style="88" customWidth="1"/>
    <col min="39" max="39" width="13.44140625" style="74" customWidth="1"/>
    <col min="40" max="40" width="13.44140625" style="88" customWidth="1"/>
    <col min="41" max="41" width="13.44140625" style="74" customWidth="1"/>
    <col min="42" max="42" width="13.44140625" style="88" customWidth="1"/>
    <col min="43" max="43" width="13.44140625" style="74" customWidth="1"/>
    <col min="44" max="44" width="13.44140625" style="88" customWidth="1"/>
    <col min="45" max="45" width="13.44140625" style="74" customWidth="1"/>
    <col min="46" max="46" width="13.44140625" style="88" customWidth="1"/>
    <col min="47" max="47" width="13.44140625" style="74" customWidth="1"/>
    <col min="48" max="48" width="13.44140625" style="88" customWidth="1"/>
    <col min="49" max="49" width="13.44140625" style="74" customWidth="1"/>
    <col min="50" max="50" width="13.44140625" style="88" customWidth="1"/>
    <col min="51" max="51" width="13.44140625" style="74" customWidth="1"/>
    <col min="52" max="52" width="13.44140625" style="88" customWidth="1"/>
    <col min="53" max="53" width="13.44140625" style="74" customWidth="1"/>
    <col min="54" max="54" width="13.44140625" style="88" customWidth="1"/>
    <col min="55" max="55" width="13.44140625" style="74" customWidth="1"/>
    <col min="56" max="56" width="13.44140625" style="88" customWidth="1"/>
    <col min="57" max="57" width="13.44140625" style="74" customWidth="1"/>
    <col min="58" max="58" width="13.44140625" style="88" customWidth="1"/>
    <col min="59" max="59" width="13.44140625" style="74" customWidth="1"/>
    <col min="60" max="60" width="13.44140625" style="88" customWidth="1"/>
    <col min="61" max="61" width="13.44140625" style="74" customWidth="1"/>
    <col min="62" max="62" width="13.44140625" style="88" customWidth="1"/>
    <col min="63" max="63" width="13.44140625" style="74" customWidth="1"/>
    <col min="64" max="64" width="13.44140625" style="88" customWidth="1"/>
    <col min="65" max="65" width="13.44140625" style="74" customWidth="1"/>
    <col min="66" max="66" width="13.44140625" style="88" customWidth="1"/>
    <col min="67" max="67" width="13.44140625" style="74" customWidth="1"/>
    <col min="68" max="68" width="13.44140625" style="88" customWidth="1"/>
    <col min="69" max="69" width="13.44140625" style="74" customWidth="1"/>
    <col min="70" max="70" width="13.44140625" style="88" customWidth="1"/>
    <col min="71" max="71" width="13.44140625" style="74" customWidth="1"/>
    <col min="72" max="72" width="13.44140625" style="88" customWidth="1"/>
    <col min="73" max="73" width="13.44140625" style="74" customWidth="1"/>
    <col min="74" max="74" width="13.44140625" style="88" customWidth="1"/>
    <col min="75" max="75" width="13.44140625" style="74" customWidth="1"/>
    <col min="76" max="76" width="13.44140625" style="88" customWidth="1"/>
    <col min="77" max="77" width="13.44140625" style="74" customWidth="1"/>
    <col min="78" max="78" width="13.44140625" style="88" customWidth="1"/>
    <col min="79" max="79" width="13.44140625" style="74" customWidth="1"/>
    <col min="80" max="80" width="13.44140625" style="88" customWidth="1"/>
    <col min="81" max="81" width="13.44140625" style="74" customWidth="1"/>
    <col min="82" max="82" width="13.44140625" style="88" customWidth="1"/>
    <col min="83" max="83" width="13.44140625" style="74" customWidth="1"/>
    <col min="84" max="84" width="13.44140625" style="88" customWidth="1"/>
    <col min="85" max="85" width="13.44140625" style="74" customWidth="1"/>
    <col min="86" max="86" width="13.44140625" style="88" customWidth="1"/>
    <col min="87" max="87" width="13.44140625" style="74" customWidth="1"/>
    <col min="88" max="88" width="13.44140625" style="88" customWidth="1"/>
    <col min="89" max="89" width="13.6640625" style="74" customWidth="1"/>
    <col min="90" max="91" width="13" style="74" customWidth="1"/>
    <col min="92" max="93" width="13" style="89" customWidth="1"/>
    <col min="94" max="292" width="9.109375" style="63"/>
    <col min="293" max="293" width="14" style="63" customWidth="1"/>
    <col min="294" max="294" width="2" style="63" customWidth="1"/>
    <col min="295" max="295" width="11.88671875" style="63" customWidth="1"/>
    <col min="296" max="297" width="13.5546875" style="63" customWidth="1"/>
    <col min="298" max="298" width="13.88671875" style="63" customWidth="1"/>
    <col min="299" max="300" width="14.5546875" style="63" customWidth="1"/>
    <col min="301" max="319" width="13.44140625" style="63" customWidth="1"/>
    <col min="320" max="320" width="10.5546875" style="63" customWidth="1"/>
    <col min="321" max="321" width="13.44140625" style="63" customWidth="1"/>
    <col min="322" max="322" width="11" style="63" customWidth="1"/>
    <col min="323" max="326" width="13.44140625" style="63" customWidth="1"/>
    <col min="327" max="327" width="19.5546875" style="63" customWidth="1"/>
    <col min="328" max="328" width="16.44140625" style="63" customWidth="1"/>
    <col min="329" max="329" width="13.44140625" style="63" customWidth="1"/>
    <col min="330" max="330" width="16" style="63" customWidth="1"/>
    <col min="331" max="334" width="13.44140625" style="63" customWidth="1"/>
    <col min="335" max="335" width="2.109375" style="63" customWidth="1"/>
    <col min="336" max="336" width="10.44140625" style="63" customWidth="1"/>
    <col min="337" max="337" width="14.109375" style="63" customWidth="1"/>
    <col min="338" max="338" width="9.109375" style="63"/>
    <col min="339" max="339" width="13.88671875" style="63" customWidth="1"/>
    <col min="340" max="340" width="9.109375" style="63"/>
    <col min="341" max="341" width="12.5546875" style="63" customWidth="1"/>
    <col min="342" max="342" width="10.44140625" style="63" customWidth="1"/>
    <col min="343" max="344" width="13.5546875" style="63" customWidth="1"/>
    <col min="345" max="345" width="13" style="63" customWidth="1"/>
    <col min="346" max="346" width="13.5546875" style="63" customWidth="1"/>
    <col min="347" max="349" width="13" style="63" customWidth="1"/>
    <col min="350" max="548" width="9.109375" style="63"/>
    <col min="549" max="549" width="14" style="63" customWidth="1"/>
    <col min="550" max="550" width="2" style="63" customWidth="1"/>
    <col min="551" max="551" width="11.88671875" style="63" customWidth="1"/>
    <col min="552" max="553" width="13.5546875" style="63" customWidth="1"/>
    <col min="554" max="554" width="13.88671875" style="63" customWidth="1"/>
    <col min="555" max="556" width="14.5546875" style="63" customWidth="1"/>
    <col min="557" max="575" width="13.44140625" style="63" customWidth="1"/>
    <col min="576" max="576" width="10.5546875" style="63" customWidth="1"/>
    <col min="577" max="577" width="13.44140625" style="63" customWidth="1"/>
    <col min="578" max="578" width="11" style="63" customWidth="1"/>
    <col min="579" max="582" width="13.44140625" style="63" customWidth="1"/>
    <col min="583" max="583" width="19.5546875" style="63" customWidth="1"/>
    <col min="584" max="584" width="16.44140625" style="63" customWidth="1"/>
    <col min="585" max="585" width="13.44140625" style="63" customWidth="1"/>
    <col min="586" max="586" width="16" style="63" customWidth="1"/>
    <col min="587" max="590" width="13.44140625" style="63" customWidth="1"/>
    <col min="591" max="591" width="2.109375" style="63" customWidth="1"/>
    <col min="592" max="592" width="10.44140625" style="63" customWidth="1"/>
    <col min="593" max="593" width="14.109375" style="63" customWidth="1"/>
    <col min="594" max="594" width="9.109375" style="63"/>
    <col min="595" max="595" width="13.88671875" style="63" customWidth="1"/>
    <col min="596" max="596" width="9.109375" style="63"/>
    <col min="597" max="597" width="12.5546875" style="63" customWidth="1"/>
    <col min="598" max="598" width="10.44140625" style="63" customWidth="1"/>
    <col min="599" max="600" width="13.5546875" style="63" customWidth="1"/>
    <col min="601" max="601" width="13" style="63" customWidth="1"/>
    <col min="602" max="602" width="13.5546875" style="63" customWidth="1"/>
    <col min="603" max="605" width="13" style="63" customWidth="1"/>
    <col min="606" max="804" width="9.109375" style="63"/>
    <col min="805" max="805" width="14" style="63" customWidth="1"/>
    <col min="806" max="806" width="2" style="63" customWidth="1"/>
    <col min="807" max="807" width="11.88671875" style="63" customWidth="1"/>
    <col min="808" max="809" width="13.5546875" style="63" customWidth="1"/>
    <col min="810" max="810" width="13.88671875" style="63" customWidth="1"/>
    <col min="811" max="812" width="14.5546875" style="63" customWidth="1"/>
    <col min="813" max="831" width="13.44140625" style="63" customWidth="1"/>
    <col min="832" max="832" width="10.5546875" style="63" customWidth="1"/>
    <col min="833" max="833" width="13.44140625" style="63" customWidth="1"/>
    <col min="834" max="834" width="11" style="63" customWidth="1"/>
    <col min="835" max="838" width="13.44140625" style="63" customWidth="1"/>
    <col min="839" max="839" width="19.5546875" style="63" customWidth="1"/>
    <col min="840" max="840" width="16.44140625" style="63" customWidth="1"/>
    <col min="841" max="841" width="13.44140625" style="63" customWidth="1"/>
    <col min="842" max="842" width="16" style="63" customWidth="1"/>
    <col min="843" max="846" width="13.44140625" style="63" customWidth="1"/>
    <col min="847" max="847" width="2.109375" style="63" customWidth="1"/>
    <col min="848" max="848" width="10.44140625" style="63" customWidth="1"/>
    <col min="849" max="849" width="14.109375" style="63" customWidth="1"/>
    <col min="850" max="850" width="9.109375" style="63"/>
    <col min="851" max="851" width="13.88671875" style="63" customWidth="1"/>
    <col min="852" max="852" width="9.109375" style="63"/>
    <col min="853" max="853" width="12.5546875" style="63" customWidth="1"/>
    <col min="854" max="854" width="10.44140625" style="63" customWidth="1"/>
    <col min="855" max="856" width="13.5546875" style="63" customWidth="1"/>
    <col min="857" max="857" width="13" style="63" customWidth="1"/>
    <col min="858" max="858" width="13.5546875" style="63" customWidth="1"/>
    <col min="859" max="861" width="13" style="63" customWidth="1"/>
    <col min="862" max="1060" width="9.109375" style="63"/>
    <col min="1061" max="1061" width="14" style="63" customWidth="1"/>
    <col min="1062" max="1062" width="2" style="63" customWidth="1"/>
    <col min="1063" max="1063" width="11.88671875" style="63" customWidth="1"/>
    <col min="1064" max="1065" width="13.5546875" style="63" customWidth="1"/>
    <col min="1066" max="1066" width="13.88671875" style="63" customWidth="1"/>
    <col min="1067" max="1068" width="14.5546875" style="63" customWidth="1"/>
    <col min="1069" max="1087" width="13.44140625" style="63" customWidth="1"/>
    <col min="1088" max="1088" width="10.5546875" style="63" customWidth="1"/>
    <col min="1089" max="1089" width="13.44140625" style="63" customWidth="1"/>
    <col min="1090" max="1090" width="11" style="63" customWidth="1"/>
    <col min="1091" max="1094" width="13.44140625" style="63" customWidth="1"/>
    <col min="1095" max="1095" width="19.5546875" style="63" customWidth="1"/>
    <col min="1096" max="1096" width="16.44140625" style="63" customWidth="1"/>
    <col min="1097" max="1097" width="13.44140625" style="63" customWidth="1"/>
    <col min="1098" max="1098" width="16" style="63" customWidth="1"/>
    <col min="1099" max="1102" width="13.44140625" style="63" customWidth="1"/>
    <col min="1103" max="1103" width="2.109375" style="63" customWidth="1"/>
    <col min="1104" max="1104" width="10.44140625" style="63" customWidth="1"/>
    <col min="1105" max="1105" width="14.109375" style="63" customWidth="1"/>
    <col min="1106" max="1106" width="9.109375" style="63"/>
    <col min="1107" max="1107" width="13.88671875" style="63" customWidth="1"/>
    <col min="1108" max="1108" width="9.109375" style="63"/>
    <col min="1109" max="1109" width="12.5546875" style="63" customWidth="1"/>
    <col min="1110" max="1110" width="10.44140625" style="63" customWidth="1"/>
    <col min="1111" max="1112" width="13.5546875" style="63" customWidth="1"/>
    <col min="1113" max="1113" width="13" style="63" customWidth="1"/>
    <col min="1114" max="1114" width="13.5546875" style="63" customWidth="1"/>
    <col min="1115" max="1117" width="13" style="63" customWidth="1"/>
    <col min="1118" max="1316" width="9.109375" style="63"/>
    <col min="1317" max="1317" width="14" style="63" customWidth="1"/>
    <col min="1318" max="1318" width="2" style="63" customWidth="1"/>
    <col min="1319" max="1319" width="11.88671875" style="63" customWidth="1"/>
    <col min="1320" max="1321" width="13.5546875" style="63" customWidth="1"/>
    <col min="1322" max="1322" width="13.88671875" style="63" customWidth="1"/>
    <col min="1323" max="1324" width="14.5546875" style="63" customWidth="1"/>
    <col min="1325" max="1343" width="13.44140625" style="63" customWidth="1"/>
    <col min="1344" max="1344" width="10.5546875" style="63" customWidth="1"/>
    <col min="1345" max="1345" width="13.44140625" style="63" customWidth="1"/>
    <col min="1346" max="1346" width="11" style="63" customWidth="1"/>
    <col min="1347" max="1350" width="13.44140625" style="63" customWidth="1"/>
    <col min="1351" max="1351" width="19.5546875" style="63" customWidth="1"/>
    <col min="1352" max="1352" width="16.44140625" style="63" customWidth="1"/>
    <col min="1353" max="1353" width="13.44140625" style="63" customWidth="1"/>
    <col min="1354" max="1354" width="16" style="63" customWidth="1"/>
    <col min="1355" max="1358" width="13.44140625" style="63" customWidth="1"/>
    <col min="1359" max="1359" width="2.109375" style="63" customWidth="1"/>
    <col min="1360" max="1360" width="10.44140625" style="63" customWidth="1"/>
    <col min="1361" max="1361" width="14.109375" style="63" customWidth="1"/>
    <col min="1362" max="1362" width="9.109375" style="63"/>
    <col min="1363" max="1363" width="13.88671875" style="63" customWidth="1"/>
    <col min="1364" max="1364" width="9.109375" style="63"/>
    <col min="1365" max="1365" width="12.5546875" style="63" customWidth="1"/>
    <col min="1366" max="1366" width="10.44140625" style="63" customWidth="1"/>
    <col min="1367" max="1368" width="13.5546875" style="63" customWidth="1"/>
    <col min="1369" max="1369" width="13" style="63" customWidth="1"/>
    <col min="1370" max="1370" width="13.5546875" style="63" customWidth="1"/>
    <col min="1371" max="1373" width="13" style="63" customWidth="1"/>
    <col min="1374" max="1572" width="9.109375" style="63"/>
    <col min="1573" max="1573" width="14" style="63" customWidth="1"/>
    <col min="1574" max="1574" width="2" style="63" customWidth="1"/>
    <col min="1575" max="1575" width="11.88671875" style="63" customWidth="1"/>
    <col min="1576" max="1577" width="13.5546875" style="63" customWidth="1"/>
    <col min="1578" max="1578" width="13.88671875" style="63" customWidth="1"/>
    <col min="1579" max="1580" width="14.5546875" style="63" customWidth="1"/>
    <col min="1581" max="1599" width="13.44140625" style="63" customWidth="1"/>
    <col min="1600" max="1600" width="10.5546875" style="63" customWidth="1"/>
    <col min="1601" max="1601" width="13.44140625" style="63" customWidth="1"/>
    <col min="1602" max="1602" width="11" style="63" customWidth="1"/>
    <col min="1603" max="1606" width="13.44140625" style="63" customWidth="1"/>
    <col min="1607" max="1607" width="19.5546875" style="63" customWidth="1"/>
    <col min="1608" max="1608" width="16.44140625" style="63" customWidth="1"/>
    <col min="1609" max="1609" width="13.44140625" style="63" customWidth="1"/>
    <col min="1610" max="1610" width="16" style="63" customWidth="1"/>
    <col min="1611" max="1614" width="13.44140625" style="63" customWidth="1"/>
    <col min="1615" max="1615" width="2.109375" style="63" customWidth="1"/>
    <col min="1616" max="1616" width="10.44140625" style="63" customWidth="1"/>
    <col min="1617" max="1617" width="14.109375" style="63" customWidth="1"/>
    <col min="1618" max="1618" width="9.109375" style="63"/>
    <col min="1619" max="1619" width="13.88671875" style="63" customWidth="1"/>
    <col min="1620" max="1620" width="9.109375" style="63"/>
    <col min="1621" max="1621" width="12.5546875" style="63" customWidth="1"/>
    <col min="1622" max="1622" width="10.44140625" style="63" customWidth="1"/>
    <col min="1623" max="1624" width="13.5546875" style="63" customWidth="1"/>
    <col min="1625" max="1625" width="13" style="63" customWidth="1"/>
    <col min="1626" max="1626" width="13.5546875" style="63" customWidth="1"/>
    <col min="1627" max="1629" width="13" style="63" customWidth="1"/>
    <col min="1630" max="1828" width="9.109375" style="63"/>
    <col min="1829" max="1829" width="14" style="63" customWidth="1"/>
    <col min="1830" max="1830" width="2" style="63" customWidth="1"/>
    <col min="1831" max="1831" width="11.88671875" style="63" customWidth="1"/>
    <col min="1832" max="1833" width="13.5546875" style="63" customWidth="1"/>
    <col min="1834" max="1834" width="13.88671875" style="63" customWidth="1"/>
    <col min="1835" max="1836" width="14.5546875" style="63" customWidth="1"/>
    <col min="1837" max="1855" width="13.44140625" style="63" customWidth="1"/>
    <col min="1856" max="1856" width="10.5546875" style="63" customWidth="1"/>
    <col min="1857" max="1857" width="13.44140625" style="63" customWidth="1"/>
    <col min="1858" max="1858" width="11" style="63" customWidth="1"/>
    <col min="1859" max="1862" width="13.44140625" style="63" customWidth="1"/>
    <col min="1863" max="1863" width="19.5546875" style="63" customWidth="1"/>
    <col min="1864" max="1864" width="16.44140625" style="63" customWidth="1"/>
    <col min="1865" max="1865" width="13.44140625" style="63" customWidth="1"/>
    <col min="1866" max="1866" width="16" style="63" customWidth="1"/>
    <col min="1867" max="1870" width="13.44140625" style="63" customWidth="1"/>
    <col min="1871" max="1871" width="2.109375" style="63" customWidth="1"/>
    <col min="1872" max="1872" width="10.44140625" style="63" customWidth="1"/>
    <col min="1873" max="1873" width="14.109375" style="63" customWidth="1"/>
    <col min="1874" max="1874" width="9.109375" style="63"/>
    <col min="1875" max="1875" width="13.88671875" style="63" customWidth="1"/>
    <col min="1876" max="1876" width="9.109375" style="63"/>
    <col min="1877" max="1877" width="12.5546875" style="63" customWidth="1"/>
    <col min="1878" max="1878" width="10.44140625" style="63" customWidth="1"/>
    <col min="1879" max="1880" width="13.5546875" style="63" customWidth="1"/>
    <col min="1881" max="1881" width="13" style="63" customWidth="1"/>
    <col min="1882" max="1882" width="13.5546875" style="63" customWidth="1"/>
    <col min="1883" max="1885" width="13" style="63" customWidth="1"/>
    <col min="1886" max="2084" width="9.109375" style="63"/>
    <col min="2085" max="2085" width="14" style="63" customWidth="1"/>
    <col min="2086" max="2086" width="2" style="63" customWidth="1"/>
    <col min="2087" max="2087" width="11.88671875" style="63" customWidth="1"/>
    <col min="2088" max="2089" width="13.5546875" style="63" customWidth="1"/>
    <col min="2090" max="2090" width="13.88671875" style="63" customWidth="1"/>
    <col min="2091" max="2092" width="14.5546875" style="63" customWidth="1"/>
    <col min="2093" max="2111" width="13.44140625" style="63" customWidth="1"/>
    <col min="2112" max="2112" width="10.5546875" style="63" customWidth="1"/>
    <col min="2113" max="2113" width="13.44140625" style="63" customWidth="1"/>
    <col min="2114" max="2114" width="11" style="63" customWidth="1"/>
    <col min="2115" max="2118" width="13.44140625" style="63" customWidth="1"/>
    <col min="2119" max="2119" width="19.5546875" style="63" customWidth="1"/>
    <col min="2120" max="2120" width="16.44140625" style="63" customWidth="1"/>
    <col min="2121" max="2121" width="13.44140625" style="63" customWidth="1"/>
    <col min="2122" max="2122" width="16" style="63" customWidth="1"/>
    <col min="2123" max="2126" width="13.44140625" style="63" customWidth="1"/>
    <col min="2127" max="2127" width="2.109375" style="63" customWidth="1"/>
    <col min="2128" max="2128" width="10.44140625" style="63" customWidth="1"/>
    <col min="2129" max="2129" width="14.109375" style="63" customWidth="1"/>
    <col min="2130" max="2130" width="9.109375" style="63"/>
    <col min="2131" max="2131" width="13.88671875" style="63" customWidth="1"/>
    <col min="2132" max="2132" width="9.109375" style="63"/>
    <col min="2133" max="2133" width="12.5546875" style="63" customWidth="1"/>
    <col min="2134" max="2134" width="10.44140625" style="63" customWidth="1"/>
    <col min="2135" max="2136" width="13.5546875" style="63" customWidth="1"/>
    <col min="2137" max="2137" width="13" style="63" customWidth="1"/>
    <col min="2138" max="2138" width="13.5546875" style="63" customWidth="1"/>
    <col min="2139" max="2141" width="13" style="63" customWidth="1"/>
    <col min="2142" max="2340" width="9.109375" style="63"/>
    <col min="2341" max="2341" width="14" style="63" customWidth="1"/>
    <col min="2342" max="2342" width="2" style="63" customWidth="1"/>
    <col min="2343" max="2343" width="11.88671875" style="63" customWidth="1"/>
    <col min="2344" max="2345" width="13.5546875" style="63" customWidth="1"/>
    <col min="2346" max="2346" width="13.88671875" style="63" customWidth="1"/>
    <col min="2347" max="2348" width="14.5546875" style="63" customWidth="1"/>
    <col min="2349" max="2367" width="13.44140625" style="63" customWidth="1"/>
    <col min="2368" max="2368" width="10.5546875" style="63" customWidth="1"/>
    <col min="2369" max="2369" width="13.44140625" style="63" customWidth="1"/>
    <col min="2370" max="2370" width="11" style="63" customWidth="1"/>
    <col min="2371" max="2374" width="13.44140625" style="63" customWidth="1"/>
    <col min="2375" max="2375" width="19.5546875" style="63" customWidth="1"/>
    <col min="2376" max="2376" width="16.44140625" style="63" customWidth="1"/>
    <col min="2377" max="2377" width="13.44140625" style="63" customWidth="1"/>
    <col min="2378" max="2378" width="16" style="63" customWidth="1"/>
    <col min="2379" max="2382" width="13.44140625" style="63" customWidth="1"/>
    <col min="2383" max="2383" width="2.109375" style="63" customWidth="1"/>
    <col min="2384" max="2384" width="10.44140625" style="63" customWidth="1"/>
    <col min="2385" max="2385" width="14.109375" style="63" customWidth="1"/>
    <col min="2386" max="2386" width="9.109375" style="63"/>
    <col min="2387" max="2387" width="13.88671875" style="63" customWidth="1"/>
    <col min="2388" max="2388" width="9.109375" style="63"/>
    <col min="2389" max="2389" width="12.5546875" style="63" customWidth="1"/>
    <col min="2390" max="2390" width="10.44140625" style="63" customWidth="1"/>
    <col min="2391" max="2392" width="13.5546875" style="63" customWidth="1"/>
    <col min="2393" max="2393" width="13" style="63" customWidth="1"/>
    <col min="2394" max="2394" width="13.5546875" style="63" customWidth="1"/>
    <col min="2395" max="2397" width="13" style="63" customWidth="1"/>
    <col min="2398" max="2596" width="9.109375" style="63"/>
    <col min="2597" max="2597" width="14" style="63" customWidth="1"/>
    <col min="2598" max="2598" width="2" style="63" customWidth="1"/>
    <col min="2599" max="2599" width="11.88671875" style="63" customWidth="1"/>
    <col min="2600" max="2601" width="13.5546875" style="63" customWidth="1"/>
    <col min="2602" max="2602" width="13.88671875" style="63" customWidth="1"/>
    <col min="2603" max="2604" width="14.5546875" style="63" customWidth="1"/>
    <col min="2605" max="2623" width="13.44140625" style="63" customWidth="1"/>
    <col min="2624" max="2624" width="10.5546875" style="63" customWidth="1"/>
    <col min="2625" max="2625" width="13.44140625" style="63" customWidth="1"/>
    <col min="2626" max="2626" width="11" style="63" customWidth="1"/>
    <col min="2627" max="2630" width="13.44140625" style="63" customWidth="1"/>
    <col min="2631" max="2631" width="19.5546875" style="63" customWidth="1"/>
    <col min="2632" max="2632" width="16.44140625" style="63" customWidth="1"/>
    <col min="2633" max="2633" width="13.44140625" style="63" customWidth="1"/>
    <col min="2634" max="2634" width="16" style="63" customWidth="1"/>
    <col min="2635" max="2638" width="13.44140625" style="63" customWidth="1"/>
    <col min="2639" max="2639" width="2.109375" style="63" customWidth="1"/>
    <col min="2640" max="2640" width="10.44140625" style="63" customWidth="1"/>
    <col min="2641" max="2641" width="14.109375" style="63" customWidth="1"/>
    <col min="2642" max="2642" width="9.109375" style="63"/>
    <col min="2643" max="2643" width="13.88671875" style="63" customWidth="1"/>
    <col min="2644" max="2644" width="9.109375" style="63"/>
    <col min="2645" max="2645" width="12.5546875" style="63" customWidth="1"/>
    <col min="2646" max="2646" width="10.44140625" style="63" customWidth="1"/>
    <col min="2647" max="2648" width="13.5546875" style="63" customWidth="1"/>
    <col min="2649" max="2649" width="13" style="63" customWidth="1"/>
    <col min="2650" max="2650" width="13.5546875" style="63" customWidth="1"/>
    <col min="2651" max="2653" width="13" style="63" customWidth="1"/>
    <col min="2654" max="2852" width="9.109375" style="63"/>
    <col min="2853" max="2853" width="14" style="63" customWidth="1"/>
    <col min="2854" max="2854" width="2" style="63" customWidth="1"/>
    <col min="2855" max="2855" width="11.88671875" style="63" customWidth="1"/>
    <col min="2856" max="2857" width="13.5546875" style="63" customWidth="1"/>
    <col min="2858" max="2858" width="13.88671875" style="63" customWidth="1"/>
    <col min="2859" max="2860" width="14.5546875" style="63" customWidth="1"/>
    <col min="2861" max="2879" width="13.44140625" style="63" customWidth="1"/>
    <col min="2880" max="2880" width="10.5546875" style="63" customWidth="1"/>
    <col min="2881" max="2881" width="13.44140625" style="63" customWidth="1"/>
    <col min="2882" max="2882" width="11" style="63" customWidth="1"/>
    <col min="2883" max="2886" width="13.44140625" style="63" customWidth="1"/>
    <col min="2887" max="2887" width="19.5546875" style="63" customWidth="1"/>
    <col min="2888" max="2888" width="16.44140625" style="63" customWidth="1"/>
    <col min="2889" max="2889" width="13.44140625" style="63" customWidth="1"/>
    <col min="2890" max="2890" width="16" style="63" customWidth="1"/>
    <col min="2891" max="2894" width="13.44140625" style="63" customWidth="1"/>
    <col min="2895" max="2895" width="2.109375" style="63" customWidth="1"/>
    <col min="2896" max="2896" width="10.44140625" style="63" customWidth="1"/>
    <col min="2897" max="2897" width="14.109375" style="63" customWidth="1"/>
    <col min="2898" max="2898" width="9.109375" style="63"/>
    <col min="2899" max="2899" width="13.88671875" style="63" customWidth="1"/>
    <col min="2900" max="2900" width="9.109375" style="63"/>
    <col min="2901" max="2901" width="12.5546875" style="63" customWidth="1"/>
    <col min="2902" max="2902" width="10.44140625" style="63" customWidth="1"/>
    <col min="2903" max="2904" width="13.5546875" style="63" customWidth="1"/>
    <col min="2905" max="2905" width="13" style="63" customWidth="1"/>
    <col min="2906" max="2906" width="13.5546875" style="63" customWidth="1"/>
    <col min="2907" max="2909" width="13" style="63" customWidth="1"/>
    <col min="2910" max="3108" width="9.109375" style="63"/>
    <col min="3109" max="3109" width="14" style="63" customWidth="1"/>
    <col min="3110" max="3110" width="2" style="63" customWidth="1"/>
    <col min="3111" max="3111" width="11.88671875" style="63" customWidth="1"/>
    <col min="3112" max="3113" width="13.5546875" style="63" customWidth="1"/>
    <col min="3114" max="3114" width="13.88671875" style="63" customWidth="1"/>
    <col min="3115" max="3116" width="14.5546875" style="63" customWidth="1"/>
    <col min="3117" max="3135" width="13.44140625" style="63" customWidth="1"/>
    <col min="3136" max="3136" width="10.5546875" style="63" customWidth="1"/>
    <col min="3137" max="3137" width="13.44140625" style="63" customWidth="1"/>
    <col min="3138" max="3138" width="11" style="63" customWidth="1"/>
    <col min="3139" max="3142" width="13.44140625" style="63" customWidth="1"/>
    <col min="3143" max="3143" width="19.5546875" style="63" customWidth="1"/>
    <col min="3144" max="3144" width="16.44140625" style="63" customWidth="1"/>
    <col min="3145" max="3145" width="13.44140625" style="63" customWidth="1"/>
    <col min="3146" max="3146" width="16" style="63" customWidth="1"/>
    <col min="3147" max="3150" width="13.44140625" style="63" customWidth="1"/>
    <col min="3151" max="3151" width="2.109375" style="63" customWidth="1"/>
    <col min="3152" max="3152" width="10.44140625" style="63" customWidth="1"/>
    <col min="3153" max="3153" width="14.109375" style="63" customWidth="1"/>
    <col min="3154" max="3154" width="9.109375" style="63"/>
    <col min="3155" max="3155" width="13.88671875" style="63" customWidth="1"/>
    <col min="3156" max="3156" width="9.109375" style="63"/>
    <col min="3157" max="3157" width="12.5546875" style="63" customWidth="1"/>
    <col min="3158" max="3158" width="10.44140625" style="63" customWidth="1"/>
    <col min="3159" max="3160" width="13.5546875" style="63" customWidth="1"/>
    <col min="3161" max="3161" width="13" style="63" customWidth="1"/>
    <col min="3162" max="3162" width="13.5546875" style="63" customWidth="1"/>
    <col min="3163" max="3165" width="13" style="63" customWidth="1"/>
    <col min="3166" max="3364" width="9.109375" style="63"/>
    <col min="3365" max="3365" width="14" style="63" customWidth="1"/>
    <col min="3366" max="3366" width="2" style="63" customWidth="1"/>
    <col min="3367" max="3367" width="11.88671875" style="63" customWidth="1"/>
    <col min="3368" max="3369" width="13.5546875" style="63" customWidth="1"/>
    <col min="3370" max="3370" width="13.88671875" style="63" customWidth="1"/>
    <col min="3371" max="3372" width="14.5546875" style="63" customWidth="1"/>
    <col min="3373" max="3391" width="13.44140625" style="63" customWidth="1"/>
    <col min="3392" max="3392" width="10.5546875" style="63" customWidth="1"/>
    <col min="3393" max="3393" width="13.44140625" style="63" customWidth="1"/>
    <col min="3394" max="3394" width="11" style="63" customWidth="1"/>
    <col min="3395" max="3398" width="13.44140625" style="63" customWidth="1"/>
    <col min="3399" max="3399" width="19.5546875" style="63" customWidth="1"/>
    <col min="3400" max="3400" width="16.44140625" style="63" customWidth="1"/>
    <col min="3401" max="3401" width="13.44140625" style="63" customWidth="1"/>
    <col min="3402" max="3402" width="16" style="63" customWidth="1"/>
    <col min="3403" max="3406" width="13.44140625" style="63" customWidth="1"/>
    <col min="3407" max="3407" width="2.109375" style="63" customWidth="1"/>
    <col min="3408" max="3408" width="10.44140625" style="63" customWidth="1"/>
    <col min="3409" max="3409" width="14.109375" style="63" customWidth="1"/>
    <col min="3410" max="3410" width="9.109375" style="63"/>
    <col min="3411" max="3411" width="13.88671875" style="63" customWidth="1"/>
    <col min="3412" max="3412" width="9.109375" style="63"/>
    <col min="3413" max="3413" width="12.5546875" style="63" customWidth="1"/>
    <col min="3414" max="3414" width="10.44140625" style="63" customWidth="1"/>
    <col min="3415" max="3416" width="13.5546875" style="63" customWidth="1"/>
    <col min="3417" max="3417" width="13" style="63" customWidth="1"/>
    <col min="3418" max="3418" width="13.5546875" style="63" customWidth="1"/>
    <col min="3419" max="3421" width="13" style="63" customWidth="1"/>
    <col min="3422" max="3620" width="9.109375" style="63"/>
    <col min="3621" max="3621" width="14" style="63" customWidth="1"/>
    <col min="3622" max="3622" width="2" style="63" customWidth="1"/>
    <col min="3623" max="3623" width="11.88671875" style="63" customWidth="1"/>
    <col min="3624" max="3625" width="13.5546875" style="63" customWidth="1"/>
    <col min="3626" max="3626" width="13.88671875" style="63" customWidth="1"/>
    <col min="3627" max="3628" width="14.5546875" style="63" customWidth="1"/>
    <col min="3629" max="3647" width="13.44140625" style="63" customWidth="1"/>
    <col min="3648" max="3648" width="10.5546875" style="63" customWidth="1"/>
    <col min="3649" max="3649" width="13.44140625" style="63" customWidth="1"/>
    <col min="3650" max="3650" width="11" style="63" customWidth="1"/>
    <col min="3651" max="3654" width="13.44140625" style="63" customWidth="1"/>
    <col min="3655" max="3655" width="19.5546875" style="63" customWidth="1"/>
    <col min="3656" max="3656" width="16.44140625" style="63" customWidth="1"/>
    <col min="3657" max="3657" width="13.44140625" style="63" customWidth="1"/>
    <col min="3658" max="3658" width="16" style="63" customWidth="1"/>
    <col min="3659" max="3662" width="13.44140625" style="63" customWidth="1"/>
    <col min="3663" max="3663" width="2.109375" style="63" customWidth="1"/>
    <col min="3664" max="3664" width="10.44140625" style="63" customWidth="1"/>
    <col min="3665" max="3665" width="14.109375" style="63" customWidth="1"/>
    <col min="3666" max="3666" width="9.109375" style="63"/>
    <col min="3667" max="3667" width="13.88671875" style="63" customWidth="1"/>
    <col min="3668" max="3668" width="9.109375" style="63"/>
    <col min="3669" max="3669" width="12.5546875" style="63" customWidth="1"/>
    <col min="3670" max="3670" width="10.44140625" style="63" customWidth="1"/>
    <col min="3671" max="3672" width="13.5546875" style="63" customWidth="1"/>
    <col min="3673" max="3673" width="13" style="63" customWidth="1"/>
    <col min="3674" max="3674" width="13.5546875" style="63" customWidth="1"/>
    <col min="3675" max="3677" width="13" style="63" customWidth="1"/>
    <col min="3678" max="3876" width="9.109375" style="63"/>
    <col min="3877" max="3877" width="14" style="63" customWidth="1"/>
    <col min="3878" max="3878" width="2" style="63" customWidth="1"/>
    <col min="3879" max="3879" width="11.88671875" style="63" customWidth="1"/>
    <col min="3880" max="3881" width="13.5546875" style="63" customWidth="1"/>
    <col min="3882" max="3882" width="13.88671875" style="63" customWidth="1"/>
    <col min="3883" max="3884" width="14.5546875" style="63" customWidth="1"/>
    <col min="3885" max="3903" width="13.44140625" style="63" customWidth="1"/>
    <col min="3904" max="3904" width="10.5546875" style="63" customWidth="1"/>
    <col min="3905" max="3905" width="13.44140625" style="63" customWidth="1"/>
    <col min="3906" max="3906" width="11" style="63" customWidth="1"/>
    <col min="3907" max="3910" width="13.44140625" style="63" customWidth="1"/>
    <col min="3911" max="3911" width="19.5546875" style="63" customWidth="1"/>
    <col min="3912" max="3912" width="16.44140625" style="63" customWidth="1"/>
    <col min="3913" max="3913" width="13.44140625" style="63" customWidth="1"/>
    <col min="3914" max="3914" width="16" style="63" customWidth="1"/>
    <col min="3915" max="3918" width="13.44140625" style="63" customWidth="1"/>
    <col min="3919" max="3919" width="2.109375" style="63" customWidth="1"/>
    <col min="3920" max="3920" width="10.44140625" style="63" customWidth="1"/>
    <col min="3921" max="3921" width="14.109375" style="63" customWidth="1"/>
    <col min="3922" max="3922" width="9.109375" style="63"/>
    <col min="3923" max="3923" width="13.88671875" style="63" customWidth="1"/>
    <col min="3924" max="3924" width="9.109375" style="63"/>
    <col min="3925" max="3925" width="12.5546875" style="63" customWidth="1"/>
    <col min="3926" max="3926" width="10.44140625" style="63" customWidth="1"/>
    <col min="3927" max="3928" width="13.5546875" style="63" customWidth="1"/>
    <col min="3929" max="3929" width="13" style="63" customWidth="1"/>
    <col min="3930" max="3930" width="13.5546875" style="63" customWidth="1"/>
    <col min="3931" max="3933" width="13" style="63" customWidth="1"/>
    <col min="3934" max="4132" width="9.109375" style="63"/>
    <col min="4133" max="4133" width="14" style="63" customWidth="1"/>
    <col min="4134" max="4134" width="2" style="63" customWidth="1"/>
    <col min="4135" max="4135" width="11.88671875" style="63" customWidth="1"/>
    <col min="4136" max="4137" width="13.5546875" style="63" customWidth="1"/>
    <col min="4138" max="4138" width="13.88671875" style="63" customWidth="1"/>
    <col min="4139" max="4140" width="14.5546875" style="63" customWidth="1"/>
    <col min="4141" max="4159" width="13.44140625" style="63" customWidth="1"/>
    <col min="4160" max="4160" width="10.5546875" style="63" customWidth="1"/>
    <col min="4161" max="4161" width="13.44140625" style="63" customWidth="1"/>
    <col min="4162" max="4162" width="11" style="63" customWidth="1"/>
    <col min="4163" max="4166" width="13.44140625" style="63" customWidth="1"/>
    <col min="4167" max="4167" width="19.5546875" style="63" customWidth="1"/>
    <col min="4168" max="4168" width="16.44140625" style="63" customWidth="1"/>
    <col min="4169" max="4169" width="13.44140625" style="63" customWidth="1"/>
    <col min="4170" max="4170" width="16" style="63" customWidth="1"/>
    <col min="4171" max="4174" width="13.44140625" style="63" customWidth="1"/>
    <col min="4175" max="4175" width="2.109375" style="63" customWidth="1"/>
    <col min="4176" max="4176" width="10.44140625" style="63" customWidth="1"/>
    <col min="4177" max="4177" width="14.109375" style="63" customWidth="1"/>
    <col min="4178" max="4178" width="9.109375" style="63"/>
    <col min="4179" max="4179" width="13.88671875" style="63" customWidth="1"/>
    <col min="4180" max="4180" width="9.109375" style="63"/>
    <col min="4181" max="4181" width="12.5546875" style="63" customWidth="1"/>
    <col min="4182" max="4182" width="10.44140625" style="63" customWidth="1"/>
    <col min="4183" max="4184" width="13.5546875" style="63" customWidth="1"/>
    <col min="4185" max="4185" width="13" style="63" customWidth="1"/>
    <col min="4186" max="4186" width="13.5546875" style="63" customWidth="1"/>
    <col min="4187" max="4189" width="13" style="63" customWidth="1"/>
    <col min="4190" max="4388" width="9.109375" style="63"/>
    <col min="4389" max="4389" width="14" style="63" customWidth="1"/>
    <col min="4390" max="4390" width="2" style="63" customWidth="1"/>
    <col min="4391" max="4391" width="11.88671875" style="63" customWidth="1"/>
    <col min="4392" max="4393" width="13.5546875" style="63" customWidth="1"/>
    <col min="4394" max="4394" width="13.88671875" style="63" customWidth="1"/>
    <col min="4395" max="4396" width="14.5546875" style="63" customWidth="1"/>
    <col min="4397" max="4415" width="13.44140625" style="63" customWidth="1"/>
    <col min="4416" max="4416" width="10.5546875" style="63" customWidth="1"/>
    <col min="4417" max="4417" width="13.44140625" style="63" customWidth="1"/>
    <col min="4418" max="4418" width="11" style="63" customWidth="1"/>
    <col min="4419" max="4422" width="13.44140625" style="63" customWidth="1"/>
    <col min="4423" max="4423" width="19.5546875" style="63" customWidth="1"/>
    <col min="4424" max="4424" width="16.44140625" style="63" customWidth="1"/>
    <col min="4425" max="4425" width="13.44140625" style="63" customWidth="1"/>
    <col min="4426" max="4426" width="16" style="63" customWidth="1"/>
    <col min="4427" max="4430" width="13.44140625" style="63" customWidth="1"/>
    <col min="4431" max="4431" width="2.109375" style="63" customWidth="1"/>
    <col min="4432" max="4432" width="10.44140625" style="63" customWidth="1"/>
    <col min="4433" max="4433" width="14.109375" style="63" customWidth="1"/>
    <col min="4434" max="4434" width="9.109375" style="63"/>
    <col min="4435" max="4435" width="13.88671875" style="63" customWidth="1"/>
    <col min="4436" max="4436" width="9.109375" style="63"/>
    <col min="4437" max="4437" width="12.5546875" style="63" customWidth="1"/>
    <col min="4438" max="4438" width="10.44140625" style="63" customWidth="1"/>
    <col min="4439" max="4440" width="13.5546875" style="63" customWidth="1"/>
    <col min="4441" max="4441" width="13" style="63" customWidth="1"/>
    <col min="4442" max="4442" width="13.5546875" style="63" customWidth="1"/>
    <col min="4443" max="4445" width="13" style="63" customWidth="1"/>
    <col min="4446" max="4644" width="9.109375" style="63"/>
    <col min="4645" max="4645" width="14" style="63" customWidth="1"/>
    <col min="4646" max="4646" width="2" style="63" customWidth="1"/>
    <col min="4647" max="4647" width="11.88671875" style="63" customWidth="1"/>
    <col min="4648" max="4649" width="13.5546875" style="63" customWidth="1"/>
    <col min="4650" max="4650" width="13.88671875" style="63" customWidth="1"/>
    <col min="4651" max="4652" width="14.5546875" style="63" customWidth="1"/>
    <col min="4653" max="4671" width="13.44140625" style="63" customWidth="1"/>
    <col min="4672" max="4672" width="10.5546875" style="63" customWidth="1"/>
    <col min="4673" max="4673" width="13.44140625" style="63" customWidth="1"/>
    <col min="4674" max="4674" width="11" style="63" customWidth="1"/>
    <col min="4675" max="4678" width="13.44140625" style="63" customWidth="1"/>
    <col min="4679" max="4679" width="19.5546875" style="63" customWidth="1"/>
    <col min="4680" max="4680" width="16.44140625" style="63" customWidth="1"/>
    <col min="4681" max="4681" width="13.44140625" style="63" customWidth="1"/>
    <col min="4682" max="4682" width="16" style="63" customWidth="1"/>
    <col min="4683" max="4686" width="13.44140625" style="63" customWidth="1"/>
    <col min="4687" max="4687" width="2.109375" style="63" customWidth="1"/>
    <col min="4688" max="4688" width="10.44140625" style="63" customWidth="1"/>
    <col min="4689" max="4689" width="14.109375" style="63" customWidth="1"/>
    <col min="4690" max="4690" width="9.109375" style="63"/>
    <col min="4691" max="4691" width="13.88671875" style="63" customWidth="1"/>
    <col min="4692" max="4692" width="9.109375" style="63"/>
    <col min="4693" max="4693" width="12.5546875" style="63" customWidth="1"/>
    <col min="4694" max="4694" width="10.44140625" style="63" customWidth="1"/>
    <col min="4695" max="4696" width="13.5546875" style="63" customWidth="1"/>
    <col min="4697" max="4697" width="13" style="63" customWidth="1"/>
    <col min="4698" max="4698" width="13.5546875" style="63" customWidth="1"/>
    <col min="4699" max="4701" width="13" style="63" customWidth="1"/>
    <col min="4702" max="4900" width="9.109375" style="63"/>
    <col min="4901" max="4901" width="14" style="63" customWidth="1"/>
    <col min="4902" max="4902" width="2" style="63" customWidth="1"/>
    <col min="4903" max="4903" width="11.88671875" style="63" customWidth="1"/>
    <col min="4904" max="4905" width="13.5546875" style="63" customWidth="1"/>
    <col min="4906" max="4906" width="13.88671875" style="63" customWidth="1"/>
    <col min="4907" max="4908" width="14.5546875" style="63" customWidth="1"/>
    <col min="4909" max="4927" width="13.44140625" style="63" customWidth="1"/>
    <col min="4928" max="4928" width="10.5546875" style="63" customWidth="1"/>
    <col min="4929" max="4929" width="13.44140625" style="63" customWidth="1"/>
    <col min="4930" max="4930" width="11" style="63" customWidth="1"/>
    <col min="4931" max="4934" width="13.44140625" style="63" customWidth="1"/>
    <col min="4935" max="4935" width="19.5546875" style="63" customWidth="1"/>
    <col min="4936" max="4936" width="16.44140625" style="63" customWidth="1"/>
    <col min="4937" max="4937" width="13.44140625" style="63" customWidth="1"/>
    <col min="4938" max="4938" width="16" style="63" customWidth="1"/>
    <col min="4939" max="4942" width="13.44140625" style="63" customWidth="1"/>
    <col min="4943" max="4943" width="2.109375" style="63" customWidth="1"/>
    <col min="4944" max="4944" width="10.44140625" style="63" customWidth="1"/>
    <col min="4945" max="4945" width="14.109375" style="63" customWidth="1"/>
    <col min="4946" max="4946" width="9.109375" style="63"/>
    <col min="4947" max="4947" width="13.88671875" style="63" customWidth="1"/>
    <col min="4948" max="4948" width="9.109375" style="63"/>
    <col min="4949" max="4949" width="12.5546875" style="63" customWidth="1"/>
    <col min="4950" max="4950" width="10.44140625" style="63" customWidth="1"/>
    <col min="4951" max="4952" width="13.5546875" style="63" customWidth="1"/>
    <col min="4953" max="4953" width="13" style="63" customWidth="1"/>
    <col min="4954" max="4954" width="13.5546875" style="63" customWidth="1"/>
    <col min="4955" max="4957" width="13" style="63" customWidth="1"/>
    <col min="4958" max="5156" width="9.109375" style="63"/>
    <col min="5157" max="5157" width="14" style="63" customWidth="1"/>
    <col min="5158" max="5158" width="2" style="63" customWidth="1"/>
    <col min="5159" max="5159" width="11.88671875" style="63" customWidth="1"/>
    <col min="5160" max="5161" width="13.5546875" style="63" customWidth="1"/>
    <col min="5162" max="5162" width="13.88671875" style="63" customWidth="1"/>
    <col min="5163" max="5164" width="14.5546875" style="63" customWidth="1"/>
    <col min="5165" max="5183" width="13.44140625" style="63" customWidth="1"/>
    <col min="5184" max="5184" width="10.5546875" style="63" customWidth="1"/>
    <col min="5185" max="5185" width="13.44140625" style="63" customWidth="1"/>
    <col min="5186" max="5186" width="11" style="63" customWidth="1"/>
    <col min="5187" max="5190" width="13.44140625" style="63" customWidth="1"/>
    <col min="5191" max="5191" width="19.5546875" style="63" customWidth="1"/>
    <col min="5192" max="5192" width="16.44140625" style="63" customWidth="1"/>
    <col min="5193" max="5193" width="13.44140625" style="63" customWidth="1"/>
    <col min="5194" max="5194" width="16" style="63" customWidth="1"/>
    <col min="5195" max="5198" width="13.44140625" style="63" customWidth="1"/>
    <col min="5199" max="5199" width="2.109375" style="63" customWidth="1"/>
    <col min="5200" max="5200" width="10.44140625" style="63" customWidth="1"/>
    <col min="5201" max="5201" width="14.109375" style="63" customWidth="1"/>
    <col min="5202" max="5202" width="9.109375" style="63"/>
    <col min="5203" max="5203" width="13.88671875" style="63" customWidth="1"/>
    <col min="5204" max="5204" width="9.109375" style="63"/>
    <col min="5205" max="5205" width="12.5546875" style="63" customWidth="1"/>
    <col min="5206" max="5206" width="10.44140625" style="63" customWidth="1"/>
    <col min="5207" max="5208" width="13.5546875" style="63" customWidth="1"/>
    <col min="5209" max="5209" width="13" style="63" customWidth="1"/>
    <col min="5210" max="5210" width="13.5546875" style="63" customWidth="1"/>
    <col min="5211" max="5213" width="13" style="63" customWidth="1"/>
    <col min="5214" max="5412" width="9.109375" style="63"/>
    <col min="5413" max="5413" width="14" style="63" customWidth="1"/>
    <col min="5414" max="5414" width="2" style="63" customWidth="1"/>
    <col min="5415" max="5415" width="11.88671875" style="63" customWidth="1"/>
    <col min="5416" max="5417" width="13.5546875" style="63" customWidth="1"/>
    <col min="5418" max="5418" width="13.88671875" style="63" customWidth="1"/>
    <col min="5419" max="5420" width="14.5546875" style="63" customWidth="1"/>
    <col min="5421" max="5439" width="13.44140625" style="63" customWidth="1"/>
    <col min="5440" max="5440" width="10.5546875" style="63" customWidth="1"/>
    <col min="5441" max="5441" width="13.44140625" style="63" customWidth="1"/>
    <col min="5442" max="5442" width="11" style="63" customWidth="1"/>
    <col min="5443" max="5446" width="13.44140625" style="63" customWidth="1"/>
    <col min="5447" max="5447" width="19.5546875" style="63" customWidth="1"/>
    <col min="5448" max="5448" width="16.44140625" style="63" customWidth="1"/>
    <col min="5449" max="5449" width="13.44140625" style="63" customWidth="1"/>
    <col min="5450" max="5450" width="16" style="63" customWidth="1"/>
    <col min="5451" max="5454" width="13.44140625" style="63" customWidth="1"/>
    <col min="5455" max="5455" width="2.109375" style="63" customWidth="1"/>
    <col min="5456" max="5456" width="10.44140625" style="63" customWidth="1"/>
    <col min="5457" max="5457" width="14.109375" style="63" customWidth="1"/>
    <col min="5458" max="5458" width="9.109375" style="63"/>
    <col min="5459" max="5459" width="13.88671875" style="63" customWidth="1"/>
    <col min="5460" max="5460" width="9.109375" style="63"/>
    <col min="5461" max="5461" width="12.5546875" style="63" customWidth="1"/>
    <col min="5462" max="5462" width="10.44140625" style="63" customWidth="1"/>
    <col min="5463" max="5464" width="13.5546875" style="63" customWidth="1"/>
    <col min="5465" max="5465" width="13" style="63" customWidth="1"/>
    <col min="5466" max="5466" width="13.5546875" style="63" customWidth="1"/>
    <col min="5467" max="5469" width="13" style="63" customWidth="1"/>
    <col min="5470" max="5668" width="9.109375" style="63"/>
    <col min="5669" max="5669" width="14" style="63" customWidth="1"/>
    <col min="5670" max="5670" width="2" style="63" customWidth="1"/>
    <col min="5671" max="5671" width="11.88671875" style="63" customWidth="1"/>
    <col min="5672" max="5673" width="13.5546875" style="63" customWidth="1"/>
    <col min="5674" max="5674" width="13.88671875" style="63" customWidth="1"/>
    <col min="5675" max="5676" width="14.5546875" style="63" customWidth="1"/>
    <col min="5677" max="5695" width="13.44140625" style="63" customWidth="1"/>
    <col min="5696" max="5696" width="10.5546875" style="63" customWidth="1"/>
    <col min="5697" max="5697" width="13.44140625" style="63" customWidth="1"/>
    <col min="5698" max="5698" width="11" style="63" customWidth="1"/>
    <col min="5699" max="5702" width="13.44140625" style="63" customWidth="1"/>
    <col min="5703" max="5703" width="19.5546875" style="63" customWidth="1"/>
    <col min="5704" max="5704" width="16.44140625" style="63" customWidth="1"/>
    <col min="5705" max="5705" width="13.44140625" style="63" customWidth="1"/>
    <col min="5706" max="5706" width="16" style="63" customWidth="1"/>
    <col min="5707" max="5710" width="13.44140625" style="63" customWidth="1"/>
    <col min="5711" max="5711" width="2.109375" style="63" customWidth="1"/>
    <col min="5712" max="5712" width="10.44140625" style="63" customWidth="1"/>
    <col min="5713" max="5713" width="14.109375" style="63" customWidth="1"/>
    <col min="5714" max="5714" width="9.109375" style="63"/>
    <col min="5715" max="5715" width="13.88671875" style="63" customWidth="1"/>
    <col min="5716" max="5716" width="9.109375" style="63"/>
    <col min="5717" max="5717" width="12.5546875" style="63" customWidth="1"/>
    <col min="5718" max="5718" width="10.44140625" style="63" customWidth="1"/>
    <col min="5719" max="5720" width="13.5546875" style="63" customWidth="1"/>
    <col min="5721" max="5721" width="13" style="63" customWidth="1"/>
    <col min="5722" max="5722" width="13.5546875" style="63" customWidth="1"/>
    <col min="5723" max="5725" width="13" style="63" customWidth="1"/>
    <col min="5726" max="5924" width="9.109375" style="63"/>
    <col min="5925" max="5925" width="14" style="63" customWidth="1"/>
    <col min="5926" max="5926" width="2" style="63" customWidth="1"/>
    <col min="5927" max="5927" width="11.88671875" style="63" customWidth="1"/>
    <col min="5928" max="5929" width="13.5546875" style="63" customWidth="1"/>
    <col min="5930" max="5930" width="13.88671875" style="63" customWidth="1"/>
    <col min="5931" max="5932" width="14.5546875" style="63" customWidth="1"/>
    <col min="5933" max="5951" width="13.44140625" style="63" customWidth="1"/>
    <col min="5952" max="5952" width="10.5546875" style="63" customWidth="1"/>
    <col min="5953" max="5953" width="13.44140625" style="63" customWidth="1"/>
    <col min="5954" max="5954" width="11" style="63" customWidth="1"/>
    <col min="5955" max="5958" width="13.44140625" style="63" customWidth="1"/>
    <col min="5959" max="5959" width="19.5546875" style="63" customWidth="1"/>
    <col min="5960" max="5960" width="16.44140625" style="63" customWidth="1"/>
    <col min="5961" max="5961" width="13.44140625" style="63" customWidth="1"/>
    <col min="5962" max="5962" width="16" style="63" customWidth="1"/>
    <col min="5963" max="5966" width="13.44140625" style="63" customWidth="1"/>
    <col min="5967" max="5967" width="2.109375" style="63" customWidth="1"/>
    <col min="5968" max="5968" width="10.44140625" style="63" customWidth="1"/>
    <col min="5969" max="5969" width="14.109375" style="63" customWidth="1"/>
    <col min="5970" max="5970" width="9.109375" style="63"/>
    <col min="5971" max="5971" width="13.88671875" style="63" customWidth="1"/>
    <col min="5972" max="5972" width="9.109375" style="63"/>
    <col min="5973" max="5973" width="12.5546875" style="63" customWidth="1"/>
    <col min="5974" max="5974" width="10.44140625" style="63" customWidth="1"/>
    <col min="5975" max="5976" width="13.5546875" style="63" customWidth="1"/>
    <col min="5977" max="5977" width="13" style="63" customWidth="1"/>
    <col min="5978" max="5978" width="13.5546875" style="63" customWidth="1"/>
    <col min="5979" max="5981" width="13" style="63" customWidth="1"/>
    <col min="5982" max="6180" width="9.109375" style="63"/>
    <col min="6181" max="6181" width="14" style="63" customWidth="1"/>
    <col min="6182" max="6182" width="2" style="63" customWidth="1"/>
    <col min="6183" max="6183" width="11.88671875" style="63" customWidth="1"/>
    <col min="6184" max="6185" width="13.5546875" style="63" customWidth="1"/>
    <col min="6186" max="6186" width="13.88671875" style="63" customWidth="1"/>
    <col min="6187" max="6188" width="14.5546875" style="63" customWidth="1"/>
    <col min="6189" max="6207" width="13.44140625" style="63" customWidth="1"/>
    <col min="6208" max="6208" width="10.5546875" style="63" customWidth="1"/>
    <col min="6209" max="6209" width="13.44140625" style="63" customWidth="1"/>
    <col min="6210" max="6210" width="11" style="63" customWidth="1"/>
    <col min="6211" max="6214" width="13.44140625" style="63" customWidth="1"/>
    <col min="6215" max="6215" width="19.5546875" style="63" customWidth="1"/>
    <col min="6216" max="6216" width="16.44140625" style="63" customWidth="1"/>
    <col min="6217" max="6217" width="13.44140625" style="63" customWidth="1"/>
    <col min="6218" max="6218" width="16" style="63" customWidth="1"/>
    <col min="6219" max="6222" width="13.44140625" style="63" customWidth="1"/>
    <col min="6223" max="6223" width="2.109375" style="63" customWidth="1"/>
    <col min="6224" max="6224" width="10.44140625" style="63" customWidth="1"/>
    <col min="6225" max="6225" width="14.109375" style="63" customWidth="1"/>
    <col min="6226" max="6226" width="9.109375" style="63"/>
    <col min="6227" max="6227" width="13.88671875" style="63" customWidth="1"/>
    <col min="6228" max="6228" width="9.109375" style="63"/>
    <col min="6229" max="6229" width="12.5546875" style="63" customWidth="1"/>
    <col min="6230" max="6230" width="10.44140625" style="63" customWidth="1"/>
    <col min="6231" max="6232" width="13.5546875" style="63" customWidth="1"/>
    <col min="6233" max="6233" width="13" style="63" customWidth="1"/>
    <col min="6234" max="6234" width="13.5546875" style="63" customWidth="1"/>
    <col min="6235" max="6237" width="13" style="63" customWidth="1"/>
    <col min="6238" max="6436" width="9.109375" style="63"/>
    <col min="6437" max="6437" width="14" style="63" customWidth="1"/>
    <col min="6438" max="6438" width="2" style="63" customWidth="1"/>
    <col min="6439" max="6439" width="11.88671875" style="63" customWidth="1"/>
    <col min="6440" max="6441" width="13.5546875" style="63" customWidth="1"/>
    <col min="6442" max="6442" width="13.88671875" style="63" customWidth="1"/>
    <col min="6443" max="6444" width="14.5546875" style="63" customWidth="1"/>
    <col min="6445" max="6463" width="13.44140625" style="63" customWidth="1"/>
    <col min="6464" max="6464" width="10.5546875" style="63" customWidth="1"/>
    <col min="6465" max="6465" width="13.44140625" style="63" customWidth="1"/>
    <col min="6466" max="6466" width="11" style="63" customWidth="1"/>
    <col min="6467" max="6470" width="13.44140625" style="63" customWidth="1"/>
    <col min="6471" max="6471" width="19.5546875" style="63" customWidth="1"/>
    <col min="6472" max="6472" width="16.44140625" style="63" customWidth="1"/>
    <col min="6473" max="6473" width="13.44140625" style="63" customWidth="1"/>
    <col min="6474" max="6474" width="16" style="63" customWidth="1"/>
    <col min="6475" max="6478" width="13.44140625" style="63" customWidth="1"/>
    <col min="6479" max="6479" width="2.109375" style="63" customWidth="1"/>
    <col min="6480" max="6480" width="10.44140625" style="63" customWidth="1"/>
    <col min="6481" max="6481" width="14.109375" style="63" customWidth="1"/>
    <col min="6482" max="6482" width="9.109375" style="63"/>
    <col min="6483" max="6483" width="13.88671875" style="63" customWidth="1"/>
    <col min="6484" max="6484" width="9.109375" style="63"/>
    <col min="6485" max="6485" width="12.5546875" style="63" customWidth="1"/>
    <col min="6486" max="6486" width="10.44140625" style="63" customWidth="1"/>
    <col min="6487" max="6488" width="13.5546875" style="63" customWidth="1"/>
    <col min="6489" max="6489" width="13" style="63" customWidth="1"/>
    <col min="6490" max="6490" width="13.5546875" style="63" customWidth="1"/>
    <col min="6491" max="6493" width="13" style="63" customWidth="1"/>
    <col min="6494" max="6692" width="9.109375" style="63"/>
    <col min="6693" max="6693" width="14" style="63" customWidth="1"/>
    <col min="6694" max="6694" width="2" style="63" customWidth="1"/>
    <col min="6695" max="6695" width="11.88671875" style="63" customWidth="1"/>
    <col min="6696" max="6697" width="13.5546875" style="63" customWidth="1"/>
    <col min="6698" max="6698" width="13.88671875" style="63" customWidth="1"/>
    <col min="6699" max="6700" width="14.5546875" style="63" customWidth="1"/>
    <col min="6701" max="6719" width="13.44140625" style="63" customWidth="1"/>
    <col min="6720" max="6720" width="10.5546875" style="63" customWidth="1"/>
    <col min="6721" max="6721" width="13.44140625" style="63" customWidth="1"/>
    <col min="6722" max="6722" width="11" style="63" customWidth="1"/>
    <col min="6723" max="6726" width="13.44140625" style="63" customWidth="1"/>
    <col min="6727" max="6727" width="19.5546875" style="63" customWidth="1"/>
    <col min="6728" max="6728" width="16.44140625" style="63" customWidth="1"/>
    <col min="6729" max="6729" width="13.44140625" style="63" customWidth="1"/>
    <col min="6730" max="6730" width="16" style="63" customWidth="1"/>
    <col min="6731" max="6734" width="13.44140625" style="63" customWidth="1"/>
    <col min="6735" max="6735" width="2.109375" style="63" customWidth="1"/>
    <col min="6736" max="6736" width="10.44140625" style="63" customWidth="1"/>
    <col min="6737" max="6737" width="14.109375" style="63" customWidth="1"/>
    <col min="6738" max="6738" width="9.109375" style="63"/>
    <col min="6739" max="6739" width="13.88671875" style="63" customWidth="1"/>
    <col min="6740" max="6740" width="9.109375" style="63"/>
    <col min="6741" max="6741" width="12.5546875" style="63" customWidth="1"/>
    <col min="6742" max="6742" width="10.44140625" style="63" customWidth="1"/>
    <col min="6743" max="6744" width="13.5546875" style="63" customWidth="1"/>
    <col min="6745" max="6745" width="13" style="63" customWidth="1"/>
    <col min="6746" max="6746" width="13.5546875" style="63" customWidth="1"/>
    <col min="6747" max="6749" width="13" style="63" customWidth="1"/>
    <col min="6750" max="6948" width="9.109375" style="63"/>
    <col min="6949" max="6949" width="14" style="63" customWidth="1"/>
    <col min="6950" max="6950" width="2" style="63" customWidth="1"/>
    <col min="6951" max="6951" width="11.88671875" style="63" customWidth="1"/>
    <col min="6952" max="6953" width="13.5546875" style="63" customWidth="1"/>
    <col min="6954" max="6954" width="13.88671875" style="63" customWidth="1"/>
    <col min="6955" max="6956" width="14.5546875" style="63" customWidth="1"/>
    <col min="6957" max="6975" width="13.44140625" style="63" customWidth="1"/>
    <col min="6976" max="6976" width="10.5546875" style="63" customWidth="1"/>
    <col min="6977" max="6977" width="13.44140625" style="63" customWidth="1"/>
    <col min="6978" max="6978" width="11" style="63" customWidth="1"/>
    <col min="6979" max="6982" width="13.44140625" style="63" customWidth="1"/>
    <col min="6983" max="6983" width="19.5546875" style="63" customWidth="1"/>
    <col min="6984" max="6984" width="16.44140625" style="63" customWidth="1"/>
    <col min="6985" max="6985" width="13.44140625" style="63" customWidth="1"/>
    <col min="6986" max="6986" width="16" style="63" customWidth="1"/>
    <col min="6987" max="6990" width="13.44140625" style="63" customWidth="1"/>
    <col min="6991" max="6991" width="2.109375" style="63" customWidth="1"/>
    <col min="6992" max="6992" width="10.44140625" style="63" customWidth="1"/>
    <col min="6993" max="6993" width="14.109375" style="63" customWidth="1"/>
    <col min="6994" max="6994" width="9.109375" style="63"/>
    <col min="6995" max="6995" width="13.88671875" style="63" customWidth="1"/>
    <col min="6996" max="6996" width="9.109375" style="63"/>
    <col min="6997" max="6997" width="12.5546875" style="63" customWidth="1"/>
    <col min="6998" max="6998" width="10.44140625" style="63" customWidth="1"/>
    <col min="6999" max="7000" width="13.5546875" style="63" customWidth="1"/>
    <col min="7001" max="7001" width="13" style="63" customWidth="1"/>
    <col min="7002" max="7002" width="13.5546875" style="63" customWidth="1"/>
    <col min="7003" max="7005" width="13" style="63" customWidth="1"/>
    <col min="7006" max="7204" width="9.109375" style="63"/>
    <col min="7205" max="7205" width="14" style="63" customWidth="1"/>
    <col min="7206" max="7206" width="2" style="63" customWidth="1"/>
    <col min="7207" max="7207" width="11.88671875" style="63" customWidth="1"/>
    <col min="7208" max="7209" width="13.5546875" style="63" customWidth="1"/>
    <col min="7210" max="7210" width="13.88671875" style="63" customWidth="1"/>
    <col min="7211" max="7212" width="14.5546875" style="63" customWidth="1"/>
    <col min="7213" max="7231" width="13.44140625" style="63" customWidth="1"/>
    <col min="7232" max="7232" width="10.5546875" style="63" customWidth="1"/>
    <col min="7233" max="7233" width="13.44140625" style="63" customWidth="1"/>
    <col min="7234" max="7234" width="11" style="63" customWidth="1"/>
    <col min="7235" max="7238" width="13.44140625" style="63" customWidth="1"/>
    <col min="7239" max="7239" width="19.5546875" style="63" customWidth="1"/>
    <col min="7240" max="7240" width="16.44140625" style="63" customWidth="1"/>
    <col min="7241" max="7241" width="13.44140625" style="63" customWidth="1"/>
    <col min="7242" max="7242" width="16" style="63" customWidth="1"/>
    <col min="7243" max="7246" width="13.44140625" style="63" customWidth="1"/>
    <col min="7247" max="7247" width="2.109375" style="63" customWidth="1"/>
    <col min="7248" max="7248" width="10.44140625" style="63" customWidth="1"/>
    <col min="7249" max="7249" width="14.109375" style="63" customWidth="1"/>
    <col min="7250" max="7250" width="9.109375" style="63"/>
    <col min="7251" max="7251" width="13.88671875" style="63" customWidth="1"/>
    <col min="7252" max="7252" width="9.109375" style="63"/>
    <col min="7253" max="7253" width="12.5546875" style="63" customWidth="1"/>
    <col min="7254" max="7254" width="10.44140625" style="63" customWidth="1"/>
    <col min="7255" max="7256" width="13.5546875" style="63" customWidth="1"/>
    <col min="7257" max="7257" width="13" style="63" customWidth="1"/>
    <col min="7258" max="7258" width="13.5546875" style="63" customWidth="1"/>
    <col min="7259" max="7261" width="13" style="63" customWidth="1"/>
    <col min="7262" max="7460" width="9.109375" style="63"/>
    <col min="7461" max="7461" width="14" style="63" customWidth="1"/>
    <col min="7462" max="7462" width="2" style="63" customWidth="1"/>
    <col min="7463" max="7463" width="11.88671875" style="63" customWidth="1"/>
    <col min="7464" max="7465" width="13.5546875" style="63" customWidth="1"/>
    <col min="7466" max="7466" width="13.88671875" style="63" customWidth="1"/>
    <col min="7467" max="7468" width="14.5546875" style="63" customWidth="1"/>
    <col min="7469" max="7487" width="13.44140625" style="63" customWidth="1"/>
    <col min="7488" max="7488" width="10.5546875" style="63" customWidth="1"/>
    <col min="7489" max="7489" width="13.44140625" style="63" customWidth="1"/>
    <col min="7490" max="7490" width="11" style="63" customWidth="1"/>
    <col min="7491" max="7494" width="13.44140625" style="63" customWidth="1"/>
    <col min="7495" max="7495" width="19.5546875" style="63" customWidth="1"/>
    <col min="7496" max="7496" width="16.44140625" style="63" customWidth="1"/>
    <col min="7497" max="7497" width="13.44140625" style="63" customWidth="1"/>
    <col min="7498" max="7498" width="16" style="63" customWidth="1"/>
    <col min="7499" max="7502" width="13.44140625" style="63" customWidth="1"/>
    <col min="7503" max="7503" width="2.109375" style="63" customWidth="1"/>
    <col min="7504" max="7504" width="10.44140625" style="63" customWidth="1"/>
    <col min="7505" max="7505" width="14.109375" style="63" customWidth="1"/>
    <col min="7506" max="7506" width="9.109375" style="63"/>
    <col min="7507" max="7507" width="13.88671875" style="63" customWidth="1"/>
    <col min="7508" max="7508" width="9.109375" style="63"/>
    <col min="7509" max="7509" width="12.5546875" style="63" customWidth="1"/>
    <col min="7510" max="7510" width="10.44140625" style="63" customWidth="1"/>
    <col min="7511" max="7512" width="13.5546875" style="63" customWidth="1"/>
    <col min="7513" max="7513" width="13" style="63" customWidth="1"/>
    <col min="7514" max="7514" width="13.5546875" style="63" customWidth="1"/>
    <col min="7515" max="7517" width="13" style="63" customWidth="1"/>
    <col min="7518" max="7716" width="9.109375" style="63"/>
    <col min="7717" max="7717" width="14" style="63" customWidth="1"/>
    <col min="7718" max="7718" width="2" style="63" customWidth="1"/>
    <col min="7719" max="7719" width="11.88671875" style="63" customWidth="1"/>
    <col min="7720" max="7721" width="13.5546875" style="63" customWidth="1"/>
    <col min="7722" max="7722" width="13.88671875" style="63" customWidth="1"/>
    <col min="7723" max="7724" width="14.5546875" style="63" customWidth="1"/>
    <col min="7725" max="7743" width="13.44140625" style="63" customWidth="1"/>
    <col min="7744" max="7744" width="10.5546875" style="63" customWidth="1"/>
    <col min="7745" max="7745" width="13.44140625" style="63" customWidth="1"/>
    <col min="7746" max="7746" width="11" style="63" customWidth="1"/>
    <col min="7747" max="7750" width="13.44140625" style="63" customWidth="1"/>
    <col min="7751" max="7751" width="19.5546875" style="63" customWidth="1"/>
    <col min="7752" max="7752" width="16.44140625" style="63" customWidth="1"/>
    <col min="7753" max="7753" width="13.44140625" style="63" customWidth="1"/>
    <col min="7754" max="7754" width="16" style="63" customWidth="1"/>
    <col min="7755" max="7758" width="13.44140625" style="63" customWidth="1"/>
    <col min="7759" max="7759" width="2.109375" style="63" customWidth="1"/>
    <col min="7760" max="7760" width="10.44140625" style="63" customWidth="1"/>
    <col min="7761" max="7761" width="14.109375" style="63" customWidth="1"/>
    <col min="7762" max="7762" width="9.109375" style="63"/>
    <col min="7763" max="7763" width="13.88671875" style="63" customWidth="1"/>
    <col min="7764" max="7764" width="9.109375" style="63"/>
    <col min="7765" max="7765" width="12.5546875" style="63" customWidth="1"/>
    <col min="7766" max="7766" width="10.44140625" style="63" customWidth="1"/>
    <col min="7767" max="7768" width="13.5546875" style="63" customWidth="1"/>
    <col min="7769" max="7769" width="13" style="63" customWidth="1"/>
    <col min="7770" max="7770" width="13.5546875" style="63" customWidth="1"/>
    <col min="7771" max="7773" width="13" style="63" customWidth="1"/>
    <col min="7774" max="7972" width="9.109375" style="63"/>
    <col min="7973" max="7973" width="14" style="63" customWidth="1"/>
    <col min="7974" max="7974" width="2" style="63" customWidth="1"/>
    <col min="7975" max="7975" width="11.88671875" style="63" customWidth="1"/>
    <col min="7976" max="7977" width="13.5546875" style="63" customWidth="1"/>
    <col min="7978" max="7978" width="13.88671875" style="63" customWidth="1"/>
    <col min="7979" max="7980" width="14.5546875" style="63" customWidth="1"/>
    <col min="7981" max="7999" width="13.44140625" style="63" customWidth="1"/>
    <col min="8000" max="8000" width="10.5546875" style="63" customWidth="1"/>
    <col min="8001" max="8001" width="13.44140625" style="63" customWidth="1"/>
    <col min="8002" max="8002" width="11" style="63" customWidth="1"/>
    <col min="8003" max="8006" width="13.44140625" style="63" customWidth="1"/>
    <col min="8007" max="8007" width="19.5546875" style="63" customWidth="1"/>
    <col min="8008" max="8008" width="16.44140625" style="63" customWidth="1"/>
    <col min="8009" max="8009" width="13.44140625" style="63" customWidth="1"/>
    <col min="8010" max="8010" width="16" style="63" customWidth="1"/>
    <col min="8011" max="8014" width="13.44140625" style="63" customWidth="1"/>
    <col min="8015" max="8015" width="2.109375" style="63" customWidth="1"/>
    <col min="8016" max="8016" width="10.44140625" style="63" customWidth="1"/>
    <col min="8017" max="8017" width="14.109375" style="63" customWidth="1"/>
    <col min="8018" max="8018" width="9.109375" style="63"/>
    <col min="8019" max="8019" width="13.88671875" style="63" customWidth="1"/>
    <col min="8020" max="8020" width="9.109375" style="63"/>
    <col min="8021" max="8021" width="12.5546875" style="63" customWidth="1"/>
    <col min="8022" max="8022" width="10.44140625" style="63" customWidth="1"/>
    <col min="8023" max="8024" width="13.5546875" style="63" customWidth="1"/>
    <col min="8025" max="8025" width="13" style="63" customWidth="1"/>
    <col min="8026" max="8026" width="13.5546875" style="63" customWidth="1"/>
    <col min="8027" max="8029" width="13" style="63" customWidth="1"/>
    <col min="8030" max="8228" width="9.109375" style="63"/>
    <col min="8229" max="8229" width="14" style="63" customWidth="1"/>
    <col min="8230" max="8230" width="2" style="63" customWidth="1"/>
    <col min="8231" max="8231" width="11.88671875" style="63" customWidth="1"/>
    <col min="8232" max="8233" width="13.5546875" style="63" customWidth="1"/>
    <col min="8234" max="8234" width="13.88671875" style="63" customWidth="1"/>
    <col min="8235" max="8236" width="14.5546875" style="63" customWidth="1"/>
    <col min="8237" max="8255" width="13.44140625" style="63" customWidth="1"/>
    <col min="8256" max="8256" width="10.5546875" style="63" customWidth="1"/>
    <col min="8257" max="8257" width="13.44140625" style="63" customWidth="1"/>
    <col min="8258" max="8258" width="11" style="63" customWidth="1"/>
    <col min="8259" max="8262" width="13.44140625" style="63" customWidth="1"/>
    <col min="8263" max="8263" width="19.5546875" style="63" customWidth="1"/>
    <col min="8264" max="8264" width="16.44140625" style="63" customWidth="1"/>
    <col min="8265" max="8265" width="13.44140625" style="63" customWidth="1"/>
    <col min="8266" max="8266" width="16" style="63" customWidth="1"/>
    <col min="8267" max="8270" width="13.44140625" style="63" customWidth="1"/>
    <col min="8271" max="8271" width="2.109375" style="63" customWidth="1"/>
    <col min="8272" max="8272" width="10.44140625" style="63" customWidth="1"/>
    <col min="8273" max="8273" width="14.109375" style="63" customWidth="1"/>
    <col min="8274" max="8274" width="9.109375" style="63"/>
    <col min="8275" max="8275" width="13.88671875" style="63" customWidth="1"/>
    <col min="8276" max="8276" width="9.109375" style="63"/>
    <col min="8277" max="8277" width="12.5546875" style="63" customWidth="1"/>
    <col min="8278" max="8278" width="10.44140625" style="63" customWidth="1"/>
    <col min="8279" max="8280" width="13.5546875" style="63" customWidth="1"/>
    <col min="8281" max="8281" width="13" style="63" customWidth="1"/>
    <col min="8282" max="8282" width="13.5546875" style="63" customWidth="1"/>
    <col min="8283" max="8285" width="13" style="63" customWidth="1"/>
    <col min="8286" max="8484" width="9.109375" style="63"/>
    <col min="8485" max="8485" width="14" style="63" customWidth="1"/>
    <col min="8486" max="8486" width="2" style="63" customWidth="1"/>
    <col min="8487" max="8487" width="11.88671875" style="63" customWidth="1"/>
    <col min="8488" max="8489" width="13.5546875" style="63" customWidth="1"/>
    <col min="8490" max="8490" width="13.88671875" style="63" customWidth="1"/>
    <col min="8491" max="8492" width="14.5546875" style="63" customWidth="1"/>
    <col min="8493" max="8511" width="13.44140625" style="63" customWidth="1"/>
    <col min="8512" max="8512" width="10.5546875" style="63" customWidth="1"/>
    <col min="8513" max="8513" width="13.44140625" style="63" customWidth="1"/>
    <col min="8514" max="8514" width="11" style="63" customWidth="1"/>
    <col min="8515" max="8518" width="13.44140625" style="63" customWidth="1"/>
    <col min="8519" max="8519" width="19.5546875" style="63" customWidth="1"/>
    <col min="8520" max="8520" width="16.44140625" style="63" customWidth="1"/>
    <col min="8521" max="8521" width="13.44140625" style="63" customWidth="1"/>
    <col min="8522" max="8522" width="16" style="63" customWidth="1"/>
    <col min="8523" max="8526" width="13.44140625" style="63" customWidth="1"/>
    <col min="8527" max="8527" width="2.109375" style="63" customWidth="1"/>
    <col min="8528" max="8528" width="10.44140625" style="63" customWidth="1"/>
    <col min="8529" max="8529" width="14.109375" style="63" customWidth="1"/>
    <col min="8530" max="8530" width="9.109375" style="63"/>
    <col min="8531" max="8531" width="13.88671875" style="63" customWidth="1"/>
    <col min="8532" max="8532" width="9.109375" style="63"/>
    <col min="8533" max="8533" width="12.5546875" style="63" customWidth="1"/>
    <col min="8534" max="8534" width="10.44140625" style="63" customWidth="1"/>
    <col min="8535" max="8536" width="13.5546875" style="63" customWidth="1"/>
    <col min="8537" max="8537" width="13" style="63" customWidth="1"/>
    <col min="8538" max="8538" width="13.5546875" style="63" customWidth="1"/>
    <col min="8539" max="8541" width="13" style="63" customWidth="1"/>
    <col min="8542" max="8740" width="9.109375" style="63"/>
    <col min="8741" max="8741" width="14" style="63" customWidth="1"/>
    <col min="8742" max="8742" width="2" style="63" customWidth="1"/>
    <col min="8743" max="8743" width="11.88671875" style="63" customWidth="1"/>
    <col min="8744" max="8745" width="13.5546875" style="63" customWidth="1"/>
    <col min="8746" max="8746" width="13.88671875" style="63" customWidth="1"/>
    <col min="8747" max="8748" width="14.5546875" style="63" customWidth="1"/>
    <col min="8749" max="8767" width="13.44140625" style="63" customWidth="1"/>
    <col min="8768" max="8768" width="10.5546875" style="63" customWidth="1"/>
    <col min="8769" max="8769" width="13.44140625" style="63" customWidth="1"/>
    <col min="8770" max="8770" width="11" style="63" customWidth="1"/>
    <col min="8771" max="8774" width="13.44140625" style="63" customWidth="1"/>
    <col min="8775" max="8775" width="19.5546875" style="63" customWidth="1"/>
    <col min="8776" max="8776" width="16.44140625" style="63" customWidth="1"/>
    <col min="8777" max="8777" width="13.44140625" style="63" customWidth="1"/>
    <col min="8778" max="8778" width="16" style="63" customWidth="1"/>
    <col min="8779" max="8782" width="13.44140625" style="63" customWidth="1"/>
    <col min="8783" max="8783" width="2.109375" style="63" customWidth="1"/>
    <col min="8784" max="8784" width="10.44140625" style="63" customWidth="1"/>
    <col min="8785" max="8785" width="14.109375" style="63" customWidth="1"/>
    <col min="8786" max="8786" width="9.109375" style="63"/>
    <col min="8787" max="8787" width="13.88671875" style="63" customWidth="1"/>
    <col min="8788" max="8788" width="9.109375" style="63"/>
    <col min="8789" max="8789" width="12.5546875" style="63" customWidth="1"/>
    <col min="8790" max="8790" width="10.44140625" style="63" customWidth="1"/>
    <col min="8791" max="8792" width="13.5546875" style="63" customWidth="1"/>
    <col min="8793" max="8793" width="13" style="63" customWidth="1"/>
    <col min="8794" max="8794" width="13.5546875" style="63" customWidth="1"/>
    <col min="8795" max="8797" width="13" style="63" customWidth="1"/>
    <col min="8798" max="8996" width="9.109375" style="63"/>
    <col min="8997" max="8997" width="14" style="63" customWidth="1"/>
    <col min="8998" max="8998" width="2" style="63" customWidth="1"/>
    <col min="8999" max="8999" width="11.88671875" style="63" customWidth="1"/>
    <col min="9000" max="9001" width="13.5546875" style="63" customWidth="1"/>
    <col min="9002" max="9002" width="13.88671875" style="63" customWidth="1"/>
    <col min="9003" max="9004" width="14.5546875" style="63" customWidth="1"/>
    <col min="9005" max="9023" width="13.44140625" style="63" customWidth="1"/>
    <col min="9024" max="9024" width="10.5546875" style="63" customWidth="1"/>
    <col min="9025" max="9025" width="13.44140625" style="63" customWidth="1"/>
    <col min="9026" max="9026" width="11" style="63" customWidth="1"/>
    <col min="9027" max="9030" width="13.44140625" style="63" customWidth="1"/>
    <col min="9031" max="9031" width="19.5546875" style="63" customWidth="1"/>
    <col min="9032" max="9032" width="16.44140625" style="63" customWidth="1"/>
    <col min="9033" max="9033" width="13.44140625" style="63" customWidth="1"/>
    <col min="9034" max="9034" width="16" style="63" customWidth="1"/>
    <col min="9035" max="9038" width="13.44140625" style="63" customWidth="1"/>
    <col min="9039" max="9039" width="2.109375" style="63" customWidth="1"/>
    <col min="9040" max="9040" width="10.44140625" style="63" customWidth="1"/>
    <col min="9041" max="9041" width="14.109375" style="63" customWidth="1"/>
    <col min="9042" max="9042" width="9.109375" style="63"/>
    <col min="9043" max="9043" width="13.88671875" style="63" customWidth="1"/>
    <col min="9044" max="9044" width="9.109375" style="63"/>
    <col min="9045" max="9045" width="12.5546875" style="63" customWidth="1"/>
    <col min="9046" max="9046" width="10.44140625" style="63" customWidth="1"/>
    <col min="9047" max="9048" width="13.5546875" style="63" customWidth="1"/>
    <col min="9049" max="9049" width="13" style="63" customWidth="1"/>
    <col min="9050" max="9050" width="13.5546875" style="63" customWidth="1"/>
    <col min="9051" max="9053" width="13" style="63" customWidth="1"/>
    <col min="9054" max="9252" width="9.109375" style="63"/>
    <col min="9253" max="9253" width="14" style="63" customWidth="1"/>
    <col min="9254" max="9254" width="2" style="63" customWidth="1"/>
    <col min="9255" max="9255" width="11.88671875" style="63" customWidth="1"/>
    <col min="9256" max="9257" width="13.5546875" style="63" customWidth="1"/>
    <col min="9258" max="9258" width="13.88671875" style="63" customWidth="1"/>
    <col min="9259" max="9260" width="14.5546875" style="63" customWidth="1"/>
    <col min="9261" max="9279" width="13.44140625" style="63" customWidth="1"/>
    <col min="9280" max="9280" width="10.5546875" style="63" customWidth="1"/>
    <col min="9281" max="9281" width="13.44140625" style="63" customWidth="1"/>
    <col min="9282" max="9282" width="11" style="63" customWidth="1"/>
    <col min="9283" max="9286" width="13.44140625" style="63" customWidth="1"/>
    <col min="9287" max="9287" width="19.5546875" style="63" customWidth="1"/>
    <col min="9288" max="9288" width="16.44140625" style="63" customWidth="1"/>
    <col min="9289" max="9289" width="13.44140625" style="63" customWidth="1"/>
    <col min="9290" max="9290" width="16" style="63" customWidth="1"/>
    <col min="9291" max="9294" width="13.44140625" style="63" customWidth="1"/>
    <col min="9295" max="9295" width="2.109375" style="63" customWidth="1"/>
    <col min="9296" max="9296" width="10.44140625" style="63" customWidth="1"/>
    <col min="9297" max="9297" width="14.109375" style="63" customWidth="1"/>
    <col min="9298" max="9298" width="9.109375" style="63"/>
    <col min="9299" max="9299" width="13.88671875" style="63" customWidth="1"/>
    <col min="9300" max="9300" width="9.109375" style="63"/>
    <col min="9301" max="9301" width="12.5546875" style="63" customWidth="1"/>
    <col min="9302" max="9302" width="10.44140625" style="63" customWidth="1"/>
    <col min="9303" max="9304" width="13.5546875" style="63" customWidth="1"/>
    <col min="9305" max="9305" width="13" style="63" customWidth="1"/>
    <col min="9306" max="9306" width="13.5546875" style="63" customWidth="1"/>
    <col min="9307" max="9309" width="13" style="63" customWidth="1"/>
    <col min="9310" max="9508" width="9.109375" style="63"/>
    <col min="9509" max="9509" width="14" style="63" customWidth="1"/>
    <col min="9510" max="9510" width="2" style="63" customWidth="1"/>
    <col min="9511" max="9511" width="11.88671875" style="63" customWidth="1"/>
    <col min="9512" max="9513" width="13.5546875" style="63" customWidth="1"/>
    <col min="9514" max="9514" width="13.88671875" style="63" customWidth="1"/>
    <col min="9515" max="9516" width="14.5546875" style="63" customWidth="1"/>
    <col min="9517" max="9535" width="13.44140625" style="63" customWidth="1"/>
    <col min="9536" max="9536" width="10.5546875" style="63" customWidth="1"/>
    <col min="9537" max="9537" width="13.44140625" style="63" customWidth="1"/>
    <col min="9538" max="9538" width="11" style="63" customWidth="1"/>
    <col min="9539" max="9542" width="13.44140625" style="63" customWidth="1"/>
    <col min="9543" max="9543" width="19.5546875" style="63" customWidth="1"/>
    <col min="9544" max="9544" width="16.44140625" style="63" customWidth="1"/>
    <col min="9545" max="9545" width="13.44140625" style="63" customWidth="1"/>
    <col min="9546" max="9546" width="16" style="63" customWidth="1"/>
    <col min="9547" max="9550" width="13.44140625" style="63" customWidth="1"/>
    <col min="9551" max="9551" width="2.109375" style="63" customWidth="1"/>
    <col min="9552" max="9552" width="10.44140625" style="63" customWidth="1"/>
    <col min="9553" max="9553" width="14.109375" style="63" customWidth="1"/>
    <col min="9554" max="9554" width="9.109375" style="63"/>
    <col min="9555" max="9555" width="13.88671875" style="63" customWidth="1"/>
    <col min="9556" max="9556" width="9.109375" style="63"/>
    <col min="9557" max="9557" width="12.5546875" style="63" customWidth="1"/>
    <col min="9558" max="9558" width="10.44140625" style="63" customWidth="1"/>
    <col min="9559" max="9560" width="13.5546875" style="63" customWidth="1"/>
    <col min="9561" max="9561" width="13" style="63" customWidth="1"/>
    <col min="9562" max="9562" width="13.5546875" style="63" customWidth="1"/>
    <col min="9563" max="9565" width="13" style="63" customWidth="1"/>
    <col min="9566" max="9764" width="9.109375" style="63"/>
    <col min="9765" max="9765" width="14" style="63" customWidth="1"/>
    <col min="9766" max="9766" width="2" style="63" customWidth="1"/>
    <col min="9767" max="9767" width="11.88671875" style="63" customWidth="1"/>
    <col min="9768" max="9769" width="13.5546875" style="63" customWidth="1"/>
    <col min="9770" max="9770" width="13.88671875" style="63" customWidth="1"/>
    <col min="9771" max="9772" width="14.5546875" style="63" customWidth="1"/>
    <col min="9773" max="9791" width="13.44140625" style="63" customWidth="1"/>
    <col min="9792" max="9792" width="10.5546875" style="63" customWidth="1"/>
    <col min="9793" max="9793" width="13.44140625" style="63" customWidth="1"/>
    <col min="9794" max="9794" width="11" style="63" customWidth="1"/>
    <col min="9795" max="9798" width="13.44140625" style="63" customWidth="1"/>
    <col min="9799" max="9799" width="19.5546875" style="63" customWidth="1"/>
    <col min="9800" max="9800" width="16.44140625" style="63" customWidth="1"/>
    <col min="9801" max="9801" width="13.44140625" style="63" customWidth="1"/>
    <col min="9802" max="9802" width="16" style="63" customWidth="1"/>
    <col min="9803" max="9806" width="13.44140625" style="63" customWidth="1"/>
    <col min="9807" max="9807" width="2.109375" style="63" customWidth="1"/>
    <col min="9808" max="9808" width="10.44140625" style="63" customWidth="1"/>
    <col min="9809" max="9809" width="14.109375" style="63" customWidth="1"/>
    <col min="9810" max="9810" width="9.109375" style="63"/>
    <col min="9811" max="9811" width="13.88671875" style="63" customWidth="1"/>
    <col min="9812" max="9812" width="9.109375" style="63"/>
    <col min="9813" max="9813" width="12.5546875" style="63" customWidth="1"/>
    <col min="9814" max="9814" width="10.44140625" style="63" customWidth="1"/>
    <col min="9815" max="9816" width="13.5546875" style="63" customWidth="1"/>
    <col min="9817" max="9817" width="13" style="63" customWidth="1"/>
    <col min="9818" max="9818" width="13.5546875" style="63" customWidth="1"/>
    <col min="9819" max="9821" width="13" style="63" customWidth="1"/>
    <col min="9822" max="10020" width="9.109375" style="63"/>
    <col min="10021" max="10021" width="14" style="63" customWidth="1"/>
    <col min="10022" max="10022" width="2" style="63" customWidth="1"/>
    <col min="10023" max="10023" width="11.88671875" style="63" customWidth="1"/>
    <col min="10024" max="10025" width="13.5546875" style="63" customWidth="1"/>
    <col min="10026" max="10026" width="13.88671875" style="63" customWidth="1"/>
    <col min="10027" max="10028" width="14.5546875" style="63" customWidth="1"/>
    <col min="10029" max="10047" width="13.44140625" style="63" customWidth="1"/>
    <col min="10048" max="10048" width="10.5546875" style="63" customWidth="1"/>
    <col min="10049" max="10049" width="13.44140625" style="63" customWidth="1"/>
    <col min="10050" max="10050" width="11" style="63" customWidth="1"/>
    <col min="10051" max="10054" width="13.44140625" style="63" customWidth="1"/>
    <col min="10055" max="10055" width="19.5546875" style="63" customWidth="1"/>
    <col min="10056" max="10056" width="16.44140625" style="63" customWidth="1"/>
    <col min="10057" max="10057" width="13.44140625" style="63" customWidth="1"/>
    <col min="10058" max="10058" width="16" style="63" customWidth="1"/>
    <col min="10059" max="10062" width="13.44140625" style="63" customWidth="1"/>
    <col min="10063" max="10063" width="2.109375" style="63" customWidth="1"/>
    <col min="10064" max="10064" width="10.44140625" style="63" customWidth="1"/>
    <col min="10065" max="10065" width="14.109375" style="63" customWidth="1"/>
    <col min="10066" max="10066" width="9.109375" style="63"/>
    <col min="10067" max="10067" width="13.88671875" style="63" customWidth="1"/>
    <col min="10068" max="10068" width="9.109375" style="63"/>
    <col min="10069" max="10069" width="12.5546875" style="63" customWidth="1"/>
    <col min="10070" max="10070" width="10.44140625" style="63" customWidth="1"/>
    <col min="10071" max="10072" width="13.5546875" style="63" customWidth="1"/>
    <col min="10073" max="10073" width="13" style="63" customWidth="1"/>
    <col min="10074" max="10074" width="13.5546875" style="63" customWidth="1"/>
    <col min="10075" max="10077" width="13" style="63" customWidth="1"/>
    <col min="10078" max="10276" width="9.109375" style="63"/>
    <col min="10277" max="10277" width="14" style="63" customWidth="1"/>
    <col min="10278" max="10278" width="2" style="63" customWidth="1"/>
    <col min="10279" max="10279" width="11.88671875" style="63" customWidth="1"/>
    <col min="10280" max="10281" width="13.5546875" style="63" customWidth="1"/>
    <col min="10282" max="10282" width="13.88671875" style="63" customWidth="1"/>
    <col min="10283" max="10284" width="14.5546875" style="63" customWidth="1"/>
    <col min="10285" max="10303" width="13.44140625" style="63" customWidth="1"/>
    <col min="10304" max="10304" width="10.5546875" style="63" customWidth="1"/>
    <col min="10305" max="10305" width="13.44140625" style="63" customWidth="1"/>
    <col min="10306" max="10306" width="11" style="63" customWidth="1"/>
    <col min="10307" max="10310" width="13.44140625" style="63" customWidth="1"/>
    <col min="10311" max="10311" width="19.5546875" style="63" customWidth="1"/>
    <col min="10312" max="10312" width="16.44140625" style="63" customWidth="1"/>
    <col min="10313" max="10313" width="13.44140625" style="63" customWidth="1"/>
    <col min="10314" max="10314" width="16" style="63" customWidth="1"/>
    <col min="10315" max="10318" width="13.44140625" style="63" customWidth="1"/>
    <col min="10319" max="10319" width="2.109375" style="63" customWidth="1"/>
    <col min="10320" max="10320" width="10.44140625" style="63" customWidth="1"/>
    <col min="10321" max="10321" width="14.109375" style="63" customWidth="1"/>
    <col min="10322" max="10322" width="9.109375" style="63"/>
    <col min="10323" max="10323" width="13.88671875" style="63" customWidth="1"/>
    <col min="10324" max="10324" width="9.109375" style="63"/>
    <col min="10325" max="10325" width="12.5546875" style="63" customWidth="1"/>
    <col min="10326" max="10326" width="10.44140625" style="63" customWidth="1"/>
    <col min="10327" max="10328" width="13.5546875" style="63" customWidth="1"/>
    <col min="10329" max="10329" width="13" style="63" customWidth="1"/>
    <col min="10330" max="10330" width="13.5546875" style="63" customWidth="1"/>
    <col min="10331" max="10333" width="13" style="63" customWidth="1"/>
    <col min="10334" max="10532" width="9.109375" style="63"/>
    <col min="10533" max="10533" width="14" style="63" customWidth="1"/>
    <col min="10534" max="10534" width="2" style="63" customWidth="1"/>
    <col min="10535" max="10535" width="11.88671875" style="63" customWidth="1"/>
    <col min="10536" max="10537" width="13.5546875" style="63" customWidth="1"/>
    <col min="10538" max="10538" width="13.88671875" style="63" customWidth="1"/>
    <col min="10539" max="10540" width="14.5546875" style="63" customWidth="1"/>
    <col min="10541" max="10559" width="13.44140625" style="63" customWidth="1"/>
    <col min="10560" max="10560" width="10.5546875" style="63" customWidth="1"/>
    <col min="10561" max="10561" width="13.44140625" style="63" customWidth="1"/>
    <col min="10562" max="10562" width="11" style="63" customWidth="1"/>
    <col min="10563" max="10566" width="13.44140625" style="63" customWidth="1"/>
    <col min="10567" max="10567" width="19.5546875" style="63" customWidth="1"/>
    <col min="10568" max="10568" width="16.44140625" style="63" customWidth="1"/>
    <col min="10569" max="10569" width="13.44140625" style="63" customWidth="1"/>
    <col min="10570" max="10570" width="16" style="63" customWidth="1"/>
    <col min="10571" max="10574" width="13.44140625" style="63" customWidth="1"/>
    <col min="10575" max="10575" width="2.109375" style="63" customWidth="1"/>
    <col min="10576" max="10576" width="10.44140625" style="63" customWidth="1"/>
    <col min="10577" max="10577" width="14.109375" style="63" customWidth="1"/>
    <col min="10578" max="10578" width="9.109375" style="63"/>
    <col min="10579" max="10579" width="13.88671875" style="63" customWidth="1"/>
    <col min="10580" max="10580" width="9.109375" style="63"/>
    <col min="10581" max="10581" width="12.5546875" style="63" customWidth="1"/>
    <col min="10582" max="10582" width="10.44140625" style="63" customWidth="1"/>
    <col min="10583" max="10584" width="13.5546875" style="63" customWidth="1"/>
    <col min="10585" max="10585" width="13" style="63" customWidth="1"/>
    <col min="10586" max="10586" width="13.5546875" style="63" customWidth="1"/>
    <col min="10587" max="10589" width="13" style="63" customWidth="1"/>
    <col min="10590" max="10788" width="9.109375" style="63"/>
    <col min="10789" max="10789" width="14" style="63" customWidth="1"/>
    <col min="10790" max="10790" width="2" style="63" customWidth="1"/>
    <col min="10791" max="10791" width="11.88671875" style="63" customWidth="1"/>
    <col min="10792" max="10793" width="13.5546875" style="63" customWidth="1"/>
    <col min="10794" max="10794" width="13.88671875" style="63" customWidth="1"/>
    <col min="10795" max="10796" width="14.5546875" style="63" customWidth="1"/>
    <col min="10797" max="10815" width="13.44140625" style="63" customWidth="1"/>
    <col min="10816" max="10816" width="10.5546875" style="63" customWidth="1"/>
    <col min="10817" max="10817" width="13.44140625" style="63" customWidth="1"/>
    <col min="10818" max="10818" width="11" style="63" customWidth="1"/>
    <col min="10819" max="10822" width="13.44140625" style="63" customWidth="1"/>
    <col min="10823" max="10823" width="19.5546875" style="63" customWidth="1"/>
    <col min="10824" max="10824" width="16.44140625" style="63" customWidth="1"/>
    <col min="10825" max="10825" width="13.44140625" style="63" customWidth="1"/>
    <col min="10826" max="10826" width="16" style="63" customWidth="1"/>
    <col min="10827" max="10830" width="13.44140625" style="63" customWidth="1"/>
    <col min="10831" max="10831" width="2.109375" style="63" customWidth="1"/>
    <col min="10832" max="10832" width="10.44140625" style="63" customWidth="1"/>
    <col min="10833" max="10833" width="14.109375" style="63" customWidth="1"/>
    <col min="10834" max="10834" width="9.109375" style="63"/>
    <col min="10835" max="10835" width="13.88671875" style="63" customWidth="1"/>
    <col min="10836" max="10836" width="9.109375" style="63"/>
    <col min="10837" max="10837" width="12.5546875" style="63" customWidth="1"/>
    <col min="10838" max="10838" width="10.44140625" style="63" customWidth="1"/>
    <col min="10839" max="10840" width="13.5546875" style="63" customWidth="1"/>
    <col min="10841" max="10841" width="13" style="63" customWidth="1"/>
    <col min="10842" max="10842" width="13.5546875" style="63" customWidth="1"/>
    <col min="10843" max="10845" width="13" style="63" customWidth="1"/>
    <col min="10846" max="11044" width="9.109375" style="63"/>
    <col min="11045" max="11045" width="14" style="63" customWidth="1"/>
    <col min="11046" max="11046" width="2" style="63" customWidth="1"/>
    <col min="11047" max="11047" width="11.88671875" style="63" customWidth="1"/>
    <col min="11048" max="11049" width="13.5546875" style="63" customWidth="1"/>
    <col min="11050" max="11050" width="13.88671875" style="63" customWidth="1"/>
    <col min="11051" max="11052" width="14.5546875" style="63" customWidth="1"/>
    <col min="11053" max="11071" width="13.44140625" style="63" customWidth="1"/>
    <col min="11072" max="11072" width="10.5546875" style="63" customWidth="1"/>
    <col min="11073" max="11073" width="13.44140625" style="63" customWidth="1"/>
    <col min="11074" max="11074" width="11" style="63" customWidth="1"/>
    <col min="11075" max="11078" width="13.44140625" style="63" customWidth="1"/>
    <col min="11079" max="11079" width="19.5546875" style="63" customWidth="1"/>
    <col min="11080" max="11080" width="16.44140625" style="63" customWidth="1"/>
    <col min="11081" max="11081" width="13.44140625" style="63" customWidth="1"/>
    <col min="11082" max="11082" width="16" style="63" customWidth="1"/>
    <col min="11083" max="11086" width="13.44140625" style="63" customWidth="1"/>
    <col min="11087" max="11087" width="2.109375" style="63" customWidth="1"/>
    <col min="11088" max="11088" width="10.44140625" style="63" customWidth="1"/>
    <col min="11089" max="11089" width="14.109375" style="63" customWidth="1"/>
    <col min="11090" max="11090" width="9.109375" style="63"/>
    <col min="11091" max="11091" width="13.88671875" style="63" customWidth="1"/>
    <col min="11092" max="11092" width="9.109375" style="63"/>
    <col min="11093" max="11093" width="12.5546875" style="63" customWidth="1"/>
    <col min="11094" max="11094" width="10.44140625" style="63" customWidth="1"/>
    <col min="11095" max="11096" width="13.5546875" style="63" customWidth="1"/>
    <col min="11097" max="11097" width="13" style="63" customWidth="1"/>
    <col min="11098" max="11098" width="13.5546875" style="63" customWidth="1"/>
    <col min="11099" max="11101" width="13" style="63" customWidth="1"/>
    <col min="11102" max="11300" width="9.109375" style="63"/>
    <col min="11301" max="11301" width="14" style="63" customWidth="1"/>
    <col min="11302" max="11302" width="2" style="63" customWidth="1"/>
    <col min="11303" max="11303" width="11.88671875" style="63" customWidth="1"/>
    <col min="11304" max="11305" width="13.5546875" style="63" customWidth="1"/>
    <col min="11306" max="11306" width="13.88671875" style="63" customWidth="1"/>
    <col min="11307" max="11308" width="14.5546875" style="63" customWidth="1"/>
    <col min="11309" max="11327" width="13.44140625" style="63" customWidth="1"/>
    <col min="11328" max="11328" width="10.5546875" style="63" customWidth="1"/>
    <col min="11329" max="11329" width="13.44140625" style="63" customWidth="1"/>
    <col min="11330" max="11330" width="11" style="63" customWidth="1"/>
    <col min="11331" max="11334" width="13.44140625" style="63" customWidth="1"/>
    <col min="11335" max="11335" width="19.5546875" style="63" customWidth="1"/>
    <col min="11336" max="11336" width="16.44140625" style="63" customWidth="1"/>
    <col min="11337" max="11337" width="13.44140625" style="63" customWidth="1"/>
    <col min="11338" max="11338" width="16" style="63" customWidth="1"/>
    <col min="11339" max="11342" width="13.44140625" style="63" customWidth="1"/>
    <col min="11343" max="11343" width="2.109375" style="63" customWidth="1"/>
    <col min="11344" max="11344" width="10.44140625" style="63" customWidth="1"/>
    <col min="11345" max="11345" width="14.109375" style="63" customWidth="1"/>
    <col min="11346" max="11346" width="9.109375" style="63"/>
    <col min="11347" max="11347" width="13.88671875" style="63" customWidth="1"/>
    <col min="11348" max="11348" width="9.109375" style="63"/>
    <col min="11349" max="11349" width="12.5546875" style="63" customWidth="1"/>
    <col min="11350" max="11350" width="10.44140625" style="63" customWidth="1"/>
    <col min="11351" max="11352" width="13.5546875" style="63" customWidth="1"/>
    <col min="11353" max="11353" width="13" style="63" customWidth="1"/>
    <col min="11354" max="11354" width="13.5546875" style="63" customWidth="1"/>
    <col min="11355" max="11357" width="13" style="63" customWidth="1"/>
    <col min="11358" max="11556" width="9.109375" style="63"/>
    <col min="11557" max="11557" width="14" style="63" customWidth="1"/>
    <col min="11558" max="11558" width="2" style="63" customWidth="1"/>
    <col min="11559" max="11559" width="11.88671875" style="63" customWidth="1"/>
    <col min="11560" max="11561" width="13.5546875" style="63" customWidth="1"/>
    <col min="11562" max="11562" width="13.88671875" style="63" customWidth="1"/>
    <col min="11563" max="11564" width="14.5546875" style="63" customWidth="1"/>
    <col min="11565" max="11583" width="13.44140625" style="63" customWidth="1"/>
    <col min="11584" max="11584" width="10.5546875" style="63" customWidth="1"/>
    <col min="11585" max="11585" width="13.44140625" style="63" customWidth="1"/>
    <col min="11586" max="11586" width="11" style="63" customWidth="1"/>
    <col min="11587" max="11590" width="13.44140625" style="63" customWidth="1"/>
    <col min="11591" max="11591" width="19.5546875" style="63" customWidth="1"/>
    <col min="11592" max="11592" width="16.44140625" style="63" customWidth="1"/>
    <col min="11593" max="11593" width="13.44140625" style="63" customWidth="1"/>
    <col min="11594" max="11594" width="16" style="63" customWidth="1"/>
    <col min="11595" max="11598" width="13.44140625" style="63" customWidth="1"/>
    <col min="11599" max="11599" width="2.109375" style="63" customWidth="1"/>
    <col min="11600" max="11600" width="10.44140625" style="63" customWidth="1"/>
    <col min="11601" max="11601" width="14.109375" style="63" customWidth="1"/>
    <col min="11602" max="11602" width="9.109375" style="63"/>
    <col min="11603" max="11603" width="13.88671875" style="63" customWidth="1"/>
    <col min="11604" max="11604" width="9.109375" style="63"/>
    <col min="11605" max="11605" width="12.5546875" style="63" customWidth="1"/>
    <col min="11606" max="11606" width="10.44140625" style="63" customWidth="1"/>
    <col min="11607" max="11608" width="13.5546875" style="63" customWidth="1"/>
    <col min="11609" max="11609" width="13" style="63" customWidth="1"/>
    <col min="11610" max="11610" width="13.5546875" style="63" customWidth="1"/>
    <col min="11611" max="11613" width="13" style="63" customWidth="1"/>
    <col min="11614" max="11812" width="9.109375" style="63"/>
    <col min="11813" max="11813" width="14" style="63" customWidth="1"/>
    <col min="11814" max="11814" width="2" style="63" customWidth="1"/>
    <col min="11815" max="11815" width="11.88671875" style="63" customWidth="1"/>
    <col min="11816" max="11817" width="13.5546875" style="63" customWidth="1"/>
    <col min="11818" max="11818" width="13.88671875" style="63" customWidth="1"/>
    <col min="11819" max="11820" width="14.5546875" style="63" customWidth="1"/>
    <col min="11821" max="11839" width="13.44140625" style="63" customWidth="1"/>
    <col min="11840" max="11840" width="10.5546875" style="63" customWidth="1"/>
    <col min="11841" max="11841" width="13.44140625" style="63" customWidth="1"/>
    <col min="11842" max="11842" width="11" style="63" customWidth="1"/>
    <col min="11843" max="11846" width="13.44140625" style="63" customWidth="1"/>
    <col min="11847" max="11847" width="19.5546875" style="63" customWidth="1"/>
    <col min="11848" max="11848" width="16.44140625" style="63" customWidth="1"/>
    <col min="11849" max="11849" width="13.44140625" style="63" customWidth="1"/>
    <col min="11850" max="11850" width="16" style="63" customWidth="1"/>
    <col min="11851" max="11854" width="13.44140625" style="63" customWidth="1"/>
    <col min="11855" max="11855" width="2.109375" style="63" customWidth="1"/>
    <col min="11856" max="11856" width="10.44140625" style="63" customWidth="1"/>
    <col min="11857" max="11857" width="14.109375" style="63" customWidth="1"/>
    <col min="11858" max="11858" width="9.109375" style="63"/>
    <col min="11859" max="11859" width="13.88671875" style="63" customWidth="1"/>
    <col min="11860" max="11860" width="9.109375" style="63"/>
    <col min="11861" max="11861" width="12.5546875" style="63" customWidth="1"/>
    <col min="11862" max="11862" width="10.44140625" style="63" customWidth="1"/>
    <col min="11863" max="11864" width="13.5546875" style="63" customWidth="1"/>
    <col min="11865" max="11865" width="13" style="63" customWidth="1"/>
    <col min="11866" max="11866" width="13.5546875" style="63" customWidth="1"/>
    <col min="11867" max="11869" width="13" style="63" customWidth="1"/>
    <col min="11870" max="12068" width="9.109375" style="63"/>
    <col min="12069" max="12069" width="14" style="63" customWidth="1"/>
    <col min="12070" max="12070" width="2" style="63" customWidth="1"/>
    <col min="12071" max="12071" width="11.88671875" style="63" customWidth="1"/>
    <col min="12072" max="12073" width="13.5546875" style="63" customWidth="1"/>
    <col min="12074" max="12074" width="13.88671875" style="63" customWidth="1"/>
    <col min="12075" max="12076" width="14.5546875" style="63" customWidth="1"/>
    <col min="12077" max="12095" width="13.44140625" style="63" customWidth="1"/>
    <col min="12096" max="12096" width="10.5546875" style="63" customWidth="1"/>
    <col min="12097" max="12097" width="13.44140625" style="63" customWidth="1"/>
    <col min="12098" max="12098" width="11" style="63" customWidth="1"/>
    <col min="12099" max="12102" width="13.44140625" style="63" customWidth="1"/>
    <col min="12103" max="12103" width="19.5546875" style="63" customWidth="1"/>
    <col min="12104" max="12104" width="16.44140625" style="63" customWidth="1"/>
    <col min="12105" max="12105" width="13.44140625" style="63" customWidth="1"/>
    <col min="12106" max="12106" width="16" style="63" customWidth="1"/>
    <col min="12107" max="12110" width="13.44140625" style="63" customWidth="1"/>
    <col min="12111" max="12111" width="2.109375" style="63" customWidth="1"/>
    <col min="12112" max="12112" width="10.44140625" style="63" customWidth="1"/>
    <col min="12113" max="12113" width="14.109375" style="63" customWidth="1"/>
    <col min="12114" max="12114" width="9.109375" style="63"/>
    <col min="12115" max="12115" width="13.88671875" style="63" customWidth="1"/>
    <col min="12116" max="12116" width="9.109375" style="63"/>
    <col min="12117" max="12117" width="12.5546875" style="63" customWidth="1"/>
    <col min="12118" max="12118" width="10.44140625" style="63" customWidth="1"/>
    <col min="12119" max="12120" width="13.5546875" style="63" customWidth="1"/>
    <col min="12121" max="12121" width="13" style="63" customWidth="1"/>
    <col min="12122" max="12122" width="13.5546875" style="63" customWidth="1"/>
    <col min="12123" max="12125" width="13" style="63" customWidth="1"/>
    <col min="12126" max="12324" width="9.109375" style="63"/>
    <col min="12325" max="12325" width="14" style="63" customWidth="1"/>
    <col min="12326" max="12326" width="2" style="63" customWidth="1"/>
    <col min="12327" max="12327" width="11.88671875" style="63" customWidth="1"/>
    <col min="12328" max="12329" width="13.5546875" style="63" customWidth="1"/>
    <col min="12330" max="12330" width="13.88671875" style="63" customWidth="1"/>
    <col min="12331" max="12332" width="14.5546875" style="63" customWidth="1"/>
    <col min="12333" max="12351" width="13.44140625" style="63" customWidth="1"/>
    <col min="12352" max="12352" width="10.5546875" style="63" customWidth="1"/>
    <col min="12353" max="12353" width="13.44140625" style="63" customWidth="1"/>
    <col min="12354" max="12354" width="11" style="63" customWidth="1"/>
    <col min="12355" max="12358" width="13.44140625" style="63" customWidth="1"/>
    <col min="12359" max="12359" width="19.5546875" style="63" customWidth="1"/>
    <col min="12360" max="12360" width="16.44140625" style="63" customWidth="1"/>
    <col min="12361" max="12361" width="13.44140625" style="63" customWidth="1"/>
    <col min="12362" max="12362" width="16" style="63" customWidth="1"/>
    <col min="12363" max="12366" width="13.44140625" style="63" customWidth="1"/>
    <col min="12367" max="12367" width="2.109375" style="63" customWidth="1"/>
    <col min="12368" max="12368" width="10.44140625" style="63" customWidth="1"/>
    <col min="12369" max="12369" width="14.109375" style="63" customWidth="1"/>
    <col min="12370" max="12370" width="9.109375" style="63"/>
    <col min="12371" max="12371" width="13.88671875" style="63" customWidth="1"/>
    <col min="12372" max="12372" width="9.109375" style="63"/>
    <col min="12373" max="12373" width="12.5546875" style="63" customWidth="1"/>
    <col min="12374" max="12374" width="10.44140625" style="63" customWidth="1"/>
    <col min="12375" max="12376" width="13.5546875" style="63" customWidth="1"/>
    <col min="12377" max="12377" width="13" style="63" customWidth="1"/>
    <col min="12378" max="12378" width="13.5546875" style="63" customWidth="1"/>
    <col min="12379" max="12381" width="13" style="63" customWidth="1"/>
    <col min="12382" max="12580" width="9.109375" style="63"/>
    <col min="12581" max="12581" width="14" style="63" customWidth="1"/>
    <col min="12582" max="12582" width="2" style="63" customWidth="1"/>
    <col min="12583" max="12583" width="11.88671875" style="63" customWidth="1"/>
    <col min="12584" max="12585" width="13.5546875" style="63" customWidth="1"/>
    <col min="12586" max="12586" width="13.88671875" style="63" customWidth="1"/>
    <col min="12587" max="12588" width="14.5546875" style="63" customWidth="1"/>
    <col min="12589" max="12607" width="13.44140625" style="63" customWidth="1"/>
    <col min="12608" max="12608" width="10.5546875" style="63" customWidth="1"/>
    <col min="12609" max="12609" width="13.44140625" style="63" customWidth="1"/>
    <col min="12610" max="12610" width="11" style="63" customWidth="1"/>
    <col min="12611" max="12614" width="13.44140625" style="63" customWidth="1"/>
    <col min="12615" max="12615" width="19.5546875" style="63" customWidth="1"/>
    <col min="12616" max="12616" width="16.44140625" style="63" customWidth="1"/>
    <col min="12617" max="12617" width="13.44140625" style="63" customWidth="1"/>
    <col min="12618" max="12618" width="16" style="63" customWidth="1"/>
    <col min="12619" max="12622" width="13.44140625" style="63" customWidth="1"/>
    <col min="12623" max="12623" width="2.109375" style="63" customWidth="1"/>
    <col min="12624" max="12624" width="10.44140625" style="63" customWidth="1"/>
    <col min="12625" max="12625" width="14.109375" style="63" customWidth="1"/>
    <col min="12626" max="12626" width="9.109375" style="63"/>
    <col min="12627" max="12627" width="13.88671875" style="63" customWidth="1"/>
    <col min="12628" max="12628" width="9.109375" style="63"/>
    <col min="12629" max="12629" width="12.5546875" style="63" customWidth="1"/>
    <col min="12630" max="12630" width="10.44140625" style="63" customWidth="1"/>
    <col min="12631" max="12632" width="13.5546875" style="63" customWidth="1"/>
    <col min="12633" max="12633" width="13" style="63" customWidth="1"/>
    <col min="12634" max="12634" width="13.5546875" style="63" customWidth="1"/>
    <col min="12635" max="12637" width="13" style="63" customWidth="1"/>
    <col min="12638" max="12836" width="9.109375" style="63"/>
    <col min="12837" max="12837" width="14" style="63" customWidth="1"/>
    <col min="12838" max="12838" width="2" style="63" customWidth="1"/>
    <col min="12839" max="12839" width="11.88671875" style="63" customWidth="1"/>
    <col min="12840" max="12841" width="13.5546875" style="63" customWidth="1"/>
    <col min="12842" max="12842" width="13.88671875" style="63" customWidth="1"/>
    <col min="12843" max="12844" width="14.5546875" style="63" customWidth="1"/>
    <col min="12845" max="12863" width="13.44140625" style="63" customWidth="1"/>
    <col min="12864" max="12864" width="10.5546875" style="63" customWidth="1"/>
    <col min="12865" max="12865" width="13.44140625" style="63" customWidth="1"/>
    <col min="12866" max="12866" width="11" style="63" customWidth="1"/>
    <col min="12867" max="12870" width="13.44140625" style="63" customWidth="1"/>
    <col min="12871" max="12871" width="19.5546875" style="63" customWidth="1"/>
    <col min="12872" max="12872" width="16.44140625" style="63" customWidth="1"/>
    <col min="12873" max="12873" width="13.44140625" style="63" customWidth="1"/>
    <col min="12874" max="12874" width="16" style="63" customWidth="1"/>
    <col min="12875" max="12878" width="13.44140625" style="63" customWidth="1"/>
    <col min="12879" max="12879" width="2.109375" style="63" customWidth="1"/>
    <col min="12880" max="12880" width="10.44140625" style="63" customWidth="1"/>
    <col min="12881" max="12881" width="14.109375" style="63" customWidth="1"/>
    <col min="12882" max="12882" width="9.109375" style="63"/>
    <col min="12883" max="12883" width="13.88671875" style="63" customWidth="1"/>
    <col min="12884" max="12884" width="9.109375" style="63"/>
    <col min="12885" max="12885" width="12.5546875" style="63" customWidth="1"/>
    <col min="12886" max="12886" width="10.44140625" style="63" customWidth="1"/>
    <col min="12887" max="12888" width="13.5546875" style="63" customWidth="1"/>
    <col min="12889" max="12889" width="13" style="63" customWidth="1"/>
    <col min="12890" max="12890" width="13.5546875" style="63" customWidth="1"/>
    <col min="12891" max="12893" width="13" style="63" customWidth="1"/>
    <col min="12894" max="13092" width="9.109375" style="63"/>
    <col min="13093" max="13093" width="14" style="63" customWidth="1"/>
    <col min="13094" max="13094" width="2" style="63" customWidth="1"/>
    <col min="13095" max="13095" width="11.88671875" style="63" customWidth="1"/>
    <col min="13096" max="13097" width="13.5546875" style="63" customWidth="1"/>
    <col min="13098" max="13098" width="13.88671875" style="63" customWidth="1"/>
    <col min="13099" max="13100" width="14.5546875" style="63" customWidth="1"/>
    <col min="13101" max="13119" width="13.44140625" style="63" customWidth="1"/>
    <col min="13120" max="13120" width="10.5546875" style="63" customWidth="1"/>
    <col min="13121" max="13121" width="13.44140625" style="63" customWidth="1"/>
    <col min="13122" max="13122" width="11" style="63" customWidth="1"/>
    <col min="13123" max="13126" width="13.44140625" style="63" customWidth="1"/>
    <col min="13127" max="13127" width="19.5546875" style="63" customWidth="1"/>
    <col min="13128" max="13128" width="16.44140625" style="63" customWidth="1"/>
    <col min="13129" max="13129" width="13.44140625" style="63" customWidth="1"/>
    <col min="13130" max="13130" width="16" style="63" customWidth="1"/>
    <col min="13131" max="13134" width="13.44140625" style="63" customWidth="1"/>
    <col min="13135" max="13135" width="2.109375" style="63" customWidth="1"/>
    <col min="13136" max="13136" width="10.44140625" style="63" customWidth="1"/>
    <col min="13137" max="13137" width="14.109375" style="63" customWidth="1"/>
    <col min="13138" max="13138" width="9.109375" style="63"/>
    <col min="13139" max="13139" width="13.88671875" style="63" customWidth="1"/>
    <col min="13140" max="13140" width="9.109375" style="63"/>
    <col min="13141" max="13141" width="12.5546875" style="63" customWidth="1"/>
    <col min="13142" max="13142" width="10.44140625" style="63" customWidth="1"/>
    <col min="13143" max="13144" width="13.5546875" style="63" customWidth="1"/>
    <col min="13145" max="13145" width="13" style="63" customWidth="1"/>
    <col min="13146" max="13146" width="13.5546875" style="63" customWidth="1"/>
    <col min="13147" max="13149" width="13" style="63" customWidth="1"/>
    <col min="13150" max="13348" width="9.109375" style="63"/>
    <col min="13349" max="13349" width="14" style="63" customWidth="1"/>
    <col min="13350" max="13350" width="2" style="63" customWidth="1"/>
    <col min="13351" max="13351" width="11.88671875" style="63" customWidth="1"/>
    <col min="13352" max="13353" width="13.5546875" style="63" customWidth="1"/>
    <col min="13354" max="13354" width="13.88671875" style="63" customWidth="1"/>
    <col min="13355" max="13356" width="14.5546875" style="63" customWidth="1"/>
    <col min="13357" max="13375" width="13.44140625" style="63" customWidth="1"/>
    <col min="13376" max="13376" width="10.5546875" style="63" customWidth="1"/>
    <col min="13377" max="13377" width="13.44140625" style="63" customWidth="1"/>
    <col min="13378" max="13378" width="11" style="63" customWidth="1"/>
    <col min="13379" max="13382" width="13.44140625" style="63" customWidth="1"/>
    <col min="13383" max="13383" width="19.5546875" style="63" customWidth="1"/>
    <col min="13384" max="13384" width="16.44140625" style="63" customWidth="1"/>
    <col min="13385" max="13385" width="13.44140625" style="63" customWidth="1"/>
    <col min="13386" max="13386" width="16" style="63" customWidth="1"/>
    <col min="13387" max="13390" width="13.44140625" style="63" customWidth="1"/>
    <col min="13391" max="13391" width="2.109375" style="63" customWidth="1"/>
    <col min="13392" max="13392" width="10.44140625" style="63" customWidth="1"/>
    <col min="13393" max="13393" width="14.109375" style="63" customWidth="1"/>
    <col min="13394" max="13394" width="9.109375" style="63"/>
    <col min="13395" max="13395" width="13.88671875" style="63" customWidth="1"/>
    <col min="13396" max="13396" width="9.109375" style="63"/>
    <col min="13397" max="13397" width="12.5546875" style="63" customWidth="1"/>
    <col min="13398" max="13398" width="10.44140625" style="63" customWidth="1"/>
    <col min="13399" max="13400" width="13.5546875" style="63" customWidth="1"/>
    <col min="13401" max="13401" width="13" style="63" customWidth="1"/>
    <col min="13402" max="13402" width="13.5546875" style="63" customWidth="1"/>
    <col min="13403" max="13405" width="13" style="63" customWidth="1"/>
    <col min="13406" max="13604" width="9.109375" style="63"/>
    <col min="13605" max="13605" width="14" style="63" customWidth="1"/>
    <col min="13606" max="13606" width="2" style="63" customWidth="1"/>
    <col min="13607" max="13607" width="11.88671875" style="63" customWidth="1"/>
    <col min="13608" max="13609" width="13.5546875" style="63" customWidth="1"/>
    <col min="13610" max="13610" width="13.88671875" style="63" customWidth="1"/>
    <col min="13611" max="13612" width="14.5546875" style="63" customWidth="1"/>
    <col min="13613" max="13631" width="13.44140625" style="63" customWidth="1"/>
    <col min="13632" max="13632" width="10.5546875" style="63" customWidth="1"/>
    <col min="13633" max="13633" width="13.44140625" style="63" customWidth="1"/>
    <col min="13634" max="13634" width="11" style="63" customWidth="1"/>
    <col min="13635" max="13638" width="13.44140625" style="63" customWidth="1"/>
    <col min="13639" max="13639" width="19.5546875" style="63" customWidth="1"/>
    <col min="13640" max="13640" width="16.44140625" style="63" customWidth="1"/>
    <col min="13641" max="13641" width="13.44140625" style="63" customWidth="1"/>
    <col min="13642" max="13642" width="16" style="63" customWidth="1"/>
    <col min="13643" max="13646" width="13.44140625" style="63" customWidth="1"/>
    <col min="13647" max="13647" width="2.109375" style="63" customWidth="1"/>
    <col min="13648" max="13648" width="10.44140625" style="63" customWidth="1"/>
    <col min="13649" max="13649" width="14.109375" style="63" customWidth="1"/>
    <col min="13650" max="13650" width="9.109375" style="63"/>
    <col min="13651" max="13651" width="13.88671875" style="63" customWidth="1"/>
    <col min="13652" max="13652" width="9.109375" style="63"/>
    <col min="13653" max="13653" width="12.5546875" style="63" customWidth="1"/>
    <col min="13654" max="13654" width="10.44140625" style="63" customWidth="1"/>
    <col min="13655" max="13656" width="13.5546875" style="63" customWidth="1"/>
    <col min="13657" max="13657" width="13" style="63" customWidth="1"/>
    <col min="13658" max="13658" width="13.5546875" style="63" customWidth="1"/>
    <col min="13659" max="13661" width="13" style="63" customWidth="1"/>
    <col min="13662" max="13860" width="9.109375" style="63"/>
    <col min="13861" max="13861" width="14" style="63" customWidth="1"/>
    <col min="13862" max="13862" width="2" style="63" customWidth="1"/>
    <col min="13863" max="13863" width="11.88671875" style="63" customWidth="1"/>
    <col min="13864" max="13865" width="13.5546875" style="63" customWidth="1"/>
    <col min="13866" max="13866" width="13.88671875" style="63" customWidth="1"/>
    <col min="13867" max="13868" width="14.5546875" style="63" customWidth="1"/>
    <col min="13869" max="13887" width="13.44140625" style="63" customWidth="1"/>
    <col min="13888" max="13888" width="10.5546875" style="63" customWidth="1"/>
    <col min="13889" max="13889" width="13.44140625" style="63" customWidth="1"/>
    <col min="13890" max="13890" width="11" style="63" customWidth="1"/>
    <col min="13891" max="13894" width="13.44140625" style="63" customWidth="1"/>
    <col min="13895" max="13895" width="19.5546875" style="63" customWidth="1"/>
    <col min="13896" max="13896" width="16.44140625" style="63" customWidth="1"/>
    <col min="13897" max="13897" width="13.44140625" style="63" customWidth="1"/>
    <col min="13898" max="13898" width="16" style="63" customWidth="1"/>
    <col min="13899" max="13902" width="13.44140625" style="63" customWidth="1"/>
    <col min="13903" max="13903" width="2.109375" style="63" customWidth="1"/>
    <col min="13904" max="13904" width="10.44140625" style="63" customWidth="1"/>
    <col min="13905" max="13905" width="14.109375" style="63" customWidth="1"/>
    <col min="13906" max="13906" width="9.109375" style="63"/>
    <col min="13907" max="13907" width="13.88671875" style="63" customWidth="1"/>
    <col min="13908" max="13908" width="9.109375" style="63"/>
    <col min="13909" max="13909" width="12.5546875" style="63" customWidth="1"/>
    <col min="13910" max="13910" width="10.44140625" style="63" customWidth="1"/>
    <col min="13911" max="13912" width="13.5546875" style="63" customWidth="1"/>
    <col min="13913" max="13913" width="13" style="63" customWidth="1"/>
    <col min="13914" max="13914" width="13.5546875" style="63" customWidth="1"/>
    <col min="13915" max="13917" width="13" style="63" customWidth="1"/>
    <col min="13918" max="14116" width="9.109375" style="63"/>
    <col min="14117" max="14117" width="14" style="63" customWidth="1"/>
    <col min="14118" max="14118" width="2" style="63" customWidth="1"/>
    <col min="14119" max="14119" width="11.88671875" style="63" customWidth="1"/>
    <col min="14120" max="14121" width="13.5546875" style="63" customWidth="1"/>
    <col min="14122" max="14122" width="13.88671875" style="63" customWidth="1"/>
    <col min="14123" max="14124" width="14.5546875" style="63" customWidth="1"/>
    <col min="14125" max="14143" width="13.44140625" style="63" customWidth="1"/>
    <col min="14144" max="14144" width="10.5546875" style="63" customWidth="1"/>
    <col min="14145" max="14145" width="13.44140625" style="63" customWidth="1"/>
    <col min="14146" max="14146" width="11" style="63" customWidth="1"/>
    <col min="14147" max="14150" width="13.44140625" style="63" customWidth="1"/>
    <col min="14151" max="14151" width="19.5546875" style="63" customWidth="1"/>
    <col min="14152" max="14152" width="16.44140625" style="63" customWidth="1"/>
    <col min="14153" max="14153" width="13.44140625" style="63" customWidth="1"/>
    <col min="14154" max="14154" width="16" style="63" customWidth="1"/>
    <col min="14155" max="14158" width="13.44140625" style="63" customWidth="1"/>
    <col min="14159" max="14159" width="2.109375" style="63" customWidth="1"/>
    <col min="14160" max="14160" width="10.44140625" style="63" customWidth="1"/>
    <col min="14161" max="14161" width="14.109375" style="63" customWidth="1"/>
    <col min="14162" max="14162" width="9.109375" style="63"/>
    <col min="14163" max="14163" width="13.88671875" style="63" customWidth="1"/>
    <col min="14164" max="14164" width="9.109375" style="63"/>
    <col min="14165" max="14165" width="12.5546875" style="63" customWidth="1"/>
    <col min="14166" max="14166" width="10.44140625" style="63" customWidth="1"/>
    <col min="14167" max="14168" width="13.5546875" style="63" customWidth="1"/>
    <col min="14169" max="14169" width="13" style="63" customWidth="1"/>
    <col min="14170" max="14170" width="13.5546875" style="63" customWidth="1"/>
    <col min="14171" max="14173" width="13" style="63" customWidth="1"/>
    <col min="14174" max="14372" width="9.109375" style="63"/>
    <col min="14373" max="14373" width="14" style="63" customWidth="1"/>
    <col min="14374" max="14374" width="2" style="63" customWidth="1"/>
    <col min="14375" max="14375" width="11.88671875" style="63" customWidth="1"/>
    <col min="14376" max="14377" width="13.5546875" style="63" customWidth="1"/>
    <col min="14378" max="14378" width="13.88671875" style="63" customWidth="1"/>
    <col min="14379" max="14380" width="14.5546875" style="63" customWidth="1"/>
    <col min="14381" max="14399" width="13.44140625" style="63" customWidth="1"/>
    <col min="14400" max="14400" width="10.5546875" style="63" customWidth="1"/>
    <col min="14401" max="14401" width="13.44140625" style="63" customWidth="1"/>
    <col min="14402" max="14402" width="11" style="63" customWidth="1"/>
    <col min="14403" max="14406" width="13.44140625" style="63" customWidth="1"/>
    <col min="14407" max="14407" width="19.5546875" style="63" customWidth="1"/>
    <col min="14408" max="14408" width="16.44140625" style="63" customWidth="1"/>
    <col min="14409" max="14409" width="13.44140625" style="63" customWidth="1"/>
    <col min="14410" max="14410" width="16" style="63" customWidth="1"/>
    <col min="14411" max="14414" width="13.44140625" style="63" customWidth="1"/>
    <col min="14415" max="14415" width="2.109375" style="63" customWidth="1"/>
    <col min="14416" max="14416" width="10.44140625" style="63" customWidth="1"/>
    <col min="14417" max="14417" width="14.109375" style="63" customWidth="1"/>
    <col min="14418" max="14418" width="9.109375" style="63"/>
    <col min="14419" max="14419" width="13.88671875" style="63" customWidth="1"/>
    <col min="14420" max="14420" width="9.109375" style="63"/>
    <col min="14421" max="14421" width="12.5546875" style="63" customWidth="1"/>
    <col min="14422" max="14422" width="10.44140625" style="63" customWidth="1"/>
    <col min="14423" max="14424" width="13.5546875" style="63" customWidth="1"/>
    <col min="14425" max="14425" width="13" style="63" customWidth="1"/>
    <col min="14426" max="14426" width="13.5546875" style="63" customWidth="1"/>
    <col min="14427" max="14429" width="13" style="63" customWidth="1"/>
    <col min="14430" max="14628" width="9.109375" style="63"/>
    <col min="14629" max="14629" width="14" style="63" customWidth="1"/>
    <col min="14630" max="14630" width="2" style="63" customWidth="1"/>
    <col min="14631" max="14631" width="11.88671875" style="63" customWidth="1"/>
    <col min="14632" max="14633" width="13.5546875" style="63" customWidth="1"/>
    <col min="14634" max="14634" width="13.88671875" style="63" customWidth="1"/>
    <col min="14635" max="14636" width="14.5546875" style="63" customWidth="1"/>
    <col min="14637" max="14655" width="13.44140625" style="63" customWidth="1"/>
    <col min="14656" max="14656" width="10.5546875" style="63" customWidth="1"/>
    <col min="14657" max="14657" width="13.44140625" style="63" customWidth="1"/>
    <col min="14658" max="14658" width="11" style="63" customWidth="1"/>
    <col min="14659" max="14662" width="13.44140625" style="63" customWidth="1"/>
    <col min="14663" max="14663" width="19.5546875" style="63" customWidth="1"/>
    <col min="14664" max="14664" width="16.44140625" style="63" customWidth="1"/>
    <col min="14665" max="14665" width="13.44140625" style="63" customWidth="1"/>
    <col min="14666" max="14666" width="16" style="63" customWidth="1"/>
    <col min="14667" max="14670" width="13.44140625" style="63" customWidth="1"/>
    <col min="14671" max="14671" width="2.109375" style="63" customWidth="1"/>
    <col min="14672" max="14672" width="10.44140625" style="63" customWidth="1"/>
    <col min="14673" max="14673" width="14.109375" style="63" customWidth="1"/>
    <col min="14674" max="14674" width="9.109375" style="63"/>
    <col min="14675" max="14675" width="13.88671875" style="63" customWidth="1"/>
    <col min="14676" max="14676" width="9.109375" style="63"/>
    <col min="14677" max="14677" width="12.5546875" style="63" customWidth="1"/>
    <col min="14678" max="14678" width="10.44140625" style="63" customWidth="1"/>
    <col min="14679" max="14680" width="13.5546875" style="63" customWidth="1"/>
    <col min="14681" max="14681" width="13" style="63" customWidth="1"/>
    <col min="14682" max="14682" width="13.5546875" style="63" customWidth="1"/>
    <col min="14683" max="14685" width="13" style="63" customWidth="1"/>
    <col min="14686" max="14884" width="9.109375" style="63"/>
    <col min="14885" max="14885" width="14" style="63" customWidth="1"/>
    <col min="14886" max="14886" width="2" style="63" customWidth="1"/>
    <col min="14887" max="14887" width="11.88671875" style="63" customWidth="1"/>
    <col min="14888" max="14889" width="13.5546875" style="63" customWidth="1"/>
    <col min="14890" max="14890" width="13.88671875" style="63" customWidth="1"/>
    <col min="14891" max="14892" width="14.5546875" style="63" customWidth="1"/>
    <col min="14893" max="14911" width="13.44140625" style="63" customWidth="1"/>
    <col min="14912" max="14912" width="10.5546875" style="63" customWidth="1"/>
    <col min="14913" max="14913" width="13.44140625" style="63" customWidth="1"/>
    <col min="14914" max="14914" width="11" style="63" customWidth="1"/>
    <col min="14915" max="14918" width="13.44140625" style="63" customWidth="1"/>
    <col min="14919" max="14919" width="19.5546875" style="63" customWidth="1"/>
    <col min="14920" max="14920" width="16.44140625" style="63" customWidth="1"/>
    <col min="14921" max="14921" width="13.44140625" style="63" customWidth="1"/>
    <col min="14922" max="14922" width="16" style="63" customWidth="1"/>
    <col min="14923" max="14926" width="13.44140625" style="63" customWidth="1"/>
    <col min="14927" max="14927" width="2.109375" style="63" customWidth="1"/>
    <col min="14928" max="14928" width="10.44140625" style="63" customWidth="1"/>
    <col min="14929" max="14929" width="14.109375" style="63" customWidth="1"/>
    <col min="14930" max="14930" width="9.109375" style="63"/>
    <col min="14931" max="14931" width="13.88671875" style="63" customWidth="1"/>
    <col min="14932" max="14932" width="9.109375" style="63"/>
    <col min="14933" max="14933" width="12.5546875" style="63" customWidth="1"/>
    <col min="14934" max="14934" width="10.44140625" style="63" customWidth="1"/>
    <col min="14935" max="14936" width="13.5546875" style="63" customWidth="1"/>
    <col min="14937" max="14937" width="13" style="63" customWidth="1"/>
    <col min="14938" max="14938" width="13.5546875" style="63" customWidth="1"/>
    <col min="14939" max="14941" width="13" style="63" customWidth="1"/>
    <col min="14942" max="15140" width="9.109375" style="63"/>
    <col min="15141" max="15141" width="14" style="63" customWidth="1"/>
    <col min="15142" max="15142" width="2" style="63" customWidth="1"/>
    <col min="15143" max="15143" width="11.88671875" style="63" customWidth="1"/>
    <col min="15144" max="15145" width="13.5546875" style="63" customWidth="1"/>
    <col min="15146" max="15146" width="13.88671875" style="63" customWidth="1"/>
    <col min="15147" max="15148" width="14.5546875" style="63" customWidth="1"/>
    <col min="15149" max="15167" width="13.44140625" style="63" customWidth="1"/>
    <col min="15168" max="15168" width="10.5546875" style="63" customWidth="1"/>
    <col min="15169" max="15169" width="13.44140625" style="63" customWidth="1"/>
    <col min="15170" max="15170" width="11" style="63" customWidth="1"/>
    <col min="15171" max="15174" width="13.44140625" style="63" customWidth="1"/>
    <col min="15175" max="15175" width="19.5546875" style="63" customWidth="1"/>
    <col min="15176" max="15176" width="16.44140625" style="63" customWidth="1"/>
    <col min="15177" max="15177" width="13.44140625" style="63" customWidth="1"/>
    <col min="15178" max="15178" width="16" style="63" customWidth="1"/>
    <col min="15179" max="15182" width="13.44140625" style="63" customWidth="1"/>
    <col min="15183" max="15183" width="2.109375" style="63" customWidth="1"/>
    <col min="15184" max="15184" width="10.44140625" style="63" customWidth="1"/>
    <col min="15185" max="15185" width="14.109375" style="63" customWidth="1"/>
    <col min="15186" max="15186" width="9.109375" style="63"/>
    <col min="15187" max="15187" width="13.88671875" style="63" customWidth="1"/>
    <col min="15188" max="15188" width="9.109375" style="63"/>
    <col min="15189" max="15189" width="12.5546875" style="63" customWidth="1"/>
    <col min="15190" max="15190" width="10.44140625" style="63" customWidth="1"/>
    <col min="15191" max="15192" width="13.5546875" style="63" customWidth="1"/>
    <col min="15193" max="15193" width="13" style="63" customWidth="1"/>
    <col min="15194" max="15194" width="13.5546875" style="63" customWidth="1"/>
    <col min="15195" max="15197" width="13" style="63" customWidth="1"/>
    <col min="15198" max="15396" width="9.109375" style="63"/>
    <col min="15397" max="15397" width="14" style="63" customWidth="1"/>
    <col min="15398" max="15398" width="2" style="63" customWidth="1"/>
    <col min="15399" max="15399" width="11.88671875" style="63" customWidth="1"/>
    <col min="15400" max="15401" width="13.5546875" style="63" customWidth="1"/>
    <col min="15402" max="15402" width="13.88671875" style="63" customWidth="1"/>
    <col min="15403" max="15404" width="14.5546875" style="63" customWidth="1"/>
    <col min="15405" max="15423" width="13.44140625" style="63" customWidth="1"/>
    <col min="15424" max="15424" width="10.5546875" style="63" customWidth="1"/>
    <col min="15425" max="15425" width="13.44140625" style="63" customWidth="1"/>
    <col min="15426" max="15426" width="11" style="63" customWidth="1"/>
    <col min="15427" max="15430" width="13.44140625" style="63" customWidth="1"/>
    <col min="15431" max="15431" width="19.5546875" style="63" customWidth="1"/>
    <col min="15432" max="15432" width="16.44140625" style="63" customWidth="1"/>
    <col min="15433" max="15433" width="13.44140625" style="63" customWidth="1"/>
    <col min="15434" max="15434" width="16" style="63" customWidth="1"/>
    <col min="15435" max="15438" width="13.44140625" style="63" customWidth="1"/>
    <col min="15439" max="15439" width="2.109375" style="63" customWidth="1"/>
    <col min="15440" max="15440" width="10.44140625" style="63" customWidth="1"/>
    <col min="15441" max="15441" width="14.109375" style="63" customWidth="1"/>
    <col min="15442" max="15442" width="9.109375" style="63"/>
    <col min="15443" max="15443" width="13.88671875" style="63" customWidth="1"/>
    <col min="15444" max="15444" width="9.109375" style="63"/>
    <col min="15445" max="15445" width="12.5546875" style="63" customWidth="1"/>
    <col min="15446" max="15446" width="10.44140625" style="63" customWidth="1"/>
    <col min="15447" max="15448" width="13.5546875" style="63" customWidth="1"/>
    <col min="15449" max="15449" width="13" style="63" customWidth="1"/>
    <col min="15450" max="15450" width="13.5546875" style="63" customWidth="1"/>
    <col min="15451" max="15453" width="13" style="63" customWidth="1"/>
    <col min="15454" max="15652" width="9.109375" style="63"/>
    <col min="15653" max="15653" width="14" style="63" customWidth="1"/>
    <col min="15654" max="15654" width="2" style="63" customWidth="1"/>
    <col min="15655" max="15655" width="11.88671875" style="63" customWidth="1"/>
    <col min="15656" max="15657" width="13.5546875" style="63" customWidth="1"/>
    <col min="15658" max="15658" width="13.88671875" style="63" customWidth="1"/>
    <col min="15659" max="15660" width="14.5546875" style="63" customWidth="1"/>
    <col min="15661" max="15679" width="13.44140625" style="63" customWidth="1"/>
    <col min="15680" max="15680" width="10.5546875" style="63" customWidth="1"/>
    <col min="15681" max="15681" width="13.44140625" style="63" customWidth="1"/>
    <col min="15682" max="15682" width="11" style="63" customWidth="1"/>
    <col min="15683" max="15686" width="13.44140625" style="63" customWidth="1"/>
    <col min="15687" max="15687" width="19.5546875" style="63" customWidth="1"/>
    <col min="15688" max="15688" width="16.44140625" style="63" customWidth="1"/>
    <col min="15689" max="15689" width="13.44140625" style="63" customWidth="1"/>
    <col min="15690" max="15690" width="16" style="63" customWidth="1"/>
    <col min="15691" max="15694" width="13.44140625" style="63" customWidth="1"/>
    <col min="15695" max="15695" width="2.109375" style="63" customWidth="1"/>
    <col min="15696" max="15696" width="10.44140625" style="63" customWidth="1"/>
    <col min="15697" max="15697" width="14.109375" style="63" customWidth="1"/>
    <col min="15698" max="15698" width="9.109375" style="63"/>
    <col min="15699" max="15699" width="13.88671875" style="63" customWidth="1"/>
    <col min="15700" max="15700" width="9.109375" style="63"/>
    <col min="15701" max="15701" width="12.5546875" style="63" customWidth="1"/>
    <col min="15702" max="15702" width="10.44140625" style="63" customWidth="1"/>
    <col min="15703" max="15704" width="13.5546875" style="63" customWidth="1"/>
    <col min="15705" max="15705" width="13" style="63" customWidth="1"/>
    <col min="15706" max="15706" width="13.5546875" style="63" customWidth="1"/>
    <col min="15707" max="15709" width="13" style="63" customWidth="1"/>
    <col min="15710" max="15908" width="9.109375" style="63"/>
    <col min="15909" max="15909" width="14" style="63" customWidth="1"/>
    <col min="15910" max="15910" width="2" style="63" customWidth="1"/>
    <col min="15911" max="15911" width="11.88671875" style="63" customWidth="1"/>
    <col min="15912" max="15913" width="13.5546875" style="63" customWidth="1"/>
    <col min="15914" max="15914" width="13.88671875" style="63" customWidth="1"/>
    <col min="15915" max="15916" width="14.5546875" style="63" customWidth="1"/>
    <col min="15917" max="15935" width="13.44140625" style="63" customWidth="1"/>
    <col min="15936" max="15936" width="10.5546875" style="63" customWidth="1"/>
    <col min="15937" max="15937" width="13.44140625" style="63" customWidth="1"/>
    <col min="15938" max="15938" width="11" style="63" customWidth="1"/>
    <col min="15939" max="15942" width="13.44140625" style="63" customWidth="1"/>
    <col min="15943" max="15943" width="19.5546875" style="63" customWidth="1"/>
    <col min="15944" max="15944" width="16.44140625" style="63" customWidth="1"/>
    <col min="15945" max="15945" width="13.44140625" style="63" customWidth="1"/>
    <col min="15946" max="15946" width="16" style="63" customWidth="1"/>
    <col min="15947" max="15950" width="13.44140625" style="63" customWidth="1"/>
    <col min="15951" max="15951" width="2.109375" style="63" customWidth="1"/>
    <col min="15952" max="15952" width="10.44140625" style="63" customWidth="1"/>
    <col min="15953" max="15953" width="14.109375" style="63" customWidth="1"/>
    <col min="15954" max="15954" width="9.109375" style="63"/>
    <col min="15955" max="15955" width="13.88671875" style="63" customWidth="1"/>
    <col min="15956" max="15956" width="9.109375" style="63"/>
    <col min="15957" max="15957" width="12.5546875" style="63" customWidth="1"/>
    <col min="15958" max="15958" width="10.44140625" style="63" customWidth="1"/>
    <col min="15959" max="15960" width="13.5546875" style="63" customWidth="1"/>
    <col min="15961" max="15961" width="13" style="63" customWidth="1"/>
    <col min="15962" max="15962" width="13.5546875" style="63" customWidth="1"/>
    <col min="15963" max="15965" width="13" style="63" customWidth="1"/>
    <col min="15966" max="16164" width="9.109375" style="63"/>
    <col min="16165" max="16165" width="14" style="63" customWidth="1"/>
    <col min="16166" max="16166" width="2" style="63" customWidth="1"/>
    <col min="16167" max="16167" width="11.88671875" style="63" customWidth="1"/>
    <col min="16168" max="16169" width="13.5546875" style="63" customWidth="1"/>
    <col min="16170" max="16170" width="13.88671875" style="63" customWidth="1"/>
    <col min="16171" max="16172" width="14.5546875" style="63" customWidth="1"/>
    <col min="16173" max="16191" width="13.44140625" style="63" customWidth="1"/>
    <col min="16192" max="16192" width="10.5546875" style="63" customWidth="1"/>
    <col min="16193" max="16193" width="13.44140625" style="63" customWidth="1"/>
    <col min="16194" max="16194" width="11" style="63" customWidth="1"/>
    <col min="16195" max="16198" width="13.44140625" style="63" customWidth="1"/>
    <col min="16199" max="16199" width="19.5546875" style="63" customWidth="1"/>
    <col min="16200" max="16200" width="16.44140625" style="63" customWidth="1"/>
    <col min="16201" max="16201" width="13.44140625" style="63" customWidth="1"/>
    <col min="16202" max="16202" width="16" style="63" customWidth="1"/>
    <col min="16203" max="16206" width="13.44140625" style="63" customWidth="1"/>
    <col min="16207" max="16207" width="2.109375" style="63" customWidth="1"/>
    <col min="16208" max="16208" width="10.44140625" style="63" customWidth="1"/>
    <col min="16209" max="16209" width="14.109375" style="63" customWidth="1"/>
    <col min="16210" max="16210" width="9.109375" style="63"/>
    <col min="16211" max="16211" width="13.88671875" style="63" customWidth="1"/>
    <col min="16212" max="16212" width="9.109375" style="63"/>
    <col min="16213" max="16213" width="12.5546875" style="63" customWidth="1"/>
    <col min="16214" max="16214" width="10.44140625" style="63" customWidth="1"/>
    <col min="16215" max="16216" width="13.5546875" style="63" customWidth="1"/>
    <col min="16217" max="16217" width="13" style="63" customWidth="1"/>
    <col min="16218" max="16218" width="13.5546875" style="63" customWidth="1"/>
    <col min="16219" max="16221" width="13" style="63" customWidth="1"/>
    <col min="16222" max="16384" width="9.109375" style="63"/>
  </cols>
  <sheetData>
    <row r="1" spans="1:93" s="53" customFormat="1" ht="61.5" customHeight="1" thickBot="1" x14ac:dyDescent="0.5">
      <c r="A1" s="48" t="s">
        <v>39</v>
      </c>
      <c r="B1" s="49"/>
      <c r="C1" s="90" t="s">
        <v>14</v>
      </c>
      <c r="D1" s="91"/>
      <c r="E1" s="90" t="s">
        <v>15</v>
      </c>
      <c r="F1" s="91"/>
      <c r="G1" s="90" t="s">
        <v>16</v>
      </c>
      <c r="H1" s="91"/>
      <c r="I1" s="90" t="s">
        <v>17</v>
      </c>
      <c r="J1" s="91"/>
      <c r="K1" s="90" t="s">
        <v>18</v>
      </c>
      <c r="L1" s="91"/>
      <c r="M1" s="90" t="s">
        <v>19</v>
      </c>
      <c r="N1" s="91"/>
      <c r="O1" s="90" t="s">
        <v>20</v>
      </c>
      <c r="P1" s="91"/>
      <c r="Q1" s="90" t="s">
        <v>21</v>
      </c>
      <c r="R1" s="91"/>
      <c r="S1" s="90" t="s">
        <v>119</v>
      </c>
      <c r="T1" s="91"/>
      <c r="U1" s="90" t="s">
        <v>120</v>
      </c>
      <c r="V1" s="91"/>
      <c r="W1" s="92" t="s">
        <v>121</v>
      </c>
      <c r="X1" s="93"/>
      <c r="Y1" s="90" t="s">
        <v>122</v>
      </c>
      <c r="Z1" s="91"/>
      <c r="AA1" s="90" t="s">
        <v>123</v>
      </c>
      <c r="AB1" s="91"/>
      <c r="AC1" s="90" t="s">
        <v>124</v>
      </c>
      <c r="AD1" s="91"/>
      <c r="AE1" s="90" t="s">
        <v>125</v>
      </c>
      <c r="AF1" s="91"/>
      <c r="AG1" s="90" t="s">
        <v>22</v>
      </c>
      <c r="AH1" s="91"/>
      <c r="AI1" s="90" t="s">
        <v>126</v>
      </c>
      <c r="AJ1" s="91"/>
      <c r="AK1" s="90" t="s">
        <v>127</v>
      </c>
      <c r="AL1" s="91"/>
      <c r="AM1" s="90" t="s">
        <v>128</v>
      </c>
      <c r="AN1" s="91"/>
      <c r="AO1" s="90" t="s">
        <v>129</v>
      </c>
      <c r="AP1" s="91"/>
      <c r="AQ1" s="90" t="s">
        <v>130</v>
      </c>
      <c r="AR1" s="91"/>
      <c r="AS1" s="90" t="s">
        <v>131</v>
      </c>
      <c r="AT1" s="91"/>
      <c r="AU1" s="90" t="s">
        <v>137</v>
      </c>
      <c r="AV1" s="91"/>
      <c r="AW1" s="90" t="s">
        <v>136</v>
      </c>
      <c r="AX1" s="91"/>
      <c r="AY1" s="90" t="s">
        <v>135</v>
      </c>
      <c r="AZ1" s="91"/>
      <c r="BA1" s="90" t="s">
        <v>134</v>
      </c>
      <c r="BB1" s="91"/>
      <c r="BC1" s="90" t="s">
        <v>23</v>
      </c>
      <c r="BD1" s="91"/>
      <c r="BE1" s="90" t="s">
        <v>132</v>
      </c>
      <c r="BF1" s="91"/>
      <c r="BG1" s="90" t="s">
        <v>24</v>
      </c>
      <c r="BH1" s="91"/>
      <c r="BI1" s="90" t="s">
        <v>25</v>
      </c>
      <c r="BJ1" s="91"/>
      <c r="BK1" s="90" t="s">
        <v>26</v>
      </c>
      <c r="BL1" s="91"/>
      <c r="BM1" s="90" t="s">
        <v>27</v>
      </c>
      <c r="BN1" s="91"/>
      <c r="BO1" s="90" t="s">
        <v>28</v>
      </c>
      <c r="BP1" s="91"/>
      <c r="BQ1" s="90" t="s">
        <v>29</v>
      </c>
      <c r="BR1" s="91"/>
      <c r="BS1" s="90" t="s">
        <v>30</v>
      </c>
      <c r="BT1" s="91"/>
      <c r="BU1" s="90" t="s">
        <v>31</v>
      </c>
      <c r="BV1" s="91"/>
      <c r="BW1" s="90" t="s">
        <v>32</v>
      </c>
      <c r="BX1" s="91"/>
      <c r="BY1" s="90" t="s">
        <v>33</v>
      </c>
      <c r="BZ1" s="91"/>
      <c r="CA1" s="90" t="s">
        <v>133</v>
      </c>
      <c r="CB1" s="91"/>
      <c r="CC1" s="90" t="s">
        <v>34</v>
      </c>
      <c r="CD1" s="91"/>
      <c r="CE1" s="90" t="s">
        <v>35</v>
      </c>
      <c r="CF1" s="91"/>
      <c r="CG1" s="90" t="s">
        <v>36</v>
      </c>
      <c r="CH1" s="91"/>
      <c r="CI1" s="90" t="s">
        <v>50</v>
      </c>
      <c r="CJ1" s="91"/>
      <c r="CK1" s="90" t="s">
        <v>38</v>
      </c>
      <c r="CL1" s="91"/>
      <c r="CM1" s="50" t="s">
        <v>48</v>
      </c>
      <c r="CN1" s="51"/>
      <c r="CO1" s="52"/>
    </row>
    <row r="2" spans="1:93" ht="44.25" customHeight="1" thickBot="1" x14ac:dyDescent="0.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3</v>
      </c>
      <c r="CO10" s="79">
        <v>13</v>
      </c>
    </row>
    <row r="11" spans="1:93" ht="25.5" customHeight="1" thickBot="1" x14ac:dyDescent="0.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>
        <v>684989</v>
      </c>
      <c r="T17" s="78">
        <f t="shared" si="8"/>
        <v>1169</v>
      </c>
      <c r="U17" s="65">
        <v>277645</v>
      </c>
      <c r="V17" s="78">
        <f t="shared" si="9"/>
        <v>518</v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5">
      <c r="A18" s="76">
        <v>43814</v>
      </c>
      <c r="B18" s="49"/>
      <c r="C18" s="65">
        <v>1.3415999999999999</v>
      </c>
      <c r="D18" s="77">
        <f t="shared" si="2"/>
        <v>2499.9999999999468</v>
      </c>
      <c r="E18" s="65">
        <v>2.2610999999999999</v>
      </c>
      <c r="F18" s="77">
        <f t="shared" si="3"/>
        <v>3200.0000000000919</v>
      </c>
      <c r="G18" s="65">
        <v>2.1006</v>
      </c>
      <c r="H18" s="77">
        <f t="shared" si="4"/>
        <v>3400.0000000000696</v>
      </c>
      <c r="I18" s="65">
        <v>979.83</v>
      </c>
      <c r="J18" s="77">
        <f t="shared" si="5"/>
        <v>1420.0000000000728</v>
      </c>
      <c r="K18" s="65">
        <v>1.5018</v>
      </c>
      <c r="L18" s="77">
        <f t="shared" si="0"/>
        <v>2199.9999999999795</v>
      </c>
      <c r="M18" s="65">
        <v>942.37</v>
      </c>
      <c r="N18" s="78">
        <f t="shared" si="23"/>
        <v>1769.9999999999818</v>
      </c>
      <c r="O18" s="65">
        <v>10532</v>
      </c>
      <c r="P18" s="78">
        <f t="shared" si="6"/>
        <v>19</v>
      </c>
      <c r="Q18" s="65">
        <v>4189</v>
      </c>
      <c r="R18" s="78">
        <f t="shared" si="7"/>
        <v>8</v>
      </c>
      <c r="S18" s="80">
        <v>686109</v>
      </c>
      <c r="T18" s="78">
        <f t="shared" si="8"/>
        <v>1120</v>
      </c>
      <c r="U18" s="80">
        <v>278182</v>
      </c>
      <c r="V18" s="78">
        <f t="shared" si="9"/>
        <v>537</v>
      </c>
      <c r="W18" s="80">
        <v>272.57</v>
      </c>
      <c r="X18" s="78">
        <f t="shared" si="43"/>
        <v>379.99999999999545</v>
      </c>
      <c r="Y18" s="80">
        <v>2.0091000000000001</v>
      </c>
      <c r="Z18" s="78">
        <f t="shared" si="24"/>
        <v>3000.0000000001137</v>
      </c>
      <c r="AA18" s="80">
        <v>270</v>
      </c>
      <c r="AB18" s="78">
        <f t="shared" si="25"/>
        <v>540.00000000002046</v>
      </c>
      <c r="AC18" s="80">
        <v>246.78</v>
      </c>
      <c r="AD18" s="78">
        <f t="shared" si="26"/>
        <v>509.99999999999091</v>
      </c>
      <c r="AE18" s="74">
        <v>361.14</v>
      </c>
      <c r="AF18" s="78">
        <f t="shared" si="27"/>
        <v>659.99999999996817</v>
      </c>
      <c r="AG18" s="74">
        <v>955.8</v>
      </c>
      <c r="AH18" s="78">
        <f t="shared" si="10"/>
        <v>2.6999999999999318</v>
      </c>
      <c r="AI18" s="80">
        <v>339</v>
      </c>
      <c r="AJ18" s="78">
        <f t="shared" si="28"/>
        <v>360.00000000001364</v>
      </c>
      <c r="AK18" s="80">
        <v>116.56</v>
      </c>
      <c r="AL18" s="78">
        <f t="shared" si="11"/>
        <v>0.25</v>
      </c>
      <c r="AM18" s="80">
        <v>118.73</v>
      </c>
      <c r="AN18" s="78">
        <f t="shared" si="12"/>
        <v>0.26000000000000512</v>
      </c>
      <c r="AO18" s="80">
        <v>117.49</v>
      </c>
      <c r="AP18" s="78">
        <f t="shared" si="13"/>
        <v>0.23999999999999488</v>
      </c>
      <c r="AQ18" s="80">
        <v>193.3</v>
      </c>
      <c r="AR18" s="78">
        <f t="shared" si="29"/>
        <v>40.000000000020464</v>
      </c>
      <c r="AS18" s="80">
        <v>315.76</v>
      </c>
      <c r="AT18" s="78">
        <f t="shared" si="30"/>
        <v>60.000000000002274</v>
      </c>
      <c r="AU18" s="80">
        <v>241.45</v>
      </c>
      <c r="AV18" s="78">
        <f t="shared" si="31"/>
        <v>209.99999999997954</v>
      </c>
      <c r="AW18" s="80">
        <v>272.8</v>
      </c>
      <c r="AX18" s="78">
        <f t="shared" si="32"/>
        <v>170.00000000001592</v>
      </c>
      <c r="AY18" s="80">
        <v>325.61</v>
      </c>
      <c r="AZ18" s="78">
        <f t="shared" si="33"/>
        <v>210.00000000003638</v>
      </c>
      <c r="BA18" s="80">
        <v>342.9</v>
      </c>
      <c r="BB18" s="78">
        <f t="shared" si="34"/>
        <v>329.99999999998408</v>
      </c>
      <c r="BC18" s="80">
        <v>196.19</v>
      </c>
      <c r="BD18" s="78">
        <f t="shared" si="35"/>
        <v>9.9999999999909051</v>
      </c>
      <c r="BE18" s="70">
        <v>21277</v>
      </c>
      <c r="BF18" s="78">
        <f t="shared" si="14"/>
        <v>53</v>
      </c>
      <c r="BG18" s="70">
        <v>218.74</v>
      </c>
      <c r="BH18" s="78">
        <f t="shared" si="36"/>
        <v>40.000000000020464</v>
      </c>
      <c r="BI18" s="70">
        <v>274.95999999999998</v>
      </c>
      <c r="BJ18" s="78">
        <f t="shared" si="37"/>
        <v>49.999999999954525</v>
      </c>
      <c r="BK18" s="70">
        <v>222.82</v>
      </c>
      <c r="BL18" s="78">
        <f t="shared" si="38"/>
        <v>60.000000000002274</v>
      </c>
      <c r="BM18" s="70">
        <v>206.04</v>
      </c>
      <c r="BN18" s="78">
        <f t="shared" si="39"/>
        <v>39.999999999992042</v>
      </c>
      <c r="BO18" s="70">
        <v>269.62</v>
      </c>
      <c r="BP18" s="78">
        <f t="shared" si="40"/>
        <v>50.000000000011369</v>
      </c>
      <c r="BQ18" s="70">
        <v>33003</v>
      </c>
      <c r="BR18" s="78">
        <f t="shared" si="15"/>
        <v>45</v>
      </c>
      <c r="BS18" s="70">
        <v>187.1</v>
      </c>
      <c r="BT18" s="78">
        <f t="shared" si="41"/>
        <v>39.999999999992042</v>
      </c>
      <c r="BU18" s="70">
        <v>23899</v>
      </c>
      <c r="BV18" s="78">
        <f t="shared" si="16"/>
        <v>36</v>
      </c>
      <c r="BW18" s="70">
        <v>216.45</v>
      </c>
      <c r="BX18" s="78">
        <f t="shared" si="42"/>
        <v>49.999999999982947</v>
      </c>
      <c r="BY18" s="72">
        <v>39468</v>
      </c>
      <c r="BZ18" s="78">
        <f t="shared" si="17"/>
        <v>67</v>
      </c>
      <c r="CA18" s="65">
        <v>23395.1</v>
      </c>
      <c r="CB18" s="78">
        <f t="shared" si="18"/>
        <v>29.399999999997817</v>
      </c>
      <c r="CC18" s="65">
        <v>9980.1</v>
      </c>
      <c r="CD18" s="78">
        <f t="shared" si="19"/>
        <v>11.5</v>
      </c>
      <c r="CE18" s="65">
        <v>4727.5</v>
      </c>
      <c r="CF18" s="78">
        <f t="shared" si="20"/>
        <v>10.199999999999818</v>
      </c>
      <c r="CG18" s="65">
        <v>35647.699999999997</v>
      </c>
      <c r="CH18" s="78">
        <f t="shared" si="21"/>
        <v>74.19999999999709</v>
      </c>
      <c r="CI18" s="65">
        <v>809334</v>
      </c>
      <c r="CJ18" s="78">
        <f t="shared" si="1"/>
        <v>290</v>
      </c>
      <c r="CK18" s="65">
        <v>477.76</v>
      </c>
      <c r="CL18" s="77">
        <f t="shared" si="22"/>
        <v>860.00000000001364</v>
      </c>
      <c r="CM18" s="78">
        <v>84.2</v>
      </c>
      <c r="CN18" s="79">
        <v>34</v>
      </c>
      <c r="CO18" s="79">
        <v>94</v>
      </c>
    </row>
    <row r="19" spans="1:93" ht="25.5" customHeight="1" thickBot="1" x14ac:dyDescent="0.5">
      <c r="A19" s="76">
        <v>43815</v>
      </c>
      <c r="B19" s="49"/>
      <c r="C19" s="65">
        <v>1.3444</v>
      </c>
      <c r="D19" s="77">
        <f t="shared" si="2"/>
        <v>2800.0000000001355</v>
      </c>
      <c r="E19" s="65">
        <v>2.2646999999999999</v>
      </c>
      <c r="F19" s="77">
        <f t="shared" si="3"/>
        <v>3600.0000000000477</v>
      </c>
      <c r="G19" s="65">
        <v>2.1042999999999998</v>
      </c>
      <c r="H19" s="77">
        <f t="shared" si="4"/>
        <v>3699.9999999998145</v>
      </c>
      <c r="I19" s="65">
        <v>981.44</v>
      </c>
      <c r="J19" s="77">
        <f t="shared" si="5"/>
        <v>1610.0000000000136</v>
      </c>
      <c r="K19" s="65">
        <v>1.5044</v>
      </c>
      <c r="L19" s="77">
        <f t="shared" si="0"/>
        <v>2599.9999999999359</v>
      </c>
      <c r="M19" s="65">
        <v>944.32</v>
      </c>
      <c r="N19" s="78">
        <f t="shared" si="23"/>
        <v>1950.0000000000455</v>
      </c>
      <c r="O19" s="65">
        <v>10550</v>
      </c>
      <c r="P19" s="78">
        <f t="shared" si="6"/>
        <v>18</v>
      </c>
      <c r="Q19" s="65">
        <v>4196</v>
      </c>
      <c r="R19" s="78">
        <f t="shared" si="7"/>
        <v>7</v>
      </c>
      <c r="S19" s="80">
        <v>687100</v>
      </c>
      <c r="T19" s="78">
        <f t="shared" si="8"/>
        <v>991</v>
      </c>
      <c r="U19" s="80">
        <v>278700</v>
      </c>
      <c r="V19" s="78">
        <f t="shared" si="9"/>
        <v>518</v>
      </c>
      <c r="W19" s="80">
        <v>273.04000000000002</v>
      </c>
      <c r="X19" s="78">
        <f t="shared" si="43"/>
        <v>470.00000000002728</v>
      </c>
      <c r="Y19" s="80">
        <v>2.0122</v>
      </c>
      <c r="Z19" s="78">
        <f t="shared" si="24"/>
        <v>3099.9999999998809</v>
      </c>
      <c r="AA19" s="80">
        <v>270.56</v>
      </c>
      <c r="AB19" s="78">
        <f t="shared" si="25"/>
        <v>560.00000000000227</v>
      </c>
      <c r="AC19" s="80">
        <v>247.25</v>
      </c>
      <c r="AD19" s="78">
        <f t="shared" si="26"/>
        <v>469.99999999999886</v>
      </c>
      <c r="AE19" s="74">
        <v>361.93</v>
      </c>
      <c r="AF19" s="78">
        <f t="shared" si="27"/>
        <v>790.00000000002046</v>
      </c>
      <c r="AG19" s="74">
        <v>958.7</v>
      </c>
      <c r="AH19" s="78">
        <f t="shared" si="10"/>
        <v>2.9000000000000909</v>
      </c>
      <c r="AI19" s="80">
        <v>339.41</v>
      </c>
      <c r="AJ19" s="78">
        <f t="shared" si="28"/>
        <v>410.00000000002501</v>
      </c>
      <c r="AK19" s="80">
        <v>116.85</v>
      </c>
      <c r="AL19" s="78">
        <f t="shared" si="11"/>
        <v>0.28999999999999204</v>
      </c>
      <c r="AM19" s="80">
        <v>118.96</v>
      </c>
      <c r="AN19" s="78">
        <f t="shared" si="12"/>
        <v>0.22999999999998977</v>
      </c>
      <c r="AO19" s="80">
        <v>117.63</v>
      </c>
      <c r="AP19" s="78">
        <f t="shared" si="13"/>
        <v>0.14000000000000057</v>
      </c>
      <c r="AQ19" s="80">
        <v>193.4</v>
      </c>
      <c r="AR19" s="78">
        <f t="shared" si="29"/>
        <v>99.999999999994316</v>
      </c>
      <c r="AS19" s="80">
        <v>315.82</v>
      </c>
      <c r="AT19" s="78">
        <f t="shared" si="30"/>
        <v>60.000000000002274</v>
      </c>
      <c r="AU19" s="80">
        <v>241.67</v>
      </c>
      <c r="AV19" s="78">
        <f t="shared" si="31"/>
        <v>219.99999999999886</v>
      </c>
      <c r="AW19" s="80">
        <v>272.95999999999998</v>
      </c>
      <c r="AX19" s="78">
        <f t="shared" si="32"/>
        <v>159.99999999996817</v>
      </c>
      <c r="AY19" s="80">
        <v>325.83</v>
      </c>
      <c r="AZ19" s="78">
        <f t="shared" si="33"/>
        <v>219.99999999997044</v>
      </c>
      <c r="BA19" s="80">
        <v>343.19</v>
      </c>
      <c r="BB19" s="78">
        <f t="shared" si="34"/>
        <v>290.00000000002046</v>
      </c>
      <c r="BC19" s="80">
        <v>196.29</v>
      </c>
      <c r="BD19" s="78">
        <f t="shared" si="35"/>
        <v>99.999999999994316</v>
      </c>
      <c r="BE19" s="70">
        <v>21317</v>
      </c>
      <c r="BF19" s="78">
        <f t="shared" si="14"/>
        <v>40</v>
      </c>
      <c r="BG19" s="70">
        <v>218.77</v>
      </c>
      <c r="BH19" s="78">
        <f t="shared" si="36"/>
        <v>30.000000000001137</v>
      </c>
      <c r="BI19" s="70">
        <v>275</v>
      </c>
      <c r="BJ19" s="78">
        <f t="shared" si="37"/>
        <v>40.000000000020464</v>
      </c>
      <c r="BK19" s="70">
        <v>222.86</v>
      </c>
      <c r="BL19" s="78">
        <f t="shared" si="38"/>
        <v>40.000000000020464</v>
      </c>
      <c r="BM19" s="70">
        <v>206.08</v>
      </c>
      <c r="BN19" s="78">
        <f t="shared" si="39"/>
        <v>40.000000000020464</v>
      </c>
      <c r="BO19" s="70">
        <v>269.68</v>
      </c>
      <c r="BP19" s="78">
        <f t="shared" si="40"/>
        <v>60.000000000002274</v>
      </c>
      <c r="BQ19" s="70">
        <v>33042</v>
      </c>
      <c r="BR19" s="78">
        <f t="shared" si="15"/>
        <v>39</v>
      </c>
      <c r="BS19" s="70">
        <v>187.15</v>
      </c>
      <c r="BT19" s="78">
        <f t="shared" si="41"/>
        <v>50.000000000011369</v>
      </c>
      <c r="BU19" s="70">
        <v>23937</v>
      </c>
      <c r="BV19" s="78">
        <f t="shared" si="16"/>
        <v>38</v>
      </c>
      <c r="BW19" s="70">
        <v>216.49</v>
      </c>
      <c r="BX19" s="78">
        <f t="shared" si="42"/>
        <v>40.000000000020464</v>
      </c>
      <c r="BY19" s="72">
        <v>39547</v>
      </c>
      <c r="BZ19" s="78">
        <f t="shared" si="17"/>
        <v>79</v>
      </c>
      <c r="CA19" s="65">
        <v>23416.3</v>
      </c>
      <c r="CB19" s="78">
        <f t="shared" si="18"/>
        <v>21.200000000000728</v>
      </c>
      <c r="CC19" s="65">
        <v>9993.5</v>
      </c>
      <c r="CD19" s="78">
        <f t="shared" si="19"/>
        <v>13.399999999999636</v>
      </c>
      <c r="CE19" s="65">
        <v>4739.2</v>
      </c>
      <c r="CF19" s="78">
        <f t="shared" si="20"/>
        <v>11.699999999999818</v>
      </c>
      <c r="CG19" s="65">
        <v>35711.9</v>
      </c>
      <c r="CH19" s="78">
        <f t="shared" si="21"/>
        <v>64.200000000004366</v>
      </c>
      <c r="CI19" s="65">
        <v>809694</v>
      </c>
      <c r="CJ19" s="78">
        <f t="shared" si="1"/>
        <v>360</v>
      </c>
      <c r="CK19" s="65">
        <v>478.64</v>
      </c>
      <c r="CL19" s="77">
        <f t="shared" si="22"/>
        <v>879.99999999999545</v>
      </c>
      <c r="CM19" s="78">
        <v>95</v>
      </c>
      <c r="CN19" s="79">
        <v>37</v>
      </c>
      <c r="CO19" s="79">
        <v>102</v>
      </c>
    </row>
    <row r="20" spans="1:93" ht="25.5" customHeight="1" thickBot="1" x14ac:dyDescent="0.5">
      <c r="A20" s="76">
        <v>43816</v>
      </c>
      <c r="B20" s="49"/>
      <c r="C20" s="65">
        <v>1.3469</v>
      </c>
      <c r="D20" s="77">
        <f t="shared" si="2"/>
        <v>2499.9999999999468</v>
      </c>
      <c r="E20" s="65">
        <v>2.2682000000000002</v>
      </c>
      <c r="F20" s="77">
        <f t="shared" si="3"/>
        <v>3500.0000000002806</v>
      </c>
      <c r="G20" s="65">
        <v>2.1078000000000001</v>
      </c>
      <c r="H20" s="77">
        <f t="shared" si="4"/>
        <v>3500.0000000002806</v>
      </c>
      <c r="I20" s="65">
        <v>982.97</v>
      </c>
      <c r="J20" s="77">
        <f t="shared" si="5"/>
        <v>1529.9999999999727</v>
      </c>
      <c r="K20" s="65">
        <v>1.5069999999999999</v>
      </c>
      <c r="L20" s="77">
        <f t="shared" si="0"/>
        <v>2599.9999999999359</v>
      </c>
      <c r="M20" s="65">
        <v>945.99</v>
      </c>
      <c r="N20" s="78">
        <f t="shared" si="23"/>
        <v>1669.9999999999591</v>
      </c>
      <c r="O20" s="65">
        <v>10569</v>
      </c>
      <c r="P20" s="78">
        <f t="shared" si="6"/>
        <v>19</v>
      </c>
      <c r="Q20" s="65">
        <v>4205</v>
      </c>
      <c r="R20" s="78">
        <f t="shared" si="7"/>
        <v>9</v>
      </c>
      <c r="S20" s="80">
        <v>689004</v>
      </c>
      <c r="T20" s="78">
        <f t="shared" si="8"/>
        <v>1904</v>
      </c>
      <c r="U20" s="80">
        <v>279384</v>
      </c>
      <c r="V20" s="78">
        <f t="shared" si="9"/>
        <v>684</v>
      </c>
      <c r="W20" s="80">
        <v>273.39999999999998</v>
      </c>
      <c r="X20" s="78">
        <f t="shared" si="43"/>
        <v>359.9999999999568</v>
      </c>
      <c r="Y20" s="80">
        <v>2.0154000000000001</v>
      </c>
      <c r="Z20" s="78">
        <f t="shared" si="24"/>
        <v>3200.0000000000919</v>
      </c>
      <c r="AA20" s="80">
        <v>271.04000000000002</v>
      </c>
      <c r="AB20" s="78">
        <f t="shared" si="25"/>
        <v>480.00000000001819</v>
      </c>
      <c r="AC20" s="80">
        <v>247.63</v>
      </c>
      <c r="AD20" s="78">
        <f t="shared" si="26"/>
        <v>379.99999999999545</v>
      </c>
      <c r="AE20" s="74">
        <v>362.67</v>
      </c>
      <c r="AF20" s="78">
        <f t="shared" si="27"/>
        <v>740.00000000000909</v>
      </c>
      <c r="AG20" s="74">
        <v>961</v>
      </c>
      <c r="AH20" s="78">
        <f t="shared" si="10"/>
        <v>2.2999999999999545</v>
      </c>
      <c r="AI20" s="80">
        <v>340.02</v>
      </c>
      <c r="AJ20" s="78">
        <f t="shared" si="28"/>
        <v>609.9999999999568</v>
      </c>
      <c r="AK20" s="80">
        <v>117.14</v>
      </c>
      <c r="AL20" s="78">
        <f t="shared" si="11"/>
        <v>0.29000000000000625</v>
      </c>
      <c r="AM20" s="80">
        <v>119.05</v>
      </c>
      <c r="AN20" s="78">
        <f t="shared" si="12"/>
        <v>9.0000000000003411E-2</v>
      </c>
      <c r="AO20" s="80">
        <v>117.78</v>
      </c>
      <c r="AP20" s="78">
        <f t="shared" si="13"/>
        <v>0.15000000000000568</v>
      </c>
      <c r="AQ20" s="80">
        <v>193.49</v>
      </c>
      <c r="AR20" s="78">
        <f t="shared" si="29"/>
        <v>90.000000000003411</v>
      </c>
      <c r="AS20" s="80">
        <v>315.88</v>
      </c>
      <c r="AT20" s="78">
        <f t="shared" si="30"/>
        <v>60.000000000002274</v>
      </c>
      <c r="AU20" s="80">
        <v>241.89</v>
      </c>
      <c r="AV20" s="78">
        <f t="shared" si="31"/>
        <v>219.99999999999886</v>
      </c>
      <c r="AW20" s="80">
        <v>273.08999999999997</v>
      </c>
      <c r="AX20" s="78">
        <f t="shared" si="32"/>
        <v>129.99999999999545</v>
      </c>
      <c r="AY20" s="80">
        <v>325.99</v>
      </c>
      <c r="AZ20" s="78">
        <f t="shared" si="33"/>
        <v>160.00000000002501</v>
      </c>
      <c r="BA20" s="80">
        <v>343.4</v>
      </c>
      <c r="BB20" s="78">
        <f t="shared" si="34"/>
        <v>209.99999999997954</v>
      </c>
      <c r="BC20" s="80">
        <v>196.38</v>
      </c>
      <c r="BD20" s="78">
        <f t="shared" si="35"/>
        <v>90.000000000003411</v>
      </c>
      <c r="BE20" s="70">
        <v>21373</v>
      </c>
      <c r="BF20" s="78">
        <f t="shared" si="14"/>
        <v>56</v>
      </c>
      <c r="BG20" s="70">
        <v>218.8</v>
      </c>
      <c r="BH20" s="78">
        <f t="shared" si="36"/>
        <v>30.000000000001137</v>
      </c>
      <c r="BI20" s="70">
        <v>275.04000000000002</v>
      </c>
      <c r="BJ20" s="78">
        <f t="shared" si="37"/>
        <v>40.000000000020464</v>
      </c>
      <c r="BK20" s="70">
        <v>222.9</v>
      </c>
      <c r="BL20" s="78">
        <f t="shared" si="38"/>
        <v>39.999999999992042</v>
      </c>
      <c r="BM20" s="70">
        <v>206.12</v>
      </c>
      <c r="BN20" s="78">
        <f t="shared" si="39"/>
        <v>39.999999999992042</v>
      </c>
      <c r="BO20" s="70">
        <v>269.72000000000003</v>
      </c>
      <c r="BP20" s="78">
        <f t="shared" si="40"/>
        <v>40.000000000020464</v>
      </c>
      <c r="BQ20" s="70">
        <v>33076</v>
      </c>
      <c r="BR20" s="78">
        <f t="shared" si="15"/>
        <v>34</v>
      </c>
      <c r="BS20" s="70">
        <v>187.19</v>
      </c>
      <c r="BT20" s="78">
        <f t="shared" si="41"/>
        <v>39.999999999992042</v>
      </c>
      <c r="BU20" s="70">
        <v>23969</v>
      </c>
      <c r="BV20" s="78">
        <f t="shared" si="16"/>
        <v>32</v>
      </c>
      <c r="BW20" s="70">
        <v>216.53</v>
      </c>
      <c r="BX20" s="78">
        <f t="shared" si="42"/>
        <v>39.999999999992042</v>
      </c>
      <c r="BY20" s="72">
        <v>39596</v>
      </c>
      <c r="BZ20" s="78">
        <f t="shared" si="17"/>
        <v>49</v>
      </c>
      <c r="CA20" s="65">
        <v>23454.400000000001</v>
      </c>
      <c r="CB20" s="78">
        <f t="shared" si="18"/>
        <v>38.100000000002183</v>
      </c>
      <c r="CC20" s="65">
        <v>10006</v>
      </c>
      <c r="CD20" s="78">
        <f t="shared" si="19"/>
        <v>12.5</v>
      </c>
      <c r="CE20" s="65">
        <v>4751.8</v>
      </c>
      <c r="CF20" s="78">
        <f t="shared" si="20"/>
        <v>12.600000000000364</v>
      </c>
      <c r="CG20" s="65">
        <v>35762.9</v>
      </c>
      <c r="CH20" s="78">
        <f t="shared" si="21"/>
        <v>51</v>
      </c>
      <c r="CI20" s="65">
        <v>810062</v>
      </c>
      <c r="CJ20" s="78">
        <f t="shared" si="1"/>
        <v>368</v>
      </c>
      <c r="CK20" s="65">
        <v>479.28</v>
      </c>
      <c r="CL20" s="77">
        <f t="shared" si="22"/>
        <v>639.99999999998636</v>
      </c>
      <c r="CM20" s="78">
        <v>97</v>
      </c>
      <c r="CN20" s="79">
        <v>37</v>
      </c>
      <c r="CO20" s="79">
        <v>95</v>
      </c>
    </row>
    <row r="21" spans="1:93" ht="25.5" customHeight="1" thickBot="1" x14ac:dyDescent="0.5">
      <c r="A21" s="76">
        <v>43817</v>
      </c>
      <c r="B21" s="49"/>
      <c r="C21" s="65">
        <v>1.3489</v>
      </c>
      <c r="D21" s="77">
        <f t="shared" si="2"/>
        <v>2000.0000000000018</v>
      </c>
      <c r="E21" s="65">
        <v>2.2717999999999998</v>
      </c>
      <c r="F21" s="77">
        <f t="shared" si="3"/>
        <v>3599.9999999996035</v>
      </c>
      <c r="G21" s="65">
        <v>2.1112000000000002</v>
      </c>
      <c r="H21" s="77">
        <f t="shared" si="4"/>
        <v>3400.0000000000696</v>
      </c>
      <c r="I21" s="65">
        <v>984.37</v>
      </c>
      <c r="J21" s="77">
        <f t="shared" si="5"/>
        <v>1399.9999999999773</v>
      </c>
      <c r="K21" s="65">
        <v>1.5095000000000001</v>
      </c>
      <c r="L21" s="77">
        <f t="shared" si="0"/>
        <v>2500.0000000001687</v>
      </c>
      <c r="M21" s="65">
        <v>947.36</v>
      </c>
      <c r="N21" s="78">
        <f t="shared" si="23"/>
        <v>1370.0000000000045</v>
      </c>
      <c r="O21" s="65">
        <v>10587</v>
      </c>
      <c r="P21" s="78">
        <f t="shared" si="6"/>
        <v>18</v>
      </c>
      <c r="Q21" s="65">
        <v>4211</v>
      </c>
      <c r="R21" s="78">
        <f t="shared" si="7"/>
        <v>6</v>
      </c>
      <c r="S21" s="80">
        <v>690389</v>
      </c>
      <c r="T21" s="78">
        <f t="shared" si="8"/>
        <v>1385</v>
      </c>
      <c r="U21" s="80">
        <v>279904</v>
      </c>
      <c r="V21" s="78">
        <f t="shared" si="9"/>
        <v>520</v>
      </c>
      <c r="W21" s="65">
        <v>273.83999999999997</v>
      </c>
      <c r="X21" s="78">
        <f t="shared" si="43"/>
        <v>439.99999999999773</v>
      </c>
      <c r="Y21" s="65">
        <v>2.0185</v>
      </c>
      <c r="Z21" s="78">
        <f t="shared" si="24"/>
        <v>3099.9999999998809</v>
      </c>
      <c r="AA21" s="65">
        <v>271.5</v>
      </c>
      <c r="AB21" s="78">
        <f t="shared" si="25"/>
        <v>459.99999999997954</v>
      </c>
      <c r="AC21" s="65">
        <v>247.93</v>
      </c>
      <c r="AD21" s="78">
        <f t="shared" si="26"/>
        <v>300.00000000001137</v>
      </c>
      <c r="AE21" s="65">
        <v>363.16</v>
      </c>
      <c r="AF21" s="78">
        <f t="shared" si="27"/>
        <v>490.00000000000909</v>
      </c>
      <c r="AG21" s="65">
        <v>963.7</v>
      </c>
      <c r="AH21" s="78">
        <f t="shared" si="10"/>
        <v>2.7000000000000455</v>
      </c>
      <c r="AI21" s="65">
        <v>340.4</v>
      </c>
      <c r="AJ21" s="78">
        <f t="shared" si="28"/>
        <v>379.99999999999545</v>
      </c>
      <c r="AK21" s="65">
        <v>117.33</v>
      </c>
      <c r="AL21" s="78">
        <f t="shared" si="11"/>
        <v>0.18999999999999773</v>
      </c>
      <c r="AM21" s="65">
        <v>119.13</v>
      </c>
      <c r="AN21" s="78">
        <f t="shared" si="12"/>
        <v>7.9999999999998295E-2</v>
      </c>
      <c r="AO21" s="65">
        <v>117.92</v>
      </c>
      <c r="AP21" s="78">
        <f t="shared" si="13"/>
        <v>0.14000000000000057</v>
      </c>
      <c r="AQ21" s="65">
        <v>193.59</v>
      </c>
      <c r="AR21" s="78">
        <f t="shared" si="29"/>
        <v>99.999999999994316</v>
      </c>
      <c r="AS21" s="65">
        <v>315.94</v>
      </c>
      <c r="AT21" s="78">
        <f t="shared" si="30"/>
        <v>60.000000000002274</v>
      </c>
      <c r="AU21" s="65">
        <v>242.07</v>
      </c>
      <c r="AV21" s="78">
        <f t="shared" si="31"/>
        <v>180.00000000000682</v>
      </c>
      <c r="AW21" s="65">
        <v>273.2</v>
      </c>
      <c r="AX21" s="78">
        <f t="shared" si="32"/>
        <v>110.00000000001364</v>
      </c>
      <c r="AY21" s="65">
        <v>326.14</v>
      </c>
      <c r="AZ21" s="78">
        <f t="shared" si="33"/>
        <v>149.99999999997726</v>
      </c>
      <c r="BA21" s="65">
        <v>343.57</v>
      </c>
      <c r="BB21" s="78">
        <f t="shared" si="34"/>
        <v>170.00000000001592</v>
      </c>
      <c r="BC21" s="65">
        <v>196.4</v>
      </c>
      <c r="BD21" s="78">
        <f t="shared" si="35"/>
        <v>20.000000000010232</v>
      </c>
      <c r="BE21" s="70">
        <v>21411</v>
      </c>
      <c r="BF21" s="78">
        <f t="shared" si="14"/>
        <v>38</v>
      </c>
      <c r="BG21" s="70">
        <v>218.82</v>
      </c>
      <c r="BH21" s="78">
        <f t="shared" si="36"/>
        <v>19.99999999998181</v>
      </c>
      <c r="BI21" s="70">
        <v>275.07</v>
      </c>
      <c r="BJ21" s="78">
        <f t="shared" si="37"/>
        <v>29.999999999972715</v>
      </c>
      <c r="BK21" s="70">
        <v>222.93</v>
      </c>
      <c r="BL21" s="78">
        <f t="shared" si="38"/>
        <v>30.000000000001137</v>
      </c>
      <c r="BM21" s="70">
        <v>206.15</v>
      </c>
      <c r="BN21" s="78">
        <f t="shared" si="39"/>
        <v>30.000000000001137</v>
      </c>
      <c r="BO21" s="70">
        <v>269.75</v>
      </c>
      <c r="BP21" s="78">
        <f t="shared" si="40"/>
        <v>29.999999999972715</v>
      </c>
      <c r="BQ21" s="70">
        <v>33109</v>
      </c>
      <c r="BR21" s="78">
        <f t="shared" si="15"/>
        <v>33</v>
      </c>
      <c r="BS21" s="70">
        <v>187.22</v>
      </c>
      <c r="BT21" s="78">
        <f t="shared" si="41"/>
        <v>30.000000000001137</v>
      </c>
      <c r="BU21" s="70">
        <v>23992</v>
      </c>
      <c r="BV21" s="78">
        <f t="shared" si="16"/>
        <v>23</v>
      </c>
      <c r="BW21" s="70">
        <v>216.56</v>
      </c>
      <c r="BX21" s="78">
        <f t="shared" si="42"/>
        <v>30.000000000001137</v>
      </c>
      <c r="BY21" s="72">
        <v>39633</v>
      </c>
      <c r="BZ21" s="78">
        <f t="shared" si="17"/>
        <v>37</v>
      </c>
      <c r="CA21" s="65">
        <v>23521.599999999999</v>
      </c>
      <c r="CB21" s="78">
        <f t="shared" si="18"/>
        <v>67.19999999999709</v>
      </c>
      <c r="CC21" s="65">
        <v>10023.200000000001</v>
      </c>
      <c r="CD21" s="78">
        <f t="shared" si="19"/>
        <v>17.200000000000728</v>
      </c>
      <c r="CE21" s="65">
        <v>4767.6000000000004</v>
      </c>
      <c r="CF21" s="78">
        <f t="shared" si="20"/>
        <v>15.800000000000182</v>
      </c>
      <c r="CG21" s="65">
        <v>35804.5</v>
      </c>
      <c r="CH21" s="78">
        <f t="shared" si="21"/>
        <v>41.599999999998545</v>
      </c>
      <c r="CI21" s="65">
        <v>810417</v>
      </c>
      <c r="CJ21" s="78">
        <f t="shared" si="1"/>
        <v>355</v>
      </c>
      <c r="CK21" s="65">
        <v>480.15</v>
      </c>
      <c r="CL21" s="77">
        <f t="shared" si="22"/>
        <v>870.00000000000455</v>
      </c>
      <c r="CM21" s="78">
        <v>88</v>
      </c>
      <c r="CN21" s="79">
        <v>28</v>
      </c>
      <c r="CO21" s="79">
        <v>91</v>
      </c>
    </row>
    <row r="22" spans="1:93" ht="25.5" customHeight="1" thickBot="1" x14ac:dyDescent="0.5">
      <c r="A22" s="76">
        <v>43818</v>
      </c>
      <c r="B22" s="49"/>
      <c r="C22" s="65">
        <v>1.3511</v>
      </c>
      <c r="D22" s="77">
        <f t="shared" si="2"/>
        <v>2199.9999999999795</v>
      </c>
      <c r="E22" s="65">
        <v>2.2753999999999999</v>
      </c>
      <c r="F22" s="77">
        <f t="shared" si="3"/>
        <v>3600.0000000000477</v>
      </c>
      <c r="G22" s="65">
        <v>2.1147</v>
      </c>
      <c r="H22" s="77">
        <f t="shared" si="4"/>
        <v>3499.9999999998367</v>
      </c>
      <c r="I22" s="65">
        <v>985.9</v>
      </c>
      <c r="J22" s="77">
        <f t="shared" si="5"/>
        <v>1529.9999999999727</v>
      </c>
      <c r="K22" s="65">
        <v>1.5124</v>
      </c>
      <c r="L22" s="77">
        <f t="shared" si="0"/>
        <v>2899.9999999999027</v>
      </c>
      <c r="M22" s="65">
        <v>948.88</v>
      </c>
      <c r="N22" s="78">
        <f t="shared" si="23"/>
        <v>1519.9999999999818</v>
      </c>
      <c r="O22" s="65">
        <v>10607</v>
      </c>
      <c r="P22" s="78">
        <f t="shared" si="6"/>
        <v>20</v>
      </c>
      <c r="Q22" s="65">
        <v>4218</v>
      </c>
      <c r="R22" s="78">
        <f t="shared" si="7"/>
        <v>7</v>
      </c>
      <c r="S22" s="80">
        <v>691535</v>
      </c>
      <c r="T22" s="78">
        <f t="shared" si="8"/>
        <v>1146</v>
      </c>
      <c r="U22" s="80">
        <v>280257</v>
      </c>
      <c r="V22" s="78">
        <f t="shared" si="9"/>
        <v>353</v>
      </c>
      <c r="W22" s="80">
        <v>274.29000000000002</v>
      </c>
      <c r="X22" s="78">
        <f t="shared" si="43"/>
        <v>450.00000000004547</v>
      </c>
      <c r="Y22" s="80">
        <v>2.0217000000000001</v>
      </c>
      <c r="Z22" s="78">
        <f t="shared" si="24"/>
        <v>3200.0000000000919</v>
      </c>
      <c r="AA22" s="80">
        <v>272.06</v>
      </c>
      <c r="AB22" s="78">
        <f t="shared" si="25"/>
        <v>560.00000000000227</v>
      </c>
      <c r="AC22" s="80">
        <v>248.26</v>
      </c>
      <c r="AD22" s="78">
        <f t="shared" si="26"/>
        <v>329.99999999998408</v>
      </c>
      <c r="AE22" s="74">
        <v>363.69</v>
      </c>
      <c r="AF22" s="78">
        <f t="shared" si="27"/>
        <v>529.99999999997272</v>
      </c>
      <c r="AG22" s="74">
        <v>965.3</v>
      </c>
      <c r="AH22" s="78">
        <f t="shared" si="10"/>
        <v>1.5999999999999091</v>
      </c>
      <c r="AI22" s="80">
        <v>340.82</v>
      </c>
      <c r="AJ22" s="78">
        <f t="shared" si="28"/>
        <v>420.00000000001592</v>
      </c>
      <c r="AK22" s="80">
        <v>117.55</v>
      </c>
      <c r="AL22" s="78">
        <f t="shared" si="11"/>
        <v>0.21999999999999886</v>
      </c>
      <c r="AM22" s="80">
        <v>119.3</v>
      </c>
      <c r="AN22" s="78">
        <f t="shared" si="12"/>
        <v>0.17000000000000171</v>
      </c>
      <c r="AO22" s="65">
        <v>118.09</v>
      </c>
      <c r="AP22" s="78">
        <f t="shared" si="13"/>
        <v>0.17000000000000171</v>
      </c>
      <c r="AQ22" s="65">
        <v>193.68</v>
      </c>
      <c r="AR22" s="78">
        <f t="shared" si="29"/>
        <v>90.000000000003411</v>
      </c>
      <c r="AS22" s="65">
        <v>316.02999999999997</v>
      </c>
      <c r="AT22" s="78">
        <f t="shared" si="30"/>
        <v>89.999999999974989</v>
      </c>
      <c r="AU22" s="65">
        <v>242.23</v>
      </c>
      <c r="AV22" s="78">
        <f t="shared" si="31"/>
        <v>159.99999999999659</v>
      </c>
      <c r="AW22" s="65">
        <v>273.33</v>
      </c>
      <c r="AX22" s="78">
        <f t="shared" si="32"/>
        <v>129.99999999999545</v>
      </c>
      <c r="AY22" s="65">
        <v>326.3</v>
      </c>
      <c r="AZ22" s="78">
        <f t="shared" si="33"/>
        <v>160.00000000002501</v>
      </c>
      <c r="BA22" s="65">
        <v>343.78</v>
      </c>
      <c r="BB22" s="78">
        <f t="shared" si="34"/>
        <v>209.99999999997954</v>
      </c>
      <c r="BC22" s="65">
        <v>196.42</v>
      </c>
      <c r="BD22" s="78">
        <f t="shared" si="35"/>
        <v>19.99999999998181</v>
      </c>
      <c r="BE22" s="70">
        <v>21457</v>
      </c>
      <c r="BF22" s="78">
        <f t="shared" si="14"/>
        <v>46</v>
      </c>
      <c r="BG22" s="70">
        <v>218.85</v>
      </c>
      <c r="BH22" s="78">
        <f t="shared" si="36"/>
        <v>30.000000000001137</v>
      </c>
      <c r="BI22" s="70">
        <v>275.12</v>
      </c>
      <c r="BJ22" s="78">
        <f t="shared" si="37"/>
        <v>50.000000000011369</v>
      </c>
      <c r="BK22" s="70">
        <v>222.97</v>
      </c>
      <c r="BL22" s="78">
        <f t="shared" si="38"/>
        <v>39.999999999992042</v>
      </c>
      <c r="BM22" s="70">
        <v>206.18</v>
      </c>
      <c r="BN22" s="78">
        <f t="shared" si="39"/>
        <v>30.000000000001137</v>
      </c>
      <c r="BO22" s="70">
        <v>269.79000000000002</v>
      </c>
      <c r="BP22" s="78">
        <f t="shared" si="40"/>
        <v>40.000000000020464</v>
      </c>
      <c r="BQ22" s="70">
        <v>33146</v>
      </c>
      <c r="BR22" s="78">
        <f t="shared" si="15"/>
        <v>37</v>
      </c>
      <c r="BS22" s="70">
        <v>187.25</v>
      </c>
      <c r="BT22" s="78">
        <f t="shared" si="41"/>
        <v>30.000000000001137</v>
      </c>
      <c r="BU22" s="70">
        <v>24015</v>
      </c>
      <c r="BV22" s="78">
        <f t="shared" si="16"/>
        <v>23</v>
      </c>
      <c r="BW22" s="70">
        <v>216.59</v>
      </c>
      <c r="BX22" s="78">
        <f t="shared" si="42"/>
        <v>30.000000000001137</v>
      </c>
      <c r="BY22" s="72">
        <v>39692</v>
      </c>
      <c r="BZ22" s="78">
        <f t="shared" si="17"/>
        <v>59</v>
      </c>
      <c r="CA22" s="65">
        <v>23574</v>
      </c>
      <c r="CB22" s="78">
        <f t="shared" si="18"/>
        <v>52.400000000001455</v>
      </c>
      <c r="CC22" s="65">
        <v>10048.799999999999</v>
      </c>
      <c r="CD22" s="78">
        <f t="shared" si="19"/>
        <v>25.599999999998545</v>
      </c>
      <c r="CE22" s="65">
        <v>4767.6000000000004</v>
      </c>
      <c r="CF22" s="78">
        <f t="shared" si="20"/>
        <v>0</v>
      </c>
      <c r="CG22" s="65">
        <v>35854.5</v>
      </c>
      <c r="CH22" s="78">
        <f t="shared" si="21"/>
        <v>50</v>
      </c>
      <c r="CI22" s="65">
        <v>810751</v>
      </c>
      <c r="CJ22" s="78">
        <f t="shared" si="1"/>
        <v>334</v>
      </c>
      <c r="CK22" s="65">
        <v>480.98</v>
      </c>
      <c r="CL22" s="77">
        <f t="shared" si="22"/>
        <v>830.00000000004093</v>
      </c>
      <c r="CM22" s="78">
        <v>92</v>
      </c>
      <c r="CN22" s="79">
        <v>34</v>
      </c>
      <c r="CO22" s="79">
        <v>97</v>
      </c>
    </row>
    <row r="23" spans="1:93" ht="25.5" customHeight="1" thickBot="1" x14ac:dyDescent="0.5">
      <c r="A23" s="76">
        <v>43819</v>
      </c>
      <c r="B23" s="49"/>
      <c r="C23" s="65">
        <v>1.3539000000000001</v>
      </c>
      <c r="D23" s="77">
        <f t="shared" si="2"/>
        <v>2800.0000000001355</v>
      </c>
      <c r="E23" s="65">
        <v>2.2791000000000001</v>
      </c>
      <c r="F23" s="77">
        <f t="shared" si="3"/>
        <v>3700.0000000002588</v>
      </c>
      <c r="G23" s="65">
        <v>2.1183999999999998</v>
      </c>
      <c r="H23" s="77">
        <f t="shared" si="4"/>
        <v>3699.9999999998145</v>
      </c>
      <c r="I23" s="65">
        <v>987.51</v>
      </c>
      <c r="J23" s="77">
        <f t="shared" si="5"/>
        <v>1610.0000000000136</v>
      </c>
      <c r="K23" s="65">
        <v>1.5152000000000001</v>
      </c>
      <c r="L23" s="77">
        <f t="shared" si="0"/>
        <v>2800.0000000001355</v>
      </c>
      <c r="M23" s="65">
        <v>950.74</v>
      </c>
      <c r="N23" s="78">
        <f t="shared" si="23"/>
        <v>1860.0000000000136</v>
      </c>
      <c r="O23" s="65">
        <v>10628</v>
      </c>
      <c r="P23" s="78">
        <f t="shared" si="6"/>
        <v>21</v>
      </c>
      <c r="Q23" s="65">
        <v>4226</v>
      </c>
      <c r="R23" s="78">
        <f t="shared" si="7"/>
        <v>8</v>
      </c>
      <c r="S23" s="80">
        <v>692820</v>
      </c>
      <c r="T23" s="78">
        <f t="shared" si="8"/>
        <v>1285</v>
      </c>
      <c r="U23" s="80">
        <v>280766</v>
      </c>
      <c r="V23" s="78">
        <f t="shared" si="9"/>
        <v>509</v>
      </c>
      <c r="W23" s="80">
        <v>274.73</v>
      </c>
      <c r="X23" s="78">
        <f t="shared" si="43"/>
        <v>439.99999999999773</v>
      </c>
      <c r="Y23" s="80">
        <v>2.0247999999999999</v>
      </c>
      <c r="Z23" s="78">
        <f t="shared" si="24"/>
        <v>3099.9999999998809</v>
      </c>
      <c r="AA23" s="80">
        <v>272.54000000000002</v>
      </c>
      <c r="AB23" s="78">
        <f t="shared" si="25"/>
        <v>480.00000000001819</v>
      </c>
      <c r="AC23" s="80">
        <v>248.76</v>
      </c>
      <c r="AD23" s="78">
        <f t="shared" si="26"/>
        <v>500</v>
      </c>
      <c r="AE23" s="74">
        <v>364.36</v>
      </c>
      <c r="AF23" s="78">
        <f t="shared" si="27"/>
        <v>670.00000000001592</v>
      </c>
      <c r="AG23" s="74">
        <v>967.1</v>
      </c>
      <c r="AH23" s="78">
        <f t="shared" si="10"/>
        <v>1.8000000000000682</v>
      </c>
      <c r="AI23" s="80">
        <v>341.47</v>
      </c>
      <c r="AJ23" s="78">
        <f t="shared" si="28"/>
        <v>650.00000000003411</v>
      </c>
      <c r="AK23" s="80">
        <v>117.79</v>
      </c>
      <c r="AL23" s="78"/>
      <c r="AM23" s="80">
        <v>119.49</v>
      </c>
      <c r="AN23" s="78">
        <f t="shared" si="12"/>
        <v>0.18999999999999773</v>
      </c>
      <c r="AO23" s="80">
        <v>118.26</v>
      </c>
      <c r="AP23" s="78">
        <f t="shared" si="13"/>
        <v>0.17000000000000171</v>
      </c>
      <c r="AQ23" s="80">
        <v>193.73</v>
      </c>
      <c r="AR23" s="78">
        <f t="shared" si="29"/>
        <v>49.999999999982947</v>
      </c>
      <c r="AS23" s="80">
        <v>316.08999999999997</v>
      </c>
      <c r="AT23" s="78">
        <f t="shared" si="30"/>
        <v>60.000000000002274</v>
      </c>
      <c r="AU23" s="80">
        <v>242.41</v>
      </c>
      <c r="AV23" s="78">
        <f t="shared" si="31"/>
        <v>180.00000000000682</v>
      </c>
      <c r="AW23" s="80">
        <v>273.47000000000003</v>
      </c>
      <c r="AX23" s="78">
        <f t="shared" si="32"/>
        <v>140.0000000000432</v>
      </c>
      <c r="AY23" s="80">
        <v>326.47000000000003</v>
      </c>
      <c r="AZ23" s="78">
        <f t="shared" si="33"/>
        <v>170.00000000001592</v>
      </c>
      <c r="BA23" s="80">
        <v>344.08</v>
      </c>
      <c r="BB23" s="78">
        <f t="shared" si="34"/>
        <v>300.00000000001137</v>
      </c>
      <c r="BC23" s="80">
        <v>196.43</v>
      </c>
      <c r="BD23" s="78">
        <f t="shared" si="35"/>
        <v>10.000000000019327</v>
      </c>
      <c r="BE23" s="80">
        <v>21507</v>
      </c>
      <c r="BF23" s="78">
        <f t="shared" si="14"/>
        <v>50</v>
      </c>
      <c r="BG23" s="80">
        <v>218.89</v>
      </c>
      <c r="BH23" s="78">
        <f t="shared" si="36"/>
        <v>39.999999999992042</v>
      </c>
      <c r="BI23" s="80">
        <v>275.16000000000003</v>
      </c>
      <c r="BJ23" s="78">
        <f t="shared" si="37"/>
        <v>40.000000000020464</v>
      </c>
      <c r="BK23" s="80">
        <v>223.03</v>
      </c>
      <c r="BL23" s="78">
        <f t="shared" si="38"/>
        <v>60.000000000002274</v>
      </c>
      <c r="BM23" s="80">
        <v>206.22</v>
      </c>
      <c r="BN23" s="78">
        <f t="shared" si="39"/>
        <v>39.999999999992042</v>
      </c>
      <c r="BO23" s="80">
        <v>269.83999999999997</v>
      </c>
      <c r="BP23" s="78">
        <f t="shared" si="40"/>
        <v>49.999999999954525</v>
      </c>
      <c r="BQ23" s="80">
        <v>33184</v>
      </c>
      <c r="BR23" s="78">
        <f t="shared" si="15"/>
        <v>38</v>
      </c>
      <c r="BS23" s="80">
        <v>187.29</v>
      </c>
      <c r="BT23" s="78">
        <f t="shared" si="41"/>
        <v>39.999999999992042</v>
      </c>
      <c r="BU23" s="80">
        <v>24051</v>
      </c>
      <c r="BV23" s="78">
        <f t="shared" si="16"/>
        <v>36</v>
      </c>
      <c r="BW23" s="80">
        <v>216.64</v>
      </c>
      <c r="BX23" s="78">
        <f t="shared" si="42"/>
        <v>49.999999999982947</v>
      </c>
      <c r="BY23" s="80">
        <v>39755</v>
      </c>
      <c r="BZ23" s="78">
        <f t="shared" si="17"/>
        <v>63</v>
      </c>
      <c r="CA23" s="80">
        <v>23623.5</v>
      </c>
      <c r="CB23" s="78">
        <f t="shared" si="18"/>
        <v>49.5</v>
      </c>
      <c r="CC23" s="80">
        <v>10066.200000000001</v>
      </c>
      <c r="CD23" s="78">
        <f t="shared" si="19"/>
        <v>17.400000000001455</v>
      </c>
      <c r="CE23" s="80">
        <v>4779.7</v>
      </c>
      <c r="CF23" s="78">
        <f t="shared" si="20"/>
        <v>12.099999999999454</v>
      </c>
      <c r="CG23" s="80">
        <v>35885.4</v>
      </c>
      <c r="CH23" s="78">
        <f t="shared" si="21"/>
        <v>30.900000000001455</v>
      </c>
      <c r="CI23" s="80">
        <v>811090</v>
      </c>
      <c r="CJ23" s="78">
        <f t="shared" si="1"/>
        <v>339</v>
      </c>
      <c r="CK23" s="80">
        <v>481.88</v>
      </c>
      <c r="CL23" s="77">
        <f t="shared" si="22"/>
        <v>899.99999999997726</v>
      </c>
      <c r="CM23" s="78">
        <v>86</v>
      </c>
      <c r="CN23" s="79">
        <v>42</v>
      </c>
      <c r="CO23" s="79">
        <v>119</v>
      </c>
    </row>
    <row r="24" spans="1:93" ht="25.5" customHeight="1" thickBot="1" x14ac:dyDescent="0.5">
      <c r="A24" s="76">
        <v>43820</v>
      </c>
      <c r="B24" s="49"/>
      <c r="C24" s="65">
        <v>1.3569</v>
      </c>
      <c r="D24" s="77">
        <f t="shared" si="2"/>
        <v>2999.9999999998918</v>
      </c>
      <c r="E24" s="65">
        <v>2.2831999999999999</v>
      </c>
      <c r="F24" s="77">
        <f t="shared" si="3"/>
        <v>4099.9999999997708</v>
      </c>
      <c r="G24" s="65">
        <v>2.1217999999999999</v>
      </c>
      <c r="H24" s="77">
        <f t="shared" si="4"/>
        <v>3400.0000000000696</v>
      </c>
      <c r="I24" s="65">
        <v>989.11</v>
      </c>
      <c r="J24" s="77">
        <f t="shared" si="5"/>
        <v>1600.0000000000227</v>
      </c>
      <c r="K24" s="65">
        <v>1.518</v>
      </c>
      <c r="L24" s="77">
        <f t="shared" si="0"/>
        <v>2799.9999999999136</v>
      </c>
      <c r="M24" s="65">
        <v>952.66</v>
      </c>
      <c r="N24" s="78">
        <f t="shared" si="23"/>
        <v>1919.9999999999591</v>
      </c>
      <c r="O24" s="65">
        <v>10649</v>
      </c>
      <c r="P24" s="78">
        <f t="shared" si="6"/>
        <v>21</v>
      </c>
      <c r="Q24" s="65">
        <v>4234</v>
      </c>
      <c r="R24" s="78">
        <f t="shared" si="7"/>
        <v>8</v>
      </c>
      <c r="S24" s="80">
        <v>694030</v>
      </c>
      <c r="T24" s="78">
        <f t="shared" si="8"/>
        <v>1210</v>
      </c>
      <c r="U24" s="80">
        <v>281232</v>
      </c>
      <c r="V24" s="78">
        <f t="shared" si="9"/>
        <v>466</v>
      </c>
      <c r="W24" s="80">
        <v>275.25</v>
      </c>
      <c r="X24" s="78">
        <f t="shared" si="43"/>
        <v>519.99999999998181</v>
      </c>
      <c r="Y24" s="80">
        <v>2.0284</v>
      </c>
      <c r="Z24" s="78">
        <f t="shared" si="24"/>
        <v>3600.0000000000477</v>
      </c>
      <c r="AA24" s="80">
        <v>273.06</v>
      </c>
      <c r="AB24" s="78">
        <f t="shared" si="25"/>
        <v>519.99999999998181</v>
      </c>
      <c r="AC24" s="80">
        <v>249.24</v>
      </c>
      <c r="AD24" s="78">
        <f t="shared" si="26"/>
        <v>480.00000000001819</v>
      </c>
      <c r="AE24" s="74">
        <v>365.18</v>
      </c>
      <c r="AF24" s="78">
        <f t="shared" si="27"/>
        <v>819.99999999999318</v>
      </c>
      <c r="AG24" s="74">
        <v>969</v>
      </c>
      <c r="AH24" s="78">
        <f t="shared" si="10"/>
        <v>1.8999999999999773</v>
      </c>
      <c r="AI24" s="80">
        <v>341.92</v>
      </c>
      <c r="AJ24" s="78">
        <f t="shared" si="28"/>
        <v>449.99999999998863</v>
      </c>
      <c r="AK24" s="80">
        <v>118.05</v>
      </c>
      <c r="AL24" s="78">
        <f t="shared" si="11"/>
        <v>0.25999999999999091</v>
      </c>
      <c r="AM24" s="80">
        <v>119.75</v>
      </c>
      <c r="AN24" s="78">
        <f t="shared" si="12"/>
        <v>0.26000000000000512</v>
      </c>
      <c r="AO24" s="80">
        <v>118.45</v>
      </c>
      <c r="AP24" s="78">
        <f t="shared" si="13"/>
        <v>0.18999999999999773</v>
      </c>
      <c r="AQ24" s="80">
        <v>193.9</v>
      </c>
      <c r="AR24" s="78">
        <f t="shared" si="29"/>
        <v>170.00000000001592</v>
      </c>
      <c r="AS24" s="80">
        <v>316.19</v>
      </c>
      <c r="AT24" s="78">
        <f t="shared" si="30"/>
        <v>100.00000000002274</v>
      </c>
      <c r="AU24" s="80">
        <v>242.62</v>
      </c>
      <c r="AV24" s="78">
        <f t="shared" si="31"/>
        <v>210.00000000000796</v>
      </c>
      <c r="AW24" s="80">
        <v>273.64</v>
      </c>
      <c r="AX24" s="78">
        <f t="shared" si="32"/>
        <v>169.99999999995907</v>
      </c>
      <c r="AY24" s="80">
        <v>326.67</v>
      </c>
      <c r="AZ24" s="78">
        <f t="shared" si="33"/>
        <v>199.99999999998863</v>
      </c>
      <c r="BA24" s="80">
        <v>344.4</v>
      </c>
      <c r="BB24" s="78">
        <f t="shared" si="34"/>
        <v>319.99999999999318</v>
      </c>
      <c r="BC24" s="80">
        <v>196.57</v>
      </c>
      <c r="BD24" s="78">
        <f t="shared" si="35"/>
        <v>139.99999999998636</v>
      </c>
      <c r="BE24" s="80">
        <v>21561</v>
      </c>
      <c r="BF24" s="78">
        <f t="shared" si="14"/>
        <v>54</v>
      </c>
      <c r="BG24" s="80">
        <v>218.93</v>
      </c>
      <c r="BH24" s="78">
        <f t="shared" si="36"/>
        <v>40.000000000020464</v>
      </c>
      <c r="BI24" s="80">
        <v>275.2</v>
      </c>
      <c r="BJ24" s="78">
        <f t="shared" si="37"/>
        <v>39.99999999996362</v>
      </c>
      <c r="BK24" s="80">
        <v>223.08</v>
      </c>
      <c r="BL24" s="78">
        <f t="shared" si="38"/>
        <v>50.000000000011369</v>
      </c>
      <c r="BM24" s="80">
        <v>206.26</v>
      </c>
      <c r="BN24" s="78">
        <f t="shared" si="39"/>
        <v>39.999999999992042</v>
      </c>
      <c r="BO24" s="80">
        <v>269.88</v>
      </c>
      <c r="BP24" s="78">
        <f t="shared" si="40"/>
        <v>40.000000000020464</v>
      </c>
      <c r="BQ24" s="80">
        <v>33224</v>
      </c>
      <c r="BR24" s="78">
        <f t="shared" si="15"/>
        <v>40</v>
      </c>
      <c r="BS24" s="80">
        <v>187.34</v>
      </c>
      <c r="BT24" s="78">
        <f t="shared" si="41"/>
        <v>50.000000000011369</v>
      </c>
      <c r="BU24" s="80">
        <v>24090</v>
      </c>
      <c r="BV24" s="78">
        <f t="shared" si="16"/>
        <v>39</v>
      </c>
      <c r="BW24" s="80">
        <v>216.69</v>
      </c>
      <c r="BX24" s="78">
        <f t="shared" si="42"/>
        <v>50.000000000011369</v>
      </c>
      <c r="BY24" s="80">
        <v>39824</v>
      </c>
      <c r="BZ24" s="78">
        <f t="shared" si="17"/>
        <v>69</v>
      </c>
      <c r="CA24" s="80">
        <v>23696.2</v>
      </c>
      <c r="CB24" s="78">
        <f t="shared" si="18"/>
        <v>72.700000000000728</v>
      </c>
      <c r="CC24" s="80">
        <v>10083.5</v>
      </c>
      <c r="CD24" s="78">
        <f t="shared" si="19"/>
        <v>17.299999999999272</v>
      </c>
      <c r="CE24" s="80">
        <v>4787.6000000000004</v>
      </c>
      <c r="CF24" s="78">
        <f t="shared" si="20"/>
        <v>7.9000000000005457</v>
      </c>
      <c r="CG24" s="80">
        <v>35947.4</v>
      </c>
      <c r="CH24" s="78">
        <f t="shared" si="21"/>
        <v>62</v>
      </c>
      <c r="CI24" s="80">
        <v>811403</v>
      </c>
      <c r="CJ24" s="78">
        <f t="shared" si="1"/>
        <v>313</v>
      </c>
      <c r="CK24" s="80">
        <v>482.5</v>
      </c>
      <c r="CL24" s="77">
        <f t="shared" si="22"/>
        <v>620.00000000000455</v>
      </c>
      <c r="CM24" s="78">
        <v>103</v>
      </c>
      <c r="CN24" s="79">
        <v>45</v>
      </c>
      <c r="CO24" s="79">
        <v>127</v>
      </c>
    </row>
    <row r="25" spans="1:93" ht="25.5" customHeight="1" thickBot="1" x14ac:dyDescent="0.5">
      <c r="A25" s="76">
        <v>43821</v>
      </c>
      <c r="B25" s="49"/>
      <c r="C25" s="65">
        <v>1.36</v>
      </c>
      <c r="D25" s="77">
        <f t="shared" si="2"/>
        <v>3100.0000000001028</v>
      </c>
      <c r="E25" s="65">
        <v>2.2871999999999999</v>
      </c>
      <c r="F25" s="77">
        <f t="shared" si="3"/>
        <v>4000.0000000000036</v>
      </c>
      <c r="G25" s="65">
        <v>2.1254</v>
      </c>
      <c r="H25" s="77">
        <f t="shared" si="4"/>
        <v>3600.0000000000477</v>
      </c>
      <c r="I25" s="65">
        <v>990.88</v>
      </c>
      <c r="J25" s="77">
        <f t="shared" si="5"/>
        <v>1769.9999999999818</v>
      </c>
      <c r="K25" s="65">
        <v>1.5207999999999999</v>
      </c>
      <c r="L25" s="77">
        <f t="shared" si="0"/>
        <v>2799.9999999999136</v>
      </c>
      <c r="M25" s="65">
        <v>954.78</v>
      </c>
      <c r="N25" s="78">
        <f t="shared" si="23"/>
        <v>2120.0000000000045</v>
      </c>
      <c r="O25" s="65">
        <v>10671</v>
      </c>
      <c r="P25" s="78">
        <f t="shared" si="6"/>
        <v>22</v>
      </c>
      <c r="Q25" s="65">
        <v>4244</v>
      </c>
      <c r="R25" s="78">
        <f t="shared" si="7"/>
        <v>10</v>
      </c>
      <c r="S25" s="80">
        <v>695560</v>
      </c>
      <c r="T25" s="78">
        <f t="shared" si="8"/>
        <v>1530</v>
      </c>
      <c r="U25" s="80">
        <v>281922</v>
      </c>
      <c r="V25" s="78">
        <f t="shared" si="9"/>
        <v>690</v>
      </c>
      <c r="W25" s="80">
        <v>275.86</v>
      </c>
      <c r="X25" s="78">
        <f t="shared" si="43"/>
        <v>610.00000000001364</v>
      </c>
      <c r="Y25" s="80">
        <v>2.0318999999999998</v>
      </c>
      <c r="Z25" s="78">
        <f t="shared" si="24"/>
        <v>3499.9999999998367</v>
      </c>
      <c r="AA25" s="80">
        <v>273.62</v>
      </c>
      <c r="AB25" s="78">
        <f t="shared" si="25"/>
        <v>560.00000000000227</v>
      </c>
      <c r="AC25" s="80">
        <v>249.66</v>
      </c>
      <c r="AD25" s="78">
        <f t="shared" si="26"/>
        <v>419.99999999998749</v>
      </c>
      <c r="AE25" s="74">
        <v>366.22</v>
      </c>
      <c r="AF25" s="78">
        <f t="shared" si="27"/>
        <v>1040.0000000000205</v>
      </c>
      <c r="AG25" s="74">
        <v>971.4</v>
      </c>
      <c r="AH25" s="78">
        <f t="shared" si="10"/>
        <v>2.3999999999999773</v>
      </c>
      <c r="AI25" s="80">
        <v>342.43</v>
      </c>
      <c r="AJ25" s="78">
        <f t="shared" si="28"/>
        <v>509.99999999999091</v>
      </c>
      <c r="AK25" s="80">
        <v>118.37</v>
      </c>
      <c r="AL25" s="78">
        <f t="shared" si="11"/>
        <v>0.32000000000000739</v>
      </c>
      <c r="AM25" s="80">
        <v>120.03</v>
      </c>
      <c r="AN25" s="78">
        <f t="shared" si="12"/>
        <v>0.28000000000000114</v>
      </c>
      <c r="AO25" s="80">
        <v>118.66</v>
      </c>
      <c r="AP25" s="78">
        <f t="shared" si="13"/>
        <v>0.20999999999999375</v>
      </c>
      <c r="AQ25" s="80">
        <v>194.11</v>
      </c>
      <c r="AR25" s="78">
        <f t="shared" si="29"/>
        <v>210.00000000000796</v>
      </c>
      <c r="AS25" s="80">
        <v>316.27</v>
      </c>
      <c r="AT25" s="78">
        <f t="shared" si="30"/>
        <v>79.999999999984084</v>
      </c>
      <c r="AU25" s="80">
        <v>242.79</v>
      </c>
      <c r="AV25" s="78">
        <f t="shared" si="31"/>
        <v>169.99999999998749</v>
      </c>
      <c r="AW25" s="80">
        <v>273.85000000000002</v>
      </c>
      <c r="AX25" s="78">
        <f t="shared" si="32"/>
        <v>210.00000000003638</v>
      </c>
      <c r="AY25" s="80">
        <v>326.85000000000002</v>
      </c>
      <c r="AZ25" s="78">
        <f t="shared" si="33"/>
        <v>180.00000000000682</v>
      </c>
      <c r="BA25" s="80">
        <v>344.77</v>
      </c>
      <c r="BB25" s="78">
        <f t="shared" si="34"/>
        <v>370.00000000000455</v>
      </c>
      <c r="BC25" s="80">
        <v>196.79</v>
      </c>
      <c r="BD25" s="78">
        <f t="shared" si="35"/>
        <v>219.99999999999886</v>
      </c>
      <c r="BE25" s="80">
        <v>21605</v>
      </c>
      <c r="BF25" s="78">
        <f t="shared" si="14"/>
        <v>44</v>
      </c>
      <c r="BG25" s="80">
        <v>218.98</v>
      </c>
      <c r="BH25" s="78">
        <f t="shared" si="36"/>
        <v>49.999999999982947</v>
      </c>
      <c r="BI25" s="80">
        <v>275.26</v>
      </c>
      <c r="BJ25" s="78">
        <f t="shared" si="37"/>
        <v>60.000000000002274</v>
      </c>
      <c r="BK25" s="80">
        <v>223.14</v>
      </c>
      <c r="BL25" s="78">
        <f t="shared" si="38"/>
        <v>59.999999999973852</v>
      </c>
      <c r="BM25" s="80">
        <v>206.31</v>
      </c>
      <c r="BN25" s="78">
        <f t="shared" si="39"/>
        <v>50.000000000011369</v>
      </c>
      <c r="BO25" s="80">
        <v>269.94</v>
      </c>
      <c r="BP25" s="78">
        <f t="shared" si="40"/>
        <v>60.000000000002274</v>
      </c>
      <c r="BQ25" s="80">
        <v>33276</v>
      </c>
      <c r="BR25" s="78">
        <f t="shared" si="15"/>
        <v>52</v>
      </c>
      <c r="BS25" s="80">
        <v>187.4</v>
      </c>
      <c r="BT25" s="78">
        <f t="shared" si="41"/>
        <v>60.000000000002274</v>
      </c>
      <c r="BU25" s="80">
        <v>24138</v>
      </c>
      <c r="BV25" s="78">
        <f t="shared" si="16"/>
        <v>48</v>
      </c>
      <c r="BW25" s="80">
        <v>216.74</v>
      </c>
      <c r="BX25" s="78">
        <f t="shared" si="42"/>
        <v>50.000000000011369</v>
      </c>
      <c r="BY25" s="80">
        <v>39886</v>
      </c>
      <c r="BZ25" s="78">
        <f t="shared" si="17"/>
        <v>62</v>
      </c>
      <c r="CA25" s="80">
        <v>23737</v>
      </c>
      <c r="CB25" s="78">
        <f t="shared" si="18"/>
        <v>40.799999999999272</v>
      </c>
      <c r="CC25" s="80">
        <v>10103.9</v>
      </c>
      <c r="CD25" s="78">
        <f t="shared" si="19"/>
        <v>20.399999999999636</v>
      </c>
      <c r="CE25" s="80">
        <v>4798.2</v>
      </c>
      <c r="CF25" s="78">
        <f t="shared" si="20"/>
        <v>10.599999999999454</v>
      </c>
      <c r="CG25" s="80">
        <v>36044.1</v>
      </c>
      <c r="CH25" s="78">
        <f t="shared" si="21"/>
        <v>96.69999999999709</v>
      </c>
      <c r="CI25" s="80">
        <v>811753</v>
      </c>
      <c r="CJ25" s="78">
        <f t="shared" si="1"/>
        <v>350</v>
      </c>
      <c r="CK25" s="80">
        <v>483.1</v>
      </c>
      <c r="CL25" s="77">
        <f t="shared" si="22"/>
        <v>600.00000000002274</v>
      </c>
      <c r="CM25" s="78">
        <v>101</v>
      </c>
      <c r="CN25" s="79">
        <v>48</v>
      </c>
      <c r="CO25" s="79">
        <v>150</v>
      </c>
    </row>
    <row r="26" spans="1:93" ht="25.5" customHeight="1" thickBot="1" x14ac:dyDescent="0.5">
      <c r="A26" s="76">
        <v>43822</v>
      </c>
      <c r="B26" s="49"/>
      <c r="C26" s="65">
        <v>1.3636999999999999</v>
      </c>
      <c r="D26" s="77">
        <f t="shared" si="2"/>
        <v>3699.9999999998145</v>
      </c>
      <c r="E26" s="65">
        <v>2.2911999999999999</v>
      </c>
      <c r="F26" s="77">
        <f t="shared" si="3"/>
        <v>4000.0000000000036</v>
      </c>
      <c r="G26" s="65">
        <v>2.1288</v>
      </c>
      <c r="H26" s="77">
        <f t="shared" si="4"/>
        <v>3400.0000000000696</v>
      </c>
      <c r="I26" s="65">
        <v>992.42</v>
      </c>
      <c r="J26" s="77">
        <f t="shared" si="5"/>
        <v>1539.9999999999636</v>
      </c>
      <c r="K26" s="65">
        <v>1.5235000000000001</v>
      </c>
      <c r="L26" s="77">
        <f t="shared" si="0"/>
        <v>2700.0000000001469</v>
      </c>
      <c r="M26" s="80">
        <v>956.76</v>
      </c>
      <c r="N26" s="78">
        <f t="shared" si="23"/>
        <v>1980.0000000000182</v>
      </c>
      <c r="O26" s="65">
        <v>10693</v>
      </c>
      <c r="P26" s="78">
        <f t="shared" si="6"/>
        <v>22</v>
      </c>
      <c r="Q26" s="65">
        <v>4252</v>
      </c>
      <c r="R26" s="78">
        <f t="shared" si="7"/>
        <v>8</v>
      </c>
      <c r="S26" s="80">
        <v>697282</v>
      </c>
      <c r="T26" s="78">
        <f t="shared" si="8"/>
        <v>1722</v>
      </c>
      <c r="U26" s="80">
        <v>282570</v>
      </c>
      <c r="V26" s="78">
        <f t="shared" si="9"/>
        <v>648</v>
      </c>
      <c r="W26" s="80">
        <v>276.33999999999997</v>
      </c>
      <c r="X26" s="78">
        <f t="shared" si="43"/>
        <v>479.99999999996135</v>
      </c>
      <c r="Y26" s="80">
        <v>2.0354999999999999</v>
      </c>
      <c r="Z26" s="78">
        <f t="shared" si="24"/>
        <v>3600.0000000000477</v>
      </c>
      <c r="AA26" s="80">
        <v>274.19</v>
      </c>
      <c r="AB26" s="78">
        <f t="shared" si="25"/>
        <v>569.99999999999318</v>
      </c>
      <c r="AC26" s="80">
        <v>250.15</v>
      </c>
      <c r="AD26" s="78">
        <f t="shared" si="26"/>
        <v>490.00000000000909</v>
      </c>
      <c r="AE26" s="74">
        <v>367.23</v>
      </c>
      <c r="AF26" s="78">
        <f t="shared" si="27"/>
        <v>1009.9999999999909</v>
      </c>
      <c r="AG26" s="74">
        <v>973.5</v>
      </c>
      <c r="AH26" s="78">
        <f t="shared" si="10"/>
        <v>2.1000000000000227</v>
      </c>
      <c r="AI26" s="80">
        <v>343.73</v>
      </c>
      <c r="AJ26" s="78">
        <f t="shared" si="28"/>
        <v>1300.0000000000114</v>
      </c>
      <c r="AK26" s="80">
        <v>118.62</v>
      </c>
      <c r="AL26" s="78">
        <f t="shared" si="11"/>
        <v>0.25</v>
      </c>
      <c r="AM26" s="80">
        <v>120.25</v>
      </c>
      <c r="AN26" s="78">
        <f t="shared" si="12"/>
        <v>0.21999999999999886</v>
      </c>
      <c r="AO26" s="80">
        <v>118.89</v>
      </c>
      <c r="AP26" s="78">
        <f t="shared" si="13"/>
        <v>0.23000000000000398</v>
      </c>
      <c r="AQ26" s="80">
        <v>194.26</v>
      </c>
      <c r="AR26" s="78">
        <f t="shared" si="29"/>
        <v>149.99999999997726</v>
      </c>
      <c r="AS26" s="80">
        <v>316.33</v>
      </c>
      <c r="AT26" s="78">
        <f t="shared" si="30"/>
        <v>60.000000000002274</v>
      </c>
      <c r="AU26" s="80">
        <v>242.91</v>
      </c>
      <c r="AV26" s="78">
        <f t="shared" si="31"/>
        <v>120.00000000000455</v>
      </c>
      <c r="AW26" s="80">
        <v>274.08</v>
      </c>
      <c r="AX26" s="78">
        <f t="shared" si="32"/>
        <v>229.99999999996135</v>
      </c>
      <c r="AY26" s="80">
        <v>327.04000000000002</v>
      </c>
      <c r="AZ26" s="78">
        <f t="shared" si="33"/>
        <v>189.99999999999773</v>
      </c>
      <c r="BA26" s="80">
        <v>345.1</v>
      </c>
      <c r="BB26" s="78">
        <f t="shared" si="34"/>
        <v>330.00000000004093</v>
      </c>
      <c r="BC26" s="80">
        <v>196.98</v>
      </c>
      <c r="BD26" s="78">
        <f t="shared" si="35"/>
        <v>189.99999999999773</v>
      </c>
      <c r="BE26" s="80">
        <v>21657</v>
      </c>
      <c r="BF26" s="78">
        <f t="shared" si="14"/>
        <v>52</v>
      </c>
      <c r="BG26" s="80">
        <v>219.01</v>
      </c>
      <c r="BH26" s="78">
        <f t="shared" si="36"/>
        <v>30.000000000001137</v>
      </c>
      <c r="BI26" s="80">
        <v>275.31</v>
      </c>
      <c r="BJ26" s="78">
        <f t="shared" si="37"/>
        <v>50.000000000011369</v>
      </c>
      <c r="BK26" s="80">
        <v>223.2</v>
      </c>
      <c r="BL26" s="78">
        <f t="shared" si="38"/>
        <v>60.000000000002274</v>
      </c>
      <c r="BM26" s="80">
        <v>206.35</v>
      </c>
      <c r="BN26" s="78">
        <f t="shared" si="39"/>
        <v>39.999999999992042</v>
      </c>
      <c r="BO26" s="80">
        <v>269.99</v>
      </c>
      <c r="BP26" s="78">
        <f t="shared" si="40"/>
        <v>50.000000000011369</v>
      </c>
      <c r="BQ26" s="80">
        <v>33319</v>
      </c>
      <c r="BR26" s="78">
        <f t="shared" si="15"/>
        <v>43</v>
      </c>
      <c r="BS26" s="80">
        <v>187.45</v>
      </c>
      <c r="BT26" s="78">
        <f t="shared" si="41"/>
        <v>49.999999999982947</v>
      </c>
      <c r="BU26" s="80">
        <v>24183</v>
      </c>
      <c r="BV26" s="78">
        <f t="shared" si="16"/>
        <v>45</v>
      </c>
      <c r="BW26" s="80">
        <v>216.79</v>
      </c>
      <c r="BX26" s="78">
        <f t="shared" si="42"/>
        <v>49.999999999982947</v>
      </c>
      <c r="BY26" s="80">
        <v>39948</v>
      </c>
      <c r="BZ26" s="78">
        <f t="shared" si="17"/>
        <v>62</v>
      </c>
      <c r="CA26" s="80">
        <v>23783</v>
      </c>
      <c r="CB26" s="78">
        <f t="shared" si="18"/>
        <v>46</v>
      </c>
      <c r="CC26" s="80">
        <v>10127.799999999999</v>
      </c>
      <c r="CD26" s="78">
        <f t="shared" si="19"/>
        <v>23.899999999999636</v>
      </c>
      <c r="CE26" s="80">
        <v>4804.8</v>
      </c>
      <c r="CF26" s="78">
        <f t="shared" si="20"/>
        <v>6.6000000000003638</v>
      </c>
      <c r="CG26" s="80">
        <v>36066.699999999997</v>
      </c>
      <c r="CH26" s="78">
        <f t="shared" si="21"/>
        <v>22.599999999998545</v>
      </c>
      <c r="CI26" s="80">
        <v>812083</v>
      </c>
      <c r="CJ26" s="78">
        <f t="shared" si="1"/>
        <v>330</v>
      </c>
      <c r="CK26" s="80">
        <v>483.77</v>
      </c>
      <c r="CL26" s="77">
        <f t="shared" si="22"/>
        <v>669.99999999995907</v>
      </c>
      <c r="CM26" s="78">
        <v>105.2</v>
      </c>
      <c r="CN26" s="79">
        <v>41</v>
      </c>
      <c r="CO26" s="79">
        <v>132</v>
      </c>
    </row>
    <row r="27" spans="1:93" ht="25.5" customHeight="1" thickBot="1" x14ac:dyDescent="0.5">
      <c r="A27" s="76">
        <v>43823</v>
      </c>
      <c r="B27" s="49"/>
      <c r="C27" s="65">
        <v>1.3671</v>
      </c>
      <c r="D27" s="77">
        <f t="shared" si="2"/>
        <v>3400.0000000000696</v>
      </c>
      <c r="E27" s="65">
        <v>2.2949999999999999</v>
      </c>
      <c r="F27" s="77">
        <f t="shared" si="3"/>
        <v>3800.0000000000255</v>
      </c>
      <c r="G27" s="65">
        <v>2.1328</v>
      </c>
      <c r="H27" s="77">
        <f t="shared" si="4"/>
        <v>4000.0000000000036</v>
      </c>
      <c r="I27" s="80">
        <v>993.9</v>
      </c>
      <c r="J27" s="77">
        <f t="shared" si="5"/>
        <v>1480.0000000000182</v>
      </c>
      <c r="K27" s="80">
        <v>1.5264</v>
      </c>
      <c r="L27" s="77">
        <f t="shared" si="0"/>
        <v>2899.9999999999027</v>
      </c>
      <c r="M27" s="80">
        <v>958.53</v>
      </c>
      <c r="N27" s="78">
        <f t="shared" si="23"/>
        <v>1769.9999999999818</v>
      </c>
      <c r="O27" s="65">
        <v>10713</v>
      </c>
      <c r="P27" s="78">
        <f t="shared" si="6"/>
        <v>20</v>
      </c>
      <c r="Q27" s="80">
        <v>4259</v>
      </c>
      <c r="R27" s="78">
        <f t="shared" si="7"/>
        <v>7</v>
      </c>
      <c r="S27" s="80">
        <v>698681</v>
      </c>
      <c r="T27" s="78">
        <f t="shared" si="8"/>
        <v>1399</v>
      </c>
      <c r="U27" s="80">
        <v>283154</v>
      </c>
      <c r="V27" s="78">
        <f t="shared" si="9"/>
        <v>584</v>
      </c>
      <c r="W27" s="80">
        <v>276.91000000000003</v>
      </c>
      <c r="X27" s="78">
        <f t="shared" si="43"/>
        <v>570.00000000005002</v>
      </c>
      <c r="Y27" s="80">
        <v>2.0388000000000002</v>
      </c>
      <c r="Z27" s="78">
        <f t="shared" si="24"/>
        <v>3300.0000000003029</v>
      </c>
      <c r="AA27" s="80">
        <v>274.7</v>
      </c>
      <c r="AB27" s="78">
        <f t="shared" si="25"/>
        <v>509.99999999999091</v>
      </c>
      <c r="AC27" s="80">
        <v>250.51</v>
      </c>
      <c r="AD27" s="78">
        <f t="shared" si="26"/>
        <v>359.99999999998522</v>
      </c>
      <c r="AE27" s="74">
        <v>367.98</v>
      </c>
      <c r="AF27" s="78">
        <f t="shared" si="27"/>
        <v>750</v>
      </c>
      <c r="AG27" s="74">
        <v>975.7</v>
      </c>
      <c r="AH27" s="78">
        <f t="shared" si="10"/>
        <v>2.2000000000000455</v>
      </c>
      <c r="AI27" s="80">
        <v>344.79</v>
      </c>
      <c r="AJ27" s="78">
        <f t="shared" si="28"/>
        <v>1060.0000000000023</v>
      </c>
      <c r="AK27" s="80">
        <v>118.86</v>
      </c>
      <c r="AL27" s="78">
        <f t="shared" si="11"/>
        <v>0.23999999999999488</v>
      </c>
      <c r="AM27" s="80">
        <v>120.42</v>
      </c>
      <c r="AN27" s="78">
        <f t="shared" si="12"/>
        <v>0.17000000000000171</v>
      </c>
      <c r="AO27" s="80">
        <v>119.07</v>
      </c>
      <c r="AP27" s="78">
        <f t="shared" si="13"/>
        <v>0.17999999999999261</v>
      </c>
      <c r="AQ27" s="80">
        <v>194.4</v>
      </c>
      <c r="AR27" s="78">
        <f t="shared" si="29"/>
        <v>140.00000000001478</v>
      </c>
      <c r="AS27" s="80">
        <v>316.38</v>
      </c>
      <c r="AT27" s="78">
        <f t="shared" si="30"/>
        <v>50.000000000011369</v>
      </c>
      <c r="AU27" s="80">
        <v>243.06</v>
      </c>
      <c r="AV27" s="78">
        <f t="shared" si="31"/>
        <v>150.00000000000568</v>
      </c>
      <c r="AW27" s="80">
        <v>274.24</v>
      </c>
      <c r="AX27" s="78">
        <f t="shared" si="32"/>
        <v>160.00000000002501</v>
      </c>
      <c r="AY27" s="80">
        <v>327.2</v>
      </c>
      <c r="AZ27" s="78">
        <f t="shared" si="33"/>
        <v>159.99999999996817</v>
      </c>
      <c r="BA27" s="80">
        <v>345.42</v>
      </c>
      <c r="BB27" s="78">
        <f t="shared" si="34"/>
        <v>319.99999999999318</v>
      </c>
      <c r="BC27" s="80">
        <v>197.14</v>
      </c>
      <c r="BD27" s="78">
        <f t="shared" si="35"/>
        <v>159.99999999999659</v>
      </c>
      <c r="BE27" s="80">
        <v>21706</v>
      </c>
      <c r="BF27" s="78">
        <f t="shared" si="14"/>
        <v>49</v>
      </c>
      <c r="BG27" s="80">
        <v>219.05</v>
      </c>
      <c r="BH27" s="78">
        <f t="shared" si="36"/>
        <v>40.000000000020464</v>
      </c>
      <c r="BI27" s="80">
        <v>275.35000000000002</v>
      </c>
      <c r="BJ27" s="78">
        <f t="shared" si="37"/>
        <v>40.000000000020464</v>
      </c>
      <c r="BK27" s="80">
        <v>223.24</v>
      </c>
      <c r="BL27" s="78">
        <f t="shared" si="38"/>
        <v>40.000000000020464</v>
      </c>
      <c r="BM27" s="80">
        <v>206.38</v>
      </c>
      <c r="BN27" s="78">
        <f t="shared" si="39"/>
        <v>30.000000000001137</v>
      </c>
      <c r="BO27" s="80">
        <v>270.02999999999997</v>
      </c>
      <c r="BP27" s="78">
        <f t="shared" si="40"/>
        <v>39.99999999996362</v>
      </c>
      <c r="BQ27" s="80">
        <v>33356</v>
      </c>
      <c r="BR27" s="78">
        <f t="shared" si="15"/>
        <v>37</v>
      </c>
      <c r="BS27" s="80">
        <v>187.48</v>
      </c>
      <c r="BT27" s="78">
        <f t="shared" si="41"/>
        <v>30.000000000001137</v>
      </c>
      <c r="BU27" s="80">
        <v>24214</v>
      </c>
      <c r="BV27" s="78">
        <f t="shared" si="16"/>
        <v>31</v>
      </c>
      <c r="BW27" s="80">
        <v>216.83</v>
      </c>
      <c r="BX27" s="78">
        <f t="shared" si="42"/>
        <v>40.000000000020464</v>
      </c>
      <c r="BY27" s="80">
        <v>40002</v>
      </c>
      <c r="BZ27" s="78">
        <f t="shared" si="17"/>
        <v>54</v>
      </c>
      <c r="CA27" s="80">
        <v>23822.7</v>
      </c>
      <c r="CB27" s="78">
        <f t="shared" si="18"/>
        <v>39.700000000000728</v>
      </c>
      <c r="CC27" s="80">
        <v>10146</v>
      </c>
      <c r="CD27" s="78">
        <f t="shared" si="19"/>
        <v>18.200000000000728</v>
      </c>
      <c r="CE27" s="80">
        <v>4813.3</v>
      </c>
      <c r="CF27" s="78">
        <f t="shared" si="20"/>
        <v>8.5</v>
      </c>
      <c r="CG27" s="80">
        <v>36097.699999999997</v>
      </c>
      <c r="CH27" s="78">
        <f t="shared" si="21"/>
        <v>31</v>
      </c>
      <c r="CI27" s="80">
        <v>812392</v>
      </c>
      <c r="CJ27" s="78">
        <f t="shared" si="1"/>
        <v>309</v>
      </c>
      <c r="CK27" s="80">
        <v>484.48</v>
      </c>
      <c r="CL27" s="77">
        <f t="shared" si="22"/>
        <v>710.00000000003638</v>
      </c>
      <c r="CM27" s="78">
        <v>102.9</v>
      </c>
      <c r="CN27" s="79">
        <v>42</v>
      </c>
      <c r="CO27" s="79">
        <v>136</v>
      </c>
    </row>
    <row r="28" spans="1:93" ht="25.5" customHeight="1" thickBot="1" x14ac:dyDescent="0.5">
      <c r="A28" s="76">
        <v>43824</v>
      </c>
      <c r="B28" s="49"/>
      <c r="C28" s="65">
        <v>1.3709</v>
      </c>
      <c r="D28" s="77">
        <f t="shared" si="2"/>
        <v>3800.0000000000255</v>
      </c>
      <c r="E28" s="65">
        <v>2.2989999999999999</v>
      </c>
      <c r="F28" s="77">
        <f t="shared" si="3"/>
        <v>4000.0000000000036</v>
      </c>
      <c r="G28" s="65">
        <v>2.1366000000000001</v>
      </c>
      <c r="H28" s="77">
        <f t="shared" si="4"/>
        <v>3800.0000000000255</v>
      </c>
      <c r="I28" s="65">
        <v>995.51</v>
      </c>
      <c r="J28" s="77">
        <f t="shared" si="5"/>
        <v>1610.0000000000136</v>
      </c>
      <c r="K28" s="65">
        <v>1.5293000000000001</v>
      </c>
      <c r="L28" s="77">
        <f t="shared" si="0"/>
        <v>2900.0000000001246</v>
      </c>
      <c r="M28" s="65">
        <v>960.32</v>
      </c>
      <c r="N28" s="78">
        <f t="shared" si="23"/>
        <v>1790.0000000000773</v>
      </c>
      <c r="O28" s="65">
        <v>10732</v>
      </c>
      <c r="P28" s="78">
        <f t="shared" si="6"/>
        <v>19</v>
      </c>
      <c r="Q28" s="65">
        <v>4266</v>
      </c>
      <c r="R28" s="78">
        <f t="shared" si="7"/>
        <v>7</v>
      </c>
      <c r="S28" s="65">
        <v>700380</v>
      </c>
      <c r="T28" s="78">
        <f t="shared" si="8"/>
        <v>1699</v>
      </c>
      <c r="U28" s="65">
        <v>283749</v>
      </c>
      <c r="V28" s="78">
        <f t="shared" si="9"/>
        <v>595</v>
      </c>
      <c r="W28" s="65">
        <v>277.27</v>
      </c>
      <c r="X28" s="78">
        <f t="shared" si="43"/>
        <v>359.9999999999568</v>
      </c>
      <c r="Y28" s="65">
        <v>2.0423</v>
      </c>
      <c r="Z28" s="78">
        <f t="shared" si="24"/>
        <v>3499.9999999998367</v>
      </c>
      <c r="AA28" s="65">
        <v>275.22000000000003</v>
      </c>
      <c r="AB28" s="78">
        <f t="shared" si="25"/>
        <v>520.00000000003865</v>
      </c>
      <c r="AC28" s="65">
        <v>250.86</v>
      </c>
      <c r="AD28" s="78">
        <f t="shared" si="26"/>
        <v>350.00000000002274</v>
      </c>
      <c r="AE28" s="65">
        <v>368.78</v>
      </c>
      <c r="AF28" s="78">
        <f t="shared" si="27"/>
        <v>799.99999999995453</v>
      </c>
      <c r="AG28" s="65">
        <v>977.9</v>
      </c>
      <c r="AH28" s="78">
        <f t="shared" si="10"/>
        <v>2.1999999999999318</v>
      </c>
      <c r="AI28" s="65">
        <v>345.86</v>
      </c>
      <c r="AJ28" s="78">
        <v>119.12</v>
      </c>
      <c r="AK28" s="65">
        <v>119.12</v>
      </c>
      <c r="AL28" s="78">
        <f t="shared" si="11"/>
        <v>0.26000000000000512</v>
      </c>
      <c r="AM28" s="65">
        <v>120.62</v>
      </c>
      <c r="AN28" s="78">
        <f t="shared" si="12"/>
        <v>0.20000000000000284</v>
      </c>
      <c r="AO28" s="65">
        <v>119.28</v>
      </c>
      <c r="AP28" s="78">
        <f t="shared" si="13"/>
        <v>0.21000000000000796</v>
      </c>
      <c r="AQ28" s="65">
        <v>194.58</v>
      </c>
      <c r="AR28" s="78">
        <f t="shared" si="29"/>
        <v>180.00000000000682</v>
      </c>
      <c r="AS28" s="65">
        <v>316.52</v>
      </c>
      <c r="AT28" s="78">
        <f t="shared" si="30"/>
        <v>139.99999999998636</v>
      </c>
      <c r="AU28" s="65">
        <v>243.19</v>
      </c>
      <c r="AV28" s="78">
        <f t="shared" si="31"/>
        <v>129.99999999999545</v>
      </c>
      <c r="AW28" s="65">
        <v>274.52999999999997</v>
      </c>
      <c r="AX28" s="78">
        <f t="shared" si="32"/>
        <v>289.99999999996362</v>
      </c>
      <c r="AY28" s="65">
        <v>327.39</v>
      </c>
      <c r="AZ28" s="78">
        <f t="shared" si="33"/>
        <v>189.99999999999773</v>
      </c>
      <c r="BA28" s="65">
        <v>345.76</v>
      </c>
      <c r="BB28" s="78">
        <f t="shared" si="34"/>
        <v>339.99999999997499</v>
      </c>
      <c r="BC28" s="65">
        <v>197.34</v>
      </c>
      <c r="BD28" s="78">
        <f t="shared" si="35"/>
        <v>200.00000000001705</v>
      </c>
      <c r="BE28" s="65">
        <v>21755</v>
      </c>
      <c r="BF28" s="78">
        <f t="shared" si="14"/>
        <v>49</v>
      </c>
      <c r="BG28" s="65">
        <v>219.08</v>
      </c>
      <c r="BH28" s="78">
        <f t="shared" si="36"/>
        <v>30.000000000001137</v>
      </c>
      <c r="BI28" s="65">
        <v>275.39</v>
      </c>
      <c r="BJ28" s="78">
        <f t="shared" si="37"/>
        <v>39.99999999996362</v>
      </c>
      <c r="BK28" s="65">
        <v>223.28</v>
      </c>
      <c r="BL28" s="78">
        <f t="shared" si="38"/>
        <v>39.999999999992042</v>
      </c>
      <c r="BM28" s="65">
        <v>206.42</v>
      </c>
      <c r="BN28" s="78">
        <f t="shared" si="39"/>
        <v>39.999999999992042</v>
      </c>
      <c r="BO28" s="65">
        <v>270.07</v>
      </c>
      <c r="BP28" s="78">
        <f t="shared" si="40"/>
        <v>40.000000000020464</v>
      </c>
      <c r="BQ28" s="65">
        <v>33394</v>
      </c>
      <c r="BR28" s="78">
        <f t="shared" si="15"/>
        <v>38</v>
      </c>
      <c r="BS28" s="65">
        <v>187.52</v>
      </c>
      <c r="BT28" s="78">
        <f t="shared" si="41"/>
        <v>40.000000000020464</v>
      </c>
      <c r="BU28" s="65">
        <v>24245</v>
      </c>
      <c r="BV28" s="78">
        <f t="shared" si="16"/>
        <v>31</v>
      </c>
      <c r="BW28" s="65">
        <v>216.86</v>
      </c>
      <c r="BX28" s="78">
        <f t="shared" si="42"/>
        <v>30.000000000001137</v>
      </c>
      <c r="BY28" s="65">
        <v>40056</v>
      </c>
      <c r="BZ28" s="78">
        <f t="shared" si="17"/>
        <v>54</v>
      </c>
      <c r="CA28" s="65">
        <v>23869.599999999999</v>
      </c>
      <c r="CB28" s="78">
        <f t="shared" si="18"/>
        <v>46.899999999997817</v>
      </c>
      <c r="CC28" s="65">
        <v>10156.200000000001</v>
      </c>
      <c r="CD28" s="78">
        <f t="shared" si="19"/>
        <v>10.200000000000728</v>
      </c>
      <c r="CE28" s="65">
        <v>4824.5</v>
      </c>
      <c r="CF28" s="78">
        <f t="shared" si="20"/>
        <v>11.199999999999818</v>
      </c>
      <c r="CG28" s="65">
        <v>36123.800000000003</v>
      </c>
      <c r="CH28" s="78">
        <f t="shared" si="21"/>
        <v>26.100000000005821</v>
      </c>
      <c r="CI28" s="65">
        <v>812726</v>
      </c>
      <c r="CJ28" s="78">
        <f t="shared" si="1"/>
        <v>334</v>
      </c>
      <c r="CK28" s="65">
        <v>485.27</v>
      </c>
      <c r="CL28" s="77">
        <f t="shared" si="22"/>
        <v>789.99999999996362</v>
      </c>
      <c r="CM28" s="78">
        <v>113.9</v>
      </c>
      <c r="CN28" s="79">
        <v>36</v>
      </c>
      <c r="CO28" s="79">
        <v>114</v>
      </c>
    </row>
    <row r="29" spans="1:93" ht="25.5" customHeight="1" thickBot="1" x14ac:dyDescent="0.5">
      <c r="A29" s="76">
        <v>43825</v>
      </c>
      <c r="B29" s="49"/>
      <c r="C29" s="65">
        <v>1.3753</v>
      </c>
      <c r="D29" s="77">
        <f t="shared" si="2"/>
        <v>4399.9999999999591</v>
      </c>
      <c r="E29" s="65">
        <v>2.3033000000000001</v>
      </c>
      <c r="F29" s="77">
        <f t="shared" si="3"/>
        <v>4300.0000000001928</v>
      </c>
      <c r="G29" s="65">
        <v>2.1406000000000001</v>
      </c>
      <c r="H29" s="77">
        <f t="shared" si="4"/>
        <v>4000.0000000000036</v>
      </c>
      <c r="I29" s="65">
        <v>997.46</v>
      </c>
      <c r="J29" s="77">
        <f t="shared" si="5"/>
        <v>1950.0000000000455</v>
      </c>
      <c r="K29" s="65">
        <v>1.5329999999999999</v>
      </c>
      <c r="L29" s="77">
        <f t="shared" si="0"/>
        <v>3699.9999999998145</v>
      </c>
      <c r="M29" s="65">
        <v>962.49</v>
      </c>
      <c r="N29" s="78">
        <f t="shared" si="23"/>
        <v>2169.9999999999591</v>
      </c>
      <c r="O29" s="65">
        <v>10753</v>
      </c>
      <c r="P29" s="78">
        <f t="shared" si="6"/>
        <v>21</v>
      </c>
      <c r="Q29" s="65">
        <v>4275</v>
      </c>
      <c r="R29" s="78">
        <f t="shared" si="7"/>
        <v>9</v>
      </c>
      <c r="S29" s="65">
        <v>701820</v>
      </c>
      <c r="T29" s="78">
        <f t="shared" si="8"/>
        <v>1440</v>
      </c>
      <c r="U29" s="65">
        <v>284210</v>
      </c>
      <c r="V29" s="78">
        <f t="shared" si="9"/>
        <v>461</v>
      </c>
      <c r="W29" s="65">
        <v>277.77999999999997</v>
      </c>
      <c r="X29" s="78">
        <f t="shared" si="43"/>
        <v>509.99999999999091</v>
      </c>
      <c r="Y29" s="65">
        <v>2.0457000000000001</v>
      </c>
      <c r="Z29" s="78">
        <f t="shared" si="24"/>
        <v>3400.0000000000696</v>
      </c>
      <c r="AA29" s="65">
        <v>275.77999999999997</v>
      </c>
      <c r="AB29" s="78">
        <f t="shared" si="25"/>
        <v>559.99999999994543</v>
      </c>
      <c r="AC29" s="65">
        <v>251.25</v>
      </c>
      <c r="AD29" s="78">
        <f t="shared" si="26"/>
        <v>389.99999999998636</v>
      </c>
      <c r="AE29" s="65">
        <v>369.67</v>
      </c>
      <c r="AF29" s="78">
        <f t="shared" si="27"/>
        <v>890.0000000000432</v>
      </c>
      <c r="AG29" s="74">
        <v>980.4</v>
      </c>
      <c r="AH29" s="78">
        <f t="shared" si="10"/>
        <v>2.5</v>
      </c>
      <c r="AI29" s="80">
        <v>346.81</v>
      </c>
      <c r="AJ29" s="78">
        <f t="shared" si="28"/>
        <v>949.99999999998863</v>
      </c>
      <c r="AK29" s="80">
        <v>119.44</v>
      </c>
      <c r="AL29" s="78">
        <f t="shared" si="11"/>
        <v>0.31999999999999318</v>
      </c>
      <c r="AM29" s="80">
        <v>120.88</v>
      </c>
      <c r="AN29" s="78">
        <f t="shared" si="12"/>
        <v>0.25999999999999091</v>
      </c>
      <c r="AO29" s="80">
        <v>119.53</v>
      </c>
      <c r="AP29" s="78">
        <f t="shared" si="13"/>
        <v>0.25</v>
      </c>
      <c r="AQ29" s="65">
        <v>194.79</v>
      </c>
      <c r="AR29" s="78">
        <f t="shared" si="29"/>
        <v>209.99999999997954</v>
      </c>
      <c r="AS29" s="65">
        <v>316.77</v>
      </c>
      <c r="AT29" s="78">
        <f t="shared" si="30"/>
        <v>250</v>
      </c>
      <c r="AU29" s="65">
        <v>243.34</v>
      </c>
      <c r="AV29" s="78">
        <f t="shared" si="31"/>
        <v>150.00000000000568</v>
      </c>
      <c r="AW29" s="65">
        <v>274.8</v>
      </c>
      <c r="AX29" s="78">
        <f t="shared" si="32"/>
        <v>270.00000000003865</v>
      </c>
      <c r="AY29" s="80">
        <v>327.61</v>
      </c>
      <c r="AZ29" s="78">
        <f t="shared" si="33"/>
        <v>220.00000000002728</v>
      </c>
      <c r="BA29" s="80">
        <v>346.1</v>
      </c>
      <c r="BB29" s="78">
        <f t="shared" si="34"/>
        <v>340.00000000003183</v>
      </c>
      <c r="BC29" s="80">
        <v>197.6</v>
      </c>
      <c r="BD29" s="78">
        <f t="shared" si="35"/>
        <v>259.99999999999091</v>
      </c>
      <c r="BE29" s="80">
        <v>21802</v>
      </c>
      <c r="BF29" s="78">
        <f t="shared" si="14"/>
        <v>47</v>
      </c>
      <c r="BG29" s="65">
        <v>219.11</v>
      </c>
      <c r="BH29" s="78">
        <f t="shared" si="36"/>
        <v>30.000000000001137</v>
      </c>
      <c r="BI29" s="65">
        <v>275.44</v>
      </c>
      <c r="BJ29" s="78">
        <f t="shared" si="37"/>
        <v>50.000000000011369</v>
      </c>
      <c r="BK29" s="65">
        <v>223.33</v>
      </c>
      <c r="BL29" s="78">
        <f t="shared" si="38"/>
        <v>50.000000000011369</v>
      </c>
      <c r="BM29" s="65">
        <v>206.45</v>
      </c>
      <c r="BN29" s="78">
        <f t="shared" si="39"/>
        <v>30.000000000001137</v>
      </c>
      <c r="BO29" s="65">
        <v>270.11</v>
      </c>
      <c r="BP29" s="78">
        <f t="shared" si="40"/>
        <v>40.000000000020464</v>
      </c>
      <c r="BQ29" s="65">
        <v>33434</v>
      </c>
      <c r="BR29" s="78">
        <f t="shared" si="15"/>
        <v>40</v>
      </c>
      <c r="BS29" s="65">
        <v>187.57</v>
      </c>
      <c r="BT29" s="78">
        <f t="shared" si="41"/>
        <v>49.999999999982947</v>
      </c>
      <c r="BU29" s="65">
        <v>24294</v>
      </c>
      <c r="BV29" s="78">
        <f t="shared" si="16"/>
        <v>49</v>
      </c>
      <c r="BW29" s="65">
        <v>216.9</v>
      </c>
      <c r="BX29" s="78">
        <f t="shared" si="42"/>
        <v>39.999999999992042</v>
      </c>
      <c r="BY29" s="65">
        <v>40130</v>
      </c>
      <c r="BZ29" s="78">
        <f t="shared" si="17"/>
        <v>74</v>
      </c>
      <c r="CA29" s="65">
        <v>23916.9</v>
      </c>
      <c r="CB29" s="78">
        <f t="shared" si="18"/>
        <v>47.30000000000291</v>
      </c>
      <c r="CC29" s="65">
        <v>10173.299999999999</v>
      </c>
      <c r="CD29" s="78">
        <f t="shared" si="19"/>
        <v>17.099999999998545</v>
      </c>
      <c r="CE29" s="65">
        <v>4832.8999999999996</v>
      </c>
      <c r="CF29" s="78">
        <f t="shared" si="20"/>
        <v>8.3999999999996362</v>
      </c>
      <c r="CG29" s="65">
        <v>36152</v>
      </c>
      <c r="CH29" s="78">
        <f t="shared" si="21"/>
        <v>28.19999999999709</v>
      </c>
      <c r="CI29" s="65">
        <v>813079</v>
      </c>
      <c r="CJ29" s="78">
        <f t="shared" si="1"/>
        <v>353</v>
      </c>
      <c r="CK29" s="65">
        <v>486.01</v>
      </c>
      <c r="CL29" s="77">
        <f t="shared" si="22"/>
        <v>740.00000000000909</v>
      </c>
      <c r="CM29" s="78">
        <v>136</v>
      </c>
      <c r="CN29" s="79">
        <v>36</v>
      </c>
      <c r="CO29" s="79">
        <v>114</v>
      </c>
    </row>
    <row r="30" spans="1:93" ht="25.5" customHeight="1" thickBot="1" x14ac:dyDescent="0.5">
      <c r="A30" s="76">
        <v>43826</v>
      </c>
      <c r="B30" s="49"/>
      <c r="C30" s="65">
        <v>1.3786</v>
      </c>
      <c r="D30" s="77">
        <f t="shared" si="2"/>
        <v>3300.0000000000805</v>
      </c>
      <c r="E30" s="65">
        <v>2.3069999999999999</v>
      </c>
      <c r="F30" s="77">
        <f t="shared" si="3"/>
        <v>3699.9999999998145</v>
      </c>
      <c r="G30" s="65">
        <v>2.1442999999999999</v>
      </c>
      <c r="H30" s="77">
        <f t="shared" si="4"/>
        <v>3699.9999999998145</v>
      </c>
      <c r="I30" s="65">
        <v>999.05</v>
      </c>
      <c r="J30" s="77">
        <f t="shared" si="5"/>
        <v>1589.9999999999181</v>
      </c>
      <c r="K30" s="65">
        <v>1.5363</v>
      </c>
      <c r="L30" s="77">
        <f t="shared" si="0"/>
        <v>3300.0000000000805</v>
      </c>
      <c r="M30" s="65">
        <v>964.34</v>
      </c>
      <c r="N30" s="78">
        <f t="shared" si="23"/>
        <v>1850.0000000000227</v>
      </c>
      <c r="O30" s="65">
        <v>10773</v>
      </c>
      <c r="P30" s="78">
        <f t="shared" si="6"/>
        <v>20</v>
      </c>
      <c r="Q30" s="65">
        <v>4283</v>
      </c>
      <c r="R30" s="78">
        <f t="shared" si="7"/>
        <v>8</v>
      </c>
      <c r="S30" s="65">
        <v>703538</v>
      </c>
      <c r="T30" s="78">
        <f t="shared" si="8"/>
        <v>1718</v>
      </c>
      <c r="U30" s="65">
        <v>284902</v>
      </c>
      <c r="V30" s="78">
        <f t="shared" si="9"/>
        <v>692</v>
      </c>
      <c r="W30" s="65">
        <v>278.3</v>
      </c>
      <c r="X30" s="78">
        <f t="shared" si="43"/>
        <v>520.00000000003865</v>
      </c>
      <c r="Y30" s="65">
        <v>2.0489000000000002</v>
      </c>
      <c r="Z30" s="78">
        <f t="shared" si="24"/>
        <v>3200.0000000000919</v>
      </c>
      <c r="AA30" s="65">
        <v>276.32</v>
      </c>
      <c r="AB30" s="78">
        <f t="shared" si="25"/>
        <v>540.00000000002046</v>
      </c>
      <c r="AC30" s="65">
        <v>251.61</v>
      </c>
      <c r="AD30" s="78">
        <f t="shared" si="26"/>
        <v>360.00000000001364</v>
      </c>
      <c r="AE30" s="65">
        <v>370.6</v>
      </c>
      <c r="AF30" s="78">
        <f t="shared" si="27"/>
        <v>930.00000000000682</v>
      </c>
      <c r="AG30" s="74">
        <v>982.7</v>
      </c>
      <c r="AH30" s="78">
        <f t="shared" si="10"/>
        <v>2.3000000000000682</v>
      </c>
      <c r="AI30" s="80">
        <v>347.24</v>
      </c>
      <c r="AJ30" s="78">
        <f t="shared" si="28"/>
        <v>430.00000000000682</v>
      </c>
      <c r="AK30" s="80">
        <v>119.64</v>
      </c>
      <c r="AL30" s="78">
        <f t="shared" si="11"/>
        <v>0.20000000000000284</v>
      </c>
      <c r="AM30" s="80">
        <v>121.12</v>
      </c>
      <c r="AN30" s="78">
        <f t="shared" si="12"/>
        <v>0.24000000000000909</v>
      </c>
      <c r="AO30" s="80">
        <v>119.76</v>
      </c>
      <c r="AP30" s="78">
        <f t="shared" si="13"/>
        <v>0.23000000000000398</v>
      </c>
      <c r="AQ30" s="65">
        <v>195</v>
      </c>
      <c r="AR30" s="78">
        <f t="shared" si="29"/>
        <v>210.00000000000796</v>
      </c>
      <c r="AS30" s="65">
        <v>317.05</v>
      </c>
      <c r="AT30" s="78">
        <f t="shared" si="30"/>
        <v>280.00000000002956</v>
      </c>
      <c r="AU30" s="65">
        <v>243.52</v>
      </c>
      <c r="AV30" s="78">
        <f t="shared" si="31"/>
        <v>180.00000000000682</v>
      </c>
      <c r="AW30" s="65">
        <v>275.06</v>
      </c>
      <c r="AX30" s="78">
        <f t="shared" si="32"/>
        <v>259.99999999999091</v>
      </c>
      <c r="AY30" s="80">
        <v>327.83</v>
      </c>
      <c r="AZ30" s="78">
        <f t="shared" si="33"/>
        <v>219.99999999997044</v>
      </c>
      <c r="BA30" s="80">
        <v>346.42</v>
      </c>
      <c r="BB30" s="78">
        <f t="shared" si="34"/>
        <v>319.99999999999318</v>
      </c>
      <c r="BC30" s="80">
        <v>197.84</v>
      </c>
      <c r="BD30" s="78">
        <f t="shared" si="35"/>
        <v>240.00000000000909</v>
      </c>
      <c r="BE30" s="80">
        <v>21861</v>
      </c>
      <c r="BF30" s="78">
        <f t="shared" si="14"/>
        <v>59</v>
      </c>
      <c r="BG30" s="65">
        <v>219.16</v>
      </c>
      <c r="BH30" s="78">
        <f t="shared" si="36"/>
        <v>49.999999999982947</v>
      </c>
      <c r="BI30" s="65">
        <v>275.5</v>
      </c>
      <c r="BJ30" s="78">
        <f t="shared" si="37"/>
        <v>60.000000000002274</v>
      </c>
      <c r="BK30" s="65">
        <v>223.39</v>
      </c>
      <c r="BL30" s="78">
        <f t="shared" si="38"/>
        <v>59.999999999973852</v>
      </c>
      <c r="BM30" s="65">
        <v>206.5</v>
      </c>
      <c r="BN30" s="78">
        <f t="shared" si="39"/>
        <v>50.000000000011369</v>
      </c>
      <c r="BO30" s="65">
        <v>270.17</v>
      </c>
      <c r="BP30" s="78">
        <f t="shared" si="40"/>
        <v>60.000000000002274</v>
      </c>
      <c r="BQ30" s="65">
        <v>33483</v>
      </c>
      <c r="BR30" s="78">
        <f t="shared" si="15"/>
        <v>49</v>
      </c>
      <c r="BS30" s="65">
        <v>187.62</v>
      </c>
      <c r="BT30" s="78">
        <f t="shared" si="41"/>
        <v>50.000000000011369</v>
      </c>
      <c r="BU30" s="65">
        <v>24342</v>
      </c>
      <c r="BV30" s="78">
        <f t="shared" si="16"/>
        <v>48</v>
      </c>
      <c r="BW30" s="65">
        <v>216.96</v>
      </c>
      <c r="BX30" s="78">
        <f t="shared" si="42"/>
        <v>60.000000000002274</v>
      </c>
      <c r="BY30" s="65">
        <v>40215</v>
      </c>
      <c r="BZ30" s="78">
        <f t="shared" si="17"/>
        <v>85</v>
      </c>
      <c r="CA30" s="65">
        <v>23957.3</v>
      </c>
      <c r="CB30" s="78">
        <f t="shared" si="18"/>
        <v>40.399999999997817</v>
      </c>
      <c r="CC30" s="65">
        <v>10185.9</v>
      </c>
      <c r="CD30" s="78">
        <f t="shared" si="19"/>
        <v>12.600000000000364</v>
      </c>
      <c r="CE30" s="65">
        <v>4840.1000000000004</v>
      </c>
      <c r="CF30" s="78">
        <f t="shared" si="20"/>
        <v>7.2000000000007276</v>
      </c>
      <c r="CG30" s="65">
        <v>36232.5</v>
      </c>
      <c r="CH30" s="78">
        <f t="shared" si="21"/>
        <v>80.5</v>
      </c>
      <c r="CI30" s="65">
        <v>813399</v>
      </c>
      <c r="CJ30" s="78">
        <f t="shared" si="1"/>
        <v>320</v>
      </c>
      <c r="CK30" s="65">
        <v>486.77</v>
      </c>
      <c r="CL30" s="77">
        <f t="shared" si="22"/>
        <v>759.99999999999091</v>
      </c>
      <c r="CM30" s="78">
        <v>104.4</v>
      </c>
      <c r="CN30" s="79">
        <v>34</v>
      </c>
      <c r="CO30" s="79">
        <v>105</v>
      </c>
    </row>
    <row r="31" spans="1:93" ht="25.5" customHeight="1" thickBot="1" x14ac:dyDescent="0.5">
      <c r="A31" s="76">
        <v>43827</v>
      </c>
      <c r="B31" s="81"/>
      <c r="C31" s="65">
        <v>1.3817999999999999</v>
      </c>
      <c r="D31" s="77">
        <f t="shared" si="2"/>
        <v>3199.9999999998695</v>
      </c>
      <c r="E31" s="65">
        <v>2.3107000000000002</v>
      </c>
      <c r="F31" s="77">
        <f t="shared" si="3"/>
        <v>3700.0000000002588</v>
      </c>
      <c r="G31" s="65">
        <v>2.1480000000000001</v>
      </c>
      <c r="H31" s="77">
        <f t="shared" si="4"/>
        <v>3700.0000000002588</v>
      </c>
      <c r="I31" s="65">
        <v>1000.6</v>
      </c>
      <c r="J31" s="77">
        <f t="shared" si="5"/>
        <v>1550.0000000000682</v>
      </c>
      <c r="K31" s="65">
        <v>1.5397000000000001</v>
      </c>
      <c r="L31" s="77">
        <f t="shared" si="0"/>
        <v>3400.0000000000696</v>
      </c>
      <c r="M31" s="65">
        <v>966.1</v>
      </c>
      <c r="N31" s="78">
        <f t="shared" si="23"/>
        <v>1759.9999999999909</v>
      </c>
      <c r="O31" s="65">
        <v>10792</v>
      </c>
      <c r="P31" s="83">
        <f t="shared" si="6"/>
        <v>19</v>
      </c>
      <c r="Q31" s="65">
        <v>4292</v>
      </c>
      <c r="R31" s="83">
        <f t="shared" si="7"/>
        <v>9</v>
      </c>
      <c r="S31" s="65">
        <v>704732</v>
      </c>
      <c r="T31" s="83">
        <f t="shared" si="8"/>
        <v>1194</v>
      </c>
      <c r="U31" s="65">
        <v>285499</v>
      </c>
      <c r="V31" s="83">
        <f t="shared" si="9"/>
        <v>597</v>
      </c>
      <c r="W31" s="65">
        <v>278.79000000000002</v>
      </c>
      <c r="X31" s="78">
        <f t="shared" si="43"/>
        <v>490.00000000000909</v>
      </c>
      <c r="Y31" s="65">
        <v>2.0522</v>
      </c>
      <c r="Z31" s="78">
        <f t="shared" si="24"/>
        <v>3299.9999999998586</v>
      </c>
      <c r="AA31" s="65">
        <v>276.76</v>
      </c>
      <c r="AB31" s="78">
        <f t="shared" si="25"/>
        <v>439.99999999999773</v>
      </c>
      <c r="AC31" s="65">
        <v>251.94</v>
      </c>
      <c r="AD31" s="78">
        <f t="shared" si="26"/>
        <v>329.99999999998408</v>
      </c>
      <c r="AE31" s="65">
        <v>371.44</v>
      </c>
      <c r="AF31" s="78">
        <f t="shared" si="27"/>
        <v>839.99999999997499</v>
      </c>
      <c r="AG31" s="74">
        <v>984.9</v>
      </c>
      <c r="AH31" s="83">
        <f t="shared" si="10"/>
        <v>2.1999999999999318</v>
      </c>
      <c r="AI31" s="82">
        <v>347.58</v>
      </c>
      <c r="AJ31" s="78">
        <f t="shared" si="28"/>
        <v>339.99999999997499</v>
      </c>
      <c r="AK31" s="82">
        <v>119.74</v>
      </c>
      <c r="AL31" s="78">
        <f t="shared" si="11"/>
        <v>9.9999999999994316E-2</v>
      </c>
      <c r="AM31" s="82">
        <v>121.34</v>
      </c>
      <c r="AN31" s="78">
        <f t="shared" si="12"/>
        <v>0.21999999999999886</v>
      </c>
      <c r="AO31" s="82">
        <v>120</v>
      </c>
      <c r="AP31" s="78">
        <f t="shared" si="13"/>
        <v>0.23999999999999488</v>
      </c>
      <c r="AQ31" s="65">
        <v>195.25</v>
      </c>
      <c r="AR31" s="78">
        <f t="shared" si="29"/>
        <v>250</v>
      </c>
      <c r="AS31" s="65">
        <v>317.42</v>
      </c>
      <c r="AT31" s="78">
        <f t="shared" si="30"/>
        <v>370.00000000000455</v>
      </c>
      <c r="AU31" s="65">
        <v>243.71</v>
      </c>
      <c r="AV31" s="78">
        <f t="shared" si="31"/>
        <v>189.99999999999773</v>
      </c>
      <c r="AW31" s="65">
        <v>275.31</v>
      </c>
      <c r="AX31" s="78">
        <f t="shared" si="32"/>
        <v>250</v>
      </c>
      <c r="AY31" s="82">
        <v>327.95</v>
      </c>
      <c r="AZ31" s="78">
        <f t="shared" si="33"/>
        <v>120.00000000000455</v>
      </c>
      <c r="BA31" s="82">
        <v>346.72</v>
      </c>
      <c r="BB31" s="78">
        <f t="shared" si="34"/>
        <v>300.00000000001137</v>
      </c>
      <c r="BC31" s="82">
        <v>198.06</v>
      </c>
      <c r="BD31" s="78">
        <f t="shared" si="35"/>
        <v>219.99999999999886</v>
      </c>
      <c r="BE31" s="82">
        <v>21923</v>
      </c>
      <c r="BF31" s="83">
        <f t="shared" si="14"/>
        <v>62</v>
      </c>
      <c r="BG31" s="65">
        <v>219.19</v>
      </c>
      <c r="BH31" s="78">
        <f t="shared" si="36"/>
        <v>30.000000000001137</v>
      </c>
      <c r="BI31" s="65">
        <v>275.54000000000002</v>
      </c>
      <c r="BJ31" s="78">
        <f t="shared" si="37"/>
        <v>40.000000000020464</v>
      </c>
      <c r="BK31" s="65">
        <v>223.42</v>
      </c>
      <c r="BL31" s="78">
        <f t="shared" si="38"/>
        <v>30.000000000001137</v>
      </c>
      <c r="BM31" s="65">
        <v>206.53</v>
      </c>
      <c r="BN31" s="78">
        <f t="shared" si="39"/>
        <v>30.000000000001137</v>
      </c>
      <c r="BO31" s="65">
        <v>270.2</v>
      </c>
      <c r="BP31" s="78">
        <f t="shared" si="40"/>
        <v>29.999999999972715</v>
      </c>
      <c r="BQ31" s="65">
        <v>33515</v>
      </c>
      <c r="BR31" s="78">
        <f t="shared" si="15"/>
        <v>32</v>
      </c>
      <c r="BS31" s="65">
        <v>187.66</v>
      </c>
      <c r="BT31" s="78">
        <f t="shared" si="41"/>
        <v>39.999999999992042</v>
      </c>
      <c r="BU31" s="65">
        <v>24376</v>
      </c>
      <c r="BV31" s="78">
        <f t="shared" si="16"/>
        <v>34</v>
      </c>
      <c r="BW31" s="65">
        <v>216.99</v>
      </c>
      <c r="BX31" s="78">
        <f t="shared" si="42"/>
        <v>30.000000000001137</v>
      </c>
      <c r="BY31" s="65">
        <v>40270</v>
      </c>
      <c r="BZ31" s="78">
        <f t="shared" si="17"/>
        <v>55</v>
      </c>
      <c r="CA31" s="65">
        <v>24006.3</v>
      </c>
      <c r="CB31" s="83">
        <f t="shared" si="18"/>
        <v>49</v>
      </c>
      <c r="CC31" s="65">
        <v>10199.1</v>
      </c>
      <c r="CD31" s="83">
        <f t="shared" si="19"/>
        <v>13.200000000000728</v>
      </c>
      <c r="CE31" s="65">
        <v>4847.8999999999996</v>
      </c>
      <c r="CF31" s="83">
        <f t="shared" si="20"/>
        <v>7.7999999999992724</v>
      </c>
      <c r="CG31" s="65">
        <v>36310.199999999997</v>
      </c>
      <c r="CH31" s="83">
        <f t="shared" si="21"/>
        <v>77.69999999999709</v>
      </c>
      <c r="CI31" s="65">
        <v>813719</v>
      </c>
      <c r="CJ31" s="83">
        <f t="shared" si="1"/>
        <v>320</v>
      </c>
      <c r="CK31" s="65">
        <v>487.56</v>
      </c>
      <c r="CL31" s="77">
        <f t="shared" si="22"/>
        <v>790.00000000002046</v>
      </c>
      <c r="CM31" s="83">
        <v>106</v>
      </c>
      <c r="CN31" s="84">
        <v>35</v>
      </c>
      <c r="CO31" s="84">
        <v>108</v>
      </c>
    </row>
    <row r="32" spans="1:93" ht="25.5" customHeight="1" thickBot="1" x14ac:dyDescent="0.5">
      <c r="A32" s="76">
        <v>43828</v>
      </c>
      <c r="B32" s="85"/>
      <c r="C32" s="65">
        <v>1.3852</v>
      </c>
      <c r="D32" s="77">
        <f t="shared" si="2"/>
        <v>3400.0000000000696</v>
      </c>
      <c r="E32" s="65">
        <v>2.3142999999999998</v>
      </c>
      <c r="F32" s="77">
        <f t="shared" si="3"/>
        <v>3599.9999999996035</v>
      </c>
      <c r="G32" s="65">
        <v>2.1516999999999999</v>
      </c>
      <c r="H32" s="77">
        <f t="shared" si="4"/>
        <v>3699.9999999998145</v>
      </c>
      <c r="I32" s="65">
        <v>1002.4</v>
      </c>
      <c r="J32" s="77">
        <f t="shared" si="5"/>
        <v>1799.9999999999545</v>
      </c>
      <c r="K32" s="65">
        <v>1.5431999999999999</v>
      </c>
      <c r="L32" s="77">
        <f t="shared" si="0"/>
        <v>3499.9999999998367</v>
      </c>
      <c r="M32" s="65">
        <v>967.78</v>
      </c>
      <c r="N32" s="78">
        <f t="shared" si="23"/>
        <v>1679.99999999995</v>
      </c>
      <c r="O32" s="65">
        <v>10813</v>
      </c>
      <c r="P32" s="83">
        <f t="shared" si="6"/>
        <v>21</v>
      </c>
      <c r="Q32" s="65">
        <v>4300</v>
      </c>
      <c r="R32" s="83">
        <f t="shared" si="7"/>
        <v>8</v>
      </c>
      <c r="S32" s="65">
        <v>706602</v>
      </c>
      <c r="T32" s="83">
        <f t="shared" si="8"/>
        <v>1870</v>
      </c>
      <c r="U32" s="65">
        <v>286011</v>
      </c>
      <c r="V32" s="83">
        <f t="shared" si="9"/>
        <v>512</v>
      </c>
      <c r="W32" s="65">
        <v>279.31</v>
      </c>
      <c r="X32" s="78">
        <f t="shared" si="43"/>
        <v>519.99999999998181</v>
      </c>
      <c r="Y32" s="65">
        <v>2.0552000000000001</v>
      </c>
      <c r="Z32" s="78">
        <f t="shared" si="24"/>
        <v>3000.0000000001137</v>
      </c>
      <c r="AA32" s="65">
        <v>277.29000000000002</v>
      </c>
      <c r="AB32" s="78">
        <f t="shared" si="25"/>
        <v>530.00000000002956</v>
      </c>
      <c r="AC32" s="65">
        <v>252.16</v>
      </c>
      <c r="AD32" s="78">
        <f t="shared" si="26"/>
        <v>219.99999999999886</v>
      </c>
      <c r="AE32" s="65">
        <v>372.22</v>
      </c>
      <c r="AF32" s="78">
        <f t="shared" si="27"/>
        <v>780.00000000002956</v>
      </c>
      <c r="AG32" s="80">
        <v>987.1</v>
      </c>
      <c r="AH32" s="83">
        <f t="shared" si="10"/>
        <v>2.2000000000000455</v>
      </c>
      <c r="AI32" s="80">
        <v>347.98</v>
      </c>
      <c r="AJ32" s="78">
        <f t="shared" si="28"/>
        <v>400.00000000003411</v>
      </c>
      <c r="AK32" s="80">
        <v>119.91</v>
      </c>
      <c r="AL32" s="78">
        <f t="shared" si="11"/>
        <v>0.17000000000000171</v>
      </c>
      <c r="AM32" s="80">
        <v>121.58</v>
      </c>
      <c r="AN32" s="78">
        <f t="shared" si="12"/>
        <v>0.23999999999999488</v>
      </c>
      <c r="AO32" s="80">
        <v>120.29</v>
      </c>
      <c r="AP32" s="78">
        <f t="shared" si="13"/>
        <v>0.29000000000000625</v>
      </c>
      <c r="AQ32" s="65">
        <v>195.57</v>
      </c>
      <c r="AR32" s="78">
        <f t="shared" si="29"/>
        <v>319.99999999999318</v>
      </c>
      <c r="AS32" s="65">
        <v>317.72000000000003</v>
      </c>
      <c r="AT32" s="78">
        <f t="shared" si="30"/>
        <v>300.00000000001137</v>
      </c>
      <c r="AU32" s="65">
        <v>243.9</v>
      </c>
      <c r="AV32" s="78">
        <f t="shared" si="31"/>
        <v>189.99999999999773</v>
      </c>
      <c r="AW32" s="65">
        <v>275.57</v>
      </c>
      <c r="AX32" s="78">
        <f t="shared" si="32"/>
        <v>259.99999999999091</v>
      </c>
      <c r="AY32" s="80">
        <v>328</v>
      </c>
      <c r="AZ32" s="78">
        <f t="shared" si="33"/>
        <v>50.000000000011369</v>
      </c>
      <c r="BA32" s="80">
        <v>347</v>
      </c>
      <c r="BB32" s="78">
        <f t="shared" si="34"/>
        <v>279.99999999997272</v>
      </c>
      <c r="BC32" s="80">
        <v>198.27</v>
      </c>
      <c r="BD32" s="78">
        <f t="shared" si="35"/>
        <v>210.00000000000796</v>
      </c>
      <c r="BE32" s="80">
        <v>21985</v>
      </c>
      <c r="BF32" s="83">
        <f t="shared" si="14"/>
        <v>62</v>
      </c>
      <c r="BG32" s="65">
        <v>219.24</v>
      </c>
      <c r="BH32" s="78">
        <f t="shared" si="36"/>
        <v>50.000000000011369</v>
      </c>
      <c r="BI32" s="65">
        <v>275.60000000000002</v>
      </c>
      <c r="BJ32" s="78">
        <f t="shared" si="37"/>
        <v>60.000000000002274</v>
      </c>
      <c r="BK32" s="65">
        <v>223.48</v>
      </c>
      <c r="BL32" s="78">
        <f t="shared" si="38"/>
        <v>60.000000000002274</v>
      </c>
      <c r="BM32" s="65">
        <v>206.58</v>
      </c>
      <c r="BN32" s="78">
        <f t="shared" si="39"/>
        <v>50.000000000011369</v>
      </c>
      <c r="BO32" s="65">
        <v>270.26</v>
      </c>
      <c r="BP32" s="78">
        <f t="shared" si="40"/>
        <v>60.000000000002274</v>
      </c>
      <c r="BQ32" s="65">
        <v>33564</v>
      </c>
      <c r="BR32" s="78">
        <f t="shared" si="15"/>
        <v>49</v>
      </c>
      <c r="BS32" s="65">
        <v>187.71</v>
      </c>
      <c r="BT32" s="78">
        <f t="shared" si="41"/>
        <v>50.000000000011369</v>
      </c>
      <c r="BU32" s="65">
        <v>24425</v>
      </c>
      <c r="BV32" s="78">
        <f t="shared" si="16"/>
        <v>49</v>
      </c>
      <c r="BW32" s="65">
        <v>217.04</v>
      </c>
      <c r="BX32" s="78">
        <f t="shared" si="42"/>
        <v>49.999999999982947</v>
      </c>
      <c r="BY32" s="65">
        <v>40348</v>
      </c>
      <c r="BZ32" s="78">
        <f t="shared" si="17"/>
        <v>78</v>
      </c>
      <c r="CA32" s="65">
        <v>24050.2</v>
      </c>
      <c r="CB32" s="83">
        <f t="shared" si="18"/>
        <v>43.900000000001455</v>
      </c>
      <c r="CC32" s="65">
        <v>10217.4</v>
      </c>
      <c r="CD32" s="83">
        <f t="shared" si="19"/>
        <v>18.299999999999272</v>
      </c>
      <c r="CE32" s="65">
        <v>4856.6000000000004</v>
      </c>
      <c r="CF32" s="83">
        <f t="shared" si="20"/>
        <v>8.7000000000007276</v>
      </c>
      <c r="CG32" s="65">
        <v>36380.1</v>
      </c>
      <c r="CH32" s="83">
        <f t="shared" si="21"/>
        <v>69.900000000001455</v>
      </c>
      <c r="CI32" s="65">
        <v>814051</v>
      </c>
      <c r="CJ32" s="83">
        <f t="shared" si="1"/>
        <v>332</v>
      </c>
      <c r="CK32" s="65">
        <v>488.4</v>
      </c>
      <c r="CL32" s="77">
        <f t="shared" si="22"/>
        <v>839.99999999997499</v>
      </c>
      <c r="CM32" s="83">
        <v>94</v>
      </c>
      <c r="CN32" s="79">
        <v>34</v>
      </c>
      <c r="CO32" s="79">
        <v>106</v>
      </c>
    </row>
    <row r="33" spans="1:93" ht="25.5" customHeight="1" thickBot="1" x14ac:dyDescent="0.5">
      <c r="A33" s="76">
        <v>43829</v>
      </c>
      <c r="B33" s="85"/>
      <c r="C33" s="65">
        <v>1.3886000000000001</v>
      </c>
      <c r="D33" s="77">
        <f t="shared" si="2"/>
        <v>3400.0000000000696</v>
      </c>
      <c r="E33" s="65">
        <v>2.3178999999999998</v>
      </c>
      <c r="F33" s="77">
        <f t="shared" si="3"/>
        <v>3600.0000000000477</v>
      </c>
      <c r="G33" s="65">
        <v>2.1549999999999998</v>
      </c>
      <c r="H33" s="77">
        <f t="shared" si="4"/>
        <v>3299.9999999998586</v>
      </c>
      <c r="I33" s="65">
        <v>1004</v>
      </c>
      <c r="J33" s="77">
        <f t="shared" si="5"/>
        <v>1600.0000000000227</v>
      </c>
      <c r="K33" s="65">
        <v>1.5464</v>
      </c>
      <c r="L33" s="77">
        <f t="shared" si="0"/>
        <v>3200.0000000000919</v>
      </c>
      <c r="M33" s="65">
        <v>969.36</v>
      </c>
      <c r="N33" s="78">
        <f t="shared" si="23"/>
        <v>1580.0000000000409</v>
      </c>
      <c r="O33" s="65">
        <v>10835</v>
      </c>
      <c r="P33" s="83">
        <f>IF((O33-O32&lt;0), "",O33-O32)</f>
        <v>22</v>
      </c>
      <c r="Q33" s="65">
        <v>4308</v>
      </c>
      <c r="R33" s="83">
        <f t="shared" si="7"/>
        <v>8</v>
      </c>
      <c r="S33" s="65">
        <v>708037</v>
      </c>
      <c r="T33" s="83">
        <f t="shared" si="8"/>
        <v>1435</v>
      </c>
      <c r="U33" s="65">
        <v>286547</v>
      </c>
      <c r="V33" s="83">
        <f t="shared" si="9"/>
        <v>536</v>
      </c>
      <c r="W33" s="65">
        <v>279.81</v>
      </c>
      <c r="X33" s="78">
        <f t="shared" si="43"/>
        <v>500</v>
      </c>
      <c r="Y33" s="65">
        <v>2.0583999999999998</v>
      </c>
      <c r="Z33" s="78">
        <f t="shared" si="24"/>
        <v>3199.9999999996476</v>
      </c>
      <c r="AA33" s="65">
        <v>277.81</v>
      </c>
      <c r="AB33" s="78">
        <f t="shared" si="25"/>
        <v>519.99999999998181</v>
      </c>
      <c r="AC33" s="65">
        <v>252.42</v>
      </c>
      <c r="AD33" s="78">
        <f t="shared" si="26"/>
        <v>259.99999999999091</v>
      </c>
      <c r="AE33" s="65">
        <v>372.95</v>
      </c>
      <c r="AF33" s="78">
        <f t="shared" si="27"/>
        <v>729.99999999996135</v>
      </c>
      <c r="AG33" s="85">
        <v>989.1</v>
      </c>
      <c r="AH33" s="83">
        <f t="shared" si="10"/>
        <v>2</v>
      </c>
      <c r="AI33" s="85">
        <v>348.52</v>
      </c>
      <c r="AJ33" s="78">
        <f t="shared" si="28"/>
        <v>539.99999999996362</v>
      </c>
      <c r="AK33" s="85">
        <v>120.08</v>
      </c>
      <c r="AL33" s="78">
        <f t="shared" si="11"/>
        <v>0.17000000000000171</v>
      </c>
      <c r="AM33" s="80">
        <v>121.81</v>
      </c>
      <c r="AN33" s="78">
        <f t="shared" si="12"/>
        <v>0.23000000000000398</v>
      </c>
      <c r="AO33" s="80">
        <v>120.56</v>
      </c>
      <c r="AP33" s="78">
        <f t="shared" si="13"/>
        <v>0.26999999999999602</v>
      </c>
      <c r="AQ33" s="65">
        <v>195.89</v>
      </c>
      <c r="AR33" s="78">
        <f t="shared" si="29"/>
        <v>319.99999999999318</v>
      </c>
      <c r="AS33" s="65">
        <v>318.04000000000002</v>
      </c>
      <c r="AT33" s="78">
        <f t="shared" si="30"/>
        <v>319.99999999999318</v>
      </c>
      <c r="AU33" s="65">
        <v>244.08</v>
      </c>
      <c r="AV33" s="78">
        <f t="shared" si="31"/>
        <v>180.00000000000682</v>
      </c>
      <c r="AW33" s="65">
        <v>275.82</v>
      </c>
      <c r="AX33" s="78">
        <f t="shared" si="32"/>
        <v>250</v>
      </c>
      <c r="AY33" s="80">
        <v>328.06</v>
      </c>
      <c r="AZ33" s="78">
        <f t="shared" si="33"/>
        <v>60.000000000002274</v>
      </c>
      <c r="BA33" s="80">
        <v>347.32</v>
      </c>
      <c r="BB33" s="78">
        <f t="shared" si="34"/>
        <v>319.99999999999318</v>
      </c>
      <c r="BC33" s="80">
        <v>198.5</v>
      </c>
      <c r="BD33" s="78">
        <f t="shared" si="35"/>
        <v>229.99999999998977</v>
      </c>
      <c r="BE33" s="80">
        <v>22034</v>
      </c>
      <c r="BF33" s="83">
        <f t="shared" si="14"/>
        <v>49</v>
      </c>
      <c r="BG33" s="65">
        <v>219.27</v>
      </c>
      <c r="BH33" s="78">
        <f t="shared" si="36"/>
        <v>30.000000000001137</v>
      </c>
      <c r="BI33" s="65">
        <v>275.64</v>
      </c>
      <c r="BJ33" s="78">
        <f t="shared" si="37"/>
        <v>39.99999999996362</v>
      </c>
      <c r="BK33" s="65">
        <v>223.53</v>
      </c>
      <c r="BL33" s="78">
        <f t="shared" si="38"/>
        <v>50.000000000011369</v>
      </c>
      <c r="BM33" s="65">
        <v>206.62</v>
      </c>
      <c r="BN33" s="78">
        <f t="shared" si="39"/>
        <v>39.999999999992042</v>
      </c>
      <c r="BO33" s="65">
        <v>270.3</v>
      </c>
      <c r="BP33" s="78">
        <f t="shared" si="40"/>
        <v>40.000000000020464</v>
      </c>
      <c r="BQ33" s="65">
        <v>33594</v>
      </c>
      <c r="BR33" s="78">
        <f t="shared" si="15"/>
        <v>30</v>
      </c>
      <c r="BS33" s="65">
        <v>187.75</v>
      </c>
      <c r="BT33" s="78">
        <f t="shared" si="41"/>
        <v>39.999999999992042</v>
      </c>
      <c r="BU33" s="65">
        <v>24458</v>
      </c>
      <c r="BV33" s="78">
        <f t="shared" si="16"/>
        <v>33</v>
      </c>
      <c r="BW33" s="65">
        <v>217.09</v>
      </c>
      <c r="BX33" s="78">
        <f t="shared" si="42"/>
        <v>50.000000000011369</v>
      </c>
      <c r="BY33" s="65">
        <v>40404</v>
      </c>
      <c r="BZ33" s="78">
        <f t="shared" si="17"/>
        <v>56</v>
      </c>
      <c r="CA33" s="65">
        <v>24074.2</v>
      </c>
      <c r="CB33" s="83">
        <f t="shared" si="18"/>
        <v>24</v>
      </c>
      <c r="CC33" s="65">
        <v>10217.4</v>
      </c>
      <c r="CD33" s="83">
        <f t="shared" si="19"/>
        <v>0</v>
      </c>
      <c r="CE33" s="65">
        <v>4863.3999999999996</v>
      </c>
      <c r="CF33" s="83">
        <f t="shared" si="20"/>
        <v>6.7999999999992724</v>
      </c>
      <c r="CG33" s="65">
        <v>36441.800000000003</v>
      </c>
      <c r="CH33" s="83">
        <f t="shared" si="21"/>
        <v>61.700000000004366</v>
      </c>
      <c r="CI33" s="65">
        <v>814390</v>
      </c>
      <c r="CJ33" s="83">
        <f t="shared" si="1"/>
        <v>339</v>
      </c>
      <c r="CK33" s="65">
        <v>489.11</v>
      </c>
      <c r="CL33" s="77">
        <f t="shared" si="22"/>
        <v>710.00000000003638</v>
      </c>
      <c r="CM33" s="83">
        <v>110</v>
      </c>
      <c r="CN33" s="79">
        <v>38</v>
      </c>
      <c r="CO33" s="79">
        <v>119</v>
      </c>
    </row>
    <row r="34" spans="1:93" ht="25.5" customHeight="1" thickBot="1" x14ac:dyDescent="0.5">
      <c r="A34" s="76">
        <v>43830</v>
      </c>
      <c r="B34" s="85"/>
      <c r="C34" s="65">
        <v>1.3920999999999999</v>
      </c>
      <c r="D34" s="77">
        <f t="shared" si="2"/>
        <v>3499.9999999998367</v>
      </c>
      <c r="E34" s="65">
        <v>2.3218999999999999</v>
      </c>
      <c r="F34" s="77">
        <f t="shared" si="3"/>
        <v>4000.0000000000036</v>
      </c>
      <c r="G34" s="65">
        <v>2.1587000000000001</v>
      </c>
      <c r="H34" s="77">
        <f t="shared" si="4"/>
        <v>3700.0000000002588</v>
      </c>
      <c r="I34" s="65">
        <v>1005.7</v>
      </c>
      <c r="J34" s="77">
        <f t="shared" si="5"/>
        <v>1700.0000000000455</v>
      </c>
      <c r="K34" s="65">
        <v>1.5496000000000001</v>
      </c>
      <c r="L34" s="77">
        <f t="shared" si="0"/>
        <v>3200.0000000000919</v>
      </c>
      <c r="M34" s="65">
        <v>970.95</v>
      </c>
      <c r="N34" s="78">
        <f t="shared" si="23"/>
        <v>1590.0000000000318</v>
      </c>
      <c r="O34" s="65">
        <v>10857</v>
      </c>
      <c r="P34" s="83">
        <f>IF((O34-O33&lt;0), "",O34-O33)</f>
        <v>22</v>
      </c>
      <c r="Q34" s="65">
        <v>4317</v>
      </c>
      <c r="R34" s="83">
        <f t="shared" si="7"/>
        <v>9</v>
      </c>
      <c r="S34" s="65">
        <v>709280</v>
      </c>
      <c r="T34" s="83">
        <f t="shared" si="8"/>
        <v>1243</v>
      </c>
      <c r="U34" s="65">
        <v>287080</v>
      </c>
      <c r="V34" s="83">
        <f t="shared" si="9"/>
        <v>533</v>
      </c>
      <c r="W34" s="65">
        <v>280.32</v>
      </c>
      <c r="X34" s="78">
        <f t="shared" si="43"/>
        <v>509.99999999999091</v>
      </c>
      <c r="Y34" s="65">
        <v>2.0621</v>
      </c>
      <c r="Z34" s="78">
        <f t="shared" si="24"/>
        <v>3700.0000000002588</v>
      </c>
      <c r="AA34" s="65">
        <v>278.31</v>
      </c>
      <c r="AB34" s="78">
        <f t="shared" si="25"/>
        <v>500</v>
      </c>
      <c r="AC34" s="65">
        <v>252.73</v>
      </c>
      <c r="AD34" s="78">
        <f t="shared" si="26"/>
        <v>310.00000000000227</v>
      </c>
      <c r="AE34" s="65">
        <v>373.77</v>
      </c>
      <c r="AF34" s="78">
        <f t="shared" si="27"/>
        <v>819.99999999999318</v>
      </c>
      <c r="AG34" s="85">
        <v>991.1</v>
      </c>
      <c r="AH34" s="83">
        <f t="shared" si="10"/>
        <v>2</v>
      </c>
      <c r="AI34" s="85">
        <v>349.18</v>
      </c>
      <c r="AJ34" s="78">
        <f t="shared" si="28"/>
        <v>660.00000000002501</v>
      </c>
      <c r="AK34" s="85">
        <v>120.26</v>
      </c>
      <c r="AL34" s="78">
        <f t="shared" si="11"/>
        <v>0.18000000000000682</v>
      </c>
      <c r="AM34" s="80">
        <v>122.05</v>
      </c>
      <c r="AN34" s="78">
        <f t="shared" si="12"/>
        <v>0.23999999999999488</v>
      </c>
      <c r="AO34" s="80">
        <v>120.87</v>
      </c>
      <c r="AP34" s="78">
        <f t="shared" si="13"/>
        <v>0.31000000000000227</v>
      </c>
      <c r="AQ34" s="65">
        <v>196.19</v>
      </c>
      <c r="AR34" s="78">
        <f t="shared" si="29"/>
        <v>300.00000000001137</v>
      </c>
      <c r="AS34" s="65">
        <v>318.33999999999997</v>
      </c>
      <c r="AT34" s="78">
        <f t="shared" si="30"/>
        <v>299.99999999995453</v>
      </c>
      <c r="AU34" s="65">
        <v>244.25</v>
      </c>
      <c r="AV34" s="78">
        <f t="shared" si="31"/>
        <v>169.99999999998749</v>
      </c>
      <c r="AW34" s="65">
        <v>276.08</v>
      </c>
      <c r="AX34" s="78">
        <f t="shared" si="32"/>
        <v>259.99999999999091</v>
      </c>
      <c r="AY34" s="80">
        <v>328.12</v>
      </c>
      <c r="AZ34" s="78">
        <f t="shared" si="33"/>
        <v>60.000000000002274</v>
      </c>
      <c r="BA34" s="80">
        <v>347.64</v>
      </c>
      <c r="BB34" s="78">
        <f t="shared" si="34"/>
        <v>319.99999999999318</v>
      </c>
      <c r="BC34" s="80">
        <v>198.74</v>
      </c>
      <c r="BD34" s="78">
        <f t="shared" si="35"/>
        <v>240.00000000000909</v>
      </c>
      <c r="BE34" s="80">
        <v>22103</v>
      </c>
      <c r="BF34" s="83">
        <f>IF((BE34-BE33&lt;0), "",BE34-BE33)</f>
        <v>69</v>
      </c>
      <c r="BG34" s="65">
        <v>219.3</v>
      </c>
      <c r="BH34" s="78">
        <f t="shared" si="36"/>
        <v>30.000000000001137</v>
      </c>
      <c r="BI34" s="65">
        <v>275.68</v>
      </c>
      <c r="BJ34" s="78">
        <f t="shared" si="37"/>
        <v>40.000000000020464</v>
      </c>
      <c r="BK34" s="65">
        <v>223.58</v>
      </c>
      <c r="BL34" s="78">
        <f t="shared" si="38"/>
        <v>50.000000000011369</v>
      </c>
      <c r="BM34" s="65">
        <v>206.66</v>
      </c>
      <c r="BN34" s="78">
        <f t="shared" si="39"/>
        <v>39.999999999992042</v>
      </c>
      <c r="BO34" s="65">
        <v>270.35000000000002</v>
      </c>
      <c r="BP34" s="78">
        <f t="shared" si="40"/>
        <v>50.000000000011369</v>
      </c>
      <c r="BQ34" s="65">
        <v>33624</v>
      </c>
      <c r="BR34" s="78">
        <f t="shared" si="15"/>
        <v>30</v>
      </c>
      <c r="BS34" s="65">
        <v>187.8</v>
      </c>
      <c r="BT34" s="78">
        <f t="shared" si="41"/>
        <v>50.000000000011369</v>
      </c>
      <c r="BU34" s="65">
        <v>24490</v>
      </c>
      <c r="BV34" s="78">
        <f t="shared" si="16"/>
        <v>32</v>
      </c>
      <c r="BW34" s="65">
        <v>217.13</v>
      </c>
      <c r="BX34" s="78">
        <f t="shared" si="42"/>
        <v>39.999999999992042</v>
      </c>
      <c r="BY34" s="65">
        <v>40465</v>
      </c>
      <c r="BZ34" s="83">
        <f t="shared" si="17"/>
        <v>61</v>
      </c>
      <c r="CA34" s="65">
        <v>24112.2</v>
      </c>
      <c r="CB34" s="83">
        <f t="shared" si="18"/>
        <v>38</v>
      </c>
      <c r="CC34" s="65">
        <v>10262.5</v>
      </c>
      <c r="CD34" s="83">
        <f t="shared" si="19"/>
        <v>45.100000000000364</v>
      </c>
      <c r="CE34" s="65">
        <v>4867.2</v>
      </c>
      <c r="CF34" s="83">
        <f t="shared" si="20"/>
        <v>3.8000000000001819</v>
      </c>
      <c r="CG34" s="65">
        <v>36508.199999999997</v>
      </c>
      <c r="CH34" s="83">
        <f t="shared" si="21"/>
        <v>66.399999999994179</v>
      </c>
      <c r="CI34" s="65">
        <v>814763</v>
      </c>
      <c r="CJ34" s="83">
        <f t="shared" si="1"/>
        <v>373</v>
      </c>
      <c r="CK34" s="65">
        <v>489.93</v>
      </c>
      <c r="CL34" s="77">
        <f t="shared" si="22"/>
        <v>819.99999999999318</v>
      </c>
      <c r="CM34" s="83">
        <v>104.3</v>
      </c>
      <c r="CN34" s="79">
        <v>38</v>
      </c>
      <c r="CO34" s="79">
        <v>104</v>
      </c>
    </row>
    <row r="35" spans="1:93" ht="20.399999999999999" x14ac:dyDescent="0.45">
      <c r="P35" s="86">
        <f>SUM(P4:P33)</f>
        <v>573</v>
      </c>
      <c r="R35" s="86">
        <f>SUM(R4:R33)</f>
        <v>228</v>
      </c>
      <c r="AX35" s="78" t="str">
        <f t="shared" si="32"/>
        <v/>
      </c>
      <c r="BF35" s="86">
        <f>SUM(BF4:BF33)</f>
        <v>1437</v>
      </c>
      <c r="BJ35" s="78" t="str">
        <f t="shared" si="37"/>
        <v/>
      </c>
      <c r="BL35" s="78" t="str">
        <f t="shared" si="38"/>
        <v/>
      </c>
      <c r="BT35" s="78" t="str">
        <f t="shared" si="41"/>
        <v/>
      </c>
      <c r="BV35" s="78" t="str">
        <f t="shared" si="16"/>
        <v/>
      </c>
    </row>
    <row r="36" spans="1:93" ht="20.399999999999999" x14ac:dyDescent="0.45">
      <c r="AX36" s="78">
        <f t="shared" si="32"/>
        <v>0</v>
      </c>
    </row>
    <row r="37" spans="1:93" ht="20.399999999999999" x14ac:dyDescent="0.45">
      <c r="AX37" s="78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4" zoomScaleNormal="100" workbookViewId="0">
      <selection activeCell="E41" sqref="E41"/>
    </sheetView>
  </sheetViews>
  <sheetFormatPr defaultRowHeight="14.4" x14ac:dyDescent="0.3"/>
  <cols>
    <col min="1" max="1" width="13.5546875" style="1" customWidth="1"/>
    <col min="2" max="2" width="7.44140625" style="1" customWidth="1"/>
    <col min="3" max="3" width="8.5546875" style="1" customWidth="1"/>
    <col min="4" max="4" width="8.109375" style="1" customWidth="1"/>
    <col min="5" max="5" width="7.5546875" style="1" customWidth="1"/>
    <col min="6" max="6" width="11.44140625" style="1" customWidth="1"/>
    <col min="7" max="7" width="8.88671875" style="1"/>
    <col min="8" max="8" width="7.5546875" style="1" customWidth="1"/>
    <col min="9" max="9" width="8.88671875" style="1"/>
    <col min="10" max="10" width="8.44140625" style="1" customWidth="1"/>
    <col min="11" max="11" width="8" style="1" customWidth="1"/>
    <col min="12" max="13" width="7.5546875" style="1" customWidth="1"/>
    <col min="14" max="16" width="8.88671875" style="1"/>
    <col min="17" max="17" width="9.5546875" style="1" bestFit="1" customWidth="1"/>
  </cols>
  <sheetData>
    <row r="3" spans="1:17" x14ac:dyDescent="0.3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3">
      <c r="A4" s="106" t="s">
        <v>0</v>
      </c>
      <c r="B4" s="109" t="s">
        <v>54</v>
      </c>
      <c r="C4" s="109" t="s">
        <v>55</v>
      </c>
      <c r="D4" s="112" t="s">
        <v>56</v>
      </c>
      <c r="E4" s="95" t="s">
        <v>57</v>
      </c>
      <c r="F4" s="115"/>
      <c r="G4" s="115"/>
      <c r="H4" s="115"/>
      <c r="I4" s="115"/>
      <c r="J4" s="96"/>
      <c r="K4" s="103" t="s">
        <v>58</v>
      </c>
      <c r="L4" s="104"/>
      <c r="M4" s="105"/>
      <c r="N4" s="94" t="s">
        <v>37</v>
      </c>
      <c r="O4" s="94"/>
      <c r="P4" s="94"/>
      <c r="Q4" s="94"/>
    </row>
    <row r="5" spans="1:17" ht="33.75" customHeight="1" x14ac:dyDescent="0.3">
      <c r="A5" s="107"/>
      <c r="B5" s="110"/>
      <c r="C5" s="110"/>
      <c r="D5" s="113"/>
      <c r="E5" s="95" t="s">
        <v>59</v>
      </c>
      <c r="F5" s="96"/>
      <c r="G5" s="95" t="s">
        <v>60</v>
      </c>
      <c r="H5" s="96"/>
      <c r="I5" s="95" t="s">
        <v>61</v>
      </c>
      <c r="J5" s="96"/>
      <c r="K5" s="97" t="s">
        <v>62</v>
      </c>
      <c r="L5" s="98"/>
      <c r="M5" s="99"/>
      <c r="N5" s="100" t="s">
        <v>63</v>
      </c>
      <c r="O5" s="101"/>
      <c r="P5" s="101"/>
      <c r="Q5" s="102"/>
    </row>
    <row r="6" spans="1:17" x14ac:dyDescent="0.3">
      <c r="A6" s="108"/>
      <c r="B6" s="111"/>
      <c r="C6" s="111"/>
      <c r="D6" s="114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3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3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3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3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3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3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3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3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3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3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3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3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3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3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3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3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3">
      <c r="A23" s="47">
        <v>43814</v>
      </c>
      <c r="B23" s="44">
        <v>30</v>
      </c>
      <c r="C23" s="44">
        <v>34</v>
      </c>
      <c r="D23" s="44">
        <v>94</v>
      </c>
      <c r="E23" s="45">
        <v>0</v>
      </c>
      <c r="F23" s="45">
        <v>3980</v>
      </c>
      <c r="G23" s="45">
        <v>10</v>
      </c>
      <c r="H23" s="45">
        <v>1170</v>
      </c>
      <c r="I23" s="45">
        <v>10</v>
      </c>
      <c r="J23" s="45">
        <v>208</v>
      </c>
      <c r="K23" s="46">
        <v>5</v>
      </c>
      <c r="L23" s="46">
        <v>85</v>
      </c>
      <c r="M23" s="46">
        <v>908</v>
      </c>
      <c r="N23" s="43">
        <v>0</v>
      </c>
      <c r="O23" s="43">
        <v>65</v>
      </c>
      <c r="P23" s="43">
        <v>80</v>
      </c>
      <c r="Q23" s="43">
        <v>1966</v>
      </c>
    </row>
    <row r="24" spans="1:17" x14ac:dyDescent="0.3">
      <c r="A24" s="47">
        <v>43815</v>
      </c>
      <c r="B24" s="20">
        <v>35</v>
      </c>
      <c r="C24" s="20">
        <v>37</v>
      </c>
      <c r="D24" s="20">
        <v>102</v>
      </c>
      <c r="E24" s="28">
        <v>0</v>
      </c>
      <c r="F24" s="28">
        <v>3987</v>
      </c>
      <c r="G24" s="28">
        <v>5</v>
      </c>
      <c r="H24" s="28">
        <v>1172</v>
      </c>
      <c r="I24" s="28">
        <v>10</v>
      </c>
      <c r="J24" s="28">
        <v>209</v>
      </c>
      <c r="K24" s="29">
        <v>0</v>
      </c>
      <c r="L24" s="29">
        <v>85</v>
      </c>
      <c r="M24" s="29">
        <v>911</v>
      </c>
      <c r="N24" s="30">
        <v>0</v>
      </c>
      <c r="O24" s="30">
        <v>60</v>
      </c>
      <c r="P24" s="30">
        <v>80</v>
      </c>
      <c r="Q24" s="30">
        <v>1968</v>
      </c>
    </row>
    <row r="25" spans="1:17" x14ac:dyDescent="0.3">
      <c r="A25" s="47">
        <v>43816</v>
      </c>
      <c r="B25" s="20">
        <v>37</v>
      </c>
      <c r="C25" s="20">
        <v>30</v>
      </c>
      <c r="D25" s="20">
        <v>95</v>
      </c>
      <c r="E25" s="28">
        <v>0</v>
      </c>
      <c r="F25" s="28">
        <v>3996</v>
      </c>
      <c r="G25" s="28">
        <v>0</v>
      </c>
      <c r="H25" s="28">
        <v>1174</v>
      </c>
      <c r="I25" s="28">
        <v>10</v>
      </c>
      <c r="J25" s="28">
        <v>209</v>
      </c>
      <c r="K25" s="29">
        <v>0</v>
      </c>
      <c r="L25" s="29">
        <v>85</v>
      </c>
      <c r="M25" s="29">
        <v>914</v>
      </c>
      <c r="N25" s="30">
        <v>0</v>
      </c>
      <c r="O25" s="30">
        <v>60</v>
      </c>
      <c r="P25" s="30">
        <v>80</v>
      </c>
      <c r="Q25" s="30">
        <v>1971</v>
      </c>
    </row>
    <row r="26" spans="1:17" x14ac:dyDescent="0.3">
      <c r="A26" s="47">
        <v>43817</v>
      </c>
      <c r="B26" s="20">
        <v>28</v>
      </c>
      <c r="C26" s="20">
        <v>29</v>
      </c>
      <c r="D26" s="20">
        <v>91</v>
      </c>
      <c r="E26" s="28">
        <v>85</v>
      </c>
      <c r="F26" s="28">
        <v>4005</v>
      </c>
      <c r="G26" s="28">
        <v>80</v>
      </c>
      <c r="H26" s="28">
        <v>1176</v>
      </c>
      <c r="I26" s="28">
        <v>85</v>
      </c>
      <c r="J26" s="28">
        <v>209</v>
      </c>
      <c r="K26" s="29">
        <v>0</v>
      </c>
      <c r="L26" s="29">
        <v>80</v>
      </c>
      <c r="M26" s="29">
        <v>917</v>
      </c>
      <c r="N26" s="30">
        <v>0</v>
      </c>
      <c r="O26" s="30">
        <v>55</v>
      </c>
      <c r="P26" s="30">
        <v>80</v>
      </c>
      <c r="Q26" s="30">
        <v>1974</v>
      </c>
    </row>
    <row r="27" spans="1:17" x14ac:dyDescent="0.3">
      <c r="A27" s="47">
        <v>43818</v>
      </c>
      <c r="B27" s="20">
        <v>34</v>
      </c>
      <c r="C27" s="20">
        <v>32</v>
      </c>
      <c r="D27" s="20">
        <v>97</v>
      </c>
      <c r="E27" s="28">
        <v>85</v>
      </c>
      <c r="F27" s="28">
        <v>4016</v>
      </c>
      <c r="G27" s="28">
        <v>60</v>
      </c>
      <c r="H27" s="28">
        <v>1179</v>
      </c>
      <c r="I27" s="28">
        <v>85</v>
      </c>
      <c r="J27" s="28">
        <v>210</v>
      </c>
      <c r="K27" s="29">
        <v>0</v>
      </c>
      <c r="L27" s="29">
        <v>80</v>
      </c>
      <c r="M27" s="29">
        <v>920</v>
      </c>
      <c r="N27" s="30">
        <v>0</v>
      </c>
      <c r="O27" s="30">
        <v>50</v>
      </c>
      <c r="P27" s="30">
        <v>80</v>
      </c>
      <c r="Q27" s="30">
        <v>1978</v>
      </c>
    </row>
    <row r="28" spans="1:17" x14ac:dyDescent="0.3">
      <c r="A28" s="47">
        <v>43819</v>
      </c>
      <c r="B28" s="20">
        <v>42</v>
      </c>
      <c r="C28" s="20">
        <v>38</v>
      </c>
      <c r="D28" s="20">
        <v>119</v>
      </c>
      <c r="E28" s="28">
        <v>85</v>
      </c>
      <c r="F28" s="28">
        <v>4027</v>
      </c>
      <c r="G28" s="28">
        <v>45</v>
      </c>
      <c r="H28" s="28">
        <v>1181</v>
      </c>
      <c r="I28" s="28">
        <v>85</v>
      </c>
      <c r="J28" s="28">
        <v>213</v>
      </c>
      <c r="K28" s="29">
        <v>0</v>
      </c>
      <c r="L28" s="29">
        <v>80</v>
      </c>
      <c r="M28" s="29">
        <v>923</v>
      </c>
      <c r="N28" s="30">
        <v>0</v>
      </c>
      <c r="O28" s="30">
        <v>45</v>
      </c>
      <c r="P28" s="30">
        <v>80</v>
      </c>
      <c r="Q28" s="30">
        <v>1982</v>
      </c>
    </row>
    <row r="29" spans="1:17" x14ac:dyDescent="0.3">
      <c r="A29" s="47">
        <v>43820</v>
      </c>
      <c r="B29" s="44">
        <v>45</v>
      </c>
      <c r="C29" s="44">
        <v>40</v>
      </c>
      <c r="D29" s="44">
        <v>127</v>
      </c>
      <c r="E29" s="45">
        <v>85</v>
      </c>
      <c r="F29" s="45">
        <v>4037</v>
      </c>
      <c r="G29" s="45">
        <v>30</v>
      </c>
      <c r="H29" s="45">
        <v>1183</v>
      </c>
      <c r="I29" s="45">
        <v>85</v>
      </c>
      <c r="J29" s="45">
        <v>213</v>
      </c>
      <c r="K29" s="46">
        <v>0</v>
      </c>
      <c r="L29" s="46">
        <v>75</v>
      </c>
      <c r="M29" s="46">
        <v>926</v>
      </c>
      <c r="N29" s="43">
        <v>0</v>
      </c>
      <c r="O29" s="43">
        <v>43</v>
      </c>
      <c r="P29" s="43">
        <v>80</v>
      </c>
      <c r="Q29" s="43">
        <v>1986</v>
      </c>
    </row>
    <row r="30" spans="1:17" x14ac:dyDescent="0.3">
      <c r="A30" s="47">
        <v>43821</v>
      </c>
      <c r="B30" s="20">
        <v>62</v>
      </c>
      <c r="C30" s="20">
        <v>48</v>
      </c>
      <c r="D30" s="20">
        <v>150</v>
      </c>
      <c r="E30" s="28">
        <v>85</v>
      </c>
      <c r="F30" s="28">
        <v>4046</v>
      </c>
      <c r="G30" s="28">
        <v>20</v>
      </c>
      <c r="H30" s="28">
        <v>1185</v>
      </c>
      <c r="I30" s="28">
        <v>85</v>
      </c>
      <c r="J30" s="28">
        <v>213</v>
      </c>
      <c r="K30" s="29">
        <v>0</v>
      </c>
      <c r="L30" s="29">
        <v>70</v>
      </c>
      <c r="M30" s="29">
        <v>929</v>
      </c>
      <c r="N30" s="30">
        <v>0</v>
      </c>
      <c r="O30" s="30">
        <v>35</v>
      </c>
      <c r="P30" s="30">
        <v>85</v>
      </c>
      <c r="Q30" s="30">
        <v>1990</v>
      </c>
    </row>
    <row r="31" spans="1:17" x14ac:dyDescent="0.3">
      <c r="A31" s="47">
        <v>43822</v>
      </c>
      <c r="B31" s="20">
        <v>52</v>
      </c>
      <c r="C31" s="20">
        <v>41</v>
      </c>
      <c r="D31" s="20">
        <v>132</v>
      </c>
      <c r="E31" s="28">
        <v>85</v>
      </c>
      <c r="F31" s="28">
        <v>4055</v>
      </c>
      <c r="G31" s="28">
        <v>5</v>
      </c>
      <c r="H31" s="28">
        <v>1188</v>
      </c>
      <c r="I31" s="28">
        <v>85</v>
      </c>
      <c r="J31" s="28">
        <v>214</v>
      </c>
      <c r="K31" s="29">
        <v>0</v>
      </c>
      <c r="L31" s="29">
        <v>67</v>
      </c>
      <c r="M31" s="29">
        <v>933</v>
      </c>
      <c r="N31" s="30">
        <v>0</v>
      </c>
      <c r="O31" s="30">
        <v>35</v>
      </c>
      <c r="P31" s="30">
        <v>80</v>
      </c>
      <c r="Q31" s="30">
        <v>1992</v>
      </c>
    </row>
    <row r="32" spans="1:17" x14ac:dyDescent="0.3">
      <c r="A32" s="47">
        <v>43823</v>
      </c>
      <c r="B32" s="20">
        <v>54</v>
      </c>
      <c r="C32" s="20">
        <v>42</v>
      </c>
      <c r="D32" s="20">
        <v>136</v>
      </c>
      <c r="E32" s="28">
        <v>85</v>
      </c>
      <c r="F32" s="28">
        <v>4062</v>
      </c>
      <c r="G32" s="28">
        <v>5</v>
      </c>
      <c r="H32" s="28">
        <v>1190</v>
      </c>
      <c r="I32" s="28">
        <v>85</v>
      </c>
      <c r="J32" s="28">
        <v>217</v>
      </c>
      <c r="K32" s="29">
        <v>0</v>
      </c>
      <c r="L32" s="29">
        <v>65</v>
      </c>
      <c r="M32" s="29">
        <v>935</v>
      </c>
      <c r="N32" s="30">
        <v>0</v>
      </c>
      <c r="O32" s="30">
        <v>30</v>
      </c>
      <c r="P32" s="30">
        <v>80</v>
      </c>
      <c r="Q32" s="30">
        <v>1996</v>
      </c>
    </row>
    <row r="33" spans="1:17" x14ac:dyDescent="0.3">
      <c r="A33" s="47">
        <v>43824</v>
      </c>
      <c r="B33" s="20">
        <v>45</v>
      </c>
      <c r="C33" s="20">
        <v>36</v>
      </c>
      <c r="D33" s="20">
        <v>114</v>
      </c>
      <c r="E33" s="28">
        <v>75</v>
      </c>
      <c r="F33" s="28">
        <v>4072</v>
      </c>
      <c r="G33" s="28">
        <v>0</v>
      </c>
      <c r="H33" s="28">
        <v>1192</v>
      </c>
      <c r="I33" s="28">
        <v>85</v>
      </c>
      <c r="J33" s="28">
        <v>220</v>
      </c>
      <c r="K33" s="29">
        <v>0</v>
      </c>
      <c r="L33" s="29">
        <v>60</v>
      </c>
      <c r="M33" s="29">
        <v>938</v>
      </c>
      <c r="N33" s="30">
        <v>0</v>
      </c>
      <c r="O33" s="30">
        <v>30</v>
      </c>
      <c r="P33" s="30">
        <v>80</v>
      </c>
      <c r="Q33" s="30">
        <v>1999</v>
      </c>
    </row>
    <row r="34" spans="1:17" x14ac:dyDescent="0.3">
      <c r="A34" s="47">
        <v>43825</v>
      </c>
      <c r="B34" s="44">
        <v>45</v>
      </c>
      <c r="C34" s="44">
        <v>36</v>
      </c>
      <c r="D34" s="44">
        <v>114</v>
      </c>
      <c r="E34" s="45">
        <v>55</v>
      </c>
      <c r="F34" s="45">
        <v>4080</v>
      </c>
      <c r="G34" s="45">
        <v>0</v>
      </c>
      <c r="H34" s="45">
        <v>1195</v>
      </c>
      <c r="I34" s="45">
        <v>85</v>
      </c>
      <c r="J34" s="45">
        <v>223</v>
      </c>
      <c r="K34" s="46">
        <v>0</v>
      </c>
      <c r="L34" s="46">
        <v>55</v>
      </c>
      <c r="M34" s="46">
        <v>942</v>
      </c>
      <c r="N34" s="43">
        <v>0</v>
      </c>
      <c r="O34" s="43">
        <v>25</v>
      </c>
      <c r="P34" s="43">
        <v>80</v>
      </c>
      <c r="Q34" s="43">
        <v>2002</v>
      </c>
    </row>
    <row r="35" spans="1:17" x14ac:dyDescent="0.3">
      <c r="A35" s="47">
        <v>43826</v>
      </c>
      <c r="B35" s="44">
        <v>41</v>
      </c>
      <c r="C35" s="44">
        <v>34</v>
      </c>
      <c r="D35" s="44">
        <v>105</v>
      </c>
      <c r="E35" s="45">
        <v>40</v>
      </c>
      <c r="F35" s="45">
        <v>4089</v>
      </c>
      <c r="G35" s="45">
        <v>0</v>
      </c>
      <c r="H35" s="45">
        <v>1198</v>
      </c>
      <c r="I35" s="45">
        <v>85</v>
      </c>
      <c r="J35" s="45">
        <v>223</v>
      </c>
      <c r="K35" s="46">
        <v>0</v>
      </c>
      <c r="L35" s="46">
        <v>50</v>
      </c>
      <c r="M35" s="46">
        <v>945</v>
      </c>
      <c r="N35" s="43">
        <v>0</v>
      </c>
      <c r="O35" s="43">
        <v>20</v>
      </c>
      <c r="P35" s="43">
        <v>80</v>
      </c>
      <c r="Q35" s="43">
        <v>2004</v>
      </c>
    </row>
    <row r="36" spans="1:17" x14ac:dyDescent="0.3">
      <c r="A36" s="47">
        <v>43827</v>
      </c>
      <c r="B36" s="44">
        <v>44</v>
      </c>
      <c r="C36" s="44">
        <v>35</v>
      </c>
      <c r="D36" s="44">
        <v>108</v>
      </c>
      <c r="E36" s="45">
        <v>30</v>
      </c>
      <c r="F36" s="45">
        <v>4097</v>
      </c>
      <c r="G36" s="45">
        <v>0</v>
      </c>
      <c r="H36" s="45">
        <v>1200</v>
      </c>
      <c r="I36" s="45">
        <v>85</v>
      </c>
      <c r="J36" s="45">
        <v>223</v>
      </c>
      <c r="K36" s="46">
        <v>0</v>
      </c>
      <c r="L36" s="46">
        <v>45</v>
      </c>
      <c r="M36" s="46">
        <v>948</v>
      </c>
      <c r="N36" s="43">
        <v>0</v>
      </c>
      <c r="O36" s="43">
        <v>20</v>
      </c>
      <c r="P36" s="43">
        <v>80</v>
      </c>
      <c r="Q36" s="43">
        <v>2008</v>
      </c>
    </row>
    <row r="37" spans="1:17" x14ac:dyDescent="0.3">
      <c r="A37" s="47">
        <v>43828</v>
      </c>
      <c r="B37" s="44">
        <v>42</v>
      </c>
      <c r="C37" s="44">
        <v>34</v>
      </c>
      <c r="D37" s="44">
        <v>106</v>
      </c>
      <c r="E37" s="28">
        <v>20</v>
      </c>
      <c r="F37" s="45">
        <v>4105</v>
      </c>
      <c r="G37" s="45">
        <v>0</v>
      </c>
      <c r="H37" s="45">
        <v>1203</v>
      </c>
      <c r="I37" s="45">
        <v>85</v>
      </c>
      <c r="J37" s="45">
        <v>224</v>
      </c>
      <c r="K37" s="29">
        <v>0</v>
      </c>
      <c r="L37" s="46">
        <v>40</v>
      </c>
      <c r="M37" s="46">
        <v>952</v>
      </c>
      <c r="N37" s="30">
        <v>0</v>
      </c>
      <c r="O37" s="43">
        <v>20</v>
      </c>
      <c r="P37" s="43">
        <v>80</v>
      </c>
      <c r="Q37" s="43">
        <v>2010</v>
      </c>
    </row>
    <row r="38" spans="1:17" x14ac:dyDescent="0.3">
      <c r="A38" s="47">
        <v>43829</v>
      </c>
      <c r="B38" s="20">
        <v>48</v>
      </c>
      <c r="C38" s="44">
        <v>38</v>
      </c>
      <c r="D38" s="44">
        <v>119</v>
      </c>
      <c r="E38" s="45">
        <v>5</v>
      </c>
      <c r="F38" s="45">
        <v>4112</v>
      </c>
      <c r="G38" s="45">
        <v>0</v>
      </c>
      <c r="H38" s="45">
        <v>1205</v>
      </c>
      <c r="I38" s="45">
        <v>85</v>
      </c>
      <c r="J38" s="45">
        <v>224</v>
      </c>
      <c r="K38" s="46">
        <v>0</v>
      </c>
      <c r="L38" s="46">
        <v>40</v>
      </c>
      <c r="M38" s="46">
        <v>955</v>
      </c>
      <c r="N38" s="43">
        <v>0</v>
      </c>
      <c r="O38" s="43">
        <v>15</v>
      </c>
      <c r="P38" s="43">
        <v>80</v>
      </c>
      <c r="Q38" s="43">
        <v>2013</v>
      </c>
    </row>
    <row r="39" spans="1:17" x14ac:dyDescent="0.3">
      <c r="A39" s="47">
        <v>43830</v>
      </c>
      <c r="B39" s="44">
        <v>58</v>
      </c>
      <c r="C39" s="44">
        <v>38</v>
      </c>
      <c r="D39" s="44">
        <v>104</v>
      </c>
      <c r="E39" s="45">
        <v>3</v>
      </c>
      <c r="F39" s="45">
        <v>4122</v>
      </c>
      <c r="G39" s="45">
        <v>0</v>
      </c>
      <c r="H39" s="45">
        <v>1205</v>
      </c>
      <c r="I39" s="45">
        <v>85</v>
      </c>
      <c r="J39" s="45">
        <v>225</v>
      </c>
      <c r="K39" s="46">
        <v>0</v>
      </c>
      <c r="L39" s="46">
        <v>40</v>
      </c>
      <c r="M39" s="46">
        <v>956</v>
      </c>
      <c r="N39" s="43">
        <v>0</v>
      </c>
      <c r="O39" s="43">
        <v>10</v>
      </c>
      <c r="P39" s="43">
        <v>80</v>
      </c>
      <c r="Q39" s="43">
        <v>2016</v>
      </c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Daumoo Vicky</cp:lastModifiedBy>
  <dcterms:created xsi:type="dcterms:W3CDTF">2019-08-14T08:16:24Z</dcterms:created>
  <dcterms:modified xsi:type="dcterms:W3CDTF">2020-06-15T04:45:49Z</dcterms:modified>
</cp:coreProperties>
</file>