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<sst xmlns="http://schemas.openxmlformats.org/spreadsheetml/2006/main" count="129" uniqueCount="50">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</sst>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18" sqref="L1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54900</v>
      </c>
      <c r="F2" s="11">
        <v>5.0000000000000001E-3</v>
      </c>
      <c r="G2" s="12">
        <f>Submetering!R2</f>
        <v>668.50340599999993</v>
      </c>
      <c r="H2" s="11">
        <v>0.52800000000000002</v>
      </c>
      <c r="I2" s="12">
        <f>Hotel!B7</f>
        <v>170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57960</v>
      </c>
      <c r="F3" s="11">
        <v>5.0000000000000001E-3</v>
      </c>
      <c r="G3" s="12">
        <f>Submetering!R3</f>
        <v>529.95740000000001</v>
      </c>
      <c r="H3" s="11">
        <v>0.52800000000000002</v>
      </c>
      <c r="I3" s="12">
        <f>Hotel!B8</f>
        <v>182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62050</v>
      </c>
      <c r="F4" s="11">
        <v>5.0000000000000001E-3</v>
      </c>
      <c r="G4" s="12">
        <f>Submetering!R4</f>
        <v>696.5154399999999</v>
      </c>
      <c r="H4" s="11">
        <v>0.52800000000000002</v>
      </c>
      <c r="I4" s="12">
        <f>Hotel!B9</f>
        <v>99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49010</v>
      </c>
      <c r="F5" s="11">
        <v>5.0000000000000001E-3</v>
      </c>
      <c r="G5" s="12">
        <f>Submetering!R5</f>
        <v>684.78066899999999</v>
      </c>
      <c r="H5" s="11">
        <v>0.52800000000000002</v>
      </c>
      <c r="I5" s="12">
        <f>Hotel!B10</f>
        <v>86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53600</v>
      </c>
      <c r="F6" s="11">
        <v>5.0000000000000001E-3</v>
      </c>
      <c r="G6" s="12">
        <f>Submetering!R6</f>
        <v>668.124865</v>
      </c>
      <c r="H6" s="11">
        <v>0.52800000000000002</v>
      </c>
      <c r="I6" s="12">
        <f>Hotel!B11</f>
        <v>126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53450</v>
      </c>
      <c r="F7" s="11">
        <v>5.0000000000000001E-3</v>
      </c>
      <c r="G7" s="12">
        <f>Submetering!R7</f>
        <v>261.95037200000002</v>
      </c>
      <c r="H7" s="11">
        <v>0.52800000000000002</v>
      </c>
      <c r="I7" s="12">
        <f>Hotel!B12</f>
        <v>130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55020</v>
      </c>
      <c r="F8" s="11">
        <v>5.0000000000000001E-3</v>
      </c>
      <c r="G8" s="12">
        <f>Submetering!R8</f>
        <v>194.57007400000001</v>
      </c>
      <c r="H8" s="11">
        <v>0.52800000000000002</v>
      </c>
      <c r="I8" s="12">
        <f>Hotel!B13</f>
        <v>109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58090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159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59180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124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57590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76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55630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77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56390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79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12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2022</v>
      </c>
      <c r="E2" s="4">
        <f>Hotel!Q7</f>
        <v>620</v>
      </c>
      <c r="F2" s="4">
        <f>Hotel!R7</f>
        <v>1860</v>
      </c>
      <c r="G2" s="4">
        <f>Hotel!S7</f>
        <v>3970</v>
      </c>
      <c r="H2" s="4">
        <f>Hotel!T7</f>
        <v>1480</v>
      </c>
      <c r="I2" s="4">
        <f>Hotel!U7</f>
        <v>5610</v>
      </c>
      <c r="J2" s="4">
        <f>Hotel!V7</f>
        <v>4100</v>
      </c>
      <c r="K2" s="4">
        <f>Hotel!W7</f>
        <v>2980</v>
      </c>
      <c r="L2" s="4">
        <f>Hotel!X7</f>
        <v>4520</v>
      </c>
      <c r="M2" s="4">
        <f>Hotel!Y7</f>
        <v>5770</v>
      </c>
      <c r="N2" s="4">
        <f>Hotel!Z7</f>
        <v>2520</v>
      </c>
      <c r="O2" s="4">
        <f>Hotel!AA7</f>
        <v>3180</v>
      </c>
      <c r="P2" s="4">
        <f>Hotel!AB7</f>
        <v>7930</v>
      </c>
      <c r="Q2" s="4">
        <f>Hotel!AC7</f>
        <v>10360</v>
      </c>
      <c r="R2" s="4">
        <f>Hotel!AV7*0.00378541*100</f>
        <v>668.50340599999993</v>
      </c>
      <c r="S2" s="4">
        <f>Hotel!B7</f>
        <v>170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2022</v>
      </c>
      <c r="E3" s="4">
        <f>Hotel!Q8</f>
        <v>580</v>
      </c>
      <c r="F3" s="4">
        <f>Hotel!R8</f>
        <v>1850</v>
      </c>
      <c r="G3" s="4">
        <f>Hotel!S8</f>
        <v>3540</v>
      </c>
      <c r="H3" s="4">
        <f>Hotel!T8</f>
        <v>1470</v>
      </c>
      <c r="I3" s="4">
        <f>Hotel!U8</f>
        <v>5950</v>
      </c>
      <c r="J3" s="4">
        <f>Hotel!V8</f>
        <v>4120</v>
      </c>
      <c r="K3" s="4">
        <f>Hotel!W8</f>
        <v>3260</v>
      </c>
      <c r="L3" s="4">
        <f>Hotel!X8</f>
        <v>4610</v>
      </c>
      <c r="M3" s="4">
        <f>Hotel!Y8</f>
        <v>6040</v>
      </c>
      <c r="N3" s="4">
        <f>Hotel!Z8</f>
        <v>2740</v>
      </c>
      <c r="O3" s="4">
        <f>Hotel!AA8</f>
        <v>3380</v>
      </c>
      <c r="P3" s="4">
        <f>Hotel!AB8</f>
        <v>7760</v>
      </c>
      <c r="Q3" s="4">
        <f>Hotel!AC8</f>
        <v>12660</v>
      </c>
      <c r="R3" s="4">
        <f>Hotel!AV8*0.00378541*100</f>
        <v>529.95740000000001</v>
      </c>
      <c r="S3" s="4">
        <f>Hotel!B8</f>
        <v>182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2022</v>
      </c>
      <c r="E4" s="4">
        <f>Hotel!Q9</f>
        <v>580</v>
      </c>
      <c r="F4" s="4">
        <f>Hotel!R9</f>
        <v>1830</v>
      </c>
      <c r="G4" s="4">
        <f>Hotel!S9</f>
        <v>3280</v>
      </c>
      <c r="H4" s="4">
        <f>Hotel!T9</f>
        <v>1450</v>
      </c>
      <c r="I4" s="4">
        <f>Hotel!U9</f>
        <v>5870</v>
      </c>
      <c r="J4" s="4">
        <f>Hotel!V9</f>
        <v>4080</v>
      </c>
      <c r="K4" s="4">
        <f>Hotel!W9</f>
        <v>3000</v>
      </c>
      <c r="L4" s="4">
        <f>Hotel!X9</f>
        <v>4560</v>
      </c>
      <c r="M4" s="4">
        <f>Hotel!Y9</f>
        <v>5890</v>
      </c>
      <c r="N4" s="4">
        <f>Hotel!Z9</f>
        <v>2600</v>
      </c>
      <c r="O4" s="4">
        <f>Hotel!AA9</f>
        <v>3240</v>
      </c>
      <c r="P4" s="4">
        <f>Hotel!AB9</f>
        <v>9880</v>
      </c>
      <c r="Q4" s="4">
        <f>Hotel!AC9</f>
        <v>15790</v>
      </c>
      <c r="R4" s="4">
        <f>Hotel!AV9*0.00378541*100</f>
        <v>696.5154399999999</v>
      </c>
      <c r="S4" s="4">
        <f>Hotel!B9</f>
        <v>99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2022</v>
      </c>
      <c r="E5" s="4">
        <f>Hotel!Q10</f>
        <v>590</v>
      </c>
      <c r="F5" s="4">
        <f>Hotel!R10</f>
        <v>1870</v>
      </c>
      <c r="G5" s="4">
        <f>Hotel!S10</f>
        <v>3060</v>
      </c>
      <c r="H5" s="4">
        <f>Hotel!T10</f>
        <v>1490</v>
      </c>
      <c r="I5" s="4">
        <f>Hotel!U10</f>
        <v>5360</v>
      </c>
      <c r="J5" s="4">
        <f>Hotel!V10</f>
        <v>4090</v>
      </c>
      <c r="K5" s="4">
        <f>Hotel!W10</f>
        <v>2770</v>
      </c>
      <c r="L5" s="4">
        <f>Hotel!X10</f>
        <v>4240</v>
      </c>
      <c r="M5" s="4">
        <f>Hotel!Y10</f>
        <v>5690</v>
      </c>
      <c r="N5" s="4">
        <f>Hotel!Z10</f>
        <v>2440</v>
      </c>
      <c r="O5" s="4">
        <f>Hotel!AA10</f>
        <v>3160</v>
      </c>
      <c r="P5" s="4">
        <f>Hotel!AB10</f>
        <v>5700</v>
      </c>
      <c r="Q5" s="4">
        <f>Hotel!AC10</f>
        <v>8550</v>
      </c>
      <c r="R5" s="4">
        <f>Hotel!AV10*0.00378541*100</f>
        <v>684.78066899999999</v>
      </c>
      <c r="S5" s="4">
        <f>Hotel!B10</f>
        <v>86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2022</v>
      </c>
      <c r="E6" s="4">
        <f>Hotel!Q11</f>
        <v>590</v>
      </c>
      <c r="F6" s="4">
        <f>Hotel!R11</f>
        <v>1850</v>
      </c>
      <c r="G6" s="4">
        <f>Hotel!S11</f>
        <v>2950</v>
      </c>
      <c r="H6" s="4">
        <f>Hotel!T11</f>
        <v>1430</v>
      </c>
      <c r="I6" s="4">
        <f>Hotel!U11</f>
        <v>5160</v>
      </c>
      <c r="J6" s="4">
        <f>Hotel!V11</f>
        <v>3980</v>
      </c>
      <c r="K6" s="4">
        <f>Hotel!W11</f>
        <v>2860</v>
      </c>
      <c r="L6" s="4">
        <f>Hotel!X11</f>
        <v>4800</v>
      </c>
      <c r="M6" s="4">
        <f>Hotel!Y11</f>
        <v>5480</v>
      </c>
      <c r="N6" s="4">
        <f>Hotel!Z11</f>
        <v>2410</v>
      </c>
      <c r="O6" s="4">
        <f>Hotel!AA11</f>
        <v>3130</v>
      </c>
      <c r="P6" s="4">
        <f>Hotel!AB11</f>
        <v>7710</v>
      </c>
      <c r="Q6" s="4">
        <f>Hotel!AC11</f>
        <v>11250</v>
      </c>
      <c r="R6" s="4">
        <f>Hotel!AV11*0.00378541*100</f>
        <v>668.124865</v>
      </c>
      <c r="S6" s="4">
        <f>Hotel!B11</f>
        <v>126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2022</v>
      </c>
      <c r="E7" s="4">
        <f>Hotel!Q12</f>
        <v>580</v>
      </c>
      <c r="F7" s="4">
        <f>Hotel!R12</f>
        <v>1840</v>
      </c>
      <c r="G7" s="4">
        <f>Hotel!S12</f>
        <v>2800</v>
      </c>
      <c r="H7" s="4">
        <f>Hotel!T12</f>
        <v>1410</v>
      </c>
      <c r="I7" s="4">
        <f>Hotel!U12</f>
        <v>5220</v>
      </c>
      <c r="J7" s="4">
        <f>Hotel!V12</f>
        <v>3880</v>
      </c>
      <c r="K7" s="4">
        <f>Hotel!W12</f>
        <v>3340</v>
      </c>
      <c r="L7" s="4">
        <f>Hotel!X12</f>
        <v>4830</v>
      </c>
      <c r="M7" s="4">
        <f>Hotel!Y12</f>
        <v>5510</v>
      </c>
      <c r="N7" s="4">
        <f>Hotel!Z12</f>
        <v>2360</v>
      </c>
      <c r="O7" s="4">
        <f>Hotel!AA12</f>
        <v>2740</v>
      </c>
      <c r="P7" s="4">
        <f>Hotel!AB12</f>
        <v>7730</v>
      </c>
      <c r="Q7" s="4">
        <f>Hotel!AC12</f>
        <v>11210</v>
      </c>
      <c r="R7" s="4">
        <f>Hotel!AV12*0.00378541*100</f>
        <v>261.95037200000002</v>
      </c>
      <c r="S7" s="4">
        <f>Hotel!B12</f>
        <v>130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2022</v>
      </c>
      <c r="E8" s="4">
        <f>Hotel!Q13</f>
        <v>580</v>
      </c>
      <c r="F8" s="4">
        <f>Hotel!R13</f>
        <v>1830</v>
      </c>
      <c r="G8" s="4">
        <f>Hotel!S13</f>
        <v>2990</v>
      </c>
      <c r="H8" s="4">
        <f>Hotel!T13</f>
        <v>1420</v>
      </c>
      <c r="I8" s="4">
        <f>Hotel!U13</f>
        <v>5790</v>
      </c>
      <c r="J8" s="4">
        <f>Hotel!V13</f>
        <v>4080</v>
      </c>
      <c r="K8" s="4">
        <f>Hotel!W13</f>
        <v>3300</v>
      </c>
      <c r="L8" s="4">
        <f>Hotel!X13</f>
        <v>4780</v>
      </c>
      <c r="M8" s="4">
        <f>Hotel!Y13</f>
        <v>5690</v>
      </c>
      <c r="N8" s="4">
        <f>Hotel!Z13</f>
        <v>2450</v>
      </c>
      <c r="O8" s="4">
        <f>Hotel!AA13</f>
        <v>3310</v>
      </c>
      <c r="P8" s="4">
        <f>Hotel!AB13</f>
        <v>7640</v>
      </c>
      <c r="Q8" s="4">
        <f>Hotel!AC13</f>
        <v>11160</v>
      </c>
      <c r="R8" s="4">
        <f>Hotel!AV13*0.00378541*100</f>
        <v>194.57007400000001</v>
      </c>
      <c r="S8" s="4">
        <f>Hotel!B13</f>
        <v>109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2022</v>
      </c>
      <c r="E9" s="4">
        <f>Hotel!Q14</f>
        <v>590</v>
      </c>
      <c r="F9" s="4">
        <f>Hotel!R14</f>
        <v>1880</v>
      </c>
      <c r="G9" s="4">
        <f>Hotel!S14</f>
        <v>3080</v>
      </c>
      <c r="H9" s="4">
        <f>Hotel!T14</f>
        <v>1450</v>
      </c>
      <c r="I9" s="4">
        <f>Hotel!U14</f>
        <v>5700</v>
      </c>
      <c r="J9" s="4">
        <f>Hotel!V14</f>
        <v>4250</v>
      </c>
      <c r="K9" s="4">
        <f>Hotel!W14</f>
        <v>3570</v>
      </c>
      <c r="L9" s="4">
        <f>Hotel!X14</f>
        <v>4960</v>
      </c>
      <c r="M9" s="4">
        <f>Hotel!Y14</f>
        <v>5980</v>
      </c>
      <c r="N9" s="4">
        <f>Hotel!Z14</f>
        <v>2600</v>
      </c>
      <c r="O9" s="4">
        <f>Hotel!AA14</f>
        <v>3580</v>
      </c>
      <c r="P9" s="4">
        <f>Hotel!AB14</f>
        <v>7890</v>
      </c>
      <c r="Q9" s="4">
        <f>Hotel!AC14</f>
        <v>12560</v>
      </c>
      <c r="R9" s="4">
        <f>Hotel!AV14*0.00378541*100</f>
        <v>0</v>
      </c>
      <c r="S9" s="4">
        <f>Hotel!B14</f>
        <v>159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2022</v>
      </c>
      <c r="E10" s="4">
        <f>Hotel!Q15</f>
        <v>590</v>
      </c>
      <c r="F10" s="4">
        <f>Hotel!R15</f>
        <v>1850</v>
      </c>
      <c r="G10" s="4">
        <f>Hotel!S15</f>
        <v>2950</v>
      </c>
      <c r="H10" s="4">
        <f>Hotel!T15</f>
        <v>1430</v>
      </c>
      <c r="I10" s="4">
        <f>Hotel!U15</f>
        <v>6320</v>
      </c>
      <c r="J10" s="4">
        <f>Hotel!V15</f>
        <v>4220</v>
      </c>
      <c r="K10" s="4">
        <f>Hotel!W15</f>
        <v>3300</v>
      </c>
      <c r="L10" s="4">
        <f>Hotel!X15</f>
        <v>4770</v>
      </c>
      <c r="M10" s="4">
        <f>Hotel!Y15</f>
        <v>6080</v>
      </c>
      <c r="N10" s="4">
        <f>Hotel!Z15</f>
        <v>2620</v>
      </c>
      <c r="O10" s="4">
        <f>Hotel!AA15</f>
        <v>3640</v>
      </c>
      <c r="P10" s="4">
        <f>Hotel!AB15</f>
        <v>7860</v>
      </c>
      <c r="Q10" s="4">
        <f>Hotel!AC15</f>
        <v>13550</v>
      </c>
      <c r="R10" s="4">
        <f>Hotel!AV15*0.00378541*100</f>
        <v>0</v>
      </c>
      <c r="S10" s="4">
        <f>Hotel!B15</f>
        <v>124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2022</v>
      </c>
      <c r="E11" s="4">
        <f>Hotel!Q16</f>
        <v>580</v>
      </c>
      <c r="F11" s="4">
        <f>Hotel!R16</f>
        <v>1850</v>
      </c>
      <c r="G11" s="4">
        <f>Hotel!S16</f>
        <v>2820</v>
      </c>
      <c r="H11" s="4">
        <f>Hotel!T16</f>
        <v>1430</v>
      </c>
      <c r="I11" s="4">
        <f>Hotel!U16</f>
        <v>5910</v>
      </c>
      <c r="J11" s="4">
        <f>Hotel!V16</f>
        <v>4190</v>
      </c>
      <c r="K11" s="4">
        <f>Hotel!W16</f>
        <v>3230</v>
      </c>
      <c r="L11" s="4">
        <f>Hotel!X16</f>
        <v>4770</v>
      </c>
      <c r="M11" s="4">
        <f>Hotel!Y16</f>
        <v>5790</v>
      </c>
      <c r="N11" s="4">
        <f>Hotel!Z16</f>
        <v>2450</v>
      </c>
      <c r="O11" s="4">
        <f>Hotel!AA16</f>
        <v>3470</v>
      </c>
      <c r="P11" s="4">
        <f>Hotel!AB16</f>
        <v>7740</v>
      </c>
      <c r="Q11" s="4">
        <f>Hotel!AC16</f>
        <v>13360</v>
      </c>
      <c r="R11" s="4">
        <f>Hotel!AV16*0.00378541*100</f>
        <v>0</v>
      </c>
      <c r="S11" s="4">
        <f>Hotel!B16</f>
        <v>76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2022</v>
      </c>
      <c r="E12" s="4">
        <f>Hotel!Q17</f>
        <v>590</v>
      </c>
      <c r="F12" s="4">
        <f>Hotel!R17</f>
        <v>1850</v>
      </c>
      <c r="G12" s="4">
        <f>Hotel!S17</f>
        <v>2730</v>
      </c>
      <c r="H12" s="4">
        <f>Hotel!T17</f>
        <v>1420</v>
      </c>
      <c r="I12" s="4">
        <f>Hotel!U17</f>
        <v>5460</v>
      </c>
      <c r="J12" s="4">
        <f>Hotel!V17</f>
        <v>4070</v>
      </c>
      <c r="K12" s="4">
        <f>Hotel!W17</f>
        <v>3380</v>
      </c>
      <c r="L12" s="4">
        <f>Hotel!X17</f>
        <v>4490</v>
      </c>
      <c r="M12" s="4">
        <f>Hotel!Y17</f>
        <v>5490</v>
      </c>
      <c r="N12" s="4">
        <f>Hotel!Z17</f>
        <v>2340</v>
      </c>
      <c r="O12" s="4">
        <f>Hotel!AA17</f>
        <v>3290</v>
      </c>
      <c r="P12" s="4">
        <f>Hotel!AB17</f>
        <v>7830</v>
      </c>
      <c r="Q12" s="4">
        <f>Hotel!AC17</f>
        <v>12690</v>
      </c>
      <c r="R12" s="4">
        <f>Hotel!AV17*0.00378541*100</f>
        <v>0</v>
      </c>
      <c r="S12" s="4">
        <f>Hotel!B17</f>
        <v>77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2022</v>
      </c>
      <c r="E13" s="4">
        <f>Hotel!Q18</f>
        <v>610</v>
      </c>
      <c r="F13" s="4">
        <f>Hotel!R18</f>
        <v>1920</v>
      </c>
      <c r="G13" s="4">
        <f>Hotel!S18</f>
        <v>3090</v>
      </c>
      <c r="H13" s="4">
        <f>Hotel!T18</f>
        <v>1480</v>
      </c>
      <c r="I13" s="4">
        <f>Hotel!U18</f>
        <v>5560</v>
      </c>
      <c r="J13" s="4">
        <f>Hotel!V18</f>
        <v>4120</v>
      </c>
      <c r="K13" s="4">
        <f>Hotel!W18</f>
        <v>3760</v>
      </c>
      <c r="L13" s="4">
        <f>Hotel!X18</f>
        <v>5140</v>
      </c>
      <c r="M13" s="4">
        <f>Hotel!Y18</f>
        <v>5800</v>
      </c>
      <c r="N13" s="4">
        <f>Hotel!Z18</f>
        <v>2330</v>
      </c>
      <c r="O13" s="4">
        <f>Hotel!AA18</f>
        <v>3320</v>
      </c>
      <c r="P13" s="4">
        <f>Hotel!AB18</f>
        <v>7930</v>
      </c>
      <c r="Q13" s="4">
        <f>Hotel!AC18</f>
        <v>11330</v>
      </c>
      <c r="R13" s="4">
        <f>Hotel!AV18*0.00378541*100</f>
        <v>0</v>
      </c>
      <c r="S13" s="4">
        <f>Hotel!B18</f>
        <v>79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2022</v>
      </c>
      <c r="E14" s="4" t="str">
        <f>Hotel!Q19</f>
        <v>0</v>
      </c>
      <c r="F14" s="4" t="str">
        <f>Hotel!R19</f>
        <v>0</v>
      </c>
      <c r="G14" s="4" t="str">
        <f>Hotel!S19</f>
        <v>0</v>
      </c>
      <c r="H14" s="4" t="str">
        <f>Hotel!T19</f>
        <v>0</v>
      </c>
      <c r="I14" s="4" t="str">
        <f>Hotel!U19</f>
        <v>0</v>
      </c>
      <c r="J14" s="4" t="str">
        <f>Hotel!V19</f>
        <v>0</v>
      </c>
      <c r="K14" s="4" t="str">
        <f>Hotel!W19</f>
        <v>0</v>
      </c>
      <c r="L14" s="4" t="str">
        <f>Hotel!X19</f>
        <v>0</v>
      </c>
      <c r="M14" s="4" t="str">
        <f>Hotel!Y19</f>
        <v>0</v>
      </c>
      <c r="N14" s="4" t="str">
        <f>Hotel!Z19</f>
        <v>0</v>
      </c>
      <c r="O14" s="4" t="str">
        <f>Hotel!AA19</f>
        <v>0</v>
      </c>
      <c r="P14" s="4" t="str">
        <f>Hotel!AB19</f>
        <v>0</v>
      </c>
      <c r="Q14" s="4" t="str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H19" sqref="H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44895</v>
      </c>
      <c r="B2" s="40">
        <v>126</v>
      </c>
      <c r="C2" s="51">
        <v>8638730</v>
      </c>
      <c r="D2" s="51">
        <v>21019990</v>
      </c>
      <c r="E2" s="51">
        <v>3832480</v>
      </c>
      <c r="F2" s="51">
        <v>4373490</v>
      </c>
      <c r="G2" s="51">
        <v>12908600</v>
      </c>
      <c r="H2" s="51">
        <v>7653630</v>
      </c>
      <c r="I2" s="51">
        <v>6629410</v>
      </c>
      <c r="J2" s="51">
        <v>8268170</v>
      </c>
      <c r="K2" s="51">
        <v>11994680</v>
      </c>
      <c r="L2" s="51">
        <v>5235560</v>
      </c>
      <c r="M2" s="51">
        <v>9562520</v>
      </c>
      <c r="N2" s="51">
        <v>15903170</v>
      </c>
      <c r="O2" s="51">
        <v>22255300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6">
        <v>345994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6">
        <v>345994</v>
      </c>
    </row>
    <row r="7" spans="1:50" x14ac:dyDescent="0.25">
      <c r="A7" s="23">
        <v>44896</v>
      </c>
      <c r="B7" s="40">
        <v>170</v>
      </c>
      <c r="C7" s="51">
        <v>8639350</v>
      </c>
      <c r="D7" s="51">
        <v>21021850</v>
      </c>
      <c r="E7" s="51">
        <v>3836450</v>
      </c>
      <c r="F7" s="51">
        <v>4374970</v>
      </c>
      <c r="G7" s="51">
        <v>12914210</v>
      </c>
      <c r="H7" s="51">
        <v>7657730</v>
      </c>
      <c r="I7" s="51">
        <v>6632390</v>
      </c>
      <c r="J7" s="51">
        <v>8272690</v>
      </c>
      <c r="K7" s="51">
        <v>12000450</v>
      </c>
      <c r="L7" s="51">
        <v>5238080</v>
      </c>
      <c r="M7" s="51">
        <v>9565700</v>
      </c>
      <c r="N7" s="51">
        <v>15911100</v>
      </c>
      <c r="O7" s="51">
        <v>22265660</v>
      </c>
      <c r="Q7" s="37">
        <f t="shared" ref="Q7:AC7" si="0">IF((C7-C2&lt;0), "0",C7-C2)</f>
        <v>620</v>
      </c>
      <c r="R7" s="37">
        <f t="shared" si="0"/>
        <v>1860</v>
      </c>
      <c r="S7" s="37">
        <f t="shared" si="0"/>
        <v>3970</v>
      </c>
      <c r="T7" s="37">
        <f t="shared" si="0"/>
        <v>1480</v>
      </c>
      <c r="U7" s="37">
        <f t="shared" si="0"/>
        <v>5610</v>
      </c>
      <c r="V7" s="37">
        <f t="shared" si="0"/>
        <v>4100</v>
      </c>
      <c r="W7" s="37">
        <f t="shared" si="0"/>
        <v>2980</v>
      </c>
      <c r="X7" s="37">
        <f t="shared" si="0"/>
        <v>4520</v>
      </c>
      <c r="Y7" s="37">
        <f t="shared" si="0"/>
        <v>5770</v>
      </c>
      <c r="Z7" s="37">
        <f t="shared" si="0"/>
        <v>2520</v>
      </c>
      <c r="AA7" s="37">
        <f t="shared" si="0"/>
        <v>3180</v>
      </c>
      <c r="AB7" s="37">
        <f t="shared" si="0"/>
        <v>7930</v>
      </c>
      <c r="AC7" s="37">
        <f t="shared" si="0"/>
        <v>10360</v>
      </c>
      <c r="AD7" s="34">
        <f>SUM(Q7:AC7)</f>
        <v>54900</v>
      </c>
      <c r="AF7" s="20">
        <f t="shared" ref="AF7:AF36" si="1">Q7*$D$39</f>
        <v>3.1</v>
      </c>
      <c r="AG7" s="20">
        <f t="shared" ref="AG7:AG36" si="2">R7*$D$39</f>
        <v>9.3000000000000007</v>
      </c>
      <c r="AH7" s="20">
        <f t="shared" ref="AH7:AH36" si="3">S7*$D$39</f>
        <v>19.850000000000001</v>
      </c>
      <c r="AI7" s="20">
        <f t="shared" ref="AI7:AI36" si="4">T7*$D$39</f>
        <v>7.4</v>
      </c>
      <c r="AJ7" s="20">
        <f t="shared" ref="AJ7:AJ36" si="5">U7*$D$39</f>
        <v>28.05</v>
      </c>
      <c r="AK7" s="20">
        <f t="shared" ref="AK7:AK36" si="6">V7*$D$39</f>
        <v>20.5</v>
      </c>
      <c r="AL7" s="20">
        <f t="shared" ref="AL7:AL36" si="7">W7*$D$39</f>
        <v>14.9</v>
      </c>
      <c r="AM7" s="20">
        <f t="shared" ref="AM7:AM36" si="8">X7*$D$39</f>
        <v>22.6</v>
      </c>
      <c r="AN7" s="20">
        <f t="shared" ref="AN7:AN36" si="9">Y7*$D$39</f>
        <v>28.85</v>
      </c>
      <c r="AO7" s="20">
        <f t="shared" ref="AO7:AO36" si="10">Z7*$D$39</f>
        <v>12.6</v>
      </c>
      <c r="AP7" s="20">
        <f t="shared" ref="AP7:AP36" si="11">AA7*$D$39</f>
        <v>15.9</v>
      </c>
      <c r="AQ7" s="20">
        <f t="shared" ref="AQ7:AQ36" si="12">AB7*$D$39</f>
        <v>39.65</v>
      </c>
      <c r="AR7" s="20">
        <f t="shared" ref="AR7:AR36" si="13">AC7*$D$39</f>
        <v>51.800000000000004</v>
      </c>
      <c r="AS7" s="35">
        <f>SUM(AF7:AR7)</f>
        <v>274.5</v>
      </c>
      <c r="AU7" s="54">
        <v>347760</v>
      </c>
      <c r="AV7" s="37">
        <f>IF((AU7-AU6&lt;0),"0",AU7-AU6)</f>
        <v>1766</v>
      </c>
      <c r="AW7" s="37">
        <f>AV7*100*AV44</f>
        <v>668.50340599999993</v>
      </c>
      <c r="AX7" s="35">
        <f t="shared" ref="AX7:AX35" si="14">AV7*$D$40</f>
        <v>3.532</v>
      </c>
    </row>
    <row r="8" spans="1:50" x14ac:dyDescent="0.25">
      <c r="A8" s="23">
        <v>44897</v>
      </c>
      <c r="B8" s="40">
        <v>182</v>
      </c>
      <c r="C8" s="52">
        <v>8639930</v>
      </c>
      <c r="D8" s="52">
        <v>21023700</v>
      </c>
      <c r="E8" s="52">
        <v>3839990</v>
      </c>
      <c r="F8" s="52">
        <v>4376440</v>
      </c>
      <c r="G8" s="52">
        <v>12920160</v>
      </c>
      <c r="H8" s="52">
        <v>7661850</v>
      </c>
      <c r="I8" s="52">
        <v>6635650</v>
      </c>
      <c r="J8" s="52">
        <v>8277300</v>
      </c>
      <c r="K8" s="52">
        <v>12006490</v>
      </c>
      <c r="L8" s="52">
        <v>5240820</v>
      </c>
      <c r="M8" s="52">
        <v>9569080</v>
      </c>
      <c r="N8" s="52">
        <v>15918860</v>
      </c>
      <c r="O8" s="52">
        <v>22278320</v>
      </c>
      <c r="Q8" s="37">
        <f>IF((C8-C7&lt;0), "0",C8-C7)</f>
        <v>580</v>
      </c>
      <c r="R8" s="37">
        <f t="shared" ref="R8:AC8" si="15">IF((D8-D7&lt;0), "0",D8-D7)</f>
        <v>1850</v>
      </c>
      <c r="S8" s="37">
        <f t="shared" ref="S8:S35" si="16">IF((E8-E7&lt;0), "0",E8-E7)</f>
        <v>3540</v>
      </c>
      <c r="T8" s="37">
        <f t="shared" si="15"/>
        <v>1470</v>
      </c>
      <c r="U8" s="37">
        <f t="shared" si="15"/>
        <v>5950</v>
      </c>
      <c r="V8" s="37">
        <f t="shared" si="15"/>
        <v>4120</v>
      </c>
      <c r="W8" s="37">
        <f t="shared" si="15"/>
        <v>3260</v>
      </c>
      <c r="X8" s="37">
        <f t="shared" si="15"/>
        <v>4610</v>
      </c>
      <c r="Y8" s="37">
        <f t="shared" si="15"/>
        <v>6040</v>
      </c>
      <c r="Z8" s="37">
        <f t="shared" si="15"/>
        <v>2740</v>
      </c>
      <c r="AA8" s="37">
        <f t="shared" si="15"/>
        <v>3380</v>
      </c>
      <c r="AB8" s="37">
        <f t="shared" si="15"/>
        <v>7760</v>
      </c>
      <c r="AC8" s="37">
        <f t="shared" si="15"/>
        <v>12660</v>
      </c>
      <c r="AD8" s="35">
        <f>SUM(Q8:AC8)</f>
        <v>57960</v>
      </c>
      <c r="AF8" s="20">
        <f t="shared" si="1"/>
        <v>2.9</v>
      </c>
      <c r="AG8" s="20">
        <f t="shared" si="2"/>
        <v>9.25</v>
      </c>
      <c r="AH8" s="20">
        <f t="shared" si="3"/>
        <v>17.7</v>
      </c>
      <c r="AI8" s="20">
        <f t="shared" si="4"/>
        <v>7.3500000000000005</v>
      </c>
      <c r="AJ8" s="20">
        <f t="shared" si="5"/>
        <v>29.75</v>
      </c>
      <c r="AK8" s="20">
        <f t="shared" si="6"/>
        <v>20.6</v>
      </c>
      <c r="AL8" s="20">
        <f t="shared" si="7"/>
        <v>16.3</v>
      </c>
      <c r="AM8" s="20">
        <f t="shared" si="8"/>
        <v>23.05</v>
      </c>
      <c r="AN8" s="20">
        <f t="shared" si="9"/>
        <v>30.2</v>
      </c>
      <c r="AO8" s="20">
        <f t="shared" si="10"/>
        <v>13.700000000000001</v>
      </c>
      <c r="AP8" s="20">
        <f t="shared" si="11"/>
        <v>16.899999999999999</v>
      </c>
      <c r="AQ8" s="20">
        <f t="shared" si="12"/>
        <v>38.800000000000004</v>
      </c>
      <c r="AR8" s="20">
        <f t="shared" si="13"/>
        <v>63.300000000000004</v>
      </c>
      <c r="AS8" s="35">
        <f>SUM(AF8:AR8)</f>
        <v>289.8</v>
      </c>
      <c r="AU8" s="55">
        <v>349160</v>
      </c>
      <c r="AV8" s="37">
        <f>IF((AU8-AU7&lt;0),"0",AU8-AU7)</f>
        <v>1400</v>
      </c>
      <c r="AW8" s="37">
        <f>AV8*100*AV44</f>
        <v>529.95740000000001</v>
      </c>
      <c r="AX8" s="35">
        <f t="shared" si="14"/>
        <v>2.8000000000000003</v>
      </c>
    </row>
    <row r="9" spans="1:50" x14ac:dyDescent="0.25">
      <c r="A9" s="23">
        <v>44898</v>
      </c>
      <c r="B9" s="40">
        <v>99</v>
      </c>
      <c r="C9" s="52">
        <v>8640510</v>
      </c>
      <c r="D9" s="52">
        <v>21025530</v>
      </c>
      <c r="E9" s="52">
        <v>3843270</v>
      </c>
      <c r="F9" s="52">
        <v>4377890</v>
      </c>
      <c r="G9" s="52">
        <v>12926030</v>
      </c>
      <c r="H9" s="52">
        <v>7665930</v>
      </c>
      <c r="I9" s="52">
        <v>6638650</v>
      </c>
      <c r="J9" s="52">
        <v>8281860</v>
      </c>
      <c r="K9" s="52">
        <v>12012380</v>
      </c>
      <c r="L9" s="52">
        <v>5243420</v>
      </c>
      <c r="M9" s="52">
        <v>9572320</v>
      </c>
      <c r="N9" s="52">
        <v>15928740</v>
      </c>
      <c r="O9" s="52">
        <v>22294110</v>
      </c>
      <c r="Q9" s="37">
        <f t="shared" ref="Q9:Q30" si="17">IF((C9-C8&lt;0), "0",C9-C8)</f>
        <v>580</v>
      </c>
      <c r="R9" s="37">
        <f t="shared" ref="R9:R37" si="18">IF((D9-D8&lt;0), "0",D9-D8)</f>
        <v>1830</v>
      </c>
      <c r="S9" s="37">
        <f t="shared" si="16"/>
        <v>3280</v>
      </c>
      <c r="T9" s="37">
        <f t="shared" ref="T9:T35" si="19">IF((F9-F8&lt;0), "0",F9-F8)</f>
        <v>1450</v>
      </c>
      <c r="U9" s="37">
        <f t="shared" ref="U9:U35" si="20">IF((G9-G8&lt;0), "0",G9-G8)</f>
        <v>5870</v>
      </c>
      <c r="V9" s="37">
        <f t="shared" ref="V9:V35" si="21">IF((H9-H8&lt;0), "0",H9-H8)</f>
        <v>4080</v>
      </c>
      <c r="W9" s="37">
        <f t="shared" ref="W9:W35" si="22">IF((I9-I8&lt;0), "0",I9-I8)</f>
        <v>3000</v>
      </c>
      <c r="X9" s="37">
        <f t="shared" ref="X9:X37" si="23">IF((J9-J8&lt;0), "0",J9-J8)</f>
        <v>4560</v>
      </c>
      <c r="Y9" s="37">
        <f t="shared" ref="Y9:Y35" si="24">IF((K9-K8&lt;0), "0",K9-K8)</f>
        <v>5890</v>
      </c>
      <c r="Z9" s="37">
        <f t="shared" ref="Z9:Z35" si="25">IF((L9-L8&lt;0), "0",L9-L8)</f>
        <v>2600</v>
      </c>
      <c r="AA9" s="37">
        <f t="shared" ref="AA9:AA35" si="26">IF((M9-M8&lt;0), "0",M9-M8)</f>
        <v>3240</v>
      </c>
      <c r="AB9" s="37">
        <f t="shared" ref="AB9:AB37" si="27">IF((N9-N8&lt;0), "0",N9-N8)</f>
        <v>9880</v>
      </c>
      <c r="AC9" s="37">
        <f t="shared" ref="AC9:AC37" si="28">IF((O9-O8&lt;0), "0",O9-O8)</f>
        <v>15790</v>
      </c>
      <c r="AD9" s="35">
        <f t="shared" ref="AD9:AD37" si="29">SUM(Q9:AC9)</f>
        <v>62050</v>
      </c>
      <c r="AF9" s="20">
        <f t="shared" si="1"/>
        <v>2.9</v>
      </c>
      <c r="AG9" s="20">
        <f t="shared" si="2"/>
        <v>9.15</v>
      </c>
      <c r="AH9" s="20">
        <f t="shared" si="3"/>
        <v>16.399999999999999</v>
      </c>
      <c r="AI9" s="20">
        <f t="shared" si="4"/>
        <v>7.25</v>
      </c>
      <c r="AJ9" s="20">
        <f t="shared" si="5"/>
        <v>29.35</v>
      </c>
      <c r="AK9" s="20">
        <f t="shared" si="6"/>
        <v>20.400000000000002</v>
      </c>
      <c r="AL9" s="20">
        <f t="shared" si="7"/>
        <v>15</v>
      </c>
      <c r="AM9" s="20">
        <f t="shared" si="8"/>
        <v>22.8</v>
      </c>
      <c r="AN9" s="20">
        <f t="shared" si="9"/>
        <v>29.45</v>
      </c>
      <c r="AO9" s="20">
        <f t="shared" si="10"/>
        <v>13</v>
      </c>
      <c r="AP9" s="20">
        <f t="shared" si="11"/>
        <v>16.2</v>
      </c>
      <c r="AQ9" s="20">
        <f t="shared" si="12"/>
        <v>49.4</v>
      </c>
      <c r="AR9" s="20">
        <f t="shared" si="13"/>
        <v>78.95</v>
      </c>
      <c r="AS9" s="35">
        <f t="shared" ref="AS9:AS33" si="30">SUM(AF9:AR9)</f>
        <v>310.25</v>
      </c>
      <c r="AU9" s="55">
        <v>351000</v>
      </c>
      <c r="AV9" s="37">
        <f>IF((AU9-AU8&lt;0),"0",AU9-AU8)</f>
        <v>1840</v>
      </c>
      <c r="AW9" s="37">
        <f>AV9*100*AV44</f>
        <v>696.51544000000001</v>
      </c>
      <c r="AX9" s="35">
        <f t="shared" si="14"/>
        <v>3.68</v>
      </c>
    </row>
    <row r="10" spans="1:50" x14ac:dyDescent="0.25">
      <c r="A10" s="23">
        <v>44899</v>
      </c>
      <c r="B10" s="40">
        <v>86</v>
      </c>
      <c r="C10" s="51">
        <v>8641100</v>
      </c>
      <c r="D10" s="51">
        <v>21027400</v>
      </c>
      <c r="E10" s="51">
        <v>3846330</v>
      </c>
      <c r="F10" s="51">
        <v>4379380</v>
      </c>
      <c r="G10" s="51">
        <v>12931390</v>
      </c>
      <c r="H10" s="51">
        <v>7670020</v>
      </c>
      <c r="I10" s="51">
        <v>6641420</v>
      </c>
      <c r="J10" s="51">
        <v>8286100</v>
      </c>
      <c r="K10" s="51">
        <v>12018070</v>
      </c>
      <c r="L10" s="51">
        <v>5245860</v>
      </c>
      <c r="M10" s="51">
        <v>9575480</v>
      </c>
      <c r="N10" s="51">
        <v>15934440</v>
      </c>
      <c r="O10" s="51">
        <v>22302660</v>
      </c>
      <c r="Q10" s="37">
        <f t="shared" si="17"/>
        <v>590</v>
      </c>
      <c r="R10" s="37">
        <f t="shared" si="18"/>
        <v>1870</v>
      </c>
      <c r="S10" s="37">
        <f t="shared" si="16"/>
        <v>3060</v>
      </c>
      <c r="T10" s="37">
        <f t="shared" si="19"/>
        <v>1490</v>
      </c>
      <c r="U10" s="37">
        <f t="shared" si="20"/>
        <v>5360</v>
      </c>
      <c r="V10" s="37">
        <f t="shared" si="21"/>
        <v>4090</v>
      </c>
      <c r="W10" s="37">
        <f t="shared" si="22"/>
        <v>2770</v>
      </c>
      <c r="X10" s="37">
        <f t="shared" si="23"/>
        <v>4240</v>
      </c>
      <c r="Y10" s="37">
        <f t="shared" si="24"/>
        <v>5690</v>
      </c>
      <c r="Z10" s="37">
        <f t="shared" si="25"/>
        <v>2440</v>
      </c>
      <c r="AA10" s="37">
        <f t="shared" si="26"/>
        <v>3160</v>
      </c>
      <c r="AB10" s="37">
        <f t="shared" si="27"/>
        <v>5700</v>
      </c>
      <c r="AC10" s="37">
        <f t="shared" si="28"/>
        <v>8550</v>
      </c>
      <c r="AD10" s="35">
        <f t="shared" si="29"/>
        <v>49010</v>
      </c>
      <c r="AF10" s="20">
        <f t="shared" si="1"/>
        <v>2.95</v>
      </c>
      <c r="AG10" s="20">
        <f t="shared" si="2"/>
        <v>9.35</v>
      </c>
      <c r="AH10" s="20">
        <f t="shared" si="3"/>
        <v>15.3</v>
      </c>
      <c r="AI10" s="20">
        <f t="shared" si="4"/>
        <v>7.45</v>
      </c>
      <c r="AJ10" s="20">
        <f t="shared" si="5"/>
        <v>26.8</v>
      </c>
      <c r="AK10" s="20">
        <f t="shared" si="6"/>
        <v>20.45</v>
      </c>
      <c r="AL10" s="20">
        <f t="shared" si="7"/>
        <v>13.85</v>
      </c>
      <c r="AM10" s="20">
        <f t="shared" si="8"/>
        <v>21.2</v>
      </c>
      <c r="AN10" s="20">
        <f t="shared" si="9"/>
        <v>28.45</v>
      </c>
      <c r="AO10" s="20">
        <f t="shared" si="10"/>
        <v>12.200000000000001</v>
      </c>
      <c r="AP10" s="20">
        <f t="shared" si="11"/>
        <v>15.8</v>
      </c>
      <c r="AQ10" s="20">
        <f t="shared" si="12"/>
        <v>28.5</v>
      </c>
      <c r="AR10" s="20">
        <f t="shared" si="13"/>
        <v>42.75</v>
      </c>
      <c r="AS10" s="35">
        <f t="shared" si="30"/>
        <v>245.05</v>
      </c>
      <c r="AU10" s="54">
        <v>352809</v>
      </c>
      <c r="AV10" s="37">
        <f t="shared" ref="AV10:AV26" si="31">IF((AU10-AU9&lt;0),"0",AU10-AU9)</f>
        <v>1809</v>
      </c>
      <c r="AW10" s="37">
        <f>AV10*100*AV44</f>
        <v>684.78066899999999</v>
      </c>
      <c r="AX10" s="35">
        <f t="shared" si="14"/>
        <v>3.6179999999999999</v>
      </c>
    </row>
    <row r="11" spans="1:50" x14ac:dyDescent="0.25">
      <c r="A11" s="23">
        <v>44900</v>
      </c>
      <c r="B11" s="40">
        <v>126</v>
      </c>
      <c r="C11" s="51">
        <v>8641690</v>
      </c>
      <c r="D11" s="51">
        <v>21029250</v>
      </c>
      <c r="E11" s="51">
        <v>3849280</v>
      </c>
      <c r="F11" s="51">
        <v>4380810</v>
      </c>
      <c r="G11" s="51">
        <v>12936550</v>
      </c>
      <c r="H11" s="51">
        <v>7674000</v>
      </c>
      <c r="I11" s="51">
        <v>6644280</v>
      </c>
      <c r="J11" s="51">
        <v>8290900</v>
      </c>
      <c r="K11" s="51">
        <v>12023550</v>
      </c>
      <c r="L11" s="51">
        <v>5248270</v>
      </c>
      <c r="M11" s="51">
        <v>9578610</v>
      </c>
      <c r="N11" s="51">
        <v>15942150</v>
      </c>
      <c r="O11" s="51">
        <v>22313910</v>
      </c>
      <c r="Q11" s="37">
        <f t="shared" si="17"/>
        <v>590</v>
      </c>
      <c r="R11" s="37">
        <f t="shared" si="18"/>
        <v>1850</v>
      </c>
      <c r="S11" s="37">
        <f t="shared" si="16"/>
        <v>2950</v>
      </c>
      <c r="T11" s="37">
        <f t="shared" si="19"/>
        <v>1430</v>
      </c>
      <c r="U11" s="37">
        <f t="shared" si="20"/>
        <v>5160</v>
      </c>
      <c r="V11" s="37">
        <f t="shared" si="21"/>
        <v>3980</v>
      </c>
      <c r="W11" s="37">
        <f t="shared" si="22"/>
        <v>2860</v>
      </c>
      <c r="X11" s="37">
        <f t="shared" si="23"/>
        <v>4800</v>
      </c>
      <c r="Y11" s="37">
        <f t="shared" si="24"/>
        <v>5480</v>
      </c>
      <c r="Z11" s="37">
        <f t="shared" si="25"/>
        <v>2410</v>
      </c>
      <c r="AA11" s="37">
        <f t="shared" si="26"/>
        <v>3130</v>
      </c>
      <c r="AB11" s="37">
        <f t="shared" si="27"/>
        <v>7710</v>
      </c>
      <c r="AC11" s="37">
        <f t="shared" si="28"/>
        <v>11250</v>
      </c>
      <c r="AD11" s="35">
        <f t="shared" si="29"/>
        <v>53600</v>
      </c>
      <c r="AF11" s="20">
        <f t="shared" si="1"/>
        <v>2.95</v>
      </c>
      <c r="AG11" s="20">
        <f t="shared" si="2"/>
        <v>9.25</v>
      </c>
      <c r="AH11" s="20">
        <f t="shared" si="3"/>
        <v>14.75</v>
      </c>
      <c r="AI11" s="20">
        <f t="shared" si="4"/>
        <v>7.15</v>
      </c>
      <c r="AJ11" s="20">
        <f t="shared" si="5"/>
        <v>25.8</v>
      </c>
      <c r="AK11" s="20">
        <f t="shared" si="6"/>
        <v>19.900000000000002</v>
      </c>
      <c r="AL11" s="20">
        <f t="shared" si="7"/>
        <v>14.3</v>
      </c>
      <c r="AM11" s="20">
        <f t="shared" si="8"/>
        <v>24</v>
      </c>
      <c r="AN11" s="20">
        <f t="shared" si="9"/>
        <v>27.400000000000002</v>
      </c>
      <c r="AO11" s="20">
        <f t="shared" si="10"/>
        <v>12.05</v>
      </c>
      <c r="AP11" s="20">
        <f t="shared" si="11"/>
        <v>15.65</v>
      </c>
      <c r="AQ11" s="20">
        <f t="shared" si="12"/>
        <v>38.550000000000004</v>
      </c>
      <c r="AR11" s="20">
        <f t="shared" si="13"/>
        <v>56.25</v>
      </c>
      <c r="AS11" s="35">
        <f t="shared" si="30"/>
        <v>268</v>
      </c>
      <c r="AU11" s="54">
        <v>354574</v>
      </c>
      <c r="AV11" s="37">
        <f t="shared" si="31"/>
        <v>1765</v>
      </c>
      <c r="AW11" s="37">
        <f>AV11*100*AV44</f>
        <v>668.124865</v>
      </c>
      <c r="AX11" s="35">
        <f t="shared" si="14"/>
        <v>3.5300000000000002</v>
      </c>
    </row>
    <row r="12" spans="1:50" x14ac:dyDescent="0.25">
      <c r="A12" s="23">
        <v>44901</v>
      </c>
      <c r="B12" s="40">
        <v>130</v>
      </c>
      <c r="C12" s="52">
        <v>8642270</v>
      </c>
      <c r="D12" s="52">
        <v>21031090</v>
      </c>
      <c r="E12" s="52">
        <v>3852080</v>
      </c>
      <c r="F12" s="52">
        <v>4382220</v>
      </c>
      <c r="G12" s="52">
        <v>12941770</v>
      </c>
      <c r="H12" s="52">
        <v>7677880</v>
      </c>
      <c r="I12" s="52">
        <v>6647620</v>
      </c>
      <c r="J12" s="52">
        <v>8295730</v>
      </c>
      <c r="K12" s="52">
        <v>12029060</v>
      </c>
      <c r="L12" s="52">
        <v>5250630</v>
      </c>
      <c r="M12" s="52">
        <v>9581350</v>
      </c>
      <c r="N12" s="52">
        <v>15949880</v>
      </c>
      <c r="O12" s="52">
        <v>22325120</v>
      </c>
      <c r="Q12" s="37">
        <f t="shared" si="17"/>
        <v>580</v>
      </c>
      <c r="R12" s="37">
        <f t="shared" si="18"/>
        <v>1840</v>
      </c>
      <c r="S12" s="37">
        <f t="shared" si="16"/>
        <v>2800</v>
      </c>
      <c r="T12" s="37">
        <f t="shared" ref="T12:W14" si="32">IF((F12-F11&lt;0), "0",F12-F11)</f>
        <v>1410</v>
      </c>
      <c r="U12" s="37">
        <f t="shared" si="32"/>
        <v>5220</v>
      </c>
      <c r="V12" s="37">
        <f t="shared" si="32"/>
        <v>3880</v>
      </c>
      <c r="W12" s="37">
        <f t="shared" si="32"/>
        <v>3340</v>
      </c>
      <c r="X12" s="37">
        <f t="shared" si="23"/>
        <v>4830</v>
      </c>
      <c r="Y12" s="37">
        <f t="shared" si="24"/>
        <v>5510</v>
      </c>
      <c r="Z12" s="37">
        <f>IF((L12-L11&lt;0), "0",L12-L11)</f>
        <v>2360</v>
      </c>
      <c r="AA12" s="37">
        <f t="shared" si="26"/>
        <v>2740</v>
      </c>
      <c r="AB12" s="37">
        <f t="shared" si="27"/>
        <v>7730</v>
      </c>
      <c r="AC12" s="37">
        <f t="shared" si="28"/>
        <v>11210</v>
      </c>
      <c r="AD12" s="35">
        <f t="shared" si="29"/>
        <v>53450</v>
      </c>
      <c r="AF12" s="20">
        <f t="shared" si="1"/>
        <v>2.9</v>
      </c>
      <c r="AG12" s="20">
        <f t="shared" si="2"/>
        <v>9.2000000000000011</v>
      </c>
      <c r="AH12" s="20">
        <f t="shared" si="3"/>
        <v>14</v>
      </c>
      <c r="AI12" s="20">
        <f t="shared" si="4"/>
        <v>7.05</v>
      </c>
      <c r="AJ12" s="20">
        <f t="shared" si="5"/>
        <v>26.1</v>
      </c>
      <c r="AK12" s="20">
        <f t="shared" si="6"/>
        <v>19.400000000000002</v>
      </c>
      <c r="AL12" s="20">
        <f t="shared" si="7"/>
        <v>16.7</v>
      </c>
      <c r="AM12" s="20">
        <f t="shared" si="8"/>
        <v>24.150000000000002</v>
      </c>
      <c r="AN12" s="20">
        <f t="shared" si="9"/>
        <v>27.55</v>
      </c>
      <c r="AO12" s="20">
        <f t="shared" si="10"/>
        <v>11.8</v>
      </c>
      <c r="AP12" s="20">
        <f t="shared" si="11"/>
        <v>13.700000000000001</v>
      </c>
      <c r="AQ12" s="20">
        <f t="shared" si="12"/>
        <v>38.65</v>
      </c>
      <c r="AR12" s="20">
        <f t="shared" si="13"/>
        <v>56.050000000000004</v>
      </c>
      <c r="AS12" s="35">
        <f t="shared" si="30"/>
        <v>267.25</v>
      </c>
      <c r="AU12" s="55">
        <v>355266</v>
      </c>
      <c r="AV12" s="37">
        <f t="shared" si="31"/>
        <v>692</v>
      </c>
      <c r="AW12" s="37">
        <f>AV12*100*AV44</f>
        <v>261.95037200000002</v>
      </c>
      <c r="AX12" s="35">
        <f t="shared" si="14"/>
        <v>1.3840000000000001</v>
      </c>
    </row>
    <row r="13" spans="1:50" x14ac:dyDescent="0.25">
      <c r="A13" s="23">
        <v>44902</v>
      </c>
      <c r="B13" s="40">
        <v>109</v>
      </c>
      <c r="C13" s="52">
        <v>8642850</v>
      </c>
      <c r="D13" s="52">
        <v>21032920</v>
      </c>
      <c r="E13" s="52">
        <v>3855070</v>
      </c>
      <c r="F13" s="52">
        <v>4383640</v>
      </c>
      <c r="G13" s="52">
        <v>12947560</v>
      </c>
      <c r="H13" s="52">
        <v>7681960</v>
      </c>
      <c r="I13" s="52">
        <v>6650920</v>
      </c>
      <c r="J13" s="52">
        <v>8300510</v>
      </c>
      <c r="K13" s="52">
        <v>12034750</v>
      </c>
      <c r="L13" s="52">
        <v>5253080</v>
      </c>
      <c r="M13" s="52">
        <v>9584660</v>
      </c>
      <c r="N13" s="52">
        <v>15957520</v>
      </c>
      <c r="O13" s="52">
        <v>22336280</v>
      </c>
      <c r="Q13" s="37">
        <f t="shared" si="17"/>
        <v>580</v>
      </c>
      <c r="R13" s="37">
        <f t="shared" si="18"/>
        <v>1830</v>
      </c>
      <c r="S13" s="37">
        <f t="shared" si="16"/>
        <v>2990</v>
      </c>
      <c r="T13" s="37">
        <f t="shared" si="32"/>
        <v>1420</v>
      </c>
      <c r="U13" s="37">
        <f t="shared" si="32"/>
        <v>5790</v>
      </c>
      <c r="V13" s="37">
        <f t="shared" si="32"/>
        <v>4080</v>
      </c>
      <c r="W13" s="37">
        <f t="shared" si="32"/>
        <v>3300</v>
      </c>
      <c r="X13" s="37">
        <f t="shared" si="23"/>
        <v>4780</v>
      </c>
      <c r="Y13" s="37">
        <f t="shared" si="24"/>
        <v>5690</v>
      </c>
      <c r="Z13" s="37">
        <f>IF((L13-L12&lt;0), "0",L13-L12)</f>
        <v>2450</v>
      </c>
      <c r="AA13" s="37">
        <f t="shared" si="26"/>
        <v>3310</v>
      </c>
      <c r="AB13" s="37">
        <f t="shared" si="27"/>
        <v>7640</v>
      </c>
      <c r="AC13" s="37">
        <f t="shared" si="28"/>
        <v>11160</v>
      </c>
      <c r="AD13" s="35">
        <f t="shared" si="29"/>
        <v>55020</v>
      </c>
      <c r="AF13" s="20">
        <f t="shared" si="1"/>
        <v>2.9</v>
      </c>
      <c r="AG13" s="20">
        <f t="shared" si="2"/>
        <v>9.15</v>
      </c>
      <c r="AH13" s="20">
        <f t="shared" si="3"/>
        <v>14.950000000000001</v>
      </c>
      <c r="AI13" s="20">
        <f t="shared" si="4"/>
        <v>7.1000000000000005</v>
      </c>
      <c r="AJ13" s="20">
        <f t="shared" si="5"/>
        <v>28.95</v>
      </c>
      <c r="AK13" s="20">
        <f t="shared" si="6"/>
        <v>20.400000000000002</v>
      </c>
      <c r="AL13" s="20">
        <f t="shared" si="7"/>
        <v>16.5</v>
      </c>
      <c r="AM13" s="20">
        <f t="shared" si="8"/>
        <v>23.900000000000002</v>
      </c>
      <c r="AN13" s="20">
        <f t="shared" si="9"/>
        <v>28.45</v>
      </c>
      <c r="AO13" s="20">
        <f t="shared" si="10"/>
        <v>12.25</v>
      </c>
      <c r="AP13" s="20">
        <f t="shared" si="11"/>
        <v>16.55</v>
      </c>
      <c r="AQ13" s="20">
        <f t="shared" si="12"/>
        <v>38.200000000000003</v>
      </c>
      <c r="AR13" s="20">
        <f t="shared" si="13"/>
        <v>55.800000000000004</v>
      </c>
      <c r="AS13" s="35">
        <f t="shared" si="30"/>
        <v>275.10000000000002</v>
      </c>
      <c r="AU13" s="60">
        <v>355780</v>
      </c>
      <c r="AV13" s="37">
        <f t="shared" si="31"/>
        <v>514</v>
      </c>
      <c r="AW13" s="37">
        <f>AV13*100*AV44</f>
        <v>194.57007400000001</v>
      </c>
      <c r="AX13" s="35">
        <f t="shared" si="14"/>
        <v>1.028</v>
      </c>
    </row>
    <row r="14" spans="1:50" x14ac:dyDescent="0.25">
      <c r="A14" s="23">
        <v>44903</v>
      </c>
      <c r="B14" s="40">
        <v>159</v>
      </c>
      <c r="C14" s="51">
        <v>8643440</v>
      </c>
      <c r="D14" s="51">
        <v>21034800</v>
      </c>
      <c r="E14" s="51">
        <v>3858150</v>
      </c>
      <c r="F14" s="51">
        <v>4385090</v>
      </c>
      <c r="G14" s="51">
        <v>12953260</v>
      </c>
      <c r="H14" s="51">
        <v>7686210</v>
      </c>
      <c r="I14" s="51">
        <v>6654490</v>
      </c>
      <c r="J14" s="51">
        <v>8305470</v>
      </c>
      <c r="K14" s="51">
        <v>12040730</v>
      </c>
      <c r="L14" s="51">
        <v>5255680</v>
      </c>
      <c r="M14" s="51">
        <v>9588240</v>
      </c>
      <c r="N14" s="51">
        <v>15965410</v>
      </c>
      <c r="O14" s="51">
        <v>22348840</v>
      </c>
      <c r="P14" s="49"/>
      <c r="Q14" s="37">
        <f t="shared" si="17"/>
        <v>590</v>
      </c>
      <c r="R14" s="37">
        <f t="shared" si="18"/>
        <v>1880</v>
      </c>
      <c r="S14" s="37">
        <f t="shared" si="16"/>
        <v>3080</v>
      </c>
      <c r="T14" s="37">
        <f t="shared" si="32"/>
        <v>1450</v>
      </c>
      <c r="U14" s="37">
        <f t="shared" si="32"/>
        <v>5700</v>
      </c>
      <c r="V14" s="37">
        <f t="shared" si="32"/>
        <v>4250</v>
      </c>
      <c r="W14" s="37">
        <f t="shared" si="32"/>
        <v>3570</v>
      </c>
      <c r="X14" s="37">
        <f t="shared" si="23"/>
        <v>4960</v>
      </c>
      <c r="Y14" s="37">
        <f t="shared" si="24"/>
        <v>5980</v>
      </c>
      <c r="Z14" s="37">
        <f>IF((L14-L13&lt;0), "0",L14-L13)</f>
        <v>2600</v>
      </c>
      <c r="AA14" s="37">
        <f t="shared" si="26"/>
        <v>3580</v>
      </c>
      <c r="AB14" s="37">
        <f t="shared" si="27"/>
        <v>7890</v>
      </c>
      <c r="AC14" s="37">
        <f t="shared" si="28"/>
        <v>12560</v>
      </c>
      <c r="AD14" s="35">
        <f t="shared" si="29"/>
        <v>58090</v>
      </c>
      <c r="AF14" s="20">
        <f t="shared" si="1"/>
        <v>2.95</v>
      </c>
      <c r="AG14" s="20">
        <f t="shared" si="2"/>
        <v>9.4</v>
      </c>
      <c r="AH14" s="20">
        <f t="shared" si="3"/>
        <v>15.4</v>
      </c>
      <c r="AI14" s="20">
        <f t="shared" si="4"/>
        <v>7.25</v>
      </c>
      <c r="AJ14" s="20">
        <f t="shared" si="5"/>
        <v>28.5</v>
      </c>
      <c r="AK14" s="20">
        <f t="shared" si="6"/>
        <v>21.25</v>
      </c>
      <c r="AL14" s="20">
        <f t="shared" si="7"/>
        <v>17.850000000000001</v>
      </c>
      <c r="AM14" s="20">
        <f t="shared" si="8"/>
        <v>24.8</v>
      </c>
      <c r="AN14" s="20">
        <f t="shared" si="9"/>
        <v>29.900000000000002</v>
      </c>
      <c r="AO14" s="20">
        <f t="shared" si="10"/>
        <v>13</v>
      </c>
      <c r="AP14" s="20">
        <f t="shared" si="11"/>
        <v>17.900000000000002</v>
      </c>
      <c r="AQ14" s="20">
        <f t="shared" si="12"/>
        <v>39.450000000000003</v>
      </c>
      <c r="AR14" s="20">
        <f t="shared" si="13"/>
        <v>62.800000000000004</v>
      </c>
      <c r="AS14" s="35">
        <f t="shared" si="30"/>
        <v>290.45</v>
      </c>
      <c r="AU14" s="54">
        <v>355780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44904</v>
      </c>
      <c r="B15" s="40">
        <v>124</v>
      </c>
      <c r="C15" s="52">
        <v>8644030</v>
      </c>
      <c r="D15" s="52">
        <v>21036650</v>
      </c>
      <c r="E15" s="52">
        <v>3861100</v>
      </c>
      <c r="F15" s="52">
        <v>4386520</v>
      </c>
      <c r="G15" s="52">
        <v>12959580</v>
      </c>
      <c r="H15" s="52">
        <v>7690430</v>
      </c>
      <c r="I15" s="52">
        <v>6657790</v>
      </c>
      <c r="J15" s="52">
        <v>8310240</v>
      </c>
      <c r="K15" s="52">
        <v>12046810</v>
      </c>
      <c r="L15" s="52">
        <v>5258300</v>
      </c>
      <c r="M15" s="52">
        <v>9591880</v>
      </c>
      <c r="N15" s="52">
        <v>15973270</v>
      </c>
      <c r="O15" s="52">
        <v>22362390</v>
      </c>
      <c r="Q15" s="37">
        <f t="shared" si="17"/>
        <v>590</v>
      </c>
      <c r="R15" s="37">
        <f t="shared" si="18"/>
        <v>1850</v>
      </c>
      <c r="S15" s="37">
        <f t="shared" si="16"/>
        <v>2950</v>
      </c>
      <c r="T15" s="37">
        <f t="shared" si="19"/>
        <v>1430</v>
      </c>
      <c r="U15" s="37">
        <f t="shared" si="20"/>
        <v>6320</v>
      </c>
      <c r="V15" s="37">
        <f t="shared" si="21"/>
        <v>4220</v>
      </c>
      <c r="W15" s="37">
        <f t="shared" si="22"/>
        <v>3300</v>
      </c>
      <c r="X15" s="37">
        <f t="shared" si="23"/>
        <v>4770</v>
      </c>
      <c r="Y15" s="37">
        <f t="shared" si="24"/>
        <v>6080</v>
      </c>
      <c r="Z15" s="37">
        <f t="shared" si="25"/>
        <v>2620</v>
      </c>
      <c r="AA15" s="37">
        <f t="shared" si="26"/>
        <v>3640</v>
      </c>
      <c r="AB15" s="37">
        <f t="shared" si="27"/>
        <v>7860</v>
      </c>
      <c r="AC15" s="37">
        <f t="shared" si="28"/>
        <v>13550</v>
      </c>
      <c r="AD15" s="35">
        <f t="shared" si="29"/>
        <v>59180</v>
      </c>
      <c r="AF15" s="20">
        <f t="shared" si="1"/>
        <v>2.95</v>
      </c>
      <c r="AG15" s="20">
        <f t="shared" si="2"/>
        <v>9.25</v>
      </c>
      <c r="AH15" s="20">
        <f t="shared" si="3"/>
        <v>14.75</v>
      </c>
      <c r="AI15" s="20">
        <f t="shared" si="4"/>
        <v>7.15</v>
      </c>
      <c r="AJ15" s="20">
        <f t="shared" si="5"/>
        <v>31.6</v>
      </c>
      <c r="AK15" s="20">
        <f t="shared" si="6"/>
        <v>21.1</v>
      </c>
      <c r="AL15" s="20">
        <f t="shared" si="7"/>
        <v>16.5</v>
      </c>
      <c r="AM15" s="20">
        <f t="shared" si="8"/>
        <v>23.85</v>
      </c>
      <c r="AN15" s="20">
        <f t="shared" si="9"/>
        <v>30.400000000000002</v>
      </c>
      <c r="AO15" s="20">
        <f t="shared" si="10"/>
        <v>13.1</v>
      </c>
      <c r="AP15" s="20">
        <f t="shared" si="11"/>
        <v>18.2</v>
      </c>
      <c r="AQ15" s="20">
        <f t="shared" si="12"/>
        <v>39.300000000000004</v>
      </c>
      <c r="AR15" s="20">
        <f t="shared" si="13"/>
        <v>67.75</v>
      </c>
      <c r="AS15" s="35">
        <f t="shared" si="30"/>
        <v>295.89999999999998</v>
      </c>
      <c r="AU15" s="55">
        <v>355780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44905</v>
      </c>
      <c r="B16" s="40">
        <v>76</v>
      </c>
      <c r="C16" s="52">
        <v>8644610</v>
      </c>
      <c r="D16" s="52">
        <v>21038500</v>
      </c>
      <c r="E16" s="52">
        <v>3863920</v>
      </c>
      <c r="F16" s="52">
        <v>4387950</v>
      </c>
      <c r="G16" s="52">
        <v>12965490</v>
      </c>
      <c r="H16" s="52">
        <v>7694620</v>
      </c>
      <c r="I16" s="52">
        <v>6661020</v>
      </c>
      <c r="J16" s="52">
        <v>8315010</v>
      </c>
      <c r="K16" s="52">
        <v>12052600</v>
      </c>
      <c r="L16" s="52">
        <v>5260750</v>
      </c>
      <c r="M16" s="52">
        <v>9595350</v>
      </c>
      <c r="N16" s="52">
        <v>15981010</v>
      </c>
      <c r="O16" s="52">
        <v>22375750</v>
      </c>
      <c r="Q16" s="37">
        <f t="shared" si="17"/>
        <v>580</v>
      </c>
      <c r="R16" s="37">
        <f t="shared" si="18"/>
        <v>1850</v>
      </c>
      <c r="S16" s="37">
        <f t="shared" si="16"/>
        <v>2820</v>
      </c>
      <c r="T16" s="37">
        <f t="shared" si="19"/>
        <v>1430</v>
      </c>
      <c r="U16" s="37">
        <f>IF((G16-G15&lt;0), "0",G16-G15)</f>
        <v>5910</v>
      </c>
      <c r="V16" s="37">
        <f>IF((H16-H15&lt;0), "0",H16-H15)</f>
        <v>4190</v>
      </c>
      <c r="W16" s="37">
        <f t="shared" si="22"/>
        <v>3230</v>
      </c>
      <c r="X16" s="37">
        <f t="shared" si="23"/>
        <v>4770</v>
      </c>
      <c r="Y16" s="37">
        <f t="shared" si="24"/>
        <v>5790</v>
      </c>
      <c r="Z16" s="37">
        <f t="shared" si="25"/>
        <v>2450</v>
      </c>
      <c r="AA16" s="37">
        <f t="shared" si="26"/>
        <v>3470</v>
      </c>
      <c r="AB16" s="37">
        <f t="shared" si="27"/>
        <v>7740</v>
      </c>
      <c r="AC16" s="37">
        <f t="shared" si="28"/>
        <v>13360</v>
      </c>
      <c r="AD16" s="35">
        <f t="shared" si="29"/>
        <v>57590</v>
      </c>
      <c r="AF16" s="20">
        <f t="shared" si="1"/>
        <v>2.9</v>
      </c>
      <c r="AG16" s="20">
        <f t="shared" si="2"/>
        <v>9.25</v>
      </c>
      <c r="AH16" s="20">
        <f t="shared" si="3"/>
        <v>14.1</v>
      </c>
      <c r="AI16" s="20">
        <f t="shared" si="4"/>
        <v>7.15</v>
      </c>
      <c r="AJ16" s="20">
        <f t="shared" si="5"/>
        <v>29.55</v>
      </c>
      <c r="AK16" s="20">
        <f t="shared" si="6"/>
        <v>20.95</v>
      </c>
      <c r="AL16" s="20">
        <f t="shared" si="7"/>
        <v>16.149999999999999</v>
      </c>
      <c r="AM16" s="20">
        <f t="shared" si="8"/>
        <v>23.85</v>
      </c>
      <c r="AN16" s="20">
        <f t="shared" si="9"/>
        <v>28.95</v>
      </c>
      <c r="AO16" s="20">
        <f t="shared" si="10"/>
        <v>12.25</v>
      </c>
      <c r="AP16" s="20">
        <f t="shared" si="11"/>
        <v>17.350000000000001</v>
      </c>
      <c r="AQ16" s="20">
        <f t="shared" si="12"/>
        <v>38.700000000000003</v>
      </c>
      <c r="AR16" s="20">
        <f t="shared" si="13"/>
        <v>66.8</v>
      </c>
      <c r="AS16" s="35">
        <f t="shared" si="30"/>
        <v>287.95</v>
      </c>
      <c r="AU16" s="55">
        <v>355780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44906</v>
      </c>
      <c r="B17" s="40">
        <v>77</v>
      </c>
      <c r="C17" s="51">
        <v>8645200</v>
      </c>
      <c r="D17" s="51">
        <v>21040350</v>
      </c>
      <c r="E17" s="51">
        <v>3866650</v>
      </c>
      <c r="F17" s="51">
        <v>4389370</v>
      </c>
      <c r="G17" s="51">
        <v>12970950</v>
      </c>
      <c r="H17" s="51">
        <v>7698690</v>
      </c>
      <c r="I17" s="51">
        <v>6664400</v>
      </c>
      <c r="J17" s="51">
        <v>8319500</v>
      </c>
      <c r="K17" s="51">
        <v>12058090</v>
      </c>
      <c r="L17" s="51">
        <v>5263090</v>
      </c>
      <c r="M17" s="51">
        <v>9598640</v>
      </c>
      <c r="N17" s="51">
        <v>15988840</v>
      </c>
      <c r="O17" s="51">
        <v>22388440</v>
      </c>
      <c r="Q17" s="37">
        <f t="shared" si="17"/>
        <v>590</v>
      </c>
      <c r="R17" s="37">
        <f t="shared" si="18"/>
        <v>1850</v>
      </c>
      <c r="S17" s="37">
        <f t="shared" si="16"/>
        <v>2730</v>
      </c>
      <c r="T17" s="37">
        <f t="shared" si="19"/>
        <v>1420</v>
      </c>
      <c r="U17" s="37">
        <f>IF((G17-G16&lt;0), "0",G17-G16)</f>
        <v>5460</v>
      </c>
      <c r="V17" s="37">
        <f>IF((H17-H16&lt;0), "0",H17-H16)</f>
        <v>4070</v>
      </c>
      <c r="W17" s="37">
        <f t="shared" si="22"/>
        <v>3380</v>
      </c>
      <c r="X17" s="37">
        <f t="shared" si="23"/>
        <v>4490</v>
      </c>
      <c r="Y17" s="37">
        <f t="shared" si="24"/>
        <v>5490</v>
      </c>
      <c r="Z17" s="37">
        <f t="shared" si="25"/>
        <v>2340</v>
      </c>
      <c r="AA17" s="37">
        <f t="shared" si="26"/>
        <v>3290</v>
      </c>
      <c r="AB17" s="37">
        <f t="shared" si="27"/>
        <v>7830</v>
      </c>
      <c r="AC17" s="37">
        <f t="shared" si="28"/>
        <v>12690</v>
      </c>
      <c r="AD17" s="35">
        <f t="shared" si="29"/>
        <v>55630</v>
      </c>
      <c r="AF17" s="20">
        <f t="shared" si="1"/>
        <v>2.95</v>
      </c>
      <c r="AG17" s="20">
        <f t="shared" si="2"/>
        <v>9.25</v>
      </c>
      <c r="AH17" s="20">
        <f t="shared" si="3"/>
        <v>13.65</v>
      </c>
      <c r="AI17" s="20">
        <f t="shared" si="4"/>
        <v>7.1000000000000005</v>
      </c>
      <c r="AJ17" s="20">
        <f t="shared" si="5"/>
        <v>27.3</v>
      </c>
      <c r="AK17" s="20">
        <f t="shared" si="6"/>
        <v>20.350000000000001</v>
      </c>
      <c r="AL17" s="20">
        <f t="shared" si="7"/>
        <v>16.899999999999999</v>
      </c>
      <c r="AM17" s="20">
        <f t="shared" si="8"/>
        <v>22.45</v>
      </c>
      <c r="AN17" s="20">
        <f t="shared" si="9"/>
        <v>27.45</v>
      </c>
      <c r="AO17" s="20">
        <f t="shared" si="10"/>
        <v>11.700000000000001</v>
      </c>
      <c r="AP17" s="20">
        <f t="shared" si="11"/>
        <v>16.45</v>
      </c>
      <c r="AQ17" s="20">
        <f t="shared" si="12"/>
        <v>39.15</v>
      </c>
      <c r="AR17" s="20">
        <f t="shared" si="13"/>
        <v>63.45</v>
      </c>
      <c r="AS17" s="35">
        <f t="shared" si="30"/>
        <v>278.14999999999998</v>
      </c>
      <c r="AU17" s="55">
        <v>355780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44907</v>
      </c>
      <c r="B18" s="40">
        <v>79</v>
      </c>
      <c r="C18" s="52">
        <v>8645810</v>
      </c>
      <c r="D18" s="52">
        <v>21042270</v>
      </c>
      <c r="E18" s="52">
        <v>3869740</v>
      </c>
      <c r="F18" s="52">
        <v>4390850</v>
      </c>
      <c r="G18" s="52">
        <v>12976510</v>
      </c>
      <c r="H18" s="52">
        <v>7702810</v>
      </c>
      <c r="I18" s="52">
        <v>6668160</v>
      </c>
      <c r="J18" s="52">
        <v>8324640</v>
      </c>
      <c r="K18" s="52">
        <v>12063890</v>
      </c>
      <c r="L18" s="52">
        <v>5265420</v>
      </c>
      <c r="M18" s="52">
        <v>9601960</v>
      </c>
      <c r="N18" s="52">
        <v>15996770</v>
      </c>
      <c r="O18" s="52">
        <v>22399770</v>
      </c>
      <c r="Q18" s="37">
        <f t="shared" si="17"/>
        <v>610</v>
      </c>
      <c r="R18" s="37">
        <f t="shared" si="18"/>
        <v>1920</v>
      </c>
      <c r="S18" s="37">
        <f t="shared" si="16"/>
        <v>3090</v>
      </c>
      <c r="T18" s="37">
        <f t="shared" si="19"/>
        <v>1480</v>
      </c>
      <c r="U18" s="37">
        <f t="shared" si="20"/>
        <v>5560</v>
      </c>
      <c r="V18" s="37">
        <f t="shared" si="21"/>
        <v>4120</v>
      </c>
      <c r="W18" s="37">
        <f t="shared" si="22"/>
        <v>3760</v>
      </c>
      <c r="X18" s="37">
        <f t="shared" si="23"/>
        <v>5140</v>
      </c>
      <c r="Y18" s="37">
        <f t="shared" si="24"/>
        <v>5800</v>
      </c>
      <c r="Z18" s="37">
        <f t="shared" si="25"/>
        <v>2330</v>
      </c>
      <c r="AA18" s="37">
        <f t="shared" si="26"/>
        <v>3320</v>
      </c>
      <c r="AB18" s="37">
        <f t="shared" si="27"/>
        <v>7930</v>
      </c>
      <c r="AC18" s="37">
        <f t="shared" si="28"/>
        <v>11330</v>
      </c>
      <c r="AD18" s="35">
        <f t="shared" si="29"/>
        <v>56390</v>
      </c>
      <c r="AF18" s="20">
        <f t="shared" si="1"/>
        <v>3.0500000000000003</v>
      </c>
      <c r="AG18" s="20">
        <f t="shared" si="2"/>
        <v>9.6</v>
      </c>
      <c r="AH18" s="20">
        <f t="shared" si="3"/>
        <v>15.450000000000001</v>
      </c>
      <c r="AI18" s="20">
        <f t="shared" si="4"/>
        <v>7.4</v>
      </c>
      <c r="AJ18" s="20">
        <f t="shared" si="5"/>
        <v>27.8</v>
      </c>
      <c r="AK18" s="20">
        <f t="shared" si="6"/>
        <v>20.6</v>
      </c>
      <c r="AL18" s="20">
        <f t="shared" si="7"/>
        <v>18.8</v>
      </c>
      <c r="AM18" s="20">
        <f t="shared" si="8"/>
        <v>25.7</v>
      </c>
      <c r="AN18" s="20">
        <f t="shared" si="9"/>
        <v>29</v>
      </c>
      <c r="AO18" s="20">
        <f t="shared" si="10"/>
        <v>11.65</v>
      </c>
      <c r="AP18" s="20">
        <f t="shared" si="11"/>
        <v>16.600000000000001</v>
      </c>
      <c r="AQ18" s="20">
        <f t="shared" si="12"/>
        <v>39.65</v>
      </c>
      <c r="AR18" s="20">
        <f t="shared" si="13"/>
        <v>56.65</v>
      </c>
      <c r="AS18" s="35">
        <f t="shared" si="30"/>
        <v>281.95</v>
      </c>
      <c r="AU18" s="55">
        <v>355780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44908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 t="str">
        <f t="shared" si="17"/>
        <v>0</v>
      </c>
      <c r="R19" s="37" t="str">
        <f t="shared" si="18"/>
        <v>0</v>
      </c>
      <c r="S19" s="37" t="str">
        <f t="shared" si="16"/>
        <v>0</v>
      </c>
      <c r="T19" s="37" t="str">
        <f t="shared" si="19"/>
        <v>0</v>
      </c>
      <c r="U19" s="37" t="str">
        <f t="shared" si="20"/>
        <v>0</v>
      </c>
      <c r="V19" s="37" t="str">
        <f t="shared" si="21"/>
        <v>0</v>
      </c>
      <c r="W19" s="37" t="str">
        <f t="shared" si="22"/>
        <v>0</v>
      </c>
      <c r="X19" s="37" t="str">
        <f t="shared" si="23"/>
        <v>0</v>
      </c>
      <c r="Y19" s="37" t="str">
        <f t="shared" si="24"/>
        <v>0</v>
      </c>
      <c r="Z19" s="37" t="str">
        <f t="shared" si="25"/>
        <v>0</v>
      </c>
      <c r="AA19" s="37" t="str">
        <f t="shared" si="26"/>
        <v>0</v>
      </c>
      <c r="AB19" s="37" t="str">
        <f t="shared" si="27"/>
        <v>0</v>
      </c>
      <c r="AC19" s="37" t="str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4"/>
      <c r="AV19" s="37" t="str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44909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44910</v>
      </c>
      <c r="B21" s="4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4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44911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44912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44913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44914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44915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44916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44917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44918</v>
      </c>
      <c r="B29" s="40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9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44919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44920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44921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44922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44923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44924</v>
      </c>
      <c r="B35" s="40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9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44925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44926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7080</v>
      </c>
      <c r="R38" s="38">
        <f t="shared" ref="R38:AD38" si="60">SUM(R7:R37)</f>
        <v>22280</v>
      </c>
      <c r="S38" s="38">
        <f t="shared" si="60"/>
        <v>37260</v>
      </c>
      <c r="T38" s="38">
        <f t="shared" si="60"/>
        <v>17360</v>
      </c>
      <c r="U38" s="38">
        <f t="shared" si="60"/>
        <v>67910</v>
      </c>
      <c r="V38" s="38">
        <f t="shared" si="60"/>
        <v>49180</v>
      </c>
      <c r="W38" s="38">
        <f t="shared" si="60"/>
        <v>38750</v>
      </c>
      <c r="X38" s="38">
        <f t="shared" si="60"/>
        <v>56470</v>
      </c>
      <c r="Y38" s="38">
        <f t="shared" si="60"/>
        <v>69210</v>
      </c>
      <c r="Z38" s="38">
        <f t="shared" si="60"/>
        <v>29860</v>
      </c>
      <c r="AA38" s="38">
        <f t="shared" si="60"/>
        <v>39440</v>
      </c>
      <c r="AB38" s="38">
        <f t="shared" si="60"/>
        <v>93600</v>
      </c>
      <c r="AC38" s="38">
        <f t="shared" si="60"/>
        <v>144470</v>
      </c>
      <c r="AD38" s="38">
        <f t="shared" si="60"/>
        <v>672870</v>
      </c>
      <c r="AF38" s="35">
        <f>SUM(AF7:AF37)</f>
        <v>35.399999999999991</v>
      </c>
      <c r="AG38" s="35">
        <f t="shared" ref="AG38:AS38" si="61">SUM(AG7:AG37)</f>
        <v>111.4</v>
      </c>
      <c r="AH38" s="35">
        <f t="shared" si="61"/>
        <v>186.29999999999998</v>
      </c>
      <c r="AI38" s="35">
        <f t="shared" si="61"/>
        <v>86.800000000000011</v>
      </c>
      <c r="AJ38" s="35">
        <f t="shared" si="61"/>
        <v>339.55</v>
      </c>
      <c r="AK38" s="35">
        <f t="shared" si="61"/>
        <v>245.89999999999998</v>
      </c>
      <c r="AL38" s="35">
        <f t="shared" si="61"/>
        <v>193.75000000000003</v>
      </c>
      <c r="AM38" s="35">
        <f t="shared" si="61"/>
        <v>282.35000000000002</v>
      </c>
      <c r="AN38" s="35">
        <f t="shared" si="61"/>
        <v>346.04999999999995</v>
      </c>
      <c r="AO38" s="35">
        <f t="shared" si="61"/>
        <v>149.29999999999998</v>
      </c>
      <c r="AP38" s="35">
        <f t="shared" si="61"/>
        <v>197.19999999999996</v>
      </c>
      <c r="AQ38" s="35">
        <f t="shared" si="61"/>
        <v>467.99999999999994</v>
      </c>
      <c r="AR38" s="35">
        <f t="shared" si="61"/>
        <v>722.35</v>
      </c>
      <c r="AS38" s="35">
        <f t="shared" si="61"/>
        <v>3364.3499999999995</v>
      </c>
      <c r="AU38" s="46"/>
      <c r="AV38" s="34">
        <f>SUM(AV7:AV37)</f>
        <v>9786</v>
      </c>
      <c r="AW38" s="34">
        <f>SUM(AW7:AW37)</f>
        <v>3704.4022260000002</v>
      </c>
      <c r="AX38" s="35">
        <f>SUM(AX7:AX37)</f>
        <v>19.571999999999999</v>
      </c>
    </row>
    <row r="39" spans="1:50" x14ac:dyDescent="0.25">
      <c r="B39" s="39">
        <f>SUM(B7:B37)</f>
        <v>1417</v>
      </c>
      <c r="D39">
        <v>5.0000000000000001E-3</v>
      </c>
      <c r="AV39" s="36"/>
      <c r="AW39" s="50">
        <f>AW38/31</f>
        <v>119.49684600000001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2022-12-13T06:52:11Z</dcterms:modified>
</cp:coreProperties>
</file>