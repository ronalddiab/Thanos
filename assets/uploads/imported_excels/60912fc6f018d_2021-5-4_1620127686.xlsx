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2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"/>
  <c r="T25" l="1"/>
  <c r="S25"/>
  <c r="E20" i="3" l="1"/>
  <c r="E21"/>
  <c r="M23" i="12"/>
  <c r="S26" i="1"/>
  <c r="S27"/>
  <c r="S28"/>
  <c r="S29"/>
  <c r="S30"/>
  <c r="S31"/>
  <c r="S32"/>
  <c r="S33"/>
  <c r="S34"/>
  <c r="S35"/>
  <c r="S36"/>
  <c r="S37"/>
  <c r="S38"/>
  <c r="S39"/>
  <c r="S40"/>
  <c r="S41"/>
  <c r="S42"/>
  <c r="T26"/>
  <c r="T27"/>
  <c r="T28"/>
  <c r="T29"/>
  <c r="T30"/>
  <c r="T31"/>
  <c r="T32"/>
  <c r="T33"/>
  <c r="T34"/>
  <c r="T35"/>
  <c r="T36"/>
  <c r="T37"/>
  <c r="T38"/>
  <c r="T39"/>
  <c r="T40"/>
  <c r="T41"/>
  <c r="T42"/>
  <c r="AJ24"/>
  <c r="AJ25"/>
  <c r="AJ26"/>
  <c r="AJ27"/>
  <c r="AJ28"/>
  <c r="AJ29"/>
  <c r="AJ30"/>
  <c r="AJ31"/>
  <c r="AJ32"/>
  <c r="AJ33"/>
  <c r="AJ34"/>
  <c r="AJ35"/>
  <c r="AJ36"/>
  <c r="AJ37"/>
  <c r="AJ38"/>
  <c r="S43"/>
  <c r="S44"/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24" l="1"/>
  <c r="J16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/>
  <c r="F18"/>
  <c r="F19"/>
  <c r="F20"/>
  <c r="F21"/>
  <c r="F22"/>
  <c r="F23"/>
  <c r="F24"/>
  <c r="F25"/>
  <c r="F26"/>
  <c r="F27"/>
  <c r="F28"/>
  <c r="F29"/>
  <c r="F30"/>
  <c r="F31"/>
  <c r="F32"/>
  <c r="F33"/>
  <c r="T43" i="1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AJ43"/>
  <c r="B43"/>
  <c r="AJ42"/>
  <c r="E34" i="24"/>
  <c r="AJ41" i="1"/>
  <c r="AJ40"/>
  <c r="AJ39"/>
  <c r="E30" i="24"/>
  <c r="E29"/>
  <c r="E26"/>
  <c r="E25"/>
  <c r="E22"/>
  <c r="E21"/>
  <c r="E18"/>
  <c r="S24" i="1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S45" l="1"/>
  <c r="C32" i="23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T47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F19"/>
  <c r="F20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S37" i="14" l="1"/>
  <c r="R21"/>
  <c r="T31" i="18"/>
  <c r="Y31" s="1"/>
  <c r="T27"/>
  <c r="Y27" s="1"/>
  <c r="T23"/>
  <c r="Y23" s="1"/>
  <c r="T19"/>
  <c r="Y19" s="1"/>
  <c r="T15"/>
  <c r="Y15" s="1"/>
  <c r="T11"/>
  <c r="Y11" s="1"/>
  <c r="T7"/>
  <c r="Y7" s="1"/>
  <c r="T12"/>
  <c r="Y12" s="1"/>
  <c r="T32"/>
  <c r="Y32" s="1"/>
  <c r="T28"/>
  <c r="Y28" s="1"/>
  <c r="T20"/>
  <c r="Y20" s="1"/>
  <c r="T16"/>
  <c r="Y16" s="1"/>
  <c r="T8"/>
  <c r="Y8" s="1"/>
  <c r="T33"/>
  <c r="Y33" s="1"/>
  <c r="Y29"/>
  <c r="T29"/>
  <c r="T25"/>
  <c r="Y25" s="1"/>
  <c r="T21"/>
  <c r="Y21" s="1"/>
  <c r="T17"/>
  <c r="Y17" s="1"/>
  <c r="T13"/>
  <c r="Y13" s="1"/>
  <c r="T9"/>
  <c r="Y9" s="1"/>
  <c r="T5"/>
  <c r="Y5" s="1"/>
  <c r="T34"/>
  <c r="Y34" s="1"/>
  <c r="Y30"/>
  <c r="T30"/>
  <c r="T26"/>
  <c r="Y26" s="1"/>
  <c r="T22"/>
  <c r="Y22" s="1"/>
  <c r="T18"/>
  <c r="Y18" s="1"/>
  <c r="Y14"/>
  <c r="T14"/>
  <c r="T10"/>
  <c r="Y10" s="1"/>
  <c r="T6"/>
  <c r="Y6" s="1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V5" s="1"/>
  <c r="W5" s="1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R5" i="10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11" i="1" l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C43" s="1"/>
  <c r="AT41"/>
  <c r="E35" i="23"/>
  <c r="J35" i="11"/>
  <c r="H36" i="13"/>
  <c r="AT43" i="1" l="1"/>
  <c r="AT42"/>
  <c r="J36" i="11"/>
  <c r="E36" i="23"/>
</calcChain>
</file>

<file path=xl/comments1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<sst xmlns="http://schemas.openxmlformats.org/spreadsheetml/2006/main" count="534" uniqueCount="321">
  <si>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</si>
  <si>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</si>
  <si>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</si>
  <si>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</si>
  <si>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</si>
  <si>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</si>
  <si>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</si>
  <si>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</si>
  <si>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</si>
  <si>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</si>
  <si>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</si>
  <si>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</si>
  <si>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</si>
  <si>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</si>
  <si>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</si>
  <si>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</si>
  <si>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</si>
  <si>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</si>
  <si>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</si>
  <si>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</si>
  <si>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</si>
  <si>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</si>
  <si>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</si>
  <si>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</si>
  <si>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</si>
  <si>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</si>
  <si>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</si>
  <si>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</si>
  <si>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</si>
  <si>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</si>
  <si>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</si>
  <si>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</si>
  <si>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</si>
  <si>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</si>
  <si>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</si>
  <si>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</si>
  <si>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</si>
  <si>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</si>
  <si>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</si>
  <si>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</si>
  <si>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</si>
  <si>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</si>
  <si>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</si>
  <si>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</si>
  <si>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</si>
  <si>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</si>
  <si>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</si>
  <si>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</si>
  <si>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</si>
  <si>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</si>
  <si>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</si>
  <si>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</si>
  <si>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</si>
  <si>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</si>
  <si>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</si>
  <si>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</si>
  <si>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</si>
  <si>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</si>
  <si>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</si>
  <si>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</si>
  <si>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</si>
  <si>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</si>
  <si>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</si>
  <si>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</si>
  <si>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</si>
  <si>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</si>
  <si>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</si>
  <si>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</si>
  <si>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</si>
  <si>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</si>
  <si>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</si>
  <si>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</si>
  <si>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</si>
  <si>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</si>
  <si>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</si>
  <si>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</si>
  <si>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</si>
  <si>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</si>
  <si>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</si>
  <si>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</si>
  <si>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</si>
  <si>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</si>
  <si>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</si>
  <si>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</si>
  <si>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</si>
  <si>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</si>
  <si>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</si>
  <si>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</si>
  <si>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</si>
  <si>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</si>
  <si>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</si>
  <si>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</si>
  <si>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</si>
  <si>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</si>
  <si>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</si>
  <si>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</si>
  <si>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</si>
  <si>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</si>
  <si>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</si>
  <si>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</si>
  <si>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</si>
  <si>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</si>
  <si>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</si>
  <si>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</si>
  <si>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</si>
  <si>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</si>
  <si>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</si>
  <si>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</si>
  <si>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</si>
  <si>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</si>
  <si>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</si>
  <si>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</si>
  <si>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</si>
  <si>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</si>
  <si>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</si>
  <si>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</si>
  <si>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</si>
  <si>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</si>
  <si>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</si>
  <si>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</si>
  <si>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</si>
  <si>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</si>
  <si>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</si>
  <si>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</si>
  <si>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</si>
  <si>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</si>
  <si>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</si>
  <si>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</si>
  <si>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</si>
  <si>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</si>
  <si>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</si>
  <si>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</si>
  <si>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</si>
  <si>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</si>
  <si>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</si>
  <si>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</si>
  <si>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</si>
  <si>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</si>
  <si>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</si>
  <si>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</si>
  <si>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</si>
  <si>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</si>
  <si>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</si>
  <si>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</si>
  <si>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</si>
  <si>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</si>
  <si>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</si>
  <si>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</si>
  <si>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</si>
  <si>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</si>
  <si>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</si>
  <si>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</si>
  <si>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</si>
  <si>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</si>
  <si>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</si>
  <si>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</si>
  <si>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</si>
  <si>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</si>
  <si>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</si>
  <si>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</si>
  <si>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</si>
  <si>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</si>
  <si>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</si>
  <si>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</si>
  <si>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</si>
  <si>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</si>
  <si>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</si>
  <si>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</si>
  <si>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</si>
  <si>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</si>
  <si>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</si>
  <si>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</si>
  <si>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</si>
  <si>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</si>
  <si>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</si>
  <si>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</si>
  <si>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</si>
  <si>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</si>
  <si>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</si>
  <si>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</si>
  <si>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</si>
  <si>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</si>
  <si>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</si>
  <si>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</si>
  <si>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</si>
  <si>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</si>
  <si>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</si>
  <si>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</si>
  <si>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</si>
  <si>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</si>
  <si>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</si>
  <si>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</si>
  <si>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</si>
  <si>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</si>
  <si>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</si>
  <si>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</si>
  <si>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</si>
  <si>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</si>
  <si>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</si>
  <si>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</si>
  <si>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</si>
  <si>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</si>
  <si>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</si>
  <si>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</si>
  <si>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</si>
  <si>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</si>
  <si>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</si>
  <si>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</si>
  <si>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</si>
  <si>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</si>
  <si>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</si>
  <si>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</si>
  <si>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</si>
  <si>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</si>
  <si>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</si>
  <si>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</si>
  <si>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</si>
  <si>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</si>
  <si>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</si>
  <si>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</si>
  <si>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</si>
  <si>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</si>
  <si>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</si>
  <si>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</si>
  <si>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</si>
  <si>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</si>
  <si>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</si>
  <si>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</si>
  <si>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</si>
  <si>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</si>
  <si>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</si>
  <si>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</si>
  <si>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</si>
  <si>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</si>
  <si>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</si>
  <si>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</si>
  <si>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</si>
  <si>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</si>
  <si>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</si>
  <si>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</si>
  <si>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</si>
  <si>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</si>
  <si>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</si>
  <si>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</si>
  <si>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</si>
  <si>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</si>
  <si>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</si>
  <si>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</si>
  <si>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</si>
  <si>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</si>
  <si>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</si>
  <si>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</si>
  <si>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</si>
  <si>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</si>
  <si>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</si>
  <si>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</si>
  <si>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</si>
  <si>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</si>
  <si>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</si>
  <si>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</si>
  <si>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</si>
  <si>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</si>
  <si>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</si>
  <si>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</si>
  <si>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</si>
  <si>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</si>
  <si>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</si>
  <si>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</si>
  <si>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</si>
  <si>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</si>
  <si>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</si>
  <si>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</si>
  <si>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</si>
  <si>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</si>
  <si>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</si>
  <si>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</si>
  <si>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</si>
  <si>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</si>
  <si>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</si>
  <si>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</si>
  <si>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</si>
  <si>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</si>
  <si>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</si>
  <si>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</si>
  <si>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</si>
  <si>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</si>
  <si>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</si>
  <si>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</si>
  <si>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</si>
  <si>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</si>
  <si>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</si>
  <si>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</si>
  <si>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</si>
  <si>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</si>
  <si>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</si>
  <si>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</si>
  <si>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</si>
  <si>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</si>
  <si>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</si>
  <si>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</si>
  <si>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</si>
  <si>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</si>
  <si>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</si>
  <si>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</si>
  <si>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</si>
  <si>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</si>
  <si>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</si>
  <si>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</si>
  <si>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</si>
  <si>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</si>
  <si>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</si>
  <si>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</si>
  <si>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</si>
  <si>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</si>
  <si>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</si>
  <si>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</si>
  <si>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</si>
  <si>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</si>
  <si>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</si>
  <si>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</si>
  <si>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`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</si>
</sst>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2" fontId="0" fillId="0" borderId="0" xfId="0" applyNumberFormat="1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2697</c:v>
                </c:pt>
                <c:pt idx="1">
                  <c:v>2639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6964736"/>
        <c:axId val="13696652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6968064"/>
        <c:axId val="136969600"/>
      </c:lineChart>
      <c:catAx>
        <c:axId val="136964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66528"/>
        <c:crosses val="autoZero"/>
        <c:auto val="1"/>
        <c:lblAlgn val="ctr"/>
        <c:lblOffset val="100"/>
      </c:catAx>
      <c:valAx>
        <c:axId val="13696652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64736"/>
        <c:crosses val="autoZero"/>
        <c:crossBetween val="between"/>
        <c:majorUnit val="200"/>
      </c:valAx>
      <c:catAx>
        <c:axId val="136968064"/>
        <c:scaling>
          <c:orientation val="minMax"/>
        </c:scaling>
        <c:delete val="1"/>
        <c:axPos val="b"/>
        <c:tickLblPos val="none"/>
        <c:crossAx val="136969600"/>
        <c:crosses val="autoZero"/>
        <c:auto val="1"/>
        <c:lblAlgn val="ctr"/>
        <c:lblOffset val="100"/>
      </c:catAx>
      <c:valAx>
        <c:axId val="1369696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680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6237824"/>
        <c:axId val="13623936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6241152"/>
        <c:axId val="136242688"/>
      </c:lineChart>
      <c:catAx>
        <c:axId val="13623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39360"/>
        <c:crosses val="autoZero"/>
        <c:auto val="1"/>
        <c:lblAlgn val="ctr"/>
        <c:lblOffset val="100"/>
      </c:catAx>
      <c:valAx>
        <c:axId val="136239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37824"/>
        <c:crosses val="autoZero"/>
        <c:crossBetween val="between"/>
        <c:majorUnit val="200"/>
      </c:valAx>
      <c:catAx>
        <c:axId val="136241152"/>
        <c:scaling>
          <c:orientation val="minMax"/>
        </c:scaling>
        <c:delete val="1"/>
        <c:axPos val="b"/>
        <c:tickLblPos val="none"/>
        <c:crossAx val="136242688"/>
        <c:crosses val="autoZero"/>
        <c:auto val="1"/>
        <c:lblAlgn val="ctr"/>
        <c:lblOffset val="100"/>
      </c:catAx>
      <c:valAx>
        <c:axId val="1362426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411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6946048"/>
        <c:axId val="96947584"/>
      </c:lineChart>
      <c:catAx>
        <c:axId val="9694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47584"/>
        <c:crosses val="autoZero"/>
        <c:auto val="1"/>
        <c:lblAlgn val="ctr"/>
        <c:lblOffset val="200"/>
        <c:tickLblSkip val="1"/>
      </c:catAx>
      <c:valAx>
        <c:axId val="969475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4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6968064"/>
        <c:axId val="97281152"/>
      </c:lineChart>
      <c:catAx>
        <c:axId val="9696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81152"/>
        <c:crosses val="autoZero"/>
        <c:auto val="1"/>
        <c:lblAlgn val="ctr"/>
        <c:lblOffset val="100"/>
      </c:catAx>
      <c:valAx>
        <c:axId val="972811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6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0.41311086392287732</c:v>
                </c:pt>
                <c:pt idx="2">
                  <c:v>0.41249336870026521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7318016"/>
        <c:axId val="97319936"/>
      </c:lineChart>
      <c:catAx>
        <c:axId val="97318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19936"/>
        <c:crosses val="autoZero"/>
        <c:auto val="1"/>
        <c:lblAlgn val="ctr"/>
        <c:lblOffset val="100"/>
      </c:catAx>
      <c:valAx>
        <c:axId val="973199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180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6771456"/>
        <c:axId val="96785920"/>
      </c:lineChart>
      <c:catAx>
        <c:axId val="96771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85920"/>
        <c:crosses val="autoZero"/>
        <c:auto val="1"/>
        <c:lblAlgn val="ctr"/>
        <c:lblOffset val="100"/>
      </c:catAx>
      <c:valAx>
        <c:axId val="967859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714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49.631999999994882</c:v>
                </c:pt>
                <c:pt idx="1">
                  <c:v>42.768000000005124</c:v>
                </c:pt>
                <c:pt idx="2">
                  <c:v>55.22000000001281</c:v>
                </c:pt>
                <c:pt idx="3">
                  <c:v>-335630.02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7855360"/>
        <c:axId val="97856896"/>
      </c:lineChart>
      <c:catAx>
        <c:axId val="97855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56896"/>
        <c:crosses val="autoZero"/>
        <c:auto val="1"/>
        <c:lblAlgn val="ctr"/>
        <c:lblOffset val="100"/>
      </c:catAx>
      <c:valAx>
        <c:axId val="97856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5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7902976"/>
        <c:axId val="97904512"/>
      </c:lineChart>
      <c:catAx>
        <c:axId val="9790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04512"/>
        <c:crosses val="autoZero"/>
        <c:auto val="1"/>
        <c:lblAlgn val="ctr"/>
        <c:lblOffset val="100"/>
      </c:catAx>
      <c:valAx>
        <c:axId val="97904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0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8330112"/>
        <c:axId val="98331648"/>
      </c:lineChart>
      <c:catAx>
        <c:axId val="9833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31648"/>
        <c:crosses val="autoZero"/>
        <c:auto val="1"/>
        <c:lblAlgn val="ctr"/>
        <c:lblOffset val="100"/>
      </c:catAx>
      <c:valAx>
        <c:axId val="98331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3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1411"/>
          <c:y val="7.471324705112238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8356224"/>
        <c:axId val="98894592"/>
      </c:lineChart>
      <c:catAx>
        <c:axId val="98356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94592"/>
        <c:crosses val="autoZero"/>
        <c:auto val="1"/>
        <c:lblAlgn val="ctr"/>
        <c:lblOffset val="200"/>
        <c:tickLblSkip val="1"/>
      </c:catAx>
      <c:valAx>
        <c:axId val="988945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56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8931840"/>
        <c:axId val="98933376"/>
      </c:lineChart>
      <c:catAx>
        <c:axId val="9893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33376"/>
        <c:crosses val="autoZero"/>
        <c:auto val="1"/>
        <c:lblAlgn val="ctr"/>
        <c:lblOffset val="100"/>
      </c:catAx>
      <c:valAx>
        <c:axId val="98933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3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8957952"/>
        <c:axId val="99459840"/>
      </c:lineChart>
      <c:catAx>
        <c:axId val="98957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59840"/>
        <c:crosses val="autoZero"/>
        <c:auto val="1"/>
        <c:lblAlgn val="ctr"/>
        <c:lblOffset val="100"/>
      </c:catAx>
      <c:valAx>
        <c:axId val="994598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579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9710080"/>
        <c:axId val="99712000"/>
      </c:lineChart>
      <c:catAx>
        <c:axId val="99710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12000"/>
        <c:crosses val="autoZero"/>
        <c:auto val="1"/>
        <c:lblAlgn val="ctr"/>
        <c:lblOffset val="100"/>
      </c:catAx>
      <c:valAx>
        <c:axId val="997120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100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9741056"/>
        <c:axId val="99742848"/>
      </c:lineChart>
      <c:catAx>
        <c:axId val="9974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42848"/>
        <c:crosses val="autoZero"/>
        <c:auto val="1"/>
        <c:lblAlgn val="ctr"/>
        <c:lblOffset val="100"/>
      </c:catAx>
      <c:valAx>
        <c:axId val="99742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4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9260288"/>
        <c:axId val="99261824"/>
      </c:lineChart>
      <c:catAx>
        <c:axId val="99260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61824"/>
        <c:crosses val="autoZero"/>
        <c:auto val="1"/>
        <c:lblAlgn val="ctr"/>
        <c:lblOffset val="100"/>
      </c:catAx>
      <c:valAx>
        <c:axId val="99261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60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00023296"/>
        <c:axId val="100029184"/>
      </c:lineChart>
      <c:catAx>
        <c:axId val="10002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29184"/>
        <c:crosses val="autoZero"/>
        <c:auto val="1"/>
        <c:lblAlgn val="ctr"/>
        <c:lblOffset val="100"/>
      </c:catAx>
      <c:valAx>
        <c:axId val="100029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2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1789"/>
          <c:y val="7.471324705112276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00214656"/>
        <c:axId val="10021619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00234368"/>
        <c:axId val="100235904"/>
      </c:lineChart>
      <c:catAx>
        <c:axId val="1002146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16192"/>
        <c:crosses val="autoZero"/>
        <c:lblAlgn val="ctr"/>
        <c:lblOffset val="100"/>
        <c:tickMarkSkip val="1"/>
      </c:catAx>
      <c:valAx>
        <c:axId val="1002161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14656"/>
        <c:crosses val="autoZero"/>
        <c:crossBetween val="between"/>
      </c:valAx>
      <c:catAx>
        <c:axId val="100234368"/>
        <c:scaling>
          <c:orientation val="minMax"/>
        </c:scaling>
        <c:delete val="1"/>
        <c:axPos val="b"/>
        <c:numFmt formatCode="[$-409]d\-mmm\-yy;@" sourceLinked="1"/>
        <c:tickLblPos val="none"/>
        <c:crossAx val="100235904"/>
        <c:crosses val="autoZero"/>
        <c:lblAlgn val="ctr"/>
        <c:lblOffset val="100"/>
      </c:catAx>
      <c:valAx>
        <c:axId val="10023590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343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00268672"/>
        <c:axId val="101667200"/>
      </c:lineChart>
      <c:catAx>
        <c:axId val="10026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67200"/>
        <c:crosses val="autoZero"/>
        <c:auto val="1"/>
        <c:lblAlgn val="ctr"/>
        <c:lblOffset val="100"/>
      </c:catAx>
      <c:valAx>
        <c:axId val="10166720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6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01691776"/>
        <c:axId val="101693312"/>
      </c:lineChart>
      <c:catAx>
        <c:axId val="10169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93312"/>
        <c:crosses val="autoZero"/>
        <c:auto val="1"/>
        <c:lblAlgn val="ctr"/>
        <c:lblOffset val="100"/>
      </c:catAx>
      <c:valAx>
        <c:axId val="10169331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9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02142336"/>
        <c:axId val="1021438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02145408"/>
        <c:axId val="102167680"/>
      </c:lineChart>
      <c:catAx>
        <c:axId val="1021423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43872"/>
        <c:crosses val="autoZero"/>
        <c:lblAlgn val="ctr"/>
        <c:lblOffset val="100"/>
        <c:tickMarkSkip val="1"/>
      </c:catAx>
      <c:valAx>
        <c:axId val="102143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42336"/>
        <c:crosses val="autoZero"/>
        <c:crossBetween val="between"/>
      </c:valAx>
      <c:catAx>
        <c:axId val="102145408"/>
        <c:scaling>
          <c:orientation val="minMax"/>
        </c:scaling>
        <c:delete val="1"/>
        <c:axPos val="b"/>
        <c:numFmt formatCode="General" sourceLinked="1"/>
        <c:tickLblPos val="none"/>
        <c:crossAx val="102167680"/>
        <c:crosses val="autoZero"/>
        <c:lblAlgn val="ctr"/>
        <c:lblOffset val="100"/>
      </c:catAx>
      <c:valAx>
        <c:axId val="1021676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454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37327744"/>
        <c:axId val="137329280"/>
      </c:lineChart>
      <c:catAx>
        <c:axId val="137327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29280"/>
        <c:crosses val="autoZero"/>
        <c:auto val="1"/>
        <c:lblAlgn val="ctr"/>
        <c:lblOffset val="100"/>
      </c:catAx>
      <c:valAx>
        <c:axId val="137329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27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37357952"/>
        <c:axId val="138617216"/>
      </c:lineChart>
      <c:catAx>
        <c:axId val="13735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17216"/>
        <c:crosses val="autoZero"/>
        <c:auto val="1"/>
        <c:lblAlgn val="ctr"/>
        <c:lblOffset val="100"/>
      </c:catAx>
      <c:valAx>
        <c:axId val="138617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5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38717056"/>
        <c:axId val="13871859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38724480"/>
        <c:axId val="138726016"/>
      </c:lineChart>
      <c:catAx>
        <c:axId val="1387170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18592"/>
        <c:crosses val="autoZero"/>
        <c:lblAlgn val="ctr"/>
        <c:lblOffset val="100"/>
        <c:tickMarkSkip val="1"/>
      </c:catAx>
      <c:valAx>
        <c:axId val="1387185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17056"/>
        <c:crosses val="autoZero"/>
        <c:crossBetween val="between"/>
      </c:valAx>
      <c:catAx>
        <c:axId val="138724480"/>
        <c:scaling>
          <c:orientation val="minMax"/>
        </c:scaling>
        <c:delete val="1"/>
        <c:axPos val="b"/>
        <c:numFmt formatCode="[$-409]d\-mmm\-yy;@" sourceLinked="1"/>
        <c:tickLblPos val="none"/>
        <c:crossAx val="138726016"/>
        <c:crosses val="autoZero"/>
        <c:lblAlgn val="ctr"/>
        <c:lblOffset val="100"/>
      </c:catAx>
      <c:valAx>
        <c:axId val="13872601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244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39104640"/>
        <c:axId val="1391061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39107712"/>
        <c:axId val="139117696"/>
      </c:lineChart>
      <c:catAx>
        <c:axId val="1391046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06176"/>
        <c:crosses val="autoZero"/>
        <c:lblAlgn val="ctr"/>
        <c:lblOffset val="100"/>
        <c:tickMarkSkip val="1"/>
      </c:catAx>
      <c:valAx>
        <c:axId val="139106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04640"/>
        <c:crosses val="autoZero"/>
        <c:crossBetween val="between"/>
      </c:valAx>
      <c:catAx>
        <c:axId val="139107712"/>
        <c:scaling>
          <c:orientation val="minMax"/>
        </c:scaling>
        <c:delete val="1"/>
        <c:axPos val="b"/>
        <c:numFmt formatCode="General" sourceLinked="1"/>
        <c:tickLblPos val="none"/>
        <c:crossAx val="139117696"/>
        <c:crosses val="autoZero"/>
        <c:lblAlgn val="ctr"/>
        <c:lblOffset val="100"/>
      </c:catAx>
      <c:valAx>
        <c:axId val="1391176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077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9996544"/>
        <c:axId val="14000243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40003968"/>
        <c:axId val="140005760"/>
      </c:lineChart>
      <c:catAx>
        <c:axId val="13999654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02432"/>
        <c:crosses val="autoZero"/>
        <c:lblAlgn val="ctr"/>
        <c:lblOffset val="100"/>
        <c:tickMarkSkip val="1"/>
      </c:catAx>
      <c:valAx>
        <c:axId val="1400024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96544"/>
        <c:crosses val="autoZero"/>
        <c:crossBetween val="between"/>
      </c:valAx>
      <c:catAx>
        <c:axId val="140003968"/>
        <c:scaling>
          <c:orientation val="minMax"/>
        </c:scaling>
        <c:delete val="1"/>
        <c:axPos val="b"/>
        <c:numFmt formatCode="[$-409]d\-mmm\-yy;@" sourceLinked="1"/>
        <c:tickLblPos val="none"/>
        <c:crossAx val="140005760"/>
        <c:crosses val="autoZero"/>
        <c:lblAlgn val="ctr"/>
        <c:lblOffset val="100"/>
      </c:catAx>
      <c:valAx>
        <c:axId val="1400057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03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40040064"/>
        <c:axId val="14004160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40047488"/>
        <c:axId val="140049024"/>
      </c:lineChart>
      <c:catAx>
        <c:axId val="1400400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41600"/>
        <c:crosses val="autoZero"/>
        <c:lblAlgn val="ctr"/>
        <c:lblOffset val="100"/>
        <c:tickMarkSkip val="1"/>
      </c:catAx>
      <c:valAx>
        <c:axId val="140041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40064"/>
        <c:crosses val="autoZero"/>
        <c:crossBetween val="between"/>
      </c:valAx>
      <c:catAx>
        <c:axId val="140047488"/>
        <c:scaling>
          <c:orientation val="minMax"/>
        </c:scaling>
        <c:delete val="1"/>
        <c:axPos val="b"/>
        <c:numFmt formatCode="General" sourceLinked="1"/>
        <c:tickLblPos val="none"/>
        <c:crossAx val="140049024"/>
        <c:crosses val="autoZero"/>
        <c:lblAlgn val="ctr"/>
        <c:lblOffset val="100"/>
      </c:catAx>
      <c:valAx>
        <c:axId val="1400490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474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0.41311086392287732</c:v>
                </c:pt>
                <c:pt idx="2">
                  <c:v>0.41249336870026521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42494720"/>
        <c:axId val="142509184"/>
      </c:lineChart>
      <c:catAx>
        <c:axId val="142494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09184"/>
        <c:crosses val="autoZero"/>
        <c:auto val="1"/>
        <c:lblAlgn val="ctr"/>
        <c:lblOffset val="100"/>
      </c:catAx>
      <c:valAx>
        <c:axId val="1425091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947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42489088"/>
        <c:axId val="142491008"/>
      </c:lineChart>
      <c:catAx>
        <c:axId val="142489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91008"/>
        <c:crosses val="autoZero"/>
        <c:auto val="1"/>
        <c:lblAlgn val="ctr"/>
        <c:lblOffset val="100"/>
      </c:catAx>
      <c:valAx>
        <c:axId val="1424910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890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40816384"/>
        <c:axId val="140817920"/>
      </c:lineChart>
      <c:catAx>
        <c:axId val="14081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17920"/>
        <c:crosses val="autoZero"/>
        <c:auto val="1"/>
        <c:lblAlgn val="ctr"/>
        <c:lblOffset val="200"/>
        <c:tickLblSkip val="1"/>
      </c:catAx>
      <c:valAx>
        <c:axId val="1408179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1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7515648"/>
        <c:axId val="167517184"/>
      </c:lineChart>
      <c:catAx>
        <c:axId val="16751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17184"/>
        <c:crosses val="autoZero"/>
        <c:auto val="1"/>
        <c:lblAlgn val="ctr"/>
        <c:lblOffset val="100"/>
      </c:catAx>
      <c:valAx>
        <c:axId val="1675171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1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412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49.631999999994882</c:v>
                </c:pt>
                <c:pt idx="1">
                  <c:v>42.768000000005124</c:v>
                </c:pt>
                <c:pt idx="2">
                  <c:v>55.22000000001281</c:v>
                </c:pt>
                <c:pt idx="3">
                  <c:v>-335630.02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7554048"/>
        <c:axId val="167564032"/>
      </c:lineChart>
      <c:catAx>
        <c:axId val="16755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64032"/>
        <c:crosses val="autoZero"/>
        <c:auto val="1"/>
        <c:lblAlgn val="ctr"/>
        <c:lblOffset val="100"/>
      </c:catAx>
      <c:valAx>
        <c:axId val="167564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5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0.41311086392287732</c:v>
                </c:pt>
                <c:pt idx="2">
                  <c:v>0.41249336870026521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8141568"/>
        <c:axId val="168143488"/>
      </c:lineChart>
      <c:catAx>
        <c:axId val="1681415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43488"/>
        <c:crosses val="autoZero"/>
        <c:auto val="1"/>
        <c:lblAlgn val="ctr"/>
        <c:lblOffset val="100"/>
      </c:catAx>
      <c:valAx>
        <c:axId val="1681434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415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8561664"/>
        <c:axId val="168596608"/>
      </c:lineChart>
      <c:catAx>
        <c:axId val="1685616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96608"/>
        <c:crosses val="autoZero"/>
        <c:auto val="1"/>
        <c:lblAlgn val="ctr"/>
        <c:lblOffset val="100"/>
      </c:catAx>
      <c:valAx>
        <c:axId val="1685966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616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8621568"/>
        <c:axId val="168623104"/>
      </c:lineChart>
      <c:catAx>
        <c:axId val="16862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23104"/>
        <c:crosses val="autoZero"/>
        <c:auto val="1"/>
        <c:lblAlgn val="ctr"/>
        <c:lblOffset val="200"/>
        <c:tickLblSkip val="1"/>
      </c:catAx>
      <c:valAx>
        <c:axId val="1686231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2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8791040"/>
        <c:axId val="168796928"/>
      </c:lineChart>
      <c:catAx>
        <c:axId val="16879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96928"/>
        <c:crosses val="autoZero"/>
        <c:auto val="1"/>
        <c:lblAlgn val="ctr"/>
        <c:lblOffset val="100"/>
      </c:catAx>
      <c:valAx>
        <c:axId val="1687969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9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412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49.631999999994882</c:v>
                </c:pt>
                <c:pt idx="1">
                  <c:v>42.768000000005124</c:v>
                </c:pt>
                <c:pt idx="2">
                  <c:v>55.22000000001281</c:v>
                </c:pt>
                <c:pt idx="3">
                  <c:v>-335630.02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9882368"/>
        <c:axId val="169883904"/>
      </c:lineChart>
      <c:catAx>
        <c:axId val="16988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883904"/>
        <c:crosses val="autoZero"/>
        <c:auto val="1"/>
        <c:lblAlgn val="ctr"/>
        <c:lblOffset val="100"/>
      </c:catAx>
      <c:valAx>
        <c:axId val="1698839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88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0330368"/>
        <c:axId val="170344832"/>
      </c:lineChart>
      <c:catAx>
        <c:axId val="170330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44832"/>
        <c:crosses val="autoZero"/>
        <c:auto val="1"/>
        <c:lblAlgn val="ctr"/>
        <c:lblOffset val="100"/>
      </c:catAx>
      <c:valAx>
        <c:axId val="1703448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303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0377984"/>
        <c:axId val="170379904"/>
      </c:lineChart>
      <c:catAx>
        <c:axId val="170377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79904"/>
        <c:crosses val="autoZero"/>
        <c:auto val="1"/>
        <c:lblAlgn val="ctr"/>
        <c:lblOffset val="100"/>
      </c:catAx>
      <c:valAx>
        <c:axId val="1703799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779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9356288"/>
        <c:axId val="169382656"/>
      </c:lineChart>
      <c:catAx>
        <c:axId val="169356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82656"/>
        <c:crosses val="autoZero"/>
        <c:auto val="1"/>
        <c:lblAlgn val="ctr"/>
        <c:lblOffset val="200"/>
        <c:tickLblSkip val="1"/>
      </c:catAx>
      <c:valAx>
        <c:axId val="1693826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5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9403136"/>
        <c:axId val="169404672"/>
      </c:lineChart>
      <c:catAx>
        <c:axId val="16940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404672"/>
        <c:crosses val="autoZero"/>
        <c:auto val="1"/>
        <c:lblAlgn val="ctr"/>
        <c:lblOffset val="100"/>
      </c:catAx>
      <c:valAx>
        <c:axId val="169404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40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60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0871040"/>
        <c:axId val="170897408"/>
      </c:lineChart>
      <c:catAx>
        <c:axId val="17087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97408"/>
        <c:crosses val="autoZero"/>
        <c:auto val="1"/>
        <c:lblAlgn val="ctr"/>
        <c:lblOffset val="100"/>
      </c:catAx>
      <c:valAx>
        <c:axId val="170897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7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1261952"/>
        <c:axId val="171263872"/>
      </c:lineChart>
      <c:catAx>
        <c:axId val="171261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63872"/>
        <c:crosses val="autoZero"/>
        <c:auto val="1"/>
        <c:lblAlgn val="ctr"/>
        <c:lblOffset val="100"/>
      </c:catAx>
      <c:valAx>
        <c:axId val="1712638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619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1456768"/>
        <c:axId val="171467136"/>
      </c:lineChart>
      <c:catAx>
        <c:axId val="171456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67136"/>
        <c:crosses val="autoZero"/>
        <c:auto val="1"/>
        <c:lblAlgn val="ctr"/>
        <c:lblOffset val="100"/>
      </c:catAx>
      <c:valAx>
        <c:axId val="1714671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567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1483904"/>
        <c:axId val="171485440"/>
      </c:lineChart>
      <c:catAx>
        <c:axId val="171483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85440"/>
        <c:crosses val="autoZero"/>
        <c:auto val="1"/>
        <c:lblAlgn val="ctr"/>
        <c:lblOffset val="200"/>
        <c:tickLblSkip val="1"/>
      </c:catAx>
      <c:valAx>
        <c:axId val="1714854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8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1067648"/>
        <c:axId val="171069440"/>
      </c:lineChart>
      <c:catAx>
        <c:axId val="171067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069440"/>
        <c:crosses val="autoZero"/>
        <c:auto val="1"/>
        <c:lblAlgn val="ctr"/>
        <c:lblOffset val="100"/>
      </c:catAx>
      <c:valAx>
        <c:axId val="171069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06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60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1106304"/>
        <c:axId val="171107840"/>
      </c:lineChart>
      <c:catAx>
        <c:axId val="17110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07840"/>
        <c:crosses val="autoZero"/>
        <c:auto val="1"/>
        <c:lblAlgn val="ctr"/>
        <c:lblOffset val="100"/>
      </c:catAx>
      <c:valAx>
        <c:axId val="171107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0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O21" sqref="O21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5</v>
      </c>
      <c r="D2" s="416">
        <v>2021</v>
      </c>
      <c r="E2" s="417">
        <f>'UTILITY REPORT 1'!F3</f>
        <v>2650</v>
      </c>
      <c r="F2" s="418">
        <f>('UTILITY REPORT 1'!E3*'UTILITY REPORT 1'!D3)/'UTILITY REPORT 1'!F3</f>
        <v>0.4119358490566038</v>
      </c>
      <c r="G2" s="418">
        <f>IF('Utility summery'!M6&lt;0,"0",'Utility summery'!M6)</f>
        <v>49.631999999994882</v>
      </c>
      <c r="H2" s="423">
        <v>0</v>
      </c>
      <c r="I2" s="418">
        <f>IF('UTILITY REPORT 1'!G3&lt;0,"0",'UTILITY REPORT 1'!G3)</f>
        <v>41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5</v>
      </c>
      <c r="D3" s="416">
        <v>2021</v>
      </c>
      <c r="E3" s="417">
        <f>'UTILITY REPORT 1'!F4</f>
        <v>2697</v>
      </c>
      <c r="F3" s="418">
        <f>('UTILITY REPORT 1'!E4*'UTILITY REPORT 1'!D4)/'UTILITY REPORT 1'!F4</f>
        <v>0.41311086392287732</v>
      </c>
      <c r="G3" s="418">
        <f>IF('Utility summery'!M7&lt;0,"0",'Utility summery'!M7)</f>
        <v>42.768000000005124</v>
      </c>
      <c r="H3" s="423">
        <v>0</v>
      </c>
      <c r="I3" s="418">
        <f>IF('UTILITY REPORT 1'!G4&lt;0,"0",'UTILITY REPORT 1'!G4)</f>
        <v>50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5</v>
      </c>
      <c r="D4" s="416">
        <v>2021</v>
      </c>
      <c r="E4" s="417">
        <f>'UTILITY REPORT 1'!F5</f>
        <v>2639</v>
      </c>
      <c r="F4" s="418">
        <f>('UTILITY REPORT 1'!E5*'UTILITY REPORT 1'!D5)/'UTILITY REPORT 1'!F5</f>
        <v>0.41249336870026521</v>
      </c>
      <c r="G4" s="418">
        <f>IF('Utility summery'!M8&lt;0,"0",'Utility summery'!M8)</f>
        <v>55.22000000001281</v>
      </c>
      <c r="H4" s="423">
        <v>0</v>
      </c>
      <c r="I4" s="418">
        <f>IF('UTILITY REPORT 1'!G5&lt;0,"0",'UTILITY REPORT 1'!G5)</f>
        <v>50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5</v>
      </c>
      <c r="D5" s="416">
        <v>2021</v>
      </c>
      <c r="E5" s="417">
        <f>'UTILITY REPORT 1'!F6</f>
        <v>0</v>
      </c>
      <c r="F5" s="418" t="e">
        <f>('UTILITY REPORT 1'!E6*'UTILITY REPORT 1'!D6)/'UTILITY REPORT 1'!F6</f>
        <v>#DIV/0!</v>
      </c>
      <c r="G5" s="418" t="str">
        <f>IF('Utility summery'!M9&lt;0,"0",'Utility summery'!M9)</f>
        <v>0</v>
      </c>
      <c r="H5" s="423">
        <v>0</v>
      </c>
      <c r="I5" s="418" t="str">
        <f>IF('UTILITY REPORT 1'!G6&lt;0,"0",'UTILITY REPORT 1'!G6)</f>
        <v>0</v>
      </c>
      <c r="J5" s="423">
        <v>0</v>
      </c>
      <c r="K5" s="417">
        <f>'UTILITY REPORT 1'!C6</f>
        <v>0</v>
      </c>
      <c r="L5" s="419" t="e">
        <f>E5*F5+G5*H5+#REF!*#REF!+I5*J5</f>
        <v>#DIV/0!</v>
      </c>
    </row>
    <row r="6" spans="1:12">
      <c r="A6" s="414" t="s">
        <v>283</v>
      </c>
      <c r="B6" s="415">
        <f t="shared" si="0"/>
        <v>5</v>
      </c>
      <c r="C6" s="415">
        <v>5</v>
      </c>
      <c r="D6" s="416">
        <v>2021</v>
      </c>
      <c r="E6" s="417">
        <f>'UTILITY REPORT 1'!F7</f>
        <v>0</v>
      </c>
      <c r="F6" s="418" t="e">
        <f>('UTILITY REPORT 1'!E7*'UTILITY REPORT 1'!D7)/'UTILITY REPORT 1'!F7</f>
        <v>#DIV/0!</v>
      </c>
      <c r="G6" s="418">
        <f>IF('Utility summery'!M10&lt;0,"0",'Utility summery'!M10)</f>
        <v>0</v>
      </c>
      <c r="H6" s="423">
        <v>0</v>
      </c>
      <c r="I6" s="418">
        <f>IF('UTILITY REPORT 1'!G7&lt;0,"0",'UTILITY REPORT 1'!G7)</f>
        <v>0</v>
      </c>
      <c r="J6" s="423">
        <v>0</v>
      </c>
      <c r="K6" s="417">
        <f>'UTILITY REPORT 1'!C7</f>
        <v>0</v>
      </c>
      <c r="L6" s="419" t="e">
        <f>E6*F6+G6*H6+#REF!*#REF!+I6*J6</f>
        <v>#DIV/0!</v>
      </c>
    </row>
    <row r="7" spans="1:12">
      <c r="A7" s="414" t="s">
        <v>283</v>
      </c>
      <c r="B7" s="415">
        <f t="shared" si="0"/>
        <v>6</v>
      </c>
      <c r="C7" s="415">
        <v>5</v>
      </c>
      <c r="D7" s="416">
        <v>2021</v>
      </c>
      <c r="E7" s="417">
        <f>'UTILITY REPORT 1'!F8</f>
        <v>0</v>
      </c>
      <c r="F7" s="418" t="e">
        <f>('UTILITY REPORT 1'!E8*'UTILITY REPORT 1'!D8)/'UTILITY REPORT 1'!F8</f>
        <v>#DIV/0!</v>
      </c>
      <c r="G7" s="418">
        <f>IF('Utility summery'!M11&lt;0,"0",'Utility summery'!M11)</f>
        <v>0</v>
      </c>
      <c r="H7" s="423">
        <v>0</v>
      </c>
      <c r="I7" s="418">
        <f>IF('UTILITY REPORT 1'!G8&lt;0,"0",'UTILITY REPORT 1'!G8)</f>
        <v>0</v>
      </c>
      <c r="J7" s="423">
        <v>0</v>
      </c>
      <c r="K7" s="417">
        <f>'UTILITY REPORT 1'!C8</f>
        <v>0</v>
      </c>
      <c r="L7" s="419" t="e">
        <f>E7*F7+G7*H7+#REF!*#REF!+I7*J7</f>
        <v>#DIV/0!</v>
      </c>
    </row>
    <row r="8" spans="1:12">
      <c r="A8" s="414" t="s">
        <v>283</v>
      </c>
      <c r="B8" s="415">
        <f t="shared" si="0"/>
        <v>7</v>
      </c>
      <c r="C8" s="415">
        <v>5</v>
      </c>
      <c r="D8" s="416">
        <v>2021</v>
      </c>
      <c r="E8" s="417">
        <f>'UTILITY REPORT 1'!F9</f>
        <v>0</v>
      </c>
      <c r="F8" s="418" t="e">
        <f>('UTILITY REPORT 1'!E9*'UTILITY REPORT 1'!D9)/'UTILITY REPORT 1'!F9</f>
        <v>#DIV/0!</v>
      </c>
      <c r="G8" s="418">
        <f>IF('Utility summery'!M12&lt;0,"0",'Utility summery'!M12)</f>
        <v>0</v>
      </c>
      <c r="H8" s="423">
        <v>0</v>
      </c>
      <c r="I8" s="418">
        <f>IF('UTILITY REPORT 1'!G9&lt;0,"0",'UTILITY REPORT 1'!G9)</f>
        <v>0</v>
      </c>
      <c r="J8" s="423">
        <v>0</v>
      </c>
      <c r="K8" s="417">
        <f>'UTILITY REPORT 1'!C9</f>
        <v>0</v>
      </c>
      <c r="L8" s="419" t="e">
        <f>E8*F8+G8*H8+#REF!*#REF!+I8*J8</f>
        <v>#DIV/0!</v>
      </c>
    </row>
    <row r="9" spans="1:12">
      <c r="A9" s="414" t="s">
        <v>283</v>
      </c>
      <c r="B9" s="415">
        <f t="shared" si="0"/>
        <v>8</v>
      </c>
      <c r="C9" s="415">
        <v>5</v>
      </c>
      <c r="D9" s="416">
        <v>2021</v>
      </c>
      <c r="E9" s="417">
        <f>'UTILITY REPORT 1'!F10</f>
        <v>0</v>
      </c>
      <c r="F9" s="418" t="e">
        <f>('UTILITY REPORT 1'!E10*'UTILITY REPORT 1'!D10)/'UTILITY REPORT 1'!F10</f>
        <v>#DIV/0!</v>
      </c>
      <c r="G9" s="418">
        <f>IF('Utility summery'!M13&lt;0,"0",'Utility summery'!M13)</f>
        <v>0</v>
      </c>
      <c r="H9" s="423">
        <v>0</v>
      </c>
      <c r="I9" s="418">
        <f>IF('UTILITY REPORT 1'!G10&lt;0,"0",'UTILITY REPORT 1'!G10)</f>
        <v>0</v>
      </c>
      <c r="J9" s="423">
        <v>0</v>
      </c>
      <c r="K9" s="417">
        <f>'UTILITY REPORT 1'!C10</f>
        <v>0</v>
      </c>
      <c r="L9" s="419" t="e">
        <f>E9*F9+G9*H9+#REF!*#REF!+I9*J9</f>
        <v>#DIV/0!</v>
      </c>
    </row>
    <row r="10" spans="1:12">
      <c r="A10" s="414" t="s">
        <v>283</v>
      </c>
      <c r="B10" s="415">
        <f t="shared" si="0"/>
        <v>9</v>
      </c>
      <c r="C10" s="415">
        <v>5</v>
      </c>
      <c r="D10" s="416">
        <v>2021</v>
      </c>
      <c r="E10" s="417">
        <f>'UTILITY REPORT 1'!F11</f>
        <v>0</v>
      </c>
      <c r="F10" s="418" t="e">
        <f>('UTILITY REPORT 1'!E11*'UTILITY REPORT 1'!D11)/'UTILITY REPORT 1'!F11</f>
        <v>#DIV/0!</v>
      </c>
      <c r="G10" s="418">
        <f>IF('Utility summery'!M14&lt;0,"0",'Utility summery'!M14)</f>
        <v>0</v>
      </c>
      <c r="H10" s="423">
        <v>0</v>
      </c>
      <c r="I10" s="418">
        <f>IF('UTILITY REPORT 1'!G11&lt;0,"0",'UTILITY REPORT 1'!G11)</f>
        <v>0</v>
      </c>
      <c r="J10" s="423">
        <v>0</v>
      </c>
      <c r="K10" s="417">
        <f>'UTILITY REPORT 1'!C11</f>
        <v>0</v>
      </c>
      <c r="L10" s="419" t="e">
        <f>E10*F10+G10*H10+#REF!*#REF!+I10*J10</f>
        <v>#DIV/0!</v>
      </c>
    </row>
    <row r="11" spans="1:12">
      <c r="A11" s="414" t="s">
        <v>283</v>
      </c>
      <c r="B11" s="415">
        <f t="shared" si="0"/>
        <v>10</v>
      </c>
      <c r="C11" s="415">
        <v>5</v>
      </c>
      <c r="D11" s="416">
        <v>2021</v>
      </c>
      <c r="E11" s="417">
        <f>'UTILITY REPORT 1'!F12</f>
        <v>0</v>
      </c>
      <c r="F11" s="418" t="e">
        <f>('UTILITY REPORT 1'!E12*'UTILITY REPORT 1'!D12)/'UTILITY REPORT 1'!F12</f>
        <v>#DIV/0!</v>
      </c>
      <c r="G11" s="418">
        <f>IF('Utility summery'!M15&lt;0,"0",'Utility summery'!M15)</f>
        <v>0</v>
      </c>
      <c r="H11" s="423">
        <v>0</v>
      </c>
      <c r="I11" s="418">
        <f>IF('UTILITY REPORT 1'!G12&lt;0,"0",'UTILITY REPORT 1'!G12)</f>
        <v>0</v>
      </c>
      <c r="J11" s="423">
        <v>0</v>
      </c>
      <c r="K11" s="417">
        <f>'UTILITY REPORT 1'!C12</f>
        <v>0</v>
      </c>
      <c r="L11" s="419" t="e">
        <f>E11*F11+G11*H11+#REF!*#REF!+I11*J11</f>
        <v>#DIV/0!</v>
      </c>
    </row>
    <row r="12" spans="1:12">
      <c r="A12" s="414" t="s">
        <v>283</v>
      </c>
      <c r="B12" s="415">
        <f t="shared" si="0"/>
        <v>11</v>
      </c>
      <c r="C12" s="415">
        <v>5</v>
      </c>
      <c r="D12" s="416">
        <v>2021</v>
      </c>
      <c r="E12" s="417">
        <f>'UTILITY REPORT 1'!F13</f>
        <v>0</v>
      </c>
      <c r="F12" s="418" t="e">
        <f>('UTILITY REPORT 1'!E13*'UTILITY REPORT 1'!D13)/'UTILITY REPORT 1'!F13</f>
        <v>#DIV/0!</v>
      </c>
      <c r="G12" s="418">
        <f>IF('Utility summery'!M16&lt;0,"0",'Utility summery'!M16)</f>
        <v>0</v>
      </c>
      <c r="H12" s="423">
        <v>0</v>
      </c>
      <c r="I12" s="418">
        <f>IF('UTILITY REPORT 1'!G13&lt;0,"0",'UTILITY REPORT 1'!G13)</f>
        <v>0</v>
      </c>
      <c r="J12" s="423">
        <v>0</v>
      </c>
      <c r="K12" s="417">
        <f>'UTILITY REPORT 1'!C13</f>
        <v>0</v>
      </c>
      <c r="L12" s="419" t="e">
        <f>E12*F12+G12*H12+#REF!*#REF!+I12*J12</f>
        <v>#DIV/0!</v>
      </c>
    </row>
    <row r="13" spans="1:12">
      <c r="A13" s="414" t="s">
        <v>283</v>
      </c>
      <c r="B13" s="415">
        <f t="shared" si="0"/>
        <v>12</v>
      </c>
      <c r="C13" s="415">
        <v>5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>
        <f>IF('Utility summery'!M17&lt;0,"0",'Utility summery'!M17)</f>
        <v>0</v>
      </c>
      <c r="H13" s="423">
        <v>0</v>
      </c>
      <c r="I13" s="418">
        <f>IF('UTILITY REPORT 1'!G14&lt;0,"0",'UTILITY REPORT 1'!G14)</f>
        <v>0</v>
      </c>
      <c r="J13" s="423">
        <v>0</v>
      </c>
      <c r="K13" s="417">
        <f>'UTILITY REPORT 1'!C14</f>
        <v>0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5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0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5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0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5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0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5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0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5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5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5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5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5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5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5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5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5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5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5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5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5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5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5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5" sqref="D3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5</v>
      </c>
      <c r="D2" s="461">
        <v>2021</v>
      </c>
      <c r="E2" s="462">
        <f>'UTILITY REPORT 1'!I3</f>
        <v>88.75</v>
      </c>
      <c r="F2" s="462">
        <f>'UTILITY REPORT 1'!E3</f>
        <v>1091.6300000000001</v>
      </c>
      <c r="G2" s="463">
        <f>'UTILITY REPORT 1'!F3</f>
        <v>2650</v>
      </c>
      <c r="H2" s="462">
        <f>IF('Kit report'!F4&lt;0,"0",'Kit report'!F4)</f>
        <v>263.99999999986903</v>
      </c>
      <c r="I2" s="462">
        <f>IF('Kit report'!X4&lt;0,"0",'Kit report'!X4)</f>
        <v>140.00000000014552</v>
      </c>
      <c r="J2" s="462">
        <f>IF('Utility summery'!H6&lt;0,"0",'Utility summery'!H6)</f>
        <v>66</v>
      </c>
      <c r="K2" s="463">
        <f>IF('UTILITY REPORT 1'!H3&lt;0,"0",'UTILITY REPORT 1'!H3)</f>
        <v>118</v>
      </c>
      <c r="L2" s="462">
        <f>'Water-Meter'!K6</f>
        <v>4</v>
      </c>
      <c r="M2" s="463">
        <f>'Water-Meter'!H6</f>
        <v>0</v>
      </c>
      <c r="N2" s="463">
        <f>'Water-Meter'!Q6</f>
        <v>3</v>
      </c>
      <c r="O2" s="462" t="e">
        <f>K2*E2+H2*I2+#REF!*#REF!+J2*L2</f>
        <v>#REF!</v>
      </c>
      <c r="P2" s="462">
        <f>'Water-Meter'!E6</f>
        <v>41</v>
      </c>
      <c r="Q2" s="405">
        <f>IF('Water-Meter'!U6&lt;0,"0",'Water-Meter'!U6)</f>
        <v>88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27</v>
      </c>
      <c r="W2" s="30">
        <f>'Water-Meter'!AN6</f>
        <v>130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5</v>
      </c>
      <c r="D3" s="461">
        <v>2021</v>
      </c>
      <c r="E3" s="456">
        <f>'UTILITY REPORT 1'!I4</f>
        <v>0</v>
      </c>
      <c r="F3" s="456">
        <f>'UTILITY REPORT 1'!E4</f>
        <v>1114.1600000000001</v>
      </c>
      <c r="G3" s="457">
        <f>'UTILITY REPORT 1'!F4</f>
        <v>2697</v>
      </c>
      <c r="H3" s="456">
        <f>IF('Kit report'!F5&lt;0,"0",'Kit report'!F5)</f>
        <v>264.00000000008731</v>
      </c>
      <c r="I3" s="456">
        <f>IF('Kit report'!X5&lt;0,"0",'Kit report'!X5)</f>
        <v>300</v>
      </c>
      <c r="J3" s="456">
        <f>IF('Utility summery'!H7&lt;0,"0",'Utility summery'!H7)</f>
        <v>50</v>
      </c>
      <c r="K3" s="457">
        <f>IF('UTILITY REPORT 1'!H4&lt;0,"0",'UTILITY REPORT 1'!H4)</f>
        <v>38</v>
      </c>
      <c r="L3" s="456">
        <f>'Water-Meter'!K7</f>
        <v>1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50</v>
      </c>
      <c r="Q3" s="242">
        <f>IF('Water-Meter'!U7&lt;0,"0",'Water-Meter'!U7)</f>
        <v>82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27</v>
      </c>
      <c r="W3" s="30">
        <f>'Water-Meter'!AN7</f>
        <v>126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5</v>
      </c>
      <c r="D4" s="461">
        <v>2021</v>
      </c>
      <c r="E4" s="456">
        <f>'UTILITY REPORT 1'!I5</f>
        <v>29.76</v>
      </c>
      <c r="F4" s="456">
        <f>'UTILITY REPORT 1'!E5</f>
        <v>1088.57</v>
      </c>
      <c r="G4" s="457">
        <f>'UTILITY REPORT 1'!F5</f>
        <v>2639</v>
      </c>
      <c r="H4" s="456">
        <f>IF('Kit report'!F6&lt;0,"0",'Kit report'!F6)</f>
        <v>287.99999999995634</v>
      </c>
      <c r="I4" s="456">
        <f>IF('Kit report'!X6&lt;0,"0",'Kit report'!X6)</f>
        <v>219.99999999989086</v>
      </c>
      <c r="J4" s="456">
        <f>IF('Utility summery'!H8&lt;0,"0",'Utility summery'!H8)</f>
        <v>44</v>
      </c>
      <c r="K4" s="457">
        <f>IF('UTILITY REPORT 1'!H5&lt;0,"0",'UTILITY REPORT 1'!H5)</f>
        <v>37</v>
      </c>
      <c r="L4" s="456">
        <f>'Water-Meter'!K8</f>
        <v>1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50</v>
      </c>
      <c r="Q4" s="242">
        <f>IF('Water-Meter'!U8&lt;0,"0",'Water-Meter'!U8)</f>
        <v>82</v>
      </c>
      <c r="R4" s="242">
        <f>IF('Water-Meter'!X8&lt;0,"0",'Water-Meter'!X8)</f>
        <v>0</v>
      </c>
      <c r="S4" s="242">
        <f>IF('Water-Meter'!AA8&lt;0,"0",'Water-Meter'!AA8)</f>
        <v>0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28</v>
      </c>
      <c r="W4" s="30">
        <f>'Water-Meter'!AN8</f>
        <v>126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5</v>
      </c>
      <c r="D5" s="461">
        <v>2021</v>
      </c>
      <c r="E5" s="456">
        <f>'UTILITY REPORT 1'!I6</f>
        <v>0</v>
      </c>
      <c r="F5" s="456">
        <f>'UTILITY REPORT 1'!E6</f>
        <v>0</v>
      </c>
      <c r="G5" s="457">
        <f>'UTILITY REPORT 1'!F6</f>
        <v>0</v>
      </c>
      <c r="H5" s="456" t="str">
        <f>IF('Kit report'!F7&lt;0,"0",'Kit report'!F7)</f>
        <v>0</v>
      </c>
      <c r="I5" s="456" t="str">
        <f>IF('Kit report'!X7&lt;0,"0",'Kit report'!X7)</f>
        <v>0</v>
      </c>
      <c r="J5" s="456" t="str">
        <f>IF('Utility summery'!H9&lt;0,"0",'Utility summery'!H9)</f>
        <v>0</v>
      </c>
      <c r="K5" s="457" t="str">
        <f>IF('UTILITY REPORT 1'!H6&lt;0,"0",'UTILITY REPORT 1'!H6)</f>
        <v>0</v>
      </c>
      <c r="L5" s="456">
        <f>'Water-Meter'!K9</f>
        <v>-8416</v>
      </c>
      <c r="M5" s="457" t="str">
        <f>'Water-Meter'!H9</f>
        <v>0</v>
      </c>
      <c r="N5" s="457" t="str">
        <f>'Water-Meter'!Q9</f>
        <v>0</v>
      </c>
      <c r="O5" s="456" t="e">
        <f>K5*E5+H5*I5+#REF!*#REF!+J5*L5</f>
        <v>#REF!</v>
      </c>
      <c r="P5" s="462" t="str">
        <f>'Water-Meter'!E9</f>
        <v>0</v>
      </c>
      <c r="Q5" s="242" t="str">
        <f>IF('Water-Meter'!U9&lt;0,"0",'Water-Meter'!U9)</f>
        <v>0</v>
      </c>
      <c r="R5" s="242" t="str">
        <f>IF('Water-Meter'!X9&lt;0,"0",'Water-Meter'!X9)</f>
        <v>0</v>
      </c>
      <c r="S5" s="242" t="str">
        <f>IF('Water-Meter'!AA9&lt;0,"0",'Water-Meter'!AA9)</f>
        <v>0</v>
      </c>
      <c r="T5" s="242" t="str">
        <f>IF('Water-Meter'!AD9&lt;0,"0",'Water-Meter'!AD9)</f>
        <v>0</v>
      </c>
      <c r="U5" s="242" t="str">
        <f>IF('Water-Meter'!AG9&lt;0,"0",'Water-Meter'!AG9)</f>
        <v>0</v>
      </c>
      <c r="V5" s="242" t="str">
        <f>IF('Water-Meter'!AJ9&lt;0,"0",'Water-Meter'!AJ9)</f>
        <v>0</v>
      </c>
      <c r="W5" s="30">
        <f>'Water-Meter'!AN9</f>
        <v>0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5</v>
      </c>
      <c r="D6" s="461">
        <v>2021</v>
      </c>
      <c r="E6" s="456">
        <f>'UTILITY REPORT 1'!I7</f>
        <v>0</v>
      </c>
      <c r="F6" s="456">
        <f>'UTILITY REPORT 1'!E7</f>
        <v>0</v>
      </c>
      <c r="G6" s="457">
        <f>'UTILITY REPORT 1'!F7</f>
        <v>0</v>
      </c>
      <c r="H6" s="456">
        <f>IF('Kit report'!F8&lt;0,"0",'Kit report'!F8)</f>
        <v>0</v>
      </c>
      <c r="I6" s="456">
        <f>IF('Kit report'!X8&lt;0,"0",'Kit report'!X8)</f>
        <v>0</v>
      </c>
      <c r="J6" s="456">
        <f>IF('Utility summery'!H10&lt;0,"0",'Utility summery'!H10)</f>
        <v>0</v>
      </c>
      <c r="K6" s="457">
        <f>IF('UTILITY REPORT 1'!H7&lt;0,"0",'UTILITY REPORT 1'!H7)</f>
        <v>0</v>
      </c>
      <c r="L6" s="456">
        <f>'Water-Meter'!K10</f>
        <v>0</v>
      </c>
      <c r="M6" s="457">
        <f>'Water-Meter'!H10</f>
        <v>0</v>
      </c>
      <c r="N6" s="457">
        <f>'Water-Meter'!Q10</f>
        <v>0</v>
      </c>
      <c r="O6" s="456" t="e">
        <f>K6*E6+H6*I6+#REF!*#REF!+J6*L6</f>
        <v>#REF!</v>
      </c>
      <c r="P6" s="462">
        <f>'Water-Meter'!E10</f>
        <v>0</v>
      </c>
      <c r="Q6" s="242">
        <f>IF('Water-Meter'!U10&lt;0,"0",'Water-Meter'!U10)</f>
        <v>0</v>
      </c>
      <c r="R6" s="242">
        <f>IF('Water-Meter'!X10&lt;0,"0",'Water-Meter'!X10)</f>
        <v>0</v>
      </c>
      <c r="S6" s="242">
        <f>IF('Water-Meter'!AA10&lt;0,"0",'Water-Meter'!AA10)</f>
        <v>0</v>
      </c>
      <c r="T6" s="242">
        <f>IF('Water-Meter'!AD10&lt;0,"0",'Water-Meter'!AD10)</f>
        <v>0</v>
      </c>
      <c r="U6" s="242">
        <f>IF('Water-Meter'!AG10&lt;0,"0",'Water-Meter'!AG10)</f>
        <v>0</v>
      </c>
      <c r="V6" s="242">
        <f>IF('Water-Meter'!AJ10&lt;0,"0",'Water-Meter'!AJ10)</f>
        <v>0</v>
      </c>
      <c r="W6" s="30">
        <f>'Water-Meter'!AN10</f>
        <v>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5</v>
      </c>
      <c r="D7" s="461">
        <v>2021</v>
      </c>
      <c r="E7" s="456">
        <f>'UTILITY REPORT 1'!I8</f>
        <v>0</v>
      </c>
      <c r="F7" s="456">
        <f>'UTILITY REPORT 1'!E8</f>
        <v>0</v>
      </c>
      <c r="G7" s="457">
        <f>'UTILITY REPORT 1'!F8</f>
        <v>0</v>
      </c>
      <c r="H7" s="456">
        <f>IF('Kit report'!F9&lt;0,"0",'Kit report'!F9)</f>
        <v>0</v>
      </c>
      <c r="I7" s="456">
        <f>IF('Kit report'!X9&lt;0,"0",'Kit report'!X9)</f>
        <v>0</v>
      </c>
      <c r="J7" s="456">
        <f>IF('Utility summery'!H11&lt;0,"0",'Utility summery'!H11)</f>
        <v>0</v>
      </c>
      <c r="K7" s="457">
        <f>IF('UTILITY REPORT 1'!H8&lt;0,"0",'UTILITY REPORT 1'!H8)</f>
        <v>0</v>
      </c>
      <c r="L7" s="456">
        <f>'Water-Meter'!K11</f>
        <v>0</v>
      </c>
      <c r="M7" s="457">
        <f>'Water-Meter'!H11</f>
        <v>0</v>
      </c>
      <c r="N7" s="457">
        <f>'Water-Meter'!Q11</f>
        <v>0</v>
      </c>
      <c r="O7" s="456" t="e">
        <f>K7*E7+H7*I7+#REF!*#REF!+J7*L7</f>
        <v>#REF!</v>
      </c>
      <c r="P7" s="462">
        <f>'Water-Meter'!E11</f>
        <v>0</v>
      </c>
      <c r="Q7" s="242">
        <f>IF('Water-Meter'!U11&lt;0,"0",'Water-Meter'!U11)</f>
        <v>0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0</v>
      </c>
      <c r="U7" s="242">
        <f>IF('Water-Meter'!AG11&lt;0,"0",'Water-Meter'!AG11)</f>
        <v>0</v>
      </c>
      <c r="V7" s="242">
        <f>IF('Water-Meter'!AJ11&lt;0,"0",'Water-Meter'!AJ11)</f>
        <v>0</v>
      </c>
      <c r="W7" s="30">
        <f>'Water-Meter'!AN11</f>
        <v>0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5</v>
      </c>
      <c r="D8" s="461">
        <v>2021</v>
      </c>
      <c r="E8" s="456">
        <f>'UTILITY REPORT 1'!I9</f>
        <v>0</v>
      </c>
      <c r="F8" s="456">
        <f>'UTILITY REPORT 1'!E9</f>
        <v>0</v>
      </c>
      <c r="G8" s="457">
        <f>'UTILITY REPORT 1'!F9</f>
        <v>0</v>
      </c>
      <c r="H8" s="456">
        <f>IF('Kit report'!F10&lt;0,"0",'Kit report'!F10)</f>
        <v>0</v>
      </c>
      <c r="I8" s="456">
        <f>IF('Kit report'!X10&lt;0,"0",'Kit report'!X10)</f>
        <v>0</v>
      </c>
      <c r="J8" s="456">
        <f>IF('Utility summery'!H12&lt;0,"0",'Utility summery'!H12)</f>
        <v>0</v>
      </c>
      <c r="K8" s="457">
        <f>IF('UTILITY REPORT 1'!H9&lt;0,"0",'UTILITY REPORT 1'!H9)</f>
        <v>0</v>
      </c>
      <c r="L8" s="456">
        <f>'Water-Meter'!K12</f>
        <v>0</v>
      </c>
      <c r="M8" s="457">
        <f>'Water-Meter'!H12</f>
        <v>0</v>
      </c>
      <c r="N8" s="457">
        <f>'Water-Meter'!Q12</f>
        <v>0</v>
      </c>
      <c r="O8" s="456" t="e">
        <f>K8*E8+H8*I8+#REF!*#REF!+J8*L8</f>
        <v>#REF!</v>
      </c>
      <c r="P8" s="462">
        <f>'Water-Meter'!E12</f>
        <v>0</v>
      </c>
      <c r="Q8" s="242">
        <f>IF('Water-Meter'!U12&lt;0,"0",'Water-Meter'!U12)</f>
        <v>0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0</v>
      </c>
      <c r="U8" s="242">
        <f>IF('Water-Meter'!AG12&lt;0,"0",'Water-Meter'!AG12)</f>
        <v>0</v>
      </c>
      <c r="V8" s="242">
        <f>IF('Water-Meter'!AJ12&lt;0,"0",'Water-Meter'!AJ12)</f>
        <v>0</v>
      </c>
      <c r="W8" s="30">
        <f>'Water-Meter'!AN12</f>
        <v>0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5</v>
      </c>
      <c r="D9" s="461">
        <v>2021</v>
      </c>
      <c r="E9" s="456">
        <f>'UTILITY REPORT 1'!I10</f>
        <v>0</v>
      </c>
      <c r="F9" s="456">
        <f>'UTILITY REPORT 1'!E10</f>
        <v>0</v>
      </c>
      <c r="G9" s="457">
        <f>'UTILITY REPORT 1'!F10</f>
        <v>0</v>
      </c>
      <c r="H9" s="456">
        <f>IF('Kit report'!F11&lt;0,"0",'Kit report'!F11)</f>
        <v>0</v>
      </c>
      <c r="I9" s="456">
        <f>IF('Kit report'!X11&lt;0,"0",'Kit report'!X11)</f>
        <v>0</v>
      </c>
      <c r="J9" s="456">
        <f>IF('Utility summery'!H13&lt;0,"0",'Utility summery'!H13)</f>
        <v>0</v>
      </c>
      <c r="K9" s="457">
        <f>IF('UTILITY REPORT 1'!H10&lt;0,"0",'UTILITY REPORT 1'!H10)</f>
        <v>0</v>
      </c>
      <c r="L9" s="456">
        <f>'Water-Meter'!K13</f>
        <v>0</v>
      </c>
      <c r="M9" s="457">
        <f>'Water-Meter'!H13</f>
        <v>0</v>
      </c>
      <c r="N9" s="457">
        <f>'Water-Meter'!Q13</f>
        <v>0</v>
      </c>
      <c r="O9" s="456" t="e">
        <f>K9*E9+H9*I9+#REF!*#REF!+J9*L9</f>
        <v>#REF!</v>
      </c>
      <c r="P9" s="462">
        <f>'Water-Meter'!E13</f>
        <v>0</v>
      </c>
      <c r="Q9" s="242">
        <f>IF('Water-Meter'!U13&lt;0,"0",'Water-Meter'!U13)</f>
        <v>0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0</v>
      </c>
      <c r="U9" s="242">
        <f>IF('Water-Meter'!AG13&lt;0,"0",'Water-Meter'!AG13)</f>
        <v>0</v>
      </c>
      <c r="V9" s="242">
        <f>IF('Water-Meter'!AJ13&lt;0,"0",'Water-Meter'!AJ13)</f>
        <v>0</v>
      </c>
      <c r="W9" s="30">
        <f>'Water-Meter'!AN13</f>
        <v>0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5</v>
      </c>
      <c r="D10" s="461">
        <v>2021</v>
      </c>
      <c r="E10" s="456">
        <f>'UTILITY REPORT 1'!I11</f>
        <v>0</v>
      </c>
      <c r="F10" s="456">
        <f>'UTILITY REPORT 1'!E11</f>
        <v>0</v>
      </c>
      <c r="G10" s="457">
        <f>'UTILITY REPORT 1'!F11</f>
        <v>0</v>
      </c>
      <c r="H10" s="456">
        <f>IF('Kit report'!F12&lt;0,"0",'Kit report'!F12)</f>
        <v>0</v>
      </c>
      <c r="I10" s="456">
        <f>IF('Kit report'!X12&lt;0,"0",'Kit report'!X12)</f>
        <v>0</v>
      </c>
      <c r="J10" s="456">
        <f>IF('Utility summery'!H14&lt;0,"0",'Utility summery'!H14)</f>
        <v>0</v>
      </c>
      <c r="K10" s="457">
        <f>IF('UTILITY REPORT 1'!H11&lt;0,"0",'UTILITY REPORT 1'!H11)</f>
        <v>0</v>
      </c>
      <c r="L10" s="456">
        <f>'Water-Meter'!K14</f>
        <v>0</v>
      </c>
      <c r="M10" s="457">
        <f>'Water-Meter'!H14</f>
        <v>0</v>
      </c>
      <c r="N10" s="457">
        <f>'Water-Meter'!Q14</f>
        <v>0</v>
      </c>
      <c r="O10" s="456" t="e">
        <f>K10*E10+H10*I10+#REF!*#REF!+J10*L10</f>
        <v>#REF!</v>
      </c>
      <c r="P10" s="462">
        <f>'Water-Meter'!E14</f>
        <v>0</v>
      </c>
      <c r="Q10" s="242">
        <f>IF('Water-Meter'!U14&lt;0,"0",'Water-Meter'!U14)</f>
        <v>0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0</v>
      </c>
      <c r="U10" s="242">
        <f>IF('Water-Meter'!AG14&lt;0,"0",'Water-Meter'!AG14)</f>
        <v>0</v>
      </c>
      <c r="V10" s="242">
        <f>IF('Water-Meter'!AJ14&lt;0,"0",'Water-Meter'!AJ14)</f>
        <v>0</v>
      </c>
      <c r="W10" s="30">
        <f>'Water-Meter'!AN14</f>
        <v>0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5</v>
      </c>
      <c r="D11" s="461">
        <v>2021</v>
      </c>
      <c r="E11" s="456">
        <f>'UTILITY REPORT 1'!I12</f>
        <v>0</v>
      </c>
      <c r="F11" s="456">
        <f>'UTILITY REPORT 1'!E12</f>
        <v>0</v>
      </c>
      <c r="G11" s="457">
        <f>'UTILITY REPORT 1'!F12</f>
        <v>0</v>
      </c>
      <c r="H11" s="456">
        <f>IF('Kit report'!F13&lt;0,"0",'Kit report'!F13)</f>
        <v>0</v>
      </c>
      <c r="I11" s="456">
        <f>IF('Kit report'!X13&lt;0,"0",'Kit report'!X13)</f>
        <v>0</v>
      </c>
      <c r="J11" s="456">
        <f>IF('Utility summery'!H15&lt;0,"0",'Utility summery'!H15)</f>
        <v>0</v>
      </c>
      <c r="K11" s="457">
        <f>IF('UTILITY REPORT 1'!H12&lt;0,"0",'UTILITY REPORT 1'!H12)</f>
        <v>0</v>
      </c>
      <c r="L11" s="456">
        <f>'Water-Meter'!K15</f>
        <v>0</v>
      </c>
      <c r="M11" s="457">
        <f>'Water-Meter'!H15</f>
        <v>0</v>
      </c>
      <c r="N11" s="457">
        <f>'Water-Meter'!Q15</f>
        <v>0</v>
      </c>
      <c r="O11" s="456" t="e">
        <f>K11*E11+H11*I11+#REF!*#REF!+J11*L11</f>
        <v>#REF!</v>
      </c>
      <c r="P11" s="462">
        <f>'Water-Meter'!E15</f>
        <v>0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0</v>
      </c>
      <c r="U11" s="242">
        <f>IF('Water-Meter'!AG15&lt;0,"0",'Water-Meter'!AG15)</f>
        <v>0</v>
      </c>
      <c r="V11" s="242">
        <f>IF('Water-Meter'!AJ15&lt;0,"0",'Water-Meter'!AJ15)</f>
        <v>0</v>
      </c>
      <c r="W11" s="30">
        <f>'Water-Meter'!AN15</f>
        <v>0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5</v>
      </c>
      <c r="D12" s="461">
        <v>2021</v>
      </c>
      <c r="E12" s="456">
        <f>'UTILITY REPORT 1'!I13</f>
        <v>0</v>
      </c>
      <c r="F12" s="456">
        <f>'UTILITY REPORT 1'!E13</f>
        <v>0</v>
      </c>
      <c r="G12" s="457">
        <f>'UTILITY REPORT 1'!F13</f>
        <v>0</v>
      </c>
      <c r="H12" s="456">
        <f>IF('Kit report'!F14&lt;0,"0",'Kit report'!F14)</f>
        <v>0</v>
      </c>
      <c r="I12" s="456">
        <f>IF('Kit report'!X14&lt;0,"0",'Kit report'!X14)</f>
        <v>0</v>
      </c>
      <c r="J12" s="456">
        <f>IF('Utility summery'!H16&lt;0,"0",'Utility summery'!H16)</f>
        <v>0</v>
      </c>
      <c r="K12" s="457">
        <f>IF('UTILITY REPORT 1'!H13&lt;0,"0",'UTILITY REPORT 1'!H13)</f>
        <v>0</v>
      </c>
      <c r="L12" s="456">
        <f>'Water-Meter'!K16</f>
        <v>0</v>
      </c>
      <c r="M12" s="457">
        <f>'Water-Meter'!H16</f>
        <v>0</v>
      </c>
      <c r="N12" s="457">
        <f>'Water-Meter'!Q16</f>
        <v>0</v>
      </c>
      <c r="O12" s="456" t="e">
        <f>K12*E12+H12*I12+#REF!*#REF!+J12*L12</f>
        <v>#REF!</v>
      </c>
      <c r="P12" s="462">
        <f>'Water-Meter'!E16</f>
        <v>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0</v>
      </c>
      <c r="U12" s="242">
        <f>IF('Water-Meter'!AG16&lt;0,"0",'Water-Meter'!AG16)</f>
        <v>0</v>
      </c>
      <c r="V12" s="242">
        <f>IF('Water-Meter'!AJ16&lt;0,"0",'Water-Meter'!AJ16)</f>
        <v>0</v>
      </c>
      <c r="W12" s="30">
        <f>'Water-Meter'!AN16</f>
        <v>0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5</v>
      </c>
      <c r="D13" s="461">
        <v>2021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>
        <f>IF('Kit report'!F15&lt;0,"0",'Kit report'!F15)</f>
        <v>0</v>
      </c>
      <c r="I13" s="456">
        <f>IF('Kit report'!X15&lt;0,"0",'Kit report'!X15)</f>
        <v>0</v>
      </c>
      <c r="J13" s="456">
        <f>IF('Utility summery'!H17&lt;0,"0",'Utility summery'!H17)</f>
        <v>0</v>
      </c>
      <c r="K13" s="457">
        <f>IF('UTILITY REPORT 1'!H14&lt;0,"0",'UTILITY REPORT 1'!H14)</f>
        <v>0</v>
      </c>
      <c r="L13" s="456">
        <f>'Water-Meter'!K17</f>
        <v>0</v>
      </c>
      <c r="M13" s="457">
        <f>'Water-Meter'!H17</f>
        <v>0</v>
      </c>
      <c r="N13" s="457">
        <f>'Water-Meter'!Q17</f>
        <v>0</v>
      </c>
      <c r="O13" s="456" t="e">
        <f>K13*E13+H13*I13+#REF!*#REF!+J13*L13</f>
        <v>#REF!</v>
      </c>
      <c r="P13" s="462">
        <f>'Water-Meter'!E17</f>
        <v>0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0</v>
      </c>
      <c r="U13" s="242">
        <f>IF('Water-Meter'!AG17&lt;0,"0",'Water-Meter'!AG17)</f>
        <v>0</v>
      </c>
      <c r="V13" s="242">
        <f>IF('Water-Meter'!AJ17&lt;0,"0",'Water-Meter'!AJ17)</f>
        <v>0</v>
      </c>
      <c r="W13" s="30">
        <f>'Water-Meter'!AN17</f>
        <v>0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5</v>
      </c>
      <c r="D14" s="461">
        <v>2021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5</v>
      </c>
      <c r="D15" s="461">
        <v>2021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5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5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5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5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 t="e">
        <f>IF('Kit report'!X21&lt;0,"0",'Kit report'!X21)</f>
        <v>#VALUE!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#VALUE!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5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 t="e">
        <f>IF('Kit report'!X22&lt;0,"0",'Kit report'!X22)</f>
        <v>#VALUE!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#VALUE!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5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5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5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5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5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5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5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5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5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5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5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5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3" t="s">
        <v>314</v>
      </c>
      <c r="B1" s="863"/>
      <c r="C1" s="863"/>
      <c r="D1" s="863"/>
      <c r="E1" s="863"/>
      <c r="F1" s="863"/>
      <c r="G1" s="863"/>
      <c r="H1" s="863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44317</v>
      </c>
      <c r="B3" s="404">
        <f>Gen!B11</f>
        <v>0.01</v>
      </c>
      <c r="C3" s="405">
        <f>'Summery Report'!E5</f>
        <v>0</v>
      </c>
      <c r="D3" s="406">
        <v>1</v>
      </c>
      <c r="E3" s="405">
        <f>Gen!S11</f>
        <v>1091.6300000000001</v>
      </c>
      <c r="F3" s="405">
        <f>Gen!T11</f>
        <v>2650</v>
      </c>
      <c r="G3" s="405">
        <f>'Water-Meter'!E6</f>
        <v>41</v>
      </c>
      <c r="H3" s="405">
        <f>'Utility report '!AC6</f>
        <v>118</v>
      </c>
      <c r="I3" s="405">
        <f>Gen!AJ11</f>
        <v>88.75</v>
      </c>
    </row>
    <row r="4" spans="1:9" ht="13.5">
      <c r="A4" s="402">
        <f>Gen!A12</f>
        <v>44318</v>
      </c>
      <c r="B4" s="404">
        <f>Gen!B12</f>
        <v>0</v>
      </c>
      <c r="C4" s="405">
        <f>'Summery Report'!E6</f>
        <v>0</v>
      </c>
      <c r="D4" s="406">
        <v>1</v>
      </c>
      <c r="E4" s="405">
        <f>Gen!S12</f>
        <v>1114.1600000000001</v>
      </c>
      <c r="F4" s="405">
        <f>Gen!T12</f>
        <v>2697</v>
      </c>
      <c r="G4" s="405">
        <f>'Water-Meter'!E7</f>
        <v>50</v>
      </c>
      <c r="H4" s="405">
        <f>'Utility report '!AC7</f>
        <v>38</v>
      </c>
      <c r="I4" s="405">
        <f>Gen!AJ12</f>
        <v>0</v>
      </c>
    </row>
    <row r="5" spans="1:9" ht="13.5">
      <c r="A5" s="402">
        <f>Gen!A13</f>
        <v>44319</v>
      </c>
      <c r="B5" s="404">
        <f>Gen!B13</f>
        <v>3.9E-2</v>
      </c>
      <c r="C5" s="405">
        <f>'Summery Report'!E7</f>
        <v>0</v>
      </c>
      <c r="D5" s="406">
        <v>1</v>
      </c>
      <c r="E5" s="405">
        <f>Gen!S13</f>
        <v>1088.57</v>
      </c>
      <c r="F5" s="405">
        <f>Gen!T13</f>
        <v>2639</v>
      </c>
      <c r="G5" s="405">
        <f>'Water-Meter'!E8</f>
        <v>50</v>
      </c>
      <c r="H5" s="405">
        <f>'Utility report '!AC8</f>
        <v>37</v>
      </c>
      <c r="I5" s="405">
        <f>Gen!AJ13</f>
        <v>29.76</v>
      </c>
    </row>
    <row r="6" spans="1:9" ht="13.5">
      <c r="A6" s="402">
        <f>Gen!A14</f>
        <v>44320</v>
      </c>
      <c r="B6" s="404">
        <f>Gen!B14</f>
        <v>5.1999999999999998E-2</v>
      </c>
      <c r="C6" s="405">
        <f>'Summery Report'!E8</f>
        <v>0</v>
      </c>
      <c r="D6" s="406">
        <v>1</v>
      </c>
      <c r="E6" s="405">
        <f>Gen!S14</f>
        <v>0</v>
      </c>
      <c r="F6" s="405">
        <f>Gen!T14</f>
        <v>0</v>
      </c>
      <c r="G6" s="405" t="str">
        <f>'Water-Meter'!E9</f>
        <v>0</v>
      </c>
      <c r="H6" s="405">
        <f>'Utility report '!AC9</f>
        <v>-1170</v>
      </c>
      <c r="I6" s="405">
        <f>Gen!AJ14</f>
        <v>0</v>
      </c>
    </row>
    <row r="7" spans="1:9" ht="13.5">
      <c r="A7" s="402">
        <f>Gen!A15</f>
        <v>44321</v>
      </c>
      <c r="B7" s="404">
        <f>Gen!B15</f>
        <v>5.1999999999999998E-2</v>
      </c>
      <c r="C7" s="405">
        <f>'Summery Report'!E9</f>
        <v>0</v>
      </c>
      <c r="D7" s="406">
        <v>1</v>
      </c>
      <c r="E7" s="405">
        <f>Gen!S15</f>
        <v>0</v>
      </c>
      <c r="F7" s="405">
        <f>Gen!T15</f>
        <v>0</v>
      </c>
      <c r="G7" s="405">
        <f>'Water-Meter'!E10</f>
        <v>0</v>
      </c>
      <c r="H7" s="405">
        <f>'Utility report '!AC10</f>
        <v>0</v>
      </c>
      <c r="I7" s="405">
        <f>Gen!AJ15</f>
        <v>0</v>
      </c>
    </row>
    <row r="8" spans="1:9" ht="13.5">
      <c r="A8" s="402">
        <f>Gen!A16</f>
        <v>44322</v>
      </c>
      <c r="B8" s="404">
        <f>Gen!B16</f>
        <v>0</v>
      </c>
      <c r="C8" s="405">
        <f>'Summery Report'!E10</f>
        <v>0</v>
      </c>
      <c r="D8" s="406">
        <v>1</v>
      </c>
      <c r="E8" s="405">
        <f>Gen!S16</f>
        <v>0</v>
      </c>
      <c r="F8" s="405">
        <f>Gen!T16</f>
        <v>0</v>
      </c>
      <c r="G8" s="405">
        <f>'Water-Meter'!E11</f>
        <v>0</v>
      </c>
      <c r="H8" s="405">
        <f>'Utility report '!AC11</f>
        <v>0</v>
      </c>
      <c r="I8" s="405">
        <f>Gen!AJ16</f>
        <v>0</v>
      </c>
    </row>
    <row r="9" spans="1:9" ht="13.5">
      <c r="A9" s="402">
        <f>Gen!A17</f>
        <v>44323</v>
      </c>
      <c r="B9" s="404">
        <f>Gen!B17</f>
        <v>0</v>
      </c>
      <c r="C9" s="405">
        <f>'Summery Report'!E11</f>
        <v>0</v>
      </c>
      <c r="D9" s="406">
        <v>1</v>
      </c>
      <c r="E9" s="405">
        <f>Gen!S17</f>
        <v>0</v>
      </c>
      <c r="F9" s="405">
        <f>Gen!T17</f>
        <v>0</v>
      </c>
      <c r="G9" s="405">
        <f>'Water-Meter'!E12</f>
        <v>0</v>
      </c>
      <c r="H9" s="405">
        <f>'Utility report '!AC12</f>
        <v>0</v>
      </c>
      <c r="I9" s="405">
        <f>Gen!AJ17</f>
        <v>0</v>
      </c>
    </row>
    <row r="10" spans="1:9" ht="13.5">
      <c r="A10" s="402">
        <f>Gen!A18</f>
        <v>44324</v>
      </c>
      <c r="B10" s="404">
        <f>Gen!B18</f>
        <v>0</v>
      </c>
      <c r="C10" s="405">
        <f>'Summery Report'!E12</f>
        <v>0</v>
      </c>
      <c r="D10" s="406">
        <v>1</v>
      </c>
      <c r="E10" s="405">
        <f>Gen!S18</f>
        <v>0</v>
      </c>
      <c r="F10" s="405">
        <f>Gen!T18</f>
        <v>0</v>
      </c>
      <c r="G10" s="405">
        <f>'Water-Meter'!E13</f>
        <v>0</v>
      </c>
      <c r="H10" s="405">
        <f>'Utility report '!AC13</f>
        <v>0</v>
      </c>
      <c r="I10" s="405">
        <f>Gen!AJ18</f>
        <v>0</v>
      </c>
    </row>
    <row r="11" spans="1:9" ht="13.5">
      <c r="A11" s="402">
        <f>Gen!A19</f>
        <v>44325</v>
      </c>
      <c r="B11" s="404">
        <f>Gen!B19</f>
        <v>0</v>
      </c>
      <c r="C11" s="405">
        <f>'Summery Report'!E13</f>
        <v>0</v>
      </c>
      <c r="D11" s="406">
        <v>1</v>
      </c>
      <c r="E11" s="405">
        <f>Gen!S19</f>
        <v>0</v>
      </c>
      <c r="F11" s="405">
        <f>Gen!T19</f>
        <v>0</v>
      </c>
      <c r="G11" s="405">
        <f>'Water-Meter'!E14</f>
        <v>0</v>
      </c>
      <c r="H11" s="405">
        <f>'Utility report '!AC14</f>
        <v>0</v>
      </c>
      <c r="I11" s="405">
        <f>Gen!AJ19</f>
        <v>0</v>
      </c>
    </row>
    <row r="12" spans="1:9" ht="13.5">
      <c r="A12" s="402">
        <f>Gen!A20</f>
        <v>44326</v>
      </c>
      <c r="B12" s="404">
        <f>Gen!B20</f>
        <v>0</v>
      </c>
      <c r="C12" s="405">
        <f>'Summery Report'!E14</f>
        <v>0</v>
      </c>
      <c r="D12" s="406">
        <v>1</v>
      </c>
      <c r="E12" s="405">
        <f>Gen!S20</f>
        <v>0</v>
      </c>
      <c r="F12" s="405">
        <f>Gen!T20</f>
        <v>0</v>
      </c>
      <c r="G12" s="405">
        <f>'Water-Meter'!E15</f>
        <v>0</v>
      </c>
      <c r="H12" s="405">
        <f>'Utility report '!AC15</f>
        <v>0</v>
      </c>
      <c r="I12" s="405">
        <f>Gen!AJ20</f>
        <v>0</v>
      </c>
    </row>
    <row r="13" spans="1:9" ht="13.5">
      <c r="A13" s="402">
        <f>Gen!A21</f>
        <v>44327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0</v>
      </c>
      <c r="F13" s="405">
        <f>Gen!T21</f>
        <v>0</v>
      </c>
      <c r="G13" s="405">
        <f>'Water-Meter'!E16</f>
        <v>0</v>
      </c>
      <c r="H13" s="405">
        <f>'Utility report '!AC16</f>
        <v>0</v>
      </c>
      <c r="I13" s="405">
        <f>Gen!AJ21</f>
        <v>0</v>
      </c>
    </row>
    <row r="14" spans="1:9" ht="13.5">
      <c r="A14" s="402">
        <f>Gen!A22</f>
        <v>44328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0</v>
      </c>
      <c r="F14" s="405">
        <f>Gen!T22</f>
        <v>0</v>
      </c>
      <c r="G14" s="405">
        <f>'Water-Meter'!E17</f>
        <v>0</v>
      </c>
      <c r="H14" s="405">
        <f>'Utility report '!AC17</f>
        <v>0</v>
      </c>
      <c r="I14" s="405">
        <f>Gen!AJ22</f>
        <v>0</v>
      </c>
    </row>
    <row r="15" spans="1:9" ht="13.5">
      <c r="A15" s="402">
        <f>Gen!A23</f>
        <v>44329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44330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44331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44332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44333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44334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44335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44336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44337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44338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44339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44340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44341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44342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44343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44344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44345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44346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44347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A37" sqref="A37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71" t="s">
        <v>0</v>
      </c>
      <c r="B4" s="772" t="s">
        <v>141</v>
      </c>
      <c r="C4" s="773" t="s">
        <v>248</v>
      </c>
      <c r="D4" s="864" t="s">
        <v>135</v>
      </c>
      <c r="E4" s="864"/>
      <c r="F4" s="864"/>
      <c r="G4" s="865" t="s">
        <v>20</v>
      </c>
      <c r="H4" s="865"/>
      <c r="I4" s="865"/>
      <c r="J4" s="866" t="s">
        <v>54</v>
      </c>
      <c r="K4" s="866"/>
      <c r="L4" s="866"/>
      <c r="M4" s="866"/>
      <c r="N4" s="867" t="s">
        <v>143</v>
      </c>
      <c r="O4" s="867"/>
      <c r="P4" s="867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44317</v>
      </c>
      <c r="B6" s="6">
        <f>'Summery Report'!E5</f>
        <v>0</v>
      </c>
      <c r="C6" s="6">
        <f>Gen!U11</f>
        <v>0.4119358490566038</v>
      </c>
      <c r="D6" s="152">
        <f>Gen!T11</f>
        <v>2650</v>
      </c>
      <c r="E6" s="152">
        <f>Gen!AK11</f>
        <v>0</v>
      </c>
      <c r="F6" s="152">
        <f>Gen!AS11</f>
        <v>0</v>
      </c>
      <c r="G6" s="153">
        <f>'Utility report '!AC6</f>
        <v>118</v>
      </c>
      <c r="H6" s="153">
        <f>'Utility report '!AE6</f>
        <v>66</v>
      </c>
      <c r="I6" s="296">
        <f>'Water-Meter'!E6</f>
        <v>41</v>
      </c>
      <c r="J6" s="154">
        <f>'Lpg (2)'!B10</f>
        <v>85</v>
      </c>
      <c r="K6" s="154">
        <f>'Lpg (2)'!C10</f>
        <v>85</v>
      </c>
      <c r="L6" s="154">
        <f>'Lpg (2)'!D10</f>
        <v>1</v>
      </c>
      <c r="M6" s="449">
        <f>'Lpg (2)'!G10</f>
        <v>49.631999999994882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44318</v>
      </c>
      <c r="B7" s="6">
        <f>'Summery Report'!E6</f>
        <v>0</v>
      </c>
      <c r="C7" s="6">
        <f>Gen!U12</f>
        <v>0.41311086392287732</v>
      </c>
      <c r="D7" s="152">
        <f>Gen!T12</f>
        <v>2697</v>
      </c>
      <c r="E7" s="152">
        <f>Gen!AK12</f>
        <v>0</v>
      </c>
      <c r="F7" s="152">
        <f>Gen!AS12</f>
        <v>0</v>
      </c>
      <c r="G7" s="153">
        <f>'Utility report '!AC7</f>
        <v>38</v>
      </c>
      <c r="H7" s="153">
        <f>'Utility report '!AE7</f>
        <v>50</v>
      </c>
      <c r="I7" s="296">
        <f>'Water-Meter'!E7</f>
        <v>50</v>
      </c>
      <c r="J7" s="154">
        <f>'Lpg (2)'!B11</f>
        <v>85</v>
      </c>
      <c r="K7" s="154">
        <f>'Lpg (2)'!C11</f>
        <v>85</v>
      </c>
      <c r="L7" s="154">
        <f>'Lpg (2)'!D11</f>
        <v>1</v>
      </c>
      <c r="M7" s="449">
        <f>'Lpg (2)'!G11</f>
        <v>42.768000000005124</v>
      </c>
      <c r="N7" s="151">
        <f>D7*1.4</f>
        <v>3775.7999999999997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44319</v>
      </c>
      <c r="B8" s="6">
        <f>'Summery Report'!E7</f>
        <v>0</v>
      </c>
      <c r="C8" s="6">
        <f>Gen!U13</f>
        <v>0.41249336870026521</v>
      </c>
      <c r="D8" s="152">
        <f>Gen!T13</f>
        <v>2639</v>
      </c>
      <c r="E8" s="152">
        <f>Gen!AK13</f>
        <v>0</v>
      </c>
      <c r="F8" s="152">
        <f>Gen!AS13</f>
        <v>0</v>
      </c>
      <c r="G8" s="153">
        <f>'Utility report '!AC8</f>
        <v>37</v>
      </c>
      <c r="H8" s="153">
        <f>'Utility report '!AE8</f>
        <v>44</v>
      </c>
      <c r="I8" s="296">
        <f>'Water-Meter'!E8</f>
        <v>50</v>
      </c>
      <c r="J8" s="154">
        <f>'Lpg (2)'!B12</f>
        <v>85</v>
      </c>
      <c r="K8" s="154">
        <f>'Lpg (2)'!C12</f>
        <v>85</v>
      </c>
      <c r="L8" s="154">
        <f>'Lpg (2)'!D12</f>
        <v>0</v>
      </c>
      <c r="M8" s="449">
        <f>'Lpg (2)'!G12</f>
        <v>55.22000000001281</v>
      </c>
      <c r="N8" s="151">
        <f t="shared" ref="N8:O36" si="2">D8*1.4</f>
        <v>3694.6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44320</v>
      </c>
      <c r="B9" s="6">
        <f>'Summery Report'!E8</f>
        <v>0</v>
      </c>
      <c r="C9" s="6" t="e">
        <f>Gen!U14</f>
        <v>#DIV/0!</v>
      </c>
      <c r="D9" s="152">
        <f>Gen!T14</f>
        <v>0</v>
      </c>
      <c r="E9" s="152">
        <f>Gen!AK14</f>
        <v>0</v>
      </c>
      <c r="F9" s="152">
        <f>Gen!AS14</f>
        <v>0</v>
      </c>
      <c r="G9" s="153">
        <f>'Utility report '!AC9</f>
        <v>-1170</v>
      </c>
      <c r="H9" s="153">
        <f>'Utility report '!AE9</f>
        <v>-215848</v>
      </c>
      <c r="I9" s="296" t="str">
        <f>'Water-Meter'!E9</f>
        <v>0</v>
      </c>
      <c r="J9" s="154">
        <f>'Lpg (2)'!B13</f>
        <v>0</v>
      </c>
      <c r="K9" s="154">
        <f>'Lpg (2)'!C13</f>
        <v>0</v>
      </c>
      <c r="L9" s="154">
        <f>'Lpg (2)'!D13</f>
        <v>0</v>
      </c>
      <c r="M9" s="449">
        <f>'Lpg (2)'!G13</f>
        <v>-335630.02</v>
      </c>
      <c r="N9" s="151">
        <f t="shared" si="2"/>
        <v>0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44321</v>
      </c>
      <c r="B10" s="6">
        <f>'Summery Report'!E9</f>
        <v>0</v>
      </c>
      <c r="C10" s="6" t="e">
        <f>Gen!U15</f>
        <v>#DIV/0!</v>
      </c>
      <c r="D10" s="152">
        <f>Gen!T15</f>
        <v>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0</v>
      </c>
      <c r="I10" s="296">
        <f>'Water-Meter'!E10</f>
        <v>0</v>
      </c>
      <c r="J10" s="154">
        <f>'Lpg (2)'!B14</f>
        <v>0</v>
      </c>
      <c r="K10" s="154">
        <f>'Lpg (2)'!C14</f>
        <v>0</v>
      </c>
      <c r="L10" s="154">
        <f>'Lpg (2)'!D14</f>
        <v>0</v>
      </c>
      <c r="M10" s="449">
        <f>'Lpg (2)'!G14</f>
        <v>0</v>
      </c>
      <c r="N10" s="151">
        <f t="shared" si="2"/>
        <v>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44322</v>
      </c>
      <c r="B11" s="6">
        <f>'Summery Report'!E10</f>
        <v>0</v>
      </c>
      <c r="C11" s="6" t="e">
        <f>Gen!U16</f>
        <v>#DIV/0!</v>
      </c>
      <c r="D11" s="152">
        <f>Gen!T16</f>
        <v>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0</v>
      </c>
      <c r="I11" s="296">
        <f>'Water-Meter'!E11</f>
        <v>0</v>
      </c>
      <c r="J11" s="154">
        <f>'Lpg (2)'!B15</f>
        <v>0</v>
      </c>
      <c r="K11" s="154">
        <f>'Lpg (2)'!C15</f>
        <v>0</v>
      </c>
      <c r="L11" s="154">
        <f>'Lpg (2)'!D15</f>
        <v>0</v>
      </c>
      <c r="M11" s="449">
        <f>'Lpg (2)'!G15</f>
        <v>0</v>
      </c>
      <c r="N11" s="151">
        <f t="shared" si="2"/>
        <v>0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44323</v>
      </c>
      <c r="B12" s="6">
        <f>'Summery Report'!E11</f>
        <v>0</v>
      </c>
      <c r="C12" s="6" t="e">
        <f>Gen!U17</f>
        <v>#DIV/0!</v>
      </c>
      <c r="D12" s="152">
        <f>Gen!T17</f>
        <v>0</v>
      </c>
      <c r="E12" s="152">
        <f>Gen!AK17</f>
        <v>0</v>
      </c>
      <c r="F12" s="152">
        <f>Gen!AS17</f>
        <v>0</v>
      </c>
      <c r="G12" s="153">
        <f>'Utility report '!AC12</f>
        <v>0</v>
      </c>
      <c r="H12" s="153">
        <f>'Utility report '!AE12</f>
        <v>0</v>
      </c>
      <c r="I12" s="296">
        <f>'Water-Meter'!E12</f>
        <v>0</v>
      </c>
      <c r="J12" s="154">
        <f>'Lpg (2)'!B16</f>
        <v>0</v>
      </c>
      <c r="K12" s="154">
        <f>'Lpg (2)'!C16</f>
        <v>0</v>
      </c>
      <c r="L12" s="154">
        <f>'Lpg (2)'!D16</f>
        <v>0</v>
      </c>
      <c r="M12" s="449">
        <f>'Lpg (2)'!G16</f>
        <v>0</v>
      </c>
      <c r="N12" s="151">
        <f t="shared" si="2"/>
        <v>0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44324</v>
      </c>
      <c r="B13" s="6">
        <f>'Summery Report'!E12</f>
        <v>0</v>
      </c>
      <c r="C13" s="6" t="e">
        <f>Gen!U18</f>
        <v>#DIV/0!</v>
      </c>
      <c r="D13" s="152">
        <f>Gen!T18</f>
        <v>0</v>
      </c>
      <c r="E13" s="152">
        <f>Gen!AK18</f>
        <v>0</v>
      </c>
      <c r="F13" s="152">
        <f>Gen!AS18</f>
        <v>0</v>
      </c>
      <c r="G13" s="153">
        <f>'Utility report '!AC13</f>
        <v>0</v>
      </c>
      <c r="H13" s="153">
        <f>'Utility report '!AE13</f>
        <v>0</v>
      </c>
      <c r="I13" s="296">
        <f>'Water-Meter'!E13</f>
        <v>0</v>
      </c>
      <c r="J13" s="154">
        <f>'Lpg (2)'!B17</f>
        <v>0</v>
      </c>
      <c r="K13" s="154">
        <f>'Lpg (2)'!C17</f>
        <v>0</v>
      </c>
      <c r="L13" s="154">
        <f>'Lpg (2)'!D17</f>
        <v>0</v>
      </c>
      <c r="M13" s="449">
        <f>'Lpg (2)'!G17</f>
        <v>0</v>
      </c>
      <c r="N13" s="151">
        <f t="shared" si="2"/>
        <v>0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44325</v>
      </c>
      <c r="B14" s="6">
        <f>'Summery Report'!E13</f>
        <v>0</v>
      </c>
      <c r="C14" s="6" t="e">
        <f>Gen!U19</f>
        <v>#DIV/0!</v>
      </c>
      <c r="D14" s="152">
        <f>Gen!T19</f>
        <v>0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0</v>
      </c>
      <c r="I14" s="296">
        <f>'Water-Meter'!E14</f>
        <v>0</v>
      </c>
      <c r="J14" s="154">
        <f>'Lpg (2)'!B18</f>
        <v>0</v>
      </c>
      <c r="K14" s="154">
        <f>'Lpg (2)'!C18</f>
        <v>0</v>
      </c>
      <c r="L14" s="154">
        <f>'Lpg (2)'!D18</f>
        <v>0</v>
      </c>
      <c r="M14" s="449">
        <f>'Lpg (2)'!G18</f>
        <v>0</v>
      </c>
      <c r="N14" s="151">
        <f t="shared" si="2"/>
        <v>0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44326</v>
      </c>
      <c r="B15" s="6">
        <f>'Summery Report'!E14</f>
        <v>0</v>
      </c>
      <c r="C15" s="6" t="e">
        <f>Gen!U20</f>
        <v>#DIV/0!</v>
      </c>
      <c r="D15" s="152">
        <f>Gen!T20</f>
        <v>0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0</v>
      </c>
      <c r="I15" s="296">
        <f>'Water-Meter'!E15</f>
        <v>0</v>
      </c>
      <c r="J15" s="154">
        <f>'Lpg (2)'!B19</f>
        <v>0</v>
      </c>
      <c r="K15" s="154">
        <f>'Lpg (2)'!C19</f>
        <v>0</v>
      </c>
      <c r="L15" s="154">
        <f>'Lpg (2)'!D19</f>
        <v>0</v>
      </c>
      <c r="M15" s="449">
        <f>'Lpg (2)'!G19</f>
        <v>0</v>
      </c>
      <c r="N15" s="151">
        <f t="shared" si="2"/>
        <v>0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44327</v>
      </c>
      <c r="B16" s="6">
        <f>'Summery Report'!E15</f>
        <v>0</v>
      </c>
      <c r="C16" s="6" t="e">
        <f>Gen!U21</f>
        <v>#DIV/0!</v>
      </c>
      <c r="D16" s="152">
        <f>Gen!T21</f>
        <v>0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0</v>
      </c>
      <c r="I16" s="296">
        <f>'Water-Meter'!E16</f>
        <v>0</v>
      </c>
      <c r="J16" s="154">
        <f>'Lpg (2)'!B20</f>
        <v>0</v>
      </c>
      <c r="K16" s="154">
        <f>'Lpg (2)'!C20</f>
        <v>0</v>
      </c>
      <c r="L16" s="154">
        <f>'Lpg (2)'!D20</f>
        <v>0</v>
      </c>
      <c r="M16" s="449">
        <f>'Lpg (2)'!G20</f>
        <v>0</v>
      </c>
      <c r="N16" s="151">
        <f t="shared" si="2"/>
        <v>0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44328</v>
      </c>
      <c r="B17" s="6">
        <f>'Summery Report'!E16</f>
        <v>0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0</v>
      </c>
      <c r="I17" s="296">
        <f>'Water-Meter'!E17</f>
        <v>0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0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44329</v>
      </c>
      <c r="B18" s="6">
        <f>'Summery Report'!E17</f>
        <v>0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44330</v>
      </c>
      <c r="B19" s="6">
        <f>'Summery Report'!E18</f>
        <v>0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44331</v>
      </c>
      <c r="B20" s="6">
        <f>'Summery Report'!E19</f>
        <v>0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44332</v>
      </c>
      <c r="B21" s="6">
        <f>'Summery Report'!E20</f>
        <v>0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44333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44334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44335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44336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44337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44338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44339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44340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44341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44342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44343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44344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44345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44346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44347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/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5336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-1095</v>
      </c>
      <c r="H39" s="453">
        <f t="shared" si="3"/>
        <v>-215754</v>
      </c>
      <c r="I39" s="453">
        <f t="shared" si="3"/>
        <v>100</v>
      </c>
      <c r="J39" s="453">
        <f t="shared" si="3"/>
        <v>170</v>
      </c>
      <c r="K39" s="453">
        <f t="shared" si="3"/>
        <v>170</v>
      </c>
      <c r="L39" s="453">
        <f t="shared" si="3"/>
        <v>1</v>
      </c>
      <c r="M39" s="453">
        <f t="shared" si="3"/>
        <v>-335532.03200000001</v>
      </c>
      <c r="N39" s="453">
        <f t="shared" si="3"/>
        <v>7470.4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L1" activePane="topRight" state="frozen"/>
      <selection pane="topRight" activeCell="AD18" sqref="AD18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5">
        <f>A6</f>
        <v>44317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876"/>
      <c r="AD1" s="876"/>
      <c r="AE1" s="876"/>
      <c r="AF1" s="876"/>
      <c r="AG1" s="876"/>
      <c r="AH1" s="876"/>
      <c r="AI1" s="876"/>
      <c r="AJ1" s="876"/>
      <c r="AK1" s="877"/>
    </row>
    <row r="2" spans="1:37" ht="61.5" customHeight="1" thickBot="1">
      <c r="A2" s="137" t="s">
        <v>98</v>
      </c>
      <c r="B2" s="878" t="s">
        <v>99</v>
      </c>
      <c r="C2" s="879"/>
      <c r="D2" s="880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68" t="s">
        <v>103</v>
      </c>
      <c r="P2" s="868"/>
      <c r="Q2" s="868"/>
      <c r="R2" s="868"/>
      <c r="S2" s="868"/>
      <c r="T2" s="868"/>
      <c r="U2" s="868"/>
      <c r="V2" s="868"/>
      <c r="W2" s="868"/>
      <c r="X2" s="868"/>
      <c r="Y2" s="868"/>
      <c r="Z2" s="868"/>
      <c r="AA2" s="284" t="s">
        <v>104</v>
      </c>
      <c r="AB2" s="878" t="s">
        <v>164</v>
      </c>
      <c r="AC2" s="880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1">
        <f>SUM(D3/B3)</f>
        <v>1.3262195121951219</v>
      </c>
      <c r="G3" s="882"/>
      <c r="H3" s="127">
        <f>Gen!C11</f>
        <v>27860.560000000001</v>
      </c>
      <c r="I3" s="620"/>
      <c r="J3" s="747"/>
      <c r="K3" s="748" t="s">
        <v>165</v>
      </c>
      <c r="L3" s="747"/>
      <c r="M3" s="622" t="s">
        <v>111</v>
      </c>
      <c r="N3" s="747"/>
      <c r="O3" s="868" t="s">
        <v>112</v>
      </c>
      <c r="P3" s="868"/>
      <c r="Q3" s="868"/>
      <c r="R3" s="868"/>
      <c r="S3" s="869" t="s">
        <v>113</v>
      </c>
      <c r="T3" s="870"/>
      <c r="U3" s="870"/>
      <c r="V3" s="871"/>
      <c r="W3" s="872" t="s">
        <v>114</v>
      </c>
      <c r="X3" s="873"/>
      <c r="Y3" s="873"/>
      <c r="Z3" s="874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9.5" thickBot="1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>
        <v>1.9</v>
      </c>
      <c r="P5" s="713">
        <v>19038</v>
      </c>
      <c r="Q5" s="724"/>
      <c r="R5" s="714"/>
      <c r="S5" s="695">
        <v>6.2</v>
      </c>
      <c r="T5" s="702">
        <v>17942</v>
      </c>
      <c r="U5" s="695"/>
      <c r="V5" s="714"/>
      <c r="W5" s="695">
        <v>1.7</v>
      </c>
      <c r="X5" s="707">
        <v>28101</v>
      </c>
      <c r="Y5" s="695"/>
      <c r="Z5" s="700"/>
      <c r="AA5" s="710"/>
      <c r="AB5" s="709">
        <v>977</v>
      </c>
      <c r="AC5" s="695"/>
      <c r="AD5" s="692">
        <v>215688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9.5" thickBot="1">
      <c r="A6" s="753">
        <f>Gen!A11</f>
        <v>44317</v>
      </c>
      <c r="B6" s="425">
        <f>'Summery Report'!E5</f>
        <v>0</v>
      </c>
      <c r="C6" s="758">
        <f>Gen!B11</f>
        <v>0.01</v>
      </c>
      <c r="D6" s="720">
        <f>'Summery Report'!E5</f>
        <v>0</v>
      </c>
      <c r="E6" s="720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0">
        <f>Gen!C11</f>
        <v>27860.560000000001</v>
      </c>
      <c r="I6" s="720">
        <f>Gen!E11</f>
        <v>15000</v>
      </c>
      <c r="J6" s="759">
        <f>Gen!T11</f>
        <v>2650</v>
      </c>
      <c r="K6" s="764">
        <f>Gen!AK11</f>
        <v>0</v>
      </c>
      <c r="L6" s="755">
        <f t="shared" ref="L6:L13" si="1">SUM(J6:K6)</f>
        <v>2650</v>
      </c>
      <c r="M6" s="448">
        <f>'Water-Meter'!K46</f>
        <v>356.0902651508203</v>
      </c>
      <c r="N6" s="715">
        <f>'Water-Meter'!E6</f>
        <v>41</v>
      </c>
      <c r="O6" s="695">
        <v>1.9</v>
      </c>
      <c r="P6" s="713">
        <v>19038</v>
      </c>
      <c r="Q6" s="725">
        <f t="shared" ref="Q6:Q36" si="2">SUM(P6-P5)</f>
        <v>0</v>
      </c>
      <c r="R6" s="426">
        <f>SUM(Q6*O6)</f>
        <v>0</v>
      </c>
      <c r="S6" s="695">
        <v>6.2</v>
      </c>
      <c r="T6" s="702">
        <v>17958</v>
      </c>
      <c r="U6" s="725">
        <f>T6-T5</f>
        <v>16</v>
      </c>
      <c r="V6" s="427" t="s">
        <v>246</v>
      </c>
      <c r="W6" s="695">
        <v>1.7</v>
      </c>
      <c r="X6" s="707">
        <v>28101</v>
      </c>
      <c r="Y6" s="725">
        <f>X6-X5</f>
        <v>0</v>
      </c>
      <c r="Z6" s="708">
        <f t="shared" ref="Z6:AA6" si="3">Y6-Y5</f>
        <v>0</v>
      </c>
      <c r="AA6" s="711">
        <f t="shared" si="3"/>
        <v>0</v>
      </c>
      <c r="AB6" s="709">
        <v>1095</v>
      </c>
      <c r="AC6" s="690">
        <f>AB6-AB5</f>
        <v>118</v>
      </c>
      <c r="AD6" s="692">
        <v>215754</v>
      </c>
      <c r="AE6" s="178">
        <f>AD6-AD5</f>
        <v>66</v>
      </c>
      <c r="AF6" s="719">
        <f>'Lpg (2)'!B10*2000/85</f>
        <v>2000</v>
      </c>
      <c r="AG6" s="266">
        <f>'Lpg (2)'!C10*1000/85</f>
        <v>1000</v>
      </c>
      <c r="AH6" s="732">
        <f>'Lpg (2)'!D10*1000/85</f>
        <v>11.764705882352942</v>
      </c>
      <c r="AI6" s="722">
        <f>SUM(AF6*2000)+(AG6*1000)+(AH6*1000)</f>
        <v>5011764.7058823528</v>
      </c>
      <c r="AJ6" s="428">
        <f t="shared" ref="AJ6:AJ36" si="4">SUM(AI5-AI6)</f>
        <v>-5011764.7058823528</v>
      </c>
      <c r="AK6" s="132"/>
    </row>
    <row r="7" spans="1:37" ht="19.5" thickBot="1">
      <c r="A7" s="753">
        <f>Gen!A12</f>
        <v>44318</v>
      </c>
      <c r="B7" s="425">
        <f>'Summery Report'!E6</f>
        <v>0</v>
      </c>
      <c r="C7" s="758">
        <f>Gen!B12</f>
        <v>0</v>
      </c>
      <c r="D7" s="720">
        <f>'Summery Report'!E6</f>
        <v>0</v>
      </c>
      <c r="E7" s="720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0">
        <f>Gen!C12</f>
        <v>26680.18</v>
      </c>
      <c r="I7" s="720">
        <f>Gen!E12</f>
        <v>0</v>
      </c>
      <c r="J7" s="759">
        <f>Gen!T12</f>
        <v>2697</v>
      </c>
      <c r="K7" s="764">
        <f>Gen!AK12</f>
        <v>0</v>
      </c>
      <c r="L7" s="755">
        <f t="shared" si="1"/>
        <v>2697</v>
      </c>
      <c r="M7" s="448">
        <f>'Water-Meter'!K47</f>
        <v>425.02401677422006</v>
      </c>
      <c r="N7" s="715">
        <f>'Water-Meter'!E7</f>
        <v>50</v>
      </c>
      <c r="O7" s="695">
        <v>1.9</v>
      </c>
      <c r="P7" s="713">
        <v>19038</v>
      </c>
      <c r="Q7" s="725">
        <f t="shared" si="2"/>
        <v>0</v>
      </c>
      <c r="R7" s="426">
        <f t="shared" ref="R7:R36" si="5">SUM(Q7*O7)</f>
        <v>0</v>
      </c>
      <c r="S7" s="695">
        <v>6.2</v>
      </c>
      <c r="T7" s="702">
        <v>17958</v>
      </c>
      <c r="U7" s="725">
        <f t="shared" ref="U7:U36" si="6">T7-T6</f>
        <v>0</v>
      </c>
      <c r="V7" s="427">
        <f t="shared" ref="V7:V9" si="7">SUM(U7*S7)</f>
        <v>0</v>
      </c>
      <c r="W7" s="695">
        <v>1.7</v>
      </c>
      <c r="X7" s="707">
        <v>28128</v>
      </c>
      <c r="Y7" s="725">
        <f t="shared" ref="Y7:Y36" si="8">X7-X6</f>
        <v>27</v>
      </c>
      <c r="Z7" s="705">
        <f t="shared" ref="Z7:Z36" si="9">SUM(Y7*W7)</f>
        <v>45.9</v>
      </c>
      <c r="AA7" s="712">
        <f t="shared" ref="AA7:AA36" si="10">SUM(Z7*X9)</f>
        <v>0</v>
      </c>
      <c r="AB7" s="709">
        <v>1133</v>
      </c>
      <c r="AC7" s="690">
        <f t="shared" ref="AC7:AC27" si="11">AB7-AB6</f>
        <v>38</v>
      </c>
      <c r="AD7" s="692">
        <v>215804</v>
      </c>
      <c r="AE7" s="178">
        <f>AD7-AD6</f>
        <v>50</v>
      </c>
      <c r="AF7" s="719">
        <f>'Lpg (2)'!B11*2000/85</f>
        <v>2000</v>
      </c>
      <c r="AG7" s="266">
        <f>'Lpg (2)'!C11*1000/85</f>
        <v>1000</v>
      </c>
      <c r="AH7" s="732">
        <f>'Lpg (2)'!D11*1000/85</f>
        <v>11.764705882352942</v>
      </c>
      <c r="AI7" s="722">
        <f t="shared" ref="AI7:AI14" si="12">SUM(AF6*2000)+(AG7*1000)+(AH7*1000)</f>
        <v>5011764.7058823528</v>
      </c>
      <c r="AJ7" s="428">
        <f t="shared" si="4"/>
        <v>0</v>
      </c>
      <c r="AK7" s="132"/>
    </row>
    <row r="8" spans="1:37" ht="18.75">
      <c r="A8" s="753">
        <f>Gen!A13</f>
        <v>44319</v>
      </c>
      <c r="B8" s="425">
        <f>'Summery Report'!E7</f>
        <v>0</v>
      </c>
      <c r="C8" s="758">
        <f>Gen!B13</f>
        <v>3.9E-2</v>
      </c>
      <c r="D8" s="720">
        <f>'Summery Report'!E7</f>
        <v>0</v>
      </c>
      <c r="E8" s="720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0">
        <f>Gen!C13</f>
        <v>40466.020000000004</v>
      </c>
      <c r="I8" s="720">
        <f>Gen!E13</f>
        <v>0</v>
      </c>
      <c r="J8" s="759">
        <f>Gen!T13</f>
        <v>2639</v>
      </c>
      <c r="K8" s="764">
        <f>Gen!AK13</f>
        <v>0</v>
      </c>
      <c r="L8" s="755">
        <f t="shared" si="1"/>
        <v>2639</v>
      </c>
      <c r="M8" s="448">
        <f>'Water-Meter'!K48</f>
        <v>483.24620738604517</v>
      </c>
      <c r="N8" s="715">
        <f>'Water-Meter'!E8</f>
        <v>50</v>
      </c>
      <c r="O8" s="695">
        <v>1.9</v>
      </c>
      <c r="P8" s="713">
        <v>19038</v>
      </c>
      <c r="Q8" s="725">
        <f t="shared" si="2"/>
        <v>0</v>
      </c>
      <c r="R8" s="426">
        <f t="shared" si="5"/>
        <v>0</v>
      </c>
      <c r="S8" s="695">
        <v>6.2</v>
      </c>
      <c r="T8" s="702">
        <v>17958</v>
      </c>
      <c r="U8" s="725">
        <f t="shared" si="6"/>
        <v>0</v>
      </c>
      <c r="V8" s="427">
        <f t="shared" si="7"/>
        <v>0</v>
      </c>
      <c r="W8" s="695">
        <v>1.7</v>
      </c>
      <c r="X8" s="707">
        <v>28152</v>
      </c>
      <c r="Y8" s="725">
        <f t="shared" si="8"/>
        <v>24</v>
      </c>
      <c r="Z8" s="705">
        <f t="shared" si="9"/>
        <v>40.799999999999997</v>
      </c>
      <c r="AA8" s="712">
        <f t="shared" si="10"/>
        <v>0</v>
      </c>
      <c r="AB8" s="709">
        <v>1170</v>
      </c>
      <c r="AC8" s="690">
        <f t="shared" si="11"/>
        <v>37</v>
      </c>
      <c r="AD8" s="692">
        <v>215848</v>
      </c>
      <c r="AE8" s="178">
        <f t="shared" ref="AE8:AE37" si="15">AD8-AD7</f>
        <v>44</v>
      </c>
      <c r="AF8" s="719">
        <f>'Lpg (2)'!B12*2000/85</f>
        <v>2000</v>
      </c>
      <c r="AG8" s="266">
        <f>'Lpg (2)'!C12*1000/85</f>
        <v>1000</v>
      </c>
      <c r="AH8" s="732">
        <f>'Lpg (2)'!D12*1000/85</f>
        <v>0</v>
      </c>
      <c r="AI8" s="722">
        <f t="shared" si="12"/>
        <v>5000000</v>
      </c>
      <c r="AJ8" s="428">
        <f t="shared" si="4"/>
        <v>11764.705882352777</v>
      </c>
      <c r="AK8" s="132"/>
    </row>
    <row r="9" spans="1:37" ht="18.75">
      <c r="A9" s="753">
        <f>Gen!A14</f>
        <v>44320</v>
      </c>
      <c r="B9" s="425">
        <f>'Summery Report'!E8</f>
        <v>0</v>
      </c>
      <c r="C9" s="758">
        <f>Gen!B14</f>
        <v>5.1999999999999998E-2</v>
      </c>
      <c r="D9" s="720">
        <f>'Summery Report'!E8</f>
        <v>0</v>
      </c>
      <c r="E9" s="720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0">
        <f>Gen!C14</f>
        <v>39347.69</v>
      </c>
      <c r="I9" s="720">
        <f>Gen!E14</f>
        <v>0</v>
      </c>
      <c r="J9" s="759">
        <f>Gen!T14</f>
        <v>0</v>
      </c>
      <c r="K9" s="764">
        <f>Gen!AK14</f>
        <v>0</v>
      </c>
      <c r="L9" s="755">
        <f t="shared" si="1"/>
        <v>0</v>
      </c>
      <c r="M9" s="448">
        <f>'Water-Meter'!K49</f>
        <v>530.87795528245806</v>
      </c>
      <c r="N9" s="715" t="str">
        <f>'Water-Meter'!E9</f>
        <v>0</v>
      </c>
      <c r="O9" s="706"/>
      <c r="P9" s="713"/>
      <c r="Q9" s="725">
        <f t="shared" si="2"/>
        <v>-19038</v>
      </c>
      <c r="R9" s="426">
        <f t="shared" si="5"/>
        <v>0</v>
      </c>
      <c r="S9" s="701"/>
      <c r="T9" s="702"/>
      <c r="U9" s="725">
        <f t="shared" si="6"/>
        <v>-17958</v>
      </c>
      <c r="V9" s="427">
        <f t="shared" si="7"/>
        <v>0</v>
      </c>
      <c r="W9" s="706"/>
      <c r="X9" s="707"/>
      <c r="Y9" s="725">
        <f t="shared" si="8"/>
        <v>-28152</v>
      </c>
      <c r="Z9" s="705">
        <f>SUM(Y9*W11)</f>
        <v>0</v>
      </c>
      <c r="AA9" s="712">
        <f t="shared" si="10"/>
        <v>0</v>
      </c>
      <c r="AB9" s="709"/>
      <c r="AC9" s="690">
        <f t="shared" si="11"/>
        <v>-1170</v>
      </c>
      <c r="AD9" s="692"/>
      <c r="AE9" s="178">
        <f t="shared" si="15"/>
        <v>-215848</v>
      </c>
      <c r="AF9" s="719">
        <f>'Lpg (2)'!B13*2000/85</f>
        <v>0</v>
      </c>
      <c r="AG9" s="266">
        <f>'Lpg (2)'!C13*1000/85</f>
        <v>0</v>
      </c>
      <c r="AH9" s="732">
        <f>'Lpg (2)'!D13*1000/85</f>
        <v>0</v>
      </c>
      <c r="AI9" s="722">
        <f t="shared" si="12"/>
        <v>4000000</v>
      </c>
      <c r="AJ9" s="428">
        <f t="shared" si="4"/>
        <v>1000000</v>
      </c>
      <c r="AK9" s="132"/>
    </row>
    <row r="10" spans="1:37" ht="18.75">
      <c r="A10" s="753">
        <f>Gen!A15</f>
        <v>44321</v>
      </c>
      <c r="B10" s="425">
        <f>'Summery Report'!E9</f>
        <v>0</v>
      </c>
      <c r="C10" s="758">
        <f>Gen!B15</f>
        <v>5.1999999999999998E-2</v>
      </c>
      <c r="D10" s="720">
        <f>'Summery Report'!E9</f>
        <v>0</v>
      </c>
      <c r="E10" s="720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0">
        <f>Gen!C15</f>
        <v>39347.69</v>
      </c>
      <c r="I10" s="720">
        <f>Gen!E15</f>
        <v>0</v>
      </c>
      <c r="J10" s="759">
        <f>Gen!T15</f>
        <v>0</v>
      </c>
      <c r="K10" s="764">
        <f>Gen!AK15</f>
        <v>0</v>
      </c>
      <c r="L10" s="755">
        <f t="shared" si="1"/>
        <v>0</v>
      </c>
      <c r="M10" s="448">
        <f>'Water-Meter'!K50</f>
        <v>0</v>
      </c>
      <c r="N10" s="715">
        <f>'Water-Meter'!E10</f>
        <v>0</v>
      </c>
      <c r="O10" s="706"/>
      <c r="P10" s="713"/>
      <c r="Q10" s="725">
        <f t="shared" si="2"/>
        <v>0</v>
      </c>
      <c r="R10" s="426">
        <f t="shared" si="5"/>
        <v>0</v>
      </c>
      <c r="S10" s="701"/>
      <c r="T10" s="702"/>
      <c r="U10" s="725">
        <f t="shared" si="6"/>
        <v>0</v>
      </c>
      <c r="V10" s="427">
        <f t="shared" ref="V10:V16" si="16">SUM(U10*S10)</f>
        <v>0</v>
      </c>
      <c r="W10" s="706"/>
      <c r="X10" s="707"/>
      <c r="Y10" s="725">
        <f t="shared" si="8"/>
        <v>0</v>
      </c>
      <c r="Z10" s="705">
        <f t="shared" si="9"/>
        <v>0</v>
      </c>
      <c r="AA10" s="712">
        <f t="shared" si="10"/>
        <v>0</v>
      </c>
      <c r="AB10" s="709"/>
      <c r="AC10" s="690">
        <f t="shared" si="11"/>
        <v>0</v>
      </c>
      <c r="AD10" s="692"/>
      <c r="AE10" s="178">
        <f t="shared" si="15"/>
        <v>0</v>
      </c>
      <c r="AF10" s="719">
        <f>'Lpg (2)'!B14*2000/85</f>
        <v>0</v>
      </c>
      <c r="AG10" s="266">
        <f>'Lpg (2)'!C14*1000/85</f>
        <v>0</v>
      </c>
      <c r="AH10" s="732">
        <f>'Lpg (2)'!D14*1000/85</f>
        <v>0</v>
      </c>
      <c r="AI10" s="722">
        <f t="shared" si="12"/>
        <v>0</v>
      </c>
      <c r="AJ10" s="428">
        <f t="shared" si="4"/>
        <v>4000000</v>
      </c>
      <c r="AK10" s="132"/>
    </row>
    <row r="11" spans="1:37" ht="18.75">
      <c r="A11" s="753">
        <f>Gen!A16</f>
        <v>44322</v>
      </c>
      <c r="B11" s="425">
        <f>'Summery Report'!E10</f>
        <v>0</v>
      </c>
      <c r="C11" s="758">
        <f>Gen!B16</f>
        <v>0</v>
      </c>
      <c r="D11" s="720">
        <f>'Summery Report'!E10</f>
        <v>0</v>
      </c>
      <c r="E11" s="720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0">
        <f>Gen!C16</f>
        <v>39347.69</v>
      </c>
      <c r="I11" s="720">
        <f>Gen!E16</f>
        <v>0</v>
      </c>
      <c r="J11" s="759">
        <f>Gen!T16</f>
        <v>0</v>
      </c>
      <c r="K11" s="764">
        <f>Gen!AK16</f>
        <v>0</v>
      </c>
      <c r="L11" s="755">
        <f t="shared" si="1"/>
        <v>0</v>
      </c>
      <c r="M11" s="448">
        <f>'Water-Meter'!K51</f>
        <v>0</v>
      </c>
      <c r="N11" s="715">
        <f>'Water-Meter'!E11</f>
        <v>0</v>
      </c>
      <c r="O11" s="706"/>
      <c r="P11" s="713"/>
      <c r="Q11" s="725">
        <f t="shared" si="2"/>
        <v>0</v>
      </c>
      <c r="R11" s="426">
        <f t="shared" si="5"/>
        <v>0</v>
      </c>
      <c r="S11" s="701"/>
      <c r="T11" s="702"/>
      <c r="U11" s="725">
        <f t="shared" si="6"/>
        <v>0</v>
      </c>
      <c r="V11" s="427">
        <f t="shared" si="16"/>
        <v>0</v>
      </c>
      <c r="W11" s="706"/>
      <c r="X11" s="707"/>
      <c r="Y11" s="725">
        <f t="shared" si="8"/>
        <v>0</v>
      </c>
      <c r="Z11" s="705" t="e">
        <f>SUM(Y11*#REF!)</f>
        <v>#REF!</v>
      </c>
      <c r="AA11" s="712" t="e">
        <f t="shared" si="10"/>
        <v>#REF!</v>
      </c>
      <c r="AB11" s="709"/>
      <c r="AC11" s="690">
        <f t="shared" si="11"/>
        <v>0</v>
      </c>
      <c r="AD11" s="692"/>
      <c r="AE11" s="178">
        <f t="shared" si="15"/>
        <v>0</v>
      </c>
      <c r="AF11" s="719">
        <f>'Lpg (2)'!B15*2000/85</f>
        <v>0</v>
      </c>
      <c r="AG11" s="266">
        <f>'Lpg (2)'!C15*1000/85</f>
        <v>0</v>
      </c>
      <c r="AH11" s="732">
        <f>'Lpg (2)'!D15*1000/85</f>
        <v>0</v>
      </c>
      <c r="AI11" s="722">
        <f t="shared" si="12"/>
        <v>0</v>
      </c>
      <c r="AJ11" s="428">
        <f t="shared" si="4"/>
        <v>0</v>
      </c>
      <c r="AK11" s="132"/>
    </row>
    <row r="12" spans="1:37" ht="18.75">
      <c r="A12" s="753">
        <f>Gen!A17</f>
        <v>44323</v>
      </c>
      <c r="B12" s="425">
        <f>'Summery Report'!E11</f>
        <v>0</v>
      </c>
      <c r="C12" s="758">
        <f>Gen!B17</f>
        <v>0</v>
      </c>
      <c r="D12" s="720">
        <f>'Summery Report'!E11</f>
        <v>0</v>
      </c>
      <c r="E12" s="720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0">
        <f>Gen!C17</f>
        <v>39347.69</v>
      </c>
      <c r="I12" s="720">
        <f>Gen!E17</f>
        <v>0</v>
      </c>
      <c r="J12" s="759">
        <f>Gen!T17</f>
        <v>0</v>
      </c>
      <c r="K12" s="764">
        <f>Gen!AK17</f>
        <v>0</v>
      </c>
      <c r="L12" s="755">
        <f t="shared" si="1"/>
        <v>0</v>
      </c>
      <c r="M12" s="448">
        <f>'Water-Meter'!K52</f>
        <v>0</v>
      </c>
      <c r="N12" s="715">
        <f>'Water-Meter'!E12</f>
        <v>0</v>
      </c>
      <c r="O12" s="706"/>
      <c r="P12" s="713"/>
      <c r="Q12" s="725">
        <f t="shared" si="2"/>
        <v>0</v>
      </c>
      <c r="R12" s="426">
        <f t="shared" si="5"/>
        <v>0</v>
      </c>
      <c r="S12" s="701"/>
      <c r="T12" s="702"/>
      <c r="U12" s="725">
        <f t="shared" si="6"/>
        <v>0</v>
      </c>
      <c r="V12" s="427">
        <f t="shared" si="16"/>
        <v>0</v>
      </c>
      <c r="W12" s="706"/>
      <c r="X12" s="707"/>
      <c r="Y12" s="725">
        <f t="shared" si="8"/>
        <v>0</v>
      </c>
      <c r="Z12" s="705">
        <f t="shared" si="9"/>
        <v>0</v>
      </c>
      <c r="AA12" s="712">
        <f t="shared" si="10"/>
        <v>0</v>
      </c>
      <c r="AB12" s="709"/>
      <c r="AC12" s="690">
        <f t="shared" si="11"/>
        <v>0</v>
      </c>
      <c r="AD12" s="692"/>
      <c r="AE12" s="178">
        <f t="shared" si="15"/>
        <v>0</v>
      </c>
      <c r="AF12" s="719">
        <f>'Lpg (2)'!B16*2000/85</f>
        <v>0</v>
      </c>
      <c r="AG12" s="266">
        <f>'Lpg (2)'!C16*1000/85</f>
        <v>0</v>
      </c>
      <c r="AH12" s="732">
        <f>'Lpg (2)'!D16*1000/85</f>
        <v>0</v>
      </c>
      <c r="AI12" s="722">
        <f t="shared" si="12"/>
        <v>0</v>
      </c>
      <c r="AJ12" s="428">
        <f t="shared" si="4"/>
        <v>0</v>
      </c>
      <c r="AK12" s="132"/>
    </row>
    <row r="13" spans="1:37" ht="18.75">
      <c r="A13" s="753">
        <f>Gen!A18</f>
        <v>44324</v>
      </c>
      <c r="B13" s="425">
        <f>'Summery Report'!E12</f>
        <v>0</v>
      </c>
      <c r="C13" s="758">
        <f>Gen!B18</f>
        <v>0</v>
      </c>
      <c r="D13" s="720">
        <f>'Summery Report'!E12</f>
        <v>0</v>
      </c>
      <c r="E13" s="720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0">
        <f>Gen!C18</f>
        <v>39347.69</v>
      </c>
      <c r="I13" s="720">
        <f>Gen!E18</f>
        <v>0</v>
      </c>
      <c r="J13" s="759">
        <f>Gen!T18</f>
        <v>0</v>
      </c>
      <c r="K13" s="764">
        <f>Gen!AK18</f>
        <v>0</v>
      </c>
      <c r="L13" s="755">
        <f t="shared" si="1"/>
        <v>0</v>
      </c>
      <c r="M13" s="448">
        <f>'Water-Meter'!K53</f>
        <v>0</v>
      </c>
      <c r="N13" s="715">
        <f>'Water-Meter'!E13</f>
        <v>0</v>
      </c>
      <c r="O13" s="706"/>
      <c r="P13" s="713"/>
      <c r="Q13" s="725">
        <f t="shared" si="2"/>
        <v>0</v>
      </c>
      <c r="R13" s="426">
        <f t="shared" si="5"/>
        <v>0</v>
      </c>
      <c r="S13" s="701"/>
      <c r="T13" s="702"/>
      <c r="U13" s="725">
        <f t="shared" si="6"/>
        <v>0</v>
      </c>
      <c r="V13" s="427">
        <f t="shared" si="16"/>
        <v>0</v>
      </c>
      <c r="W13" s="706"/>
      <c r="X13" s="707"/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/>
      <c r="AC13" s="690">
        <f t="shared" si="11"/>
        <v>0</v>
      </c>
      <c r="AD13" s="692"/>
      <c r="AE13" s="178">
        <f t="shared" si="15"/>
        <v>0</v>
      </c>
      <c r="AF13" s="719">
        <f>'Lpg (2)'!B17*2000/85</f>
        <v>0</v>
      </c>
      <c r="AG13" s="266">
        <f>'Lpg (2)'!C17*1000/85</f>
        <v>0</v>
      </c>
      <c r="AH13" s="732">
        <f>'Lpg (2)'!D17*1000/85</f>
        <v>0</v>
      </c>
      <c r="AI13" s="722">
        <f t="shared" si="12"/>
        <v>0</v>
      </c>
      <c r="AJ13" s="428">
        <f t="shared" si="4"/>
        <v>0</v>
      </c>
      <c r="AK13" s="132"/>
    </row>
    <row r="14" spans="1:37" ht="18.75">
      <c r="A14" s="753">
        <f>Gen!A19</f>
        <v>44325</v>
      </c>
      <c r="B14" s="425">
        <f>'Summery Report'!E13</f>
        <v>0</v>
      </c>
      <c r="C14" s="758">
        <f>Gen!B19</f>
        <v>0</v>
      </c>
      <c r="D14" s="720">
        <f>'Summery Report'!E13</f>
        <v>0</v>
      </c>
      <c r="E14" s="720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0">
        <f>Gen!C19</f>
        <v>39347.69</v>
      </c>
      <c r="I14" s="720">
        <f>Gen!E19</f>
        <v>0</v>
      </c>
      <c r="J14" s="759">
        <f>Gen!T19</f>
        <v>0</v>
      </c>
      <c r="K14" s="764">
        <f>Gen!AK19</f>
        <v>0</v>
      </c>
      <c r="L14" s="755">
        <f t="shared" ref="L14:L37" si="17">SUM(J14:K14)</f>
        <v>0</v>
      </c>
      <c r="M14" s="448">
        <f>'Water-Meter'!K54</f>
        <v>0</v>
      </c>
      <c r="N14" s="715">
        <f>'Water-Meter'!E14</f>
        <v>0</v>
      </c>
      <c r="O14" s="706"/>
      <c r="P14" s="713"/>
      <c r="Q14" s="725">
        <f t="shared" si="2"/>
        <v>0</v>
      </c>
      <c r="R14" s="426">
        <f t="shared" si="5"/>
        <v>0</v>
      </c>
      <c r="S14" s="701"/>
      <c r="T14" s="702"/>
      <c r="U14" s="725">
        <f t="shared" si="6"/>
        <v>0</v>
      </c>
      <c r="V14" s="427">
        <f t="shared" si="16"/>
        <v>0</v>
      </c>
      <c r="W14" s="706"/>
      <c r="X14" s="707"/>
      <c r="Y14" s="725">
        <f t="shared" si="8"/>
        <v>0</v>
      </c>
      <c r="Z14" s="705">
        <f t="shared" si="9"/>
        <v>0</v>
      </c>
      <c r="AA14" s="712">
        <f t="shared" si="10"/>
        <v>0</v>
      </c>
      <c r="AB14" s="709"/>
      <c r="AC14" s="690">
        <f t="shared" si="11"/>
        <v>0</v>
      </c>
      <c r="AD14" s="692"/>
      <c r="AE14" s="178">
        <f t="shared" si="15"/>
        <v>0</v>
      </c>
      <c r="AF14" s="719">
        <f>'Lpg (2)'!B18*2000/85</f>
        <v>0</v>
      </c>
      <c r="AG14" s="266">
        <f>'Lpg (2)'!C18*1000/85</f>
        <v>0</v>
      </c>
      <c r="AH14" s="732">
        <f>'Lpg (2)'!D18*1000/85</f>
        <v>0</v>
      </c>
      <c r="AI14" s="722">
        <f t="shared" si="12"/>
        <v>0</v>
      </c>
      <c r="AJ14" s="428">
        <f t="shared" si="4"/>
        <v>0</v>
      </c>
      <c r="AK14" s="132"/>
    </row>
    <row r="15" spans="1:37" ht="18.75">
      <c r="A15" s="753">
        <f>Gen!A20</f>
        <v>44326</v>
      </c>
      <c r="B15" s="425">
        <f>'Summery Report'!E14</f>
        <v>0</v>
      </c>
      <c r="C15" s="758">
        <f>Gen!B20</f>
        <v>0</v>
      </c>
      <c r="D15" s="720">
        <f>'Summery Report'!E14</f>
        <v>0</v>
      </c>
      <c r="E15" s="720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0">
        <f>Gen!C20</f>
        <v>39347.69</v>
      </c>
      <c r="I15" s="720">
        <f>Gen!E20</f>
        <v>0</v>
      </c>
      <c r="J15" s="759">
        <f>Gen!T20</f>
        <v>0</v>
      </c>
      <c r="K15" s="764">
        <f>Gen!AK20</f>
        <v>0</v>
      </c>
      <c r="L15" s="755">
        <f t="shared" si="17"/>
        <v>0</v>
      </c>
      <c r="M15" s="448">
        <f>'Water-Meter'!K55</f>
        <v>0</v>
      </c>
      <c r="N15" s="715">
        <f>'Water-Meter'!E15</f>
        <v>0</v>
      </c>
      <c r="O15" s="706"/>
      <c r="P15" s="713"/>
      <c r="Q15" s="725">
        <f t="shared" si="2"/>
        <v>0</v>
      </c>
      <c r="R15" s="426">
        <f t="shared" si="5"/>
        <v>0</v>
      </c>
      <c r="S15" s="701"/>
      <c r="T15" s="702"/>
      <c r="U15" s="725">
        <f t="shared" si="6"/>
        <v>0</v>
      </c>
      <c r="V15" s="427">
        <f t="shared" si="16"/>
        <v>0</v>
      </c>
      <c r="W15" s="706"/>
      <c r="X15" s="707"/>
      <c r="Y15" s="725">
        <f t="shared" si="8"/>
        <v>0</v>
      </c>
      <c r="Z15" s="705">
        <f t="shared" si="9"/>
        <v>0</v>
      </c>
      <c r="AA15" s="712">
        <f t="shared" si="10"/>
        <v>0</v>
      </c>
      <c r="AB15" s="709"/>
      <c r="AC15" s="690">
        <f t="shared" si="11"/>
        <v>0</v>
      </c>
      <c r="AD15" s="692"/>
      <c r="AE15" s="178">
        <f>AD15-AD14</f>
        <v>0</v>
      </c>
      <c r="AF15" s="719">
        <f>'Lpg (2)'!B19*2000/85</f>
        <v>0</v>
      </c>
      <c r="AG15" s="266">
        <f>'Lpg (2)'!C19*1000/85</f>
        <v>0</v>
      </c>
      <c r="AH15" s="732">
        <f>'Lpg (2)'!D19*1000/85</f>
        <v>0</v>
      </c>
      <c r="AI15" s="722">
        <f t="shared" ref="AI15:AI35" si="18">SUM(AF15*2000)+(AG15*1000)+(AH15*1000)</f>
        <v>0</v>
      </c>
      <c r="AJ15" s="428">
        <f t="shared" si="4"/>
        <v>0</v>
      </c>
      <c r="AK15" s="132"/>
    </row>
    <row r="16" spans="1:37" ht="18.75">
      <c r="A16" s="753">
        <f>Gen!A21</f>
        <v>44327</v>
      </c>
      <c r="B16" s="425">
        <f>'Summery Report'!E15</f>
        <v>0</v>
      </c>
      <c r="C16" s="758">
        <f>Gen!B21</f>
        <v>0</v>
      </c>
      <c r="D16" s="720">
        <f>'Summery Report'!E15</f>
        <v>0</v>
      </c>
      <c r="E16" s="720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0">
        <f>Gen!C21</f>
        <v>39347.69</v>
      </c>
      <c r="I16" s="720">
        <f>Gen!E21</f>
        <v>0</v>
      </c>
      <c r="J16" s="759">
        <f>Gen!T21</f>
        <v>0</v>
      </c>
      <c r="K16" s="764">
        <f>Gen!AK21</f>
        <v>0</v>
      </c>
      <c r="L16" s="755">
        <f t="shared" si="17"/>
        <v>0</v>
      </c>
      <c r="M16" s="448">
        <f>'Water-Meter'!K56</f>
        <v>0</v>
      </c>
      <c r="N16" s="715">
        <f>'Water-Meter'!E16</f>
        <v>0</v>
      </c>
      <c r="O16" s="706"/>
      <c r="P16" s="713"/>
      <c r="Q16" s="725">
        <f t="shared" si="2"/>
        <v>0</v>
      </c>
      <c r="R16" s="426">
        <f t="shared" si="5"/>
        <v>0</v>
      </c>
      <c r="S16" s="701"/>
      <c r="T16" s="702"/>
      <c r="U16" s="725">
        <f t="shared" si="6"/>
        <v>0</v>
      </c>
      <c r="V16" s="427">
        <f t="shared" si="16"/>
        <v>0</v>
      </c>
      <c r="W16" s="706"/>
      <c r="X16" s="707"/>
      <c r="Y16" s="725">
        <f t="shared" si="8"/>
        <v>0</v>
      </c>
      <c r="Z16" s="705">
        <f t="shared" si="9"/>
        <v>0</v>
      </c>
      <c r="AA16" s="712">
        <f t="shared" si="10"/>
        <v>0</v>
      </c>
      <c r="AB16" s="709"/>
      <c r="AC16" s="690">
        <f t="shared" si="11"/>
        <v>0</v>
      </c>
      <c r="AD16" s="692"/>
      <c r="AE16" s="178">
        <f t="shared" si="15"/>
        <v>0</v>
      </c>
      <c r="AF16" s="719">
        <f>'Lpg (2)'!B20*2000/85</f>
        <v>0</v>
      </c>
      <c r="AG16" s="266">
        <f>'Lpg (2)'!C20*1000/85</f>
        <v>0</v>
      </c>
      <c r="AH16" s="732">
        <f>'Lpg (2)'!D20*1000/85</f>
        <v>0</v>
      </c>
      <c r="AI16" s="722">
        <f t="shared" si="18"/>
        <v>0</v>
      </c>
      <c r="AJ16" s="428">
        <f t="shared" si="4"/>
        <v>0</v>
      </c>
      <c r="AK16" s="132"/>
    </row>
    <row r="17" spans="1:37" ht="18.75">
      <c r="A17" s="753">
        <f>Gen!A22</f>
        <v>44328</v>
      </c>
      <c r="B17" s="425">
        <f>'Summery Report'!E16</f>
        <v>0</v>
      </c>
      <c r="C17" s="758">
        <f>Gen!B22</f>
        <v>0</v>
      </c>
      <c r="D17" s="720">
        <f>'Summery Report'!E16</f>
        <v>0</v>
      </c>
      <c r="E17" s="720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0">
        <f>Gen!C22</f>
        <v>39347.69</v>
      </c>
      <c r="I17" s="720">
        <f>Gen!E22</f>
        <v>0</v>
      </c>
      <c r="J17" s="759">
        <f>Gen!T22</f>
        <v>0</v>
      </c>
      <c r="K17" s="764">
        <f>Gen!AK22</f>
        <v>0</v>
      </c>
      <c r="L17" s="755">
        <f t="shared" si="17"/>
        <v>0</v>
      </c>
      <c r="M17" s="448">
        <f>'Water-Meter'!K57</f>
        <v>0</v>
      </c>
      <c r="N17" s="715">
        <f>'Water-Meter'!E17</f>
        <v>0</v>
      </c>
      <c r="O17" s="706"/>
      <c r="P17" s="713"/>
      <c r="Q17" s="725">
        <f>SUM(P18-P16)</f>
        <v>0</v>
      </c>
      <c r="R17" s="426">
        <f t="shared" si="5"/>
        <v>0</v>
      </c>
      <c r="S17" s="701"/>
      <c r="T17" s="702"/>
      <c r="U17" s="725">
        <f t="shared" si="6"/>
        <v>0</v>
      </c>
      <c r="V17" s="427">
        <f t="shared" ref="V17:V36" si="19">SUM(U17*S17)</f>
        <v>0</v>
      </c>
      <c r="W17" s="706"/>
      <c r="X17" s="707"/>
      <c r="Y17" s="725">
        <f t="shared" si="8"/>
        <v>0</v>
      </c>
      <c r="Z17" s="705">
        <f t="shared" si="9"/>
        <v>0</v>
      </c>
      <c r="AA17" s="712">
        <f t="shared" si="10"/>
        <v>0</v>
      </c>
      <c r="AB17" s="709"/>
      <c r="AC17" s="690">
        <f t="shared" si="11"/>
        <v>0</v>
      </c>
      <c r="AD17" s="692"/>
      <c r="AE17" s="178">
        <f t="shared" si="15"/>
        <v>0</v>
      </c>
      <c r="AF17" s="719">
        <f>'Lpg (2)'!B21*2000/85</f>
        <v>0</v>
      </c>
      <c r="AG17" s="266">
        <f>'Lpg (2)'!C21*1000/85</f>
        <v>0</v>
      </c>
      <c r="AH17" s="732">
        <f>'Lpg (2)'!D21*1000/85</f>
        <v>0</v>
      </c>
      <c r="AI17" s="722">
        <f t="shared" si="18"/>
        <v>0</v>
      </c>
      <c r="AJ17" s="428">
        <f t="shared" si="4"/>
        <v>0</v>
      </c>
      <c r="AK17" s="132"/>
    </row>
    <row r="18" spans="1:37" ht="18.75">
      <c r="A18" s="753">
        <f>Gen!A23</f>
        <v>44329</v>
      </c>
      <c r="B18" s="425">
        <f>'Summery Report'!E17</f>
        <v>0</v>
      </c>
      <c r="C18" s="758">
        <f>Gen!B23</f>
        <v>0</v>
      </c>
      <c r="D18" s="720">
        <f>'Summery Report'!E17</f>
        <v>0</v>
      </c>
      <c r="E18" s="720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0">
        <f>Gen!C23</f>
        <v>39347.69</v>
      </c>
      <c r="I18" s="720">
        <f>Gen!E23</f>
        <v>15000</v>
      </c>
      <c r="J18" s="759">
        <f>Gen!T23</f>
        <v>0</v>
      </c>
      <c r="K18" s="764">
        <f>Gen!AK23</f>
        <v>0</v>
      </c>
      <c r="L18" s="755">
        <f t="shared" si="17"/>
        <v>0</v>
      </c>
      <c r="M18" s="448">
        <f>'Water-Meter'!K58</f>
        <v>0</v>
      </c>
      <c r="N18" s="715">
        <f>'Water-Meter'!E18</f>
        <v>0</v>
      </c>
      <c r="O18" s="706"/>
      <c r="P18" s="713"/>
      <c r="Q18" s="725"/>
      <c r="R18" s="426">
        <f t="shared" si="5"/>
        <v>0</v>
      </c>
      <c r="S18" s="701"/>
      <c r="T18" s="702"/>
      <c r="U18" s="725">
        <f t="shared" si="6"/>
        <v>0</v>
      </c>
      <c r="V18" s="427">
        <f t="shared" si="19"/>
        <v>0</v>
      </c>
      <c r="W18" s="706"/>
      <c r="X18" s="707"/>
      <c r="Y18" s="725">
        <f t="shared" si="8"/>
        <v>0</v>
      </c>
      <c r="Z18" s="705">
        <f t="shared" si="9"/>
        <v>0</v>
      </c>
      <c r="AA18" s="712">
        <f t="shared" si="10"/>
        <v>0</v>
      </c>
      <c r="AB18" s="709"/>
      <c r="AC18" s="690">
        <f t="shared" si="11"/>
        <v>0</v>
      </c>
      <c r="AD18" s="692"/>
      <c r="AE18" s="178">
        <f t="shared" si="15"/>
        <v>0</v>
      </c>
      <c r="AF18" s="719">
        <f>'Lpg (2)'!B22*2000/85</f>
        <v>0</v>
      </c>
      <c r="AG18" s="266">
        <f>'Lpg (2)'!C22*1000/85</f>
        <v>0</v>
      </c>
      <c r="AH18" s="732">
        <f>'Lpg (2)'!D22*1000/85</f>
        <v>0</v>
      </c>
      <c r="AI18" s="722">
        <f t="shared" si="18"/>
        <v>0</v>
      </c>
      <c r="AJ18" s="428">
        <f t="shared" si="4"/>
        <v>0</v>
      </c>
      <c r="AK18" s="132"/>
    </row>
    <row r="19" spans="1:37" ht="18.75">
      <c r="A19" s="753">
        <f>Gen!A24</f>
        <v>44330</v>
      </c>
      <c r="B19" s="425">
        <f>'Summery Report'!E18</f>
        <v>0</v>
      </c>
      <c r="C19" s="758">
        <f>Gen!B24</f>
        <v>0</v>
      </c>
      <c r="D19" s="720">
        <f>'Summery Report'!E18</f>
        <v>0</v>
      </c>
      <c r="E19" s="720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0">
        <f>Gen!C24</f>
        <v>39347.69</v>
      </c>
      <c r="I19" s="720">
        <f>Gen!E24</f>
        <v>0</v>
      </c>
      <c r="J19" s="759">
        <f>Gen!T24</f>
        <v>0</v>
      </c>
      <c r="K19" s="764">
        <f>Gen!AK24</f>
        <v>0</v>
      </c>
      <c r="L19" s="755">
        <f t="shared" si="17"/>
        <v>0</v>
      </c>
      <c r="M19" s="448">
        <f>'Water-Meter'!K59</f>
        <v>0</v>
      </c>
      <c r="N19" s="715">
        <f>'Water-Meter'!E19</f>
        <v>0</v>
      </c>
      <c r="O19" s="706"/>
      <c r="P19" s="713"/>
      <c r="Q19" s="725"/>
      <c r="R19" s="426">
        <f t="shared" si="5"/>
        <v>0</v>
      </c>
      <c r="S19" s="701"/>
      <c r="T19" s="702"/>
      <c r="U19" s="725">
        <f t="shared" si="6"/>
        <v>0</v>
      </c>
      <c r="V19" s="427">
        <f t="shared" si="19"/>
        <v>0</v>
      </c>
      <c r="W19" s="706"/>
      <c r="X19" s="707"/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/>
      <c r="AC19" s="690">
        <f t="shared" si="11"/>
        <v>0</v>
      </c>
      <c r="AD19" s="692"/>
      <c r="AE19" s="178">
        <f t="shared" si="15"/>
        <v>0</v>
      </c>
      <c r="AF19" s="719">
        <f>'Lpg (2)'!B23*2000/85</f>
        <v>0</v>
      </c>
      <c r="AG19" s="266">
        <f>'Lpg (2)'!C23*1000/85</f>
        <v>0</v>
      </c>
      <c r="AH19" s="732">
        <f>'Lpg (2)'!D23*1000/85</f>
        <v>0</v>
      </c>
      <c r="AI19" s="722">
        <f t="shared" si="18"/>
        <v>0</v>
      </c>
      <c r="AJ19" s="428">
        <f t="shared" si="4"/>
        <v>0</v>
      </c>
      <c r="AK19" s="132"/>
    </row>
    <row r="20" spans="1:37" ht="18.75">
      <c r="A20" s="753">
        <f>Gen!A25</f>
        <v>44331</v>
      </c>
      <c r="B20" s="425">
        <f>'Summery Report'!E19</f>
        <v>0</v>
      </c>
      <c r="C20" s="758">
        <f>Gen!B25</f>
        <v>0</v>
      </c>
      <c r="D20" s="720">
        <f>'Summery Report'!E19</f>
        <v>0</v>
      </c>
      <c r="E20" s="720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0">
        <f>Gen!C25</f>
        <v>39347.69</v>
      </c>
      <c r="I20" s="720">
        <f>Gen!E25</f>
        <v>0</v>
      </c>
      <c r="J20" s="759">
        <f>Gen!T25</f>
        <v>0</v>
      </c>
      <c r="K20" s="764">
        <f>Gen!AK25</f>
        <v>0</v>
      </c>
      <c r="L20" s="755">
        <f t="shared" si="17"/>
        <v>0</v>
      </c>
      <c r="M20" s="448">
        <f>'Water-Meter'!K60</f>
        <v>0</v>
      </c>
      <c r="N20" s="715">
        <f>'Water-Meter'!E20</f>
        <v>0</v>
      </c>
      <c r="O20" s="706"/>
      <c r="P20" s="713"/>
      <c r="Q20" s="725">
        <f t="shared" si="2"/>
        <v>0</v>
      </c>
      <c r="R20" s="426">
        <f t="shared" si="5"/>
        <v>0</v>
      </c>
      <c r="S20" s="701"/>
      <c r="T20" s="702"/>
      <c r="U20" s="725">
        <f t="shared" si="6"/>
        <v>0</v>
      </c>
      <c r="V20" s="427">
        <f t="shared" si="19"/>
        <v>0</v>
      </c>
      <c r="W20" s="701"/>
      <c r="X20" s="707"/>
      <c r="Y20" s="725">
        <f t="shared" si="8"/>
        <v>0</v>
      </c>
      <c r="Z20" s="705">
        <f t="shared" si="9"/>
        <v>0</v>
      </c>
      <c r="AA20" s="712">
        <f t="shared" si="10"/>
        <v>0</v>
      </c>
      <c r="AB20" s="709"/>
      <c r="AC20" s="690">
        <f t="shared" si="11"/>
        <v>0</v>
      </c>
      <c r="AD20" s="692"/>
      <c r="AE20" s="178">
        <f t="shared" si="15"/>
        <v>0</v>
      </c>
      <c r="AF20" s="719">
        <f>'Lpg (2)'!B24*2000/85</f>
        <v>0</v>
      </c>
      <c r="AG20" s="266">
        <f>'Lpg (2)'!C24*1000/85</f>
        <v>0</v>
      </c>
      <c r="AH20" s="732">
        <f>'Lpg (2)'!D24*1000/85</f>
        <v>0</v>
      </c>
      <c r="AI20" s="722">
        <f t="shared" si="18"/>
        <v>0</v>
      </c>
      <c r="AJ20" s="428">
        <f t="shared" si="4"/>
        <v>0</v>
      </c>
      <c r="AK20" s="132"/>
    </row>
    <row r="21" spans="1:37" ht="18.75">
      <c r="A21" s="753">
        <f>Gen!A26</f>
        <v>44332</v>
      </c>
      <c r="B21" s="425">
        <f>'Summery Report'!E20</f>
        <v>0</v>
      </c>
      <c r="C21" s="758">
        <f>Gen!B26</f>
        <v>0</v>
      </c>
      <c r="D21" s="720">
        <f>'Summery Report'!E20</f>
        <v>0</v>
      </c>
      <c r="E21" s="720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0">
        <f>Gen!C26</f>
        <v>39347.69</v>
      </c>
      <c r="I21" s="720">
        <f>Gen!E26</f>
        <v>0</v>
      </c>
      <c r="J21" s="759">
        <f>Gen!T26</f>
        <v>0</v>
      </c>
      <c r="K21" s="764">
        <f>Gen!AK26</f>
        <v>0</v>
      </c>
      <c r="L21" s="755">
        <f t="shared" si="17"/>
        <v>0</v>
      </c>
      <c r="M21" s="448">
        <f>'Water-Meter'!K61</f>
        <v>0</v>
      </c>
      <c r="N21" s="715">
        <f>'Water-Meter'!E21</f>
        <v>0</v>
      </c>
      <c r="O21" s="706"/>
      <c r="P21" s="713"/>
      <c r="Q21" s="725">
        <f t="shared" si="2"/>
        <v>0</v>
      </c>
      <c r="R21" s="426">
        <f t="shared" si="5"/>
        <v>0</v>
      </c>
      <c r="S21" s="701"/>
      <c r="T21" s="702"/>
      <c r="U21" s="725">
        <f>T22-T20</f>
        <v>0</v>
      </c>
      <c r="V21" s="427">
        <f t="shared" si="19"/>
        <v>0</v>
      </c>
      <c r="W21" s="701"/>
      <c r="X21" s="707"/>
      <c r="Y21" s="725">
        <f t="shared" si="8"/>
        <v>0</v>
      </c>
      <c r="Z21" s="705">
        <f t="shared" si="9"/>
        <v>0</v>
      </c>
      <c r="AA21" s="712">
        <f t="shared" si="10"/>
        <v>0</v>
      </c>
      <c r="AB21" s="709"/>
      <c r="AC21" s="690">
        <f t="shared" si="11"/>
        <v>0</v>
      </c>
      <c r="AD21" s="692"/>
      <c r="AE21" s="178">
        <f t="shared" si="15"/>
        <v>0</v>
      </c>
      <c r="AF21" s="719">
        <f>'Lpg (2)'!B25*2000/85</f>
        <v>0</v>
      </c>
      <c r="AG21" s="266">
        <f>'Lpg (2)'!C25*1000/85</f>
        <v>0</v>
      </c>
      <c r="AH21" s="732">
        <f>'Lpg (2)'!D25*1000/85</f>
        <v>0</v>
      </c>
      <c r="AI21" s="722">
        <f t="shared" si="18"/>
        <v>0</v>
      </c>
      <c r="AJ21" s="428">
        <f t="shared" si="4"/>
        <v>0</v>
      </c>
      <c r="AK21" s="132"/>
    </row>
    <row r="22" spans="1:37" ht="18.75">
      <c r="A22" s="753">
        <f>Gen!A27</f>
        <v>44333</v>
      </c>
      <c r="B22" s="425">
        <f>'Summery Report'!E21</f>
        <v>0</v>
      </c>
      <c r="C22" s="758">
        <f>Gen!B27</f>
        <v>0</v>
      </c>
      <c r="D22" s="720">
        <f>'Summery Report'!E21</f>
        <v>0</v>
      </c>
      <c r="E22" s="720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0">
        <f>Gen!C27</f>
        <v>39347.69</v>
      </c>
      <c r="I22" s="720">
        <f>Gen!E27</f>
        <v>0</v>
      </c>
      <c r="J22" s="759">
        <f>Gen!T27</f>
        <v>0</v>
      </c>
      <c r="K22" s="764">
        <f>Gen!AK27</f>
        <v>0</v>
      </c>
      <c r="L22" s="755">
        <f t="shared" si="17"/>
        <v>0</v>
      </c>
      <c r="M22" s="448">
        <f>'Water-Meter'!K62</f>
        <v>0</v>
      </c>
      <c r="N22" s="715">
        <f>'Water-Meter'!E22</f>
        <v>0</v>
      </c>
      <c r="O22" s="706"/>
      <c r="P22" s="713"/>
      <c r="Q22" s="725">
        <f t="shared" si="2"/>
        <v>0</v>
      </c>
      <c r="R22" s="426">
        <f t="shared" si="5"/>
        <v>0</v>
      </c>
      <c r="S22" s="701"/>
      <c r="T22" s="702"/>
      <c r="U22" s="725">
        <f t="shared" ref="U22:U23" si="20">T23-T21</f>
        <v>0</v>
      </c>
      <c r="V22" s="427">
        <f t="shared" si="19"/>
        <v>0</v>
      </c>
      <c r="W22" s="701"/>
      <c r="X22" s="707"/>
      <c r="Y22" s="725">
        <f t="shared" si="8"/>
        <v>0</v>
      </c>
      <c r="Z22" s="705">
        <f t="shared" si="9"/>
        <v>0</v>
      </c>
      <c r="AA22" s="712">
        <f t="shared" si="10"/>
        <v>0</v>
      </c>
      <c r="AB22" s="709"/>
      <c r="AC22" s="690">
        <f t="shared" si="11"/>
        <v>0</v>
      </c>
      <c r="AD22" s="692"/>
      <c r="AE22" s="178">
        <f t="shared" si="15"/>
        <v>0</v>
      </c>
      <c r="AF22" s="719">
        <f>'Lpg (2)'!B26*2000/85</f>
        <v>0</v>
      </c>
      <c r="AG22" s="266">
        <f>'Lpg (2)'!C26*1000/85</f>
        <v>0</v>
      </c>
      <c r="AH22" s="732">
        <f>'Lpg (2)'!D26*1000/85</f>
        <v>0</v>
      </c>
      <c r="AI22" s="722">
        <f t="shared" si="18"/>
        <v>0</v>
      </c>
      <c r="AJ22" s="428">
        <f t="shared" si="4"/>
        <v>0</v>
      </c>
      <c r="AK22" s="132"/>
    </row>
    <row r="23" spans="1:37" ht="18.75">
      <c r="A23" s="753">
        <f>Gen!A28</f>
        <v>44334</v>
      </c>
      <c r="B23" s="425">
        <f>'Summery Report'!E22</f>
        <v>0</v>
      </c>
      <c r="C23" s="758">
        <f>Gen!B28</f>
        <v>0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39347.69</v>
      </c>
      <c r="I23" s="720">
        <f>Gen!E28</f>
        <v>0</v>
      </c>
      <c r="J23" s="759">
        <f>Gen!T28</f>
        <v>0</v>
      </c>
      <c r="K23" s="764">
        <f>Gen!AK28</f>
        <v>0</v>
      </c>
      <c r="L23" s="755">
        <f t="shared" si="17"/>
        <v>0</v>
      </c>
      <c r="M23" s="448">
        <f>'Water-Meter'!K63</f>
        <v>0</v>
      </c>
      <c r="N23" s="715">
        <f>'Water-Meter'!E23</f>
        <v>0</v>
      </c>
      <c r="O23" s="706"/>
      <c r="P23" s="713"/>
      <c r="Q23" s="725">
        <f t="shared" si="2"/>
        <v>0</v>
      </c>
      <c r="R23" s="426">
        <f t="shared" si="5"/>
        <v>0</v>
      </c>
      <c r="S23" s="701"/>
      <c r="T23" s="702"/>
      <c r="U23" s="725">
        <f t="shared" si="20"/>
        <v>0</v>
      </c>
      <c r="V23" s="427">
        <f t="shared" si="19"/>
        <v>0</v>
      </c>
      <c r="W23" s="701"/>
      <c r="X23" s="707"/>
      <c r="Y23" s="725">
        <f t="shared" si="8"/>
        <v>0</v>
      </c>
      <c r="Z23" s="705">
        <f t="shared" si="9"/>
        <v>0</v>
      </c>
      <c r="AA23" s="712">
        <f t="shared" si="10"/>
        <v>0</v>
      </c>
      <c r="AB23" s="709"/>
      <c r="AC23" s="690">
        <f t="shared" si="11"/>
        <v>0</v>
      </c>
      <c r="AD23" s="693"/>
      <c r="AE23" s="178">
        <f t="shared" si="15"/>
        <v>0</v>
      </c>
      <c r="AF23" s="719">
        <f>'Lpg (2)'!B27*2000/85</f>
        <v>0</v>
      </c>
      <c r="AG23" s="266">
        <f>'Lpg (2)'!C27*1000/85</f>
        <v>0</v>
      </c>
      <c r="AH23" s="732">
        <f>'Lpg (2)'!D27*1000/85</f>
        <v>0</v>
      </c>
      <c r="AI23" s="722">
        <f t="shared" si="18"/>
        <v>0</v>
      </c>
      <c r="AJ23" s="428">
        <f t="shared" si="4"/>
        <v>0</v>
      </c>
      <c r="AK23" s="132"/>
    </row>
    <row r="24" spans="1:37" ht="18.75">
      <c r="A24" s="753">
        <f>Gen!A29</f>
        <v>44335</v>
      </c>
      <c r="B24" s="425">
        <f>'Summery Report'!E23</f>
        <v>0</v>
      </c>
      <c r="C24" s="758">
        <f>Gen!B29</f>
        <v>0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39347.69</v>
      </c>
      <c r="I24" s="720">
        <f>Gen!E29</f>
        <v>0</v>
      </c>
      <c r="J24" s="759">
        <f>Gen!T29</f>
        <v>0</v>
      </c>
      <c r="K24" s="764">
        <f>Gen!AK29</f>
        <v>0</v>
      </c>
      <c r="L24" s="755">
        <f t="shared" si="17"/>
        <v>0</v>
      </c>
      <c r="M24" s="448">
        <f>'Water-Meter'!K64</f>
        <v>0</v>
      </c>
      <c r="N24" s="715">
        <f>'Water-Meter'!E24</f>
        <v>0</v>
      </c>
      <c r="O24" s="706"/>
      <c r="P24" s="713"/>
      <c r="Q24" s="725">
        <f t="shared" si="2"/>
        <v>0</v>
      </c>
      <c r="R24" s="426">
        <f t="shared" si="5"/>
        <v>0</v>
      </c>
      <c r="S24" s="701"/>
      <c r="T24" s="702"/>
      <c r="U24" s="725">
        <f t="shared" si="6"/>
        <v>0</v>
      </c>
      <c r="V24" s="427">
        <f t="shared" si="19"/>
        <v>0</v>
      </c>
      <c r="W24" s="701"/>
      <c r="X24" s="707"/>
      <c r="Y24" s="725">
        <f t="shared" si="8"/>
        <v>0</v>
      </c>
      <c r="Z24" s="705">
        <f t="shared" si="9"/>
        <v>0</v>
      </c>
      <c r="AA24" s="712">
        <f t="shared" si="10"/>
        <v>0</v>
      </c>
      <c r="AB24" s="709"/>
      <c r="AC24" s="690">
        <f t="shared" si="11"/>
        <v>0</v>
      </c>
      <c r="AD24" s="693"/>
      <c r="AE24" s="178">
        <f t="shared" si="15"/>
        <v>0</v>
      </c>
      <c r="AF24" s="719">
        <f>'Lpg (2)'!B28*2000/85</f>
        <v>0</v>
      </c>
      <c r="AG24" s="266">
        <f>'Lpg (2)'!C28*1000/85</f>
        <v>0</v>
      </c>
      <c r="AH24" s="732">
        <f>'Lpg (2)'!D28*1000/85</f>
        <v>0</v>
      </c>
      <c r="AI24" s="722">
        <f t="shared" si="18"/>
        <v>0</v>
      </c>
      <c r="AJ24" s="428">
        <f t="shared" si="4"/>
        <v>0</v>
      </c>
      <c r="AK24" s="132"/>
    </row>
    <row r="25" spans="1:37" ht="18.75">
      <c r="A25" s="753">
        <f>Gen!A30</f>
        <v>44336</v>
      </c>
      <c r="B25" s="425">
        <f>'Summery Report'!E24</f>
        <v>0</v>
      </c>
      <c r="C25" s="758">
        <f>Gen!B30</f>
        <v>0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39347.69</v>
      </c>
      <c r="I25" s="720">
        <f>Gen!E30</f>
        <v>0</v>
      </c>
      <c r="J25" s="759">
        <f>Gen!T30</f>
        <v>0</v>
      </c>
      <c r="K25" s="764">
        <f>Gen!AK30</f>
        <v>0</v>
      </c>
      <c r="L25" s="755">
        <f t="shared" si="17"/>
        <v>0</v>
      </c>
      <c r="M25" s="448">
        <f>'Water-Meter'!K65</f>
        <v>0</v>
      </c>
      <c r="N25" s="715">
        <f>'Water-Meter'!E25</f>
        <v>0</v>
      </c>
      <c r="O25" s="706"/>
      <c r="P25" s="713"/>
      <c r="Q25" s="725">
        <f t="shared" si="2"/>
        <v>0</v>
      </c>
      <c r="R25" s="426">
        <f t="shared" si="5"/>
        <v>0</v>
      </c>
      <c r="S25" s="701"/>
      <c r="T25" s="702"/>
      <c r="U25" s="725">
        <f t="shared" si="6"/>
        <v>0</v>
      </c>
      <c r="V25" s="427">
        <f t="shared" si="19"/>
        <v>0</v>
      </c>
      <c r="W25" s="701"/>
      <c r="X25" s="707"/>
      <c r="Y25" s="725">
        <f t="shared" si="8"/>
        <v>0</v>
      </c>
      <c r="Z25" s="705">
        <f t="shared" si="9"/>
        <v>0</v>
      </c>
      <c r="AA25" s="712">
        <f t="shared" si="10"/>
        <v>0</v>
      </c>
      <c r="AB25" s="709"/>
      <c r="AC25" s="690">
        <f t="shared" si="11"/>
        <v>0</v>
      </c>
      <c r="AD25" s="693"/>
      <c r="AE25" s="178">
        <f t="shared" si="15"/>
        <v>0</v>
      </c>
      <c r="AF25" s="719">
        <f>'Lpg (2)'!B29*2000/85</f>
        <v>0</v>
      </c>
      <c r="AG25" s="266">
        <f>'Lpg (2)'!C29*1000/85</f>
        <v>0</v>
      </c>
      <c r="AH25" s="732">
        <f>'Lpg (2)'!D29*1000/85</f>
        <v>0</v>
      </c>
      <c r="AI25" s="722">
        <f t="shared" si="18"/>
        <v>0</v>
      </c>
      <c r="AJ25" s="428">
        <f t="shared" si="4"/>
        <v>0</v>
      </c>
      <c r="AK25" s="132"/>
    </row>
    <row r="26" spans="1:37" ht="18.75">
      <c r="A26" s="753">
        <f>Gen!A31</f>
        <v>44337</v>
      </c>
      <c r="B26" s="425">
        <f>'Summery Report'!E25</f>
        <v>0</v>
      </c>
      <c r="C26" s="758">
        <f>Gen!B31</f>
        <v>0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39347.69</v>
      </c>
      <c r="I26" s="720">
        <f>Gen!E31</f>
        <v>0</v>
      </c>
      <c r="J26" s="759">
        <f>Gen!T31</f>
        <v>0</v>
      </c>
      <c r="K26" s="764">
        <f>Gen!AK31</f>
        <v>0</v>
      </c>
      <c r="L26" s="755">
        <f t="shared" si="17"/>
        <v>0</v>
      </c>
      <c r="M26" s="448">
        <f>'Water-Meter'!K66</f>
        <v>0</v>
      </c>
      <c r="N26" s="715">
        <f>'Water-Meter'!E26</f>
        <v>0</v>
      </c>
      <c r="O26" s="706"/>
      <c r="P26" s="713"/>
      <c r="Q26" s="725">
        <f t="shared" si="2"/>
        <v>0</v>
      </c>
      <c r="R26" s="426">
        <f t="shared" si="5"/>
        <v>0</v>
      </c>
      <c r="S26" s="701"/>
      <c r="T26" s="702"/>
      <c r="U26" s="725">
        <f t="shared" si="6"/>
        <v>0</v>
      </c>
      <c r="V26" s="427">
        <f t="shared" si="19"/>
        <v>0</v>
      </c>
      <c r="W26" s="701"/>
      <c r="X26" s="707"/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/>
      <c r="AC26" s="690">
        <f t="shared" si="11"/>
        <v>0</v>
      </c>
      <c r="AD26" s="693"/>
      <c r="AE26" s="178">
        <f t="shared" si="15"/>
        <v>0</v>
      </c>
      <c r="AF26" s="719">
        <f>'Lpg (2)'!B30*2000/85</f>
        <v>0</v>
      </c>
      <c r="AG26" s="266">
        <f>'Lpg (2)'!C30*1000/85</f>
        <v>0</v>
      </c>
      <c r="AH26" s="732">
        <f>'Lpg (2)'!D30*1000/85</f>
        <v>0</v>
      </c>
      <c r="AI26" s="722">
        <f t="shared" si="18"/>
        <v>0</v>
      </c>
      <c r="AJ26" s="428">
        <f t="shared" si="4"/>
        <v>0</v>
      </c>
      <c r="AK26" s="132"/>
    </row>
    <row r="27" spans="1:37" ht="18.75">
      <c r="A27" s="753">
        <f>Gen!A32</f>
        <v>44338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39347.69</v>
      </c>
      <c r="I27" s="720">
        <f>Gen!E32</f>
        <v>0</v>
      </c>
      <c r="J27" s="759">
        <f>Gen!T32</f>
        <v>0</v>
      </c>
      <c r="K27" s="764">
        <f>Gen!AK32</f>
        <v>0</v>
      </c>
      <c r="L27" s="755">
        <f t="shared" si="17"/>
        <v>0</v>
      </c>
      <c r="M27" s="448">
        <f>'Water-Meter'!K67</f>
        <v>0</v>
      </c>
      <c r="N27" s="715">
        <f>'Water-Meter'!E27</f>
        <v>0</v>
      </c>
      <c r="O27" s="706"/>
      <c r="P27" s="713"/>
      <c r="Q27" s="725">
        <f t="shared" si="2"/>
        <v>0</v>
      </c>
      <c r="R27" s="426">
        <f t="shared" si="5"/>
        <v>0</v>
      </c>
      <c r="S27" s="701"/>
      <c r="T27" s="702"/>
      <c r="U27" s="725">
        <f t="shared" si="6"/>
        <v>0</v>
      </c>
      <c r="V27" s="427">
        <f t="shared" si="19"/>
        <v>0</v>
      </c>
      <c r="W27" s="701"/>
      <c r="X27" s="707"/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/>
      <c r="AC27" s="690">
        <f t="shared" si="11"/>
        <v>0</v>
      </c>
      <c r="AD27" s="693"/>
      <c r="AE27" s="178">
        <f t="shared" si="15"/>
        <v>0</v>
      </c>
      <c r="AF27" s="719">
        <f>'Lpg (2)'!B31*2000/85</f>
        <v>0</v>
      </c>
      <c r="AG27" s="266">
        <f>'Lpg (2)'!C31*1000/85</f>
        <v>0</v>
      </c>
      <c r="AH27" s="732">
        <f>'Lpg (2)'!D31*1000/85</f>
        <v>0</v>
      </c>
      <c r="AI27" s="722">
        <f t="shared" si="18"/>
        <v>0</v>
      </c>
      <c r="AJ27" s="428">
        <f t="shared" si="4"/>
        <v>0</v>
      </c>
      <c r="AK27" s="132"/>
    </row>
    <row r="28" spans="1:37" ht="18.75">
      <c r="A28" s="753">
        <f>Gen!A33</f>
        <v>44339</v>
      </c>
      <c r="B28" s="425">
        <f>'Summery Report'!E27</f>
        <v>0</v>
      </c>
      <c r="C28" s="758">
        <f>Gen!B33</f>
        <v>0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39347.69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0</v>
      </c>
      <c r="N28" s="715">
        <f>'Water-Meter'!E28</f>
        <v>0</v>
      </c>
      <c r="O28" s="706"/>
      <c r="P28" s="713"/>
      <c r="Q28" s="725">
        <f t="shared" si="2"/>
        <v>0</v>
      </c>
      <c r="R28" s="426">
        <f t="shared" si="5"/>
        <v>0</v>
      </c>
      <c r="S28" s="701"/>
      <c r="T28" s="702"/>
      <c r="U28" s="725">
        <f t="shared" si="6"/>
        <v>0</v>
      </c>
      <c r="V28" s="427">
        <f t="shared" si="19"/>
        <v>0</v>
      </c>
      <c r="W28" s="701"/>
      <c r="X28" s="707"/>
      <c r="Y28" s="725">
        <f t="shared" si="8"/>
        <v>0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0</v>
      </c>
      <c r="AD28" s="693"/>
      <c r="AE28" s="178">
        <f t="shared" si="15"/>
        <v>0</v>
      </c>
      <c r="AF28" s="719">
        <f>'Lpg (2)'!B32*2000/85</f>
        <v>0</v>
      </c>
      <c r="AG28" s="266">
        <f>'Lpg (2)'!C32*1000/85</f>
        <v>0</v>
      </c>
      <c r="AH28" s="732">
        <f>'Lpg (2)'!D32*1000/85</f>
        <v>0</v>
      </c>
      <c r="AI28" s="722">
        <f t="shared" si="18"/>
        <v>0</v>
      </c>
      <c r="AJ28" s="428">
        <f t="shared" si="4"/>
        <v>0</v>
      </c>
      <c r="AK28" s="132"/>
    </row>
    <row r="29" spans="1:37" ht="18.75">
      <c r="A29" s="753">
        <f>Gen!A34</f>
        <v>44340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39347.69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>
        <f t="shared" si="15"/>
        <v>0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0</v>
      </c>
      <c r="AK29" s="132"/>
    </row>
    <row r="30" spans="1:37" ht="18.75">
      <c r="A30" s="753">
        <f>Gen!A35</f>
        <v>44341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39347.69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44342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39347.69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44343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39347.69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44344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39347.69</v>
      </c>
      <c r="I33" s="720">
        <f>Gen!E38</f>
        <v>15000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44345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39347.69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44346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39347.69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44347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39347.69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7986</v>
      </c>
      <c r="K37" s="770"/>
      <c r="L37" s="756">
        <f t="shared" si="17"/>
        <v>7986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1" sqref="W11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3" t="s">
        <v>150</v>
      </c>
      <c r="C1" s="884"/>
      <c r="D1" s="884"/>
      <c r="E1" s="884"/>
      <c r="F1" s="885"/>
      <c r="G1" s="157"/>
      <c r="H1" s="883" t="s">
        <v>151</v>
      </c>
      <c r="I1" s="884"/>
      <c r="J1" s="884"/>
      <c r="K1" s="884"/>
      <c r="L1" s="885"/>
      <c r="M1" s="883" t="s">
        <v>170</v>
      </c>
      <c r="N1" s="884"/>
      <c r="O1" s="884"/>
      <c r="P1" s="884"/>
      <c r="Q1" s="885"/>
      <c r="R1" s="157"/>
      <c r="T1" s="883" t="s">
        <v>166</v>
      </c>
      <c r="U1" s="884"/>
      <c r="V1" s="884"/>
      <c r="W1" s="884"/>
      <c r="X1" s="885"/>
      <c r="Y1" s="883" t="s">
        <v>169</v>
      </c>
      <c r="Z1" s="884"/>
      <c r="AA1" s="884"/>
      <c r="AB1" s="884"/>
      <c r="AC1" s="885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44317</v>
      </c>
      <c r="B3" s="886" t="s">
        <v>156</v>
      </c>
      <c r="C3" s="887"/>
      <c r="D3" s="166"/>
      <c r="E3" s="577">
        <v>9269.1</v>
      </c>
      <c r="F3" s="584" t="s">
        <v>157</v>
      </c>
      <c r="G3" s="585"/>
      <c r="H3" s="886" t="s">
        <v>156</v>
      </c>
      <c r="I3" s="887"/>
      <c r="J3" s="611">
        <f>'Water-Meter'!G5</f>
        <v>75790</v>
      </c>
      <c r="K3" s="586">
        <f>'Water-Meter'!G5</f>
        <v>75790</v>
      </c>
      <c r="L3" s="241"/>
      <c r="M3" s="886" t="s">
        <v>156</v>
      </c>
      <c r="N3" s="887"/>
      <c r="O3" s="166"/>
      <c r="P3" s="587">
        <f>'Water-Meter'!J5</f>
        <v>8410</v>
      </c>
      <c r="Q3" s="165"/>
      <c r="R3" s="241"/>
      <c r="S3" s="640"/>
      <c r="T3" s="886" t="s">
        <v>156</v>
      </c>
      <c r="U3" s="887"/>
      <c r="V3" s="166"/>
      <c r="W3" s="578">
        <v>8119.9</v>
      </c>
      <c r="X3" s="588">
        <f t="shared" ref="X3:X35" si="0">(W3-V3)*200</f>
        <v>1623980</v>
      </c>
      <c r="Y3" s="886" t="s">
        <v>156</v>
      </c>
      <c r="Z3" s="887"/>
      <c r="AA3" s="166"/>
      <c r="AB3" s="169"/>
      <c r="AC3" s="170"/>
    </row>
    <row r="4" spans="1:29" ht="19.5" thickBot="1">
      <c r="A4" s="641">
        <f>Gen!B11</f>
        <v>0.01</v>
      </c>
      <c r="B4" s="589">
        <f>Gen!A11</f>
        <v>44317</v>
      </c>
      <c r="C4" s="590"/>
      <c r="D4" s="591">
        <f t="shared" ref="D4:D23" si="1">E3</f>
        <v>9269.1</v>
      </c>
      <c r="E4" s="577">
        <v>9271.2999999999993</v>
      </c>
      <c r="F4" s="591">
        <f t="shared" ref="F4:F15" si="2">SUM(E4-D4)*120</f>
        <v>263.99999999986903</v>
      </c>
      <c r="G4" s="590"/>
      <c r="H4" s="628">
        <f>B4</f>
        <v>44317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44317</v>
      </c>
      <c r="N4" s="590"/>
      <c r="O4" s="60"/>
      <c r="P4" s="597">
        <f>'Water-Meter'!J6</f>
        <v>8414</v>
      </c>
      <c r="Q4" s="590">
        <f>N4-O3</f>
        <v>0</v>
      </c>
      <c r="R4" s="631">
        <f t="shared" ref="R4:R20" si="4">SUM(Q4/1615)</f>
        <v>0</v>
      </c>
      <c r="S4" s="632">
        <f>Gen!T11</f>
        <v>2650</v>
      </c>
      <c r="T4" s="628">
        <f>M4</f>
        <v>44317</v>
      </c>
      <c r="U4" s="590"/>
      <c r="V4" s="591">
        <f t="shared" ref="V4:V33" si="5">W3</f>
        <v>8119.9</v>
      </c>
      <c r="W4" s="578">
        <v>8120.6</v>
      </c>
      <c r="X4" s="591">
        <f t="shared" si="0"/>
        <v>140.00000000014552</v>
      </c>
      <c r="Y4" s="628">
        <f>T4</f>
        <v>44317</v>
      </c>
      <c r="Z4" s="590"/>
      <c r="AA4" s="590"/>
      <c r="AB4" s="597">
        <f>'Water-Meter'!P6</f>
        <v>21233</v>
      </c>
      <c r="AC4" s="598">
        <f>AA4-AB3</f>
        <v>0</v>
      </c>
    </row>
    <row r="5" spans="1:29" ht="19.5" thickBot="1">
      <c r="A5" s="642">
        <f>Gen!B12</f>
        <v>0</v>
      </c>
      <c r="B5" s="592">
        <f>Gen!A12</f>
        <v>44318</v>
      </c>
      <c r="C5" s="576"/>
      <c r="D5" s="581">
        <f t="shared" si="1"/>
        <v>9271.2999999999993</v>
      </c>
      <c r="E5" s="577">
        <v>9273.5</v>
      </c>
      <c r="F5" s="581">
        <f t="shared" si="2"/>
        <v>264.00000000008731</v>
      </c>
      <c r="G5" s="576"/>
      <c r="H5" s="623">
        <f t="shared" ref="H5:H35" si="6">B5</f>
        <v>44318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44318</v>
      </c>
      <c r="N5" s="576"/>
      <c r="O5" s="6"/>
      <c r="P5" s="580">
        <f>'Water-Meter'!J7</f>
        <v>8415</v>
      </c>
      <c r="Q5" s="576">
        <f t="shared" ref="Q5:Q20" si="8">N5-O4</f>
        <v>0</v>
      </c>
      <c r="R5" s="626">
        <f t="shared" si="4"/>
        <v>0</v>
      </c>
      <c r="S5" s="627">
        <f>Gen!T12</f>
        <v>2697</v>
      </c>
      <c r="T5" s="628">
        <f t="shared" ref="T5:T34" si="9">M5</f>
        <v>44318</v>
      </c>
      <c r="U5" s="576"/>
      <c r="V5" s="581">
        <f t="shared" si="5"/>
        <v>8120.6</v>
      </c>
      <c r="W5" s="578">
        <v>8122.1</v>
      </c>
      <c r="X5" s="581">
        <f t="shared" si="0"/>
        <v>300</v>
      </c>
      <c r="Y5" s="623">
        <f t="shared" ref="Y5:Y30" si="10">T5</f>
        <v>44318</v>
      </c>
      <c r="Z5" s="576"/>
      <c r="AA5" s="576"/>
      <c r="AB5" s="580">
        <f>'Water-Meter'!P7</f>
        <v>21237</v>
      </c>
      <c r="AC5" s="633">
        <f t="shared" ref="AC5:AC35" si="11">AA5-AB4</f>
        <v>-21233</v>
      </c>
    </row>
    <row r="6" spans="1:29" ht="19.5" thickBot="1">
      <c r="A6" s="642">
        <f>Gen!B13</f>
        <v>3.9E-2</v>
      </c>
      <c r="B6" s="592">
        <f>Gen!A13</f>
        <v>44319</v>
      </c>
      <c r="C6" s="576"/>
      <c r="D6" s="581">
        <f t="shared" si="1"/>
        <v>9273.5</v>
      </c>
      <c r="E6" s="577">
        <v>9275.9</v>
      </c>
      <c r="F6" s="581">
        <f t="shared" si="2"/>
        <v>287.99999999995634</v>
      </c>
      <c r="G6" s="576"/>
      <c r="H6" s="623">
        <f t="shared" si="6"/>
        <v>44319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44319</v>
      </c>
      <c r="N6" s="576"/>
      <c r="O6" s="6"/>
      <c r="P6" s="580">
        <f>'Water-Meter'!J8</f>
        <v>8416</v>
      </c>
      <c r="Q6" s="576">
        <f t="shared" si="8"/>
        <v>0</v>
      </c>
      <c r="R6" s="626">
        <f t="shared" si="4"/>
        <v>0</v>
      </c>
      <c r="S6" s="627">
        <f>Gen!T13</f>
        <v>2639</v>
      </c>
      <c r="T6" s="628">
        <f t="shared" si="9"/>
        <v>44319</v>
      </c>
      <c r="U6" s="576"/>
      <c r="V6" s="581">
        <f t="shared" si="5"/>
        <v>8122.1</v>
      </c>
      <c r="W6" s="578">
        <v>8123.2</v>
      </c>
      <c r="X6" s="581">
        <f t="shared" si="0"/>
        <v>219.99999999989086</v>
      </c>
      <c r="Y6" s="623">
        <f t="shared" si="10"/>
        <v>44319</v>
      </c>
      <c r="Z6" s="576"/>
      <c r="AA6" s="576"/>
      <c r="AB6" s="580">
        <f>'Water-Meter'!P8</f>
        <v>21242</v>
      </c>
      <c r="AC6" s="633">
        <f t="shared" si="11"/>
        <v>-21237</v>
      </c>
    </row>
    <row r="7" spans="1:29" ht="19.5" thickBot="1">
      <c r="A7" s="642">
        <f>Gen!B14</f>
        <v>5.1999999999999998E-2</v>
      </c>
      <c r="B7" s="592">
        <f>Gen!A14</f>
        <v>44320</v>
      </c>
      <c r="C7" s="576"/>
      <c r="D7" s="581">
        <f t="shared" si="1"/>
        <v>9275.9</v>
      </c>
      <c r="E7" s="577"/>
      <c r="F7" s="581">
        <f t="shared" si="2"/>
        <v>-1113108</v>
      </c>
      <c r="G7" s="576"/>
      <c r="H7" s="623">
        <f t="shared" si="6"/>
        <v>44320</v>
      </c>
      <c r="I7" s="576"/>
      <c r="J7" s="624">
        <f>'Water-Meter'!G9</f>
        <v>0</v>
      </c>
      <c r="K7" s="625">
        <f>'Water-Meter'!G9</f>
        <v>0</v>
      </c>
      <c r="L7" s="576">
        <f t="shared" si="3"/>
        <v>0</v>
      </c>
      <c r="M7" s="623">
        <f t="shared" si="7"/>
        <v>44320</v>
      </c>
      <c r="N7" s="576"/>
      <c r="O7" s="6"/>
      <c r="P7" s="580">
        <f>'Water-Meter'!J9</f>
        <v>0</v>
      </c>
      <c r="Q7" s="576">
        <f t="shared" si="8"/>
        <v>0</v>
      </c>
      <c r="R7" s="626">
        <f t="shared" si="4"/>
        <v>0</v>
      </c>
      <c r="S7" s="627">
        <f>Gen!T14</f>
        <v>0</v>
      </c>
      <c r="T7" s="628">
        <f t="shared" si="9"/>
        <v>44320</v>
      </c>
      <c r="U7" s="576"/>
      <c r="V7" s="581">
        <f t="shared" si="5"/>
        <v>8123.2</v>
      </c>
      <c r="W7" s="578"/>
      <c r="X7" s="581">
        <f t="shared" si="0"/>
        <v>-1624640</v>
      </c>
      <c r="Y7" s="623">
        <f t="shared" si="10"/>
        <v>44320</v>
      </c>
      <c r="Z7" s="576"/>
      <c r="AA7" s="576"/>
      <c r="AB7" s="580">
        <f>'Water-Meter'!P9</f>
        <v>0</v>
      </c>
      <c r="AC7" s="633">
        <f t="shared" si="11"/>
        <v>-21242</v>
      </c>
    </row>
    <row r="8" spans="1:29" ht="19.5" thickBot="1">
      <c r="A8" s="642">
        <f>Gen!B15</f>
        <v>5.1999999999999998E-2</v>
      </c>
      <c r="B8" s="592">
        <f>Gen!A15</f>
        <v>44321</v>
      </c>
      <c r="C8" s="576"/>
      <c r="D8" s="581">
        <f t="shared" si="1"/>
        <v>0</v>
      </c>
      <c r="E8" s="577"/>
      <c r="F8" s="581">
        <f t="shared" si="2"/>
        <v>0</v>
      </c>
      <c r="G8" s="576"/>
      <c r="H8" s="623">
        <f t="shared" si="6"/>
        <v>44321</v>
      </c>
      <c r="I8" s="576"/>
      <c r="J8" s="624">
        <f>'Water-Meter'!G10</f>
        <v>0</v>
      </c>
      <c r="K8" s="625">
        <f>'Water-Meter'!G10</f>
        <v>0</v>
      </c>
      <c r="L8" s="576">
        <f t="shared" si="3"/>
        <v>0</v>
      </c>
      <c r="M8" s="623">
        <f t="shared" si="7"/>
        <v>44321</v>
      </c>
      <c r="N8" s="576"/>
      <c r="O8" s="6"/>
      <c r="P8" s="580">
        <f>'Water-Meter'!J10</f>
        <v>0</v>
      </c>
      <c r="Q8" s="576">
        <f t="shared" si="8"/>
        <v>0</v>
      </c>
      <c r="R8" s="626">
        <f t="shared" si="4"/>
        <v>0</v>
      </c>
      <c r="S8" s="627">
        <f>Gen!T15</f>
        <v>0</v>
      </c>
      <c r="T8" s="628">
        <f t="shared" si="9"/>
        <v>44321</v>
      </c>
      <c r="U8" s="576"/>
      <c r="V8" s="581">
        <f t="shared" si="5"/>
        <v>0</v>
      </c>
      <c r="W8" s="578"/>
      <c r="X8" s="581">
        <f t="shared" si="0"/>
        <v>0</v>
      </c>
      <c r="Y8" s="623">
        <f t="shared" si="10"/>
        <v>44321</v>
      </c>
      <c r="Z8" s="576"/>
      <c r="AA8" s="576"/>
      <c r="AB8" s="580">
        <f>'Water-Meter'!P10</f>
        <v>0</v>
      </c>
      <c r="AC8" s="633">
        <f t="shared" si="11"/>
        <v>0</v>
      </c>
    </row>
    <row r="9" spans="1:29" ht="19.5" thickBot="1">
      <c r="A9" s="642">
        <f>Gen!B16</f>
        <v>0</v>
      </c>
      <c r="B9" s="592">
        <f>Gen!A16</f>
        <v>44322</v>
      </c>
      <c r="C9" s="576"/>
      <c r="D9" s="581">
        <f t="shared" si="1"/>
        <v>0</v>
      </c>
      <c r="E9" s="577"/>
      <c r="F9" s="581">
        <f t="shared" si="2"/>
        <v>0</v>
      </c>
      <c r="G9" s="576"/>
      <c r="H9" s="623">
        <f t="shared" si="6"/>
        <v>44322</v>
      </c>
      <c r="I9" s="576"/>
      <c r="J9" s="624">
        <f>'Water-Meter'!G11</f>
        <v>0</v>
      </c>
      <c r="K9" s="625">
        <f>'Water-Meter'!G11</f>
        <v>0</v>
      </c>
      <c r="L9" s="576">
        <f t="shared" si="3"/>
        <v>0</v>
      </c>
      <c r="M9" s="623">
        <f t="shared" si="7"/>
        <v>44322</v>
      </c>
      <c r="N9" s="576"/>
      <c r="O9" s="6"/>
      <c r="P9" s="580">
        <f>'Water-Meter'!J11</f>
        <v>0</v>
      </c>
      <c r="Q9" s="576">
        <f t="shared" si="8"/>
        <v>0</v>
      </c>
      <c r="R9" s="626">
        <f t="shared" si="4"/>
        <v>0</v>
      </c>
      <c r="S9" s="627">
        <f>Gen!T16</f>
        <v>0</v>
      </c>
      <c r="T9" s="628">
        <f t="shared" si="9"/>
        <v>44322</v>
      </c>
      <c r="U9" s="576"/>
      <c r="V9" s="581">
        <f t="shared" si="5"/>
        <v>0</v>
      </c>
      <c r="W9" s="578"/>
      <c r="X9" s="581">
        <f t="shared" si="0"/>
        <v>0</v>
      </c>
      <c r="Y9" s="623">
        <f t="shared" si="10"/>
        <v>44322</v>
      </c>
      <c r="Z9" s="576"/>
      <c r="AA9" s="576"/>
      <c r="AB9" s="580">
        <f>'Water-Meter'!P11</f>
        <v>0</v>
      </c>
      <c r="AC9" s="633">
        <f t="shared" si="11"/>
        <v>0</v>
      </c>
    </row>
    <row r="10" spans="1:29" ht="19.5" thickBot="1">
      <c r="A10" s="642">
        <f>Gen!B17</f>
        <v>0</v>
      </c>
      <c r="B10" s="592">
        <f>Gen!A17</f>
        <v>44323</v>
      </c>
      <c r="C10" s="576"/>
      <c r="D10" s="581">
        <f t="shared" si="1"/>
        <v>0</v>
      </c>
      <c r="E10" s="577"/>
      <c r="F10" s="581">
        <f t="shared" si="2"/>
        <v>0</v>
      </c>
      <c r="G10" s="576"/>
      <c r="H10" s="623">
        <f t="shared" si="6"/>
        <v>44323</v>
      </c>
      <c r="I10" s="576"/>
      <c r="J10" s="624">
        <f>'Water-Meter'!G12</f>
        <v>0</v>
      </c>
      <c r="K10" s="625">
        <f>'Water-Meter'!G12</f>
        <v>0</v>
      </c>
      <c r="L10" s="576">
        <f t="shared" si="3"/>
        <v>0</v>
      </c>
      <c r="M10" s="623">
        <f t="shared" si="7"/>
        <v>44323</v>
      </c>
      <c r="N10" s="576"/>
      <c r="O10" s="6"/>
      <c r="P10" s="580">
        <f>'Water-Meter'!J12</f>
        <v>0</v>
      </c>
      <c r="Q10" s="576">
        <f t="shared" si="8"/>
        <v>0</v>
      </c>
      <c r="R10" s="626">
        <f t="shared" si="4"/>
        <v>0</v>
      </c>
      <c r="S10" s="627">
        <f>Gen!T17</f>
        <v>0</v>
      </c>
      <c r="T10" s="628">
        <f t="shared" si="9"/>
        <v>44323</v>
      </c>
      <c r="U10" s="576"/>
      <c r="V10" s="581">
        <f t="shared" si="5"/>
        <v>0</v>
      </c>
      <c r="W10" s="578"/>
      <c r="X10" s="581">
        <f t="shared" si="0"/>
        <v>0</v>
      </c>
      <c r="Y10" s="623">
        <f t="shared" si="10"/>
        <v>44323</v>
      </c>
      <c r="Z10" s="576"/>
      <c r="AA10" s="576"/>
      <c r="AB10" s="580">
        <f>'Water-Meter'!P12</f>
        <v>0</v>
      </c>
      <c r="AC10" s="633">
        <f t="shared" si="11"/>
        <v>0</v>
      </c>
    </row>
    <row r="11" spans="1:29" ht="19.5" thickBot="1">
      <c r="A11" s="642">
        <f>Gen!B18</f>
        <v>0</v>
      </c>
      <c r="B11" s="592">
        <f>Gen!A18</f>
        <v>44324</v>
      </c>
      <c r="C11" s="576"/>
      <c r="D11" s="581">
        <f t="shared" si="1"/>
        <v>0</v>
      </c>
      <c r="E11" s="577"/>
      <c r="F11" s="581">
        <f t="shared" si="2"/>
        <v>0</v>
      </c>
      <c r="G11" s="576"/>
      <c r="H11" s="623">
        <f t="shared" si="6"/>
        <v>44324</v>
      </c>
      <c r="I11" s="576"/>
      <c r="J11" s="624">
        <f>'Water-Meter'!G13</f>
        <v>0</v>
      </c>
      <c r="K11" s="625">
        <f>'Water-Meter'!G13</f>
        <v>0</v>
      </c>
      <c r="L11" s="576">
        <f t="shared" si="3"/>
        <v>0</v>
      </c>
      <c r="M11" s="623">
        <f t="shared" si="7"/>
        <v>44324</v>
      </c>
      <c r="N11" s="576"/>
      <c r="O11" s="6"/>
      <c r="P11" s="580">
        <f>'Water-Meter'!J13</f>
        <v>0</v>
      </c>
      <c r="Q11" s="576">
        <f t="shared" si="8"/>
        <v>0</v>
      </c>
      <c r="R11" s="626">
        <f t="shared" si="4"/>
        <v>0</v>
      </c>
      <c r="S11" s="627">
        <f>Gen!T18</f>
        <v>0</v>
      </c>
      <c r="T11" s="628">
        <f t="shared" si="9"/>
        <v>44324</v>
      </c>
      <c r="U11" s="576"/>
      <c r="V11" s="581">
        <f t="shared" si="5"/>
        <v>0</v>
      </c>
      <c r="W11" s="578"/>
      <c r="X11" s="581">
        <f t="shared" si="0"/>
        <v>0</v>
      </c>
      <c r="Y11" s="623">
        <f t="shared" si="10"/>
        <v>44324</v>
      </c>
      <c r="Z11" s="576"/>
      <c r="AA11" s="576"/>
      <c r="AB11" s="580">
        <f>'Water-Meter'!P13</f>
        <v>0</v>
      </c>
      <c r="AC11" s="633">
        <f t="shared" si="11"/>
        <v>0</v>
      </c>
    </row>
    <row r="12" spans="1:29" ht="19.5" thickBot="1">
      <c r="A12" s="642">
        <f>Gen!B19</f>
        <v>0</v>
      </c>
      <c r="B12" s="592">
        <f>Gen!A19</f>
        <v>44325</v>
      </c>
      <c r="C12" s="576"/>
      <c r="D12" s="581">
        <f t="shared" si="1"/>
        <v>0</v>
      </c>
      <c r="E12" s="577"/>
      <c r="F12" s="581">
        <f t="shared" si="2"/>
        <v>0</v>
      </c>
      <c r="G12" s="576"/>
      <c r="H12" s="623">
        <f t="shared" si="6"/>
        <v>44325</v>
      </c>
      <c r="I12" s="576"/>
      <c r="J12" s="624">
        <f>'Water-Meter'!G14</f>
        <v>0</v>
      </c>
      <c r="K12" s="625">
        <f>'Water-Meter'!G14</f>
        <v>0</v>
      </c>
      <c r="L12" s="576">
        <f t="shared" si="3"/>
        <v>0</v>
      </c>
      <c r="M12" s="623">
        <f t="shared" si="7"/>
        <v>44325</v>
      </c>
      <c r="N12" s="576"/>
      <c r="O12" s="6"/>
      <c r="P12" s="580">
        <f>'Water-Meter'!J14</f>
        <v>0</v>
      </c>
      <c r="Q12" s="576">
        <f t="shared" si="8"/>
        <v>0</v>
      </c>
      <c r="R12" s="626">
        <f t="shared" si="4"/>
        <v>0</v>
      </c>
      <c r="S12" s="627">
        <f>Gen!T19</f>
        <v>0</v>
      </c>
      <c r="T12" s="628">
        <f t="shared" si="9"/>
        <v>44325</v>
      </c>
      <c r="U12" s="576"/>
      <c r="V12" s="581">
        <f t="shared" si="5"/>
        <v>0</v>
      </c>
      <c r="W12" s="578"/>
      <c r="X12" s="581">
        <f t="shared" si="0"/>
        <v>0</v>
      </c>
      <c r="Y12" s="623">
        <f t="shared" si="10"/>
        <v>44325</v>
      </c>
      <c r="Z12" s="576"/>
      <c r="AA12" s="576"/>
      <c r="AB12" s="580">
        <f>'Water-Meter'!P14</f>
        <v>0</v>
      </c>
      <c r="AC12" s="633">
        <f t="shared" si="11"/>
        <v>0</v>
      </c>
    </row>
    <row r="13" spans="1:29" ht="19.5" thickBot="1">
      <c r="A13" s="642">
        <f>Gen!B20</f>
        <v>0</v>
      </c>
      <c r="B13" s="592">
        <f>Gen!A20</f>
        <v>44326</v>
      </c>
      <c r="C13" s="576"/>
      <c r="D13" s="581">
        <f t="shared" si="1"/>
        <v>0</v>
      </c>
      <c r="E13" s="577"/>
      <c r="F13" s="581">
        <f t="shared" si="2"/>
        <v>0</v>
      </c>
      <c r="G13" s="576"/>
      <c r="H13" s="623">
        <f t="shared" si="6"/>
        <v>44326</v>
      </c>
      <c r="I13" s="576"/>
      <c r="J13" s="624">
        <f>'Water-Meter'!G15</f>
        <v>0</v>
      </c>
      <c r="K13" s="625">
        <f>'Water-Meter'!G15</f>
        <v>0</v>
      </c>
      <c r="L13" s="576">
        <f t="shared" si="3"/>
        <v>0</v>
      </c>
      <c r="M13" s="623">
        <f t="shared" si="7"/>
        <v>44326</v>
      </c>
      <c r="N13" s="576"/>
      <c r="O13" s="6"/>
      <c r="P13" s="580">
        <f>'Water-Meter'!J15</f>
        <v>0</v>
      </c>
      <c r="Q13" s="576">
        <f t="shared" si="8"/>
        <v>0</v>
      </c>
      <c r="R13" s="626">
        <f t="shared" si="4"/>
        <v>0</v>
      </c>
      <c r="S13" s="627">
        <f>Gen!T20</f>
        <v>0</v>
      </c>
      <c r="T13" s="628">
        <f t="shared" si="9"/>
        <v>44326</v>
      </c>
      <c r="U13" s="576"/>
      <c r="V13" s="581">
        <f t="shared" si="5"/>
        <v>0</v>
      </c>
      <c r="W13" s="578"/>
      <c r="X13" s="581">
        <f t="shared" si="0"/>
        <v>0</v>
      </c>
      <c r="Y13" s="623">
        <f t="shared" si="10"/>
        <v>44326</v>
      </c>
      <c r="Z13" s="576"/>
      <c r="AA13" s="576"/>
      <c r="AB13" s="580">
        <f>'Water-Meter'!P15</f>
        <v>0</v>
      </c>
      <c r="AC13" s="633">
        <f t="shared" si="11"/>
        <v>0</v>
      </c>
    </row>
    <row r="14" spans="1:29" ht="19.5" thickBot="1">
      <c r="A14" s="642">
        <f>Gen!B21</f>
        <v>0</v>
      </c>
      <c r="B14" s="592">
        <f>Gen!A21</f>
        <v>44327</v>
      </c>
      <c r="C14" s="576"/>
      <c r="D14" s="581">
        <f t="shared" si="1"/>
        <v>0</v>
      </c>
      <c r="E14" s="577"/>
      <c r="F14" s="581">
        <f t="shared" si="2"/>
        <v>0</v>
      </c>
      <c r="G14" s="576"/>
      <c r="H14" s="623">
        <f t="shared" si="6"/>
        <v>44327</v>
      </c>
      <c r="I14" s="576"/>
      <c r="J14" s="624">
        <f>'Water-Meter'!G16</f>
        <v>0</v>
      </c>
      <c r="K14" s="625">
        <f>'Water-Meter'!G16</f>
        <v>0</v>
      </c>
      <c r="L14" s="576">
        <f t="shared" si="3"/>
        <v>0</v>
      </c>
      <c r="M14" s="623">
        <f t="shared" si="7"/>
        <v>44327</v>
      </c>
      <c r="N14" s="576"/>
      <c r="O14" s="6"/>
      <c r="P14" s="580">
        <f>'Water-Meter'!J16</f>
        <v>0</v>
      </c>
      <c r="Q14" s="576">
        <v>8095</v>
      </c>
      <c r="R14" s="626">
        <f t="shared" si="4"/>
        <v>5.0123839009287927</v>
      </c>
      <c r="S14" s="627">
        <f>Gen!T21</f>
        <v>0</v>
      </c>
      <c r="T14" s="628">
        <f t="shared" si="9"/>
        <v>44327</v>
      </c>
      <c r="U14" s="576"/>
      <c r="V14" s="581">
        <f t="shared" si="5"/>
        <v>0</v>
      </c>
      <c r="W14" s="578"/>
      <c r="X14" s="581">
        <f t="shared" si="0"/>
        <v>0</v>
      </c>
      <c r="Y14" s="623">
        <f t="shared" si="10"/>
        <v>44327</v>
      </c>
      <c r="Z14" s="576"/>
      <c r="AA14" s="576"/>
      <c r="AB14" s="580">
        <f>'Water-Meter'!P16</f>
        <v>0</v>
      </c>
      <c r="AC14" s="633">
        <v>20490</v>
      </c>
    </row>
    <row r="15" spans="1:29" ht="19.5" thickBot="1">
      <c r="A15" s="642">
        <f>Gen!B22</f>
        <v>0</v>
      </c>
      <c r="B15" s="592">
        <f>Gen!A22</f>
        <v>44328</v>
      </c>
      <c r="C15" s="576"/>
      <c r="D15" s="581">
        <f t="shared" si="1"/>
        <v>0</v>
      </c>
      <c r="E15" s="577"/>
      <c r="F15" s="581">
        <f t="shared" si="2"/>
        <v>0</v>
      </c>
      <c r="G15" s="576"/>
      <c r="H15" s="623">
        <f t="shared" si="6"/>
        <v>44328</v>
      </c>
      <c r="I15" s="576"/>
      <c r="J15" s="624">
        <f>'Water-Meter'!G17</f>
        <v>0</v>
      </c>
      <c r="K15" s="625">
        <f>'Water-Meter'!G17</f>
        <v>0</v>
      </c>
      <c r="L15" s="576">
        <f t="shared" si="3"/>
        <v>0</v>
      </c>
      <c r="M15" s="623">
        <f t="shared" si="7"/>
        <v>44328</v>
      </c>
      <c r="N15" s="576"/>
      <c r="O15" s="6"/>
      <c r="P15" s="580">
        <f>'Water-Meter'!J17</f>
        <v>0</v>
      </c>
      <c r="Q15" s="576">
        <f t="shared" si="8"/>
        <v>0</v>
      </c>
      <c r="R15" s="626">
        <f t="shared" si="4"/>
        <v>0</v>
      </c>
      <c r="S15" s="627">
        <f>Gen!T22</f>
        <v>0</v>
      </c>
      <c r="T15" s="628">
        <f t="shared" si="9"/>
        <v>44328</v>
      </c>
      <c r="U15" s="576"/>
      <c r="V15" s="581">
        <f t="shared" si="5"/>
        <v>0</v>
      </c>
      <c r="W15" s="578"/>
      <c r="X15" s="581">
        <f t="shared" si="0"/>
        <v>0</v>
      </c>
      <c r="Y15" s="623">
        <f t="shared" si="10"/>
        <v>44328</v>
      </c>
      <c r="Z15" s="576"/>
      <c r="AA15" s="576"/>
      <c r="AB15" s="580">
        <f>'Water-Meter'!P17</f>
        <v>0</v>
      </c>
      <c r="AC15" s="633">
        <f t="shared" si="11"/>
        <v>0</v>
      </c>
    </row>
    <row r="16" spans="1:29" ht="19.5" thickBot="1">
      <c r="A16" s="642">
        <f>Gen!B23</f>
        <v>0</v>
      </c>
      <c r="B16" s="592">
        <f>Gen!A23</f>
        <v>44329</v>
      </c>
      <c r="C16" s="576"/>
      <c r="D16" s="581">
        <f t="shared" si="1"/>
        <v>0</v>
      </c>
      <c r="E16" s="577"/>
      <c r="F16" s="581">
        <f>SUM(E16-D16)*120</f>
        <v>0</v>
      </c>
      <c r="G16" s="576"/>
      <c r="H16" s="623">
        <f t="shared" si="6"/>
        <v>44329</v>
      </c>
      <c r="I16" s="576"/>
      <c r="J16" s="624">
        <f>'Water-Meter'!G18</f>
        <v>0</v>
      </c>
      <c r="K16" s="625">
        <f>'Water-Meter'!G18</f>
        <v>0</v>
      </c>
      <c r="L16" s="576">
        <f t="shared" si="3"/>
        <v>0</v>
      </c>
      <c r="M16" s="623">
        <f t="shared" si="7"/>
        <v>44329</v>
      </c>
      <c r="N16" s="576"/>
      <c r="O16" s="6"/>
      <c r="P16" s="580">
        <f>'Water-Meter'!J18</f>
        <v>0</v>
      </c>
      <c r="Q16" s="576">
        <f t="shared" si="8"/>
        <v>0</v>
      </c>
      <c r="R16" s="626">
        <f t="shared" si="4"/>
        <v>0</v>
      </c>
      <c r="S16" s="627">
        <f>Gen!T23</f>
        <v>0</v>
      </c>
      <c r="T16" s="628">
        <f t="shared" si="9"/>
        <v>44329</v>
      </c>
      <c r="U16" s="576"/>
      <c r="V16" s="581">
        <f t="shared" si="5"/>
        <v>0</v>
      </c>
      <c r="W16" s="578"/>
      <c r="X16" s="581">
        <f t="shared" si="0"/>
        <v>0</v>
      </c>
      <c r="Y16" s="623">
        <f t="shared" si="10"/>
        <v>44329</v>
      </c>
      <c r="Z16" s="576"/>
      <c r="AA16" s="576"/>
      <c r="AB16" s="580">
        <f>'Water-Meter'!P18</f>
        <v>0</v>
      </c>
      <c r="AC16" s="633">
        <f t="shared" si="11"/>
        <v>0</v>
      </c>
    </row>
    <row r="17" spans="1:29" ht="19.5" thickBot="1">
      <c r="A17" s="642">
        <f>Gen!B24</f>
        <v>0</v>
      </c>
      <c r="B17" s="592">
        <f>Gen!A24</f>
        <v>44330</v>
      </c>
      <c r="C17" s="576"/>
      <c r="D17" s="581">
        <f t="shared" si="1"/>
        <v>0</v>
      </c>
      <c r="E17" s="577"/>
      <c r="F17" s="581">
        <f>SUM(E17-D17)*120</f>
        <v>0</v>
      </c>
      <c r="G17" s="576"/>
      <c r="H17" s="623">
        <f t="shared" si="6"/>
        <v>44330</v>
      </c>
      <c r="I17" s="576"/>
      <c r="J17" s="624">
        <f>'Water-Meter'!G19</f>
        <v>0</v>
      </c>
      <c r="K17" s="625">
        <f>'Water-Meter'!G19</f>
        <v>0</v>
      </c>
      <c r="L17" s="576">
        <f t="shared" si="3"/>
        <v>0</v>
      </c>
      <c r="M17" s="623">
        <f t="shared" si="7"/>
        <v>44330</v>
      </c>
      <c r="N17" s="576"/>
      <c r="O17" s="6"/>
      <c r="P17" s="580">
        <f>'Water-Meter'!J19</f>
        <v>0</v>
      </c>
      <c r="Q17" s="576">
        <f t="shared" si="8"/>
        <v>0</v>
      </c>
      <c r="R17" s="626">
        <f t="shared" si="4"/>
        <v>0</v>
      </c>
      <c r="S17" s="627">
        <f>Gen!T24</f>
        <v>0</v>
      </c>
      <c r="T17" s="628">
        <f t="shared" si="9"/>
        <v>44330</v>
      </c>
      <c r="U17" s="576"/>
      <c r="V17" s="581">
        <f t="shared" si="5"/>
        <v>0</v>
      </c>
      <c r="W17" s="578"/>
      <c r="X17" s="581">
        <f t="shared" si="0"/>
        <v>0</v>
      </c>
      <c r="Y17" s="623">
        <f t="shared" si="10"/>
        <v>44330</v>
      </c>
      <c r="Z17" s="576"/>
      <c r="AA17" s="576"/>
      <c r="AB17" s="580">
        <f>'Water-Meter'!P19</f>
        <v>0</v>
      </c>
      <c r="AC17" s="633">
        <f t="shared" si="11"/>
        <v>0</v>
      </c>
    </row>
    <row r="18" spans="1:29" ht="19.5" thickBot="1">
      <c r="A18" s="642">
        <f>Gen!B25</f>
        <v>0</v>
      </c>
      <c r="B18" s="592">
        <f>Gen!A25</f>
        <v>44331</v>
      </c>
      <c r="C18" s="576"/>
      <c r="D18" s="581">
        <f t="shared" si="1"/>
        <v>0</v>
      </c>
      <c r="E18" s="577"/>
      <c r="F18" s="581">
        <f t="shared" ref="F18:F22" si="12">SUM(E18-D18)*120</f>
        <v>0</v>
      </c>
      <c r="G18" s="576"/>
      <c r="H18" s="623">
        <f t="shared" si="6"/>
        <v>44331</v>
      </c>
      <c r="I18" s="576"/>
      <c r="J18" s="624">
        <f>'Water-Meter'!G20</f>
        <v>0</v>
      </c>
      <c r="K18" s="625">
        <f>'Water-Meter'!G20</f>
        <v>0</v>
      </c>
      <c r="L18" s="576">
        <f t="shared" si="3"/>
        <v>0</v>
      </c>
      <c r="M18" s="623">
        <f t="shared" si="7"/>
        <v>44331</v>
      </c>
      <c r="N18" s="576"/>
      <c r="O18" s="6">
        <f>'Water-Meter'!J20</f>
        <v>0</v>
      </c>
      <c r="P18" s="580">
        <f>'Water-Meter'!J20</f>
        <v>0</v>
      </c>
      <c r="Q18" s="576">
        <f t="shared" si="8"/>
        <v>0</v>
      </c>
      <c r="R18" s="626">
        <f t="shared" si="4"/>
        <v>0</v>
      </c>
      <c r="S18" s="627">
        <f>Gen!T25</f>
        <v>0</v>
      </c>
      <c r="T18" s="628">
        <f t="shared" si="9"/>
        <v>44331</v>
      </c>
      <c r="U18" s="576"/>
      <c r="V18" s="581">
        <f t="shared" si="5"/>
        <v>0</v>
      </c>
      <c r="W18" s="578"/>
      <c r="X18" s="581">
        <f t="shared" si="0"/>
        <v>0</v>
      </c>
      <c r="Y18" s="623">
        <f t="shared" si="10"/>
        <v>44331</v>
      </c>
      <c r="Z18" s="576"/>
      <c r="AA18" s="576"/>
      <c r="AB18" s="580">
        <f>'Water-Meter'!P20</f>
        <v>0</v>
      </c>
      <c r="AC18" s="633">
        <f t="shared" si="11"/>
        <v>0</v>
      </c>
    </row>
    <row r="19" spans="1:29" ht="19.5" thickBot="1">
      <c r="A19" s="642">
        <f>Gen!B26</f>
        <v>0</v>
      </c>
      <c r="B19" s="592">
        <f>Gen!A26</f>
        <v>44332</v>
      </c>
      <c r="C19" s="579"/>
      <c r="D19" s="581">
        <f t="shared" si="1"/>
        <v>0</v>
      </c>
      <c r="E19" s="577"/>
      <c r="F19" s="581">
        <f t="shared" si="12"/>
        <v>0</v>
      </c>
      <c r="G19" s="576"/>
      <c r="H19" s="623">
        <f t="shared" si="6"/>
        <v>44332</v>
      </c>
      <c r="I19" s="579"/>
      <c r="J19" s="624">
        <f>'Water-Meter'!G21</f>
        <v>0</v>
      </c>
      <c r="K19" s="625">
        <f>'Water-Meter'!G21</f>
        <v>0</v>
      </c>
      <c r="L19" s="576">
        <f t="shared" si="3"/>
        <v>0</v>
      </c>
      <c r="M19" s="623">
        <f t="shared" si="7"/>
        <v>44332</v>
      </c>
      <c r="N19" s="579"/>
      <c r="O19" s="6">
        <f>'Water-Meter'!J21</f>
        <v>0</v>
      </c>
      <c r="P19" s="580">
        <f>'Water-Meter'!J21</f>
        <v>0</v>
      </c>
      <c r="Q19" s="576">
        <f t="shared" si="8"/>
        <v>0</v>
      </c>
      <c r="R19" s="626">
        <f t="shared" si="4"/>
        <v>0</v>
      </c>
      <c r="S19" s="627">
        <f>Gen!T26</f>
        <v>0</v>
      </c>
      <c r="T19" s="628">
        <f t="shared" si="9"/>
        <v>44332</v>
      </c>
      <c r="U19" s="579"/>
      <c r="V19" s="581">
        <f t="shared" si="5"/>
        <v>0</v>
      </c>
      <c r="W19" s="578"/>
      <c r="X19" s="581">
        <f t="shared" si="0"/>
        <v>0</v>
      </c>
      <c r="Y19" s="623">
        <f t="shared" si="10"/>
        <v>44332</v>
      </c>
      <c r="Z19" s="579"/>
      <c r="AA19" s="576"/>
      <c r="AB19" s="580">
        <f>'Water-Meter'!P21</f>
        <v>0</v>
      </c>
      <c r="AC19" s="633">
        <f t="shared" si="11"/>
        <v>0</v>
      </c>
    </row>
    <row r="20" spans="1:29" ht="19.5" thickBot="1">
      <c r="A20" s="642">
        <f>Gen!B27</f>
        <v>0</v>
      </c>
      <c r="B20" s="592">
        <f>Gen!A27</f>
        <v>44333</v>
      </c>
      <c r="C20" s="579"/>
      <c r="D20" s="581">
        <f t="shared" si="1"/>
        <v>0</v>
      </c>
      <c r="E20" s="577"/>
      <c r="F20" s="581">
        <f t="shared" si="12"/>
        <v>0</v>
      </c>
      <c r="G20" s="576"/>
      <c r="H20" s="623">
        <f t="shared" si="6"/>
        <v>44333</v>
      </c>
      <c r="I20" s="579"/>
      <c r="J20" s="624">
        <f>'Water-Meter'!G22</f>
        <v>0</v>
      </c>
      <c r="K20" s="625">
        <f>'Water-Meter'!G22</f>
        <v>0</v>
      </c>
      <c r="L20" s="576">
        <f t="shared" si="3"/>
        <v>0</v>
      </c>
      <c r="M20" s="623">
        <f t="shared" si="7"/>
        <v>44333</v>
      </c>
      <c r="N20" s="579"/>
      <c r="O20" s="6">
        <f>'Water-Meter'!J22</f>
        <v>0</v>
      </c>
      <c r="P20" s="580">
        <f>'Water-Meter'!J22</f>
        <v>0</v>
      </c>
      <c r="Q20" s="576">
        <f t="shared" si="8"/>
        <v>0</v>
      </c>
      <c r="R20" s="626">
        <f t="shared" si="4"/>
        <v>0</v>
      </c>
      <c r="S20" s="627">
        <f>Gen!T27</f>
        <v>0</v>
      </c>
      <c r="T20" s="628">
        <f t="shared" si="9"/>
        <v>44333</v>
      </c>
      <c r="U20" s="579"/>
      <c r="V20" s="581">
        <f t="shared" si="5"/>
        <v>0</v>
      </c>
      <c r="W20" s="578"/>
      <c r="X20" s="581">
        <f t="shared" si="0"/>
        <v>0</v>
      </c>
      <c r="Y20" s="623">
        <f t="shared" si="10"/>
        <v>44333</v>
      </c>
      <c r="Z20" s="579"/>
      <c r="AA20" s="576"/>
      <c r="AB20" s="580">
        <f>'Water-Meter'!P22</f>
        <v>0</v>
      </c>
      <c r="AC20" s="633">
        <f t="shared" si="11"/>
        <v>0</v>
      </c>
    </row>
    <row r="21" spans="1:29" ht="19.5" thickBot="1">
      <c r="A21" s="642">
        <f>Gen!B28</f>
        <v>0</v>
      </c>
      <c r="B21" s="592">
        <f>Gen!A28</f>
        <v>44334</v>
      </c>
      <c r="C21" s="579"/>
      <c r="D21" s="581">
        <f t="shared" si="1"/>
        <v>0</v>
      </c>
      <c r="E21" s="577"/>
      <c r="F21" s="581">
        <f t="shared" si="12"/>
        <v>0</v>
      </c>
      <c r="G21" s="576"/>
      <c r="H21" s="623">
        <f t="shared" si="6"/>
        <v>44334</v>
      </c>
      <c r="I21" s="579"/>
      <c r="J21" s="624">
        <f>'Water-Meter'!G23</f>
        <v>0</v>
      </c>
      <c r="K21" s="625">
        <f>'Water-Meter'!G23</f>
        <v>0</v>
      </c>
      <c r="L21" s="576">
        <f t="shared" si="3"/>
        <v>0</v>
      </c>
      <c r="M21" s="623">
        <f t="shared" si="7"/>
        <v>44334</v>
      </c>
      <c r="N21" s="579"/>
      <c r="O21" s="6">
        <f>'Water-Meter'!J23</f>
        <v>0</v>
      </c>
      <c r="P21" s="580">
        <f>'Water-Meter'!J23</f>
        <v>0</v>
      </c>
      <c r="Q21" s="576">
        <f t="shared" ref="Q21:Q35" si="13">N21-O20</f>
        <v>0</v>
      </c>
      <c r="R21" s="626">
        <f t="shared" ref="R21:R35" si="14">SUM(Q21/1615)</f>
        <v>0</v>
      </c>
      <c r="S21" s="627">
        <f>Gen!T28</f>
        <v>0</v>
      </c>
      <c r="T21" s="628">
        <f t="shared" si="9"/>
        <v>44334</v>
      </c>
      <c r="U21" s="579"/>
      <c r="V21" s="581">
        <f t="shared" si="5"/>
        <v>0</v>
      </c>
      <c r="W21" s="578" t="s">
        <v>320</v>
      </c>
      <c r="X21" s="581" t="e">
        <f t="shared" si="0"/>
        <v>#VALUE!</v>
      </c>
      <c r="Y21" s="623">
        <f t="shared" si="10"/>
        <v>44334</v>
      </c>
      <c r="Z21" s="579"/>
      <c r="AA21" s="576"/>
      <c r="AB21" s="580">
        <f>'Water-Meter'!P23</f>
        <v>0</v>
      </c>
      <c r="AC21" s="633">
        <f t="shared" si="11"/>
        <v>0</v>
      </c>
    </row>
    <row r="22" spans="1:29" ht="19.5" thickBot="1">
      <c r="A22" s="642">
        <f>Gen!B29</f>
        <v>0</v>
      </c>
      <c r="B22" s="592">
        <f>Gen!A29</f>
        <v>44335</v>
      </c>
      <c r="C22" s="576"/>
      <c r="D22" s="581">
        <f t="shared" si="1"/>
        <v>0</v>
      </c>
      <c r="E22" s="577"/>
      <c r="F22" s="581">
        <f t="shared" si="12"/>
        <v>0</v>
      </c>
      <c r="G22" s="576"/>
      <c r="H22" s="623">
        <f t="shared" si="6"/>
        <v>44335</v>
      </c>
      <c r="I22" s="576"/>
      <c r="J22" s="624">
        <f>'Water-Meter'!G24</f>
        <v>0</v>
      </c>
      <c r="K22" s="625">
        <f>'Water-Meter'!G24</f>
        <v>0</v>
      </c>
      <c r="L22" s="576">
        <f t="shared" si="3"/>
        <v>0</v>
      </c>
      <c r="M22" s="623">
        <f t="shared" si="7"/>
        <v>44335</v>
      </c>
      <c r="N22" s="576"/>
      <c r="O22" s="6">
        <f>'Water-Meter'!J24</f>
        <v>0</v>
      </c>
      <c r="P22" s="580">
        <f>'Water-Meter'!J24</f>
        <v>0</v>
      </c>
      <c r="Q22" s="576">
        <f t="shared" si="13"/>
        <v>0</v>
      </c>
      <c r="R22" s="626">
        <f t="shared" si="14"/>
        <v>0</v>
      </c>
      <c r="S22" s="627">
        <f>Gen!T29</f>
        <v>0</v>
      </c>
      <c r="T22" s="628">
        <f t="shared" si="9"/>
        <v>44335</v>
      </c>
      <c r="U22" s="576"/>
      <c r="V22" s="581" t="str">
        <f t="shared" si="5"/>
        <v>`</v>
      </c>
      <c r="W22" s="578"/>
      <c r="X22" s="581" t="e">
        <f t="shared" si="0"/>
        <v>#VALUE!</v>
      </c>
      <c r="Y22" s="623">
        <f t="shared" si="10"/>
        <v>44335</v>
      </c>
      <c r="Z22" s="576"/>
      <c r="AA22" s="576"/>
      <c r="AB22" s="580">
        <f>'Water-Meter'!P24</f>
        <v>0</v>
      </c>
      <c r="AC22" s="633">
        <f t="shared" si="11"/>
        <v>0</v>
      </c>
    </row>
    <row r="23" spans="1:29" ht="19.5" thickBot="1">
      <c r="A23" s="642">
        <f>Gen!B30</f>
        <v>0</v>
      </c>
      <c r="B23" s="592">
        <f>Gen!A30</f>
        <v>44336</v>
      </c>
      <c r="C23" s="579"/>
      <c r="D23" s="581">
        <f t="shared" si="1"/>
        <v>0</v>
      </c>
      <c r="E23" s="577"/>
      <c r="F23" s="581">
        <f t="shared" ref="F23:F34" si="15">SUM(E23-D23)*120</f>
        <v>0</v>
      </c>
      <c r="G23" s="576"/>
      <c r="H23" s="623">
        <f t="shared" si="6"/>
        <v>44336</v>
      </c>
      <c r="I23" s="579"/>
      <c r="J23" s="624">
        <f>'Water-Meter'!G25</f>
        <v>0</v>
      </c>
      <c r="K23" s="625">
        <f>'Water-Meter'!G26</f>
        <v>0</v>
      </c>
      <c r="L23" s="576">
        <f t="shared" si="3"/>
        <v>0</v>
      </c>
      <c r="M23" s="623">
        <f t="shared" si="7"/>
        <v>44336</v>
      </c>
      <c r="N23" s="579"/>
      <c r="O23" s="6">
        <f>'Water-Meter'!J25</f>
        <v>0</v>
      </c>
      <c r="P23" s="580">
        <f>'Water-Meter'!J25</f>
        <v>0</v>
      </c>
      <c r="Q23" s="576">
        <f t="shared" si="13"/>
        <v>0</v>
      </c>
      <c r="R23" s="626">
        <f t="shared" si="14"/>
        <v>0</v>
      </c>
      <c r="S23" s="627">
        <f>Gen!T30</f>
        <v>0</v>
      </c>
      <c r="T23" s="628">
        <f t="shared" si="9"/>
        <v>44336</v>
      </c>
      <c r="U23" s="579"/>
      <c r="V23" s="581">
        <f t="shared" si="5"/>
        <v>0</v>
      </c>
      <c r="W23" s="578"/>
      <c r="X23" s="581">
        <f t="shared" si="0"/>
        <v>0</v>
      </c>
      <c r="Y23" s="623">
        <f t="shared" si="10"/>
        <v>44336</v>
      </c>
      <c r="Z23" s="579"/>
      <c r="AA23" s="576"/>
      <c r="AB23" s="580">
        <f>'Water-Meter'!P25</f>
        <v>0</v>
      </c>
      <c r="AC23" s="633">
        <f t="shared" si="11"/>
        <v>0</v>
      </c>
    </row>
    <row r="24" spans="1:29" ht="19.5" thickBot="1">
      <c r="A24" s="642">
        <f>Gen!B31</f>
        <v>0</v>
      </c>
      <c r="B24" s="592">
        <f>Gen!A31</f>
        <v>44337</v>
      </c>
      <c r="C24" s="579"/>
      <c r="D24" s="581">
        <f t="shared" ref="D24:D35" si="16">SUM(E23)</f>
        <v>0</v>
      </c>
      <c r="E24" s="577"/>
      <c r="F24" s="581">
        <f t="shared" si="15"/>
        <v>0</v>
      </c>
      <c r="G24" s="576"/>
      <c r="H24" s="623">
        <f t="shared" si="6"/>
        <v>44337</v>
      </c>
      <c r="I24" s="579"/>
      <c r="J24" s="624">
        <f>'Water-Meter'!G26</f>
        <v>0</v>
      </c>
      <c r="K24" s="625">
        <f>'Water-Meter'!G27</f>
        <v>0</v>
      </c>
      <c r="L24" s="576">
        <f t="shared" si="3"/>
        <v>0</v>
      </c>
      <c r="M24" s="623">
        <f t="shared" si="7"/>
        <v>44337</v>
      </c>
      <c r="N24" s="579"/>
      <c r="O24" s="6">
        <f>'Water-Meter'!J26</f>
        <v>0</v>
      </c>
      <c r="P24" s="580">
        <f>'Water-Meter'!J26</f>
        <v>0</v>
      </c>
      <c r="Q24" s="576">
        <f t="shared" si="13"/>
        <v>0</v>
      </c>
      <c r="R24" s="626">
        <f t="shared" si="14"/>
        <v>0</v>
      </c>
      <c r="S24" s="627">
        <f>Gen!T31</f>
        <v>0</v>
      </c>
      <c r="T24" s="628">
        <f t="shared" si="9"/>
        <v>44337</v>
      </c>
      <c r="U24" s="579"/>
      <c r="V24" s="581">
        <f t="shared" si="5"/>
        <v>0</v>
      </c>
      <c r="W24" s="578"/>
      <c r="X24" s="581">
        <f t="shared" si="0"/>
        <v>0</v>
      </c>
      <c r="Y24" s="623">
        <f t="shared" si="10"/>
        <v>44337</v>
      </c>
      <c r="Z24" s="579"/>
      <c r="AA24" s="576"/>
      <c r="AB24" s="580">
        <f>'Water-Meter'!P26</f>
        <v>0</v>
      </c>
      <c r="AC24" s="633">
        <f t="shared" si="11"/>
        <v>0</v>
      </c>
    </row>
    <row r="25" spans="1:29" ht="19.5" thickBot="1">
      <c r="A25" s="642">
        <f>Gen!B32</f>
        <v>0</v>
      </c>
      <c r="B25" s="592">
        <f>Gen!A32</f>
        <v>44338</v>
      </c>
      <c r="C25" s="579"/>
      <c r="D25" s="581">
        <f t="shared" si="16"/>
        <v>0</v>
      </c>
      <c r="E25" s="577"/>
      <c r="F25" s="581">
        <f t="shared" si="15"/>
        <v>0</v>
      </c>
      <c r="G25" s="576"/>
      <c r="H25" s="623">
        <f t="shared" si="6"/>
        <v>44338</v>
      </c>
      <c r="I25" s="579"/>
      <c r="J25" s="624">
        <f>'Water-Meter'!G27</f>
        <v>0</v>
      </c>
      <c r="K25" s="625">
        <f>'Water-Meter'!G28</f>
        <v>0</v>
      </c>
      <c r="L25" s="576">
        <f t="shared" si="3"/>
        <v>0</v>
      </c>
      <c r="M25" s="623">
        <f t="shared" si="7"/>
        <v>44338</v>
      </c>
      <c r="N25" s="579"/>
      <c r="O25" s="6">
        <f>'Water-Meter'!J27</f>
        <v>0</v>
      </c>
      <c r="P25" s="580">
        <f>'Water-Meter'!J27</f>
        <v>0</v>
      </c>
      <c r="Q25" s="576">
        <f t="shared" si="13"/>
        <v>0</v>
      </c>
      <c r="R25" s="626">
        <f t="shared" si="14"/>
        <v>0</v>
      </c>
      <c r="S25" s="627">
        <f>Gen!T32</f>
        <v>0</v>
      </c>
      <c r="T25" s="628">
        <f t="shared" si="9"/>
        <v>44338</v>
      </c>
      <c r="U25" s="579"/>
      <c r="V25" s="581">
        <f t="shared" si="5"/>
        <v>0</v>
      </c>
      <c r="W25" s="578"/>
      <c r="X25" s="581">
        <f t="shared" si="0"/>
        <v>0</v>
      </c>
      <c r="Y25" s="623">
        <f t="shared" si="10"/>
        <v>44338</v>
      </c>
      <c r="Z25" s="579"/>
      <c r="AA25" s="576"/>
      <c r="AB25" s="580">
        <f>'Water-Meter'!P27</f>
        <v>0</v>
      </c>
      <c r="AC25" s="633">
        <f t="shared" si="11"/>
        <v>0</v>
      </c>
    </row>
    <row r="26" spans="1:29" ht="19.5" thickBot="1">
      <c r="A26" s="642">
        <f>Gen!B33</f>
        <v>0</v>
      </c>
      <c r="B26" s="592">
        <f>Gen!A33</f>
        <v>44339</v>
      </c>
      <c r="C26" s="579"/>
      <c r="D26" s="581">
        <f t="shared" si="16"/>
        <v>0</v>
      </c>
      <c r="E26" s="577"/>
      <c r="F26" s="581">
        <f t="shared" si="15"/>
        <v>0</v>
      </c>
      <c r="G26" s="576"/>
      <c r="H26" s="623">
        <f t="shared" si="6"/>
        <v>44339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44339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0</v>
      </c>
      <c r="R26" s="626">
        <f t="shared" si="14"/>
        <v>0</v>
      </c>
      <c r="S26" s="627">
        <f>Gen!T33</f>
        <v>0</v>
      </c>
      <c r="T26" s="628">
        <f t="shared" si="9"/>
        <v>44339</v>
      </c>
      <c r="U26" s="579"/>
      <c r="V26" s="581">
        <f t="shared" si="5"/>
        <v>0</v>
      </c>
      <c r="W26" s="578"/>
      <c r="X26" s="581">
        <f t="shared" si="0"/>
        <v>0</v>
      </c>
      <c r="Y26" s="623">
        <f t="shared" si="10"/>
        <v>44339</v>
      </c>
      <c r="Z26" s="579"/>
      <c r="AA26" s="576"/>
      <c r="AB26" s="580">
        <f>'Water-Meter'!P28</f>
        <v>0</v>
      </c>
      <c r="AC26" s="633">
        <f t="shared" si="11"/>
        <v>0</v>
      </c>
    </row>
    <row r="27" spans="1:29" ht="19.5" thickBot="1">
      <c r="A27" s="642">
        <f>Gen!B34</f>
        <v>0</v>
      </c>
      <c r="B27" s="592">
        <f>Gen!A34</f>
        <v>44340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44340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44340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44340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44340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44341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44341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44341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44341</v>
      </c>
      <c r="U28" s="579"/>
      <c r="V28" s="581">
        <f t="shared" si="5"/>
        <v>0</v>
      </c>
      <c r="W28" s="578"/>
      <c r="X28" s="581">
        <f t="shared" si="0"/>
        <v>0</v>
      </c>
      <c r="Y28" s="623">
        <f t="shared" si="10"/>
        <v>44341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44342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44342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44342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44342</v>
      </c>
      <c r="U29" s="579"/>
      <c r="V29" s="581">
        <f t="shared" si="5"/>
        <v>0</v>
      </c>
      <c r="W29" s="578"/>
      <c r="X29" s="581">
        <f t="shared" si="0"/>
        <v>0</v>
      </c>
      <c r="Y29" s="623">
        <f t="shared" si="10"/>
        <v>44342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44343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44343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44343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44343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44343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44344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44344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44344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44344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44344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44345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44345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44345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44345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44345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44346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44346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44346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44346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44346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815.99999999991269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660.00000000003638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8" sqref="E28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8">
        <f>A5</f>
        <v>44317</v>
      </c>
      <c r="B1" s="888"/>
      <c r="C1" s="888"/>
      <c r="D1" s="888"/>
      <c r="E1" s="888"/>
      <c r="F1" s="888"/>
      <c r="G1" s="888"/>
      <c r="H1" s="888"/>
      <c r="I1" s="888"/>
      <c r="J1" s="888"/>
      <c r="K1" s="888"/>
      <c r="L1" s="888"/>
    </row>
    <row r="2" spans="1:13">
      <c r="A2" s="889"/>
      <c r="B2" s="889"/>
      <c r="C2" s="889"/>
      <c r="D2" s="889"/>
      <c r="E2" s="889"/>
      <c r="F2" s="889"/>
      <c r="G2" s="889"/>
      <c r="H2" s="889"/>
      <c r="I2" s="889"/>
      <c r="J2" s="889"/>
      <c r="K2" s="889"/>
      <c r="L2" s="889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44317</v>
      </c>
      <c r="B5" s="644">
        <f>'Daily report Gen'!Z6</f>
        <v>24</v>
      </c>
      <c r="C5" s="645">
        <f>Gen!B11</f>
        <v>0.01</v>
      </c>
      <c r="D5" s="646">
        <f t="shared" ref="D5:D36" si="0">E5</f>
        <v>0</v>
      </c>
      <c r="E5" s="647"/>
      <c r="F5" s="70">
        <f>Gen!U11</f>
        <v>0.4119358490566038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27860.560000000001</v>
      </c>
      <c r="K5" s="650">
        <f>'Water-Meter'!E6</f>
        <v>41</v>
      </c>
      <c r="L5" s="651">
        <f>'Lpg (2)'!G10</f>
        <v>49.631999999994882</v>
      </c>
      <c r="M5" s="79" t="e">
        <f>SUM(#REF!-#REF!)</f>
        <v>#REF!</v>
      </c>
    </row>
    <row r="6" spans="1:13">
      <c r="A6" s="662">
        <f>Gen!A12</f>
        <v>44318</v>
      </c>
      <c r="B6" s="652">
        <f>'Daily report Gen'!Z7</f>
        <v>25</v>
      </c>
      <c r="C6" s="87">
        <f>Gen!B12</f>
        <v>0</v>
      </c>
      <c r="D6" s="434">
        <f t="shared" si="0"/>
        <v>0</v>
      </c>
      <c r="E6" s="74"/>
      <c r="F6" s="70">
        <f>Gen!U12</f>
        <v>0.41311086392287732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26680.18</v>
      </c>
      <c r="K6" s="295">
        <f>'Water-Meter'!E7</f>
        <v>50</v>
      </c>
      <c r="L6" s="653">
        <f>'Lpg (2)'!G11</f>
        <v>42.768000000005124</v>
      </c>
      <c r="M6" s="79" t="e">
        <f>SUM(#REF!-#REF!)</f>
        <v>#REF!</v>
      </c>
    </row>
    <row r="7" spans="1:13">
      <c r="A7" s="662">
        <f>Gen!A13</f>
        <v>44319</v>
      </c>
      <c r="B7" s="652">
        <f>'Daily report Gen'!Z8</f>
        <v>24</v>
      </c>
      <c r="C7" s="87">
        <f>Gen!B13</f>
        <v>3.9E-2</v>
      </c>
      <c r="D7" s="434">
        <f t="shared" si="0"/>
        <v>0</v>
      </c>
      <c r="E7" s="74"/>
      <c r="F7" s="70">
        <f>Gen!U13</f>
        <v>0.41249336870026521</v>
      </c>
      <c r="G7" s="85">
        <f>Gen!T11</f>
        <v>2650</v>
      </c>
      <c r="H7" s="85">
        <f>Gen!AK13</f>
        <v>0</v>
      </c>
      <c r="I7" s="85">
        <f t="shared" si="1"/>
        <v>2650</v>
      </c>
      <c r="J7" s="446">
        <f>Gen!C13</f>
        <v>40466.020000000004</v>
      </c>
      <c r="K7" s="295">
        <f>'Water-Meter'!E8</f>
        <v>50</v>
      </c>
      <c r="L7" s="653">
        <f>'Lpg (2)'!G12</f>
        <v>55.22000000001281</v>
      </c>
      <c r="M7" s="79" t="e">
        <f>SUM(#REF!-#REF!)</f>
        <v>#REF!</v>
      </c>
    </row>
    <row r="8" spans="1:13">
      <c r="A8" s="662">
        <f>Gen!A14</f>
        <v>44320</v>
      </c>
      <c r="B8" s="652">
        <f>'Daily report Gen'!Z9</f>
        <v>-159714</v>
      </c>
      <c r="C8" s="87">
        <f>Gen!B14</f>
        <v>5.1999999999999998E-2</v>
      </c>
      <c r="D8" s="434">
        <f>E8</f>
        <v>0</v>
      </c>
      <c r="E8" s="74"/>
      <c r="F8" s="70" t="e">
        <f>Gen!U14</f>
        <v>#DIV/0!</v>
      </c>
      <c r="G8" s="85">
        <f>Gen!T12</f>
        <v>2697</v>
      </c>
      <c r="H8" s="85">
        <f>Gen!AK14</f>
        <v>0</v>
      </c>
      <c r="I8" s="85">
        <f t="shared" si="1"/>
        <v>2697</v>
      </c>
      <c r="J8" s="446">
        <f>Gen!C14</f>
        <v>39347.69</v>
      </c>
      <c r="K8" s="295" t="str">
        <f>'Water-Meter'!E9</f>
        <v>0</v>
      </c>
      <c r="L8" s="653">
        <f>'Lpg (2)'!G13</f>
        <v>-335630.02</v>
      </c>
      <c r="M8" s="79" t="e">
        <f>SUM(#REF!-#REF!)</f>
        <v>#REF!</v>
      </c>
    </row>
    <row r="9" spans="1:13">
      <c r="A9" s="662">
        <f>Gen!A15</f>
        <v>44321</v>
      </c>
      <c r="B9" s="652">
        <f>'Daily report Gen'!Z10</f>
        <v>0</v>
      </c>
      <c r="C9" s="87">
        <f>Gen!B15</f>
        <v>5.1999999999999998E-2</v>
      </c>
      <c r="D9" s="434">
        <f t="shared" si="0"/>
        <v>0</v>
      </c>
      <c r="E9" s="74"/>
      <c r="F9" s="70" t="e">
        <f>Gen!U15</f>
        <v>#DIV/0!</v>
      </c>
      <c r="G9" s="85">
        <f>Gen!T13</f>
        <v>2639</v>
      </c>
      <c r="H9" s="85">
        <f>Gen!AK15</f>
        <v>0</v>
      </c>
      <c r="I9" s="85">
        <f t="shared" si="1"/>
        <v>2639</v>
      </c>
      <c r="J9" s="446">
        <f>Gen!C15</f>
        <v>39347.69</v>
      </c>
      <c r="K9" s="295">
        <f>'Water-Meter'!E10</f>
        <v>0</v>
      </c>
      <c r="L9" s="653">
        <f>'Lpg (2)'!G14</f>
        <v>0</v>
      </c>
      <c r="M9" s="79" t="e">
        <f>SUM(#REF!-#REF!)</f>
        <v>#REF!</v>
      </c>
    </row>
    <row r="10" spans="1:13">
      <c r="A10" s="662">
        <f>Gen!A16</f>
        <v>44322</v>
      </c>
      <c r="B10" s="652">
        <f>'Daily report Gen'!Z11</f>
        <v>0</v>
      </c>
      <c r="C10" s="87">
        <f>Gen!B16</f>
        <v>0</v>
      </c>
      <c r="D10" s="434">
        <f t="shared" si="0"/>
        <v>0</v>
      </c>
      <c r="E10" s="74"/>
      <c r="F10" s="70" t="e">
        <f>Gen!U16</f>
        <v>#DIV/0!</v>
      </c>
      <c r="G10" s="85">
        <f>Gen!T14</f>
        <v>0</v>
      </c>
      <c r="H10" s="85">
        <f>Gen!AK16</f>
        <v>0</v>
      </c>
      <c r="I10" s="85">
        <f t="shared" si="1"/>
        <v>0</v>
      </c>
      <c r="J10" s="446">
        <f>Gen!C16</f>
        <v>39347.69</v>
      </c>
      <c r="K10" s="295">
        <f>'Water-Meter'!E11</f>
        <v>0</v>
      </c>
      <c r="L10" s="653">
        <f>'Lpg (2)'!G15</f>
        <v>0</v>
      </c>
      <c r="M10" s="79" t="e">
        <f>SUM(#REF!-#REF!)</f>
        <v>#REF!</v>
      </c>
    </row>
    <row r="11" spans="1:13">
      <c r="A11" s="662">
        <f>Gen!A17</f>
        <v>44323</v>
      </c>
      <c r="B11" s="652">
        <f>'Daily report Gen'!Z12</f>
        <v>0</v>
      </c>
      <c r="C11" s="87">
        <f>Gen!B17</f>
        <v>0</v>
      </c>
      <c r="D11" s="434">
        <f t="shared" si="0"/>
        <v>0</v>
      </c>
      <c r="E11" s="74"/>
      <c r="F11" s="70" t="e">
        <f>Gen!U17</f>
        <v>#DIV/0!</v>
      </c>
      <c r="G11" s="85">
        <f>Gen!T15</f>
        <v>0</v>
      </c>
      <c r="H11" s="85">
        <f>Gen!AK17</f>
        <v>0</v>
      </c>
      <c r="I11" s="85">
        <f t="shared" si="1"/>
        <v>0</v>
      </c>
      <c r="J11" s="446">
        <f>Gen!C17</f>
        <v>39347.69</v>
      </c>
      <c r="K11" s="295">
        <f>'Water-Meter'!E12</f>
        <v>0</v>
      </c>
      <c r="L11" s="653">
        <f>'Lpg (2)'!G16</f>
        <v>0</v>
      </c>
      <c r="M11" s="79" t="e">
        <f>SUM(#REF!-#REF!)</f>
        <v>#REF!</v>
      </c>
    </row>
    <row r="12" spans="1:13">
      <c r="A12" s="662">
        <f>Gen!A18</f>
        <v>44324</v>
      </c>
      <c r="B12" s="652">
        <f>'Daily report Gen'!Z13</f>
        <v>0</v>
      </c>
      <c r="C12" s="87">
        <f>Gen!B18</f>
        <v>0</v>
      </c>
      <c r="D12" s="434">
        <f t="shared" si="0"/>
        <v>0</v>
      </c>
      <c r="E12" s="74"/>
      <c r="F12" s="70" t="e">
        <f>Gen!U18</f>
        <v>#DIV/0!</v>
      </c>
      <c r="G12" s="85">
        <f>Gen!T16</f>
        <v>0</v>
      </c>
      <c r="H12" s="85">
        <f>Gen!AK18</f>
        <v>0</v>
      </c>
      <c r="I12" s="85">
        <f t="shared" si="1"/>
        <v>0</v>
      </c>
      <c r="J12" s="446">
        <f>Gen!C18</f>
        <v>39347.69</v>
      </c>
      <c r="K12" s="295">
        <f>'Water-Meter'!E13</f>
        <v>0</v>
      </c>
      <c r="L12" s="653">
        <f>'Lpg (2)'!G17</f>
        <v>0</v>
      </c>
      <c r="M12" s="79" t="e">
        <f>SUM(#REF!-#REF!)</f>
        <v>#REF!</v>
      </c>
    </row>
    <row r="13" spans="1:13">
      <c r="A13" s="662">
        <f>Gen!A19</f>
        <v>44325</v>
      </c>
      <c r="B13" s="652">
        <f>'Daily report Gen'!Z14</f>
        <v>0</v>
      </c>
      <c r="C13" s="87">
        <f>Gen!B19</f>
        <v>0</v>
      </c>
      <c r="D13" s="434">
        <f t="shared" si="0"/>
        <v>0</v>
      </c>
      <c r="E13" s="74"/>
      <c r="F13" s="70" t="e">
        <f>Gen!U19</f>
        <v>#DIV/0!</v>
      </c>
      <c r="G13" s="85">
        <f>Gen!T17</f>
        <v>0</v>
      </c>
      <c r="H13" s="85">
        <f>Gen!AK19</f>
        <v>0</v>
      </c>
      <c r="I13" s="85">
        <f t="shared" si="1"/>
        <v>0</v>
      </c>
      <c r="J13" s="446">
        <f>Gen!C19</f>
        <v>39347.69</v>
      </c>
      <c r="K13" s="295">
        <f>'Water-Meter'!E14</f>
        <v>0</v>
      </c>
      <c r="L13" s="653">
        <f>'Lpg (2)'!G18</f>
        <v>0</v>
      </c>
      <c r="M13" s="79" t="e">
        <f>SUM(#REF!-#REF!)</f>
        <v>#REF!</v>
      </c>
    </row>
    <row r="14" spans="1:13">
      <c r="A14" s="662">
        <f>Gen!A20</f>
        <v>44326</v>
      </c>
      <c r="B14" s="652" t="e">
        <f>'Daily report Gen'!Z15</f>
        <v>#REF!</v>
      </c>
      <c r="C14" s="87">
        <f>Gen!B20</f>
        <v>0</v>
      </c>
      <c r="D14" s="434">
        <f t="shared" si="0"/>
        <v>0</v>
      </c>
      <c r="E14" s="74"/>
      <c r="F14" s="70" t="e">
        <f>Gen!U20</f>
        <v>#DIV/0!</v>
      </c>
      <c r="G14" s="85">
        <f>Gen!T18</f>
        <v>0</v>
      </c>
      <c r="H14" s="85">
        <f>Gen!AK20</f>
        <v>0</v>
      </c>
      <c r="I14" s="85">
        <f t="shared" si="1"/>
        <v>0</v>
      </c>
      <c r="J14" s="446">
        <f>Gen!C20</f>
        <v>39347.69</v>
      </c>
      <c r="K14" s="295">
        <f>'Water-Meter'!E15</f>
        <v>0</v>
      </c>
      <c r="L14" s="653">
        <f>'Lpg (2)'!G19</f>
        <v>0</v>
      </c>
      <c r="M14" s="79" t="e">
        <f>SUM(#REF!-#REF!)</f>
        <v>#REF!</v>
      </c>
    </row>
    <row r="15" spans="1:13">
      <c r="A15" s="662">
        <f>Gen!A21</f>
        <v>44327</v>
      </c>
      <c r="B15" s="652">
        <f>'Daily report Gen'!Z16</f>
        <v>0</v>
      </c>
      <c r="C15" s="87">
        <f>Gen!B21</f>
        <v>0</v>
      </c>
      <c r="D15" s="434">
        <f t="shared" si="0"/>
        <v>0</v>
      </c>
      <c r="E15" s="74"/>
      <c r="F15" s="70" t="e">
        <f>Gen!U21</f>
        <v>#DIV/0!</v>
      </c>
      <c r="G15" s="85">
        <f>Gen!T19</f>
        <v>0</v>
      </c>
      <c r="H15" s="85">
        <f>Gen!AK21</f>
        <v>0</v>
      </c>
      <c r="I15" s="85">
        <f t="shared" si="1"/>
        <v>0</v>
      </c>
      <c r="J15" s="446">
        <f>Gen!C21</f>
        <v>39347.69</v>
      </c>
      <c r="K15" s="295">
        <f>'Water-Meter'!E16</f>
        <v>0</v>
      </c>
      <c r="L15" s="653">
        <f>'Lpg (2)'!G20</f>
        <v>0</v>
      </c>
      <c r="M15" s="79" t="e">
        <f>SUM(#REF!-#REF!)</f>
        <v>#REF!</v>
      </c>
    </row>
    <row r="16" spans="1:13">
      <c r="A16" s="662">
        <f>Gen!A22</f>
        <v>44328</v>
      </c>
      <c r="B16" s="652">
        <f>'Daily report Gen'!Z17</f>
        <v>0</v>
      </c>
      <c r="C16" s="87">
        <f>Gen!B22</f>
        <v>0</v>
      </c>
      <c r="D16" s="434">
        <f t="shared" si="0"/>
        <v>0</v>
      </c>
      <c r="E16" s="74"/>
      <c r="F16" s="70" t="e">
        <f>Gen!U22</f>
        <v>#DIV/0!</v>
      </c>
      <c r="G16" s="85">
        <f>Gen!T20</f>
        <v>0</v>
      </c>
      <c r="H16" s="85">
        <f>Gen!AK22</f>
        <v>0</v>
      </c>
      <c r="I16" s="85">
        <f t="shared" si="1"/>
        <v>0</v>
      </c>
      <c r="J16" s="446">
        <f>Gen!C22</f>
        <v>39347.69</v>
      </c>
      <c r="K16" s="295">
        <f>'Water-Meter'!E17</f>
        <v>0</v>
      </c>
      <c r="L16" s="653">
        <f>'Lpg (2)'!G21</f>
        <v>0</v>
      </c>
      <c r="M16" s="79" t="e">
        <f>SUM(#REF!-#REF!)</f>
        <v>#REF!</v>
      </c>
    </row>
    <row r="17" spans="1:13">
      <c r="A17" s="662">
        <f>Gen!A23</f>
        <v>44329</v>
      </c>
      <c r="B17" s="652">
        <f>'Daily report Gen'!Z18</f>
        <v>0</v>
      </c>
      <c r="C17" s="87">
        <f>Gen!B23</f>
        <v>0</v>
      </c>
      <c r="D17" s="434">
        <f t="shared" si="0"/>
        <v>0</v>
      </c>
      <c r="E17" s="74"/>
      <c r="F17" s="70" t="e">
        <f>Gen!U23</f>
        <v>#DIV/0!</v>
      </c>
      <c r="G17" s="85">
        <f>Gen!T21</f>
        <v>0</v>
      </c>
      <c r="H17" s="85">
        <f>Gen!AK23</f>
        <v>0</v>
      </c>
      <c r="I17" s="85">
        <f t="shared" si="1"/>
        <v>0</v>
      </c>
      <c r="J17" s="446">
        <f>Gen!C23</f>
        <v>39347.69</v>
      </c>
      <c r="K17" s="295">
        <f>'Water-Meter'!E18</f>
        <v>0</v>
      </c>
      <c r="L17" s="653">
        <f>'Lpg (2)'!G22</f>
        <v>0</v>
      </c>
      <c r="M17" s="79" t="e">
        <f>SUM(#REF!-#REF!)</f>
        <v>#REF!</v>
      </c>
    </row>
    <row r="18" spans="1:13">
      <c r="A18" s="662">
        <f>Gen!A24</f>
        <v>44330</v>
      </c>
      <c r="B18" s="652">
        <f>'Daily report Gen'!Z19</f>
        <v>0</v>
      </c>
      <c r="C18" s="87">
        <f>Gen!B24</f>
        <v>0</v>
      </c>
      <c r="D18" s="434">
        <f t="shared" si="0"/>
        <v>0</v>
      </c>
      <c r="E18" s="74"/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39347.69</v>
      </c>
      <c r="K18" s="295">
        <f>'Water-Meter'!E19</f>
        <v>0</v>
      </c>
      <c r="L18" s="653">
        <f>'Lpg (2)'!G23</f>
        <v>0</v>
      </c>
      <c r="M18" s="79" t="e">
        <f>SUM(#REF!-#REF!)</f>
        <v>#REF!</v>
      </c>
    </row>
    <row r="19" spans="1:13">
      <c r="A19" s="662">
        <f>Gen!A25</f>
        <v>44331</v>
      </c>
      <c r="B19" s="652">
        <f>'Daily report Gen'!Z20</f>
        <v>0</v>
      </c>
      <c r="C19" s="87">
        <f>Gen!B25</f>
        <v>0</v>
      </c>
      <c r="D19" s="434">
        <f t="shared" si="0"/>
        <v>0</v>
      </c>
      <c r="E19" s="74"/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39347.69</v>
      </c>
      <c r="K19" s="295">
        <f>'Water-Meter'!E20</f>
        <v>0</v>
      </c>
      <c r="L19" s="653">
        <f>'Lpg (2)'!G24</f>
        <v>0</v>
      </c>
      <c r="M19" s="79" t="e">
        <f>SUM(#REF!-#REF!)</f>
        <v>#REF!</v>
      </c>
    </row>
    <row r="20" spans="1:13">
      <c r="A20" s="662">
        <f>Gen!A26</f>
        <v>44332</v>
      </c>
      <c r="B20" s="652">
        <f>'Daily report Gen'!Z21</f>
        <v>0</v>
      </c>
      <c r="C20" s="87">
        <f>Gen!B26</f>
        <v>0</v>
      </c>
      <c r="D20" s="434">
        <f t="shared" si="0"/>
        <v>0</v>
      </c>
      <c r="E20" s="74"/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39347.69</v>
      </c>
      <c r="K20" s="295">
        <f>'Water-Meter'!E21</f>
        <v>0</v>
      </c>
      <c r="L20" s="653">
        <f>'Lpg (2)'!G25</f>
        <v>0</v>
      </c>
      <c r="M20" s="79" t="e">
        <f>SUM(#REF!-#REF!)</f>
        <v>#REF!</v>
      </c>
    </row>
    <row r="21" spans="1:13">
      <c r="A21" s="662">
        <f>Gen!A27</f>
        <v>44333</v>
      </c>
      <c r="B21" s="652">
        <f>'Daily report Gen'!Z22</f>
        <v>0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39347.69</v>
      </c>
      <c r="K21" s="295">
        <f>'Water-Meter'!E22</f>
        <v>0</v>
      </c>
      <c r="L21" s="653">
        <f>'Lpg (2)'!G26</f>
        <v>0</v>
      </c>
      <c r="M21" s="79" t="e">
        <f>SUM(#REF!-#REF!)</f>
        <v>#REF!</v>
      </c>
    </row>
    <row r="22" spans="1:13">
      <c r="A22" s="662">
        <f>Gen!A28</f>
        <v>44334</v>
      </c>
      <c r="B22" s="652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39347.69</v>
      </c>
      <c r="K22" s="295">
        <f>'Water-Meter'!E23</f>
        <v>0</v>
      </c>
      <c r="L22" s="653">
        <f>'Lpg (2)'!G27</f>
        <v>0</v>
      </c>
      <c r="M22" s="79" t="e">
        <f>SUM(#REF!-#REF!)</f>
        <v>#REF!</v>
      </c>
    </row>
    <row r="23" spans="1:13">
      <c r="A23" s="662">
        <f>Gen!A29</f>
        <v>44335</v>
      </c>
      <c r="B23" s="652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39347.69</v>
      </c>
      <c r="K23" s="295">
        <f>'Water-Meter'!E24</f>
        <v>0</v>
      </c>
      <c r="L23" s="653">
        <f>'Lpg (2)'!G28</f>
        <v>0</v>
      </c>
      <c r="M23" s="79" t="e">
        <f>SUM(#REF!-#REF!)</f>
        <v>#REF!</v>
      </c>
    </row>
    <row r="24" spans="1:13">
      <c r="A24" s="662">
        <f>Gen!A30</f>
        <v>44336</v>
      </c>
      <c r="B24" s="652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39347.69</v>
      </c>
      <c r="K24" s="295">
        <f>'Water-Meter'!E25</f>
        <v>0</v>
      </c>
      <c r="L24" s="653">
        <f>'Lpg (2)'!G29</f>
        <v>0</v>
      </c>
      <c r="M24" s="79" t="e">
        <f>SUM(#REF!-#REF!)</f>
        <v>#REF!</v>
      </c>
    </row>
    <row r="25" spans="1:13">
      <c r="A25" s="662">
        <f>Gen!A31</f>
        <v>44337</v>
      </c>
      <c r="B25" s="652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39347.69</v>
      </c>
      <c r="K25" s="295">
        <f>'Water-Meter'!E26</f>
        <v>0</v>
      </c>
      <c r="L25" s="653">
        <f>'Lpg (2)'!G30</f>
        <v>0</v>
      </c>
      <c r="M25" s="79" t="e">
        <f>SUM(#REF!-#REF!)</f>
        <v>#REF!</v>
      </c>
    </row>
    <row r="26" spans="1:13">
      <c r="A26" s="662">
        <f>Gen!A32</f>
        <v>44338</v>
      </c>
      <c r="B26" s="652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39347.69</v>
      </c>
      <c r="K26" s="295">
        <f>'Water-Meter'!E27</f>
        <v>0</v>
      </c>
      <c r="L26" s="653">
        <f>'Lpg (2)'!G31</f>
        <v>0</v>
      </c>
      <c r="M26" s="79" t="e">
        <f>SUM(#REF!-#REF!)</f>
        <v>#REF!</v>
      </c>
    </row>
    <row r="27" spans="1:13">
      <c r="A27" s="662">
        <f>Gen!A33</f>
        <v>44339</v>
      </c>
      <c r="B27" s="652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39347.69</v>
      </c>
      <c r="K27" s="295">
        <f>'Water-Meter'!E28</f>
        <v>0</v>
      </c>
      <c r="L27" s="653">
        <f>'Lpg (2)'!G32</f>
        <v>0</v>
      </c>
      <c r="M27" s="79" t="e">
        <f>SUM(#REF!-#REF!)</f>
        <v>#REF!</v>
      </c>
    </row>
    <row r="28" spans="1:13">
      <c r="A28" s="662">
        <f>Gen!A34</f>
        <v>44340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39347.69</v>
      </c>
      <c r="K28" s="295">
        <f>'Water-Meter'!E29</f>
        <v>0</v>
      </c>
      <c r="L28" s="653">
        <f>'Lpg (2)'!G33</f>
        <v>0</v>
      </c>
      <c r="M28" s="79" t="e">
        <f>SUM(#REF!-#REF!)</f>
        <v>#REF!</v>
      </c>
    </row>
    <row r="29" spans="1:13">
      <c r="A29" s="662">
        <f>Gen!A35</f>
        <v>44341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39347.69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44342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39347.69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44343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39347.69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44344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39347.69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44345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39347.69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44346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39347.69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44347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39347.69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39347.69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A11" sqref="AA11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0">
        <f>A6</f>
        <v>44317</v>
      </c>
      <c r="B1" s="891"/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1"/>
      <c r="N1" s="891"/>
      <c r="O1" s="891"/>
      <c r="P1" s="891"/>
      <c r="Q1" s="891"/>
      <c r="R1" s="891"/>
      <c r="S1" s="891"/>
      <c r="T1" s="891"/>
      <c r="U1" s="891"/>
      <c r="V1" s="891"/>
      <c r="W1" s="891"/>
      <c r="X1" s="891"/>
      <c r="Y1" s="891"/>
      <c r="Z1" s="891"/>
      <c r="AA1" s="891"/>
      <c r="AB1" s="891"/>
      <c r="AC1" s="19"/>
    </row>
    <row r="2" spans="1:29" ht="12" customHeight="1" thickBot="1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891"/>
      <c r="W2" s="891"/>
      <c r="X2" s="891"/>
      <c r="Y2" s="891"/>
      <c r="Z2" s="891"/>
      <c r="AA2" s="891"/>
      <c r="AB2" s="891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2" t="s">
        <v>298</v>
      </c>
      <c r="L3" s="893"/>
      <c r="M3" s="894"/>
      <c r="N3" s="892" t="s">
        <v>299</v>
      </c>
      <c r="O3" s="893"/>
      <c r="P3" s="894"/>
      <c r="Q3" s="892" t="s">
        <v>300</v>
      </c>
      <c r="R3" s="893"/>
      <c r="S3" s="894"/>
      <c r="T3" s="892" t="s">
        <v>301</v>
      </c>
      <c r="U3" s="893"/>
      <c r="V3" s="894"/>
      <c r="W3" s="892" t="s">
        <v>302</v>
      </c>
      <c r="X3" s="893"/>
      <c r="Y3" s="894"/>
      <c r="Z3" s="303"/>
      <c r="AA3" s="19"/>
      <c r="AB3" s="19"/>
      <c r="AC3" s="19"/>
    </row>
    <row r="4" spans="1:29" ht="35.25" customHeight="1" thickBot="1">
      <c r="A4" s="262" t="s">
        <v>86</v>
      </c>
      <c r="B4" s="849" t="s">
        <v>87</v>
      </c>
      <c r="C4" s="849" t="s">
        <v>88</v>
      </c>
      <c r="D4" s="849" t="s">
        <v>89</v>
      </c>
      <c r="E4" s="849" t="s">
        <v>90</v>
      </c>
      <c r="F4" s="849" t="s">
        <v>242</v>
      </c>
      <c r="G4" s="854" t="s">
        <v>91</v>
      </c>
      <c r="H4" s="849" t="s">
        <v>92</v>
      </c>
      <c r="I4" s="854" t="s">
        <v>93</v>
      </c>
      <c r="J4" s="859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5"/>
      <c r="B5" s="851"/>
      <c r="C5" s="850">
        <v>5587.56</v>
      </c>
      <c r="D5" s="145">
        <v>22273</v>
      </c>
      <c r="E5" s="851"/>
      <c r="F5" s="851"/>
      <c r="G5" s="851"/>
      <c r="H5" s="851"/>
      <c r="I5" s="145">
        <v>31991.4</v>
      </c>
      <c r="J5" s="861">
        <v>21328.7</v>
      </c>
      <c r="K5" s="857"/>
      <c r="L5" s="305">
        <v>36261</v>
      </c>
      <c r="M5" s="680"/>
      <c r="N5" s="673"/>
      <c r="O5" s="820">
        <v>31197</v>
      </c>
      <c r="P5" s="681"/>
      <c r="Q5" s="673"/>
      <c r="R5" s="305">
        <v>36489</v>
      </c>
      <c r="S5" s="681"/>
      <c r="T5" s="673"/>
      <c r="U5" s="820">
        <v>33660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6">
        <f>Gen!A11</f>
        <v>44317</v>
      </c>
      <c r="B6" s="851"/>
      <c r="C6" s="850">
        <v>5587.56</v>
      </c>
      <c r="D6" s="145">
        <v>22273</v>
      </c>
      <c r="E6" s="852"/>
      <c r="F6" s="145"/>
      <c r="G6" s="145">
        <v>88.75</v>
      </c>
      <c r="H6" s="145"/>
      <c r="I6" s="145">
        <v>31991.4</v>
      </c>
      <c r="J6" s="861">
        <v>21328.7</v>
      </c>
      <c r="K6" s="858">
        <f>L5</f>
        <v>36261</v>
      </c>
      <c r="L6" s="305">
        <v>36261</v>
      </c>
      <c r="M6" s="304">
        <f>L6-K6</f>
        <v>0</v>
      </c>
      <c r="N6" s="306">
        <f>O5</f>
        <v>31197</v>
      </c>
      <c r="O6" s="820">
        <v>31197</v>
      </c>
      <c r="P6" s="304">
        <f>O6-N6</f>
        <v>0</v>
      </c>
      <c r="Q6" s="304">
        <f>R5</f>
        <v>36489</v>
      </c>
      <c r="R6" s="305">
        <v>36489</v>
      </c>
      <c r="S6" s="304">
        <f>R6-Q6</f>
        <v>0</v>
      </c>
      <c r="T6" s="304">
        <f>U5</f>
        <v>33660</v>
      </c>
      <c r="U6" s="820">
        <v>33684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230</v>
      </c>
      <c r="AB6" s="125">
        <v>125</v>
      </c>
      <c r="AC6" s="684">
        <f>Gen!AR11</f>
        <v>1180.3800000000001</v>
      </c>
    </row>
    <row r="7" spans="1:29" ht="20.100000000000001" customHeight="1" thickBot="1">
      <c r="A7" s="856">
        <f>Gen!A12</f>
        <v>44318</v>
      </c>
      <c r="B7" s="851"/>
      <c r="C7" s="850">
        <v>4407.18</v>
      </c>
      <c r="D7" s="145">
        <v>22273</v>
      </c>
      <c r="E7" s="852"/>
      <c r="F7" s="145"/>
      <c r="G7" s="145"/>
      <c r="H7" s="145"/>
      <c r="I7" s="145">
        <v>31995.8</v>
      </c>
      <c r="J7" s="848">
        <v>21331.7</v>
      </c>
      <c r="K7" s="858">
        <f t="shared" ref="K7:K37" si="0">L6</f>
        <v>36261</v>
      </c>
      <c r="L7" s="305">
        <v>36286</v>
      </c>
      <c r="M7" s="304">
        <f t="shared" ref="M7:M37" si="1">L7-K7</f>
        <v>25</v>
      </c>
      <c r="N7" s="306">
        <f t="shared" ref="N7:N37" si="2">O6</f>
        <v>31197</v>
      </c>
      <c r="O7" s="820">
        <v>31197</v>
      </c>
      <c r="P7" s="304">
        <f t="shared" ref="P7:P37" si="3">O7-N7</f>
        <v>0</v>
      </c>
      <c r="Q7" s="304">
        <f t="shared" ref="Q7:Q37" si="4">R6</f>
        <v>36489</v>
      </c>
      <c r="R7" s="305">
        <v>36489</v>
      </c>
      <c r="S7" s="304">
        <f t="shared" ref="S7:S37" si="5">R7-Q7</f>
        <v>0</v>
      </c>
      <c r="T7" s="304">
        <f t="shared" ref="T7:T37" si="6">U6</f>
        <v>33684</v>
      </c>
      <c r="U7" s="820">
        <v>33684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25</v>
      </c>
      <c r="AA7" s="125">
        <v>220</v>
      </c>
      <c r="AB7" s="125">
        <v>125</v>
      </c>
      <c r="AC7" s="684">
        <f>Gen!AR12</f>
        <v>1114.1600000000001</v>
      </c>
    </row>
    <row r="8" spans="1:29" ht="20.100000000000001" customHeight="1" thickBot="1">
      <c r="A8" s="856">
        <f>Gen!A13</f>
        <v>44319</v>
      </c>
      <c r="B8" s="851"/>
      <c r="C8" s="850">
        <v>18193.02</v>
      </c>
      <c r="D8" s="145">
        <v>22273</v>
      </c>
      <c r="E8" s="852"/>
      <c r="F8" s="850"/>
      <c r="G8" s="145">
        <v>29.76</v>
      </c>
      <c r="H8" s="145"/>
      <c r="I8" s="145">
        <v>32000.400000000001</v>
      </c>
      <c r="J8" s="848">
        <v>21334.799999999999</v>
      </c>
      <c r="K8" s="858">
        <f t="shared" si="0"/>
        <v>36286</v>
      </c>
      <c r="L8" s="305">
        <v>36286</v>
      </c>
      <c r="M8" s="304">
        <f t="shared" si="1"/>
        <v>0</v>
      </c>
      <c r="N8" s="306">
        <f t="shared" si="2"/>
        <v>31197</v>
      </c>
      <c r="O8" s="820">
        <v>31197</v>
      </c>
      <c r="P8" s="304">
        <f t="shared" si="3"/>
        <v>0</v>
      </c>
      <c r="Q8" s="304">
        <f t="shared" si="4"/>
        <v>36489</v>
      </c>
      <c r="R8" s="305">
        <v>36489</v>
      </c>
      <c r="S8" s="304">
        <f t="shared" si="5"/>
        <v>0</v>
      </c>
      <c r="T8" s="304">
        <f t="shared" si="6"/>
        <v>33684</v>
      </c>
      <c r="U8" s="820">
        <v>33708</v>
      </c>
      <c r="V8" s="304">
        <f t="shared" si="7"/>
        <v>24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24</v>
      </c>
      <c r="AA8" s="125">
        <v>200</v>
      </c>
      <c r="AB8" s="125">
        <v>120</v>
      </c>
      <c r="AC8" s="684">
        <f>Gen!AR13</f>
        <v>1118.33</v>
      </c>
    </row>
    <row r="9" spans="1:29" ht="20.100000000000001" customHeight="1" thickBot="1">
      <c r="A9" s="856">
        <f>Gen!A14</f>
        <v>44320</v>
      </c>
      <c r="B9" s="851"/>
      <c r="C9" s="850">
        <v>17074.689999999999</v>
      </c>
      <c r="D9" s="145">
        <v>22273</v>
      </c>
      <c r="E9" s="852"/>
      <c r="F9" s="853"/>
      <c r="G9" s="145"/>
      <c r="H9" s="145"/>
      <c r="I9" s="145">
        <v>32004.7</v>
      </c>
      <c r="J9" s="848">
        <v>21337.9</v>
      </c>
      <c r="K9" s="858">
        <f t="shared" si="0"/>
        <v>36286</v>
      </c>
      <c r="L9" s="305"/>
      <c r="M9" s="304">
        <f t="shared" si="1"/>
        <v>-36286</v>
      </c>
      <c r="N9" s="306">
        <f t="shared" si="2"/>
        <v>31197</v>
      </c>
      <c r="O9" s="125"/>
      <c r="P9" s="304">
        <f t="shared" si="3"/>
        <v>-31197</v>
      </c>
      <c r="Q9" s="304">
        <f t="shared" si="4"/>
        <v>36489</v>
      </c>
      <c r="R9" s="305"/>
      <c r="S9" s="304">
        <f t="shared" si="5"/>
        <v>-36489</v>
      </c>
      <c r="T9" s="304">
        <f t="shared" si="6"/>
        <v>33708</v>
      </c>
      <c r="U9" s="125"/>
      <c r="V9" s="304">
        <f t="shared" si="7"/>
        <v>-33708</v>
      </c>
      <c r="W9" s="306">
        <f t="shared" si="8"/>
        <v>22034</v>
      </c>
      <c r="X9" s="673"/>
      <c r="Y9" s="304">
        <f t="shared" si="9"/>
        <v>-22034</v>
      </c>
      <c r="Z9" s="307">
        <f t="shared" si="10"/>
        <v>-159714</v>
      </c>
      <c r="AA9" s="125"/>
      <c r="AB9" s="125"/>
      <c r="AC9" s="684">
        <f>Gen!AR14</f>
        <v>0</v>
      </c>
    </row>
    <row r="10" spans="1:29" ht="20.100000000000001" customHeight="1" thickBot="1">
      <c r="A10" s="856">
        <f>Gen!A15</f>
        <v>44321</v>
      </c>
      <c r="B10" s="851"/>
      <c r="C10" s="850"/>
      <c r="D10" s="145"/>
      <c r="E10" s="852"/>
      <c r="F10" s="145"/>
      <c r="G10" s="145"/>
      <c r="H10" s="145"/>
      <c r="I10" s="145"/>
      <c r="J10" s="848"/>
      <c r="K10" s="858">
        <f t="shared" si="0"/>
        <v>0</v>
      </c>
      <c r="L10" s="305"/>
      <c r="M10" s="304">
        <f t="shared" si="1"/>
        <v>0</v>
      </c>
      <c r="N10" s="306">
        <f t="shared" si="2"/>
        <v>0</v>
      </c>
      <c r="O10" s="125"/>
      <c r="P10" s="304">
        <f t="shared" si="3"/>
        <v>0</v>
      </c>
      <c r="Q10" s="304">
        <f t="shared" si="4"/>
        <v>0</v>
      </c>
      <c r="R10" s="305"/>
      <c r="S10" s="304">
        <f t="shared" si="5"/>
        <v>0</v>
      </c>
      <c r="T10" s="304">
        <f t="shared" si="6"/>
        <v>0</v>
      </c>
      <c r="U10" s="125"/>
      <c r="V10" s="304">
        <f t="shared" si="7"/>
        <v>0</v>
      </c>
      <c r="W10" s="306">
        <f t="shared" si="8"/>
        <v>0</v>
      </c>
      <c r="X10" s="673"/>
      <c r="Y10" s="304">
        <f t="shared" si="9"/>
        <v>0</v>
      </c>
      <c r="Z10" s="307">
        <f t="shared" si="10"/>
        <v>0</v>
      </c>
      <c r="AA10" s="125"/>
      <c r="AB10" s="125"/>
      <c r="AC10" s="684">
        <f>Gen!AR15</f>
        <v>0</v>
      </c>
    </row>
    <row r="11" spans="1:29" ht="20.100000000000001" customHeight="1" thickBot="1">
      <c r="A11" s="856">
        <f>Gen!A16</f>
        <v>44322</v>
      </c>
      <c r="B11" s="851"/>
      <c r="C11" s="850"/>
      <c r="D11" s="145"/>
      <c r="E11" s="852"/>
      <c r="F11" s="145"/>
      <c r="G11" s="145"/>
      <c r="H11" s="145"/>
      <c r="I11" s="145"/>
      <c r="J11" s="848"/>
      <c r="K11" s="858">
        <f t="shared" si="0"/>
        <v>0</v>
      </c>
      <c r="L11" s="305"/>
      <c r="M11" s="304">
        <f t="shared" si="1"/>
        <v>0</v>
      </c>
      <c r="N11" s="306">
        <f t="shared" si="2"/>
        <v>0</v>
      </c>
      <c r="O11" s="125"/>
      <c r="P11" s="304">
        <f t="shared" si="3"/>
        <v>0</v>
      </c>
      <c r="Q11" s="304">
        <f t="shared" si="4"/>
        <v>0</v>
      </c>
      <c r="R11" s="305"/>
      <c r="S11" s="304">
        <f t="shared" si="5"/>
        <v>0</v>
      </c>
      <c r="T11" s="304">
        <f t="shared" si="6"/>
        <v>0</v>
      </c>
      <c r="U11" s="125"/>
      <c r="V11" s="304">
        <f t="shared" si="7"/>
        <v>0</v>
      </c>
      <c r="W11" s="306">
        <f t="shared" si="8"/>
        <v>0</v>
      </c>
      <c r="X11" s="673"/>
      <c r="Y11" s="304">
        <f t="shared" si="9"/>
        <v>0</v>
      </c>
      <c r="Z11" s="307">
        <f t="shared" si="10"/>
        <v>0</v>
      </c>
      <c r="AA11" s="125"/>
      <c r="AB11" s="125"/>
      <c r="AC11" s="684">
        <f>Gen!AR16</f>
        <v>0</v>
      </c>
    </row>
    <row r="12" spans="1:29" ht="20.100000000000001" customHeight="1" thickBot="1">
      <c r="A12" s="856">
        <f>Gen!A17</f>
        <v>44323</v>
      </c>
      <c r="B12" s="851"/>
      <c r="C12" s="850"/>
      <c r="D12" s="145"/>
      <c r="E12" s="852"/>
      <c r="F12" s="145"/>
      <c r="G12" s="145"/>
      <c r="H12" s="145"/>
      <c r="I12" s="145"/>
      <c r="J12" s="848"/>
      <c r="K12" s="858">
        <f t="shared" si="0"/>
        <v>0</v>
      </c>
      <c r="L12" s="305"/>
      <c r="M12" s="304">
        <f t="shared" si="1"/>
        <v>0</v>
      </c>
      <c r="N12" s="306">
        <f t="shared" si="2"/>
        <v>0</v>
      </c>
      <c r="O12" s="125"/>
      <c r="P12" s="304">
        <f t="shared" si="3"/>
        <v>0</v>
      </c>
      <c r="Q12" s="304">
        <f t="shared" si="4"/>
        <v>0</v>
      </c>
      <c r="R12" s="305"/>
      <c r="S12" s="304">
        <f t="shared" si="5"/>
        <v>0</v>
      </c>
      <c r="T12" s="304">
        <f t="shared" si="6"/>
        <v>0</v>
      </c>
      <c r="U12" s="125"/>
      <c r="V12" s="304">
        <f t="shared" si="7"/>
        <v>0</v>
      </c>
      <c r="W12" s="306">
        <f t="shared" si="8"/>
        <v>0</v>
      </c>
      <c r="X12" s="673"/>
      <c r="Y12" s="304">
        <f t="shared" si="9"/>
        <v>0</v>
      </c>
      <c r="Z12" s="307">
        <f t="shared" si="10"/>
        <v>0</v>
      </c>
      <c r="AA12" s="125"/>
      <c r="AB12" s="125"/>
      <c r="AC12" s="684">
        <f>Gen!AR17</f>
        <v>0</v>
      </c>
    </row>
    <row r="13" spans="1:29" ht="20.100000000000001" customHeight="1" thickBot="1">
      <c r="A13" s="856">
        <f>Gen!A18</f>
        <v>44324</v>
      </c>
      <c r="B13" s="851"/>
      <c r="C13" s="850"/>
      <c r="D13" s="145"/>
      <c r="E13" s="852"/>
      <c r="F13" s="145"/>
      <c r="G13" s="145"/>
      <c r="H13" s="145"/>
      <c r="I13" s="145"/>
      <c r="J13" s="848"/>
      <c r="K13" s="858">
        <f t="shared" si="0"/>
        <v>0</v>
      </c>
      <c r="L13" s="305"/>
      <c r="M13" s="304">
        <f t="shared" si="1"/>
        <v>0</v>
      </c>
      <c r="N13" s="306">
        <f t="shared" si="2"/>
        <v>0</v>
      </c>
      <c r="O13" s="125"/>
      <c r="P13" s="304">
        <f>O14-N13</f>
        <v>0</v>
      </c>
      <c r="Q13" s="304">
        <f t="shared" si="4"/>
        <v>0</v>
      </c>
      <c r="R13" s="125"/>
      <c r="S13" s="304">
        <f t="shared" si="5"/>
        <v>0</v>
      </c>
      <c r="T13" s="304">
        <f t="shared" si="6"/>
        <v>0</v>
      </c>
      <c r="U13" s="125"/>
      <c r="V13" s="304">
        <f t="shared" si="7"/>
        <v>0</v>
      </c>
      <c r="W13" s="306">
        <f t="shared" si="8"/>
        <v>0</v>
      </c>
      <c r="X13" s="673"/>
      <c r="Y13" s="304">
        <f t="shared" si="9"/>
        <v>0</v>
      </c>
      <c r="Z13" s="307">
        <f t="shared" si="10"/>
        <v>0</v>
      </c>
      <c r="AA13" s="125"/>
      <c r="AB13" s="125"/>
      <c r="AC13" s="684">
        <f>Gen!AR18</f>
        <v>0</v>
      </c>
    </row>
    <row r="14" spans="1:29" ht="20.100000000000001" customHeight="1" thickBot="1">
      <c r="A14" s="856">
        <f>Gen!A19</f>
        <v>44325</v>
      </c>
      <c r="B14" s="851"/>
      <c r="C14" s="850"/>
      <c r="D14" s="145"/>
      <c r="E14" s="852"/>
      <c r="F14" s="145"/>
      <c r="G14" s="145"/>
      <c r="H14" s="145"/>
      <c r="I14" s="145"/>
      <c r="J14" s="848"/>
      <c r="K14" s="858">
        <f t="shared" si="0"/>
        <v>0</v>
      </c>
      <c r="L14" s="305"/>
      <c r="M14" s="304">
        <f t="shared" si="1"/>
        <v>0</v>
      </c>
      <c r="N14" s="306">
        <f>O14</f>
        <v>0</v>
      </c>
      <c r="O14" s="125"/>
      <c r="P14" s="304">
        <f t="shared" ref="P14:P15" si="11">O15-N14</f>
        <v>0</v>
      </c>
      <c r="Q14" s="304">
        <f t="shared" si="4"/>
        <v>0</v>
      </c>
      <c r="R14" s="125"/>
      <c r="S14" s="304">
        <f t="shared" si="5"/>
        <v>0</v>
      </c>
      <c r="T14" s="304">
        <f t="shared" si="6"/>
        <v>0</v>
      </c>
      <c r="U14" s="305"/>
      <c r="V14" s="304">
        <f t="shared" si="7"/>
        <v>0</v>
      </c>
      <c r="W14" s="306">
        <f t="shared" si="8"/>
        <v>0</v>
      </c>
      <c r="X14" s="673"/>
      <c r="Y14" s="304">
        <f t="shared" si="9"/>
        <v>0</v>
      </c>
      <c r="Z14" s="307">
        <f t="shared" si="10"/>
        <v>0</v>
      </c>
      <c r="AA14" s="125"/>
      <c r="AB14" s="125"/>
      <c r="AC14" s="684">
        <f>Gen!AR19</f>
        <v>0</v>
      </c>
    </row>
    <row r="15" spans="1:29" ht="20.100000000000001" customHeight="1" thickBot="1">
      <c r="A15" s="856">
        <f>Gen!A20</f>
        <v>44326</v>
      </c>
      <c r="B15" s="851"/>
      <c r="C15" s="850"/>
      <c r="D15" s="145"/>
      <c r="E15" s="852"/>
      <c r="F15" s="145"/>
      <c r="G15" s="862"/>
      <c r="H15" s="145"/>
      <c r="I15" s="145"/>
      <c r="J15" s="848"/>
      <c r="K15" s="858">
        <f t="shared" si="0"/>
        <v>0</v>
      </c>
      <c r="L15" s="305"/>
      <c r="M15" s="304">
        <f t="shared" si="1"/>
        <v>0</v>
      </c>
      <c r="N15" s="306" t="e">
        <f>#REF!</f>
        <v>#REF!</v>
      </c>
      <c r="O15" s="125"/>
      <c r="P15" s="304" t="e">
        <f t="shared" si="11"/>
        <v>#REF!</v>
      </c>
      <c r="Q15" s="304">
        <f t="shared" si="4"/>
        <v>0</v>
      </c>
      <c r="R15" s="125"/>
      <c r="S15" s="304">
        <f t="shared" si="5"/>
        <v>0</v>
      </c>
      <c r="T15" s="304">
        <f t="shared" si="6"/>
        <v>0</v>
      </c>
      <c r="U15" s="305"/>
      <c r="V15" s="304">
        <f t="shared" si="7"/>
        <v>0</v>
      </c>
      <c r="W15" s="306">
        <f t="shared" si="8"/>
        <v>0</v>
      </c>
      <c r="X15" s="673"/>
      <c r="Y15" s="304">
        <f t="shared" si="9"/>
        <v>0</v>
      </c>
      <c r="Z15" s="307" t="e">
        <f t="shared" si="10"/>
        <v>#REF!</v>
      </c>
      <c r="AA15" s="125"/>
      <c r="AB15" s="125"/>
      <c r="AC15" s="684">
        <f>Gen!AR20</f>
        <v>0</v>
      </c>
    </row>
    <row r="16" spans="1:29" ht="20.100000000000001" customHeight="1" thickBot="1">
      <c r="A16" s="856">
        <f>Gen!A21</f>
        <v>44327</v>
      </c>
      <c r="B16" s="851"/>
      <c r="C16" s="850"/>
      <c r="D16" s="145"/>
      <c r="E16" s="852"/>
      <c r="F16" s="145"/>
      <c r="G16" s="145"/>
      <c r="H16" s="145"/>
      <c r="I16" s="145"/>
      <c r="J16" s="848"/>
      <c r="K16" s="858">
        <f t="shared" si="0"/>
        <v>0</v>
      </c>
      <c r="L16" s="305"/>
      <c r="M16" s="304">
        <f>L16-K16</f>
        <v>0</v>
      </c>
      <c r="N16" s="306">
        <f t="shared" si="2"/>
        <v>0</v>
      </c>
      <c r="O16" s="125"/>
      <c r="P16" s="304">
        <f t="shared" si="3"/>
        <v>0</v>
      </c>
      <c r="Q16" s="304">
        <f t="shared" si="4"/>
        <v>0</v>
      </c>
      <c r="R16" s="125"/>
      <c r="S16" s="304">
        <f t="shared" si="5"/>
        <v>0</v>
      </c>
      <c r="T16" s="304">
        <f t="shared" si="6"/>
        <v>0</v>
      </c>
      <c r="U16" s="305"/>
      <c r="V16" s="304">
        <f t="shared" si="7"/>
        <v>0</v>
      </c>
      <c r="W16" s="306">
        <f t="shared" si="8"/>
        <v>0</v>
      </c>
      <c r="X16" s="673"/>
      <c r="Y16" s="304">
        <f t="shared" si="9"/>
        <v>0</v>
      </c>
      <c r="Z16" s="307">
        <f t="shared" si="10"/>
        <v>0</v>
      </c>
      <c r="AA16" s="125"/>
      <c r="AB16" s="125"/>
      <c r="AC16" s="684">
        <f>Gen!AR21</f>
        <v>0</v>
      </c>
    </row>
    <row r="17" spans="1:29" ht="20.100000000000001" customHeight="1" thickBot="1">
      <c r="A17" s="856">
        <f>Gen!A22</f>
        <v>44328</v>
      </c>
      <c r="B17" s="851"/>
      <c r="C17" s="850"/>
      <c r="D17" s="145"/>
      <c r="E17" s="852"/>
      <c r="F17" s="145"/>
      <c r="G17" s="145"/>
      <c r="H17" s="145"/>
      <c r="I17" s="145"/>
      <c r="J17" s="848"/>
      <c r="K17" s="858">
        <f>L16</f>
        <v>0</v>
      </c>
      <c r="L17" s="305"/>
      <c r="M17" s="304">
        <f>L17-K17</f>
        <v>0</v>
      </c>
      <c r="N17" s="306">
        <f t="shared" si="2"/>
        <v>0</v>
      </c>
      <c r="O17" s="125"/>
      <c r="P17" s="304">
        <f t="shared" si="3"/>
        <v>0</v>
      </c>
      <c r="Q17" s="304">
        <f t="shared" si="4"/>
        <v>0</v>
      </c>
      <c r="R17" s="125"/>
      <c r="S17" s="304">
        <f t="shared" si="5"/>
        <v>0</v>
      </c>
      <c r="T17" s="304">
        <f t="shared" si="6"/>
        <v>0</v>
      </c>
      <c r="U17" s="305"/>
      <c r="V17" s="304">
        <f t="shared" si="7"/>
        <v>0</v>
      </c>
      <c r="W17" s="306">
        <f t="shared" si="8"/>
        <v>0</v>
      </c>
      <c r="X17" s="673"/>
      <c r="Y17" s="304">
        <f t="shared" si="9"/>
        <v>0</v>
      </c>
      <c r="Z17" s="307">
        <f t="shared" si="10"/>
        <v>0</v>
      </c>
      <c r="AA17" s="125"/>
      <c r="AB17" s="125"/>
      <c r="AC17" s="684">
        <f>Gen!AR22</f>
        <v>0</v>
      </c>
    </row>
    <row r="18" spans="1:29" ht="20.100000000000001" customHeight="1" thickBot="1">
      <c r="A18" s="856">
        <f>Gen!A23</f>
        <v>44329</v>
      </c>
      <c r="B18" s="851"/>
      <c r="C18" s="850"/>
      <c r="D18" s="145"/>
      <c r="E18" s="145"/>
      <c r="F18" s="145"/>
      <c r="G18" s="145"/>
      <c r="H18" s="145"/>
      <c r="I18" s="145"/>
      <c r="J18" s="848"/>
      <c r="K18" s="858">
        <f>L17</f>
        <v>0</v>
      </c>
      <c r="L18" s="305"/>
      <c r="M18" s="304">
        <f t="shared" si="1"/>
        <v>0</v>
      </c>
      <c r="N18" s="306">
        <f t="shared" si="2"/>
        <v>0</v>
      </c>
      <c r="O18" s="125"/>
      <c r="P18" s="304">
        <f t="shared" si="3"/>
        <v>0</v>
      </c>
      <c r="Q18" s="304">
        <f t="shared" si="4"/>
        <v>0</v>
      </c>
      <c r="R18" s="125"/>
      <c r="S18" s="304">
        <f t="shared" si="5"/>
        <v>0</v>
      </c>
      <c r="T18" s="304">
        <f t="shared" si="6"/>
        <v>0</v>
      </c>
      <c r="U18" s="305"/>
      <c r="V18" s="304">
        <f t="shared" si="7"/>
        <v>0</v>
      </c>
      <c r="W18" s="306">
        <f t="shared" si="8"/>
        <v>0</v>
      </c>
      <c r="X18" s="673"/>
      <c r="Y18" s="304">
        <f t="shared" si="9"/>
        <v>0</v>
      </c>
      <c r="Z18" s="307">
        <f t="shared" si="10"/>
        <v>0</v>
      </c>
      <c r="AA18" s="125"/>
      <c r="AB18" s="125"/>
      <c r="AC18" s="684">
        <f>Gen!AR23</f>
        <v>0</v>
      </c>
    </row>
    <row r="19" spans="1:29" ht="20.100000000000001" customHeight="1" thickBot="1">
      <c r="A19" s="856">
        <f>Gen!A24</f>
        <v>44330</v>
      </c>
      <c r="B19" s="851"/>
      <c r="C19" s="850"/>
      <c r="D19" s="145"/>
      <c r="E19" s="145"/>
      <c r="F19" s="145"/>
      <c r="G19" s="145"/>
      <c r="H19" s="145"/>
      <c r="I19" s="145"/>
      <c r="J19" s="848"/>
      <c r="K19" s="858">
        <f t="shared" si="0"/>
        <v>0</v>
      </c>
      <c r="L19" s="305"/>
      <c r="M19" s="304">
        <f t="shared" si="1"/>
        <v>0</v>
      </c>
      <c r="N19" s="306">
        <f t="shared" si="2"/>
        <v>0</v>
      </c>
      <c r="O19" s="125"/>
      <c r="P19" s="304">
        <f t="shared" si="3"/>
        <v>0</v>
      </c>
      <c r="Q19" s="304">
        <f t="shared" si="4"/>
        <v>0</v>
      </c>
      <c r="R19" s="125"/>
      <c r="S19" s="304">
        <f t="shared" si="5"/>
        <v>0</v>
      </c>
      <c r="T19" s="304">
        <f t="shared" si="6"/>
        <v>0</v>
      </c>
      <c r="U19" s="305"/>
      <c r="V19" s="304">
        <f t="shared" si="7"/>
        <v>0</v>
      </c>
      <c r="W19" s="306">
        <f t="shared" si="8"/>
        <v>0</v>
      </c>
      <c r="X19" s="673"/>
      <c r="Y19" s="304">
        <f t="shared" si="9"/>
        <v>0</v>
      </c>
      <c r="Z19" s="307">
        <f t="shared" si="10"/>
        <v>0</v>
      </c>
      <c r="AA19" s="125"/>
      <c r="AB19" s="125"/>
      <c r="AC19" s="684">
        <f>Gen!AR24</f>
        <v>0</v>
      </c>
    </row>
    <row r="20" spans="1:29" ht="20.100000000000001" customHeight="1">
      <c r="A20" s="856">
        <f>Gen!A25</f>
        <v>44331</v>
      </c>
      <c r="B20" s="851"/>
      <c r="C20" s="850"/>
      <c r="D20" s="145"/>
      <c r="E20" s="145"/>
      <c r="F20" s="145"/>
      <c r="G20" s="145"/>
      <c r="H20" s="145"/>
      <c r="I20" s="145"/>
      <c r="J20" s="848"/>
      <c r="K20" s="858">
        <f t="shared" si="0"/>
        <v>0</v>
      </c>
      <c r="L20" s="305"/>
      <c r="M20" s="304">
        <f t="shared" si="1"/>
        <v>0</v>
      </c>
      <c r="N20" s="306">
        <f t="shared" si="2"/>
        <v>0</v>
      </c>
      <c r="O20" s="125"/>
      <c r="P20" s="304">
        <f t="shared" si="3"/>
        <v>0</v>
      </c>
      <c r="Q20" s="304">
        <f t="shared" si="4"/>
        <v>0</v>
      </c>
      <c r="R20" s="125"/>
      <c r="S20" s="304">
        <f t="shared" si="5"/>
        <v>0</v>
      </c>
      <c r="T20" s="304">
        <f t="shared" si="6"/>
        <v>0</v>
      </c>
      <c r="U20" s="305"/>
      <c r="V20" s="304">
        <f t="shared" si="7"/>
        <v>0</v>
      </c>
      <c r="W20" s="306">
        <f t="shared" si="8"/>
        <v>0</v>
      </c>
      <c r="X20" s="673"/>
      <c r="Y20" s="304">
        <f t="shared" si="9"/>
        <v>0</v>
      </c>
      <c r="Z20" s="307">
        <f t="shared" si="10"/>
        <v>0</v>
      </c>
      <c r="AA20" s="125"/>
      <c r="AB20" s="125"/>
      <c r="AC20" s="684">
        <f>Gen!AR25</f>
        <v>0</v>
      </c>
    </row>
    <row r="21" spans="1:29" ht="20.100000000000001" customHeight="1">
      <c r="A21" s="856">
        <f>Gen!A26</f>
        <v>44332</v>
      </c>
      <c r="B21" s="851"/>
      <c r="C21" s="850"/>
      <c r="D21" s="145"/>
      <c r="E21" s="145"/>
      <c r="F21" s="145"/>
      <c r="G21" s="145"/>
      <c r="H21" s="145"/>
      <c r="I21" s="145"/>
      <c r="J21" s="848"/>
      <c r="K21" s="858">
        <f t="shared" si="0"/>
        <v>0</v>
      </c>
      <c r="L21" s="305"/>
      <c r="M21" s="304">
        <f t="shared" si="1"/>
        <v>0</v>
      </c>
      <c r="N21" s="306">
        <f t="shared" si="2"/>
        <v>0</v>
      </c>
      <c r="O21" s="12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84">
        <f>Gen!AR26</f>
        <v>0</v>
      </c>
    </row>
    <row r="22" spans="1:29" ht="18.75" customHeight="1">
      <c r="A22" s="856">
        <f>Gen!A27</f>
        <v>44333</v>
      </c>
      <c r="B22" s="851"/>
      <c r="C22" s="850"/>
      <c r="D22" s="145"/>
      <c r="E22" s="145"/>
      <c r="F22" s="145"/>
      <c r="G22" s="145"/>
      <c r="H22" s="145"/>
      <c r="I22" s="145"/>
      <c r="J22" s="848"/>
      <c r="K22" s="858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12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84">
        <f>Gen!AR27</f>
        <v>0</v>
      </c>
    </row>
    <row r="23" spans="1:29" ht="20.100000000000001" customHeight="1">
      <c r="A23" s="856">
        <f>Gen!A28</f>
        <v>44334</v>
      </c>
      <c r="B23" s="851"/>
      <c r="C23" s="850"/>
      <c r="D23" s="853"/>
      <c r="E23" s="852"/>
      <c r="F23" s="145"/>
      <c r="G23" s="145"/>
      <c r="H23" s="145"/>
      <c r="I23" s="145"/>
      <c r="J23" s="848"/>
      <c r="K23" s="858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4">
        <f>Gen!AR28</f>
        <v>0</v>
      </c>
    </row>
    <row r="24" spans="1:29" ht="20.100000000000001" customHeight="1">
      <c r="A24" s="856">
        <f>Gen!A29</f>
        <v>44335</v>
      </c>
      <c r="B24" s="851"/>
      <c r="C24" s="850"/>
      <c r="D24" s="853"/>
      <c r="E24" s="145"/>
      <c r="F24" s="145"/>
      <c r="G24" s="145"/>
      <c r="H24" s="145"/>
      <c r="I24" s="145"/>
      <c r="J24" s="848"/>
      <c r="K24" s="858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4">
        <f>Gen!AR29</f>
        <v>0</v>
      </c>
    </row>
    <row r="25" spans="1:29" ht="18.75" customHeight="1">
      <c r="A25" s="856">
        <f>Gen!A30</f>
        <v>44336</v>
      </c>
      <c r="B25" s="851"/>
      <c r="C25" s="850"/>
      <c r="D25" s="853"/>
      <c r="E25" s="145"/>
      <c r="F25" s="145"/>
      <c r="G25" s="145"/>
      <c r="H25" s="145"/>
      <c r="I25" s="145"/>
      <c r="J25" s="848"/>
      <c r="K25" s="858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4">
        <f>Gen!AR30</f>
        <v>0</v>
      </c>
    </row>
    <row r="26" spans="1:29" ht="20.100000000000001" customHeight="1">
      <c r="A26" s="856">
        <f>Gen!A31</f>
        <v>44337</v>
      </c>
      <c r="B26" s="851"/>
      <c r="C26" s="850"/>
      <c r="D26" s="853"/>
      <c r="E26" s="145"/>
      <c r="F26" s="145"/>
      <c r="G26" s="145"/>
      <c r="H26" s="145"/>
      <c r="I26" s="145"/>
      <c r="J26" s="848"/>
      <c r="K26" s="858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4">
        <f>Gen!AR31</f>
        <v>0</v>
      </c>
    </row>
    <row r="27" spans="1:29" ht="20.100000000000001" customHeight="1">
      <c r="A27" s="856">
        <f>Gen!A32</f>
        <v>44338</v>
      </c>
      <c r="B27" s="851"/>
      <c r="C27" s="850"/>
      <c r="D27" s="853"/>
      <c r="E27" s="145"/>
      <c r="F27" s="145"/>
      <c r="G27" s="145"/>
      <c r="H27" s="145"/>
      <c r="I27" s="145"/>
      <c r="J27" s="848"/>
      <c r="K27" s="858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4">
        <f>Gen!AR32</f>
        <v>0</v>
      </c>
    </row>
    <row r="28" spans="1:29" ht="20.100000000000001" customHeight="1">
      <c r="A28" s="856">
        <f>Gen!A33</f>
        <v>44339</v>
      </c>
      <c r="B28" s="860"/>
      <c r="C28" s="788"/>
      <c r="D28" s="789"/>
      <c r="E28" s="305"/>
      <c r="F28" s="305"/>
      <c r="G28" s="305"/>
      <c r="H28" s="305"/>
      <c r="I28" s="305"/>
      <c r="J28" s="305"/>
      <c r="K28" s="858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44340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44341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44342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44343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44344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44345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44346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44347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abSelected="1" topLeftCell="A4" workbookViewId="0">
      <pane xSplit="1" topLeftCell="B1" activePane="topRight" state="frozen"/>
      <selection pane="topRight" activeCell="J28" sqref="J28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4"/>
      <c r="B1" s="904"/>
    </row>
    <row r="2" spans="1:46" ht="26.25">
      <c r="A2" s="904"/>
      <c r="B2" s="904"/>
      <c r="D2" s="905">
        <f>A11</f>
        <v>44317</v>
      </c>
      <c r="E2" s="905"/>
      <c r="F2" s="906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6"/>
      <c r="AC2" s="906"/>
      <c r="AD2" s="906"/>
      <c r="AE2" s="906"/>
      <c r="AF2" s="906"/>
      <c r="AG2" s="906"/>
      <c r="AH2" s="906"/>
      <c r="AI2" s="906"/>
      <c r="AJ2" s="906"/>
      <c r="AK2" s="906"/>
      <c r="AL2" s="906"/>
      <c r="AM2" s="906"/>
      <c r="AN2" s="906"/>
      <c r="AO2" s="906"/>
      <c r="AP2" s="906"/>
      <c r="AQ2" s="906"/>
      <c r="AR2" s="906"/>
      <c r="AS2" s="906"/>
      <c r="AT2" s="906"/>
    </row>
    <row r="3" spans="1:46" ht="12.75" customHeight="1">
      <c r="A3" s="904"/>
      <c r="B3" s="904"/>
      <c r="H3" s="907"/>
      <c r="I3" s="907"/>
      <c r="J3" s="907"/>
      <c r="K3" s="181"/>
      <c r="Q3" s="181"/>
    </row>
    <row r="4" spans="1:46" ht="11.25" customHeight="1">
      <c r="A4" s="904"/>
      <c r="B4" s="904"/>
      <c r="H4" s="907"/>
      <c r="I4" s="907"/>
      <c r="J4" s="907"/>
      <c r="K4" s="181"/>
      <c r="Q4" s="181"/>
    </row>
    <row r="5" spans="1:46" ht="12" thickBot="1">
      <c r="A5" s="904"/>
      <c r="B5" s="904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4"/>
      <c r="B6" s="904"/>
      <c r="C6" s="186"/>
      <c r="F6" s="908" t="s">
        <v>57</v>
      </c>
      <c r="G6" s="909"/>
      <c r="H6" s="909"/>
      <c r="I6" s="909"/>
      <c r="J6" s="909"/>
      <c r="K6" s="909"/>
      <c r="L6" s="910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1" t="s">
        <v>201</v>
      </c>
      <c r="G7" s="912"/>
      <c r="H7" s="912"/>
      <c r="I7" s="912"/>
      <c r="J7" s="912"/>
      <c r="K7" s="912"/>
      <c r="L7" s="913"/>
      <c r="M7" s="914" t="s">
        <v>40</v>
      </c>
      <c r="N7" s="915"/>
      <c r="O7" s="915"/>
      <c r="P7" s="915"/>
      <c r="Q7" s="915"/>
      <c r="R7" s="916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v>27860.560000000001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44317</v>
      </c>
      <c r="B11" s="824">
        <v>0.01</v>
      </c>
      <c r="C11" s="802">
        <f>SUM(C9+D11)</f>
        <v>27860.560000000001</v>
      </c>
      <c r="D11" s="803"/>
      <c r="E11" s="800">
        <v>15000</v>
      </c>
      <c r="F11" s="846" t="s">
        <v>319</v>
      </c>
      <c r="G11" s="801"/>
      <c r="H11" s="204"/>
      <c r="I11" s="223"/>
      <c r="J11" s="204"/>
      <c r="K11" s="204">
        <v>1091.6300000000001</v>
      </c>
      <c r="L11" s="299"/>
      <c r="M11" s="298"/>
      <c r="N11" s="206"/>
      <c r="O11" s="206"/>
      <c r="P11" s="206"/>
      <c r="Q11" s="206">
        <v>2650</v>
      </c>
      <c r="R11" s="562"/>
      <c r="S11" s="570">
        <f t="shared" si="0"/>
        <v>1091.6300000000001</v>
      </c>
      <c r="T11" s="218">
        <f t="shared" si="1"/>
        <v>2650</v>
      </c>
      <c r="U11" s="571">
        <f t="shared" ref="U11:U41" si="4">S11/T11</f>
        <v>0.4119358490566038</v>
      </c>
      <c r="V11" s="211"/>
      <c r="W11" s="219"/>
      <c r="X11" s="197"/>
      <c r="Y11" s="219"/>
      <c r="Z11" s="204"/>
      <c r="AA11" s="273"/>
      <c r="AB11" s="219">
        <v>88.75</v>
      </c>
      <c r="AC11" s="219"/>
      <c r="AD11" s="219"/>
      <c r="AE11" s="219"/>
      <c r="AF11" s="219"/>
      <c r="AG11" s="219"/>
      <c r="AH11" s="219"/>
      <c r="AI11" s="386"/>
      <c r="AJ11" s="271">
        <f t="shared" si="3"/>
        <v>88.75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1180.3800000000001</v>
      </c>
      <c r="AS11" s="221">
        <f>AR11*AU11</f>
        <v>0</v>
      </c>
      <c r="AT11" s="283">
        <f t="shared" ref="AT11:AT43" si="5">C11</f>
        <v>27860.560000000001</v>
      </c>
    </row>
    <row r="12" spans="1:46" ht="13.5" customHeight="1">
      <c r="A12" s="575">
        <v>44318</v>
      </c>
      <c r="B12" s="825">
        <v>0</v>
      </c>
      <c r="C12" s="802">
        <f t="shared" ref="C12:C43" si="6">SUM(C11-AR11+D12)</f>
        <v>26680.18</v>
      </c>
      <c r="D12" s="803"/>
      <c r="E12" s="800"/>
      <c r="F12" s="525"/>
      <c r="G12" s="801">
        <v>1114.1600000000001</v>
      </c>
      <c r="H12" s="204"/>
      <c r="I12" s="223"/>
      <c r="J12" s="204"/>
      <c r="K12" s="204"/>
      <c r="L12" s="299"/>
      <c r="M12" s="298">
        <v>2697</v>
      </c>
      <c r="N12" s="206"/>
      <c r="O12" s="206"/>
      <c r="P12" s="206"/>
      <c r="Q12" s="206"/>
      <c r="R12" s="562"/>
      <c r="S12" s="570">
        <f t="shared" si="0"/>
        <v>1114.1600000000001</v>
      </c>
      <c r="T12" s="218">
        <f t="shared" si="1"/>
        <v>2697</v>
      </c>
      <c r="U12" s="571">
        <f t="shared" si="4"/>
        <v>0.41311086392287732</v>
      </c>
      <c r="V12" s="211"/>
      <c r="W12" s="219"/>
      <c r="X12" s="197"/>
      <c r="Y12" s="219"/>
      <c r="Z12" s="204"/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>SUM(V12:AI12)</f>
        <v>0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1114.1600000000001</v>
      </c>
      <c r="AS12" s="221">
        <f t="shared" ref="AS12:AS44" si="7">AR12*AU12</f>
        <v>0</v>
      </c>
      <c r="AT12" s="283">
        <f t="shared" si="5"/>
        <v>26680.18</v>
      </c>
    </row>
    <row r="13" spans="1:46" ht="13.5" customHeight="1">
      <c r="A13" s="575">
        <v>44319</v>
      </c>
      <c r="B13" s="826">
        <v>3.9E-2</v>
      </c>
      <c r="C13" s="802">
        <f t="shared" si="6"/>
        <v>40466.020000000004</v>
      </c>
      <c r="D13" s="803">
        <v>14900</v>
      </c>
      <c r="E13" s="800"/>
      <c r="F13" s="525"/>
      <c r="G13" s="801"/>
      <c r="H13" s="204"/>
      <c r="I13" s="223"/>
      <c r="J13" s="204"/>
      <c r="K13" s="204">
        <v>1088.57</v>
      </c>
      <c r="L13" s="299"/>
      <c r="M13" s="298"/>
      <c r="N13" s="206"/>
      <c r="O13" s="206"/>
      <c r="P13" s="206"/>
      <c r="Q13" s="206">
        <v>2639</v>
      </c>
      <c r="R13" s="562"/>
      <c r="S13" s="570">
        <f t="shared" si="0"/>
        <v>1088.57</v>
      </c>
      <c r="T13" s="218">
        <f t="shared" si="1"/>
        <v>2639</v>
      </c>
      <c r="U13" s="571">
        <f t="shared" si="4"/>
        <v>0.41249336870026521</v>
      </c>
      <c r="V13" s="211"/>
      <c r="W13" s="219"/>
      <c r="X13" s="197">
        <v>29.76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/>
      <c r="AJ13" s="271">
        <f t="shared" si="3"/>
        <v>29.76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1118.33</v>
      </c>
      <c r="AS13" s="221">
        <f t="shared" si="7"/>
        <v>0</v>
      </c>
      <c r="AT13" s="283">
        <f t="shared" si="5"/>
        <v>40466.020000000004</v>
      </c>
    </row>
    <row r="14" spans="1:46" ht="13.5" customHeight="1">
      <c r="A14" s="575">
        <v>44320</v>
      </c>
      <c r="B14" s="826">
        <v>5.1999999999999998E-2</v>
      </c>
      <c r="C14" s="802">
        <f t="shared" si="6"/>
        <v>39347.69</v>
      </c>
      <c r="D14" s="803"/>
      <c r="E14" s="800"/>
      <c r="F14" s="804"/>
      <c r="G14" s="801"/>
      <c r="H14" s="204"/>
      <c r="I14" s="223"/>
      <c r="J14" s="204"/>
      <c r="K14" s="204"/>
      <c r="L14" s="299"/>
      <c r="M14" s="298"/>
      <c r="N14" s="206"/>
      <c r="O14" s="206"/>
      <c r="P14" s="206"/>
      <c r="Q14" s="206"/>
      <c r="R14" s="562"/>
      <c r="S14" s="570">
        <f t="shared" si="0"/>
        <v>0</v>
      </c>
      <c r="T14" s="218">
        <f t="shared" si="1"/>
        <v>0</v>
      </c>
      <c r="U14" s="571" t="e">
        <f t="shared" si="4"/>
        <v>#DIV/0!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0</v>
      </c>
      <c r="AS14" s="221">
        <f t="shared" si="7"/>
        <v>0</v>
      </c>
      <c r="AT14" s="283">
        <f t="shared" si="5"/>
        <v>39347.69</v>
      </c>
    </row>
    <row r="15" spans="1:46" ht="13.5" customHeight="1">
      <c r="A15" s="575">
        <v>44321</v>
      </c>
      <c r="B15" s="826">
        <v>5.1999999999999998E-2</v>
      </c>
      <c r="C15" s="802">
        <f t="shared" si="6"/>
        <v>39347.69</v>
      </c>
      <c r="D15" s="803"/>
      <c r="E15" s="800"/>
      <c r="F15" s="804"/>
      <c r="G15" s="801"/>
      <c r="H15" s="204"/>
      <c r="I15" s="223"/>
      <c r="J15" s="204"/>
      <c r="K15" s="204"/>
      <c r="L15" s="299"/>
      <c r="M15" s="298"/>
      <c r="N15" s="206"/>
      <c r="O15" s="206"/>
      <c r="P15" s="206"/>
      <c r="Q15" s="206"/>
      <c r="R15" s="562"/>
      <c r="S15" s="570">
        <f t="shared" si="0"/>
        <v>0</v>
      </c>
      <c r="T15" s="218">
        <f t="shared" si="1"/>
        <v>0</v>
      </c>
      <c r="U15" s="571" t="e">
        <f t="shared" si="4"/>
        <v>#DIV/0!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/>
      <c r="AI15" s="386"/>
      <c r="AJ15" s="271">
        <f t="shared" si="3"/>
        <v>0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0</v>
      </c>
      <c r="AS15" s="221">
        <f t="shared" si="7"/>
        <v>0</v>
      </c>
      <c r="AT15" s="283">
        <f t="shared" si="5"/>
        <v>39347.69</v>
      </c>
    </row>
    <row r="16" spans="1:46" ht="13.5" customHeight="1">
      <c r="A16" s="575">
        <v>44322</v>
      </c>
      <c r="B16" s="826"/>
      <c r="C16" s="802">
        <f t="shared" si="6"/>
        <v>39347.69</v>
      </c>
      <c r="D16" s="803"/>
      <c r="E16" s="800"/>
      <c r="F16" s="804"/>
      <c r="G16" s="801"/>
      <c r="H16" s="204"/>
      <c r="I16" s="223"/>
      <c r="J16" s="204"/>
      <c r="K16" s="204"/>
      <c r="L16" s="299"/>
      <c r="M16" s="298"/>
      <c r="N16" s="206"/>
      <c r="O16" s="206"/>
      <c r="P16" s="206"/>
      <c r="Q16" s="206"/>
      <c r="R16" s="562"/>
      <c r="S16" s="570">
        <f t="shared" si="0"/>
        <v>0</v>
      </c>
      <c r="T16" s="218">
        <f t="shared" si="1"/>
        <v>0</v>
      </c>
      <c r="U16" s="571" t="e">
        <f t="shared" si="4"/>
        <v>#DIV/0!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0</v>
      </c>
      <c r="AS16" s="221">
        <f t="shared" si="7"/>
        <v>0</v>
      </c>
      <c r="AT16" s="283">
        <f t="shared" si="5"/>
        <v>39347.69</v>
      </c>
    </row>
    <row r="17" spans="1:46" ht="13.5" customHeight="1">
      <c r="A17" s="575">
        <v>44323</v>
      </c>
      <c r="B17" s="826"/>
      <c r="C17" s="802">
        <f t="shared" si="6"/>
        <v>39347.69</v>
      </c>
      <c r="D17" s="803"/>
      <c r="E17" s="800"/>
      <c r="F17" s="804"/>
      <c r="G17" s="801"/>
      <c r="H17" s="204"/>
      <c r="I17" s="223"/>
      <c r="J17" s="204"/>
      <c r="K17" s="204"/>
      <c r="L17" s="299"/>
      <c r="M17" s="298"/>
      <c r="N17" s="206"/>
      <c r="O17" s="206"/>
      <c r="P17" s="206"/>
      <c r="Q17" s="206"/>
      <c r="R17" s="562"/>
      <c r="S17" s="570">
        <f t="shared" si="0"/>
        <v>0</v>
      </c>
      <c r="T17" s="218">
        <f t="shared" si="1"/>
        <v>0</v>
      </c>
      <c r="U17" s="571" t="e">
        <f t="shared" si="4"/>
        <v>#DIV/0!</v>
      </c>
      <c r="V17" s="211"/>
      <c r="W17" s="219"/>
      <c r="X17" s="197"/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0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0</v>
      </c>
      <c r="AS17" s="221">
        <f t="shared" si="7"/>
        <v>0</v>
      </c>
      <c r="AT17" s="283">
        <f t="shared" si="5"/>
        <v>39347.69</v>
      </c>
    </row>
    <row r="18" spans="1:46" ht="13.5" customHeight="1">
      <c r="A18" s="575">
        <v>44324</v>
      </c>
      <c r="B18" s="826"/>
      <c r="C18" s="802">
        <f t="shared" si="6"/>
        <v>39347.69</v>
      </c>
      <c r="D18" s="803"/>
      <c r="E18" s="800"/>
      <c r="F18" s="804"/>
      <c r="G18" s="801"/>
      <c r="H18" s="204"/>
      <c r="I18" s="223"/>
      <c r="J18" s="204"/>
      <c r="K18" s="204"/>
      <c r="L18" s="299"/>
      <c r="M18" s="298"/>
      <c r="N18" s="206"/>
      <c r="O18" s="206"/>
      <c r="P18" s="206"/>
      <c r="Q18" s="206"/>
      <c r="R18" s="562"/>
      <c r="S18" s="570">
        <f t="shared" si="0"/>
        <v>0</v>
      </c>
      <c r="T18" s="218">
        <f t="shared" si="1"/>
        <v>0</v>
      </c>
      <c r="U18" s="571" t="e">
        <f t="shared" si="4"/>
        <v>#DIV/0!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0</v>
      </c>
      <c r="AS18" s="221">
        <f t="shared" si="7"/>
        <v>0</v>
      </c>
      <c r="AT18" s="283">
        <f t="shared" si="5"/>
        <v>39347.69</v>
      </c>
    </row>
    <row r="19" spans="1:46" ht="13.5" customHeight="1">
      <c r="A19" s="575">
        <v>44325</v>
      </c>
      <c r="B19" s="826"/>
      <c r="C19" s="802">
        <f t="shared" si="6"/>
        <v>39347.69</v>
      </c>
      <c r="D19" s="803"/>
      <c r="E19" s="800"/>
      <c r="F19" s="804"/>
      <c r="G19" s="801"/>
      <c r="H19" s="204"/>
      <c r="I19" s="223"/>
      <c r="J19" s="204"/>
      <c r="K19" s="204"/>
      <c r="L19" s="299"/>
      <c r="M19" s="298"/>
      <c r="N19" s="206"/>
      <c r="O19" s="206"/>
      <c r="P19" s="206"/>
      <c r="Q19" s="206"/>
      <c r="R19" s="562"/>
      <c r="S19" s="570">
        <f t="shared" si="0"/>
        <v>0</v>
      </c>
      <c r="T19" s="218">
        <f t="shared" si="1"/>
        <v>0</v>
      </c>
      <c r="U19" s="571" t="e">
        <f t="shared" si="4"/>
        <v>#DIV/0!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0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0</v>
      </c>
      <c r="AS19" s="221">
        <f t="shared" si="7"/>
        <v>0</v>
      </c>
      <c r="AT19" s="283">
        <f t="shared" si="5"/>
        <v>39347.69</v>
      </c>
    </row>
    <row r="20" spans="1:46" ht="15.75">
      <c r="A20" s="575">
        <v>44326</v>
      </c>
      <c r="B20" s="826"/>
      <c r="C20" s="802">
        <f t="shared" si="6"/>
        <v>39347.69</v>
      </c>
      <c r="D20" s="803"/>
      <c r="E20" s="800"/>
      <c r="F20" s="804"/>
      <c r="G20" s="801"/>
      <c r="H20" s="219"/>
      <c r="I20" s="223"/>
      <c r="J20" s="204"/>
      <c r="K20" s="204"/>
      <c r="L20" s="525"/>
      <c r="M20" s="298"/>
      <c r="N20" s="206"/>
      <c r="O20" s="206"/>
      <c r="P20" s="206"/>
      <c r="Q20" s="206"/>
      <c r="R20" s="563"/>
      <c r="S20" s="570">
        <f t="shared" si="0"/>
        <v>0</v>
      </c>
      <c r="T20" s="218">
        <f t="shared" si="1"/>
        <v>0</v>
      </c>
      <c r="U20" s="571" t="e">
        <f t="shared" si="4"/>
        <v>#DIV/0!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0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0</v>
      </c>
      <c r="AS20" s="221">
        <f t="shared" si="7"/>
        <v>0</v>
      </c>
      <c r="AT20" s="283">
        <f t="shared" si="5"/>
        <v>39347.69</v>
      </c>
    </row>
    <row r="21" spans="1:46" ht="15.75">
      <c r="A21" s="575">
        <v>44327</v>
      </c>
      <c r="B21" s="826"/>
      <c r="C21" s="802">
        <f t="shared" si="6"/>
        <v>39347.69</v>
      </c>
      <c r="D21" s="803"/>
      <c r="E21" s="800"/>
      <c r="F21" s="804"/>
      <c r="G21" s="801"/>
      <c r="H21" s="219"/>
      <c r="I21" s="223"/>
      <c r="J21" s="204"/>
      <c r="K21" s="204"/>
      <c r="L21" s="494"/>
      <c r="M21" s="298"/>
      <c r="N21" s="298"/>
      <c r="O21" s="206"/>
      <c r="P21" s="206"/>
      <c r="Q21" s="206"/>
      <c r="R21" s="562"/>
      <c r="S21" s="570">
        <f t="shared" si="0"/>
        <v>0</v>
      </c>
      <c r="T21" s="218">
        <f t="shared" si="1"/>
        <v>0</v>
      </c>
      <c r="U21" s="571" t="e">
        <f t="shared" si="4"/>
        <v>#DIV/0!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0</v>
      </c>
      <c r="AK21" s="213"/>
      <c r="AL21" s="214"/>
      <c r="AM21" s="220"/>
      <c r="AN21" s="225"/>
      <c r="AO21" s="225"/>
      <c r="AP21" s="225"/>
      <c r="AQ21" s="226"/>
      <c r="AR21" s="215">
        <f>SUM(AJ21+S21)</f>
        <v>0</v>
      </c>
      <c r="AS21" s="221">
        <f t="shared" si="7"/>
        <v>0</v>
      </c>
      <c r="AT21" s="283">
        <f t="shared" si="5"/>
        <v>39347.69</v>
      </c>
    </row>
    <row r="22" spans="1:46" ht="15.75">
      <c r="A22" s="575">
        <v>44328</v>
      </c>
      <c r="B22" s="826"/>
      <c r="C22" s="802">
        <f t="shared" si="6"/>
        <v>39347.69</v>
      </c>
      <c r="D22" s="803"/>
      <c r="E22" s="800"/>
      <c r="F22" s="805"/>
      <c r="G22" s="801"/>
      <c r="H22" s="204"/>
      <c r="I22" s="223"/>
      <c r="J22" s="204"/>
      <c r="K22" s="204"/>
      <c r="L22" s="525"/>
      <c r="M22" s="298"/>
      <c r="N22" s="298"/>
      <c r="O22" s="206"/>
      <c r="P22" s="206"/>
      <c r="Q22" s="206"/>
      <c r="R22" s="562"/>
      <c r="S22" s="570">
        <f t="shared" si="0"/>
        <v>0</v>
      </c>
      <c r="T22" s="218">
        <f t="shared" si="1"/>
        <v>0</v>
      </c>
      <c r="U22" s="571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39347.69</v>
      </c>
    </row>
    <row r="23" spans="1:46" ht="13.5" customHeight="1">
      <c r="A23" s="575">
        <v>44329</v>
      </c>
      <c r="B23" s="826"/>
      <c r="C23" s="802">
        <f t="shared" si="6"/>
        <v>39347.69</v>
      </c>
      <c r="D23" s="803"/>
      <c r="E23" s="800">
        <v>15000</v>
      </c>
      <c r="F23" s="847" t="s">
        <v>319</v>
      </c>
      <c r="G23" s="801"/>
      <c r="H23" s="219"/>
      <c r="I23" s="223"/>
      <c r="J23" s="204"/>
      <c r="K23" s="204"/>
      <c r="L23" s="525"/>
      <c r="M23" s="298"/>
      <c r="N23" s="206"/>
      <c r="O23" s="206"/>
      <c r="P23" s="206"/>
      <c r="Q23" s="206"/>
      <c r="R23" s="562"/>
      <c r="S23" s="570">
        <f t="shared" si="0"/>
        <v>0</v>
      </c>
      <c r="T23" s="218">
        <f t="shared" si="1"/>
        <v>0</v>
      </c>
      <c r="U23" s="571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39347.69</v>
      </c>
    </row>
    <row r="24" spans="1:46" ht="15.75">
      <c r="A24" s="575">
        <v>44330</v>
      </c>
      <c r="B24" s="826"/>
      <c r="C24" s="802">
        <f t="shared" si="6"/>
        <v>39347.69</v>
      </c>
      <c r="D24" s="806"/>
      <c r="E24" s="800"/>
      <c r="F24" s="805"/>
      <c r="G24" s="801"/>
      <c r="H24" s="204"/>
      <c r="I24" s="223"/>
      <c r="J24" s="204"/>
      <c r="K24" s="204"/>
      <c r="L24" s="525"/>
      <c r="M24" s="298"/>
      <c r="N24" s="298"/>
      <c r="O24" s="206"/>
      <c r="P24" s="206"/>
      <c r="Q24" s="206"/>
      <c r="R24" s="562"/>
      <c r="S24" s="570">
        <f>SUM(F24:L24)</f>
        <v>0</v>
      </c>
      <c r="T24" s="218">
        <f t="shared" si="1"/>
        <v>0</v>
      </c>
      <c r="U24" s="571" t="e">
        <f>S24/T24</f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>SUM(AJ24+S24)</f>
        <v>0</v>
      </c>
      <c r="AS24" s="221">
        <f t="shared" si="7"/>
        <v>0</v>
      </c>
      <c r="AT24" s="283">
        <f t="shared" si="5"/>
        <v>39347.69</v>
      </c>
    </row>
    <row r="25" spans="1:46" ht="15.75">
      <c r="A25" s="575">
        <v>44331</v>
      </c>
      <c r="B25" s="826"/>
      <c r="C25" s="802">
        <f t="shared" si="6"/>
        <v>39347.69</v>
      </c>
      <c r="D25" s="803"/>
      <c r="E25" s="800"/>
      <c r="F25" s="804"/>
      <c r="G25" s="801"/>
      <c r="H25" s="219"/>
      <c r="I25" s="223"/>
      <c r="J25" s="204"/>
      <c r="K25" s="204"/>
      <c r="L25" s="525"/>
      <c r="M25" s="298"/>
      <c r="N25" s="206"/>
      <c r="O25" s="206"/>
      <c r="P25" s="206"/>
      <c r="Q25" s="206"/>
      <c r="R25" s="562"/>
      <c r="S25" s="570">
        <f t="shared" si="0"/>
        <v>0</v>
      </c>
      <c r="T25" s="218">
        <f>SUM(M25:R25)</f>
        <v>0</v>
      </c>
      <c r="U25" s="571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39347.69</v>
      </c>
    </row>
    <row r="26" spans="1:46" ht="15.75">
      <c r="A26" s="575">
        <v>44332</v>
      </c>
      <c r="B26" s="826"/>
      <c r="C26" s="802">
        <f t="shared" si="6"/>
        <v>39347.69</v>
      </c>
      <c r="D26" s="803"/>
      <c r="E26" s="800"/>
      <c r="F26" s="805"/>
      <c r="G26" s="801"/>
      <c r="H26" s="219"/>
      <c r="I26" s="205"/>
      <c r="J26" s="204"/>
      <c r="K26" s="204"/>
      <c r="L26" s="525"/>
      <c r="M26" s="298"/>
      <c r="N26" s="206"/>
      <c r="O26" s="206"/>
      <c r="P26" s="206"/>
      <c r="Q26" s="206"/>
      <c r="R26" s="562"/>
      <c r="S26" s="570">
        <f t="shared" si="0"/>
        <v>0</v>
      </c>
      <c r="T26" s="218">
        <f>SUM(M26:R26)</f>
        <v>0</v>
      </c>
      <c r="U26" s="571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39347.69</v>
      </c>
    </row>
    <row r="27" spans="1:46" ht="15.75">
      <c r="A27" s="575">
        <v>44333</v>
      </c>
      <c r="B27" s="826"/>
      <c r="C27" s="802">
        <f t="shared" si="6"/>
        <v>39347.69</v>
      </c>
      <c r="D27" s="803"/>
      <c r="E27" s="800"/>
      <c r="F27" s="804"/>
      <c r="G27" s="801"/>
      <c r="H27" s="219"/>
      <c r="I27" s="205"/>
      <c r="J27" s="204"/>
      <c r="K27" s="204"/>
      <c r="L27" s="525"/>
      <c r="M27" s="298"/>
      <c r="N27" s="206"/>
      <c r="O27" s="206"/>
      <c r="P27" s="206"/>
      <c r="Q27" s="206"/>
      <c r="R27" s="562"/>
      <c r="S27" s="570">
        <f t="shared" si="0"/>
        <v>0</v>
      </c>
      <c r="T27" s="218">
        <f t="shared" si="1"/>
        <v>0</v>
      </c>
      <c r="U27" s="571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39347.69</v>
      </c>
    </row>
    <row r="28" spans="1:46" ht="15.75">
      <c r="A28" s="575">
        <v>44334</v>
      </c>
      <c r="B28" s="826"/>
      <c r="C28" s="802">
        <f t="shared" si="6"/>
        <v>39347.69</v>
      </c>
      <c r="D28" s="803"/>
      <c r="E28" s="800"/>
      <c r="F28" s="804"/>
      <c r="G28" s="801"/>
      <c r="H28" s="219"/>
      <c r="I28" s="205"/>
      <c r="J28" s="204"/>
      <c r="K28" s="204"/>
      <c r="L28" s="525"/>
      <c r="M28" s="298"/>
      <c r="N28" s="206"/>
      <c r="O28" s="206"/>
      <c r="P28" s="206"/>
      <c r="Q28" s="206"/>
      <c r="R28" s="562"/>
      <c r="S28" s="570">
        <f t="shared" si="0"/>
        <v>0</v>
      </c>
      <c r="T28" s="218">
        <f t="shared" si="1"/>
        <v>0</v>
      </c>
      <c r="U28" s="571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39347.69</v>
      </c>
    </row>
    <row r="29" spans="1:46" ht="15.75">
      <c r="A29" s="575">
        <v>44335</v>
      </c>
      <c r="B29" s="826"/>
      <c r="C29" s="802">
        <f t="shared" si="6"/>
        <v>39347.69</v>
      </c>
      <c r="D29" s="803"/>
      <c r="E29" s="800"/>
      <c r="F29" s="804"/>
      <c r="G29" s="801"/>
      <c r="H29" s="219"/>
      <c r="I29" s="205"/>
      <c r="J29" s="204"/>
      <c r="K29" s="204"/>
      <c r="L29" s="525"/>
      <c r="M29" s="298"/>
      <c r="N29" s="206"/>
      <c r="O29" s="206"/>
      <c r="P29" s="206"/>
      <c r="Q29" s="206"/>
      <c r="R29" s="562"/>
      <c r="S29" s="570">
        <f t="shared" si="0"/>
        <v>0</v>
      </c>
      <c r="T29" s="218">
        <f t="shared" si="1"/>
        <v>0</v>
      </c>
      <c r="U29" s="571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39347.69</v>
      </c>
    </row>
    <row r="30" spans="1:46" ht="15.75">
      <c r="A30" s="575">
        <v>44336</v>
      </c>
      <c r="B30" s="826"/>
      <c r="C30" s="802">
        <f t="shared" si="6"/>
        <v>39347.69</v>
      </c>
      <c r="D30" s="803"/>
      <c r="E30" s="800"/>
      <c r="F30" s="804"/>
      <c r="G30" s="801"/>
      <c r="H30" s="219"/>
      <c r="I30" s="205"/>
      <c r="J30" s="204"/>
      <c r="K30" s="204"/>
      <c r="L30" s="525"/>
      <c r="M30" s="298"/>
      <c r="N30" s="206"/>
      <c r="O30" s="206"/>
      <c r="P30" s="206"/>
      <c r="Q30" s="206"/>
      <c r="R30" s="562"/>
      <c r="S30" s="570">
        <f t="shared" si="0"/>
        <v>0</v>
      </c>
      <c r="T30" s="218">
        <f t="shared" si="1"/>
        <v>0</v>
      </c>
      <c r="U30" s="571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39347.69</v>
      </c>
    </row>
    <row r="31" spans="1:46" ht="15.75">
      <c r="A31" s="575">
        <v>44337</v>
      </c>
      <c r="B31" s="826"/>
      <c r="C31" s="802">
        <f t="shared" si="6"/>
        <v>39347.69</v>
      </c>
      <c r="D31" s="803"/>
      <c r="E31" s="800"/>
      <c r="F31" s="804"/>
      <c r="G31" s="801"/>
      <c r="H31" s="219"/>
      <c r="I31" s="205"/>
      <c r="J31" s="204"/>
      <c r="K31" s="204"/>
      <c r="L31" s="525"/>
      <c r="M31" s="298"/>
      <c r="N31" s="206"/>
      <c r="O31" s="206"/>
      <c r="P31" s="206"/>
      <c r="Q31" s="206"/>
      <c r="R31" s="562"/>
      <c r="S31" s="570">
        <f t="shared" si="0"/>
        <v>0</v>
      </c>
      <c r="T31" s="218">
        <f t="shared" si="1"/>
        <v>0</v>
      </c>
      <c r="U31" s="571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39347.69</v>
      </c>
    </row>
    <row r="32" spans="1:46" ht="15.75">
      <c r="A32" s="575">
        <v>44338</v>
      </c>
      <c r="B32" s="826"/>
      <c r="C32" s="802">
        <f t="shared" si="6"/>
        <v>39347.69</v>
      </c>
      <c r="D32" s="803"/>
      <c r="E32" s="800"/>
      <c r="F32" s="804"/>
      <c r="G32" s="801"/>
      <c r="H32" s="204"/>
      <c r="I32" s="204"/>
      <c r="J32" s="204"/>
      <c r="K32" s="204"/>
      <c r="L32" s="525"/>
      <c r="M32" s="298"/>
      <c r="N32" s="206"/>
      <c r="O32" s="206"/>
      <c r="P32" s="206"/>
      <c r="Q32" s="206"/>
      <c r="R32" s="562"/>
      <c r="S32" s="570">
        <f t="shared" si="0"/>
        <v>0</v>
      </c>
      <c r="T32" s="218">
        <f t="shared" si="1"/>
        <v>0</v>
      </c>
      <c r="U32" s="571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39347.69</v>
      </c>
    </row>
    <row r="33" spans="1:46" ht="15.75">
      <c r="A33" s="575">
        <v>44339</v>
      </c>
      <c r="B33" s="826"/>
      <c r="C33" s="802">
        <f t="shared" si="6"/>
        <v>39347.69</v>
      </c>
      <c r="D33" s="803"/>
      <c r="E33" s="800"/>
      <c r="F33" s="804"/>
      <c r="G33" s="801"/>
      <c r="H33" s="204"/>
      <c r="I33" s="204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39347.69</v>
      </c>
    </row>
    <row r="34" spans="1:46" ht="15.75">
      <c r="A34" s="575">
        <v>44340</v>
      </c>
      <c r="B34" s="826"/>
      <c r="C34" s="802">
        <f t="shared" si="6"/>
        <v>39347.69</v>
      </c>
      <c r="D34" s="803"/>
      <c r="E34" s="800"/>
      <c r="F34" s="804"/>
      <c r="G34" s="801"/>
      <c r="H34" s="219"/>
      <c r="I34" s="205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39347.69</v>
      </c>
    </row>
    <row r="35" spans="1:46" ht="15.75">
      <c r="A35" s="575">
        <v>44341</v>
      </c>
      <c r="B35" s="826"/>
      <c r="C35" s="802">
        <f t="shared" si="6"/>
        <v>39347.69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39347.69</v>
      </c>
    </row>
    <row r="36" spans="1:46" ht="15.75">
      <c r="A36" s="575">
        <v>44342</v>
      </c>
      <c r="B36" s="826"/>
      <c r="C36" s="802">
        <f t="shared" si="6"/>
        <v>39347.69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39347.69</v>
      </c>
    </row>
    <row r="37" spans="1:46" ht="15.75">
      <c r="A37" s="575">
        <v>44343</v>
      </c>
      <c r="B37" s="826"/>
      <c r="C37" s="802">
        <f t="shared" si="6"/>
        <v>39347.69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39347.69</v>
      </c>
    </row>
    <row r="38" spans="1:46" ht="15.75">
      <c r="A38" s="575">
        <v>44344</v>
      </c>
      <c r="B38" s="826"/>
      <c r="C38" s="802">
        <f t="shared" si="6"/>
        <v>39347.69</v>
      </c>
      <c r="D38" s="803"/>
      <c r="E38" s="800">
        <v>15000</v>
      </c>
      <c r="F38" s="846" t="s">
        <v>319</v>
      </c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39347.69</v>
      </c>
    </row>
    <row r="39" spans="1:46" ht="15.75">
      <c r="A39" s="575">
        <v>44345</v>
      </c>
      <c r="B39" s="826"/>
      <c r="C39" s="802">
        <f t="shared" si="6"/>
        <v>39347.69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39347.69</v>
      </c>
    </row>
    <row r="40" spans="1:46" ht="15.75">
      <c r="A40" s="575">
        <v>44346</v>
      </c>
      <c r="B40" s="826"/>
      <c r="C40" s="802">
        <f t="shared" si="6"/>
        <v>39347.69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39347.69</v>
      </c>
    </row>
    <row r="41" spans="1:46" ht="15.75">
      <c r="A41" s="575">
        <v>44347</v>
      </c>
      <c r="B41" s="826"/>
      <c r="C41" s="802">
        <f t="shared" si="6"/>
        <v>39347.69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39347.69</v>
      </c>
    </row>
    <row r="42" spans="1:46" ht="14.25">
      <c r="A42" s="575"/>
      <c r="B42" s="574"/>
      <c r="C42" s="802">
        <f t="shared" si="6"/>
        <v>39347.69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39347.69</v>
      </c>
    </row>
    <row r="43" spans="1:46" ht="14.25">
      <c r="A43" s="495" t="s">
        <v>25</v>
      </c>
      <c r="B43" s="469">
        <f>AVERAGE(B11:B42)</f>
        <v>3.0599999999999999E-2</v>
      </c>
      <c r="C43" s="798">
        <f t="shared" si="6"/>
        <v>39347.69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39347.69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14900</v>
      </c>
      <c r="E45" s="313">
        <f>SUM(E11:E42)</f>
        <v>45000</v>
      </c>
      <c r="F45" s="814">
        <f t="shared" ref="F45:O45" si="8">SUM(F11:F44)</f>
        <v>0</v>
      </c>
      <c r="G45" s="313">
        <f t="shared" si="8"/>
        <v>1114.1600000000001</v>
      </c>
      <c r="H45" s="308">
        <f t="shared" si="8"/>
        <v>0</v>
      </c>
      <c r="I45" s="313">
        <f t="shared" si="8"/>
        <v>0</v>
      </c>
      <c r="J45" s="308">
        <f t="shared" si="8"/>
        <v>0</v>
      </c>
      <c r="K45" s="313">
        <f t="shared" si="8"/>
        <v>2180.1999999999998</v>
      </c>
      <c r="L45" s="308">
        <f t="shared" si="8"/>
        <v>0</v>
      </c>
      <c r="M45" s="313">
        <f t="shared" si="8"/>
        <v>2697</v>
      </c>
      <c r="N45" s="553">
        <f t="shared" si="8"/>
        <v>0</v>
      </c>
      <c r="O45" s="313">
        <f t="shared" si="8"/>
        <v>0</v>
      </c>
      <c r="P45" s="308">
        <f>SUM(P11:P43)</f>
        <v>0</v>
      </c>
      <c r="Q45" s="313">
        <f>SUM(Q11:Q44)</f>
        <v>5289</v>
      </c>
      <c r="R45" s="308">
        <f>SUM(R11:R44)</f>
        <v>0</v>
      </c>
      <c r="S45" s="551">
        <f>SUM(G45:L45)</f>
        <v>3294.3599999999997</v>
      </c>
      <c r="T45" s="308">
        <f>SUM(M45:R45)</f>
        <v>7986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29.76</v>
      </c>
      <c r="Y45" s="234">
        <f t="shared" si="9"/>
        <v>0</v>
      </c>
      <c r="Z45" s="546">
        <f t="shared" si="9"/>
        <v>0</v>
      </c>
      <c r="AA45" s="234">
        <f t="shared" si="9"/>
        <v>0</v>
      </c>
      <c r="AB45" s="546">
        <f t="shared" si="9"/>
        <v>88.75</v>
      </c>
      <c r="AC45" s="234">
        <f>SUM(AC10:AC44)</f>
        <v>0</v>
      </c>
      <c r="AD45" s="546">
        <f>SUM(AD10:AD44)</f>
        <v>0</v>
      </c>
      <c r="AE45" s="234">
        <f>SUM(AE9:AE44)</f>
        <v>0</v>
      </c>
      <c r="AF45" s="546">
        <f>SUM(AF9:AF44)</f>
        <v>0</v>
      </c>
      <c r="AG45" s="234">
        <f>SUM(AG9:AG44)</f>
        <v>0</v>
      </c>
      <c r="AH45" s="546">
        <f>SUM(AH9:AH43)</f>
        <v>0</v>
      </c>
      <c r="AI45" s="234">
        <f>SUM(AI9:AI39)</f>
        <v>0</v>
      </c>
      <c r="AJ45" s="546">
        <f>SUM(AJ9:AJ44)</f>
        <v>118.51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3412.87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106.26967741935484</v>
      </c>
      <c r="T47" s="316">
        <f>S45*2315</f>
        <v>7626443.3999999994</v>
      </c>
      <c r="U47" s="317" t="s">
        <v>244</v>
      </c>
      <c r="AR47" s="522">
        <f>AR45*2143</f>
        <v>7313780.4100000001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3331.7795543905631</v>
      </c>
      <c r="U48" s="317" t="s">
        <v>245</v>
      </c>
      <c r="W48" s="191"/>
      <c r="X48" s="191"/>
      <c r="Y48" s="191"/>
      <c r="Z48" s="191"/>
      <c r="AA48" s="191"/>
      <c r="AR48" s="316">
        <f>AR47/2289</f>
        <v>3195.1858497160333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7" t="s">
        <v>241</v>
      </c>
      <c r="C50" s="918"/>
      <c r="D50" s="918"/>
      <c r="E50" s="918"/>
      <c r="F50" s="919"/>
      <c r="H50" s="895" t="s">
        <v>213</v>
      </c>
      <c r="I50" s="896"/>
      <c r="J50" s="896"/>
      <c r="K50" s="896"/>
      <c r="L50" s="897"/>
      <c r="N50" s="898" t="s">
        <v>309</v>
      </c>
      <c r="O50" s="899"/>
      <c r="P50" s="899"/>
      <c r="Q50" s="899"/>
      <c r="R50" s="900"/>
      <c r="T50" s="901" t="s">
        <v>226</v>
      </c>
      <c r="U50" s="902"/>
      <c r="V50" s="902"/>
      <c r="W50" s="902"/>
      <c r="X50" s="902"/>
      <c r="Y50" s="903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/>
      <c r="C52" s="498"/>
      <c r="D52" s="500"/>
      <c r="E52" s="499"/>
      <c r="F52" s="526"/>
      <c r="H52" s="529"/>
      <c r="I52" s="506"/>
      <c r="J52" s="506"/>
      <c r="K52" s="506"/>
      <c r="L52" s="530"/>
      <c r="N52" s="348"/>
      <c r="O52" s="506"/>
      <c r="P52" s="524"/>
      <c r="Q52" s="524"/>
      <c r="R52" s="510"/>
      <c r="T52" s="348"/>
      <c r="U52" s="531"/>
      <c r="V52" s="612"/>
      <c r="W52" s="532"/>
      <c r="X52" s="532"/>
      <c r="Y52" s="533"/>
    </row>
    <row r="53" spans="2:46" ht="11.25" customHeight="1">
      <c r="B53" s="498"/>
      <c r="C53" s="498"/>
      <c r="D53" s="500"/>
      <c r="E53" s="499"/>
      <c r="F53" s="526"/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/>
      <c r="U53" s="200"/>
      <c r="V53" s="612"/>
      <c r="W53" s="499"/>
      <c r="X53" s="499"/>
      <c r="Y53" s="819"/>
    </row>
    <row r="54" spans="2:46" ht="11.25" customHeight="1">
      <c r="B54" s="498"/>
      <c r="C54" s="498"/>
      <c r="D54" s="500"/>
      <c r="E54" s="499"/>
      <c r="F54" s="526"/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/>
      <c r="C55" s="302"/>
      <c r="D55" s="382"/>
      <c r="E55" s="302"/>
      <c r="F55" s="526"/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/>
      <c r="C56" s="302"/>
      <c r="D56" s="382"/>
      <c r="E56" s="302"/>
      <c r="F56" s="526"/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/>
      <c r="C57" s="302"/>
      <c r="D57" s="382"/>
      <c r="E57" s="302"/>
      <c r="F57" s="526"/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/>
      <c r="C58" s="302"/>
      <c r="D58" s="382"/>
      <c r="E58" s="302"/>
      <c r="F58" s="526"/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/>
      <c r="C59" s="302"/>
      <c r="D59" s="382"/>
      <c r="E59" s="302"/>
      <c r="F59" s="526"/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/>
      <c r="C60" s="498"/>
      <c r="D60" s="382"/>
      <c r="E60" s="302"/>
      <c r="F60" s="526"/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/>
      <c r="C61" s="302"/>
      <c r="D61" s="382"/>
      <c r="E61" s="302"/>
      <c r="F61" s="526"/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/>
      <c r="C62" s="302"/>
      <c r="D62" s="382"/>
      <c r="E62" s="302"/>
      <c r="F62" s="526"/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/>
      <c r="C63" s="302"/>
      <c r="D63" s="382"/>
      <c r="E63" s="302"/>
      <c r="F63" s="526"/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44317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44318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44319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44320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44321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44322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44323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44324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44325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44326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44327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44328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44329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44330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44331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44332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44333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44334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44335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44336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44337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44338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44339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44340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44341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44342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44343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44344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44345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44346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44347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D17" sqref="D1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2"/>
      <c r="D6" s="923"/>
      <c r="E6" s="924"/>
      <c r="F6" s="924"/>
      <c r="G6" s="48" t="s">
        <v>4</v>
      </c>
      <c r="H6" s="46" t="s">
        <v>14</v>
      </c>
      <c r="I6" s="41"/>
      <c r="J6" s="113"/>
    </row>
    <row r="7" spans="1:15" ht="18" customHeight="1">
      <c r="A7" s="92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>
        <v>85</v>
      </c>
      <c r="C9" s="268">
        <v>85</v>
      </c>
      <c r="D9" s="268">
        <v>1</v>
      </c>
      <c r="E9" s="268"/>
      <c r="F9" s="268">
        <v>76246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44317</v>
      </c>
      <c r="B10" s="268">
        <v>85</v>
      </c>
      <c r="C10" s="268">
        <v>85</v>
      </c>
      <c r="D10" s="268">
        <v>1</v>
      </c>
      <c r="E10" s="268"/>
      <c r="F10" s="268">
        <v>76257.279999999999</v>
      </c>
      <c r="G10" s="268">
        <f t="shared" ref="G10:G41" si="0">(F10-F9)*4.4</f>
        <v>49.631999999994882</v>
      </c>
      <c r="H10" s="111">
        <f>[4]Gen!B11</f>
        <v>7.6999999999999999E-2</v>
      </c>
      <c r="I10" s="843">
        <f>SUM(F10/H10)</f>
        <v>990354.28571428568</v>
      </c>
      <c r="J10" s="844">
        <f t="shared" ref="J10:J40" si="1">SUM(G10/I10)</f>
        <v>5.0115398818310933E-5</v>
      </c>
      <c r="N10" s="156"/>
      <c r="O10" s="156"/>
    </row>
    <row r="11" spans="1:15" ht="18.75">
      <c r="A11" s="94">
        <f>Gen!A12</f>
        <v>44318</v>
      </c>
      <c r="B11" s="268">
        <v>85</v>
      </c>
      <c r="C11" s="268">
        <v>85</v>
      </c>
      <c r="D11" s="268">
        <v>1</v>
      </c>
      <c r="E11" s="268"/>
      <c r="F11" s="268">
        <v>76267</v>
      </c>
      <c r="G11" s="268">
        <f t="shared" si="0"/>
        <v>42.768000000005124</v>
      </c>
      <c r="H11" s="111">
        <f>[4]Gen!B12</f>
        <v>9.0999999999999998E-2</v>
      </c>
      <c r="I11" s="843">
        <f t="shared" ref="I11:I41" si="2">SUM(F11/H11)</f>
        <v>838098.90109890117</v>
      </c>
      <c r="J11" s="844">
        <f t="shared" si="1"/>
        <v>5.1029776967764116E-5</v>
      </c>
      <c r="M11" s="156"/>
      <c r="N11" s="156"/>
    </row>
    <row r="12" spans="1:15" ht="18.75">
      <c r="A12" s="94">
        <f>Gen!A13</f>
        <v>44319</v>
      </c>
      <c r="B12" s="268">
        <v>85</v>
      </c>
      <c r="C12" s="268">
        <v>85</v>
      </c>
      <c r="D12" s="268">
        <v>0</v>
      </c>
      <c r="E12" s="268"/>
      <c r="F12" s="268">
        <v>76279.55</v>
      </c>
      <c r="G12" s="268">
        <f t="shared" si="0"/>
        <v>55.22000000001281</v>
      </c>
      <c r="H12" s="111">
        <f>[4]Gen!B13</f>
        <v>1.2999999999999999E-2</v>
      </c>
      <c r="I12" s="843">
        <f t="shared" si="2"/>
        <v>5867657.692307693</v>
      </c>
      <c r="J12" s="844">
        <f t="shared" si="1"/>
        <v>9.410910263631162E-6</v>
      </c>
      <c r="M12" s="156"/>
      <c r="N12" s="156"/>
    </row>
    <row r="13" spans="1:15" ht="18.75">
      <c r="A13" s="94">
        <f>Gen!A14</f>
        <v>44320</v>
      </c>
      <c r="B13" s="268"/>
      <c r="C13" s="268"/>
      <c r="D13" s="268"/>
      <c r="E13" s="268"/>
      <c r="F13" s="268"/>
      <c r="G13" s="268">
        <f t="shared" ref="G13" si="3">(F13-F12)*4.4</f>
        <v>-335630.02</v>
      </c>
      <c r="H13" s="111">
        <f>[4]Gen!B14</f>
        <v>1.2999999999999999E-2</v>
      </c>
      <c r="I13" s="843">
        <f t="shared" si="2"/>
        <v>0</v>
      </c>
      <c r="J13" s="844" t="e">
        <f t="shared" si="1"/>
        <v>#DIV/0!</v>
      </c>
      <c r="M13" s="156"/>
      <c r="N13" s="156"/>
    </row>
    <row r="14" spans="1:15" ht="18.75">
      <c r="A14" s="94">
        <f>Gen!A15</f>
        <v>44321</v>
      </c>
      <c r="B14" s="268"/>
      <c r="C14" s="268"/>
      <c r="D14" s="268"/>
      <c r="E14" s="268"/>
      <c r="F14" s="268"/>
      <c r="G14" s="268">
        <f t="shared" si="0"/>
        <v>0</v>
      </c>
      <c r="H14" s="111">
        <f>[4]Gen!B15</f>
        <v>0.01</v>
      </c>
      <c r="I14" s="843">
        <f t="shared" si="2"/>
        <v>0</v>
      </c>
      <c r="J14" s="844" t="e">
        <f t="shared" si="1"/>
        <v>#DIV/0!</v>
      </c>
      <c r="M14" s="156"/>
      <c r="N14" s="156"/>
    </row>
    <row r="15" spans="1:15" ht="18.75">
      <c r="A15" s="94">
        <f>Gen!A16</f>
        <v>44322</v>
      </c>
      <c r="B15" s="268"/>
      <c r="C15" s="268"/>
      <c r="D15" s="268"/>
      <c r="E15" s="268"/>
      <c r="F15" s="268"/>
      <c r="G15" s="268">
        <f t="shared" si="0"/>
        <v>0</v>
      </c>
      <c r="H15" s="111">
        <f>[4]Gen!B16</f>
        <v>0.01</v>
      </c>
      <c r="I15" s="843">
        <f t="shared" si="2"/>
        <v>0</v>
      </c>
      <c r="J15" s="844" t="e">
        <f t="shared" si="1"/>
        <v>#DIV/0!</v>
      </c>
      <c r="M15" s="156"/>
      <c r="N15" s="156"/>
    </row>
    <row r="16" spans="1:15" ht="18.75">
      <c r="A16" s="94">
        <f>Gen!A17</f>
        <v>44323</v>
      </c>
      <c r="B16" s="268"/>
      <c r="C16" s="268"/>
      <c r="D16" s="268"/>
      <c r="E16" s="268"/>
      <c r="F16" s="268"/>
      <c r="G16" s="268">
        <f t="shared" si="0"/>
        <v>0</v>
      </c>
      <c r="H16" s="111">
        <f>[4]Gen!B17</f>
        <v>0.01</v>
      </c>
      <c r="I16" s="843">
        <f t="shared" si="2"/>
        <v>0</v>
      </c>
      <c r="J16" s="844" t="e">
        <f t="shared" si="1"/>
        <v>#DIV/0!</v>
      </c>
      <c r="M16" s="156"/>
      <c r="N16" s="156"/>
    </row>
    <row r="17" spans="1:14" ht="18.75">
      <c r="A17" s="94">
        <f>Gen!A18</f>
        <v>44324</v>
      </c>
      <c r="B17" s="268"/>
      <c r="C17" s="268"/>
      <c r="D17" s="268"/>
      <c r="E17" s="268"/>
      <c r="F17" s="268"/>
      <c r="G17" s="268">
        <f t="shared" si="0"/>
        <v>0</v>
      </c>
      <c r="H17" s="111">
        <f>[4]Gen!B18</f>
        <v>0.01</v>
      </c>
      <c r="I17" s="843">
        <f t="shared" si="2"/>
        <v>0</v>
      </c>
      <c r="J17" s="844" t="e">
        <f t="shared" si="1"/>
        <v>#DIV/0!</v>
      </c>
      <c r="M17" s="156"/>
      <c r="N17" s="156"/>
    </row>
    <row r="18" spans="1:14" ht="18.75">
      <c r="A18" s="94">
        <f>Gen!A19</f>
        <v>44325</v>
      </c>
      <c r="B18" s="268"/>
      <c r="C18" s="268"/>
      <c r="D18" s="268"/>
      <c r="E18" s="268"/>
      <c r="F18" s="268"/>
      <c r="G18" s="268">
        <f t="shared" si="0"/>
        <v>0</v>
      </c>
      <c r="H18" s="111">
        <f>[4]Gen!B19</f>
        <v>0.01</v>
      </c>
      <c r="I18" s="843">
        <f t="shared" si="2"/>
        <v>0</v>
      </c>
      <c r="J18" s="844" t="e">
        <f t="shared" si="1"/>
        <v>#DIV/0!</v>
      </c>
      <c r="M18" s="156"/>
      <c r="N18" s="156"/>
    </row>
    <row r="19" spans="1:14" ht="18.75">
      <c r="A19" s="94">
        <f>Gen!A20</f>
        <v>44326</v>
      </c>
      <c r="B19" s="268"/>
      <c r="C19" s="268"/>
      <c r="D19" s="268"/>
      <c r="E19" s="268"/>
      <c r="F19" s="268"/>
      <c r="G19" s="268">
        <f t="shared" si="0"/>
        <v>0</v>
      </c>
      <c r="H19" s="111">
        <f>[4]Gen!B20</f>
        <v>0.01</v>
      </c>
      <c r="I19" s="843">
        <f t="shared" si="2"/>
        <v>0</v>
      </c>
      <c r="J19" s="844" t="e">
        <f t="shared" si="1"/>
        <v>#DIV/0!</v>
      </c>
      <c r="M19" s="156"/>
      <c r="N19" s="156"/>
    </row>
    <row r="20" spans="1:14" ht="18.75">
      <c r="A20" s="94">
        <f>Gen!A21</f>
        <v>44327</v>
      </c>
      <c r="B20" s="268"/>
      <c r="C20" s="268"/>
      <c r="D20" s="268"/>
      <c r="E20" s="268"/>
      <c r="F20" s="268"/>
      <c r="G20" s="268">
        <f t="shared" si="0"/>
        <v>0</v>
      </c>
      <c r="H20" s="111">
        <f>[4]Gen!B21</f>
        <v>0.01</v>
      </c>
      <c r="I20" s="843">
        <f t="shared" si="2"/>
        <v>0</v>
      </c>
      <c r="J20" s="844" t="e">
        <f t="shared" si="1"/>
        <v>#DIV/0!</v>
      </c>
    </row>
    <row r="21" spans="1:14" ht="18.75">
      <c r="A21" s="94">
        <f>Gen!A22</f>
        <v>44328</v>
      </c>
      <c r="B21" s="268"/>
      <c r="C21" s="268"/>
      <c r="D21" s="268"/>
      <c r="E21" s="268"/>
      <c r="F21" s="268"/>
      <c r="G21" s="268">
        <f t="shared" si="0"/>
        <v>0</v>
      </c>
      <c r="H21" s="111">
        <f>[4]Gen!B22</f>
        <v>0.03</v>
      </c>
      <c r="I21" s="843">
        <f t="shared" si="2"/>
        <v>0</v>
      </c>
      <c r="J21" s="844" t="e">
        <f t="shared" si="1"/>
        <v>#DIV/0!</v>
      </c>
    </row>
    <row r="22" spans="1:14" ht="18.75">
      <c r="A22" s="94">
        <f>Gen!A23</f>
        <v>44329</v>
      </c>
      <c r="B22" s="268"/>
      <c r="C22" s="268"/>
      <c r="D22" s="268"/>
      <c r="E22" s="268"/>
      <c r="F22" s="268"/>
      <c r="G22" s="268">
        <f t="shared" si="0"/>
        <v>0</v>
      </c>
      <c r="H22" s="111">
        <f>[4]Gen!B23</f>
        <v>0.22</v>
      </c>
      <c r="I22" s="843">
        <f t="shared" si="2"/>
        <v>0</v>
      </c>
      <c r="J22" s="844" t="e">
        <f t="shared" si="1"/>
        <v>#DIV/0!</v>
      </c>
    </row>
    <row r="23" spans="1:14" ht="18.75">
      <c r="A23" s="94">
        <f>Gen!A24</f>
        <v>44330</v>
      </c>
      <c r="B23" s="268"/>
      <c r="C23" s="268"/>
      <c r="D23" s="268"/>
      <c r="E23" s="268"/>
      <c r="F23" s="268"/>
      <c r="G23" s="268">
        <f>(F23-F22)*4.4</f>
        <v>0</v>
      </c>
      <c r="H23" s="111">
        <f>[4]Gen!B24</f>
        <v>0.23</v>
      </c>
      <c r="I23" s="843">
        <f t="shared" si="2"/>
        <v>0</v>
      </c>
      <c r="J23" s="844" t="e">
        <f t="shared" si="1"/>
        <v>#DIV/0!</v>
      </c>
    </row>
    <row r="24" spans="1:14" ht="18.75">
      <c r="A24" s="94">
        <f>Gen!A25</f>
        <v>44331</v>
      </c>
      <c r="B24" s="268"/>
      <c r="C24" s="268"/>
      <c r="D24" s="268"/>
      <c r="E24" s="268"/>
      <c r="F24" s="268"/>
      <c r="G24" s="268">
        <f t="shared" si="0"/>
        <v>0</v>
      </c>
      <c r="H24" s="111">
        <f>[4]Gen!B25</f>
        <v>0.21</v>
      </c>
      <c r="I24" s="843">
        <f t="shared" si="2"/>
        <v>0</v>
      </c>
      <c r="J24" s="844" t="e">
        <f t="shared" si="1"/>
        <v>#DIV/0!</v>
      </c>
    </row>
    <row r="25" spans="1:14" ht="18.75">
      <c r="A25" s="94">
        <f>Gen!A26</f>
        <v>44332</v>
      </c>
      <c r="B25" s="268"/>
      <c r="C25" s="268"/>
      <c r="D25" s="268"/>
      <c r="E25" s="268"/>
      <c r="F25" s="268"/>
      <c r="G25" s="268">
        <f t="shared" si="0"/>
        <v>0</v>
      </c>
      <c r="H25" s="111">
        <f>[4]Gen!B26</f>
        <v>0.03</v>
      </c>
      <c r="I25" s="843">
        <f t="shared" si="2"/>
        <v>0</v>
      </c>
      <c r="J25" s="844" t="e">
        <f t="shared" si="1"/>
        <v>#DIV/0!</v>
      </c>
    </row>
    <row r="26" spans="1:14" ht="18.75">
      <c r="A26" s="94">
        <f>Gen!A27</f>
        <v>44333</v>
      </c>
      <c r="B26" s="268"/>
      <c r="C26" s="268"/>
      <c r="D26" s="268"/>
      <c r="E26" s="268"/>
      <c r="F26" s="268"/>
      <c r="G26" s="268">
        <f t="shared" si="0"/>
        <v>0</v>
      </c>
      <c r="H26" s="111">
        <f>[4]Gen!B27</f>
        <v>0.06</v>
      </c>
      <c r="I26" s="843">
        <f t="shared" si="2"/>
        <v>0</v>
      </c>
      <c r="J26" s="844" t="e">
        <f t="shared" si="1"/>
        <v>#DIV/0!</v>
      </c>
    </row>
    <row r="27" spans="1:14" ht="18.75">
      <c r="A27" s="94">
        <f>Gen!A28</f>
        <v>44334</v>
      </c>
      <c r="B27" s="268"/>
      <c r="C27" s="268"/>
      <c r="D27" s="268"/>
      <c r="E27" s="268"/>
      <c r="F27" s="268"/>
      <c r="G27" s="268">
        <f t="shared" si="0"/>
        <v>0</v>
      </c>
      <c r="H27" s="111">
        <f>[4]Gen!B28</f>
        <v>0.05</v>
      </c>
      <c r="I27" s="843">
        <f t="shared" si="2"/>
        <v>0</v>
      </c>
      <c r="J27" s="844" t="e">
        <f t="shared" si="1"/>
        <v>#DIV/0!</v>
      </c>
    </row>
    <row r="28" spans="1:14" ht="18.75">
      <c r="A28" s="94">
        <f>Gen!A29</f>
        <v>44335</v>
      </c>
      <c r="B28" s="268"/>
      <c r="C28" s="268"/>
      <c r="D28" s="268"/>
      <c r="E28" s="268"/>
      <c r="F28" s="268"/>
      <c r="G28" s="268">
        <f t="shared" si="0"/>
        <v>0</v>
      </c>
      <c r="H28" s="111">
        <f>[4]Gen!B29</f>
        <v>7.7899999999999997E-2</v>
      </c>
      <c r="I28" s="843">
        <f t="shared" si="2"/>
        <v>0</v>
      </c>
      <c r="J28" s="844" t="e">
        <f t="shared" si="1"/>
        <v>#DIV/0!</v>
      </c>
    </row>
    <row r="29" spans="1:14" ht="18.75">
      <c r="A29" s="94">
        <f>Gen!A30</f>
        <v>44336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843">
        <f t="shared" si="2"/>
        <v>0</v>
      </c>
      <c r="J29" s="844" t="e">
        <f t="shared" si="1"/>
        <v>#DIV/0!</v>
      </c>
    </row>
    <row r="30" spans="1:14" ht="18.75">
      <c r="A30" s="94">
        <f>Gen!A31</f>
        <v>44337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843">
        <f t="shared" si="2"/>
        <v>0</v>
      </c>
      <c r="J30" s="844" t="e">
        <f t="shared" si="1"/>
        <v>#DIV/0!</v>
      </c>
    </row>
    <row r="31" spans="1:14" ht="18.75">
      <c r="A31" s="94">
        <f>Gen!A32</f>
        <v>44338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843">
        <f t="shared" si="2"/>
        <v>0</v>
      </c>
      <c r="J31" s="844" t="e">
        <f t="shared" si="1"/>
        <v>#DIV/0!</v>
      </c>
    </row>
    <row r="32" spans="1:14" ht="18.75">
      <c r="A32" s="94">
        <f>Gen!A33</f>
        <v>44339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843">
        <f t="shared" si="2"/>
        <v>0</v>
      </c>
      <c r="J32" s="844" t="e">
        <f t="shared" si="1"/>
        <v>#DIV/0!</v>
      </c>
    </row>
    <row r="33" spans="1:10" ht="18.75">
      <c r="A33" s="94">
        <f>Gen!A34</f>
        <v>44340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44341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44342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44343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44344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44345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44346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44347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1" t="s">
        <v>6</v>
      </c>
      <c r="D42" s="921"/>
      <c r="E42" s="2">
        <f t="shared" ref="E42" si="4">SUM(E10:E40)</f>
        <v>0</v>
      </c>
      <c r="F42" s="2">
        <f>SUM(F10:F41)</f>
        <v>228803.83000000002</v>
      </c>
      <c r="G42" s="101">
        <f>SUM(G10:G40)</f>
        <v>-335482.40000000002</v>
      </c>
      <c r="H42" s="111">
        <f>[4]Gen!B43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0"/>
      <c r="C45" s="920"/>
      <c r="D45" s="920"/>
      <c r="E45" s="920"/>
      <c r="F45" s="920"/>
      <c r="G45" s="920"/>
      <c r="H45" s="920"/>
      <c r="I45" s="831"/>
      <c r="J45" s="838"/>
    </row>
    <row r="46" spans="1:10">
      <c r="A46" s="19"/>
      <c r="B46" s="920"/>
      <c r="C46" s="920"/>
      <c r="D46" s="920"/>
      <c r="E46" s="920"/>
      <c r="F46" s="920"/>
      <c r="G46" s="920"/>
      <c r="H46" s="920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44317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44318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44319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44320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44321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44322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44323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44324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44325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44326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44327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44328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44329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44330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44331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44332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44333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44334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44335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44336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44337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44338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44339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44340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44341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44342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44343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44344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44345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44346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44347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R1" activePane="topRight" state="frozen"/>
      <selection pane="topRight" activeCell="AI13" sqref="AI13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1" t="s">
        <v>315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932"/>
      <c r="AJ1" s="932"/>
      <c r="AK1" s="932"/>
      <c r="AL1" s="932"/>
      <c r="AM1" s="932"/>
      <c r="AN1" s="932"/>
    </row>
    <row r="2" spans="1:40" ht="13.5" customHeight="1" thickTop="1">
      <c r="A2" s="29"/>
      <c r="B2" s="29"/>
      <c r="C2" s="928" t="s">
        <v>52</v>
      </c>
      <c r="D2" s="928"/>
      <c r="E2" s="928"/>
      <c r="F2" s="928" t="s">
        <v>17</v>
      </c>
      <c r="G2" s="928"/>
      <c r="H2" s="928"/>
      <c r="I2" s="928" t="s">
        <v>131</v>
      </c>
      <c r="J2" s="928"/>
      <c r="K2" s="928"/>
      <c r="L2" s="928" t="s">
        <v>134</v>
      </c>
      <c r="M2" s="928"/>
      <c r="N2" s="928"/>
      <c r="O2" s="928" t="s">
        <v>132</v>
      </c>
      <c r="P2" s="928"/>
      <c r="Q2" s="928"/>
      <c r="R2" s="252"/>
      <c r="S2" s="939" t="s">
        <v>181</v>
      </c>
      <c r="T2" s="940"/>
      <c r="U2" s="941"/>
      <c r="V2" s="939" t="s">
        <v>182</v>
      </c>
      <c r="W2" s="940"/>
      <c r="X2" s="941"/>
      <c r="Y2" s="939" t="s">
        <v>183</v>
      </c>
      <c r="Z2" s="940"/>
      <c r="AA2" s="941"/>
      <c r="AB2" s="939" t="s">
        <v>184</v>
      </c>
      <c r="AC2" s="940"/>
      <c r="AD2" s="941"/>
      <c r="AE2" s="933" t="s">
        <v>239</v>
      </c>
      <c r="AF2" s="934"/>
      <c r="AG2" s="945"/>
      <c r="AH2" s="933" t="s">
        <v>243</v>
      </c>
      <c r="AI2" s="934"/>
      <c r="AJ2" s="945"/>
      <c r="AK2" s="933" t="s">
        <v>240</v>
      </c>
      <c r="AL2" s="934"/>
      <c r="AM2" s="934"/>
      <c r="AN2" s="937" t="s">
        <v>189</v>
      </c>
    </row>
    <row r="3" spans="1:40" ht="21.75" customHeight="1" thickBot="1">
      <c r="A3" s="929" t="s">
        <v>7</v>
      </c>
      <c r="B3" s="29"/>
      <c r="C3" s="928" t="s">
        <v>133</v>
      </c>
      <c r="D3" s="928" t="s">
        <v>15</v>
      </c>
      <c r="E3" s="928" t="s">
        <v>16</v>
      </c>
      <c r="F3" s="928" t="s">
        <v>133</v>
      </c>
      <c r="G3" s="928" t="s">
        <v>15</v>
      </c>
      <c r="H3" s="928" t="s">
        <v>16</v>
      </c>
      <c r="I3" s="928" t="s">
        <v>133</v>
      </c>
      <c r="J3" s="928" t="s">
        <v>15</v>
      </c>
      <c r="K3" s="928" t="s">
        <v>16</v>
      </c>
      <c r="L3" s="928" t="s">
        <v>133</v>
      </c>
      <c r="M3" s="928" t="s">
        <v>15</v>
      </c>
      <c r="N3" s="928" t="s">
        <v>16</v>
      </c>
      <c r="O3" s="928" t="s">
        <v>133</v>
      </c>
      <c r="P3" s="928" t="s">
        <v>15</v>
      </c>
      <c r="Q3" s="928" t="s">
        <v>16</v>
      </c>
      <c r="R3" s="947" t="s">
        <v>185</v>
      </c>
      <c r="S3" s="942"/>
      <c r="T3" s="943"/>
      <c r="U3" s="944"/>
      <c r="V3" s="942"/>
      <c r="W3" s="943"/>
      <c r="X3" s="944"/>
      <c r="Y3" s="942"/>
      <c r="Z3" s="943"/>
      <c r="AA3" s="944"/>
      <c r="AB3" s="942"/>
      <c r="AC3" s="943"/>
      <c r="AD3" s="944"/>
      <c r="AE3" s="935"/>
      <c r="AF3" s="936"/>
      <c r="AG3" s="946"/>
      <c r="AH3" s="935"/>
      <c r="AI3" s="936"/>
      <c r="AJ3" s="946"/>
      <c r="AK3" s="935"/>
      <c r="AL3" s="936"/>
      <c r="AM3" s="936"/>
      <c r="AN3" s="938"/>
    </row>
    <row r="4" spans="1:40" ht="15.75" thickTop="1">
      <c r="A4" s="930"/>
      <c r="B4" s="244"/>
      <c r="C4" s="928"/>
      <c r="D4" s="928"/>
      <c r="E4" s="928"/>
      <c r="F4" s="928"/>
      <c r="G4" s="928"/>
      <c r="H4" s="928"/>
      <c r="I4" s="928"/>
      <c r="J4" s="928"/>
      <c r="K4" s="928"/>
      <c r="L4" s="928"/>
      <c r="M4" s="928"/>
      <c r="N4" s="928"/>
      <c r="O4" s="928"/>
      <c r="P4" s="928"/>
      <c r="Q4" s="928"/>
      <c r="R4" s="947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254752</v>
      </c>
      <c r="E5" s="58">
        <f t="shared" ref="E5:E15" si="1">IF((D5-D4)&lt;0,"0",(D5-D4))</f>
        <v>254752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8410</v>
      </c>
      <c r="K5" s="474">
        <f t="shared" ref="K5:K6" si="4">J5-J4</f>
        <v>8410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21230</v>
      </c>
      <c r="Q5" s="474">
        <f t="shared" ref="Q5:Q27" si="7">IF((P5-P4)&lt;0,"0",(P5-P4))</f>
        <v>21230</v>
      </c>
      <c r="R5" s="246"/>
      <c r="S5" s="245"/>
      <c r="T5" s="384">
        <v>68997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90129</v>
      </c>
      <c r="AA5" s="246">
        <v>0</v>
      </c>
      <c r="AB5" s="606" t="str">
        <f>AC4</f>
        <v>FINAL</v>
      </c>
      <c r="AC5" s="610">
        <v>19263</v>
      </c>
      <c r="AD5" s="608"/>
      <c r="AE5" s="245" t="str">
        <f t="shared" ref="AE5:AE37" si="10">AF4</f>
        <v>FINAL</v>
      </c>
      <c r="AF5" s="385">
        <v>8300</v>
      </c>
      <c r="AG5" s="260">
        <v>0</v>
      </c>
      <c r="AH5" s="245" t="str">
        <f t="shared" ref="AH5:AH37" si="11">AI4</f>
        <v>FINAL</v>
      </c>
      <c r="AI5" s="385">
        <v>31157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44317</v>
      </c>
      <c r="B6" s="4"/>
      <c r="C6" s="95">
        <f t="shared" si="0"/>
        <v>254752</v>
      </c>
      <c r="D6" s="1">
        <v>254793</v>
      </c>
      <c r="E6" s="58">
        <f t="shared" si="1"/>
        <v>41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8410</v>
      </c>
      <c r="J6" s="1">
        <v>8414</v>
      </c>
      <c r="K6" s="474">
        <f t="shared" si="4"/>
        <v>4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21230</v>
      </c>
      <c r="P6" s="383">
        <v>21233</v>
      </c>
      <c r="Q6" s="474">
        <f t="shared" si="7"/>
        <v>3</v>
      </c>
      <c r="R6" s="250"/>
      <c r="S6" s="245">
        <f t="shared" ref="S6:S24" si="15">T5</f>
        <v>68997</v>
      </c>
      <c r="T6" s="384">
        <v>69085</v>
      </c>
      <c r="U6" s="475">
        <f t="shared" ref="U6:U24" si="16">IF((T6-T5)&lt;0,"0",(T6-T5))</f>
        <v>88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90129</v>
      </c>
      <c r="Z6" s="384">
        <v>90129</v>
      </c>
      <c r="AA6" s="475">
        <f t="shared" ref="AA6:AA37" si="18">IF((Z6-Z5)&lt;0,"0",(Z6-Z5))</f>
        <v>0</v>
      </c>
      <c r="AB6" s="606">
        <f>AC5</f>
        <v>19263</v>
      </c>
      <c r="AC6" s="617">
        <v>19278</v>
      </c>
      <c r="AD6" s="609">
        <f>IF((AC6-AC5)&lt;0,"0",(AC6-AC5))</f>
        <v>15</v>
      </c>
      <c r="AE6" s="245">
        <f t="shared" si="10"/>
        <v>8300</v>
      </c>
      <c r="AF6" s="385">
        <v>8300</v>
      </c>
      <c r="AG6" s="475">
        <f t="shared" ref="AG6:AG37" si="19">IF((AF6-AF5)&lt;0,"0",(AF6-AF5))</f>
        <v>0</v>
      </c>
      <c r="AH6" s="245">
        <f t="shared" si="11"/>
        <v>31157</v>
      </c>
      <c r="AI6" s="385">
        <v>31184</v>
      </c>
      <c r="AJ6" s="475">
        <f t="shared" ref="AJ6:AJ37" si="20">IF((AI6-AI5)&lt;0,"0",(AI6-AI5))</f>
        <v>27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130</v>
      </c>
    </row>
    <row r="7" spans="1:40" ht="23.1" customHeight="1">
      <c r="A7" s="57">
        <f>Gen!A12</f>
        <v>44318</v>
      </c>
      <c r="B7" s="4"/>
      <c r="C7" s="95">
        <f t="shared" si="0"/>
        <v>254793</v>
      </c>
      <c r="D7" s="1">
        <v>254843</v>
      </c>
      <c r="E7" s="58">
        <f t="shared" si="1"/>
        <v>50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8414</v>
      </c>
      <c r="J7" s="1">
        <v>8415</v>
      </c>
      <c r="K7" s="474">
        <f>J7-J6</f>
        <v>1</v>
      </c>
      <c r="L7" s="95">
        <f t="shared" si="5"/>
        <v>0</v>
      </c>
      <c r="M7" s="1"/>
      <c r="N7" s="474">
        <f t="shared" si="14"/>
        <v>0</v>
      </c>
      <c r="O7" s="95">
        <f t="shared" si="6"/>
        <v>21233</v>
      </c>
      <c r="P7" s="383">
        <v>21237</v>
      </c>
      <c r="Q7" s="474">
        <f t="shared" si="7"/>
        <v>4</v>
      </c>
      <c r="R7" s="250"/>
      <c r="S7" s="245">
        <f t="shared" si="15"/>
        <v>69085</v>
      </c>
      <c r="T7" s="384">
        <v>69167</v>
      </c>
      <c r="U7" s="475">
        <f t="shared" si="16"/>
        <v>82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90129</v>
      </c>
      <c r="Z7" s="384">
        <v>90129</v>
      </c>
      <c r="AA7" s="475">
        <f t="shared" si="18"/>
        <v>0</v>
      </c>
      <c r="AB7" s="606">
        <f t="shared" ref="AB7:AB37" si="22">AC6</f>
        <v>19278</v>
      </c>
      <c r="AC7" s="607">
        <v>19295</v>
      </c>
      <c r="AD7" s="609">
        <f t="shared" ref="AD7:AD37" si="23">IF((AC7-AC6)&lt;0,"0",(AC7-AC6))</f>
        <v>17</v>
      </c>
      <c r="AE7" s="245">
        <f t="shared" si="10"/>
        <v>8300</v>
      </c>
      <c r="AF7" s="385">
        <v>8300</v>
      </c>
      <c r="AG7" s="475">
        <f t="shared" si="19"/>
        <v>0</v>
      </c>
      <c r="AH7" s="245">
        <f t="shared" si="11"/>
        <v>31184</v>
      </c>
      <c r="AI7" s="385">
        <v>31211</v>
      </c>
      <c r="AJ7" s="475">
        <f t="shared" si="20"/>
        <v>27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126</v>
      </c>
    </row>
    <row r="8" spans="1:40" ht="23.1" customHeight="1">
      <c r="A8" s="57">
        <f>Gen!A13</f>
        <v>44319</v>
      </c>
      <c r="B8" s="4"/>
      <c r="C8" s="95">
        <f t="shared" si="0"/>
        <v>254843</v>
      </c>
      <c r="D8" s="1">
        <v>254893</v>
      </c>
      <c r="E8" s="58">
        <f t="shared" si="1"/>
        <v>50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8415</v>
      </c>
      <c r="J8" s="1">
        <v>8416</v>
      </c>
      <c r="K8" s="474">
        <f>J8-J7</f>
        <v>1</v>
      </c>
      <c r="L8" s="95">
        <f t="shared" si="5"/>
        <v>0</v>
      </c>
      <c r="M8" s="1"/>
      <c r="N8" s="474">
        <f t="shared" si="14"/>
        <v>0</v>
      </c>
      <c r="O8" s="95">
        <f t="shared" si="6"/>
        <v>21237</v>
      </c>
      <c r="P8" s="383">
        <v>21242</v>
      </c>
      <c r="Q8" s="474">
        <f t="shared" si="7"/>
        <v>5</v>
      </c>
      <c r="R8" s="250"/>
      <c r="S8" s="245">
        <f t="shared" si="15"/>
        <v>69167</v>
      </c>
      <c r="T8" s="384">
        <v>69249</v>
      </c>
      <c r="U8" s="475">
        <f t="shared" si="16"/>
        <v>82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90129</v>
      </c>
      <c r="Z8" s="384">
        <v>90129</v>
      </c>
      <c r="AA8" s="475">
        <f t="shared" si="18"/>
        <v>0</v>
      </c>
      <c r="AB8" s="606">
        <f t="shared" si="22"/>
        <v>19295</v>
      </c>
      <c r="AC8" s="607">
        <v>19311</v>
      </c>
      <c r="AD8" s="609">
        <f t="shared" si="23"/>
        <v>16</v>
      </c>
      <c r="AE8" s="245">
        <f t="shared" si="10"/>
        <v>8300</v>
      </c>
      <c r="AF8" s="385">
        <v>8300</v>
      </c>
      <c r="AG8" s="475">
        <f t="shared" si="19"/>
        <v>0</v>
      </c>
      <c r="AH8" s="245">
        <f t="shared" si="11"/>
        <v>31211</v>
      </c>
      <c r="AI8" s="385">
        <v>31239</v>
      </c>
      <c r="AJ8" s="475">
        <f t="shared" si="20"/>
        <v>28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126</v>
      </c>
    </row>
    <row r="9" spans="1:40" ht="23.1" customHeight="1">
      <c r="A9" s="57">
        <f>Gen!A14</f>
        <v>44320</v>
      </c>
      <c r="B9" s="4"/>
      <c r="C9" s="95">
        <f t="shared" si="0"/>
        <v>254893</v>
      </c>
      <c r="D9" s="1"/>
      <c r="E9" s="58" t="str">
        <f t="shared" si="1"/>
        <v>0</v>
      </c>
      <c r="F9" s="95">
        <f t="shared" si="2"/>
        <v>75790</v>
      </c>
      <c r="G9" s="387"/>
      <c r="H9" s="474" t="str">
        <f t="shared" si="13"/>
        <v>0</v>
      </c>
      <c r="I9" s="95">
        <f t="shared" si="3"/>
        <v>8416</v>
      </c>
      <c r="J9" s="1"/>
      <c r="K9" s="474">
        <f>J9-J8</f>
        <v>-8416</v>
      </c>
      <c r="L9" s="95">
        <f t="shared" si="5"/>
        <v>0</v>
      </c>
      <c r="M9" s="1"/>
      <c r="N9" s="474">
        <f t="shared" si="14"/>
        <v>0</v>
      </c>
      <c r="O9" s="95">
        <f t="shared" si="6"/>
        <v>21242</v>
      </c>
      <c r="P9" s="383"/>
      <c r="Q9" s="474" t="str">
        <f t="shared" si="7"/>
        <v>0</v>
      </c>
      <c r="R9" s="250"/>
      <c r="S9" s="245">
        <f t="shared" si="15"/>
        <v>69249</v>
      </c>
      <c r="T9" s="384"/>
      <c r="U9" s="475" t="str">
        <f t="shared" si="16"/>
        <v>0</v>
      </c>
      <c r="V9" s="245">
        <f t="shared" si="8"/>
        <v>73031</v>
      </c>
      <c r="W9" s="384"/>
      <c r="X9" s="475" t="str">
        <f t="shared" si="17"/>
        <v>0</v>
      </c>
      <c r="Y9" s="245">
        <f t="shared" si="9"/>
        <v>90129</v>
      </c>
      <c r="Z9" s="384"/>
      <c r="AA9" s="475" t="str">
        <f t="shared" si="18"/>
        <v>0</v>
      </c>
      <c r="AB9" s="606">
        <f t="shared" si="22"/>
        <v>19311</v>
      </c>
      <c r="AC9" s="607"/>
      <c r="AD9" s="609" t="str">
        <f t="shared" si="23"/>
        <v>0</v>
      </c>
      <c r="AE9" s="245">
        <f t="shared" si="10"/>
        <v>8300</v>
      </c>
      <c r="AF9" s="385"/>
      <c r="AG9" s="475" t="str">
        <f t="shared" si="19"/>
        <v>0</v>
      </c>
      <c r="AH9" s="245">
        <f t="shared" ref="AH9" si="25">AI9</f>
        <v>0</v>
      </c>
      <c r="AI9" s="385"/>
      <c r="AJ9" s="475" t="str">
        <f t="shared" si="20"/>
        <v>0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0</v>
      </c>
    </row>
    <row r="10" spans="1:40" ht="23.1" customHeight="1">
      <c r="A10" s="57">
        <f>Gen!A15</f>
        <v>44321</v>
      </c>
      <c r="B10" s="4"/>
      <c r="C10" s="95">
        <f t="shared" si="0"/>
        <v>0</v>
      </c>
      <c r="D10" s="1"/>
      <c r="E10" s="58">
        <f t="shared" si="1"/>
        <v>0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0</v>
      </c>
      <c r="J10" s="1"/>
      <c r="K10" s="474">
        <f t="shared" ref="K10:K13" si="26">J10-J9</f>
        <v>0</v>
      </c>
      <c r="L10" s="95">
        <f t="shared" si="5"/>
        <v>0</v>
      </c>
      <c r="M10" s="1"/>
      <c r="N10" s="474">
        <f t="shared" si="14"/>
        <v>0</v>
      </c>
      <c r="O10" s="95">
        <f t="shared" si="6"/>
        <v>0</v>
      </c>
      <c r="P10" s="383"/>
      <c r="Q10" s="474">
        <f t="shared" si="7"/>
        <v>0</v>
      </c>
      <c r="R10" s="250"/>
      <c r="S10" s="245">
        <f t="shared" si="15"/>
        <v>0</v>
      </c>
      <c r="T10" s="384"/>
      <c r="U10" s="475">
        <f t="shared" si="16"/>
        <v>0</v>
      </c>
      <c r="V10" s="245">
        <f t="shared" si="8"/>
        <v>0</v>
      </c>
      <c r="W10" s="384"/>
      <c r="X10" s="475">
        <f t="shared" si="17"/>
        <v>0</v>
      </c>
      <c r="Y10" s="245">
        <f t="shared" si="9"/>
        <v>0</v>
      </c>
      <c r="Z10" s="384"/>
      <c r="AA10" s="475">
        <f t="shared" si="18"/>
        <v>0</v>
      </c>
      <c r="AB10" s="606">
        <f t="shared" si="22"/>
        <v>0</v>
      </c>
      <c r="AC10" s="607"/>
      <c r="AD10" s="609">
        <f t="shared" si="23"/>
        <v>0</v>
      </c>
      <c r="AE10" s="245">
        <f t="shared" si="10"/>
        <v>0</v>
      </c>
      <c r="AF10" s="385"/>
      <c r="AG10" s="475">
        <f t="shared" si="19"/>
        <v>0</v>
      </c>
      <c r="AH10" s="245">
        <f t="shared" si="11"/>
        <v>0</v>
      </c>
      <c r="AI10" s="385"/>
      <c r="AJ10" s="475">
        <f t="shared" si="20"/>
        <v>0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0</v>
      </c>
    </row>
    <row r="11" spans="1:40" ht="23.1" customHeight="1">
      <c r="A11" s="57">
        <f>Gen!A16</f>
        <v>44322</v>
      </c>
      <c r="B11" s="4"/>
      <c r="C11" s="95">
        <f t="shared" si="0"/>
        <v>0</v>
      </c>
      <c r="D11" s="1"/>
      <c r="E11" s="58">
        <f t="shared" si="1"/>
        <v>0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0</v>
      </c>
      <c r="J11" s="1"/>
      <c r="K11" s="474">
        <f t="shared" si="26"/>
        <v>0</v>
      </c>
      <c r="L11" s="95">
        <f t="shared" si="5"/>
        <v>0</v>
      </c>
      <c r="M11" s="1"/>
      <c r="N11" s="474">
        <f t="shared" si="14"/>
        <v>0</v>
      </c>
      <c r="O11" s="95">
        <f t="shared" si="6"/>
        <v>0</v>
      </c>
      <c r="P11" s="383"/>
      <c r="Q11" s="474">
        <f t="shared" si="7"/>
        <v>0</v>
      </c>
      <c r="R11" s="250"/>
      <c r="S11" s="245">
        <f t="shared" si="15"/>
        <v>0</v>
      </c>
      <c r="T11" s="384"/>
      <c r="U11" s="475">
        <f t="shared" si="16"/>
        <v>0</v>
      </c>
      <c r="V11" s="245">
        <f t="shared" si="8"/>
        <v>0</v>
      </c>
      <c r="W11" s="384"/>
      <c r="X11" s="475">
        <f t="shared" si="17"/>
        <v>0</v>
      </c>
      <c r="Y11" s="245">
        <f t="shared" si="9"/>
        <v>0</v>
      </c>
      <c r="Z11" s="384"/>
      <c r="AA11" s="475">
        <f t="shared" si="18"/>
        <v>0</v>
      </c>
      <c r="AB11" s="606">
        <f t="shared" si="22"/>
        <v>0</v>
      </c>
      <c r="AC11" s="607"/>
      <c r="AD11" s="609">
        <f t="shared" si="23"/>
        <v>0</v>
      </c>
      <c r="AE11" s="245">
        <f>AF11</f>
        <v>0</v>
      </c>
      <c r="AF11" s="385"/>
      <c r="AG11" s="475">
        <f t="shared" si="19"/>
        <v>0</v>
      </c>
      <c r="AH11" s="245">
        <f t="shared" si="11"/>
        <v>0</v>
      </c>
      <c r="AI11" s="385"/>
      <c r="AJ11" s="475">
        <f t="shared" si="20"/>
        <v>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0</v>
      </c>
    </row>
    <row r="12" spans="1:40" ht="23.1" customHeight="1">
      <c r="A12" s="57">
        <f>Gen!A17</f>
        <v>44323</v>
      </c>
      <c r="B12" s="4"/>
      <c r="C12" s="95">
        <f t="shared" si="0"/>
        <v>0</v>
      </c>
      <c r="D12" s="1"/>
      <c r="E12" s="58">
        <f t="shared" si="1"/>
        <v>0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0</v>
      </c>
      <c r="J12" s="1"/>
      <c r="K12" s="474">
        <f t="shared" si="26"/>
        <v>0</v>
      </c>
      <c r="L12" s="95">
        <f t="shared" si="5"/>
        <v>0</v>
      </c>
      <c r="M12" s="1"/>
      <c r="N12" s="474">
        <f t="shared" si="14"/>
        <v>0</v>
      </c>
      <c r="O12" s="95">
        <f t="shared" si="6"/>
        <v>0</v>
      </c>
      <c r="P12" s="383"/>
      <c r="Q12" s="474">
        <f t="shared" si="7"/>
        <v>0</v>
      </c>
      <c r="R12" s="250"/>
      <c r="S12" s="245">
        <f t="shared" si="15"/>
        <v>0</v>
      </c>
      <c r="T12" s="384"/>
      <c r="U12" s="475">
        <f t="shared" si="16"/>
        <v>0</v>
      </c>
      <c r="V12" s="245">
        <f t="shared" si="8"/>
        <v>0</v>
      </c>
      <c r="W12" s="384"/>
      <c r="X12" s="475">
        <f t="shared" si="17"/>
        <v>0</v>
      </c>
      <c r="Y12" s="245">
        <f t="shared" si="9"/>
        <v>0</v>
      </c>
      <c r="Z12" s="384"/>
      <c r="AA12" s="475">
        <f t="shared" si="18"/>
        <v>0</v>
      </c>
      <c r="AB12" s="606">
        <f t="shared" si="22"/>
        <v>0</v>
      </c>
      <c r="AC12" s="607"/>
      <c r="AD12" s="609">
        <f t="shared" si="23"/>
        <v>0</v>
      </c>
      <c r="AE12" s="245">
        <f t="shared" ref="AE12:AE20" si="27">AF12</f>
        <v>0</v>
      </c>
      <c r="AF12" s="385"/>
      <c r="AG12" s="475">
        <f t="shared" si="19"/>
        <v>0</v>
      </c>
      <c r="AH12" s="245">
        <f t="shared" si="11"/>
        <v>0</v>
      </c>
      <c r="AI12" s="385"/>
      <c r="AJ12" s="475">
        <f t="shared" si="20"/>
        <v>0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0</v>
      </c>
    </row>
    <row r="13" spans="1:40" ht="23.1" customHeight="1">
      <c r="A13" s="57">
        <f>Gen!A18</f>
        <v>44324</v>
      </c>
      <c r="B13" s="4"/>
      <c r="C13" s="95">
        <f t="shared" si="0"/>
        <v>0</v>
      </c>
      <c r="D13" s="1"/>
      <c r="E13" s="58">
        <f t="shared" si="1"/>
        <v>0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0</v>
      </c>
      <c r="J13" s="1"/>
      <c r="K13" s="474">
        <f t="shared" si="26"/>
        <v>0</v>
      </c>
      <c r="L13" s="95">
        <f t="shared" si="5"/>
        <v>0</v>
      </c>
      <c r="M13" s="1"/>
      <c r="N13" s="474">
        <f t="shared" si="14"/>
        <v>0</v>
      </c>
      <c r="O13" s="95">
        <f t="shared" si="6"/>
        <v>0</v>
      </c>
      <c r="P13" s="383"/>
      <c r="Q13" s="474">
        <f t="shared" si="7"/>
        <v>0</v>
      </c>
      <c r="R13" s="250"/>
      <c r="S13" s="245">
        <f t="shared" si="15"/>
        <v>0</v>
      </c>
      <c r="T13" s="384"/>
      <c r="U13" s="475">
        <f t="shared" si="16"/>
        <v>0</v>
      </c>
      <c r="V13" s="245">
        <f t="shared" si="8"/>
        <v>0</v>
      </c>
      <c r="W13" s="384"/>
      <c r="X13" s="475">
        <f t="shared" si="17"/>
        <v>0</v>
      </c>
      <c r="Y13" s="245">
        <f t="shared" si="9"/>
        <v>0</v>
      </c>
      <c r="Z13" s="384"/>
      <c r="AA13" s="475">
        <f t="shared" si="18"/>
        <v>0</v>
      </c>
      <c r="AB13" s="606">
        <f t="shared" si="22"/>
        <v>0</v>
      </c>
      <c r="AC13" s="607"/>
      <c r="AD13" s="609">
        <f t="shared" si="23"/>
        <v>0</v>
      </c>
      <c r="AE13" s="245">
        <f t="shared" si="27"/>
        <v>0</v>
      </c>
      <c r="AF13" s="385"/>
      <c r="AG13" s="475">
        <f t="shared" si="19"/>
        <v>0</v>
      </c>
      <c r="AH13" s="245">
        <f t="shared" si="11"/>
        <v>0</v>
      </c>
      <c r="AI13" s="385"/>
      <c r="AJ13" s="475">
        <f t="shared" si="20"/>
        <v>0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0</v>
      </c>
    </row>
    <row r="14" spans="1:40" ht="23.1" customHeight="1">
      <c r="A14" s="57">
        <f>Gen!A19</f>
        <v>44325</v>
      </c>
      <c r="B14" s="4"/>
      <c r="C14" s="95">
        <f t="shared" si="0"/>
        <v>0</v>
      </c>
      <c r="D14" s="1"/>
      <c r="E14" s="58">
        <f t="shared" si="1"/>
        <v>0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0</v>
      </c>
      <c r="J14" s="1"/>
      <c r="K14" s="474">
        <f t="shared" ref="K14:K27" si="28">IF((J14-J13)&lt;0,"0",(J14-J13))</f>
        <v>0</v>
      </c>
      <c r="L14" s="95">
        <f t="shared" si="5"/>
        <v>0</v>
      </c>
      <c r="M14" s="1"/>
      <c r="N14" s="474">
        <f t="shared" si="14"/>
        <v>0</v>
      </c>
      <c r="O14" s="95">
        <f t="shared" si="6"/>
        <v>0</v>
      </c>
      <c r="P14" s="383"/>
      <c r="Q14" s="474">
        <f t="shared" si="7"/>
        <v>0</v>
      </c>
      <c r="R14" s="250"/>
      <c r="S14" s="245">
        <f t="shared" si="15"/>
        <v>0</v>
      </c>
      <c r="T14" s="384"/>
      <c r="U14" s="475">
        <f t="shared" si="16"/>
        <v>0</v>
      </c>
      <c r="V14" s="245">
        <f t="shared" si="8"/>
        <v>0</v>
      </c>
      <c r="W14" s="384"/>
      <c r="X14" s="475">
        <f t="shared" si="17"/>
        <v>0</v>
      </c>
      <c r="Y14" s="245">
        <f t="shared" si="9"/>
        <v>0</v>
      </c>
      <c r="Z14" s="384"/>
      <c r="AA14" s="475">
        <f t="shared" si="18"/>
        <v>0</v>
      </c>
      <c r="AB14" s="606">
        <f t="shared" si="22"/>
        <v>0</v>
      </c>
      <c r="AC14" s="610"/>
      <c r="AD14" s="609">
        <f t="shared" si="23"/>
        <v>0</v>
      </c>
      <c r="AE14" s="245">
        <f t="shared" si="27"/>
        <v>0</v>
      </c>
      <c r="AF14" s="385"/>
      <c r="AG14" s="475">
        <f t="shared" si="19"/>
        <v>0</v>
      </c>
      <c r="AH14" s="245">
        <f t="shared" si="11"/>
        <v>0</v>
      </c>
      <c r="AI14" s="385"/>
      <c r="AJ14" s="475">
        <f t="shared" si="20"/>
        <v>0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0</v>
      </c>
    </row>
    <row r="15" spans="1:40" ht="23.1" customHeight="1">
      <c r="A15" s="57">
        <f>Gen!A20</f>
        <v>44326</v>
      </c>
      <c r="B15" s="4"/>
      <c r="C15" s="95">
        <f t="shared" si="0"/>
        <v>0</v>
      </c>
      <c r="D15" s="1"/>
      <c r="E15" s="58">
        <f t="shared" si="1"/>
        <v>0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0</v>
      </c>
      <c r="J15" s="1"/>
      <c r="K15" s="474">
        <f t="shared" si="28"/>
        <v>0</v>
      </c>
      <c r="L15" s="95">
        <f t="shared" si="5"/>
        <v>0</v>
      </c>
      <c r="M15" s="1"/>
      <c r="N15" s="474">
        <f t="shared" si="14"/>
        <v>0</v>
      </c>
      <c r="O15" s="95">
        <f t="shared" si="6"/>
        <v>0</v>
      </c>
      <c r="P15" s="383"/>
      <c r="Q15" s="474">
        <f t="shared" si="7"/>
        <v>0</v>
      </c>
      <c r="R15" s="250"/>
      <c r="S15" s="245">
        <f t="shared" si="15"/>
        <v>0</v>
      </c>
      <c r="T15" s="384"/>
      <c r="U15" s="475">
        <f t="shared" si="16"/>
        <v>0</v>
      </c>
      <c r="V15" s="245">
        <f t="shared" si="8"/>
        <v>0</v>
      </c>
      <c r="W15" s="384"/>
      <c r="X15" s="475">
        <f t="shared" si="17"/>
        <v>0</v>
      </c>
      <c r="Y15" s="245">
        <f t="shared" si="9"/>
        <v>0</v>
      </c>
      <c r="Z15" s="384"/>
      <c r="AA15" s="475">
        <f t="shared" si="18"/>
        <v>0</v>
      </c>
      <c r="AB15" s="606">
        <f t="shared" si="22"/>
        <v>0</v>
      </c>
      <c r="AC15" s="610"/>
      <c r="AD15" s="609">
        <f t="shared" si="23"/>
        <v>0</v>
      </c>
      <c r="AE15" s="245">
        <f t="shared" si="27"/>
        <v>0</v>
      </c>
      <c r="AF15" s="385"/>
      <c r="AG15" s="475">
        <f t="shared" si="19"/>
        <v>0</v>
      </c>
      <c r="AH15" s="245">
        <f t="shared" si="11"/>
        <v>0</v>
      </c>
      <c r="AI15" s="385"/>
      <c r="AJ15" s="475">
        <f t="shared" si="20"/>
        <v>0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0</v>
      </c>
    </row>
    <row r="16" spans="1:40" ht="23.1" customHeight="1">
      <c r="A16" s="57">
        <f>Gen!A21</f>
        <v>44327</v>
      </c>
      <c r="B16" s="4"/>
      <c r="C16" s="95">
        <f t="shared" si="0"/>
        <v>0</v>
      </c>
      <c r="D16" s="1"/>
      <c r="E16" s="58">
        <f>IF((D16-D15)&lt;0,"0",(D16-D15))</f>
        <v>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0</v>
      </c>
      <c r="J16" s="1"/>
      <c r="K16" s="474">
        <f t="shared" si="28"/>
        <v>0</v>
      </c>
      <c r="L16" s="95">
        <f t="shared" si="5"/>
        <v>0</v>
      </c>
      <c r="M16" s="1"/>
      <c r="N16" s="474">
        <f t="shared" si="14"/>
        <v>0</v>
      </c>
      <c r="O16" s="95">
        <f t="shared" si="6"/>
        <v>0</v>
      </c>
      <c r="P16" s="383"/>
      <c r="Q16" s="474">
        <f t="shared" si="7"/>
        <v>0</v>
      </c>
      <c r="R16" s="250"/>
      <c r="S16" s="245">
        <f t="shared" si="15"/>
        <v>0</v>
      </c>
      <c r="T16" s="384"/>
      <c r="U16" s="475">
        <f t="shared" si="16"/>
        <v>0</v>
      </c>
      <c r="V16" s="245">
        <f t="shared" si="8"/>
        <v>0</v>
      </c>
      <c r="W16" s="384"/>
      <c r="X16" s="475">
        <f t="shared" si="17"/>
        <v>0</v>
      </c>
      <c r="Y16" s="245">
        <f t="shared" si="9"/>
        <v>0</v>
      </c>
      <c r="Z16" s="384"/>
      <c r="AA16" s="475">
        <f t="shared" si="18"/>
        <v>0</v>
      </c>
      <c r="AB16" s="606">
        <f t="shared" si="22"/>
        <v>0</v>
      </c>
      <c r="AC16" s="610"/>
      <c r="AD16" s="609">
        <f t="shared" si="23"/>
        <v>0</v>
      </c>
      <c r="AE16" s="245">
        <f t="shared" si="27"/>
        <v>0</v>
      </c>
      <c r="AF16" s="385"/>
      <c r="AG16" s="475">
        <f t="shared" si="19"/>
        <v>0</v>
      </c>
      <c r="AH16" s="245">
        <f t="shared" si="11"/>
        <v>0</v>
      </c>
      <c r="AI16" s="385"/>
      <c r="AJ16" s="475">
        <f t="shared" si="20"/>
        <v>0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0</v>
      </c>
    </row>
    <row r="17" spans="1:40" ht="23.1" customHeight="1">
      <c r="A17" s="57">
        <f>Gen!A22</f>
        <v>44328</v>
      </c>
      <c r="B17" s="4"/>
      <c r="C17" s="95">
        <f t="shared" si="0"/>
        <v>0</v>
      </c>
      <c r="D17" s="1"/>
      <c r="E17" s="474">
        <f>IF((D17-D16)&lt;0,"0",(D17-D16))</f>
        <v>0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0</v>
      </c>
      <c r="J17" s="1"/>
      <c r="K17" s="474">
        <f t="shared" si="28"/>
        <v>0</v>
      </c>
      <c r="L17" s="95">
        <f t="shared" si="5"/>
        <v>0</v>
      </c>
      <c r="M17" s="1"/>
      <c r="N17" s="474">
        <f t="shared" si="14"/>
        <v>0</v>
      </c>
      <c r="O17" s="95">
        <f t="shared" si="6"/>
        <v>0</v>
      </c>
      <c r="P17" s="383"/>
      <c r="Q17" s="474">
        <f t="shared" si="7"/>
        <v>0</v>
      </c>
      <c r="R17" s="250"/>
      <c r="S17" s="245">
        <f t="shared" si="15"/>
        <v>0</v>
      </c>
      <c r="T17" s="384"/>
      <c r="U17" s="475">
        <f t="shared" si="16"/>
        <v>0</v>
      </c>
      <c r="V17" s="245">
        <f t="shared" si="8"/>
        <v>0</v>
      </c>
      <c r="W17" s="384"/>
      <c r="X17" s="475">
        <f>IF((W17-W16)&lt;0,"0",(W17-W16))</f>
        <v>0</v>
      </c>
      <c r="Y17" s="245">
        <f t="shared" si="9"/>
        <v>0</v>
      </c>
      <c r="Z17" s="384"/>
      <c r="AA17" s="475">
        <f>IF((Z17-Z16)&lt;0,"0",(Z17-Z16))</f>
        <v>0</v>
      </c>
      <c r="AB17" s="606">
        <f t="shared" si="22"/>
        <v>0</v>
      </c>
      <c r="AC17" s="610"/>
      <c r="AD17" s="609">
        <f t="shared" si="23"/>
        <v>0</v>
      </c>
      <c r="AE17" s="245">
        <f t="shared" si="27"/>
        <v>0</v>
      </c>
      <c r="AF17" s="385"/>
      <c r="AG17" s="475">
        <f t="shared" si="19"/>
        <v>0</v>
      </c>
      <c r="AH17" s="245">
        <f t="shared" si="11"/>
        <v>0</v>
      </c>
      <c r="AI17" s="385"/>
      <c r="AJ17" s="475">
        <f t="shared" si="20"/>
        <v>0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0</v>
      </c>
    </row>
    <row r="18" spans="1:40" ht="23.1" customHeight="1">
      <c r="A18" s="57">
        <f>Gen!A23</f>
        <v>44329</v>
      </c>
      <c r="B18" s="4"/>
      <c r="C18" s="95">
        <f t="shared" si="0"/>
        <v>0</v>
      </c>
      <c r="D18" s="1"/>
      <c r="E18" s="474">
        <f t="shared" ref="E18:E37" si="29">IF((D18-D17)&lt;0,"0",(D18-D17))</f>
        <v>0</v>
      </c>
      <c r="F18" s="95">
        <f t="shared" si="2"/>
        <v>0</v>
      </c>
      <c r="G18" s="387"/>
      <c r="H18" s="474">
        <f t="shared" si="13"/>
        <v>0</v>
      </c>
      <c r="I18" s="95"/>
      <c r="J18" s="1"/>
      <c r="K18" s="474">
        <f t="shared" si="28"/>
        <v>0</v>
      </c>
      <c r="L18" s="95">
        <f t="shared" si="5"/>
        <v>0</v>
      </c>
      <c r="M18" s="1"/>
      <c r="N18" s="474">
        <f t="shared" si="14"/>
        <v>0</v>
      </c>
      <c r="O18" s="95">
        <f t="shared" si="6"/>
        <v>0</v>
      </c>
      <c r="P18" s="383"/>
      <c r="Q18" s="474">
        <f t="shared" si="7"/>
        <v>0</v>
      </c>
      <c r="R18" s="250"/>
      <c r="S18" s="245">
        <f t="shared" si="15"/>
        <v>0</v>
      </c>
      <c r="T18" s="384"/>
      <c r="U18" s="475">
        <f t="shared" si="16"/>
        <v>0</v>
      </c>
      <c r="V18" s="245">
        <f t="shared" si="8"/>
        <v>0</v>
      </c>
      <c r="W18" s="384"/>
      <c r="X18" s="475">
        <f t="shared" si="17"/>
        <v>0</v>
      </c>
      <c r="Y18" s="245">
        <f t="shared" si="9"/>
        <v>0</v>
      </c>
      <c r="Z18" s="384"/>
      <c r="AA18" s="475">
        <f t="shared" si="18"/>
        <v>0</v>
      </c>
      <c r="AB18" s="606">
        <f t="shared" si="22"/>
        <v>0</v>
      </c>
      <c r="AC18" s="610"/>
      <c r="AD18" s="609">
        <f t="shared" si="23"/>
        <v>0</v>
      </c>
      <c r="AE18" s="245">
        <f t="shared" si="27"/>
        <v>0</v>
      </c>
      <c r="AF18" s="385"/>
      <c r="AG18" s="475">
        <f t="shared" si="19"/>
        <v>0</v>
      </c>
      <c r="AH18" s="245">
        <f>AI17</f>
        <v>0</v>
      </c>
      <c r="AI18" s="385"/>
      <c r="AJ18" s="475">
        <f t="shared" si="20"/>
        <v>0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0</v>
      </c>
    </row>
    <row r="19" spans="1:40" ht="23.1" customHeight="1">
      <c r="A19" s="57">
        <f>Gen!A24</f>
        <v>44330</v>
      </c>
      <c r="B19" s="4"/>
      <c r="C19" s="95">
        <f t="shared" si="0"/>
        <v>0</v>
      </c>
      <c r="D19" s="1"/>
      <c r="E19" s="474">
        <f t="shared" si="29"/>
        <v>0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0</v>
      </c>
      <c r="J19" s="1"/>
      <c r="K19" s="474">
        <f t="shared" si="28"/>
        <v>0</v>
      </c>
      <c r="L19" s="95">
        <f t="shared" si="5"/>
        <v>0</v>
      </c>
      <c r="M19" s="1"/>
      <c r="N19" s="474">
        <f t="shared" si="14"/>
        <v>0</v>
      </c>
      <c r="O19" s="95">
        <f t="shared" si="6"/>
        <v>0</v>
      </c>
      <c r="P19" s="383"/>
      <c r="Q19" s="474">
        <f t="shared" si="7"/>
        <v>0</v>
      </c>
      <c r="R19" s="250"/>
      <c r="S19" s="245">
        <f t="shared" si="15"/>
        <v>0</v>
      </c>
      <c r="T19" s="384"/>
      <c r="U19" s="475">
        <f t="shared" si="16"/>
        <v>0</v>
      </c>
      <c r="V19" s="245">
        <f t="shared" si="8"/>
        <v>0</v>
      </c>
      <c r="W19" s="384"/>
      <c r="X19" s="475">
        <f t="shared" si="17"/>
        <v>0</v>
      </c>
      <c r="Y19" s="245">
        <f t="shared" si="9"/>
        <v>0</v>
      </c>
      <c r="Z19" s="384"/>
      <c r="AA19" s="475">
        <f t="shared" si="18"/>
        <v>0</v>
      </c>
      <c r="AB19" s="606">
        <f t="shared" si="22"/>
        <v>0</v>
      </c>
      <c r="AC19" s="610"/>
      <c r="AD19" s="609">
        <f t="shared" si="23"/>
        <v>0</v>
      </c>
      <c r="AE19" s="245">
        <f t="shared" si="27"/>
        <v>0</v>
      </c>
      <c r="AF19" s="385"/>
      <c r="AG19" s="475">
        <f t="shared" si="19"/>
        <v>0</v>
      </c>
      <c r="AH19" s="245">
        <f>AI18</f>
        <v>0</v>
      </c>
      <c r="AI19" s="385"/>
      <c r="AJ19" s="475">
        <f t="shared" si="20"/>
        <v>0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0</v>
      </c>
    </row>
    <row r="20" spans="1:40" ht="23.1" customHeight="1">
      <c r="A20" s="57">
        <f>Gen!A25</f>
        <v>44331</v>
      </c>
      <c r="B20" s="4"/>
      <c r="C20" s="95">
        <f t="shared" si="0"/>
        <v>0</v>
      </c>
      <c r="D20" s="1"/>
      <c r="E20" s="474">
        <f t="shared" si="29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0</v>
      </c>
      <c r="J20" s="1"/>
      <c r="K20" s="474">
        <f t="shared" si="28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0</v>
      </c>
      <c r="P20" s="383"/>
      <c r="Q20" s="474">
        <f t="shared" si="7"/>
        <v>0</v>
      </c>
      <c r="R20" s="250"/>
      <c r="S20" s="245">
        <f t="shared" si="15"/>
        <v>0</v>
      </c>
      <c r="T20" s="384"/>
      <c r="U20" s="475">
        <f t="shared" si="16"/>
        <v>0</v>
      </c>
      <c r="V20" s="245">
        <f t="shared" si="8"/>
        <v>0</v>
      </c>
      <c r="W20" s="384"/>
      <c r="X20" s="475">
        <f t="shared" si="17"/>
        <v>0</v>
      </c>
      <c r="Y20" s="245">
        <f t="shared" si="9"/>
        <v>0</v>
      </c>
      <c r="Z20" s="384"/>
      <c r="AA20" s="475">
        <f t="shared" si="18"/>
        <v>0</v>
      </c>
      <c r="AB20" s="606">
        <f t="shared" si="22"/>
        <v>0</v>
      </c>
      <c r="AC20" s="610"/>
      <c r="AD20" s="609">
        <f t="shared" si="23"/>
        <v>0</v>
      </c>
      <c r="AE20" s="245">
        <f t="shared" si="27"/>
        <v>0</v>
      </c>
      <c r="AF20" s="385"/>
      <c r="AG20" s="475">
        <f t="shared" si="19"/>
        <v>0</v>
      </c>
      <c r="AH20" s="245">
        <f t="shared" si="11"/>
        <v>0</v>
      </c>
      <c r="AI20" s="385"/>
      <c r="AJ20" s="475">
        <f t="shared" si="20"/>
        <v>0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0</v>
      </c>
    </row>
    <row r="21" spans="1:40" ht="23.1" customHeight="1">
      <c r="A21" s="57">
        <f>Gen!A26</f>
        <v>44332</v>
      </c>
      <c r="B21" s="4"/>
      <c r="C21" s="95">
        <f t="shared" si="0"/>
        <v>0</v>
      </c>
      <c r="D21" s="1"/>
      <c r="E21" s="474">
        <f t="shared" si="29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8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5" si="31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6">
        <f t="shared" si="22"/>
        <v>0</v>
      </c>
      <c r="AC21" s="610"/>
      <c r="AD21" s="609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0</v>
      </c>
    </row>
    <row r="22" spans="1:40" ht="23.1" customHeight="1">
      <c r="A22" s="57">
        <f>Gen!A27</f>
        <v>44333</v>
      </c>
      <c r="B22" s="4"/>
      <c r="C22" s="95">
        <f t="shared" si="0"/>
        <v>0</v>
      </c>
      <c r="D22" s="1"/>
      <c r="E22" s="474">
        <f t="shared" si="29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1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6">
        <f t="shared" si="22"/>
        <v>0</v>
      </c>
      <c r="AC22" s="610"/>
      <c r="AD22" s="609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44334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6">
        <f t="shared" si="22"/>
        <v>0</v>
      </c>
      <c r="AC23" s="607"/>
      <c r="AD23" s="609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44335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6">
        <f t="shared" si="22"/>
        <v>0</v>
      </c>
      <c r="AC24" s="607"/>
      <c r="AD24" s="609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44336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6">
        <f t="shared" si="22"/>
        <v>0</v>
      </c>
      <c r="AC25" s="607"/>
      <c r="AD25" s="609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44337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6">
        <f t="shared" si="22"/>
        <v>0</v>
      </c>
      <c r="AC26" s="607"/>
      <c r="AD26" s="609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44338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6">
        <f t="shared" si="22"/>
        <v>0</v>
      </c>
      <c r="AC27" s="607"/>
      <c r="AD27" s="609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44339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6">
        <f t="shared" si="22"/>
        <v>0</v>
      </c>
      <c r="AC28" s="607"/>
      <c r="AD28" s="609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44340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44341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44342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44343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44344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44345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44346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44347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/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252</v>
      </c>
    </row>
    <row r="38" spans="1:41" ht="18.75">
      <c r="A38" s="57"/>
      <c r="B38" s="21"/>
      <c r="C38" s="927" t="s">
        <v>6</v>
      </c>
      <c r="D38" s="927"/>
      <c r="E38" s="22">
        <f>SUM(E6:E36)</f>
        <v>141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-8410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141</v>
      </c>
      <c r="S38" s="247"/>
      <c r="T38" s="247"/>
      <c r="U38" s="257">
        <f>SUM(U6:U37)</f>
        <v>252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252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53"/>
      <c r="B42" s="277"/>
      <c r="C42" s="950" t="s">
        <v>222</v>
      </c>
      <c r="D42" s="951"/>
      <c r="E42" s="951"/>
      <c r="F42" s="951"/>
      <c r="G42" s="951"/>
      <c r="H42" s="951"/>
      <c r="I42" s="951"/>
      <c r="J42" s="951"/>
      <c r="K42" s="952"/>
      <c r="R42" s="19"/>
    </row>
    <row r="43" spans="1:41" ht="24.75" customHeight="1">
      <c r="A43" s="954"/>
      <c r="B43" s="19"/>
      <c r="C43" s="956" t="s">
        <v>216</v>
      </c>
      <c r="D43" s="957"/>
      <c r="E43" s="958" t="s">
        <v>237</v>
      </c>
      <c r="F43" s="959"/>
      <c r="G43" s="960" t="s">
        <v>217</v>
      </c>
      <c r="H43" s="961"/>
      <c r="I43" s="960" t="s">
        <v>238</v>
      </c>
      <c r="J43" s="961"/>
      <c r="K43" s="948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54"/>
      <c r="B44" s="19"/>
      <c r="C44" s="962" t="s">
        <v>218</v>
      </c>
      <c r="D44" s="963"/>
      <c r="E44" s="962" t="s">
        <v>219</v>
      </c>
      <c r="F44" s="963"/>
      <c r="G44" s="962" t="s">
        <v>220</v>
      </c>
      <c r="H44" s="963"/>
      <c r="I44" s="962" t="s">
        <v>221</v>
      </c>
      <c r="J44" s="963"/>
      <c r="K44" s="949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55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44317</v>
      </c>
      <c r="B46" s="19"/>
      <c r="C46" s="62">
        <v>175</v>
      </c>
      <c r="D46" s="325">
        <f t="shared" ref="D46:D77" si="49">C46*217/300</f>
        <v>126.58333333333333</v>
      </c>
      <c r="E46" s="6">
        <v>140</v>
      </c>
      <c r="F46" s="325">
        <f t="shared" ref="F46:F77" si="50">E46*92/305</f>
        <v>42.229508196721312</v>
      </c>
      <c r="G46" s="618">
        <v>45</v>
      </c>
      <c r="H46" s="325">
        <f t="shared" ref="H46:H77" si="51">G46*146/383</f>
        <v>17.154046997389035</v>
      </c>
      <c r="I46" s="6">
        <v>246</v>
      </c>
      <c r="J46" s="325">
        <f t="shared" ref="J46:J77" si="52">I46*213/308</f>
        <v>170.12337662337663</v>
      </c>
      <c r="K46" s="331">
        <f>D46+F46+H46+J46</f>
        <v>356.0902651508203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44318</v>
      </c>
      <c r="B47" s="19"/>
      <c r="C47" s="62">
        <v>150</v>
      </c>
      <c r="D47" s="325">
        <f t="shared" si="49"/>
        <v>108.5</v>
      </c>
      <c r="E47" s="6">
        <v>115</v>
      </c>
      <c r="F47" s="325">
        <f t="shared" si="50"/>
        <v>34.688524590163937</v>
      </c>
      <c r="G47" s="618">
        <v>235</v>
      </c>
      <c r="H47" s="325">
        <f t="shared" si="51"/>
        <v>89.582245430809394</v>
      </c>
      <c r="I47" s="6">
        <v>278</v>
      </c>
      <c r="J47" s="325">
        <f t="shared" si="52"/>
        <v>192.25324675324674</v>
      </c>
      <c r="K47" s="331">
        <f t="shared" ref="K47:K77" si="53">D47+F47+H47+J47</f>
        <v>425.02401677422006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44319</v>
      </c>
      <c r="B48" s="19"/>
      <c r="C48" s="62">
        <v>211</v>
      </c>
      <c r="D48" s="325">
        <f t="shared" si="49"/>
        <v>152.62333333333333</v>
      </c>
      <c r="E48" s="6">
        <v>176</v>
      </c>
      <c r="F48" s="325">
        <f t="shared" si="50"/>
        <v>53.088524590163935</v>
      </c>
      <c r="G48" s="618">
        <v>260</v>
      </c>
      <c r="H48" s="325">
        <f t="shared" si="51"/>
        <v>99.112271540469976</v>
      </c>
      <c r="I48" s="6">
        <v>258</v>
      </c>
      <c r="J48" s="325">
        <f t="shared" si="52"/>
        <v>178.42207792207793</v>
      </c>
      <c r="K48" s="331">
        <f t="shared" si="53"/>
        <v>483.24620738604517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44320</v>
      </c>
      <c r="B49" s="19"/>
      <c r="C49" s="62">
        <v>280</v>
      </c>
      <c r="D49" s="325">
        <f t="shared" si="49"/>
        <v>202.53333333333333</v>
      </c>
      <c r="E49" s="6">
        <v>245</v>
      </c>
      <c r="F49" s="325">
        <f t="shared" si="50"/>
        <v>73.901639344262293</v>
      </c>
      <c r="G49" s="618">
        <v>145</v>
      </c>
      <c r="H49" s="325">
        <f t="shared" si="51"/>
        <v>55.274151436031332</v>
      </c>
      <c r="I49" s="6">
        <v>288</v>
      </c>
      <c r="J49" s="325">
        <f t="shared" si="52"/>
        <v>199.16883116883116</v>
      </c>
      <c r="K49" s="331">
        <f t="shared" si="53"/>
        <v>530.87795528245806</v>
      </c>
    </row>
    <row r="50" spans="1:15" ht="13.5">
      <c r="A50" s="293">
        <f>Gen!A15</f>
        <v>44321</v>
      </c>
      <c r="B50" s="19"/>
      <c r="C50" s="62"/>
      <c r="D50" s="325">
        <f t="shared" si="49"/>
        <v>0</v>
      </c>
      <c r="E50" s="6"/>
      <c r="F50" s="325">
        <f t="shared" si="50"/>
        <v>0</v>
      </c>
      <c r="G50" s="618"/>
      <c r="H50" s="325">
        <f t="shared" si="51"/>
        <v>0</v>
      </c>
      <c r="I50" s="6"/>
      <c r="J50" s="325">
        <f t="shared" si="52"/>
        <v>0</v>
      </c>
      <c r="K50" s="331">
        <f t="shared" si="53"/>
        <v>0</v>
      </c>
    </row>
    <row r="51" spans="1:15" ht="13.5">
      <c r="A51" s="293">
        <f>Gen!A16</f>
        <v>44322</v>
      </c>
      <c r="B51" s="19"/>
      <c r="C51" s="62"/>
      <c r="D51" s="325">
        <f t="shared" si="49"/>
        <v>0</v>
      </c>
      <c r="E51" s="6"/>
      <c r="F51" s="325">
        <f t="shared" si="50"/>
        <v>0</v>
      </c>
      <c r="G51" s="618"/>
      <c r="H51" s="325">
        <f t="shared" si="51"/>
        <v>0</v>
      </c>
      <c r="I51" s="6"/>
      <c r="J51" s="325">
        <f t="shared" si="52"/>
        <v>0</v>
      </c>
      <c r="K51" s="331">
        <f t="shared" si="53"/>
        <v>0</v>
      </c>
    </row>
    <row r="52" spans="1:15" ht="13.5">
      <c r="A52" s="293">
        <f>Gen!A17</f>
        <v>44323</v>
      </c>
      <c r="B52" s="19"/>
      <c r="C52" s="62"/>
      <c r="D52" s="325">
        <f t="shared" si="49"/>
        <v>0</v>
      </c>
      <c r="E52" s="6"/>
      <c r="F52" s="325">
        <f t="shared" si="50"/>
        <v>0</v>
      </c>
      <c r="G52" s="618"/>
      <c r="H52" s="325">
        <f t="shared" si="51"/>
        <v>0</v>
      </c>
      <c r="I52" s="6"/>
      <c r="J52" s="325">
        <f t="shared" si="52"/>
        <v>0</v>
      </c>
      <c r="K52" s="331">
        <f t="shared" si="53"/>
        <v>0</v>
      </c>
    </row>
    <row r="53" spans="1:15" ht="13.5">
      <c r="A53" s="293">
        <f>Gen!A18</f>
        <v>44324</v>
      </c>
      <c r="B53" s="19"/>
      <c r="C53" s="62"/>
      <c r="D53" s="325">
        <f t="shared" si="49"/>
        <v>0</v>
      </c>
      <c r="E53" s="6"/>
      <c r="F53" s="325">
        <f t="shared" si="50"/>
        <v>0</v>
      </c>
      <c r="G53" s="618"/>
      <c r="H53" s="325">
        <f t="shared" si="51"/>
        <v>0</v>
      </c>
      <c r="I53" s="6"/>
      <c r="J53" s="325">
        <f t="shared" si="52"/>
        <v>0</v>
      </c>
      <c r="K53" s="331">
        <f t="shared" si="53"/>
        <v>0</v>
      </c>
    </row>
    <row r="54" spans="1:15" ht="13.5">
      <c r="A54" s="293">
        <f>Gen!A19</f>
        <v>44325</v>
      </c>
      <c r="B54" s="19"/>
      <c r="C54" s="62"/>
      <c r="D54" s="325">
        <f t="shared" si="49"/>
        <v>0</v>
      </c>
      <c r="E54" s="6"/>
      <c r="F54" s="325">
        <f t="shared" si="50"/>
        <v>0</v>
      </c>
      <c r="G54" s="618"/>
      <c r="H54" s="325">
        <f t="shared" si="51"/>
        <v>0</v>
      </c>
      <c r="I54" s="6"/>
      <c r="J54" s="325">
        <f t="shared" si="52"/>
        <v>0</v>
      </c>
      <c r="K54" s="331">
        <f t="shared" si="53"/>
        <v>0</v>
      </c>
    </row>
    <row r="55" spans="1:15" ht="13.5">
      <c r="A55" s="293">
        <f>Gen!A20</f>
        <v>44326</v>
      </c>
      <c r="B55" s="19"/>
      <c r="C55" s="62"/>
      <c r="D55" s="325">
        <f t="shared" si="49"/>
        <v>0</v>
      </c>
      <c r="E55" s="6"/>
      <c r="F55" s="325">
        <f t="shared" si="50"/>
        <v>0</v>
      </c>
      <c r="G55" s="618"/>
      <c r="H55" s="325">
        <f t="shared" si="51"/>
        <v>0</v>
      </c>
      <c r="I55" s="6"/>
      <c r="J55" s="325">
        <f t="shared" si="52"/>
        <v>0</v>
      </c>
      <c r="K55" s="331">
        <f t="shared" si="53"/>
        <v>0</v>
      </c>
    </row>
    <row r="56" spans="1:15" ht="13.5">
      <c r="A56" s="293">
        <f>Gen!A21</f>
        <v>44327</v>
      </c>
      <c r="B56" s="19"/>
      <c r="C56" s="62"/>
      <c r="D56" s="325">
        <f t="shared" si="49"/>
        <v>0</v>
      </c>
      <c r="E56" s="6"/>
      <c r="F56" s="325">
        <f t="shared" si="50"/>
        <v>0</v>
      </c>
      <c r="G56" s="618"/>
      <c r="H56" s="325">
        <f t="shared" si="51"/>
        <v>0</v>
      </c>
      <c r="I56" s="6"/>
      <c r="J56" s="325">
        <f t="shared" si="52"/>
        <v>0</v>
      </c>
      <c r="K56" s="331">
        <f t="shared" si="53"/>
        <v>0</v>
      </c>
    </row>
    <row r="57" spans="1:15" ht="13.5">
      <c r="A57" s="293">
        <f>Gen!A22</f>
        <v>44328</v>
      </c>
      <c r="B57" s="19"/>
      <c r="C57" s="62"/>
      <c r="D57" s="325">
        <f t="shared" si="49"/>
        <v>0</v>
      </c>
      <c r="E57" s="6"/>
      <c r="F57" s="325">
        <f t="shared" si="50"/>
        <v>0</v>
      </c>
      <c r="G57" s="618"/>
      <c r="H57" s="325">
        <f t="shared" si="51"/>
        <v>0</v>
      </c>
      <c r="I57" s="6"/>
      <c r="J57" s="325">
        <f t="shared" si="52"/>
        <v>0</v>
      </c>
      <c r="K57" s="331">
        <f t="shared" si="53"/>
        <v>0</v>
      </c>
    </row>
    <row r="58" spans="1:15" ht="13.5">
      <c r="A58" s="293">
        <f>Gen!A23</f>
        <v>44329</v>
      </c>
      <c r="B58" s="19"/>
      <c r="C58" s="62"/>
      <c r="D58" s="325">
        <f t="shared" si="49"/>
        <v>0</v>
      </c>
      <c r="E58" s="6"/>
      <c r="F58" s="325">
        <f t="shared" si="50"/>
        <v>0</v>
      </c>
      <c r="G58" s="618"/>
      <c r="H58" s="325">
        <f t="shared" si="51"/>
        <v>0</v>
      </c>
      <c r="I58" s="6"/>
      <c r="J58" s="325">
        <f t="shared" si="52"/>
        <v>0</v>
      </c>
      <c r="K58" s="331">
        <f t="shared" si="53"/>
        <v>0</v>
      </c>
    </row>
    <row r="59" spans="1:15" ht="13.5">
      <c r="A59" s="293">
        <f>Gen!A24</f>
        <v>44330</v>
      </c>
      <c r="B59" s="19"/>
      <c r="C59" s="62"/>
      <c r="D59" s="325">
        <f t="shared" si="49"/>
        <v>0</v>
      </c>
      <c r="E59" s="6"/>
      <c r="F59" s="325">
        <f t="shared" si="50"/>
        <v>0</v>
      </c>
      <c r="G59" s="618"/>
      <c r="H59" s="325">
        <f t="shared" si="51"/>
        <v>0</v>
      </c>
      <c r="I59" s="6"/>
      <c r="J59" s="325">
        <f t="shared" si="52"/>
        <v>0</v>
      </c>
      <c r="K59" s="331">
        <f t="shared" si="53"/>
        <v>0</v>
      </c>
    </row>
    <row r="60" spans="1:15" ht="13.5">
      <c r="A60" s="293">
        <f>Gen!A25</f>
        <v>44331</v>
      </c>
      <c r="B60" s="19"/>
      <c r="C60" s="62"/>
      <c r="D60" s="325">
        <f t="shared" si="49"/>
        <v>0</v>
      </c>
      <c r="E60" s="6"/>
      <c r="F60" s="325">
        <f t="shared" si="50"/>
        <v>0</v>
      </c>
      <c r="G60" s="618"/>
      <c r="H60" s="325">
        <f t="shared" si="51"/>
        <v>0</v>
      </c>
      <c r="I60" s="6"/>
      <c r="J60" s="325">
        <f t="shared" si="52"/>
        <v>0</v>
      </c>
      <c r="K60" s="331">
        <f t="shared" si="53"/>
        <v>0</v>
      </c>
      <c r="L60" t="s">
        <v>249</v>
      </c>
      <c r="O60" t="s">
        <v>250</v>
      </c>
    </row>
    <row r="61" spans="1:15" ht="13.5">
      <c r="A61" s="293">
        <f>Gen!A26</f>
        <v>44332</v>
      </c>
      <c r="B61" s="19"/>
      <c r="C61" s="62"/>
      <c r="D61" s="325">
        <f t="shared" si="49"/>
        <v>0</v>
      </c>
      <c r="E61" s="6"/>
      <c r="F61" s="325">
        <f t="shared" si="50"/>
        <v>0</v>
      </c>
      <c r="G61" s="618"/>
      <c r="H61" s="325">
        <f t="shared" si="51"/>
        <v>0</v>
      </c>
      <c r="I61" s="6"/>
      <c r="J61" s="325">
        <f t="shared" si="52"/>
        <v>0</v>
      </c>
      <c r="K61" s="331">
        <f t="shared" si="53"/>
        <v>0</v>
      </c>
      <c r="L61" t="s">
        <v>252</v>
      </c>
      <c r="N61" t="s">
        <v>251</v>
      </c>
    </row>
    <row r="62" spans="1:15" ht="13.5">
      <c r="A62" s="293">
        <f>Gen!A27</f>
        <v>44333</v>
      </c>
      <c r="B62" s="19"/>
      <c r="C62" s="62"/>
      <c r="D62" s="325">
        <f t="shared" si="49"/>
        <v>0</v>
      </c>
      <c r="E62" s="6"/>
      <c r="F62" s="325">
        <f t="shared" si="50"/>
        <v>0</v>
      </c>
      <c r="G62" s="618"/>
      <c r="H62" s="325">
        <f t="shared" si="51"/>
        <v>0</v>
      </c>
      <c r="I62" s="6"/>
      <c r="J62" s="325">
        <f t="shared" si="52"/>
        <v>0</v>
      </c>
      <c r="K62" s="331">
        <f t="shared" si="53"/>
        <v>0</v>
      </c>
    </row>
    <row r="63" spans="1:15" ht="13.5">
      <c r="A63" s="293">
        <f>Gen!A28</f>
        <v>44334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44335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44336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44337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44338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44339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44340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44341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44342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44343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44344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44345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44346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44347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44317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44318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44319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44320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44321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44322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44323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44324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44325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44326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44327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44328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44329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44330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44331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44332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44333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44334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44335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44336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44337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44338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44339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44340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44341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44342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44343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44344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44345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44346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44347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4" t="s">
        <v>316</v>
      </c>
      <c r="B2" s="965"/>
      <c r="C2" s="965"/>
      <c r="D2" s="965"/>
      <c r="E2" s="96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44317</v>
      </c>
      <c r="B5" s="82">
        <v>0</v>
      </c>
      <c r="C5" s="87">
        <f>Gen!B11</f>
        <v>0.01</v>
      </c>
      <c r="D5" s="434">
        <f>SUM(77*C5)</f>
        <v>0.77</v>
      </c>
      <c r="E5" s="74"/>
      <c r="F5" s="70">
        <f>Gen!U11</f>
        <v>0.4119358490566038</v>
      </c>
      <c r="G5" s="85">
        <f>Gen!T11</f>
        <v>2650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41</v>
      </c>
      <c r="L5" s="447">
        <f>'Lpg (2)'!G10</f>
        <v>49.631999999994882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2.6401515151515151</v>
      </c>
      <c r="U5" s="122">
        <f>SUM(L5*1963)/X5</f>
        <v>61.50733333332699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44318</v>
      </c>
      <c r="B6" s="82">
        <v>0</v>
      </c>
      <c r="C6" s="87">
        <f>Gen!B12</f>
        <v>0</v>
      </c>
      <c r="D6" s="434">
        <f t="shared" ref="D6:D35" si="2">SUM(77*C6)</f>
        <v>0</v>
      </c>
      <c r="E6" s="74"/>
      <c r="F6" s="70">
        <f>Gen!U12</f>
        <v>0.41311086392287732</v>
      </c>
      <c r="G6" s="85">
        <f>Gen!T12</f>
        <v>2697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50</v>
      </c>
      <c r="L6" s="447">
        <f>'Lpg (2)'!G11</f>
        <v>42.768000000005124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3.2196969696969697</v>
      </c>
      <c r="U6" s="122">
        <f t="shared" ref="U6:U35" si="6">SUM(L6*1963)/X6</f>
        <v>53.00100000000635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44319</v>
      </c>
      <c r="B7" s="82">
        <v>0</v>
      </c>
      <c r="C7" s="87">
        <f>Gen!B13</f>
        <v>3.9E-2</v>
      </c>
      <c r="D7" s="434">
        <f t="shared" si="2"/>
        <v>3.0030000000000001</v>
      </c>
      <c r="E7" s="74"/>
      <c r="F7" s="70">
        <f>Gen!U13</f>
        <v>0.41249336870026521</v>
      </c>
      <c r="G7" s="85">
        <f>Gen!T13</f>
        <v>2639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50</v>
      </c>
      <c r="L7" s="447">
        <f>'Lpg (2)'!G12</f>
        <v>55.22000000001281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3.2196969696969697</v>
      </c>
      <c r="U7" s="122">
        <f t="shared" si="6"/>
        <v>68.43236111112698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44320</v>
      </c>
      <c r="B8" s="82">
        <v>0</v>
      </c>
      <c r="C8" s="87">
        <f>Gen!B14</f>
        <v>5.1999999999999998E-2</v>
      </c>
      <c r="D8" s="434">
        <f t="shared" si="2"/>
        <v>4.0039999999999996</v>
      </c>
      <c r="E8" s="74"/>
      <c r="F8" s="70" t="e">
        <f>Gen!U14</f>
        <v>#DIV/0!</v>
      </c>
      <c r="G8" s="85">
        <f>Gen!T14</f>
        <v>0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 t="str">
        <f>'Water-Meter'!E9</f>
        <v>0</v>
      </c>
      <c r="L8" s="447">
        <f>'Lpg (2)'!G13</f>
        <v>-335630.02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0</v>
      </c>
      <c r="U8" s="122">
        <f t="shared" si="6"/>
        <v>-415935.43513888889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44321</v>
      </c>
      <c r="B9" s="82">
        <v>0</v>
      </c>
      <c r="C9" s="87">
        <f>Gen!B15</f>
        <v>5.1999999999999998E-2</v>
      </c>
      <c r="D9" s="434">
        <f t="shared" si="2"/>
        <v>4.0039999999999996</v>
      </c>
      <c r="E9" s="74"/>
      <c r="F9" s="70" t="e">
        <f>Gen!U15</f>
        <v>#DIV/0!</v>
      </c>
      <c r="G9" s="85">
        <f>Gen!T15</f>
        <v>0</v>
      </c>
      <c r="H9" s="85">
        <f>[1]Gen!AJ10</f>
        <v>0</v>
      </c>
      <c r="I9" s="85">
        <f t="shared" si="0"/>
        <v>0</v>
      </c>
      <c r="J9" s="85">
        <f>[1]Gen!AT15</f>
        <v>37525.210000000021</v>
      </c>
      <c r="K9" s="69">
        <f>'Water-Meter'!E10</f>
        <v>0</v>
      </c>
      <c r="L9" s="447">
        <f>'Lpg (2)'!G14</f>
        <v>0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0</v>
      </c>
      <c r="R9" s="76">
        <f t="shared" si="3"/>
        <v>0</v>
      </c>
      <c r="S9" s="438" t="e">
        <f t="shared" si="4"/>
        <v>#DIV/0!</v>
      </c>
      <c r="T9" s="76">
        <f t="shared" si="5"/>
        <v>0</v>
      </c>
      <c r="U9" s="122">
        <f t="shared" si="6"/>
        <v>0</v>
      </c>
      <c r="V9" s="17">
        <f t="shared" si="7"/>
        <v>0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44322</v>
      </c>
      <c r="B10" s="82">
        <v>0</v>
      </c>
      <c r="C10" s="87">
        <f>Gen!B16</f>
        <v>0</v>
      </c>
      <c r="D10" s="434">
        <f t="shared" si="2"/>
        <v>0</v>
      </c>
      <c r="E10" s="74"/>
      <c r="F10" s="70" t="e">
        <f>Gen!U16</f>
        <v>#DIV/0!</v>
      </c>
      <c r="G10" s="85">
        <f>Gen!T16</f>
        <v>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0</v>
      </c>
      <c r="L10" s="447">
        <f>'Lpg (2)'!G15</f>
        <v>0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0</v>
      </c>
      <c r="U10" s="122">
        <f t="shared" si="6"/>
        <v>0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44323</v>
      </c>
      <c r="B11" s="82">
        <v>0</v>
      </c>
      <c r="C11" s="87">
        <f>Gen!B17</f>
        <v>0</v>
      </c>
      <c r="D11" s="434">
        <f t="shared" si="2"/>
        <v>0</v>
      </c>
      <c r="E11" s="74"/>
      <c r="F11" s="70" t="e">
        <f>Gen!U17</f>
        <v>#DIV/0!</v>
      </c>
      <c r="G11" s="85">
        <f>Gen!T17</f>
        <v>0</v>
      </c>
      <c r="H11" s="85">
        <f>[1]Gen!AJ25</f>
        <v>80.56</v>
      </c>
      <c r="I11" s="85">
        <f t="shared" si="0"/>
        <v>80.56</v>
      </c>
      <c r="J11" s="85">
        <f>[1]Gen!AT17</f>
        <v>47513.140000000029</v>
      </c>
      <c r="K11" s="69">
        <f>'Water-Meter'!E12</f>
        <v>0</v>
      </c>
      <c r="L11" s="447">
        <f>'Lpg (2)'!G16</f>
        <v>0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178025.516</v>
      </c>
      <c r="R11" s="76" t="e">
        <f t="shared" si="3"/>
        <v>#DIV/0!</v>
      </c>
      <c r="S11" s="438" t="e">
        <f t="shared" si="4"/>
        <v>#DIV/0!</v>
      </c>
      <c r="T11" s="76">
        <f t="shared" si="5"/>
        <v>0</v>
      </c>
      <c r="U11" s="122">
        <f t="shared" si="6"/>
        <v>0</v>
      </c>
      <c r="V11" s="17">
        <f t="shared" si="7"/>
        <v>178025.516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44324</v>
      </c>
      <c r="B12" s="82">
        <v>0</v>
      </c>
      <c r="C12" s="87">
        <f>Gen!B18</f>
        <v>0</v>
      </c>
      <c r="D12" s="434">
        <f t="shared" si="2"/>
        <v>0</v>
      </c>
      <c r="E12" s="74"/>
      <c r="F12" s="70" t="e">
        <f>Gen!U18</f>
        <v>#DIV/0!</v>
      </c>
      <c r="G12" s="85">
        <f>Gen!T18</f>
        <v>0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0</v>
      </c>
      <c r="L12" s="447">
        <f>'Lpg (2)'!G17</f>
        <v>0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0</v>
      </c>
      <c r="U12" s="122">
        <f t="shared" si="6"/>
        <v>0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44325</v>
      </c>
      <c r="B13" s="82">
        <v>0</v>
      </c>
      <c r="C13" s="87">
        <f>Gen!B19</f>
        <v>0</v>
      </c>
      <c r="D13" s="434">
        <f t="shared" si="2"/>
        <v>0</v>
      </c>
      <c r="E13" s="74"/>
      <c r="F13" s="70" t="e">
        <f>Gen!U19</f>
        <v>#DIV/0!</v>
      </c>
      <c r="G13" s="85">
        <f>Gen!T19</f>
        <v>0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0</v>
      </c>
      <c r="L13" s="447">
        <f>'Lpg (2)'!G18</f>
        <v>0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0</v>
      </c>
      <c r="U13" s="122">
        <f t="shared" si="6"/>
        <v>0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44326</v>
      </c>
      <c r="B14" s="82">
        <v>0</v>
      </c>
      <c r="C14" s="87">
        <f>Gen!B20</f>
        <v>0</v>
      </c>
      <c r="D14" s="434">
        <f t="shared" si="2"/>
        <v>0</v>
      </c>
      <c r="E14" s="74"/>
      <c r="F14" s="70" t="e">
        <f>Gen!U20</f>
        <v>#DIV/0!</v>
      </c>
      <c r="G14" s="85">
        <f>Gen!T20</f>
        <v>0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0</v>
      </c>
      <c r="L14" s="447">
        <f>'Lpg (2)'!G19</f>
        <v>0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0</v>
      </c>
      <c r="U14" s="122">
        <f t="shared" si="6"/>
        <v>0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44327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 t="e">
        <f>Gen!U21</f>
        <v>#DIV/0!</v>
      </c>
      <c r="G15" s="85">
        <f>Gen!T21</f>
        <v>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0</v>
      </c>
      <c r="L15" s="447">
        <f>'Lpg (2)'!G20</f>
        <v>0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0</v>
      </c>
      <c r="U15" s="122">
        <f t="shared" si="6"/>
        <v>0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44328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0</v>
      </c>
      <c r="L16" s="447">
        <f>'Lpg (2)'!G21</f>
        <v>0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0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44329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44330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44331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44332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44333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44334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44335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44336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44337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44338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44339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44340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44341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44342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44343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44344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44345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44346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44347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141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2650.3024390243904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7" t="s">
        <v>180</v>
      </c>
      <c r="B1" s="968"/>
      <c r="C1" s="968"/>
      <c r="D1" s="968"/>
      <c r="E1" s="968"/>
      <c r="F1" s="968"/>
      <c r="G1" s="969"/>
    </row>
    <row r="2" spans="1:7" ht="13.5" thickBot="1">
      <c r="A2" s="300"/>
      <c r="B2" s="970" t="s">
        <v>175</v>
      </c>
      <c r="C2" s="971"/>
      <c r="D2" s="972"/>
      <c r="E2" s="970" t="s">
        <v>176</v>
      </c>
      <c r="F2" s="971"/>
      <c r="G2" s="97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15" sqref="Q1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7" t="s">
        <v>230</v>
      </c>
      <c r="B1" s="968"/>
      <c r="C1" s="968"/>
      <c r="D1" s="96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3"/>
      <c r="C76" s="974"/>
      <c r="D76" s="974"/>
      <c r="E76" s="975"/>
      <c r="H76" s="973"/>
      <c r="I76" s="974"/>
      <c r="J76" s="974"/>
      <c r="K76" s="974"/>
      <c r="L76" s="975"/>
    </row>
    <row r="77" spans="1:12">
      <c r="B77" s="976"/>
      <c r="C77" s="977"/>
      <c r="D77" s="977"/>
      <c r="E77" s="978"/>
      <c r="H77" s="976"/>
      <c r="I77" s="977"/>
      <c r="J77" s="977"/>
      <c r="K77" s="977"/>
      <c r="L77" s="978"/>
    </row>
    <row r="78" spans="1:12">
      <c r="B78" s="976"/>
      <c r="C78" s="977"/>
      <c r="D78" s="977"/>
      <c r="E78" s="978"/>
      <c r="H78" s="976"/>
      <c r="I78" s="977"/>
      <c r="J78" s="977"/>
      <c r="K78" s="977"/>
      <c r="L78" s="978"/>
    </row>
    <row r="79" spans="1:12">
      <c r="B79" s="976"/>
      <c r="C79" s="977"/>
      <c r="D79" s="977"/>
      <c r="E79" s="978"/>
      <c r="H79" s="976"/>
      <c r="I79" s="977"/>
      <c r="J79" s="977"/>
      <c r="K79" s="977"/>
      <c r="L79" s="978"/>
    </row>
    <row r="80" spans="1:12">
      <c r="B80" s="976"/>
      <c r="C80" s="977"/>
      <c r="D80" s="977"/>
      <c r="E80" s="978"/>
      <c r="H80" s="976"/>
      <c r="I80" s="977"/>
      <c r="J80" s="977"/>
      <c r="K80" s="977"/>
      <c r="L80" s="978"/>
    </row>
    <row r="81" spans="2:12">
      <c r="B81" s="976"/>
      <c r="C81" s="977"/>
      <c r="D81" s="977"/>
      <c r="E81" s="978"/>
      <c r="H81" s="976"/>
      <c r="I81" s="977"/>
      <c r="J81" s="977"/>
      <c r="K81" s="977"/>
      <c r="L81" s="978"/>
    </row>
    <row r="82" spans="2:12">
      <c r="B82" s="976"/>
      <c r="C82" s="977"/>
      <c r="D82" s="977"/>
      <c r="E82" s="978"/>
      <c r="H82" s="976"/>
      <c r="I82" s="977"/>
      <c r="J82" s="977"/>
      <c r="K82" s="977"/>
      <c r="L82" s="978"/>
    </row>
    <row r="83" spans="2:12">
      <c r="B83" s="976"/>
      <c r="C83" s="977"/>
      <c r="D83" s="977"/>
      <c r="E83" s="978"/>
      <c r="H83" s="976"/>
      <c r="I83" s="977"/>
      <c r="J83" s="977"/>
      <c r="K83" s="977"/>
      <c r="L83" s="978"/>
    </row>
    <row r="84" spans="2:12">
      <c r="B84" s="976"/>
      <c r="C84" s="977"/>
      <c r="D84" s="977"/>
      <c r="E84" s="978"/>
      <c r="H84" s="976"/>
      <c r="I84" s="977"/>
      <c r="J84" s="977"/>
      <c r="K84" s="977"/>
      <c r="L84" s="978"/>
    </row>
    <row r="85" spans="2:12">
      <c r="B85" s="976"/>
      <c r="C85" s="977"/>
      <c r="D85" s="977"/>
      <c r="E85" s="978"/>
      <c r="H85" s="976"/>
      <c r="I85" s="977"/>
      <c r="J85" s="977"/>
      <c r="K85" s="977"/>
      <c r="L85" s="978"/>
    </row>
    <row r="86" spans="2:12">
      <c r="B86" s="976"/>
      <c r="C86" s="977"/>
      <c r="D86" s="977"/>
      <c r="E86" s="978"/>
      <c r="H86" s="976"/>
      <c r="I86" s="977"/>
      <c r="J86" s="977"/>
      <c r="K86" s="977"/>
      <c r="L86" s="978"/>
    </row>
    <row r="87" spans="2:12">
      <c r="B87" s="976"/>
      <c r="C87" s="977"/>
      <c r="D87" s="977"/>
      <c r="E87" s="978"/>
      <c r="H87" s="976"/>
      <c r="I87" s="977"/>
      <c r="J87" s="977"/>
      <c r="K87" s="977"/>
      <c r="L87" s="978"/>
    </row>
    <row r="88" spans="2:12">
      <c r="B88" s="976"/>
      <c r="C88" s="977"/>
      <c r="D88" s="977"/>
      <c r="E88" s="978"/>
      <c r="H88" s="976"/>
      <c r="I88" s="977"/>
      <c r="J88" s="977"/>
      <c r="K88" s="977"/>
      <c r="L88" s="978"/>
    </row>
    <row r="89" spans="2:12">
      <c r="B89" s="976"/>
      <c r="C89" s="977"/>
      <c r="D89" s="977"/>
      <c r="E89" s="978"/>
      <c r="H89" s="976"/>
      <c r="I89" s="977"/>
      <c r="J89" s="977"/>
      <c r="K89" s="977"/>
      <c r="L89" s="978"/>
    </row>
    <row r="90" spans="2:12" ht="13.5" thickBot="1">
      <c r="B90" s="979"/>
      <c r="C90" s="980"/>
      <c r="D90" s="980"/>
      <c r="E90" s="981"/>
      <c r="H90" s="979"/>
      <c r="I90" s="980"/>
      <c r="J90" s="980"/>
      <c r="K90" s="980"/>
      <c r="L90" s="981"/>
    </row>
    <row r="91" spans="2:12">
      <c r="B91" s="982" t="s">
        <v>312</v>
      </c>
      <c r="C91" s="983"/>
      <c r="D91" s="983"/>
      <c r="E91" s="984"/>
      <c r="H91" s="982" t="s">
        <v>313</v>
      </c>
      <c r="I91" s="983"/>
      <c r="J91" s="983"/>
      <c r="K91" s="983"/>
      <c r="L91" s="984"/>
    </row>
    <row r="92" spans="2:12">
      <c r="B92" s="985"/>
      <c r="C92" s="986"/>
      <c r="D92" s="986"/>
      <c r="E92" s="987"/>
      <c r="H92" s="985"/>
      <c r="I92" s="986"/>
      <c r="J92" s="986"/>
      <c r="K92" s="986"/>
      <c r="L92" s="987"/>
    </row>
    <row r="93" spans="2:12" ht="13.5" thickBot="1">
      <c r="B93" s="988"/>
      <c r="C93" s="989"/>
      <c r="D93" s="989"/>
      <c r="E93" s="990"/>
      <c r="H93" s="988"/>
      <c r="I93" s="989"/>
      <c r="J93" s="989"/>
      <c r="K93" s="989"/>
      <c r="L93" s="99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D26" sqref="D2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1" t="s">
        <v>254</v>
      </c>
      <c r="B1" s="991"/>
      <c r="C1" s="991"/>
      <c r="D1" s="991"/>
      <c r="E1" s="991"/>
      <c r="F1" s="991"/>
      <c r="G1" s="991"/>
      <c r="H1" s="991"/>
      <c r="I1" s="991"/>
      <c r="J1" s="991"/>
    </row>
    <row r="2" spans="1:10" ht="19.5" thickBot="1">
      <c r="A2" s="1000">
        <f>A5</f>
        <v>44317</v>
      </c>
      <c r="B2" s="1001"/>
      <c r="C2" s="1001"/>
      <c r="D2" s="1001"/>
      <c r="E2" s="1001"/>
      <c r="F2" s="1001"/>
      <c r="G2" s="1001"/>
      <c r="H2" s="1001"/>
      <c r="I2" s="1001"/>
      <c r="J2" s="1001"/>
    </row>
    <row r="3" spans="1:10" ht="15.75" thickBot="1">
      <c r="A3" s="992" t="s">
        <v>7</v>
      </c>
      <c r="B3" s="994" t="s">
        <v>255</v>
      </c>
      <c r="C3" s="440"/>
      <c r="D3" s="996" t="s">
        <v>256</v>
      </c>
      <c r="E3" s="997"/>
      <c r="F3" s="998" t="s">
        <v>257</v>
      </c>
      <c r="G3" s="999"/>
      <c r="H3" s="997"/>
      <c r="I3" s="998" t="s">
        <v>258</v>
      </c>
      <c r="J3" s="997"/>
    </row>
    <row r="4" spans="1:10" ht="30.75" thickBot="1">
      <c r="A4" s="993"/>
      <c r="B4" s="99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44317</v>
      </c>
      <c r="B5" s="399">
        <f>Gen!B11</f>
        <v>0.01</v>
      </c>
      <c r="C5" s="443">
        <f>Gen!AJ11</f>
        <v>88.75</v>
      </c>
      <c r="D5" s="444">
        <f>Gen!S11</f>
        <v>1091.6300000000001</v>
      </c>
      <c r="E5" s="395">
        <f>Gen!C11</f>
        <v>27860.560000000001</v>
      </c>
      <c r="F5" s="396">
        <f>'Water-Meter'!E6</f>
        <v>41</v>
      </c>
      <c r="G5" s="397">
        <f>'Water-Meter'!AN6</f>
        <v>130</v>
      </c>
      <c r="H5" s="395">
        <f>'Utility report '!AC6</f>
        <v>118</v>
      </c>
      <c r="I5" s="394">
        <f>'Kit report'!F4</f>
        <v>263.99999999986903</v>
      </c>
      <c r="J5" s="395">
        <f>'Kit report'!X4</f>
        <v>140.00000000014552</v>
      </c>
    </row>
    <row r="6" spans="1:10" ht="17.100000000000001" customHeight="1" thickBot="1">
      <c r="A6" s="217">
        <f>Gen!A12</f>
        <v>44318</v>
      </c>
      <c r="B6" s="399">
        <f>Gen!B12</f>
        <v>0</v>
      </c>
      <c r="C6" s="443">
        <f>Gen!AJ12</f>
        <v>0</v>
      </c>
      <c r="D6" s="444">
        <f>Gen!S12</f>
        <v>1114.1600000000001</v>
      </c>
      <c r="E6" s="395">
        <f>Gen!C12</f>
        <v>26680.18</v>
      </c>
      <c r="F6" s="396">
        <f>'Water-Meter'!E7</f>
        <v>50</v>
      </c>
      <c r="G6" s="397">
        <f>'Water-Meter'!AN7</f>
        <v>126</v>
      </c>
      <c r="H6" s="395">
        <f>'Utility report '!AC7</f>
        <v>38</v>
      </c>
      <c r="I6" s="394">
        <f>'Kit report'!F5</f>
        <v>264.00000000008731</v>
      </c>
      <c r="J6" s="395">
        <f>'Kit report'!X5</f>
        <v>300</v>
      </c>
    </row>
    <row r="7" spans="1:10" ht="17.100000000000001" customHeight="1" thickBot="1">
      <c r="A7" s="217">
        <f>Gen!A13</f>
        <v>44319</v>
      </c>
      <c r="B7" s="399">
        <f>Gen!B13</f>
        <v>3.9E-2</v>
      </c>
      <c r="C7" s="443">
        <f>Gen!AJ13</f>
        <v>29.76</v>
      </c>
      <c r="D7" s="444">
        <f>Gen!S13</f>
        <v>1088.57</v>
      </c>
      <c r="E7" s="395">
        <f>Gen!C13</f>
        <v>40466.020000000004</v>
      </c>
      <c r="F7" s="396">
        <f>'Water-Meter'!E8</f>
        <v>50</v>
      </c>
      <c r="G7" s="397">
        <f>'Water-Meter'!AN8</f>
        <v>126</v>
      </c>
      <c r="H7" s="395">
        <f>'Utility report '!AC8</f>
        <v>37</v>
      </c>
      <c r="I7" s="394">
        <f>'Kit report'!F6</f>
        <v>287.99999999995634</v>
      </c>
      <c r="J7" s="395">
        <f>'Kit report'!X6</f>
        <v>219.99999999989086</v>
      </c>
    </row>
    <row r="8" spans="1:10" ht="17.100000000000001" customHeight="1" thickBot="1">
      <c r="A8" s="217">
        <f>Gen!A14</f>
        <v>44320</v>
      </c>
      <c r="B8" s="399">
        <f>Gen!B14</f>
        <v>5.1999999999999998E-2</v>
      </c>
      <c r="C8" s="443">
        <f>Gen!AJ14</f>
        <v>0</v>
      </c>
      <c r="D8" s="444">
        <f>Gen!S14</f>
        <v>0</v>
      </c>
      <c r="E8" s="395">
        <f>Gen!C14</f>
        <v>39347.69</v>
      </c>
      <c r="F8" s="396" t="str">
        <f>'Water-Meter'!E9</f>
        <v>0</v>
      </c>
      <c r="G8" s="397">
        <f>'Water-Meter'!AN9</f>
        <v>0</v>
      </c>
      <c r="H8" s="395">
        <f>'Utility report '!AC9</f>
        <v>-1170</v>
      </c>
      <c r="I8" s="394">
        <f>'Kit report'!F7</f>
        <v>-1113108</v>
      </c>
      <c r="J8" s="395">
        <f>'Kit report'!X7</f>
        <v>-1624640</v>
      </c>
    </row>
    <row r="9" spans="1:10" ht="17.100000000000001" customHeight="1" thickBot="1">
      <c r="A9" s="217">
        <f>Gen!A15</f>
        <v>44321</v>
      </c>
      <c r="B9" s="399">
        <f>Gen!B15</f>
        <v>5.1999999999999998E-2</v>
      </c>
      <c r="C9" s="443">
        <f>Gen!AJ15</f>
        <v>0</v>
      </c>
      <c r="D9" s="444">
        <f>Gen!S15</f>
        <v>0</v>
      </c>
      <c r="E9" s="395">
        <f>Gen!C15</f>
        <v>39347.69</v>
      </c>
      <c r="F9" s="396">
        <f>'Water-Meter'!E10</f>
        <v>0</v>
      </c>
      <c r="G9" s="397">
        <f>'Water-Meter'!AN10</f>
        <v>0</v>
      </c>
      <c r="H9" s="395">
        <f>'Utility report '!AC10</f>
        <v>0</v>
      </c>
      <c r="I9" s="394">
        <f>'Kit report'!F8</f>
        <v>0</v>
      </c>
      <c r="J9" s="395">
        <f>'Kit report'!X8</f>
        <v>0</v>
      </c>
    </row>
    <row r="10" spans="1:10" ht="17.100000000000001" customHeight="1" thickBot="1">
      <c r="A10" s="217">
        <f>Gen!A16</f>
        <v>44322</v>
      </c>
      <c r="B10" s="399">
        <f>Gen!B16</f>
        <v>0</v>
      </c>
      <c r="C10" s="443">
        <f>Gen!AJ16</f>
        <v>0</v>
      </c>
      <c r="D10" s="444">
        <f>Gen!S16</f>
        <v>0</v>
      </c>
      <c r="E10" s="395">
        <f>Gen!C16</f>
        <v>39347.69</v>
      </c>
      <c r="F10" s="396">
        <f>'Water-Meter'!E11</f>
        <v>0</v>
      </c>
      <c r="G10" s="397">
        <f>'Water-Meter'!AN11</f>
        <v>0</v>
      </c>
      <c r="H10" s="395">
        <f>'Utility report '!AC11</f>
        <v>0</v>
      </c>
      <c r="I10" s="394">
        <f>'Kit report'!F9</f>
        <v>0</v>
      </c>
      <c r="J10" s="395">
        <f>'Kit report'!X9</f>
        <v>0</v>
      </c>
    </row>
    <row r="11" spans="1:10" ht="17.100000000000001" customHeight="1" thickBot="1">
      <c r="A11" s="217">
        <f>Gen!A17</f>
        <v>44323</v>
      </c>
      <c r="B11" s="399">
        <f>Gen!B17</f>
        <v>0</v>
      </c>
      <c r="C11" s="443">
        <f>Gen!AJ17</f>
        <v>0</v>
      </c>
      <c r="D11" s="444">
        <f>Gen!S17</f>
        <v>0</v>
      </c>
      <c r="E11" s="395">
        <f>Gen!C17</f>
        <v>39347.69</v>
      </c>
      <c r="F11" s="396">
        <f>'Water-Meter'!E12</f>
        <v>0</v>
      </c>
      <c r="G11" s="397">
        <f>'Water-Meter'!AN12</f>
        <v>0</v>
      </c>
      <c r="H11" s="395">
        <f>'Utility report '!AC12</f>
        <v>0</v>
      </c>
      <c r="I11" s="394">
        <f>'Kit report'!F10</f>
        <v>0</v>
      </c>
      <c r="J11" s="395">
        <f>'Kit report'!X10</f>
        <v>0</v>
      </c>
    </row>
    <row r="12" spans="1:10" ht="17.100000000000001" customHeight="1" thickBot="1">
      <c r="A12" s="217">
        <f>Gen!A18</f>
        <v>44324</v>
      </c>
      <c r="B12" s="399">
        <f>Gen!B18</f>
        <v>0</v>
      </c>
      <c r="C12" s="443">
        <f>Gen!AJ18</f>
        <v>0</v>
      </c>
      <c r="D12" s="444">
        <f>Gen!S18</f>
        <v>0</v>
      </c>
      <c r="E12" s="395">
        <f>Gen!C18</f>
        <v>39347.69</v>
      </c>
      <c r="F12" s="396">
        <f>'Water-Meter'!E13</f>
        <v>0</v>
      </c>
      <c r="G12" s="397">
        <f>'Water-Meter'!AN13</f>
        <v>0</v>
      </c>
      <c r="H12" s="395">
        <f>'Utility report '!AC13</f>
        <v>0</v>
      </c>
      <c r="I12" s="394">
        <f>'Kit report'!F11</f>
        <v>0</v>
      </c>
      <c r="J12" s="395">
        <f>'Kit report'!X11</f>
        <v>0</v>
      </c>
    </row>
    <row r="13" spans="1:10" ht="17.100000000000001" customHeight="1" thickBot="1">
      <c r="A13" s="217">
        <f>Gen!A19</f>
        <v>44325</v>
      </c>
      <c r="B13" s="399">
        <f>Gen!B19</f>
        <v>0</v>
      </c>
      <c r="C13" s="443">
        <f>Gen!AJ19</f>
        <v>0</v>
      </c>
      <c r="D13" s="444">
        <f>Gen!S19</f>
        <v>0</v>
      </c>
      <c r="E13" s="395">
        <f>Gen!C19</f>
        <v>39347.69</v>
      </c>
      <c r="F13" s="396">
        <f>'Water-Meter'!E14</f>
        <v>0</v>
      </c>
      <c r="G13" s="397">
        <f>'Water-Meter'!AN14</f>
        <v>0</v>
      </c>
      <c r="H13" s="395">
        <f>'Utility report '!AC14</f>
        <v>0</v>
      </c>
      <c r="I13" s="394">
        <f>'Kit report'!F12</f>
        <v>0</v>
      </c>
      <c r="J13" s="395">
        <f>'Kit report'!X12</f>
        <v>0</v>
      </c>
    </row>
    <row r="14" spans="1:10" ht="17.100000000000001" customHeight="1" thickBot="1">
      <c r="A14" s="217">
        <f>Gen!A20</f>
        <v>44326</v>
      </c>
      <c r="B14" s="399">
        <f>Gen!B20</f>
        <v>0</v>
      </c>
      <c r="C14" s="443">
        <f>Gen!AJ20</f>
        <v>0</v>
      </c>
      <c r="D14" s="444">
        <f>Gen!S20</f>
        <v>0</v>
      </c>
      <c r="E14" s="395">
        <f>Gen!C20</f>
        <v>39347.69</v>
      </c>
      <c r="F14" s="396">
        <f>'Water-Meter'!E15</f>
        <v>0</v>
      </c>
      <c r="G14" s="397">
        <f>'Water-Meter'!AN15</f>
        <v>0</v>
      </c>
      <c r="H14" s="395">
        <f>'Utility report '!AC15</f>
        <v>0</v>
      </c>
      <c r="I14" s="394">
        <f>'Kit report'!F13</f>
        <v>0</v>
      </c>
      <c r="J14" s="395">
        <f>'Kit report'!X13</f>
        <v>0</v>
      </c>
    </row>
    <row r="15" spans="1:10" ht="17.100000000000001" customHeight="1" thickBot="1">
      <c r="A15" s="217">
        <f>Gen!A21</f>
        <v>44327</v>
      </c>
      <c r="B15" s="399">
        <f>Gen!B21</f>
        <v>0</v>
      </c>
      <c r="C15" s="443">
        <f>Gen!AJ21</f>
        <v>0</v>
      </c>
      <c r="D15" s="444">
        <f>Gen!S21</f>
        <v>0</v>
      </c>
      <c r="E15" s="395">
        <f>Gen!C21</f>
        <v>39347.69</v>
      </c>
      <c r="F15" s="396">
        <f>'Water-Meter'!E16</f>
        <v>0</v>
      </c>
      <c r="G15" s="397">
        <f>'Water-Meter'!AN16</f>
        <v>0</v>
      </c>
      <c r="H15" s="395">
        <f>'Utility report '!AC16</f>
        <v>0</v>
      </c>
      <c r="I15" s="394">
        <f>'Kit report'!F14</f>
        <v>0</v>
      </c>
      <c r="J15" s="395">
        <f>'Kit report'!X14</f>
        <v>0</v>
      </c>
    </row>
    <row r="16" spans="1:10" ht="17.100000000000001" customHeight="1" thickBot="1">
      <c r="A16" s="217">
        <f>Gen!A22</f>
        <v>44328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39347.69</v>
      </c>
      <c r="F16" s="396">
        <f>'Water-Meter'!E17</f>
        <v>0</v>
      </c>
      <c r="G16" s="397">
        <f>'Water-Meter'!AN17</f>
        <v>0</v>
      </c>
      <c r="H16" s="395">
        <f>'Utility report '!AC17</f>
        <v>0</v>
      </c>
      <c r="I16" s="394">
        <f>'Kit report'!F15</f>
        <v>0</v>
      </c>
      <c r="J16" s="395">
        <f>'Kit report'!X15</f>
        <v>0</v>
      </c>
    </row>
    <row r="17" spans="1:10" ht="17.100000000000001" customHeight="1" thickBot="1">
      <c r="A17" s="217">
        <f>Gen!A23</f>
        <v>44329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39347.69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44330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39347.69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44331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39347.69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44332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39347.69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44333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39347.69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44334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39347.69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 t="e">
        <f>'Kit report'!X21</f>
        <v>#VALUE!</v>
      </c>
    </row>
    <row r="23" spans="1:10" ht="15" customHeight="1" thickBot="1">
      <c r="A23" s="217">
        <f>Gen!A29</f>
        <v>44335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39347.69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 t="e">
        <f>'Kit report'!X22</f>
        <v>#VALUE!</v>
      </c>
    </row>
    <row r="24" spans="1:10" ht="15" customHeight="1" thickBot="1">
      <c r="A24" s="217">
        <f>Gen!A30</f>
        <v>44336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39347.69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44337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39347.69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44338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39347.69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44339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39347.69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44340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39347.69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44341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39347.69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44342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39347.69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44343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39347.69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44344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39347.69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44345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39347.69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44346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39347.69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44347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39347.69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39347.69</v>
      </c>
      <c r="F36" s="396">
        <f>'Water-Meter'!E37</f>
        <v>0</v>
      </c>
      <c r="G36" s="397">
        <f>'Water-Meter'!AN37</f>
        <v>252</v>
      </c>
      <c r="H36" s="395">
        <f>'Utility report '!AC37</f>
        <v>0</v>
      </c>
      <c r="I36" s="394">
        <f>'Kit report'!F35</f>
        <v>815.99999999991269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Joyce.Lemka</cp:lastModifiedBy>
  <cp:lastPrinted>2020-08-16T05:05:58Z</cp:lastPrinted>
  <dcterms:created xsi:type="dcterms:W3CDTF">2009-01-25T09:02:38Z</dcterms:created>
  <dcterms:modified xsi:type="dcterms:W3CDTF">2021-05-04T11:27:28Z</dcterms:modified>
</cp:coreProperties>
</file>