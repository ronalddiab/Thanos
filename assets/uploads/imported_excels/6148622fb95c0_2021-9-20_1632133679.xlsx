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9" l="1"/>
  <c r="I5" i="9" s="1"/>
  <c r="G4" i="9"/>
  <c r="I4" i="9" s="1"/>
  <c r="H5" i="10"/>
  <c r="H4" i="10"/>
  <c r="I4" i="10" s="1"/>
  <c r="I5" i="10" l="1"/>
  <c r="J5" i="9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H32" i="10"/>
  <c r="I32" i="10" s="1"/>
  <c r="H31" i="10"/>
  <c r="I31" i="10" s="1"/>
  <c r="H30" i="10"/>
  <c r="H29" i="10"/>
  <c r="H28" i="10"/>
  <c r="H27" i="10"/>
  <c r="H26" i="10"/>
  <c r="I26" i="10" s="1"/>
  <c r="H25" i="10"/>
  <c r="I25" i="10" s="1"/>
  <c r="H24" i="10"/>
  <c r="H23" i="10"/>
  <c r="H22" i="10"/>
  <c r="H21" i="10"/>
  <c r="H20" i="10"/>
  <c r="H19" i="10"/>
  <c r="H18" i="10"/>
  <c r="H17" i="10"/>
  <c r="H16" i="10"/>
  <c r="H15" i="10"/>
  <c r="H14" i="10"/>
  <c r="H13" i="10"/>
  <c r="I13" i="10" s="1"/>
  <c r="E11" i="5" s="1"/>
  <c r="H12" i="10"/>
  <c r="H11" i="10"/>
  <c r="H10" i="10"/>
  <c r="H9" i="10"/>
  <c r="H8" i="10"/>
  <c r="I8" i="10" s="1"/>
  <c r="H7" i="10"/>
  <c r="I7" i="10" s="1"/>
  <c r="H6" i="10"/>
  <c r="I6" i="10" s="1"/>
  <c r="I20" i="10" l="1"/>
  <c r="I19" i="10"/>
  <c r="I14" i="10"/>
  <c r="E12" i="5" s="1"/>
  <c r="I15" i="10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I17" i="10"/>
  <c r="E15" i="5" s="1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<sst xmlns="http://schemas.openxmlformats.org/spreadsheetml/2006/main" count="76" uniqueCount="41">
  <si>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</si>
  <si>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</si>
  <si>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</si>
  <si>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</si>
  <si>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</si>
  <si>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</si>
  <si>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</si>
  <si>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</si>
  <si>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</si>
  <si>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</si>
  <si>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</si>
  <si>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</si>
  <si>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</si>
  <si>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</si>
  <si>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</si>
  <si>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</si>
  <si>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</si>
  <si>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</si>
  <si>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</si>
  <si>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</si>
  <si>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</si>
  <si>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</si>
  <si>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</si>
  <si>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</si>
  <si>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</si>
  <si>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</si>
  <si>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</si>
  <si>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</si>
  <si>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</si>
  <si>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</si>
  <si>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</si>
  <si>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</si>
  <si>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</si>
  <si>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</si>
  <si>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</si>
  <si>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BİRİM FİYAT : 1.69 TL/m3 + KDV X 7179.8 =11344 TL+KDV</t>
  </si>
  <si>
    <t>BİRİM FİYAT :   12.93 TL/m3 + KDV X 1131 =13685 TL+KDV</t>
  </si>
  <si>
    <t>ELECTRICITY CONSUMPTION , SEP.2021</t>
  </si>
  <si>
    <t>BİRİM FİYAT : 0.9 TL/Kwh + KDV x 228801. 2=139569 TL/Kwh+KDV</t>
  </si>
  <si>
    <t>NATURAL GAS CONSUMPTION , SEP.2021</t>
  </si>
  <si>
    <t>WATER CONSUMPTION , SEP.2021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</si>
</sst>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'[2]Aralık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'[2]Aralık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'[2]Aralık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635272"/>
        <c:axId val="371644880"/>
      </c:lineChart>
      <c:dateAx>
        <c:axId val="37163527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644880"/>
        <c:crosses val="autoZero"/>
        <c:auto val="0"/>
        <c:lblOffset val="100"/>
        <c:baseTimeUnit val="days"/>
      </c:dateAx>
      <c:valAx>
        <c:axId val="37164488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63527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4">
          <cell r="H34">
            <v>13039371.6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4" zoomScale="110" zoomScaleNormal="110" workbookViewId="0">
      <selection activeCell="A21" sqref="A21:XFD21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59.25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9</v>
      </c>
      <c r="D2" s="12">
        <v>2021</v>
      </c>
      <c r="E2" s="13">
        <f>Electricity!I4</f>
        <v>1449.0000000018626</v>
      </c>
      <c r="F2" s="3">
        <v>0.9</v>
      </c>
      <c r="G2" s="13">
        <f>Gas!J4</f>
        <v>0</v>
      </c>
      <c r="H2" s="3">
        <v>1.69</v>
      </c>
      <c r="I2" s="13">
        <f>Water!H4</f>
        <v>13</v>
      </c>
      <c r="J2" s="3">
        <v>12.93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9</v>
      </c>
      <c r="D3" s="12">
        <v>2021</v>
      </c>
      <c r="E3" s="13">
        <f>Electricity!I5</f>
        <v>1446.2399999983609</v>
      </c>
      <c r="F3" s="3">
        <v>0.9</v>
      </c>
      <c r="G3" s="13">
        <f>Gas!J5</f>
        <v>0</v>
      </c>
      <c r="H3" s="3">
        <v>1.69</v>
      </c>
      <c r="I3" s="13">
        <f>Water!H5</f>
        <v>13</v>
      </c>
      <c r="J3" s="3">
        <v>12.93</v>
      </c>
      <c r="K3" s="12">
        <v>0</v>
      </c>
    </row>
    <row r="4" spans="1:11" s="16" customFormat="1" x14ac:dyDescent="0.25">
      <c r="A4" s="25" t="s">
        <v>33</v>
      </c>
      <c r="B4" s="15">
        <f>B3+1</f>
        <v>3</v>
      </c>
      <c r="C4" s="3">
        <v>9</v>
      </c>
      <c r="D4" s="12">
        <v>2021</v>
      </c>
      <c r="E4" s="13">
        <f>Electricity!I6</f>
        <v>1391.0399999991059</v>
      </c>
      <c r="F4" s="3">
        <v>0.9</v>
      </c>
      <c r="G4" s="13">
        <f>Gas!J6</f>
        <v>0</v>
      </c>
      <c r="H4" s="3">
        <v>1.69</v>
      </c>
      <c r="I4" s="13">
        <f>Water!H6</f>
        <v>15</v>
      </c>
      <c r="J4" s="3">
        <v>12.93</v>
      </c>
      <c r="K4" s="12">
        <v>0</v>
      </c>
    </row>
    <row r="5" spans="1:11" s="16" customFormat="1" x14ac:dyDescent="0.25">
      <c r="A5" s="25" t="s">
        <v>33</v>
      </c>
      <c r="B5" s="15">
        <f t="shared" ref="B5:B31" si="0">B4+1</f>
        <v>4</v>
      </c>
      <c r="C5" s="3">
        <v>9</v>
      </c>
      <c r="D5" s="12">
        <v>2021</v>
      </c>
      <c r="E5" s="13">
        <f>Electricity!I7</f>
        <v>1346.8800000008196</v>
      </c>
      <c r="F5" s="3">
        <v>0.9</v>
      </c>
      <c r="G5" s="13">
        <f>Gas!J7</f>
        <v>0</v>
      </c>
      <c r="H5" s="3">
        <v>1.69</v>
      </c>
      <c r="I5" s="13">
        <f>Water!H7</f>
        <v>20</v>
      </c>
      <c r="J5" s="3">
        <v>12.93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9</v>
      </c>
      <c r="D6" s="12">
        <v>2021</v>
      </c>
      <c r="E6" s="13">
        <f>Electricity!I8</f>
        <v>1283.4000000003725</v>
      </c>
      <c r="F6" s="3">
        <v>0.9</v>
      </c>
      <c r="G6" s="13">
        <f>Gas!J8</f>
        <v>0</v>
      </c>
      <c r="H6" s="3">
        <v>1.69</v>
      </c>
      <c r="I6" s="13">
        <f>Water!H8</f>
        <v>4</v>
      </c>
      <c r="J6" s="3">
        <v>12.93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9</v>
      </c>
      <c r="D7" s="12">
        <v>2021</v>
      </c>
      <c r="E7" s="13">
        <f>Electricity!I9</f>
        <v>1280.640000000596</v>
      </c>
      <c r="F7" s="3">
        <v>0.9</v>
      </c>
      <c r="G7" s="13">
        <f>Gas!J9</f>
        <v>0</v>
      </c>
      <c r="H7" s="3">
        <v>1.69</v>
      </c>
      <c r="I7" s="13">
        <f>Water!H9</f>
        <v>11</v>
      </c>
      <c r="J7" s="3">
        <v>12.93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9</v>
      </c>
      <c r="D8" s="12">
        <v>2021</v>
      </c>
      <c r="E8" s="13">
        <f>Electricity!I10</f>
        <v>1299.9599999990314</v>
      </c>
      <c r="F8" s="3">
        <v>0.9</v>
      </c>
      <c r="G8" s="13">
        <f>Gas!J10</f>
        <v>0</v>
      </c>
      <c r="H8" s="3">
        <v>1.69</v>
      </c>
      <c r="I8" s="13">
        <f>Water!H10</f>
        <v>12</v>
      </c>
      <c r="J8" s="3">
        <v>12.93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9</v>
      </c>
      <c r="D9" s="12">
        <v>2021</v>
      </c>
      <c r="E9" s="13">
        <f>Electricity!I11</f>
        <v>1380</v>
      </c>
      <c r="F9" s="3">
        <v>0.9</v>
      </c>
      <c r="G9" s="13">
        <f>Gas!J11</f>
        <v>0</v>
      </c>
      <c r="H9" s="3">
        <v>1.69</v>
      </c>
      <c r="I9" s="13">
        <f>Water!H11</f>
        <v>16</v>
      </c>
      <c r="J9" s="3">
        <v>12.93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9</v>
      </c>
      <c r="D10" s="12">
        <v>2021</v>
      </c>
      <c r="E10" s="13">
        <f>Electricity!I12</f>
        <v>1236.480000000447</v>
      </c>
      <c r="F10" s="3">
        <v>0.9</v>
      </c>
      <c r="G10" s="13">
        <f>Gas!J12</f>
        <v>0</v>
      </c>
      <c r="H10" s="3">
        <v>1.69</v>
      </c>
      <c r="I10" s="13">
        <f>Water!H12</f>
        <v>12</v>
      </c>
      <c r="J10" s="3">
        <v>12.93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9</v>
      </c>
      <c r="D11" s="12">
        <v>2021</v>
      </c>
      <c r="E11" s="13">
        <f>Electricity!I13</f>
        <v>1330.320000000298</v>
      </c>
      <c r="F11" s="3">
        <v>0.9</v>
      </c>
      <c r="G11" s="13">
        <f>Gas!J13</f>
        <v>0</v>
      </c>
      <c r="H11" s="3">
        <v>1.69</v>
      </c>
      <c r="I11" s="13">
        <f>Water!H13</f>
        <v>14</v>
      </c>
      <c r="J11" s="3">
        <v>12.93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9</v>
      </c>
      <c r="D12" s="12">
        <v>2021</v>
      </c>
      <c r="E12" s="13">
        <f>Electricity!I14</f>
        <v>1280.6399999987334</v>
      </c>
      <c r="F12" s="3">
        <v>0.9</v>
      </c>
      <c r="G12" s="13">
        <f>Gas!J14</f>
        <v>0</v>
      </c>
      <c r="H12" s="3">
        <v>1.69</v>
      </c>
      <c r="I12" s="13">
        <f>Water!H14</f>
        <v>13</v>
      </c>
      <c r="J12" s="3">
        <v>12.93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9</v>
      </c>
      <c r="D13" s="12">
        <v>2021</v>
      </c>
      <c r="E13" s="13">
        <f>Electricity!I15</f>
        <v>1264.0800000019372</v>
      </c>
      <c r="F13" s="3">
        <v>0.9</v>
      </c>
      <c r="G13" s="13">
        <f>Gas!J15</f>
        <v>0</v>
      </c>
      <c r="H13" s="3">
        <v>1.69</v>
      </c>
      <c r="I13" s="13">
        <f>Water!H15</f>
        <v>12</v>
      </c>
      <c r="J13" s="3">
        <v>12.93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9</v>
      </c>
      <c r="D14" s="12">
        <v>2021</v>
      </c>
      <c r="E14" s="13">
        <f>Electricity!I16</f>
        <v>1219.9199999999255</v>
      </c>
      <c r="F14" s="3">
        <v>0.9</v>
      </c>
      <c r="G14" s="13">
        <f>Gas!J16</f>
        <v>0</v>
      </c>
      <c r="H14" s="3">
        <v>1.69</v>
      </c>
      <c r="I14" s="13">
        <f>Water!H16</f>
        <v>7</v>
      </c>
      <c r="J14" s="3">
        <v>12.93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9</v>
      </c>
      <c r="D15" s="12">
        <v>2021</v>
      </c>
      <c r="E15" s="13">
        <f>Electricity!I17</f>
        <v>1266.839999999851</v>
      </c>
      <c r="F15" s="3">
        <v>0.9</v>
      </c>
      <c r="G15" s="13">
        <f>Gas!J17</f>
        <v>0</v>
      </c>
      <c r="H15" s="3">
        <v>1.69</v>
      </c>
      <c r="I15" s="13">
        <f>Water!H17</f>
        <v>9</v>
      </c>
      <c r="J15" s="3">
        <v>12.93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9</v>
      </c>
      <c r="D16" s="12">
        <v>2021</v>
      </c>
      <c r="E16" s="13">
        <f>Electricity!I18</f>
        <v>1233.7200000006706</v>
      </c>
      <c r="F16" s="3">
        <v>0.9</v>
      </c>
      <c r="G16" s="13">
        <f>Gas!J18</f>
        <v>0</v>
      </c>
      <c r="H16" s="3">
        <v>1.69</v>
      </c>
      <c r="I16" s="13">
        <f>Water!H18</f>
        <v>35</v>
      </c>
      <c r="J16" s="3">
        <v>12.93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9</v>
      </c>
      <c r="D17" s="12">
        <v>2021</v>
      </c>
      <c r="E17" s="13">
        <f>Electricity!I19</f>
        <v>1244.7599999997765</v>
      </c>
      <c r="F17" s="3">
        <v>0.9</v>
      </c>
      <c r="G17" s="13">
        <f>Gas!J19</f>
        <v>0</v>
      </c>
      <c r="H17" s="3">
        <v>1.69</v>
      </c>
      <c r="I17" s="13">
        <f>Water!H19</f>
        <v>8</v>
      </c>
      <c r="J17" s="3">
        <v>12.93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9</v>
      </c>
      <c r="D18" s="12">
        <v>2021</v>
      </c>
      <c r="E18" s="13">
        <f>Electricity!I20</f>
        <v>1283.3999999985099</v>
      </c>
      <c r="F18" s="3">
        <v>0.9</v>
      </c>
      <c r="G18" s="13">
        <f>Gas!J20</f>
        <v>0</v>
      </c>
      <c r="H18" s="3">
        <v>1.69</v>
      </c>
      <c r="I18" s="13">
        <f>Water!H20</f>
        <v>40</v>
      </c>
      <c r="J18" s="3">
        <v>12.93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9</v>
      </c>
      <c r="D19" s="12">
        <v>2021</v>
      </c>
      <c r="E19" s="13">
        <f>Electricity!I21</f>
        <v>1173</v>
      </c>
      <c r="F19" s="3">
        <v>0.9</v>
      </c>
      <c r="G19" s="13">
        <f>Gas!J21</f>
        <v>0</v>
      </c>
      <c r="H19" s="3">
        <v>1.69</v>
      </c>
      <c r="I19" s="13">
        <f>Water!H21</f>
        <v>12</v>
      </c>
      <c r="J19" s="3">
        <v>12.93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9</v>
      </c>
      <c r="D20" s="12">
        <v>2021</v>
      </c>
      <c r="E20" s="13">
        <f>Electricity!I22</f>
        <v>1297.2000000011176</v>
      </c>
      <c r="F20" s="3">
        <v>0.9</v>
      </c>
      <c r="G20" s="13">
        <f>Gas!J22</f>
        <v>0</v>
      </c>
      <c r="H20" s="3">
        <v>1.69</v>
      </c>
      <c r="I20" s="13">
        <f>Water!H22</f>
        <v>8</v>
      </c>
      <c r="J20" s="3">
        <v>12.93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9</v>
      </c>
      <c r="D21" s="12">
        <v>2021</v>
      </c>
      <c r="E21" s="13">
        <f>Electricity!I23</f>
        <v>1241.9999999981374</v>
      </c>
      <c r="F21" s="3">
        <v>0.9</v>
      </c>
      <c r="G21" s="13">
        <f>Gas!J23</f>
        <v>0</v>
      </c>
      <c r="H21" s="3">
        <v>1.69</v>
      </c>
      <c r="I21" s="13">
        <f>Water!H23</f>
        <v>7</v>
      </c>
      <c r="J21" s="3">
        <v>12.93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9</v>
      </c>
      <c r="D22" s="12">
        <v>2021</v>
      </c>
      <c r="E22" s="13">
        <f>Electricity!I24</f>
        <v>-13065321.119999999</v>
      </c>
      <c r="F22" s="3">
        <v>0.9</v>
      </c>
      <c r="G22" s="13">
        <f>Gas!J24</f>
        <v>0</v>
      </c>
      <c r="H22" s="3">
        <v>1.69</v>
      </c>
      <c r="I22" s="13">
        <f>Water!H24</f>
        <v>-10898</v>
      </c>
      <c r="J22" s="3">
        <v>12.93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9</v>
      </c>
      <c r="D23" s="12">
        <v>2021</v>
      </c>
      <c r="E23" s="13">
        <f>Electricity!I25</f>
        <v>0</v>
      </c>
      <c r="F23" s="3">
        <v>0.9</v>
      </c>
      <c r="G23" s="13">
        <f>Gas!J25</f>
        <v>0</v>
      </c>
      <c r="H23" s="3">
        <v>1.69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9</v>
      </c>
      <c r="D24" s="12">
        <v>2021</v>
      </c>
      <c r="E24" s="13">
        <f>Electricity!I26</f>
        <v>0</v>
      </c>
      <c r="F24" s="3">
        <v>0.9</v>
      </c>
      <c r="G24" s="13">
        <f>Gas!J26</f>
        <v>0</v>
      </c>
      <c r="H24" s="3">
        <v>1.69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9</v>
      </c>
      <c r="D25" s="12">
        <v>2021</v>
      </c>
      <c r="E25" s="13">
        <f>Electricity!I27</f>
        <v>0</v>
      </c>
      <c r="F25" s="3">
        <v>0.9</v>
      </c>
      <c r="G25" s="13">
        <f>Gas!J27</f>
        <v>0</v>
      </c>
      <c r="H25" s="3">
        <v>1.69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9</v>
      </c>
      <c r="D26" s="12">
        <v>2021</v>
      </c>
      <c r="E26" s="13">
        <f>Electricity!I28</f>
        <v>0</v>
      </c>
      <c r="F26" s="3">
        <v>0.9</v>
      </c>
      <c r="G26" s="13">
        <f>Gas!J28</f>
        <v>0</v>
      </c>
      <c r="H26" s="3">
        <v>1.69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9</v>
      </c>
      <c r="D27" s="12">
        <v>2021</v>
      </c>
      <c r="E27" s="13">
        <f>Electricity!I29</f>
        <v>0</v>
      </c>
      <c r="F27" s="3">
        <v>0.9</v>
      </c>
      <c r="G27" s="13">
        <f>Gas!J29</f>
        <v>0</v>
      </c>
      <c r="H27" s="3">
        <v>1.69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9</v>
      </c>
      <c r="D28" s="12">
        <v>2021</v>
      </c>
      <c r="E28" s="13">
        <f>Electricity!I30</f>
        <v>0</v>
      </c>
      <c r="F28" s="3">
        <v>0.9</v>
      </c>
      <c r="G28" s="13">
        <f>Gas!J30</f>
        <v>0</v>
      </c>
      <c r="H28" s="3">
        <v>1.69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9</v>
      </c>
      <c r="D29" s="12">
        <v>2021</v>
      </c>
      <c r="E29" s="13">
        <f>Electricity!I31</f>
        <v>0</v>
      </c>
      <c r="F29" s="3">
        <v>0.9</v>
      </c>
      <c r="G29" s="13">
        <f>Gas!J31</f>
        <v>0</v>
      </c>
      <c r="H29" s="3">
        <v>1.69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9</v>
      </c>
      <c r="D30" s="12">
        <v>2021</v>
      </c>
      <c r="E30" s="13">
        <f>Electricity!I32</f>
        <v>0</v>
      </c>
      <c r="F30" s="3">
        <v>0.9</v>
      </c>
      <c r="G30" s="13">
        <f>Gas!J32</f>
        <v>0</v>
      </c>
      <c r="H30" s="3">
        <v>1.69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9</v>
      </c>
      <c r="D31" s="12">
        <v>2021</v>
      </c>
      <c r="E31" s="13">
        <f>Electricity!I33</f>
        <v>0</v>
      </c>
      <c r="F31" s="3">
        <v>0.9</v>
      </c>
      <c r="G31" s="13">
        <f>Gas!J33</f>
        <v>0</v>
      </c>
      <c r="H31" s="3">
        <v>1.69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33</v>
      </c>
      <c r="B32" s="15"/>
      <c r="C32" s="3"/>
      <c r="D32" s="12"/>
      <c r="E32" s="13"/>
      <c r="F32" s="3"/>
      <c r="G32" s="13"/>
      <c r="H32" s="3"/>
      <c r="I32" s="13"/>
      <c r="J32" s="3"/>
      <c r="K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workbookViewId="0">
      <selection activeCell="E24" sqref="E2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6" t="s">
        <v>40</v>
      </c>
      <c r="E1" s="106"/>
      <c r="F1" s="106"/>
      <c r="G1" s="106"/>
      <c r="H1" s="106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44440</v>
      </c>
      <c r="E4" s="23">
        <v>10630</v>
      </c>
      <c r="F4" s="23">
        <v>1065</v>
      </c>
      <c r="G4" s="23">
        <f>E4+F4</f>
        <v>11695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44441</v>
      </c>
      <c r="E5" s="23">
        <v>10643</v>
      </c>
      <c r="F5" s="23">
        <v>1065</v>
      </c>
      <c r="G5" s="23">
        <f>E5+F5</f>
        <v>11708</v>
      </c>
      <c r="H5" s="24">
        <f>G5-G4</f>
        <v>13</v>
      </c>
      <c r="I5" s="104"/>
      <c r="J5" s="71"/>
      <c r="K5" s="71"/>
      <c r="L5" s="71"/>
      <c r="M5" s="71"/>
    </row>
    <row r="6" spans="2:14" s="30" customFormat="1" ht="11.25" x14ac:dyDescent="0.25">
      <c r="D6" s="32">
        <v>44442</v>
      </c>
      <c r="E6" s="23">
        <v>10658</v>
      </c>
      <c r="F6" s="23">
        <v>1065</v>
      </c>
      <c r="G6" s="23">
        <f>E6+F6</f>
        <v>11723</v>
      </c>
      <c r="H6" s="24">
        <f t="shared" ref="H6:H9" si="0">G6-G5</f>
        <v>15</v>
      </c>
      <c r="I6" s="104"/>
      <c r="J6" s="71"/>
      <c r="K6" s="71"/>
      <c r="L6" s="71"/>
      <c r="M6" s="71"/>
    </row>
    <row r="7" spans="2:14" s="30" customFormat="1" ht="11.25" x14ac:dyDescent="0.25">
      <c r="D7" s="32">
        <v>44443</v>
      </c>
      <c r="E7" s="23">
        <v>10678</v>
      </c>
      <c r="F7" s="23">
        <v>1065</v>
      </c>
      <c r="G7" s="23">
        <f>E7+F7</f>
        <v>11743</v>
      </c>
      <c r="H7" s="24">
        <f t="shared" si="0"/>
        <v>20</v>
      </c>
      <c r="I7" s="104"/>
      <c r="J7" s="71"/>
      <c r="K7" s="71"/>
      <c r="L7" s="71"/>
      <c r="M7" s="71"/>
    </row>
    <row r="8" spans="2:14" s="30" customFormat="1" ht="11.25" x14ac:dyDescent="0.25">
      <c r="D8" s="32">
        <v>44444</v>
      </c>
      <c r="E8" s="23">
        <v>10682</v>
      </c>
      <c r="F8" s="23">
        <v>1065</v>
      </c>
      <c r="G8" s="23">
        <f t="shared" ref="G8:G31" si="1">E8+F8</f>
        <v>11747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44445</v>
      </c>
      <c r="E9" s="23">
        <v>10693</v>
      </c>
      <c r="F9" s="23">
        <v>1065</v>
      </c>
      <c r="G9" s="23">
        <f t="shared" si="1"/>
        <v>11758</v>
      </c>
      <c r="H9" s="24">
        <f t="shared" si="0"/>
        <v>11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44446</v>
      </c>
      <c r="E10" s="23">
        <v>10705</v>
      </c>
      <c r="F10" s="23">
        <v>1065</v>
      </c>
      <c r="G10" s="23">
        <f t="shared" si="1"/>
        <v>11770</v>
      </c>
      <c r="H10" s="24">
        <f>G10-G9</f>
        <v>12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44447</v>
      </c>
      <c r="E11" s="23">
        <v>10721</v>
      </c>
      <c r="F11" s="23">
        <v>1065</v>
      </c>
      <c r="G11" s="23">
        <f t="shared" si="1"/>
        <v>11786</v>
      </c>
      <c r="H11" s="24">
        <f t="shared" ref="H11:H33" si="2">G11-G10</f>
        <v>16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44448</v>
      </c>
      <c r="E12" s="23">
        <v>10733</v>
      </c>
      <c r="F12" s="23">
        <v>1065</v>
      </c>
      <c r="G12" s="23">
        <f t="shared" si="1"/>
        <v>11798</v>
      </c>
      <c r="H12" s="24">
        <f t="shared" si="2"/>
        <v>12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44449</v>
      </c>
      <c r="E13" s="23">
        <v>10747</v>
      </c>
      <c r="F13" s="23">
        <v>1065</v>
      </c>
      <c r="G13" s="23">
        <f t="shared" si="1"/>
        <v>11812</v>
      </c>
      <c r="H13" s="24">
        <f t="shared" si="2"/>
        <v>14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44450</v>
      </c>
      <c r="E14" s="23">
        <v>10760</v>
      </c>
      <c r="F14" s="23">
        <v>1065</v>
      </c>
      <c r="G14" s="23">
        <f t="shared" si="1"/>
        <v>11825</v>
      </c>
      <c r="H14" s="24">
        <f t="shared" si="2"/>
        <v>13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44451</v>
      </c>
      <c r="E15" s="23">
        <v>10772</v>
      </c>
      <c r="F15" s="23">
        <v>1065</v>
      </c>
      <c r="G15" s="23">
        <f t="shared" si="1"/>
        <v>11837</v>
      </c>
      <c r="H15" s="24">
        <f t="shared" si="2"/>
        <v>12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44452</v>
      </c>
      <c r="E16" s="23">
        <v>10779</v>
      </c>
      <c r="F16" s="23">
        <v>1065</v>
      </c>
      <c r="G16" s="23">
        <f t="shared" si="1"/>
        <v>11844</v>
      </c>
      <c r="H16" s="24">
        <f t="shared" si="2"/>
        <v>7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44453</v>
      </c>
      <c r="E17" s="23">
        <v>10788</v>
      </c>
      <c r="F17" s="23">
        <v>1065</v>
      </c>
      <c r="G17" s="23">
        <f t="shared" si="1"/>
        <v>11853</v>
      </c>
      <c r="H17" s="24">
        <f t="shared" si="2"/>
        <v>9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44454</v>
      </c>
      <c r="E18" s="23">
        <v>10823</v>
      </c>
      <c r="F18" s="23">
        <v>1065</v>
      </c>
      <c r="G18" s="23">
        <f t="shared" si="1"/>
        <v>11888</v>
      </c>
      <c r="H18" s="24">
        <f t="shared" si="2"/>
        <v>35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44455</v>
      </c>
      <c r="E19" s="23">
        <v>10831</v>
      </c>
      <c r="F19" s="23">
        <v>1065</v>
      </c>
      <c r="G19" s="23">
        <f t="shared" si="1"/>
        <v>11896</v>
      </c>
      <c r="H19" s="24">
        <f t="shared" si="2"/>
        <v>8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44456</v>
      </c>
      <c r="E20" s="23">
        <v>10871</v>
      </c>
      <c r="F20" s="23">
        <v>1065</v>
      </c>
      <c r="G20" s="23">
        <f t="shared" si="1"/>
        <v>11936</v>
      </c>
      <c r="H20" s="24">
        <f t="shared" si="2"/>
        <v>40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44457</v>
      </c>
      <c r="E21" s="23">
        <v>10883</v>
      </c>
      <c r="F21" s="23">
        <v>1065</v>
      </c>
      <c r="G21" s="23">
        <f t="shared" si="1"/>
        <v>11948</v>
      </c>
      <c r="H21" s="24">
        <f t="shared" si="2"/>
        <v>12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44458</v>
      </c>
      <c r="E22" s="23">
        <v>10891</v>
      </c>
      <c r="F22" s="23">
        <v>1065</v>
      </c>
      <c r="G22" s="23">
        <f t="shared" si="1"/>
        <v>11956</v>
      </c>
      <c r="H22" s="24">
        <f t="shared" si="2"/>
        <v>8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44459</v>
      </c>
      <c r="E23" s="23">
        <v>10898</v>
      </c>
      <c r="F23" s="23">
        <v>1065</v>
      </c>
      <c r="G23" s="23">
        <f t="shared" si="1"/>
        <v>11963</v>
      </c>
      <c r="H23" s="24">
        <f t="shared" si="2"/>
        <v>7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44460</v>
      </c>
      <c r="E24" s="23"/>
      <c r="F24" s="23">
        <v>1065</v>
      </c>
      <c r="G24" s="23">
        <f t="shared" si="1"/>
        <v>1065</v>
      </c>
      <c r="H24" s="24">
        <f t="shared" si="2"/>
        <v>-10898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44461</v>
      </c>
      <c r="E25" s="23"/>
      <c r="F25" s="23">
        <v>1065</v>
      </c>
      <c r="G25" s="23">
        <f t="shared" si="1"/>
        <v>1065</v>
      </c>
      <c r="H25" s="24">
        <f t="shared" si="2"/>
        <v>0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44462</v>
      </c>
      <c r="E26" s="26"/>
      <c r="F26" s="23">
        <v>1065</v>
      </c>
      <c r="G26" s="23">
        <f t="shared" si="1"/>
        <v>1065</v>
      </c>
      <c r="H26" s="24">
        <f t="shared" si="2"/>
        <v>0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44463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44464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44465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44466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44467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44468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44469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/>
      <c r="E34" s="26"/>
      <c r="F34" s="23"/>
      <c r="G34" s="23"/>
      <c r="H34" s="24"/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-10617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 t="s">
        <v>36</v>
      </c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R15" sqref="R1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6" t="s">
        <v>39</v>
      </c>
      <c r="E1" s="106"/>
      <c r="F1" s="106"/>
      <c r="G1" s="106"/>
      <c r="H1" s="106"/>
      <c r="I1" s="106"/>
      <c r="J1" s="106"/>
      <c r="K1" s="106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44440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44441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44442</v>
      </c>
      <c r="E6" s="23">
        <v>760788</v>
      </c>
      <c r="F6" s="23">
        <v>172141</v>
      </c>
      <c r="G6" s="23">
        <f t="shared" ref="G6:G33" si="0">E6+F6</f>
        <v>932929</v>
      </c>
      <c r="H6" s="18">
        <v>1.2781359999999999</v>
      </c>
      <c r="I6" s="23">
        <f t="shared" ref="I6:I33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44443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3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44444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44445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44446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44447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44448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44449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44450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44451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44452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44453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44454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44455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44456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44457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44458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44459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44460</v>
      </c>
      <c r="E24" s="23">
        <v>760788</v>
      </c>
      <c r="F24" s="23">
        <v>172141</v>
      </c>
      <c r="G24" s="23">
        <f t="shared" si="0"/>
        <v>932929</v>
      </c>
      <c r="H24" s="18">
        <v>1.2781359999999999</v>
      </c>
      <c r="I24" s="23">
        <f t="shared" si="1"/>
        <v>1192410.140344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44461</v>
      </c>
      <c r="E25" s="23">
        <v>760788</v>
      </c>
      <c r="F25" s="23">
        <v>172141</v>
      </c>
      <c r="G25" s="23">
        <f t="shared" si="0"/>
        <v>932929</v>
      </c>
      <c r="H25" s="18">
        <v>1.2781359999999999</v>
      </c>
      <c r="I25" s="23">
        <f t="shared" si="1"/>
        <v>1192410.140344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44462</v>
      </c>
      <c r="E26" s="23">
        <v>760788</v>
      </c>
      <c r="F26" s="23">
        <v>172141</v>
      </c>
      <c r="G26" s="23">
        <f t="shared" si="0"/>
        <v>932929</v>
      </c>
      <c r="H26" s="18">
        <v>1.2781359999999999</v>
      </c>
      <c r="I26" s="23">
        <f t="shared" si="1"/>
        <v>1192410.140344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44463</v>
      </c>
      <c r="E27" s="23">
        <v>760788</v>
      </c>
      <c r="F27" s="23">
        <v>172141</v>
      </c>
      <c r="G27" s="23">
        <f t="shared" si="0"/>
        <v>932929</v>
      </c>
      <c r="H27" s="18">
        <v>1.2781359999999999</v>
      </c>
      <c r="I27" s="23">
        <f t="shared" si="1"/>
        <v>1192410.140344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44464</v>
      </c>
      <c r="E28" s="23">
        <v>760788</v>
      </c>
      <c r="F28" s="23">
        <v>172141</v>
      </c>
      <c r="G28" s="23">
        <f t="shared" si="0"/>
        <v>932929</v>
      </c>
      <c r="H28" s="18">
        <v>1.2781359999999999</v>
      </c>
      <c r="I28" s="23">
        <f t="shared" si="1"/>
        <v>1192410.140344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44465</v>
      </c>
      <c r="E29" s="23">
        <v>760788</v>
      </c>
      <c r="F29" s="23">
        <v>172141</v>
      </c>
      <c r="G29" s="23">
        <f t="shared" si="0"/>
        <v>932929</v>
      </c>
      <c r="H29" s="18">
        <v>1.2781359999999999</v>
      </c>
      <c r="I29" s="23">
        <f t="shared" si="1"/>
        <v>1192410.140344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44466</v>
      </c>
      <c r="E30" s="23">
        <v>760788</v>
      </c>
      <c r="F30" s="23">
        <v>172141</v>
      </c>
      <c r="G30" s="23">
        <f t="shared" si="0"/>
        <v>932929</v>
      </c>
      <c r="H30" s="18">
        <v>1.2781359999999999</v>
      </c>
      <c r="I30" s="23">
        <f t="shared" si="1"/>
        <v>1192410.140344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44467</v>
      </c>
      <c r="E31" s="23">
        <v>760788</v>
      </c>
      <c r="F31" s="23">
        <v>172141</v>
      </c>
      <c r="G31" s="23">
        <f t="shared" si="0"/>
        <v>932929</v>
      </c>
      <c r="H31" s="18">
        <v>1.2781359999999999</v>
      </c>
      <c r="I31" s="23">
        <f t="shared" si="1"/>
        <v>1192410.140344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44468</v>
      </c>
      <c r="E32" s="23">
        <v>760788</v>
      </c>
      <c r="F32" s="23">
        <v>172141</v>
      </c>
      <c r="G32" s="23">
        <f t="shared" si="0"/>
        <v>932929</v>
      </c>
      <c r="H32" s="18">
        <v>1.2781359999999999</v>
      </c>
      <c r="I32" s="23">
        <f t="shared" si="1"/>
        <v>1192410.140344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44469</v>
      </c>
      <c r="E33" s="23">
        <v>760788</v>
      </c>
      <c r="F33" s="23">
        <v>172141</v>
      </c>
      <c r="G33" s="23">
        <f t="shared" si="0"/>
        <v>932929</v>
      </c>
      <c r="H33" s="18">
        <v>1.2781359999999999</v>
      </c>
      <c r="I33" s="23">
        <f t="shared" si="1"/>
        <v>1192410.140344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/>
      <c r="E34" s="23"/>
      <c r="F34" s="23"/>
      <c r="G34" s="23"/>
      <c r="H34" s="18"/>
      <c r="I34" s="23"/>
      <c r="J34" s="24"/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0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35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F24" sqref="F24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6" t="s">
        <v>37</v>
      </c>
      <c r="F1" s="106"/>
      <c r="G1" s="106"/>
      <c r="H1" s="106"/>
      <c r="I1" s="106"/>
      <c r="J1" s="106"/>
      <c r="K1" s="28"/>
      <c r="L1" s="28"/>
      <c r="M1" s="28"/>
      <c r="N1" s="28"/>
      <c r="O1" s="17"/>
      <c r="P1" s="17"/>
      <c r="Q1" s="107"/>
      <c r="R1" s="107"/>
      <c r="S1" s="107"/>
      <c r="T1" s="107"/>
      <c r="U1" s="107"/>
      <c r="V1" s="107"/>
      <c r="W1" s="107"/>
      <c r="X1" s="107"/>
      <c r="Y1" s="80"/>
      <c r="Z1" s="107"/>
      <c r="AA1" s="107"/>
      <c r="AB1" s="107"/>
      <c r="AC1" s="107"/>
      <c r="AD1" s="107"/>
      <c r="AE1" s="107"/>
      <c r="AF1" s="107"/>
      <c r="AG1" s="107"/>
      <c r="AH1" s="81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8"/>
      <c r="AP3" s="109"/>
      <c r="AQ3" s="108"/>
      <c r="AR3" s="109"/>
      <c r="AS3" s="108"/>
      <c r="AT3" s="109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44440</v>
      </c>
      <c r="F4" s="61">
        <v>4724.9350000000004</v>
      </c>
      <c r="G4" s="22">
        <v>2760</v>
      </c>
      <c r="H4" s="23">
        <f>G4*F4</f>
        <v>13040820.600000001</v>
      </c>
      <c r="I4" s="24">
        <f>+(H4-'[1]Agustos 2021 '!$H$34)</f>
        <v>1449.0000000018626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44441</v>
      </c>
      <c r="F5" s="55">
        <v>4725.4589999999998</v>
      </c>
      <c r="G5" s="22">
        <v>2760</v>
      </c>
      <c r="H5" s="23">
        <f>G5*F5</f>
        <v>13042266.84</v>
      </c>
      <c r="I5" s="24">
        <f t="shared" ref="I5:I11" si="0">+(H5-H4)</f>
        <v>1446.2399999983609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44442</v>
      </c>
      <c r="F6" s="55">
        <v>4725.9629999999997</v>
      </c>
      <c r="G6" s="22">
        <v>2760</v>
      </c>
      <c r="H6" s="23">
        <f t="shared" ref="H6:H33" si="1">G6*F6</f>
        <v>13043657.879999999</v>
      </c>
      <c r="I6" s="24">
        <f t="shared" si="0"/>
        <v>1391.0399999991059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44443</v>
      </c>
      <c r="F7" s="55">
        <v>4726.451</v>
      </c>
      <c r="G7" s="22">
        <v>2760</v>
      </c>
      <c r="H7" s="23">
        <f t="shared" si="1"/>
        <v>13045004.76</v>
      </c>
      <c r="I7" s="24">
        <f t="shared" si="0"/>
        <v>1346.8800000008196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44444</v>
      </c>
      <c r="F8" s="55">
        <v>4726.9160000000002</v>
      </c>
      <c r="G8" s="22">
        <v>2760</v>
      </c>
      <c r="H8" s="23">
        <f>G8*F8</f>
        <v>13046288.16</v>
      </c>
      <c r="I8" s="24">
        <f t="shared" si="0"/>
        <v>1283.4000000003725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44445</v>
      </c>
      <c r="F9" s="55">
        <v>4727.38</v>
      </c>
      <c r="G9" s="22">
        <v>2760</v>
      </c>
      <c r="H9" s="23">
        <f t="shared" si="1"/>
        <v>13047568.800000001</v>
      </c>
      <c r="I9" s="24">
        <f t="shared" si="0"/>
        <v>1280.640000000596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44446</v>
      </c>
      <c r="F10" s="55">
        <v>4727.8509999999997</v>
      </c>
      <c r="G10" s="22">
        <v>2760</v>
      </c>
      <c r="H10" s="23">
        <f t="shared" si="1"/>
        <v>13048868.76</v>
      </c>
      <c r="I10" s="24">
        <f t="shared" si="0"/>
        <v>1299.9599999990314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44447</v>
      </c>
      <c r="F11" s="55">
        <v>4728.3509999999997</v>
      </c>
      <c r="G11" s="22">
        <v>2760</v>
      </c>
      <c r="H11" s="23">
        <f t="shared" si="1"/>
        <v>13050248.76</v>
      </c>
      <c r="I11" s="24">
        <f t="shared" si="0"/>
        <v>1380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44448</v>
      </c>
      <c r="F12" s="55">
        <v>4728.799</v>
      </c>
      <c r="G12" s="22">
        <v>2760</v>
      </c>
      <c r="H12" s="23">
        <f>G12*F12</f>
        <v>13051485.24</v>
      </c>
      <c r="I12" s="24">
        <f>+(H12-H11)</f>
        <v>1236.480000000447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44449</v>
      </c>
      <c r="F13" s="55">
        <v>4729.2809999999999</v>
      </c>
      <c r="G13" s="22">
        <v>2760</v>
      </c>
      <c r="H13" s="23">
        <f t="shared" si="1"/>
        <v>13052815.560000001</v>
      </c>
      <c r="I13" s="24">
        <f t="shared" ref="I13:I33" si="2">+(H13-H12)</f>
        <v>1330.320000000298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44450</v>
      </c>
      <c r="F14" s="55">
        <v>4729.7449999999999</v>
      </c>
      <c r="G14" s="22">
        <v>2760</v>
      </c>
      <c r="H14" s="23">
        <f t="shared" si="1"/>
        <v>13054096.199999999</v>
      </c>
      <c r="I14" s="24">
        <f t="shared" si="2"/>
        <v>1280.6399999987334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44451</v>
      </c>
      <c r="F15" s="55">
        <v>4730.2030000000004</v>
      </c>
      <c r="G15" s="22">
        <v>2760</v>
      </c>
      <c r="H15" s="23">
        <f t="shared" si="1"/>
        <v>13055360.280000001</v>
      </c>
      <c r="I15" s="24">
        <f t="shared" si="2"/>
        <v>1264.0800000019372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44452</v>
      </c>
      <c r="F16" s="55">
        <v>4730.6450000000004</v>
      </c>
      <c r="G16" s="22">
        <v>2760</v>
      </c>
      <c r="H16" s="23">
        <f t="shared" si="1"/>
        <v>13056580.200000001</v>
      </c>
      <c r="I16" s="24">
        <f t="shared" si="2"/>
        <v>1219.9199999999255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44453</v>
      </c>
      <c r="F17" s="55">
        <v>4731.1040000000003</v>
      </c>
      <c r="G17" s="22">
        <v>2760</v>
      </c>
      <c r="H17" s="23">
        <f t="shared" si="1"/>
        <v>13057847.040000001</v>
      </c>
      <c r="I17" s="24">
        <f t="shared" si="2"/>
        <v>1266.839999999851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44454</v>
      </c>
      <c r="F18" s="55">
        <v>4731.5510000000004</v>
      </c>
      <c r="G18" s="22">
        <v>2760</v>
      </c>
      <c r="H18" s="23">
        <f t="shared" si="1"/>
        <v>13059080.760000002</v>
      </c>
      <c r="I18" s="24">
        <f t="shared" si="2"/>
        <v>1233.7200000006706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44455</v>
      </c>
      <c r="F19" s="55">
        <v>4732.0020000000004</v>
      </c>
      <c r="G19" s="22">
        <v>2760</v>
      </c>
      <c r="H19" s="23">
        <f>G19*F19</f>
        <v>13060325.520000001</v>
      </c>
      <c r="I19" s="24">
        <f t="shared" si="2"/>
        <v>1244.7599999997765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44456</v>
      </c>
      <c r="F20" s="55">
        <v>4732.4669999999996</v>
      </c>
      <c r="G20" s="22">
        <v>2760</v>
      </c>
      <c r="H20" s="23">
        <f t="shared" si="1"/>
        <v>13061608.92</v>
      </c>
      <c r="I20" s="24">
        <f t="shared" si="2"/>
        <v>1283.3999999985099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44457</v>
      </c>
      <c r="F21" s="55">
        <v>4732.8919999999998</v>
      </c>
      <c r="G21" s="22">
        <v>2760</v>
      </c>
      <c r="H21" s="23">
        <f t="shared" si="1"/>
        <v>13062781.92</v>
      </c>
      <c r="I21" s="24">
        <f t="shared" si="2"/>
        <v>1173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44458</v>
      </c>
      <c r="F22" s="55">
        <v>4733.3620000000001</v>
      </c>
      <c r="G22" s="22">
        <v>2760</v>
      </c>
      <c r="H22" s="23">
        <f t="shared" si="1"/>
        <v>13064079.120000001</v>
      </c>
      <c r="I22" s="24">
        <f t="shared" si="2"/>
        <v>1297.2000000011176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44459</v>
      </c>
      <c r="F23" s="55">
        <v>4733.8119999999999</v>
      </c>
      <c r="G23" s="22">
        <v>2760</v>
      </c>
      <c r="H23" s="23">
        <f t="shared" si="1"/>
        <v>13065321.119999999</v>
      </c>
      <c r="I23" s="24">
        <f t="shared" si="2"/>
        <v>1241.9999999981374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44460</v>
      </c>
      <c r="F24" s="55"/>
      <c r="G24" s="22">
        <v>2760</v>
      </c>
      <c r="H24" s="23">
        <f t="shared" si="1"/>
        <v>0</v>
      </c>
      <c r="I24" s="24">
        <f t="shared" si="2"/>
        <v>-13065321.119999999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44461</v>
      </c>
      <c r="F25" s="55"/>
      <c r="G25" s="22">
        <v>2760</v>
      </c>
      <c r="H25" s="23">
        <f t="shared" si="1"/>
        <v>0</v>
      </c>
      <c r="I25" s="24">
        <f t="shared" si="2"/>
        <v>0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44462</v>
      </c>
      <c r="F26" s="61"/>
      <c r="G26" s="22">
        <v>2760</v>
      </c>
      <c r="H26" s="23">
        <f t="shared" si="1"/>
        <v>0</v>
      </c>
      <c r="I26" s="24">
        <f t="shared" si="2"/>
        <v>0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44463</v>
      </c>
      <c r="F27" s="61"/>
      <c r="G27" s="22">
        <v>2760</v>
      </c>
      <c r="H27" s="23">
        <f t="shared" si="1"/>
        <v>0</v>
      </c>
      <c r="I27" s="24">
        <f t="shared" si="2"/>
        <v>0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44464</v>
      </c>
      <c r="F28" s="61"/>
      <c r="G28" s="22">
        <v>2760</v>
      </c>
      <c r="H28" s="23">
        <f t="shared" si="1"/>
        <v>0</v>
      </c>
      <c r="I28" s="24">
        <f t="shared" si="2"/>
        <v>0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44465</v>
      </c>
      <c r="F29" s="61"/>
      <c r="G29" s="22">
        <v>2760</v>
      </c>
      <c r="H29" s="23">
        <f t="shared" si="1"/>
        <v>0</v>
      </c>
      <c r="I29" s="24">
        <f t="shared" si="2"/>
        <v>0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44466</v>
      </c>
      <c r="F30" s="61"/>
      <c r="G30" s="22">
        <v>2760</v>
      </c>
      <c r="H30" s="23">
        <f t="shared" si="1"/>
        <v>0</v>
      </c>
      <c r="I30" s="24">
        <f t="shared" si="2"/>
        <v>0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44467</v>
      </c>
      <c r="F31" s="61"/>
      <c r="G31" s="22">
        <v>2760</v>
      </c>
      <c r="H31" s="23">
        <f t="shared" si="1"/>
        <v>0</v>
      </c>
      <c r="I31" s="24">
        <f t="shared" si="2"/>
        <v>0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44468</v>
      </c>
      <c r="F32" s="61"/>
      <c r="G32" s="22">
        <v>2760</v>
      </c>
      <c r="H32" s="23">
        <f t="shared" si="1"/>
        <v>0</v>
      </c>
      <c r="I32" s="24">
        <f t="shared" si="2"/>
        <v>0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44469</v>
      </c>
      <c r="F33" s="61"/>
      <c r="G33" s="22">
        <v>2760</v>
      </c>
      <c r="H33" s="23">
        <f t="shared" si="1"/>
        <v>0</v>
      </c>
      <c r="I33" s="24">
        <f t="shared" si="2"/>
        <v>0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/>
      <c r="F34" s="61"/>
      <c r="G34" s="22"/>
      <c r="H34" s="23"/>
      <c r="I34" s="24"/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-13039371.6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38</v>
      </c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2021-09-20T05:21:53Z</dcterms:modified>
</cp:coreProperties>
</file>