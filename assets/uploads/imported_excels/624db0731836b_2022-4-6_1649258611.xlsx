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0" documentId="13_ncr:1_{2AA35F37-6E7C-488D-AFBB-03654FC8887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OTAL" sheetId="6" r:id="rId1"/>
    <sheet name="B16" sheetId="8" r:id="rId2"/>
    <sheet name="B16 ext" sheetId="9" r:id="rId3"/>
    <sheet name="B17" sheetId="10" r:id="rId4"/>
    <sheet name="Water Reading" sheetId="1" r:id="rId5"/>
    <sheet name="Diesel Reading " sheetId="7" r:id="rId6"/>
  </sheets>
  <externalReferences>
    <externalReference r:id="rId7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29" i="8" l="1"/>
  <c r="I30" i="8"/>
  <c r="I31" i="8"/>
  <c r="J36" i="7"/>
  <c r="H7" i="7"/>
  <c r="H10" i="7"/>
  <c r="H12" i="7"/>
  <c r="H35" i="7"/>
  <c r="H34" i="7"/>
  <c r="I34" i="7"/>
  <c r="E34" i="7"/>
  <c r="E33" i="7"/>
  <c r="E31" i="7"/>
  <c r="E30" i="7"/>
  <c r="H31" i="7"/>
  <c r="C26" i="8"/>
  <c r="C27" i="8"/>
  <c r="H24" i="7"/>
  <c r="H19" i="7"/>
  <c r="H25" i="7"/>
  <c r="H20" i="7"/>
  <c r="H21" i="7"/>
  <c r="I10" i="7"/>
  <c r="E9" i="7"/>
  <c r="E10" i="7"/>
  <c r="H9" i="7"/>
  <c r="I9" i="7"/>
  <c r="H7" i="6" s="1"/>
  <c r="C27" i="10"/>
  <c r="C25" i="10"/>
  <c r="C24" i="10"/>
  <c r="E15" i="9"/>
  <c r="E14" i="9"/>
  <c r="H33" i="7"/>
  <c r="I33" i="7"/>
  <c r="H30" i="6" s="1"/>
  <c r="C11" i="1"/>
  <c r="H11" i="7"/>
  <c r="H13" i="7"/>
  <c r="H14" i="7"/>
  <c r="H15" i="7"/>
  <c r="H17" i="7"/>
  <c r="H16" i="7"/>
  <c r="E34" i="1"/>
  <c r="C34" i="1"/>
  <c r="I34" i="1"/>
  <c r="E33" i="1"/>
  <c r="C33" i="1"/>
  <c r="I33" i="1"/>
  <c r="E32" i="1"/>
  <c r="C32" i="1"/>
  <c r="I32" i="1"/>
  <c r="E31" i="1"/>
  <c r="C31" i="1"/>
  <c r="I31" i="1"/>
  <c r="E30" i="1"/>
  <c r="C30" i="1"/>
  <c r="I30" i="1"/>
  <c r="E29" i="1"/>
  <c r="C29" i="1"/>
  <c r="I29" i="1"/>
  <c r="E28" i="1"/>
  <c r="C28" i="1"/>
  <c r="I28" i="1"/>
  <c r="E27" i="1"/>
  <c r="C27" i="1"/>
  <c r="I27" i="1"/>
  <c r="E26" i="1"/>
  <c r="C26" i="1"/>
  <c r="I26" i="1"/>
  <c r="E25" i="1"/>
  <c r="C25" i="1"/>
  <c r="I25" i="1"/>
  <c r="E24" i="1"/>
  <c r="C24" i="1"/>
  <c r="I24" i="1"/>
  <c r="E23" i="1"/>
  <c r="C23" i="1"/>
  <c r="I23" i="1"/>
  <c r="E22" i="1"/>
  <c r="C22" i="1"/>
  <c r="I22" i="1"/>
  <c r="E21" i="1"/>
  <c r="C21" i="1"/>
  <c r="I21" i="1"/>
  <c r="E20" i="1"/>
  <c r="C20" i="1"/>
  <c r="I20" i="1"/>
  <c r="E19" i="1"/>
  <c r="C19" i="1"/>
  <c r="I19" i="1"/>
  <c r="E18" i="1"/>
  <c r="C18" i="1"/>
  <c r="I18" i="1"/>
  <c r="E17" i="1"/>
  <c r="C17" i="1"/>
  <c r="I17" i="1"/>
  <c r="E16" i="1"/>
  <c r="C16" i="1"/>
  <c r="I16" i="1"/>
  <c r="E15" i="1"/>
  <c r="C15" i="1"/>
  <c r="I15" i="1"/>
  <c r="E14" i="1"/>
  <c r="C14" i="1"/>
  <c r="I14" i="1"/>
  <c r="E13" i="1"/>
  <c r="C13" i="1"/>
  <c r="I13" i="1"/>
  <c r="E12" i="1"/>
  <c r="C12" i="1"/>
  <c r="I12" i="1"/>
  <c r="E11" i="1"/>
  <c r="I11" i="1"/>
  <c r="E10" i="1"/>
  <c r="C10" i="1"/>
  <c r="I10" i="1"/>
  <c r="E9" i="1"/>
  <c r="C9" i="1"/>
  <c r="I9" i="1"/>
  <c r="E8" i="1"/>
  <c r="C8" i="1"/>
  <c r="I8" i="1"/>
  <c r="E7" i="1"/>
  <c r="C7" i="1"/>
  <c r="I7" i="1"/>
  <c r="E6" i="1"/>
  <c r="C6" i="1"/>
  <c r="I6" i="1"/>
  <c r="E5" i="1"/>
  <c r="C5" i="1"/>
  <c r="I5" i="1"/>
  <c r="E4" i="1"/>
  <c r="C4" i="1"/>
  <c r="A37" i="8"/>
  <c r="F36" i="8"/>
  <c r="J35" i="8"/>
  <c r="I35" i="8"/>
  <c r="J34" i="8"/>
  <c r="I34" i="8"/>
  <c r="E33" i="8"/>
  <c r="C33" i="8"/>
  <c r="J33" i="8"/>
  <c r="E32" i="8"/>
  <c r="C32" i="8"/>
  <c r="J32" i="8"/>
  <c r="E31" i="8"/>
  <c r="C31" i="8"/>
  <c r="J31" i="8"/>
  <c r="E30" i="8"/>
  <c r="C30" i="8"/>
  <c r="J30" i="8"/>
  <c r="E29" i="8"/>
  <c r="C29" i="8"/>
  <c r="J29" i="8"/>
  <c r="E28" i="8"/>
  <c r="C28" i="8"/>
  <c r="J28" i="8"/>
  <c r="E27" i="8"/>
  <c r="J27" i="8"/>
  <c r="E26" i="8"/>
  <c r="J26" i="8"/>
  <c r="E25" i="8"/>
  <c r="C25" i="8"/>
  <c r="J25" i="8"/>
  <c r="E24" i="8"/>
  <c r="C24" i="8"/>
  <c r="J24" i="8"/>
  <c r="E23" i="8"/>
  <c r="C23" i="8"/>
  <c r="J23" i="8"/>
  <c r="E22" i="8"/>
  <c r="C22" i="8"/>
  <c r="J22" i="8"/>
  <c r="E21" i="8"/>
  <c r="C21" i="8"/>
  <c r="J21" i="8"/>
  <c r="E20" i="8"/>
  <c r="C20" i="8"/>
  <c r="J20" i="8"/>
  <c r="E19" i="8"/>
  <c r="C19" i="8"/>
  <c r="J19" i="8"/>
  <c r="E18" i="8"/>
  <c r="C18" i="8"/>
  <c r="J18" i="8"/>
  <c r="E17" i="8"/>
  <c r="C17" i="8"/>
  <c r="J17" i="8"/>
  <c r="E16" i="8"/>
  <c r="C16" i="8"/>
  <c r="J16" i="8"/>
  <c r="E15" i="8"/>
  <c r="C15" i="8"/>
  <c r="J15" i="8"/>
  <c r="E14" i="8"/>
  <c r="C14" i="8"/>
  <c r="J14" i="8"/>
  <c r="E13" i="8"/>
  <c r="C13" i="8"/>
  <c r="J13" i="8"/>
  <c r="E12" i="8"/>
  <c r="C12" i="8"/>
  <c r="J12" i="8"/>
  <c r="E11" i="8"/>
  <c r="C11" i="8"/>
  <c r="J11" i="8"/>
  <c r="E10" i="8"/>
  <c r="C10" i="8"/>
  <c r="J10" i="8"/>
  <c r="E9" i="8"/>
  <c r="C9" i="8"/>
  <c r="J9" i="8"/>
  <c r="E8" i="8"/>
  <c r="C8" i="8"/>
  <c r="J8" i="8"/>
  <c r="E7" i="8"/>
  <c r="C7" i="8"/>
  <c r="J7" i="8"/>
  <c r="E6" i="8"/>
  <c r="C6" i="8"/>
  <c r="J6" i="8"/>
  <c r="E5" i="8"/>
  <c r="C5" i="8"/>
  <c r="J5" i="8"/>
  <c r="E4" i="8"/>
  <c r="C4" i="8"/>
  <c r="A37" i="9"/>
  <c r="F36" i="9"/>
  <c r="J35" i="9"/>
  <c r="I35" i="9"/>
  <c r="J34" i="9"/>
  <c r="I34" i="9"/>
  <c r="E33" i="9"/>
  <c r="C33" i="9"/>
  <c r="J33" i="9"/>
  <c r="E32" i="9"/>
  <c r="C32" i="9"/>
  <c r="J32" i="9"/>
  <c r="E31" i="9"/>
  <c r="C31" i="9"/>
  <c r="J31" i="9"/>
  <c r="E30" i="9"/>
  <c r="C30" i="9"/>
  <c r="J30" i="9"/>
  <c r="E29" i="9"/>
  <c r="C29" i="9"/>
  <c r="J29" i="9"/>
  <c r="E28" i="9"/>
  <c r="C28" i="9"/>
  <c r="J28" i="9"/>
  <c r="E27" i="9"/>
  <c r="C27" i="9"/>
  <c r="J27" i="9"/>
  <c r="E26" i="9"/>
  <c r="C26" i="9"/>
  <c r="J26" i="9"/>
  <c r="E25" i="9"/>
  <c r="C25" i="9"/>
  <c r="J25" i="9"/>
  <c r="E24" i="9"/>
  <c r="C24" i="9"/>
  <c r="J24" i="9"/>
  <c r="E23" i="9"/>
  <c r="C23" i="9"/>
  <c r="J23" i="9"/>
  <c r="E22" i="9"/>
  <c r="C22" i="9"/>
  <c r="J22" i="9"/>
  <c r="E21" i="9"/>
  <c r="C21" i="9"/>
  <c r="J21" i="9"/>
  <c r="E20" i="9"/>
  <c r="C20" i="9"/>
  <c r="J20" i="9"/>
  <c r="E19" i="9"/>
  <c r="C19" i="9"/>
  <c r="J19" i="9"/>
  <c r="E18" i="9"/>
  <c r="C18" i="9"/>
  <c r="J18" i="9"/>
  <c r="E17" i="9"/>
  <c r="C17" i="9"/>
  <c r="J17" i="9"/>
  <c r="E16" i="9"/>
  <c r="C16" i="9"/>
  <c r="J16" i="9"/>
  <c r="C15" i="9"/>
  <c r="J15" i="9"/>
  <c r="C14" i="9"/>
  <c r="J14" i="9"/>
  <c r="E13" i="9"/>
  <c r="C13" i="9"/>
  <c r="J13" i="9"/>
  <c r="E12" i="9"/>
  <c r="C12" i="9"/>
  <c r="J12" i="9"/>
  <c r="E11" i="9"/>
  <c r="C11" i="9"/>
  <c r="J11" i="9"/>
  <c r="E10" i="9"/>
  <c r="C10" i="9"/>
  <c r="J10" i="9"/>
  <c r="E9" i="9"/>
  <c r="C9" i="9"/>
  <c r="J9" i="9"/>
  <c r="E8" i="9"/>
  <c r="C8" i="9"/>
  <c r="J8" i="9"/>
  <c r="E7" i="9"/>
  <c r="C7" i="9"/>
  <c r="J7" i="9"/>
  <c r="E6" i="9"/>
  <c r="C6" i="9"/>
  <c r="J6" i="9"/>
  <c r="E5" i="9"/>
  <c r="C5" i="9"/>
  <c r="J5" i="9"/>
  <c r="E4" i="9"/>
  <c r="C4" i="9"/>
  <c r="A37" i="10"/>
  <c r="F36" i="10"/>
  <c r="J35" i="10"/>
  <c r="I35" i="10"/>
  <c r="E34" i="10"/>
  <c r="C34" i="10"/>
  <c r="J34" i="10"/>
  <c r="E33" i="10"/>
  <c r="C33" i="10"/>
  <c r="J33" i="10"/>
  <c r="E32" i="10"/>
  <c r="C32" i="10"/>
  <c r="J32" i="10"/>
  <c r="E31" i="10"/>
  <c r="C31" i="10"/>
  <c r="J31" i="10"/>
  <c r="E30" i="10"/>
  <c r="C30" i="10"/>
  <c r="J30" i="10"/>
  <c r="E29" i="10"/>
  <c r="C29" i="10"/>
  <c r="J29" i="10"/>
  <c r="E28" i="10"/>
  <c r="C28" i="10"/>
  <c r="J28" i="10"/>
  <c r="E27" i="10"/>
  <c r="J27" i="10"/>
  <c r="E26" i="10"/>
  <c r="C26" i="10"/>
  <c r="J26" i="10"/>
  <c r="E25" i="10"/>
  <c r="J25" i="10"/>
  <c r="E24" i="10"/>
  <c r="J24" i="10"/>
  <c r="E23" i="10"/>
  <c r="C23" i="10"/>
  <c r="J23" i="10"/>
  <c r="E22" i="10"/>
  <c r="C22" i="10"/>
  <c r="J22" i="10"/>
  <c r="E21" i="10"/>
  <c r="C21" i="10"/>
  <c r="J21" i="10"/>
  <c r="E20" i="10"/>
  <c r="C20" i="10"/>
  <c r="J20" i="10"/>
  <c r="E19" i="10"/>
  <c r="C19" i="10"/>
  <c r="J19" i="10"/>
  <c r="E18" i="10"/>
  <c r="C18" i="10"/>
  <c r="J18" i="10"/>
  <c r="E17" i="10"/>
  <c r="C17" i="10"/>
  <c r="J17" i="10"/>
  <c r="E16" i="10"/>
  <c r="C16" i="10"/>
  <c r="J16" i="10"/>
  <c r="E15" i="10"/>
  <c r="C15" i="10"/>
  <c r="J15" i="10"/>
  <c r="E14" i="10"/>
  <c r="C14" i="10"/>
  <c r="J14" i="10"/>
  <c r="E13" i="10"/>
  <c r="C13" i="10"/>
  <c r="J13" i="10"/>
  <c r="E12" i="10"/>
  <c r="C12" i="10"/>
  <c r="J12" i="10"/>
  <c r="E11" i="10"/>
  <c r="C11" i="10"/>
  <c r="J11" i="10"/>
  <c r="E10" i="10"/>
  <c r="C10" i="10"/>
  <c r="J10" i="10"/>
  <c r="E9" i="10"/>
  <c r="C9" i="10"/>
  <c r="J9" i="10"/>
  <c r="E8" i="10"/>
  <c r="C8" i="10"/>
  <c r="J8" i="10"/>
  <c r="E7" i="10"/>
  <c r="C7" i="10"/>
  <c r="J7" i="10"/>
  <c r="E6" i="10"/>
  <c r="C6" i="10"/>
  <c r="J6" i="10"/>
  <c r="E5" i="10"/>
  <c r="C5" i="10"/>
  <c r="J5" i="10"/>
  <c r="E4" i="10"/>
  <c r="C4" i="10"/>
  <c r="H6" i="7"/>
  <c r="H8" i="7"/>
  <c r="I6" i="7"/>
  <c r="I7" i="7"/>
  <c r="I8" i="7"/>
  <c r="I11" i="7"/>
  <c r="I12" i="7"/>
  <c r="I13" i="7"/>
  <c r="H10" i="6" s="1"/>
  <c r="I14" i="7"/>
  <c r="I15" i="7"/>
  <c r="I16" i="7"/>
  <c r="I17" i="7"/>
  <c r="I35" i="7"/>
  <c r="E35" i="7"/>
  <c r="H32" i="7"/>
  <c r="I32" i="7"/>
  <c r="H29" i="6" s="1"/>
  <c r="E32" i="7"/>
  <c r="I31" i="7"/>
  <c r="H30" i="7"/>
  <c r="I30" i="7"/>
  <c r="H29" i="7"/>
  <c r="I29" i="7"/>
  <c r="E29" i="7"/>
  <c r="H28" i="7"/>
  <c r="I28" i="7"/>
  <c r="E28" i="7"/>
  <c r="H27" i="7"/>
  <c r="I27" i="7"/>
  <c r="H24" i="6" s="1"/>
  <c r="E27" i="7"/>
  <c r="H26" i="7"/>
  <c r="I26" i="7"/>
  <c r="E26" i="7"/>
  <c r="I25" i="7"/>
  <c r="E25" i="7"/>
  <c r="I24" i="7"/>
  <c r="E24" i="7"/>
  <c r="H23" i="7"/>
  <c r="I23" i="7"/>
  <c r="E23" i="7"/>
  <c r="H22" i="7"/>
  <c r="I22" i="7"/>
  <c r="E22" i="7"/>
  <c r="I21" i="7"/>
  <c r="E21" i="7"/>
  <c r="I20" i="7"/>
  <c r="E20" i="7"/>
  <c r="I19" i="7"/>
  <c r="E19" i="7"/>
  <c r="H18" i="7"/>
  <c r="I18" i="7"/>
  <c r="E18" i="7"/>
  <c r="E17" i="7"/>
  <c r="E16" i="7"/>
  <c r="E15" i="7"/>
  <c r="E14" i="7"/>
  <c r="E13" i="7"/>
  <c r="E12" i="7"/>
  <c r="E11" i="7"/>
  <c r="E8" i="7"/>
  <c r="E7" i="7"/>
  <c r="E6" i="7"/>
  <c r="H5" i="7"/>
  <c r="I5" i="7"/>
  <c r="E5" i="7"/>
  <c r="H4" i="7"/>
  <c r="E4" i="7"/>
  <c r="G15" i="6"/>
  <c r="H31" i="6"/>
  <c r="H28" i="6"/>
  <c r="H27" i="6"/>
  <c r="H26" i="6"/>
  <c r="H25" i="6"/>
  <c r="H23" i="6"/>
  <c r="H22" i="6"/>
  <c r="H21" i="6"/>
  <c r="H20" i="6"/>
  <c r="H19" i="6"/>
  <c r="H18" i="6"/>
  <c r="H17" i="6"/>
  <c r="H16" i="6"/>
  <c r="G16" i="6"/>
  <c r="H15" i="6"/>
  <c r="H14" i="6"/>
  <c r="H13" i="6"/>
  <c r="G12" i="6"/>
  <c r="H11" i="6"/>
  <c r="H9" i="6"/>
  <c r="G8" i="6"/>
  <c r="H6" i="6"/>
  <c r="H5" i="6"/>
  <c r="G4" i="6"/>
  <c r="H3" i="6"/>
  <c r="G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G30" i="6"/>
  <c r="G27" i="6"/>
  <c r="G21" i="6"/>
  <c r="G20" i="6"/>
  <c r="G14" i="6"/>
  <c r="G25" i="6"/>
  <c r="H12" i="6"/>
  <c r="G31" i="6"/>
  <c r="G29" i="6"/>
  <c r="G13" i="6"/>
  <c r="H8" i="6"/>
  <c r="G28" i="6"/>
  <c r="G17" i="6"/>
  <c r="G9" i="6"/>
  <c r="G26" i="6"/>
  <c r="G18" i="6"/>
  <c r="G10" i="6"/>
  <c r="H4" i="6"/>
  <c r="G19" i="6"/>
  <c r="G11" i="6"/>
  <c r="G3" i="6"/>
  <c r="G5" i="6"/>
  <c r="G22" i="6"/>
  <c r="G6" i="6"/>
  <c r="G23" i="6"/>
  <c r="G7" i="6"/>
  <c r="G24" i="6"/>
  <c r="C35" i="1"/>
  <c r="I4" i="1"/>
  <c r="E35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C37" i="8"/>
  <c r="C36" i="8"/>
  <c r="J4" i="8"/>
  <c r="E36" i="8"/>
  <c r="I36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32" i="8"/>
  <c r="I33" i="8"/>
  <c r="C36" i="9"/>
  <c r="J4" i="9"/>
  <c r="E36" i="9"/>
  <c r="I36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C36" i="10"/>
  <c r="J4" i="10"/>
  <c r="E36" i="10"/>
  <c r="I36" i="10"/>
  <c r="I4" i="10"/>
  <c r="E2" i="6"/>
  <c r="I5" i="10"/>
  <c r="E3" i="6"/>
  <c r="F3" i="6"/>
  <c r="I6" i="10"/>
  <c r="E4" i="6"/>
  <c r="F4" i="6"/>
  <c r="I7" i="10"/>
  <c r="E5" i="6"/>
  <c r="F5" i="6"/>
  <c r="I8" i="10"/>
  <c r="E6" i="6"/>
  <c r="F6" i="6"/>
  <c r="I9" i="10"/>
  <c r="E7" i="6"/>
  <c r="F7" i="6"/>
  <c r="I10" i="10"/>
  <c r="E8" i="6"/>
  <c r="F8" i="6"/>
  <c r="I11" i="10"/>
  <c r="E9" i="6"/>
  <c r="F9" i="6"/>
  <c r="I12" i="10"/>
  <c r="E10" i="6"/>
  <c r="F10" i="6"/>
  <c r="I13" i="10"/>
  <c r="E11" i="6"/>
  <c r="F11" i="6"/>
  <c r="I14" i="10"/>
  <c r="E12" i="6"/>
  <c r="F12" i="6"/>
  <c r="I15" i="10"/>
  <c r="E13" i="6"/>
  <c r="F13" i="6"/>
  <c r="I16" i="10"/>
  <c r="E14" i="6"/>
  <c r="F14" i="6"/>
  <c r="I17" i="10"/>
  <c r="E15" i="6"/>
  <c r="F15" i="6"/>
  <c r="I18" i="10"/>
  <c r="E16" i="6"/>
  <c r="F16" i="6"/>
  <c r="I19" i="10"/>
  <c r="E17" i="6"/>
  <c r="F17" i="6"/>
  <c r="I20" i="10"/>
  <c r="E18" i="6"/>
  <c r="F18" i="6"/>
  <c r="I21" i="10"/>
  <c r="E19" i="6"/>
  <c r="F19" i="6"/>
  <c r="I22" i="10"/>
  <c r="E20" i="6"/>
  <c r="F20" i="6"/>
  <c r="I23" i="10"/>
  <c r="E21" i="6"/>
  <c r="F21" i="6"/>
  <c r="I24" i="10"/>
  <c r="E22" i="6"/>
  <c r="F22" i="6"/>
  <c r="I25" i="10"/>
  <c r="E23" i="6"/>
  <c r="F23" i="6"/>
  <c r="I26" i="10"/>
  <c r="E24" i="6"/>
  <c r="F24" i="6"/>
  <c r="I27" i="10"/>
  <c r="E25" i="6"/>
  <c r="F25" i="6"/>
  <c r="I28" i="10"/>
  <c r="E26" i="6"/>
  <c r="F26" i="6"/>
  <c r="I29" i="10"/>
  <c r="E27" i="6"/>
  <c r="F27" i="6"/>
  <c r="I30" i="10"/>
  <c r="E28" i="6"/>
  <c r="F28" i="6"/>
  <c r="I31" i="10"/>
  <c r="E29" i="6"/>
  <c r="F29" i="6"/>
  <c r="I32" i="10"/>
  <c r="E30" i="6"/>
  <c r="F30" i="6"/>
  <c r="I33" i="10"/>
  <c r="E31" i="6"/>
  <c r="F31" i="6"/>
  <c r="I34" i="10"/>
  <c r="E32" i="6" s="1"/>
  <c r="I32" i="6"/>
  <c r="J32" i="6"/>
  <c r="I31" i="6"/>
  <c r="J31" i="6"/>
  <c r="I30" i="6"/>
  <c r="J30" i="6"/>
  <c r="I29" i="6"/>
  <c r="J29" i="6"/>
  <c r="I28" i="6"/>
  <c r="J28" i="6"/>
  <c r="I27" i="6"/>
  <c r="J27" i="6"/>
  <c r="I26" i="6"/>
  <c r="J26" i="6"/>
  <c r="I25" i="6"/>
  <c r="J25" i="6"/>
  <c r="I24" i="6"/>
  <c r="J24" i="6"/>
  <c r="I23" i="6"/>
  <c r="J23" i="6"/>
  <c r="I22" i="6"/>
  <c r="J22" i="6"/>
  <c r="I21" i="6"/>
  <c r="J21" i="6"/>
  <c r="I20" i="6"/>
  <c r="J20" i="6"/>
  <c r="I19" i="6"/>
  <c r="J19" i="6"/>
  <c r="I18" i="6"/>
  <c r="J18" i="6"/>
  <c r="I17" i="6"/>
  <c r="J17" i="6"/>
  <c r="I16" i="6"/>
  <c r="J16" i="6"/>
  <c r="I15" i="6"/>
  <c r="J15" i="6"/>
  <c r="I14" i="6"/>
  <c r="J14" i="6"/>
  <c r="I13" i="6"/>
  <c r="J13" i="6"/>
  <c r="I12" i="6"/>
  <c r="J12" i="6"/>
  <c r="I11" i="6"/>
  <c r="J11" i="6"/>
  <c r="I10" i="6"/>
  <c r="J10" i="6"/>
  <c r="I9" i="6"/>
  <c r="J9" i="6"/>
  <c r="I8" i="6"/>
  <c r="J8" i="6"/>
  <c r="I7" i="6"/>
  <c r="J7" i="6"/>
  <c r="I6" i="6"/>
  <c r="J6" i="6"/>
  <c r="J5" i="6"/>
  <c r="I5" i="6"/>
  <c r="I4" i="6"/>
  <c r="J4" i="6"/>
  <c r="I3" i="6"/>
  <c r="J3" i="6"/>
  <c r="H35" i="1"/>
  <c r="I2" i="6"/>
  <c r="I35" i="1"/>
  <c r="J2" i="6"/>
  <c r="J36" i="8"/>
  <c r="J36" i="9"/>
  <c r="F2" i="6"/>
  <c r="J36" i="10"/>
  <c r="I4" i="7"/>
  <c r="I36" i="7"/>
  <c r="H32" i="6" s="1"/>
  <c r="H2" i="6"/>
  <c r="F32" i="6" l="1"/>
  <c r="H36" i="7"/>
</calcChain>
</file>

<file path=xl/sharedStrings.xml><?xml version="1.0" encoding="utf-8"?>
<sst xmlns="http://schemas.openxmlformats.org/spreadsheetml/2006/main" count="286" uniqueCount="61">
  <si>
    <t>Site Name</t>
  </si>
  <si>
    <t>Day</t>
  </si>
  <si>
    <t>Month</t>
  </si>
  <si>
    <t>Year</t>
  </si>
  <si>
    <t>Total Electricity Kwh</t>
  </si>
  <si>
    <t>Electricity Tariff ($/Kwh)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</si>
  <si>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</si>
  <si>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</si>
  <si>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</si>
  <si>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</si>
  <si>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</si>
  <si>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Langkawi</t>
  </si>
  <si>
    <t>Daily Electricity Consumption</t>
  </si>
  <si>
    <t>Meter Reading (kWh)</t>
  </si>
  <si>
    <t>Consumption (kWh)</t>
  </si>
  <si>
    <t>MD (kW)</t>
  </si>
  <si>
    <t>Occupancy</t>
  </si>
  <si>
    <t>Weather</t>
  </si>
  <si>
    <t>Total Consumption</t>
  </si>
  <si>
    <t>Cost</t>
  </si>
  <si>
    <t>(Peak)</t>
  </si>
  <si>
    <t>(Off Peak)</t>
  </si>
  <si>
    <t>%</t>
  </si>
  <si>
    <t>Daily (KWh)</t>
  </si>
  <si>
    <t>Daily (RM)</t>
  </si>
  <si>
    <t>clear</t>
  </si>
  <si>
    <t>cloudy</t>
  </si>
  <si>
    <t>raining</t>
  </si>
  <si>
    <t>fair</t>
  </si>
  <si>
    <t>Isolate rain</t>
  </si>
  <si>
    <t>Fair</t>
  </si>
  <si>
    <t>Total</t>
  </si>
  <si>
    <t>PLEASE MAKE SURE TO KEY IN THE OCCUPANCY AND WEATHER FOR THE DAY!</t>
  </si>
  <si>
    <t>f</t>
  </si>
  <si>
    <t>Rain</t>
  </si>
  <si>
    <t>Hot</t>
  </si>
  <si>
    <t>Cloudy</t>
  </si>
  <si>
    <t>Daily Water Consumption</t>
  </si>
  <si>
    <t>Meter Reading (Main)</t>
  </si>
  <si>
    <t>Consumption</t>
  </si>
  <si>
    <t>Meter Reading Landscape</t>
  </si>
  <si>
    <t>(m3)</t>
  </si>
  <si>
    <t>Daily Diesel Consumption</t>
  </si>
  <si>
    <t>BOILER</t>
  </si>
  <si>
    <t>TIME</t>
  </si>
  <si>
    <t>TOTAL</t>
  </si>
  <si>
    <t>Meter Reading</t>
  </si>
  <si>
    <t>Diesel in/Litre</t>
  </si>
  <si>
    <t>NO</t>
  </si>
  <si>
    <t>START</t>
  </si>
  <si>
    <t>STOP</t>
  </si>
  <si>
    <t>HRS</t>
  </si>
  <si>
    <t>(L)</t>
  </si>
  <si>
    <t>Close</t>
  </si>
  <si>
    <t>Diesel in</t>
  </si>
  <si>
    <t>Pump in to operation tank</t>
  </si>
  <si>
    <t>Wood Chipper</t>
  </si>
  <si>
    <t>Watersport</t>
  </si>
  <si>
    <t>Water Sport</t>
  </si>
  <si>
    <t>Balance (Litre)</t>
  </si>
  <si>
    <t>Total Fuel Oil  (Liter)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</si>
</sst>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\-mmm\-yy;@"/>
    <numFmt numFmtId="165" formatCode="#,##0.0"/>
  </numFmts>
  <fonts count="1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4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b/>
      <sz val="10"/>
      <color rgb="FF000000"/>
      <name val="Arial"/>
      <charset val="1"/>
    </font>
    <font>
      <b/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110">
    <xf numFmtId="0" fontId="0" fillId="0" borderId="0" xfId="0"/>
    <xf numFmtId="0" fontId="0" fillId="0" borderId="0" xfId="0" applyAlignment="1">
      <alignment horizontal="center"/>
    </xf>
    <xf numFmtId="164" fontId="3" fillId="0" borderId="1" xfId="0" applyNumberFormat="1" applyFont="1" applyBorder="1"/>
    <xf numFmtId="164" fontId="0" fillId="0" borderId="1" xfId="0" applyNumberFormat="1" applyBorder="1"/>
    <xf numFmtId="164" fontId="0" fillId="0" borderId="0" xfId="0" applyNumberFormat="1"/>
    <xf numFmtId="164" fontId="0" fillId="0" borderId="1" xfId="0" applyNumberFormat="1" applyBorder="1" applyAlignment="1">
      <alignment horizontal="center"/>
    </xf>
    <xf numFmtId="164" fontId="3" fillId="0" borderId="0" xfId="0" applyNumberFormat="1" applyFont="1" applyAlignment="1">
      <alignment horizontal="left"/>
    </xf>
    <xf numFmtId="0" fontId="2" fillId="0" borderId="1" xfId="0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0" fillId="2" borderId="1" xfId="0" applyNumberFormat="1" applyFill="1" applyBorder="1" applyAlignment="1" applyProtection="1">
      <alignment horizontal="center"/>
      <protection locked="0"/>
    </xf>
    <xf numFmtId="0" fontId="0" fillId="0" borderId="1" xfId="0" applyBorder="1"/>
    <xf numFmtId="0" fontId="0" fillId="2" borderId="1" xfId="0" applyFill="1" applyBorder="1" applyAlignment="1" applyProtection="1">
      <alignment horizontal="center"/>
      <protection locked="0"/>
    </xf>
    <xf numFmtId="164" fontId="5" fillId="0" borderId="0" xfId="0" applyNumberFormat="1" applyFont="1"/>
    <xf numFmtId="39" fontId="0" fillId="0" borderId="0" xfId="1" applyNumberFormat="1" applyFont="1" applyAlignment="1">
      <alignment horizontal="center"/>
    </xf>
    <xf numFmtId="39" fontId="2" fillId="0" borderId="1" xfId="1" applyNumberFormat="1" applyFont="1" applyFill="1" applyBorder="1" applyAlignment="1">
      <alignment horizontal="center"/>
    </xf>
    <xf numFmtId="39" fontId="0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6" fillId="2" borderId="1" xfId="0" applyFont="1" applyFill="1" applyBorder="1" applyAlignment="1" applyProtection="1">
      <alignment horizontal="center"/>
      <protection locked="0"/>
    </xf>
    <xf numFmtId="0" fontId="8" fillId="0" borderId="1" xfId="2" applyFont="1" applyBorder="1" applyAlignment="1">
      <alignment horizontal="center" vertical="center"/>
    </xf>
    <xf numFmtId="0" fontId="9" fillId="0" borderId="1" xfId="2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 wrapText="1"/>
    </xf>
    <xf numFmtId="2" fontId="9" fillId="0" borderId="1" xfId="2" applyNumberFormat="1" applyFont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center" wrapText="1"/>
    </xf>
    <xf numFmtId="0" fontId="1" fillId="0" borderId="0" xfId="2"/>
    <xf numFmtId="0" fontId="10" fillId="0" borderId="1" xfId="2" applyFont="1" applyBorder="1" applyAlignment="1">
      <alignment horizontal="center"/>
    </xf>
    <xf numFmtId="0" fontId="8" fillId="0" borderId="1" xfId="2" applyFont="1" applyBorder="1" applyAlignment="1">
      <alignment horizontal="center"/>
    </xf>
    <xf numFmtId="0" fontId="9" fillId="0" borderId="1" xfId="2" applyFont="1" applyBorder="1" applyAlignment="1">
      <alignment horizontal="center"/>
    </xf>
    <xf numFmtId="1" fontId="1" fillId="0" borderId="1" xfId="2" applyNumberFormat="1" applyBorder="1" applyAlignment="1">
      <alignment horizontal="center"/>
    </xf>
    <xf numFmtId="0" fontId="7" fillId="0" borderId="1" xfId="2" applyFont="1" applyBorder="1" applyAlignment="1">
      <alignment horizontal="center"/>
    </xf>
    <xf numFmtId="2" fontId="7" fillId="0" borderId="1" xfId="2" applyNumberFormat="1" applyFont="1" applyBorder="1" applyAlignment="1">
      <alignment horizontal="center"/>
    </xf>
    <xf numFmtId="39" fontId="2" fillId="0" borderId="1" xfId="1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5" fontId="1" fillId="3" borderId="3" xfId="0" applyNumberFormat="1" applyFont="1" applyFill="1" applyBorder="1" applyAlignment="1" applyProtection="1">
      <alignment horizontal="center"/>
      <protection locked="0"/>
    </xf>
    <xf numFmtId="165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65" fontId="0" fillId="3" borderId="3" xfId="0" applyNumberFormat="1" applyFill="1" applyBorder="1" applyAlignment="1" applyProtection="1">
      <alignment horizontal="center"/>
      <protection locked="0"/>
    </xf>
    <xf numFmtId="165" fontId="0" fillId="0" borderId="1" xfId="0" applyNumberFormat="1" applyBorder="1" applyAlignment="1">
      <alignment horizontal="center"/>
    </xf>
    <xf numFmtId="165" fontId="1" fillId="4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65" fontId="0" fillId="0" borderId="0" xfId="0" applyNumberFormat="1" applyAlignment="1">
      <alignment horizontal="center"/>
    </xf>
    <xf numFmtId="164" fontId="3" fillId="0" borderId="4" xfId="0" applyNumberFormat="1" applyFont="1" applyBorder="1"/>
    <xf numFmtId="0" fontId="2" fillId="0" borderId="5" xfId="0" applyFont="1" applyBorder="1" applyAlignment="1">
      <alignment horizontal="center"/>
    </xf>
    <xf numFmtId="39" fontId="2" fillId="0" borderId="5" xfId="1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39" fontId="2" fillId="0" borderId="5" xfId="1" applyNumberFormat="1" applyFont="1" applyFill="1" applyBorder="1" applyAlignment="1">
      <alignment horizontal="center"/>
    </xf>
    <xf numFmtId="165" fontId="2" fillId="0" borderId="7" xfId="0" applyNumberFormat="1" applyFont="1" applyBorder="1" applyAlignment="1">
      <alignment horizontal="center" wrapText="1"/>
    </xf>
    <xf numFmtId="165" fontId="2" fillId="0" borderId="0" xfId="0" applyNumberFormat="1" applyFont="1" applyAlignment="1">
      <alignment horizontal="center"/>
    </xf>
    <xf numFmtId="164" fontId="0" fillId="0" borderId="8" xfId="0" applyNumberFormat="1" applyBorder="1"/>
    <xf numFmtId="0" fontId="2" fillId="0" borderId="3" xfId="0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5" fontId="1" fillId="3" borderId="1" xfId="0" applyNumberFormat="1" applyFont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0" fontId="0" fillId="0" borderId="0" xfId="0" applyAlignment="1">
      <alignment vertical="center" wrapText="1"/>
    </xf>
    <xf numFmtId="165" fontId="1" fillId="0" borderId="0" xfId="0" applyNumberFormat="1" applyFont="1" applyAlignment="1">
      <alignment horizontal="left"/>
    </xf>
    <xf numFmtId="0" fontId="2" fillId="0" borderId="1" xfId="0" applyFont="1" applyBorder="1" applyAlignment="1" applyProtection="1">
      <alignment horizontal="center"/>
      <protection locked="0"/>
    </xf>
    <xf numFmtId="3" fontId="1" fillId="2" borderId="1" xfId="0" applyNumberFormat="1" applyFont="1" applyFill="1" applyBorder="1" applyAlignment="1" applyProtection="1">
      <alignment horizontal="center"/>
      <protection locked="0"/>
    </xf>
    <xf numFmtId="3" fontId="0" fillId="2" borderId="3" xfId="0" applyNumberFormat="1" applyFill="1" applyBorder="1" applyAlignment="1" applyProtection="1">
      <alignment horizontal="center"/>
      <protection locked="0"/>
    </xf>
    <xf numFmtId="164" fontId="0" fillId="0" borderId="2" xfId="0" applyNumberFormat="1" applyBorder="1" applyAlignment="1">
      <alignment horizontal="center"/>
    </xf>
    <xf numFmtId="9" fontId="0" fillId="2" borderId="1" xfId="0" applyNumberFormat="1" applyFill="1" applyBorder="1" applyAlignment="1" applyProtection="1">
      <alignment horizontal="center"/>
      <protection locked="0"/>
    </xf>
    <xf numFmtId="9" fontId="0" fillId="2" borderId="12" xfId="0" applyNumberFormat="1" applyFill="1" applyBorder="1" applyAlignment="1" applyProtection="1">
      <alignment horizontal="center"/>
      <protection locked="0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top"/>
      <protection locked="0"/>
    </xf>
    <xf numFmtId="3" fontId="0" fillId="0" borderId="1" xfId="0" applyNumberFormat="1" applyBorder="1" applyAlignment="1">
      <alignment horizontal="center" vertical="top"/>
    </xf>
    <xf numFmtId="39" fontId="0" fillId="0" borderId="1" xfId="1" applyNumberFormat="1" applyFont="1" applyBorder="1" applyAlignment="1">
      <alignment horizontal="center" vertical="top"/>
    </xf>
    <xf numFmtId="0" fontId="0" fillId="0" borderId="0" xfId="0" applyAlignment="1">
      <alignment vertical="top"/>
    </xf>
    <xf numFmtId="9" fontId="6" fillId="2" borderId="1" xfId="0" applyNumberFormat="1" applyFont="1" applyFill="1" applyBorder="1" applyAlignment="1" applyProtection="1">
      <alignment horizontal="center"/>
      <protection locked="0"/>
    </xf>
    <xf numFmtId="0" fontId="1" fillId="0" borderId="14" xfId="0" applyFont="1" applyBorder="1" applyAlignment="1">
      <alignment horizontal="center"/>
    </xf>
    <xf numFmtId="165" fontId="1" fillId="3" borderId="15" xfId="0" applyNumberFormat="1" applyFont="1" applyFill="1" applyBorder="1" applyAlignment="1" applyProtection="1">
      <alignment horizontal="center"/>
      <protection locked="0"/>
    </xf>
    <xf numFmtId="165" fontId="1" fillId="0" borderId="14" xfId="0" applyNumberFormat="1" applyFont="1" applyBorder="1" applyAlignment="1">
      <alignment horizontal="center"/>
    </xf>
    <xf numFmtId="165" fontId="1" fillId="4" borderId="16" xfId="0" applyNumberFormat="1" applyFont="1" applyFill="1" applyBorder="1" applyAlignment="1" applyProtection="1">
      <alignment horizontal="center"/>
      <protection locked="0"/>
    </xf>
    <xf numFmtId="165" fontId="12" fillId="6" borderId="9" xfId="0" applyNumberFormat="1" applyFont="1" applyFill="1" applyBorder="1" applyAlignment="1" applyProtection="1">
      <alignment horizontal="center"/>
      <protection locked="0"/>
    </xf>
    <xf numFmtId="165" fontId="12" fillId="6" borderId="10" xfId="0" applyNumberFormat="1" applyFont="1" applyFill="1" applyBorder="1" applyAlignment="1">
      <alignment horizontal="center"/>
    </xf>
    <xf numFmtId="165" fontId="0" fillId="6" borderId="9" xfId="0" applyNumberFormat="1" applyFill="1" applyBorder="1" applyAlignment="1" applyProtection="1">
      <alignment horizontal="center"/>
      <protection locked="0"/>
    </xf>
    <xf numFmtId="165" fontId="0" fillId="6" borderId="0" xfId="0" applyNumberFormat="1" applyFill="1" applyAlignment="1">
      <alignment horizontal="center"/>
    </xf>
    <xf numFmtId="0" fontId="0" fillId="6" borderId="0" xfId="0" applyFill="1"/>
    <xf numFmtId="165" fontId="1" fillId="6" borderId="9" xfId="0" applyNumberFormat="1" applyFont="1" applyFill="1" applyBorder="1" applyAlignment="1" applyProtection="1">
      <alignment horizontal="center"/>
      <protection locked="0"/>
    </xf>
    <xf numFmtId="165" fontId="0" fillId="6" borderId="2" xfId="0" applyNumberFormat="1" applyFill="1" applyBorder="1" applyAlignment="1" applyProtection="1">
      <alignment horizontal="center"/>
      <protection locked="0"/>
    </xf>
    <xf numFmtId="164" fontId="0" fillId="0" borderId="22" xfId="0" applyNumberFormat="1" applyBorder="1" applyAlignment="1">
      <alignment horizontal="center"/>
    </xf>
    <xf numFmtId="165" fontId="1" fillId="3" borderId="14" xfId="0" applyNumberFormat="1" applyFont="1" applyFill="1" applyBorder="1" applyAlignment="1">
      <alignment horizontal="center"/>
    </xf>
    <xf numFmtId="39" fontId="0" fillId="0" borderId="14" xfId="1" applyNumberFormat="1" applyFont="1" applyBorder="1" applyAlignment="1">
      <alignment horizontal="center"/>
    </xf>
    <xf numFmtId="165" fontId="1" fillId="0" borderId="16" xfId="0" applyNumberFormat="1" applyFont="1" applyBorder="1" applyAlignment="1" applyProtection="1">
      <alignment horizontal="center"/>
      <protection locked="0"/>
    </xf>
    <xf numFmtId="0" fontId="0" fillId="0" borderId="24" xfId="0" applyBorder="1" applyAlignment="1">
      <alignment horizontal="center"/>
    </xf>
    <xf numFmtId="39" fontId="0" fillId="0" borderId="24" xfId="1" applyNumberFormat="1" applyFont="1" applyBorder="1" applyAlignment="1">
      <alignment horizontal="center"/>
    </xf>
    <xf numFmtId="3" fontId="2" fillId="0" borderId="24" xfId="0" applyNumberFormat="1" applyFont="1" applyBorder="1" applyAlignment="1">
      <alignment horizontal="center"/>
    </xf>
    <xf numFmtId="0" fontId="0" fillId="0" borderId="24" xfId="0" applyBorder="1"/>
    <xf numFmtId="39" fontId="2" fillId="0" borderId="24" xfId="1" applyNumberFormat="1" applyFont="1" applyBorder="1" applyAlignment="1">
      <alignment horizontal="center"/>
    </xf>
    <xf numFmtId="165" fontId="11" fillId="5" borderId="24" xfId="0" quotePrefix="1" applyNumberFormat="1" applyFont="1" applyFill="1" applyBorder="1" applyAlignment="1">
      <alignment horizontal="center"/>
    </xf>
    <xf numFmtId="0" fontId="0" fillId="5" borderId="25" xfId="0" applyFill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165" fontId="0" fillId="6" borderId="0" xfId="0" applyNumberFormat="1" applyFill="1" applyAlignment="1">
      <alignment horizontal="center"/>
    </xf>
    <xf numFmtId="1" fontId="2" fillId="0" borderId="23" xfId="0" applyNumberFormat="1" applyFont="1" applyBorder="1" applyAlignment="1">
      <alignment horizontal="center"/>
    </xf>
    <xf numFmtId="0" fontId="0" fillId="0" borderId="24" xfId="0" applyBorder="1" applyAlignment="1">
      <alignment horizontal="center"/>
    </xf>
    <xf numFmtId="165" fontId="0" fillId="6" borderId="13" xfId="0" applyNumberFormat="1" applyFill="1" applyBorder="1" applyAlignment="1">
      <alignment horizontal="center"/>
    </xf>
    <xf numFmtId="165" fontId="0" fillId="5" borderId="13" xfId="0" applyNumberFormat="1" applyFill="1" applyBorder="1" applyAlignment="1">
      <alignment horizontal="center"/>
    </xf>
    <xf numFmtId="165" fontId="0" fillId="5" borderId="0" xfId="0" applyNumberFormat="1" applyFill="1" applyAlignment="1">
      <alignment horizontal="center"/>
    </xf>
    <xf numFmtId="165" fontId="0" fillId="3" borderId="17" xfId="0" applyNumberFormat="1" applyFill="1" applyBorder="1" applyAlignment="1">
      <alignment horizontal="center"/>
    </xf>
    <xf numFmtId="165" fontId="0" fillId="3" borderId="18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165" fontId="0" fillId="7" borderId="19" xfId="0" applyNumberFormat="1" applyFill="1" applyBorder="1" applyAlignment="1">
      <alignment horizontal="center"/>
    </xf>
    <xf numFmtId="165" fontId="0" fillId="7" borderId="20" xfId="0" applyNumberFormat="1" applyFill="1" applyBorder="1" applyAlignment="1">
      <alignment horizontal="center"/>
    </xf>
    <xf numFmtId="165" fontId="0" fillId="7" borderId="21" xfId="0" applyNumberFormat="1" applyFill="1" applyBorder="1" applyAlignment="1">
      <alignment horizontal="center"/>
    </xf>
    <xf numFmtId="165" fontId="0" fillId="5" borderId="19" xfId="0" applyNumberFormat="1" applyFill="1" applyBorder="1" applyAlignment="1">
      <alignment horizontal="center"/>
    </xf>
    <xf numFmtId="165" fontId="0" fillId="5" borderId="20" xfId="0" applyNumberFormat="1" applyFill="1" applyBorder="1" applyAlignment="1">
      <alignment horizontal="center"/>
    </xf>
    <xf numFmtId="165" fontId="0" fillId="7" borderId="13" xfId="0" applyNumberFormat="1" applyFill="1" applyBorder="1" applyAlignment="1">
      <alignment horizontal="center"/>
    </xf>
    <xf numFmtId="165" fontId="0" fillId="7" borderId="0" xfId="0" applyNumberFormat="1" applyFill="1" applyAlignment="1">
      <alignment horizontal="center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nfp3\fslan\Users\Joe.ElKhoury\AppData\Local\Microsoft\Windows\INetCache\Content.Outlook\SR778SAZ\Diesel%20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Diesel Reading Mac"/>
    </sheetNames>
    <sheetDataSet>
      <sheetData sheetId="0">
        <row r="6">
          <cell r="C6">
            <v>2.84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workbookViewId="0">
      <selection activeCell="G2" sqref="G2"/>
    </sheetView>
  </sheetViews>
  <sheetFormatPr defaultColWidth="9.140625" defaultRowHeight="12.75" x14ac:dyDescent="0.2"/>
  <cols>
    <col min="1" max="1" width="12.7109375" style="24" bestFit="1" customWidth="1"/>
    <col min="2" max="4" width="9.140625" style="24"/>
    <col min="5" max="5" width="14.28515625" style="24" customWidth="1"/>
    <col min="6" max="6" width="12.140625" style="24" customWidth="1"/>
    <col min="7" max="7" width="9.140625" style="24"/>
    <col min="8" max="8" width="19.28515625" style="24" customWidth="1"/>
    <col min="9" max="9" width="13.5703125" style="24" customWidth="1"/>
    <col min="10" max="10" width="11.28515625" style="24" customWidth="1"/>
    <col min="11" max="16384" width="9.140625" style="24"/>
  </cols>
  <sheetData>
    <row r="1" spans="1:12" ht="60" x14ac:dyDescent="0.2">
      <c r="A1" s="19" t="s">
        <v>0</v>
      </c>
      <c r="B1" s="19" t="s">
        <v>1</v>
      </c>
      <c r="C1" s="20" t="s">
        <v>2</v>
      </c>
      <c r="D1" s="19" t="s">
        <v>3</v>
      </c>
      <c r="E1" s="21" t="s">
        <v>4</v>
      </c>
      <c r="F1" s="22" t="s">
        <v>5</v>
      </c>
      <c r="G1" s="21" t="s">
        <v>60</v>
      </c>
      <c r="H1" s="22" t="s">
        <v>6</v>
      </c>
      <c r="I1" s="21" t="s">
        <v>7</v>
      </c>
      <c r="J1" s="23" t="s">
        <v>8</v>
      </c>
      <c r="K1" s="21" t="s">
        <v>9</v>
      </c>
      <c r="L1" s="21" t="s">
        <v>10</v>
      </c>
    </row>
    <row r="2" spans="1:12" ht="15" x14ac:dyDescent="0.25">
      <c r="A2" s="25" t="s">
        <v>11</v>
      </c>
      <c r="B2" s="26">
        <v>1</v>
      </c>
      <c r="C2" s="27">
        <v>3</v>
      </c>
      <c r="D2" s="26">
        <v>2022</v>
      </c>
      <c r="E2" s="28">
        <f>'B16'!I4+'B16 ext'!I4+'B17'!I4</f>
        <v>20090</v>
      </c>
      <c r="F2" s="30">
        <f>('B16'!J4+'B16 ext'!J4+'B17'!J4)/TOTAL!E2</f>
        <v>0.24706426082628172</v>
      </c>
      <c r="G2" s="28">
        <f>'Diesel Reading '!H4</f>
        <v>0</v>
      </c>
      <c r="H2" s="29" t="e">
        <f>'Diesel Reading '!I4/'Diesel Reading '!H4</f>
        <v>#DIV/0!</v>
      </c>
      <c r="I2" s="28">
        <f>'Water Reading'!H4</f>
        <v>1163</v>
      </c>
      <c r="J2" s="30">
        <f>'Water Reading'!I4/'Water Reading'!H4</f>
        <v>1.35</v>
      </c>
      <c r="K2" s="28">
        <v>18</v>
      </c>
      <c r="L2" s="28"/>
    </row>
    <row r="3" spans="1:12" ht="15" x14ac:dyDescent="0.25">
      <c r="A3" s="25" t="s">
        <v>11</v>
      </c>
      <c r="B3" s="26">
        <f>B2+1</f>
        <v>2</v>
      </c>
      <c r="C3" s="27">
        <v>3</v>
      </c>
      <c r="D3" s="26">
        <v>2022</v>
      </c>
      <c r="E3" s="28">
        <f>'B16'!I5+'B16 ext'!I5+'B17'!I5</f>
        <v>20259</v>
      </c>
      <c r="F3" s="30">
        <f>('B16'!J5+'B16 ext'!J5+'B17'!J5)/TOTAL!E3</f>
        <v>0.24775640456093589</v>
      </c>
      <c r="G3" s="28">
        <f>'Diesel Reading '!H5</f>
        <v>222.29999999981374</v>
      </c>
      <c r="H3" s="29">
        <f>'Diesel Reading '!I5/'Diesel Reading '!H5</f>
        <v>2.84</v>
      </c>
      <c r="I3" s="28">
        <f>'Water Reading'!H5</f>
        <v>1195</v>
      </c>
      <c r="J3" s="30">
        <f>'Water Reading'!I5/'Water Reading'!H5</f>
        <v>1.35</v>
      </c>
      <c r="K3" s="28">
        <v>18</v>
      </c>
      <c r="L3" s="28"/>
    </row>
    <row r="4" spans="1:12" ht="15" x14ac:dyDescent="0.25">
      <c r="A4" s="25" t="s">
        <v>11</v>
      </c>
      <c r="B4" s="26">
        <f t="shared" ref="B4:B31" si="0">B3+1</f>
        <v>3</v>
      </c>
      <c r="C4" s="27">
        <v>3</v>
      </c>
      <c r="D4" s="26">
        <v>2022</v>
      </c>
      <c r="E4" s="28">
        <f>'B16'!I6+'B16 ext'!I6+'B17'!I6</f>
        <v>19571</v>
      </c>
      <c r="F4" s="30">
        <f>('B16'!J6+'B16 ext'!J6+'B17'!J6)/TOTAL!E4</f>
        <v>0.24188942823565479</v>
      </c>
      <c r="G4" s="28">
        <f>'Diesel Reading '!H6</f>
        <v>0</v>
      </c>
      <c r="H4" s="29" t="e">
        <f>'Diesel Reading '!I6/'Diesel Reading '!H6</f>
        <v>#DIV/0!</v>
      </c>
      <c r="I4" s="28">
        <f>'Water Reading'!H6</f>
        <v>1226</v>
      </c>
      <c r="J4" s="30">
        <f>'Water Reading'!I6/'Water Reading'!H6</f>
        <v>1.35</v>
      </c>
      <c r="K4" s="28">
        <v>22</v>
      </c>
      <c r="L4" s="28"/>
    </row>
    <row r="5" spans="1:12" ht="15" x14ac:dyDescent="0.25">
      <c r="A5" s="25" t="s">
        <v>11</v>
      </c>
      <c r="B5" s="26">
        <f t="shared" si="0"/>
        <v>4</v>
      </c>
      <c r="C5" s="27">
        <v>3</v>
      </c>
      <c r="D5" s="26">
        <v>2022</v>
      </c>
      <c r="E5" s="28">
        <f>'B16'!I7+'B16 ext'!I7+'B17'!I7</f>
        <v>20056</v>
      </c>
      <c r="F5" s="30">
        <f>('B16'!J7+'B16 ext'!J7+'B17'!J7)/TOTAL!E5</f>
        <v>0.2536860789788592</v>
      </c>
      <c r="G5" s="28">
        <f>'Diesel Reading '!H7</f>
        <v>219.60000000009313</v>
      </c>
      <c r="H5" s="29">
        <f>'Diesel Reading '!I7/'Diesel Reading '!H7</f>
        <v>2.84</v>
      </c>
      <c r="I5" s="28">
        <f>'Water Reading'!H7</f>
        <v>1213</v>
      </c>
      <c r="J5" s="30">
        <f>'Water Reading'!I7/'Water Reading'!H7</f>
        <v>1.35</v>
      </c>
      <c r="K5" s="28">
        <v>31</v>
      </c>
      <c r="L5" s="28"/>
    </row>
    <row r="6" spans="1:12" ht="15" x14ac:dyDescent="0.25">
      <c r="A6" s="25" t="s">
        <v>11</v>
      </c>
      <c r="B6" s="26">
        <f t="shared" si="0"/>
        <v>5</v>
      </c>
      <c r="C6" s="27">
        <v>3</v>
      </c>
      <c r="D6" s="26">
        <v>2022</v>
      </c>
      <c r="E6" s="28">
        <f>'B16'!I8+'B16 ext'!I8+'B17'!I8</f>
        <v>18934</v>
      </c>
      <c r="F6" s="30">
        <f>('B16'!J8+'B16 ext'!J8+'B17'!J8)/TOTAL!E6</f>
        <v>0.24857489172916444</v>
      </c>
      <c r="G6" s="28">
        <f>'Diesel Reading '!H8</f>
        <v>0</v>
      </c>
      <c r="H6" s="29" t="e">
        <f>'Diesel Reading '!I8/'Diesel Reading '!H8</f>
        <v>#DIV/0!</v>
      </c>
      <c r="I6" s="28">
        <f>'Water Reading'!H8</f>
        <v>1134</v>
      </c>
      <c r="J6" s="30">
        <f>'Water Reading'!I8/'Water Reading'!H8</f>
        <v>1.35</v>
      </c>
      <c r="K6" s="28">
        <v>31</v>
      </c>
      <c r="L6" s="28"/>
    </row>
    <row r="7" spans="1:12" ht="15" x14ac:dyDescent="0.25">
      <c r="A7" s="25" t="s">
        <v>11</v>
      </c>
      <c r="B7" s="26">
        <f t="shared" si="0"/>
        <v>6</v>
      </c>
      <c r="C7" s="27">
        <v>3</v>
      </c>
      <c r="D7" s="26">
        <v>2022</v>
      </c>
      <c r="E7" s="28">
        <f>'B16'!I9+'B16 ext'!I9+'B17'!I9</f>
        <v>19074</v>
      </c>
      <c r="F7" s="30">
        <f>('B16'!J9+'B16 ext'!J9+'B17'!J9)/TOTAL!E7</f>
        <v>0.24785750235923246</v>
      </c>
      <c r="G7" s="28">
        <f>'Diesel Reading '!H9</f>
        <v>0</v>
      </c>
      <c r="H7" s="29" t="e">
        <f>'Diesel Reading '!I9/'Diesel Reading '!H9</f>
        <v>#DIV/0!</v>
      </c>
      <c r="I7" s="28">
        <f>'Water Reading'!H9</f>
        <v>1126</v>
      </c>
      <c r="J7" s="30">
        <f>'Water Reading'!I9/'Water Reading'!H9</f>
        <v>1.35</v>
      </c>
      <c r="K7" s="28">
        <v>27</v>
      </c>
      <c r="L7" s="28"/>
    </row>
    <row r="8" spans="1:12" ht="15" x14ac:dyDescent="0.25">
      <c r="A8" s="25" t="s">
        <v>11</v>
      </c>
      <c r="B8" s="26">
        <f t="shared" si="0"/>
        <v>7</v>
      </c>
      <c r="C8" s="27">
        <v>3</v>
      </c>
      <c r="D8" s="26">
        <v>2022</v>
      </c>
      <c r="E8" s="28">
        <f>'B16'!I10+'B16 ext'!I10+'B17'!I10</f>
        <v>19064</v>
      </c>
      <c r="F8" s="30">
        <f>('B16'!J10+'B16 ext'!J10+'B17'!J10)/TOTAL!E8</f>
        <v>0.24816250524548888</v>
      </c>
      <c r="G8" s="28">
        <f>'Diesel Reading '!H11</f>
        <v>0</v>
      </c>
      <c r="H8" s="29" t="e">
        <f>'Diesel Reading '!I11/'Diesel Reading '!H11</f>
        <v>#DIV/0!</v>
      </c>
      <c r="I8" s="28">
        <f>'Water Reading'!H10</f>
        <v>1104</v>
      </c>
      <c r="J8" s="30">
        <f>'Water Reading'!I10/'Water Reading'!H10</f>
        <v>1.35</v>
      </c>
      <c r="K8" s="28">
        <v>27</v>
      </c>
      <c r="L8" s="28"/>
    </row>
    <row r="9" spans="1:12" ht="15" x14ac:dyDescent="0.25">
      <c r="A9" s="25" t="s">
        <v>11</v>
      </c>
      <c r="B9" s="26">
        <f t="shared" si="0"/>
        <v>8</v>
      </c>
      <c r="C9" s="27">
        <v>3</v>
      </c>
      <c r="D9" s="26">
        <v>2022</v>
      </c>
      <c r="E9" s="28">
        <f>'B16'!I11+'B16 ext'!I11+'B17'!I11</f>
        <v>19270</v>
      </c>
      <c r="F9" s="30">
        <f>('B16'!J11+'B16 ext'!J11+'B17'!J11)/TOTAL!E9</f>
        <v>0.24734416190970421</v>
      </c>
      <c r="G9" s="28">
        <f>'Diesel Reading '!H12</f>
        <v>162.5</v>
      </c>
      <c r="H9" s="29">
        <f>'Diesel Reading '!I12/'Diesel Reading '!H12</f>
        <v>2.84</v>
      </c>
      <c r="I9" s="28">
        <f>'Water Reading'!H11</f>
        <v>1022</v>
      </c>
      <c r="J9" s="30">
        <f>'Water Reading'!I11/'Water Reading'!H11</f>
        <v>1.35</v>
      </c>
      <c r="K9" s="28">
        <v>25</v>
      </c>
      <c r="L9" s="28"/>
    </row>
    <row r="10" spans="1:12" ht="15" x14ac:dyDescent="0.25">
      <c r="A10" s="25" t="s">
        <v>11</v>
      </c>
      <c r="B10" s="26">
        <f t="shared" si="0"/>
        <v>9</v>
      </c>
      <c r="C10" s="27">
        <v>3</v>
      </c>
      <c r="D10" s="26">
        <v>2022</v>
      </c>
      <c r="E10" s="28">
        <f>'B16'!I12+'B16 ext'!I12+'B17'!I12</f>
        <v>21042</v>
      </c>
      <c r="F10" s="30">
        <f>('B16'!J12+'B16 ext'!J12+'B17'!J12)/TOTAL!E10</f>
        <v>0.24698032506415735</v>
      </c>
      <c r="G10" s="28">
        <f>'Diesel Reading '!H13</f>
        <v>0</v>
      </c>
      <c r="H10" s="29" t="e">
        <f>'Diesel Reading '!I13/'Diesel Reading '!H13</f>
        <v>#DIV/0!</v>
      </c>
      <c r="I10" s="28">
        <f>'Water Reading'!H12</f>
        <v>1349</v>
      </c>
      <c r="J10" s="30">
        <f>'Water Reading'!I12/'Water Reading'!H12</f>
        <v>1.35</v>
      </c>
      <c r="K10" s="28">
        <v>22</v>
      </c>
      <c r="L10" s="28"/>
    </row>
    <row r="11" spans="1:12" ht="15" x14ac:dyDescent="0.25">
      <c r="A11" s="25" t="s">
        <v>11</v>
      </c>
      <c r="B11" s="26">
        <f t="shared" si="0"/>
        <v>10</v>
      </c>
      <c r="C11" s="27">
        <v>3</v>
      </c>
      <c r="D11" s="26">
        <v>2022</v>
      </c>
      <c r="E11" s="28">
        <f>'B16'!I13+'B16 ext'!I13+'B17'!I13</f>
        <v>20903</v>
      </c>
      <c r="F11" s="30">
        <f>('B16'!J13+'B16 ext'!J13+'B17'!J13)/TOTAL!E11</f>
        <v>0.24839621107018131</v>
      </c>
      <c r="G11" s="28">
        <f>'Diesel Reading '!H14</f>
        <v>187.19999999995343</v>
      </c>
      <c r="H11" s="29">
        <f>'Diesel Reading '!I14/'Diesel Reading '!H14</f>
        <v>2.84</v>
      </c>
      <c r="I11" s="28">
        <f>'Water Reading'!H13</f>
        <v>1239</v>
      </c>
      <c r="J11" s="30">
        <f>'Water Reading'!I13/'Water Reading'!H13</f>
        <v>1.35</v>
      </c>
      <c r="K11" s="28">
        <v>26</v>
      </c>
      <c r="L11" s="28"/>
    </row>
    <row r="12" spans="1:12" ht="15" x14ac:dyDescent="0.25">
      <c r="A12" s="25" t="s">
        <v>11</v>
      </c>
      <c r="B12" s="26">
        <f t="shared" si="0"/>
        <v>11</v>
      </c>
      <c r="C12" s="27">
        <v>3</v>
      </c>
      <c r="D12" s="26">
        <v>2022</v>
      </c>
      <c r="E12" s="28">
        <f>'B16'!I14+'B16 ext'!I14+'B17'!I14</f>
        <v>21169</v>
      </c>
      <c r="F12" s="30">
        <f>('B16'!J14+'B16 ext'!J14+'B17'!J14)/TOTAL!E12</f>
        <v>0.24775601114837731</v>
      </c>
      <c r="G12" s="28">
        <f>'Diesel Reading '!H15</f>
        <v>152.19999999995343</v>
      </c>
      <c r="H12" s="29">
        <f>'Diesel Reading '!I15/'Diesel Reading '!H15</f>
        <v>2.84</v>
      </c>
      <c r="I12" s="28">
        <f>'Water Reading'!H14</f>
        <v>1162</v>
      </c>
      <c r="J12" s="30">
        <f>'Water Reading'!I14/'Water Reading'!H14</f>
        <v>1.35</v>
      </c>
      <c r="K12" s="28">
        <v>28</v>
      </c>
      <c r="L12" s="28"/>
    </row>
    <row r="13" spans="1:12" ht="15" x14ac:dyDescent="0.25">
      <c r="A13" s="25" t="s">
        <v>11</v>
      </c>
      <c r="B13" s="26">
        <f t="shared" si="0"/>
        <v>12</v>
      </c>
      <c r="C13" s="27">
        <v>3</v>
      </c>
      <c r="D13" s="26">
        <v>2022</v>
      </c>
      <c r="E13" s="28">
        <f>'B16'!I15+'B16 ext'!I15+'B17'!I15</f>
        <v>21734</v>
      </c>
      <c r="F13" s="30">
        <f>('B16'!J15+'B16 ext'!J15+'B17'!J15)/TOTAL!E13</f>
        <v>0.24588087788718135</v>
      </c>
      <c r="G13" s="28">
        <f>'Diesel Reading '!H16</f>
        <v>0</v>
      </c>
      <c r="H13" s="29" t="e">
        <f>'Diesel Reading '!I16/'Diesel Reading '!H16</f>
        <v>#DIV/0!</v>
      </c>
      <c r="I13" s="28">
        <f>'Water Reading'!H15</f>
        <v>1287</v>
      </c>
      <c r="J13" s="30">
        <f>'Water Reading'!I15/'Water Reading'!H15</f>
        <v>1.35</v>
      </c>
      <c r="K13" s="28">
        <v>38</v>
      </c>
      <c r="L13" s="28"/>
    </row>
    <row r="14" spans="1:12" ht="15" x14ac:dyDescent="0.25">
      <c r="A14" s="25" t="s">
        <v>11</v>
      </c>
      <c r="B14" s="26">
        <f t="shared" si="0"/>
        <v>13</v>
      </c>
      <c r="C14" s="27">
        <v>3</v>
      </c>
      <c r="D14" s="26">
        <v>2022</v>
      </c>
      <c r="E14" s="28">
        <f>'B16'!I16+'B16 ext'!I16+'B17'!I16</f>
        <v>20846</v>
      </c>
      <c r="F14" s="30">
        <f>('B16'!J16+'B16 ext'!J16+'B17'!J16)/TOTAL!E14</f>
        <v>0.24914520771371004</v>
      </c>
      <c r="G14" s="28">
        <f>'Diesel Reading '!H17</f>
        <v>37</v>
      </c>
      <c r="H14" s="29">
        <f>'Diesel Reading '!I17/'Diesel Reading '!H17</f>
        <v>2.84</v>
      </c>
      <c r="I14" s="28">
        <f>'Water Reading'!H16</f>
        <v>1211</v>
      </c>
      <c r="J14" s="30">
        <f>'Water Reading'!I16/'Water Reading'!H16</f>
        <v>1.35</v>
      </c>
      <c r="K14" s="28">
        <v>46</v>
      </c>
      <c r="L14" s="28"/>
    </row>
    <row r="15" spans="1:12" ht="15" x14ac:dyDescent="0.25">
      <c r="A15" s="25" t="s">
        <v>11</v>
      </c>
      <c r="B15" s="26">
        <f t="shared" si="0"/>
        <v>14</v>
      </c>
      <c r="C15" s="27">
        <v>3</v>
      </c>
      <c r="D15" s="26">
        <v>2022</v>
      </c>
      <c r="E15" s="28">
        <f>'B16'!I17+'B16 ext'!I17+'B17'!I17</f>
        <v>19604</v>
      </c>
      <c r="F15" s="30">
        <f>('B16'!J17+'B16 ext'!J17+'B17'!J17)/TOTAL!E15</f>
        <v>0.24179152213833913</v>
      </c>
      <c r="G15" s="28">
        <f>'Diesel Reading '!H18</f>
        <v>188.60000000009313</v>
      </c>
      <c r="H15" s="29">
        <f>'Diesel Reading '!I18/'Diesel Reading '!H18</f>
        <v>2.84</v>
      </c>
      <c r="I15" s="28">
        <f>'Water Reading'!H17</f>
        <v>1199</v>
      </c>
      <c r="J15" s="30">
        <f>'Water Reading'!I17/'Water Reading'!H17</f>
        <v>1.35</v>
      </c>
      <c r="K15" s="28">
        <v>32</v>
      </c>
      <c r="L15" s="28"/>
    </row>
    <row r="16" spans="1:12" ht="15" x14ac:dyDescent="0.25">
      <c r="A16" s="25" t="s">
        <v>11</v>
      </c>
      <c r="B16" s="26">
        <f t="shared" si="0"/>
        <v>15</v>
      </c>
      <c r="C16" s="27">
        <v>3</v>
      </c>
      <c r="D16" s="26">
        <v>2022</v>
      </c>
      <c r="E16" s="28">
        <f>'B16'!I18+'B16 ext'!I18+'B17'!I18</f>
        <v>24174</v>
      </c>
      <c r="F16" s="30">
        <f>('B16'!J18+'B16 ext'!J18+'B17'!J18)/TOTAL!E16</f>
        <v>0.25085765698684537</v>
      </c>
      <c r="G16" s="28">
        <f>'Diesel Reading '!H19</f>
        <v>0</v>
      </c>
      <c r="H16" s="29" t="e">
        <f>'Diesel Reading '!I19/'Diesel Reading '!H19</f>
        <v>#DIV/0!</v>
      </c>
      <c r="I16" s="28">
        <f>'Water Reading'!H18</f>
        <v>1148</v>
      </c>
      <c r="J16" s="30">
        <f>'Water Reading'!I18/'Water Reading'!H18</f>
        <v>1.35</v>
      </c>
      <c r="K16" s="28">
        <v>25</v>
      </c>
      <c r="L16" s="28"/>
    </row>
    <row r="17" spans="1:12" ht="15" x14ac:dyDescent="0.25">
      <c r="A17" s="25" t="s">
        <v>11</v>
      </c>
      <c r="B17" s="26">
        <f t="shared" si="0"/>
        <v>16</v>
      </c>
      <c r="C17" s="27">
        <v>3</v>
      </c>
      <c r="D17" s="26">
        <v>2022</v>
      </c>
      <c r="E17" s="28">
        <f>'B16'!I19+'B16 ext'!I19+'B17'!I19</f>
        <v>21433</v>
      </c>
      <c r="F17" s="30">
        <f>('B16'!J19+'B16 ext'!J19+'B17'!J19)/TOTAL!E17</f>
        <v>0.24886800727849576</v>
      </c>
      <c r="G17" s="28">
        <f>'Diesel Reading '!H20</f>
        <v>210.5</v>
      </c>
      <c r="H17" s="29">
        <f>'Diesel Reading '!I20/'Diesel Reading '!H20</f>
        <v>2.84</v>
      </c>
      <c r="I17" s="28">
        <f>'Water Reading'!H19</f>
        <v>1170</v>
      </c>
      <c r="J17" s="30">
        <f>'Water Reading'!I19/'Water Reading'!H19</f>
        <v>1.35</v>
      </c>
      <c r="K17" s="28">
        <v>29</v>
      </c>
      <c r="L17" s="28"/>
    </row>
    <row r="18" spans="1:12" ht="15" x14ac:dyDescent="0.25">
      <c r="A18" s="25" t="s">
        <v>11</v>
      </c>
      <c r="B18" s="26">
        <f t="shared" si="0"/>
        <v>17</v>
      </c>
      <c r="C18" s="27">
        <v>3</v>
      </c>
      <c r="D18" s="26">
        <v>2022</v>
      </c>
      <c r="E18" s="28">
        <f>'B16'!I20+'B16 ext'!I20+'B17'!I20</f>
        <v>22041</v>
      </c>
      <c r="F18" s="30">
        <f>('B16'!J20+'B16 ext'!J20+'B17'!J20)/TOTAL!E18</f>
        <v>0.24494664488907036</v>
      </c>
      <c r="G18" s="28">
        <f>'Diesel Reading '!H21</f>
        <v>0</v>
      </c>
      <c r="H18" s="29" t="e">
        <f>'Diesel Reading '!I21/'Diesel Reading '!H21</f>
        <v>#DIV/0!</v>
      </c>
      <c r="I18" s="28">
        <f>'Water Reading'!H20</f>
        <v>1189</v>
      </c>
      <c r="J18" s="30">
        <f>'Water Reading'!I20/'Water Reading'!H20</f>
        <v>1.35</v>
      </c>
      <c r="K18" s="28">
        <v>35</v>
      </c>
      <c r="L18" s="28"/>
    </row>
    <row r="19" spans="1:12" ht="15" x14ac:dyDescent="0.25">
      <c r="A19" s="25" t="s">
        <v>11</v>
      </c>
      <c r="B19" s="26">
        <f t="shared" si="0"/>
        <v>18</v>
      </c>
      <c r="C19" s="27">
        <v>3</v>
      </c>
      <c r="D19" s="26">
        <v>2022</v>
      </c>
      <c r="E19" s="28">
        <f>'B16'!I21+'B16 ext'!I21+'B17'!I21</f>
        <v>22958</v>
      </c>
      <c r="F19" s="30">
        <f>('B16'!J21+'B16 ext'!J21+'B17'!J21)/TOTAL!E19</f>
        <v>0.24944154543078667</v>
      </c>
      <c r="G19" s="28">
        <f>'Diesel Reading '!H22</f>
        <v>352.39999999990687</v>
      </c>
      <c r="H19" s="29">
        <f>'Diesel Reading '!I22/'Diesel Reading '!H22</f>
        <v>2.84</v>
      </c>
      <c r="I19" s="28">
        <f>'Water Reading'!H21</f>
        <v>1308</v>
      </c>
      <c r="J19" s="30">
        <f>'Water Reading'!I21/'Water Reading'!H21</f>
        <v>1.35</v>
      </c>
      <c r="K19" s="28">
        <v>50</v>
      </c>
      <c r="L19" s="28"/>
    </row>
    <row r="20" spans="1:12" ht="15" x14ac:dyDescent="0.25">
      <c r="A20" s="25" t="s">
        <v>11</v>
      </c>
      <c r="B20" s="26">
        <f t="shared" si="0"/>
        <v>19</v>
      </c>
      <c r="C20" s="27">
        <v>3</v>
      </c>
      <c r="D20" s="26">
        <v>2022</v>
      </c>
      <c r="E20" s="28">
        <f>'B16'!I22+'B16 ext'!I22+'B17'!I22</f>
        <v>22124</v>
      </c>
      <c r="F20" s="30">
        <f>('B16'!J22+'B16 ext'!J22+'B17'!J22)/TOTAL!E20</f>
        <v>0.2495433465919363</v>
      </c>
      <c r="G20" s="28">
        <f>'Diesel Reading '!H23</f>
        <v>172.4000000001397</v>
      </c>
      <c r="H20" s="29">
        <f>'Diesel Reading '!I23/'Diesel Reading '!H23</f>
        <v>2.84</v>
      </c>
      <c r="I20" s="28">
        <f>'Water Reading'!H22</f>
        <v>1265</v>
      </c>
      <c r="J20" s="30">
        <f>'Water Reading'!I22/'Water Reading'!H22</f>
        <v>1.35</v>
      </c>
      <c r="K20" s="28">
        <v>56</v>
      </c>
      <c r="L20" s="28"/>
    </row>
    <row r="21" spans="1:12" ht="15" x14ac:dyDescent="0.25">
      <c r="A21" s="25" t="s">
        <v>11</v>
      </c>
      <c r="B21" s="26">
        <f t="shared" si="0"/>
        <v>20</v>
      </c>
      <c r="C21" s="27">
        <v>3</v>
      </c>
      <c r="D21" s="26">
        <v>2022</v>
      </c>
      <c r="E21" s="28">
        <f>'B16'!I23+'B16 ext'!I23+'B17'!I23</f>
        <v>21044</v>
      </c>
      <c r="F21" s="30">
        <f>('B16'!J23+'B16 ext'!J23+'B17'!J23)/TOTAL!E21</f>
        <v>0.2481235506557688</v>
      </c>
      <c r="G21" s="28">
        <f>'Diesel Reading '!H24</f>
        <v>0</v>
      </c>
      <c r="H21" s="29" t="e">
        <f>'Diesel Reading '!I24/'Diesel Reading '!H24</f>
        <v>#DIV/0!</v>
      </c>
      <c r="I21" s="28">
        <f>'Water Reading'!H23</f>
        <v>1247</v>
      </c>
      <c r="J21" s="30">
        <f>'Water Reading'!I23/'Water Reading'!H23</f>
        <v>1.35</v>
      </c>
      <c r="K21" s="28">
        <v>43</v>
      </c>
      <c r="L21" s="28"/>
    </row>
    <row r="22" spans="1:12" ht="15" x14ac:dyDescent="0.25">
      <c r="A22" s="25" t="s">
        <v>11</v>
      </c>
      <c r="B22" s="26">
        <f t="shared" si="0"/>
        <v>21</v>
      </c>
      <c r="C22" s="27">
        <v>3</v>
      </c>
      <c r="D22" s="26">
        <v>2022</v>
      </c>
      <c r="E22" s="28">
        <f>'B16'!I24+'B16 ext'!I24+'B17'!I24</f>
        <v>20408</v>
      </c>
      <c r="F22" s="30">
        <f>('B16'!J24+'B16 ext'!J24+'B17'!J24)/TOTAL!E22</f>
        <v>0.24907820462563701</v>
      </c>
      <c r="G22" s="28">
        <f>'Diesel Reading '!H25</f>
        <v>155.5999999998603</v>
      </c>
      <c r="H22" s="29">
        <f>'Diesel Reading '!I25/'Diesel Reading '!H25</f>
        <v>2.84</v>
      </c>
      <c r="I22" s="28">
        <f>'Water Reading'!H24</f>
        <v>1239</v>
      </c>
      <c r="J22" s="30">
        <f>'Water Reading'!I24/'Water Reading'!H24</f>
        <v>1.35</v>
      </c>
      <c r="K22" s="28">
        <v>40</v>
      </c>
      <c r="L22" s="28"/>
    </row>
    <row r="23" spans="1:12" ht="15" x14ac:dyDescent="0.25">
      <c r="A23" s="25" t="s">
        <v>11</v>
      </c>
      <c r="B23" s="26">
        <f t="shared" si="0"/>
        <v>22</v>
      </c>
      <c r="C23" s="27">
        <v>3</v>
      </c>
      <c r="D23" s="26">
        <v>2022</v>
      </c>
      <c r="E23" s="28">
        <f>'B16'!I25+'B16 ext'!I25+'B17'!I25</f>
        <v>20405</v>
      </c>
      <c r="F23" s="30">
        <f>('B16'!J25+'B16 ext'!J25+'B17'!J25)/TOTAL!E23</f>
        <v>0.24813138936535159</v>
      </c>
      <c r="G23" s="28">
        <f>'Diesel Reading '!H26</f>
        <v>32.199999999953434</v>
      </c>
      <c r="H23" s="29">
        <f>'Diesel Reading '!I26/'Diesel Reading '!H26</f>
        <v>2.84</v>
      </c>
      <c r="I23" s="28">
        <f>'Water Reading'!H25</f>
        <v>1294</v>
      </c>
      <c r="J23" s="30">
        <f>'Water Reading'!I25/'Water Reading'!H25</f>
        <v>1.35</v>
      </c>
      <c r="K23" s="28">
        <v>23</v>
      </c>
      <c r="L23" s="28"/>
    </row>
    <row r="24" spans="1:12" ht="15" x14ac:dyDescent="0.25">
      <c r="A24" s="25" t="s">
        <v>11</v>
      </c>
      <c r="B24" s="26">
        <f t="shared" si="0"/>
        <v>23</v>
      </c>
      <c r="C24" s="27">
        <v>3</v>
      </c>
      <c r="D24" s="26">
        <v>2022</v>
      </c>
      <c r="E24" s="28">
        <f>'B16'!I26+'B16 ext'!I26+'B17'!I26</f>
        <v>21441</v>
      </c>
      <c r="F24" s="30">
        <f>('B16'!J26+'B16 ext'!J26+'B17'!J26)/TOTAL!E24</f>
        <v>0.24662543724639707</v>
      </c>
      <c r="G24" s="28">
        <f>'Diesel Reading '!H27</f>
        <v>138.60000000009313</v>
      </c>
      <c r="H24" s="29">
        <f>'Diesel Reading '!I27/'Diesel Reading '!H27</f>
        <v>2.84</v>
      </c>
      <c r="I24" s="28">
        <f>'Water Reading'!H26</f>
        <v>1315</v>
      </c>
      <c r="J24" s="30">
        <f>'Water Reading'!I26/'Water Reading'!H26</f>
        <v>1.35</v>
      </c>
      <c r="K24" s="28">
        <v>30</v>
      </c>
      <c r="L24" s="28"/>
    </row>
    <row r="25" spans="1:12" ht="15" x14ac:dyDescent="0.25">
      <c r="A25" s="25" t="s">
        <v>11</v>
      </c>
      <c r="B25" s="26">
        <f t="shared" si="0"/>
        <v>24</v>
      </c>
      <c r="C25" s="27">
        <v>3</v>
      </c>
      <c r="D25" s="26">
        <v>2022</v>
      </c>
      <c r="E25" s="28">
        <f>'B16'!I27+'B16 ext'!I27+'B17'!I27</f>
        <v>21134</v>
      </c>
      <c r="F25" s="30">
        <f>('B16'!J27+'B16 ext'!J27+'B17'!J27)/TOTAL!E25</f>
        <v>0.24958540740039745</v>
      </c>
      <c r="G25" s="28">
        <f>'Diesel Reading '!H28</f>
        <v>365.5</v>
      </c>
      <c r="H25" s="29">
        <f>'Diesel Reading '!I28/'Diesel Reading '!H28</f>
        <v>2.84</v>
      </c>
      <c r="I25" s="28">
        <f>'Water Reading'!H27</f>
        <v>1357</v>
      </c>
      <c r="J25" s="30">
        <f>'Water Reading'!I27/'Water Reading'!H27</f>
        <v>1.35</v>
      </c>
      <c r="K25" s="28">
        <v>41</v>
      </c>
      <c r="L25" s="28"/>
    </row>
    <row r="26" spans="1:12" ht="15" x14ac:dyDescent="0.25">
      <c r="A26" s="25" t="s">
        <v>11</v>
      </c>
      <c r="B26" s="26">
        <f>B25+1</f>
        <v>25</v>
      </c>
      <c r="C26" s="27">
        <v>3</v>
      </c>
      <c r="D26" s="26">
        <v>2022</v>
      </c>
      <c r="E26" s="28">
        <f>'B16'!I28+'B16 ext'!I28+'B17'!I28</f>
        <v>22470</v>
      </c>
      <c r="F26" s="30">
        <f>('B16'!J28+'B16 ext'!J28+'B17'!J28)/TOTAL!E26</f>
        <v>0.24670720961281706</v>
      </c>
      <c r="G26" s="28">
        <f>'Diesel Reading '!H29</f>
        <v>370.60000000009313</v>
      </c>
      <c r="H26" s="29">
        <f>'Diesel Reading '!I29/'Diesel Reading '!H29</f>
        <v>2.8399999999999994</v>
      </c>
      <c r="I26" s="28">
        <f>'Water Reading'!H28</f>
        <v>1311</v>
      </c>
      <c r="J26" s="30">
        <f>'Water Reading'!I28/'Water Reading'!H28</f>
        <v>1.35</v>
      </c>
      <c r="K26" s="28">
        <v>40</v>
      </c>
      <c r="L26" s="28"/>
    </row>
    <row r="27" spans="1:12" ht="15" x14ac:dyDescent="0.25">
      <c r="A27" s="25" t="s">
        <v>11</v>
      </c>
      <c r="B27" s="26">
        <f t="shared" si="0"/>
        <v>26</v>
      </c>
      <c r="C27" s="27">
        <v>3</v>
      </c>
      <c r="D27" s="26">
        <v>2022</v>
      </c>
      <c r="E27" s="28">
        <f>'B16'!I29+'B16 ext'!I29+'B17'!I29</f>
        <v>21893</v>
      </c>
      <c r="F27" s="30">
        <f>('B16'!J29+'B16 ext'!J29+'B17'!J29)/TOTAL!E27</f>
        <v>0.24799173251724294</v>
      </c>
      <c r="G27" s="28">
        <f>'Diesel Reading '!H30</f>
        <v>0</v>
      </c>
      <c r="H27" s="29" t="e">
        <f>'Diesel Reading '!I30/'Diesel Reading '!H30</f>
        <v>#DIV/0!</v>
      </c>
      <c r="I27" s="28">
        <f>'Water Reading'!H29</f>
        <v>1291</v>
      </c>
      <c r="J27" s="30">
        <f>'Water Reading'!I29/'Water Reading'!H29</f>
        <v>1.35</v>
      </c>
      <c r="K27" s="28">
        <v>40</v>
      </c>
      <c r="L27" s="28"/>
    </row>
    <row r="28" spans="1:12" ht="15" x14ac:dyDescent="0.25">
      <c r="A28" s="25" t="s">
        <v>11</v>
      </c>
      <c r="B28" s="26">
        <f t="shared" si="0"/>
        <v>27</v>
      </c>
      <c r="C28" s="27">
        <v>3</v>
      </c>
      <c r="D28" s="26">
        <v>2022</v>
      </c>
      <c r="E28" s="28">
        <f>'B16'!I30+'B16 ext'!I30+'B17'!I30</f>
        <v>22095</v>
      </c>
      <c r="F28" s="30">
        <f>('B16'!J30+'B16 ext'!J30+'B17'!J30)/TOTAL!E28</f>
        <v>0.24866897488119485</v>
      </c>
      <c r="G28" s="28">
        <f>'Diesel Reading '!H31</f>
        <v>280.89999999990687</v>
      </c>
      <c r="H28" s="29">
        <f>'Diesel Reading '!I31/'Diesel Reading '!H31</f>
        <v>2.84</v>
      </c>
      <c r="I28" s="28">
        <f>'Water Reading'!H30</f>
        <v>1102</v>
      </c>
      <c r="J28" s="30">
        <f>'Water Reading'!I30/'Water Reading'!H30</f>
        <v>1.35</v>
      </c>
      <c r="K28" s="28">
        <v>29</v>
      </c>
      <c r="L28" s="28"/>
    </row>
    <row r="29" spans="1:12" ht="15" x14ac:dyDescent="0.25">
      <c r="A29" s="25" t="s">
        <v>11</v>
      </c>
      <c r="B29" s="26">
        <f t="shared" si="0"/>
        <v>28</v>
      </c>
      <c r="C29" s="27">
        <v>3</v>
      </c>
      <c r="D29" s="26">
        <v>2022</v>
      </c>
      <c r="E29" s="28">
        <f>'B16'!I31+'B16 ext'!I31+'B17'!I31</f>
        <v>22769</v>
      </c>
      <c r="F29" s="30">
        <f>('B16'!J31+'B16 ext'!J31+'B17'!J31)/TOTAL!E29</f>
        <v>0.24720558654310684</v>
      </c>
      <c r="G29" s="28">
        <f>'Diesel Reading '!H32</f>
        <v>0</v>
      </c>
      <c r="H29" s="29" t="e">
        <f>'Diesel Reading '!I32/'Diesel Reading '!H32</f>
        <v>#DIV/0!</v>
      </c>
      <c r="I29" s="28">
        <f>'Water Reading'!H31</f>
        <v>890</v>
      </c>
      <c r="J29" s="30">
        <f>'Water Reading'!I31/'Water Reading'!H31</f>
        <v>1.35</v>
      </c>
      <c r="K29" s="28">
        <v>31</v>
      </c>
      <c r="L29" s="28"/>
    </row>
    <row r="30" spans="1:12" ht="15" x14ac:dyDescent="0.25">
      <c r="A30" s="25" t="s">
        <v>11</v>
      </c>
      <c r="B30" s="26">
        <f t="shared" si="0"/>
        <v>29</v>
      </c>
      <c r="C30" s="27">
        <v>3</v>
      </c>
      <c r="D30" s="26">
        <v>2022</v>
      </c>
      <c r="E30" s="28">
        <f>'B16'!I32+'B16 ext'!I32+'B17'!I32</f>
        <v>21144</v>
      </c>
      <c r="F30" s="30">
        <f>('B16'!J32+'B16 ext'!J32+'B17'!J32)/TOTAL!E30</f>
        <v>0.24831214528944381</v>
      </c>
      <c r="G30" s="28">
        <f>'Diesel Reading '!H33</f>
        <v>346.4000000001397</v>
      </c>
      <c r="H30" s="29">
        <f>'Diesel Reading '!I33/'Diesel Reading '!H33</f>
        <v>2.84</v>
      </c>
      <c r="I30" s="28">
        <f>'Water Reading'!H32</f>
        <v>839</v>
      </c>
      <c r="J30" s="30">
        <f>'Water Reading'!I32/'Water Reading'!H32</f>
        <v>1.35</v>
      </c>
      <c r="K30" s="28">
        <v>25</v>
      </c>
      <c r="L30" s="28"/>
    </row>
    <row r="31" spans="1:12" ht="15" x14ac:dyDescent="0.25">
      <c r="A31" s="25" t="s">
        <v>11</v>
      </c>
      <c r="B31" s="26">
        <f t="shared" si="0"/>
        <v>30</v>
      </c>
      <c r="C31" s="27">
        <v>3</v>
      </c>
      <c r="D31" s="26">
        <v>2022</v>
      </c>
      <c r="E31" s="28">
        <f>'B16'!I33+'B16 ext'!I33+'B17'!I33</f>
        <v>0</v>
      </c>
      <c r="F31" s="30" t="e">
        <f>('B16'!J33+'B16 ext'!J33+'B17'!J33)/TOTAL!E31</f>
        <v>#DIV/0!</v>
      </c>
      <c r="G31" s="28">
        <f>'Diesel Reading '!H35</f>
        <v>0</v>
      </c>
      <c r="H31" s="29" t="e">
        <f>'Diesel Reading '!I35/'Diesel Reading '!H35</f>
        <v>#DIV/0!</v>
      </c>
      <c r="I31" s="28">
        <f>'Water Reading'!H33</f>
        <v>865</v>
      </c>
      <c r="J31" s="30">
        <f>'Water Reading'!I33/'Water Reading'!H33</f>
        <v>1.35</v>
      </c>
      <c r="K31" s="28">
        <v>25</v>
      </c>
      <c r="L31" s="28"/>
    </row>
    <row r="32" spans="1:12" ht="15" x14ac:dyDescent="0.25">
      <c r="A32" s="25" t="s">
        <v>11</v>
      </c>
      <c r="B32" s="26">
        <v>31</v>
      </c>
      <c r="C32" s="27">
        <v>3</v>
      </c>
      <c r="D32" s="26">
        <v>2022</v>
      </c>
      <c r="E32" s="28">
        <f>'B16'!I34+'B16 ext'!I34+'B17'!I34</f>
        <v>0</v>
      </c>
      <c r="F32" s="30" t="e">
        <f>('B16'!J34+'B16 ext'!J34+'B17'!J34)/TOTAL!E32</f>
        <v>#DIV/0!</v>
      </c>
      <c r="G32" s="28"/>
      <c r="H32" s="29">
        <f>'Diesel Reading '!I36/'Diesel Reading '!H36</f>
        <v>2.8399999999999994</v>
      </c>
      <c r="I32" s="28">
        <f>'Water Reading'!H34</f>
        <v>0</v>
      </c>
      <c r="J32" s="30" t="e">
        <f>'Water Reading'!I34/'Water Reading'!H34</f>
        <v>#DIV/0!</v>
      </c>
      <c r="K32" s="28">
        <v>28</v>
      </c>
      <c r="L32" s="2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39"/>
  <sheetViews>
    <sheetView topLeftCell="A6" zoomScaleNormal="100" workbookViewId="0">
      <selection activeCell="D34" sqref="D34"/>
    </sheetView>
  </sheetViews>
  <sheetFormatPr defaultRowHeight="12.75" x14ac:dyDescent="0.2"/>
  <cols>
    <col min="1" max="1" width="14" style="4" customWidth="1"/>
    <col min="2" max="2" width="20.28515625" style="1" bestFit="1" customWidth="1"/>
    <col min="3" max="3" width="18.85546875" style="1" bestFit="1" customWidth="1"/>
    <col min="4" max="4" width="20.28515625" style="1" bestFit="1" customWidth="1"/>
    <col min="5" max="5" width="18.85546875" style="1" customWidth="1"/>
    <col min="6" max="6" width="14.7109375" style="1" customWidth="1"/>
    <col min="7" max="7" width="11.28515625" customWidth="1"/>
    <col min="8" max="8" width="11.7109375" customWidth="1"/>
    <col min="9" max="9" width="19.140625" style="1" bestFit="1" customWidth="1"/>
    <col min="10" max="10" width="10.140625" style="14" bestFit="1" customWidth="1"/>
  </cols>
  <sheetData>
    <row r="1" spans="1:10" ht="18" x14ac:dyDescent="0.25">
      <c r="A1" s="6" t="s">
        <v>12</v>
      </c>
    </row>
    <row r="2" spans="1:10" ht="18" x14ac:dyDescent="0.25">
      <c r="A2" s="2"/>
      <c r="B2" s="7" t="s">
        <v>13</v>
      </c>
      <c r="C2" s="7" t="s">
        <v>14</v>
      </c>
      <c r="D2" s="7" t="s">
        <v>13</v>
      </c>
      <c r="E2" s="7" t="s">
        <v>14</v>
      </c>
      <c r="F2" s="7" t="s">
        <v>15</v>
      </c>
      <c r="G2" s="7" t="s">
        <v>16</v>
      </c>
      <c r="H2" s="7" t="s">
        <v>17</v>
      </c>
      <c r="I2" s="7" t="s">
        <v>18</v>
      </c>
      <c r="J2" s="15" t="s">
        <v>19</v>
      </c>
    </row>
    <row r="3" spans="1:10" x14ac:dyDescent="0.2">
      <c r="A3" s="3"/>
      <c r="B3" s="7" t="s">
        <v>20</v>
      </c>
      <c r="C3" s="7" t="s">
        <v>20</v>
      </c>
      <c r="D3" s="7" t="s">
        <v>21</v>
      </c>
      <c r="E3" s="7" t="s">
        <v>21</v>
      </c>
      <c r="F3" s="56" t="s">
        <v>20</v>
      </c>
      <c r="G3" s="7" t="s">
        <v>22</v>
      </c>
      <c r="H3" s="11"/>
      <c r="I3" s="7" t="s">
        <v>23</v>
      </c>
      <c r="J3" s="15" t="s">
        <v>24</v>
      </c>
    </row>
    <row r="4" spans="1:10" x14ac:dyDescent="0.2">
      <c r="A4" s="51">
        <v>44621</v>
      </c>
      <c r="B4" s="10">
        <v>5723</v>
      </c>
      <c r="C4" s="8">
        <f>IF(B5-B4 &lt; 0,0,B5-B4)</f>
        <v>5606</v>
      </c>
      <c r="D4" s="10">
        <v>5721</v>
      </c>
      <c r="E4" s="8">
        <f>IF(D5-D4 &lt; 0,0,D5-D4)</f>
        <v>3176</v>
      </c>
      <c r="F4" s="10">
        <v>467</v>
      </c>
      <c r="G4" s="60">
        <v>0.2</v>
      </c>
      <c r="H4" s="12" t="s">
        <v>25</v>
      </c>
      <c r="I4" s="8">
        <f>+E4+C4</f>
        <v>8782</v>
      </c>
      <c r="J4" s="16">
        <f>(C4*0.288)+(E4*0.177)</f>
        <v>2176.6799999999998</v>
      </c>
    </row>
    <row r="5" spans="1:10" x14ac:dyDescent="0.2">
      <c r="A5" s="51">
        <v>44622</v>
      </c>
      <c r="B5" s="10">
        <v>11329</v>
      </c>
      <c r="C5" s="8">
        <f t="shared" ref="C5:C33" si="0">IF(B6-B5 &lt; 0,0,B6-B5)</f>
        <v>5956</v>
      </c>
      <c r="D5" s="10">
        <v>8897</v>
      </c>
      <c r="E5" s="8">
        <f t="shared" ref="E5:E33" si="1">IF(D6-D5 &lt; 0,0,D6-D5)</f>
        <v>3415</v>
      </c>
      <c r="F5" s="10">
        <v>485</v>
      </c>
      <c r="G5" s="60">
        <v>0.23</v>
      </c>
      <c r="H5" s="12" t="s">
        <v>26</v>
      </c>
      <c r="I5" s="8">
        <f t="shared" ref="I5:I35" si="2">+E5+C5</f>
        <v>9371</v>
      </c>
      <c r="J5" s="16">
        <f t="shared" ref="J5:J35" si="3">(C5*0.288)+(E5*0.177)</f>
        <v>2319.7829999999999</v>
      </c>
    </row>
    <row r="6" spans="1:10" x14ac:dyDescent="0.2">
      <c r="A6" s="51">
        <v>44623</v>
      </c>
      <c r="B6" s="10">
        <v>17285</v>
      </c>
      <c r="C6" s="8">
        <f t="shared" si="0"/>
        <v>5820</v>
      </c>
      <c r="D6" s="10">
        <v>12312</v>
      </c>
      <c r="E6" s="8">
        <f t="shared" si="1"/>
        <v>3603</v>
      </c>
      <c r="F6" s="10">
        <v>517</v>
      </c>
      <c r="G6" s="60">
        <v>0.34</v>
      </c>
      <c r="H6" s="12" t="s">
        <v>25</v>
      </c>
      <c r="I6" s="8">
        <f t="shared" si="2"/>
        <v>9423</v>
      </c>
      <c r="J6" s="16">
        <f t="shared" si="3"/>
        <v>2313.8909999999996</v>
      </c>
    </row>
    <row r="7" spans="1:10" x14ac:dyDescent="0.2">
      <c r="A7" s="51">
        <v>44624</v>
      </c>
      <c r="B7" s="10">
        <v>23105</v>
      </c>
      <c r="C7" s="8">
        <f t="shared" si="0"/>
        <v>5729</v>
      </c>
      <c r="D7" s="10">
        <v>15915</v>
      </c>
      <c r="E7" s="8">
        <f t="shared" si="1"/>
        <v>3178</v>
      </c>
      <c r="F7" s="10">
        <v>517</v>
      </c>
      <c r="G7" s="60">
        <v>0.35</v>
      </c>
      <c r="H7" s="12" t="s">
        <v>25</v>
      </c>
      <c r="I7" s="8">
        <f t="shared" si="2"/>
        <v>8907</v>
      </c>
      <c r="J7" s="16">
        <f t="shared" si="3"/>
        <v>2212.4579999999996</v>
      </c>
    </row>
    <row r="8" spans="1:10" x14ac:dyDescent="0.2">
      <c r="A8" s="51">
        <v>44625</v>
      </c>
      <c r="B8" s="10">
        <v>28834</v>
      </c>
      <c r="C8" s="8">
        <f t="shared" si="0"/>
        <v>5656</v>
      </c>
      <c r="D8" s="10">
        <v>19093</v>
      </c>
      <c r="E8" s="8">
        <f t="shared" si="1"/>
        <v>3322</v>
      </c>
      <c r="F8" s="10">
        <v>524</v>
      </c>
      <c r="G8" s="60">
        <v>0.28999999999999998</v>
      </c>
      <c r="H8" s="12" t="s">
        <v>27</v>
      </c>
      <c r="I8" s="8">
        <f t="shared" si="2"/>
        <v>8978</v>
      </c>
      <c r="J8" s="16">
        <f t="shared" si="3"/>
        <v>2216.9219999999996</v>
      </c>
    </row>
    <row r="9" spans="1:10" x14ac:dyDescent="0.2">
      <c r="A9" s="51">
        <v>44626</v>
      </c>
      <c r="B9" s="10">
        <v>34490</v>
      </c>
      <c r="C9" s="8">
        <f t="shared" si="0"/>
        <v>5792</v>
      </c>
      <c r="D9" s="10">
        <v>22415</v>
      </c>
      <c r="E9" s="8">
        <f t="shared" si="1"/>
        <v>3529</v>
      </c>
      <c r="F9" s="10">
        <v>524</v>
      </c>
      <c r="G9" s="60">
        <v>0.3</v>
      </c>
      <c r="H9" s="12" t="s">
        <v>27</v>
      </c>
      <c r="I9" s="8">
        <f t="shared" si="2"/>
        <v>9321</v>
      </c>
      <c r="J9" s="16">
        <f t="shared" si="3"/>
        <v>2292.7289999999998</v>
      </c>
    </row>
    <row r="10" spans="1:10" x14ac:dyDescent="0.2">
      <c r="A10" s="51">
        <v>44627</v>
      </c>
      <c r="B10" s="10">
        <v>40282</v>
      </c>
      <c r="C10" s="8">
        <f t="shared" si="0"/>
        <v>5796</v>
      </c>
      <c r="D10" s="10">
        <v>25944</v>
      </c>
      <c r="E10" s="8">
        <f t="shared" si="1"/>
        <v>3209</v>
      </c>
      <c r="F10" s="10">
        <v>524</v>
      </c>
      <c r="G10" s="61">
        <v>0.27</v>
      </c>
      <c r="H10" s="12" t="s">
        <v>26</v>
      </c>
      <c r="I10" s="8">
        <f t="shared" si="2"/>
        <v>9005</v>
      </c>
      <c r="J10" s="16">
        <f t="shared" si="3"/>
        <v>2237.241</v>
      </c>
    </row>
    <row r="11" spans="1:10" x14ac:dyDescent="0.2">
      <c r="A11" s="51">
        <v>44628</v>
      </c>
      <c r="B11" s="10">
        <v>46078</v>
      </c>
      <c r="C11" s="8">
        <f t="shared" si="0"/>
        <v>5614</v>
      </c>
      <c r="D11" s="10">
        <v>29153</v>
      </c>
      <c r="E11" s="8">
        <f t="shared" si="1"/>
        <v>3432</v>
      </c>
      <c r="F11" s="10">
        <v>524</v>
      </c>
      <c r="G11" s="60">
        <v>0.27</v>
      </c>
      <c r="H11" s="12" t="s">
        <v>26</v>
      </c>
      <c r="I11" s="8">
        <f t="shared" si="2"/>
        <v>9046</v>
      </c>
      <c r="J11" s="16">
        <f t="shared" si="3"/>
        <v>2224.2959999999998</v>
      </c>
    </row>
    <row r="12" spans="1:10" x14ac:dyDescent="0.2">
      <c r="A12" s="51">
        <v>44629</v>
      </c>
      <c r="B12" s="10">
        <v>51692</v>
      </c>
      <c r="C12" s="8">
        <f t="shared" si="0"/>
        <v>6087</v>
      </c>
      <c r="D12" s="10">
        <v>32585</v>
      </c>
      <c r="E12" s="8">
        <f t="shared" si="1"/>
        <v>3602</v>
      </c>
      <c r="F12" s="10">
        <v>524</v>
      </c>
      <c r="G12" s="60">
        <v>0.3</v>
      </c>
      <c r="H12" s="12" t="s">
        <v>27</v>
      </c>
      <c r="I12" s="8">
        <f t="shared" si="2"/>
        <v>9689</v>
      </c>
      <c r="J12" s="16">
        <f t="shared" si="3"/>
        <v>2390.6099999999997</v>
      </c>
    </row>
    <row r="13" spans="1:10" x14ac:dyDescent="0.2">
      <c r="A13" s="51">
        <v>44630</v>
      </c>
      <c r="B13" s="10">
        <v>57779</v>
      </c>
      <c r="C13" s="8">
        <f t="shared" si="0"/>
        <v>6062</v>
      </c>
      <c r="D13" s="10">
        <v>36187</v>
      </c>
      <c r="E13" s="8">
        <f t="shared" si="1"/>
        <v>3530</v>
      </c>
      <c r="F13" s="10">
        <v>524</v>
      </c>
      <c r="G13" s="60">
        <v>0.32</v>
      </c>
      <c r="H13" s="12" t="s">
        <v>25</v>
      </c>
      <c r="I13" s="8">
        <f t="shared" si="2"/>
        <v>9592</v>
      </c>
      <c r="J13" s="16">
        <f t="shared" si="3"/>
        <v>2370.6659999999997</v>
      </c>
    </row>
    <row r="14" spans="1:10" x14ac:dyDescent="0.2">
      <c r="A14" s="51">
        <v>44631</v>
      </c>
      <c r="B14" s="10">
        <v>63841</v>
      </c>
      <c r="C14" s="8">
        <f t="shared" si="0"/>
        <v>6238</v>
      </c>
      <c r="D14" s="10">
        <v>39717</v>
      </c>
      <c r="E14" s="8">
        <f t="shared" si="1"/>
        <v>3585</v>
      </c>
      <c r="F14" s="10">
        <v>524</v>
      </c>
      <c r="G14" s="60">
        <v>0.51</v>
      </c>
      <c r="H14" s="12" t="s">
        <v>25</v>
      </c>
      <c r="I14" s="8">
        <f t="shared" si="2"/>
        <v>9823</v>
      </c>
      <c r="J14" s="16">
        <f t="shared" si="3"/>
        <v>2431.0889999999999</v>
      </c>
    </row>
    <row r="15" spans="1:10" x14ac:dyDescent="0.2">
      <c r="A15" s="51">
        <v>44632</v>
      </c>
      <c r="B15" s="10">
        <v>70079</v>
      </c>
      <c r="C15" s="8">
        <f t="shared" si="0"/>
        <v>5971</v>
      </c>
      <c r="D15" s="10">
        <v>43302</v>
      </c>
      <c r="E15" s="8">
        <f t="shared" si="1"/>
        <v>3723</v>
      </c>
      <c r="F15" s="10">
        <v>524</v>
      </c>
      <c r="G15" s="60">
        <v>0.52</v>
      </c>
      <c r="H15" s="12" t="s">
        <v>27</v>
      </c>
      <c r="I15" s="8">
        <f t="shared" si="2"/>
        <v>9694</v>
      </c>
      <c r="J15" s="16">
        <f t="shared" si="3"/>
        <v>2378.6189999999997</v>
      </c>
    </row>
    <row r="16" spans="1:10" x14ac:dyDescent="0.2">
      <c r="A16" s="51">
        <v>44633</v>
      </c>
      <c r="B16" s="10">
        <v>76050</v>
      </c>
      <c r="C16" s="8">
        <f t="shared" si="0"/>
        <v>6194</v>
      </c>
      <c r="D16" s="10">
        <v>47025</v>
      </c>
      <c r="E16" s="8">
        <f t="shared" si="1"/>
        <v>3541</v>
      </c>
      <c r="F16" s="10">
        <v>524</v>
      </c>
      <c r="G16" s="60">
        <v>0.28000000000000003</v>
      </c>
      <c r="H16" s="12" t="s">
        <v>27</v>
      </c>
      <c r="I16" s="8">
        <f t="shared" si="2"/>
        <v>9735</v>
      </c>
      <c r="J16" s="16">
        <f t="shared" si="3"/>
        <v>2410.6289999999999</v>
      </c>
    </row>
    <row r="17" spans="1:10" x14ac:dyDescent="0.2">
      <c r="A17" s="51">
        <v>44634</v>
      </c>
      <c r="B17" s="10">
        <v>82244</v>
      </c>
      <c r="C17" s="8">
        <f t="shared" si="0"/>
        <v>3980</v>
      </c>
      <c r="D17" s="10">
        <v>50566</v>
      </c>
      <c r="E17" s="8">
        <f t="shared" si="1"/>
        <v>3743</v>
      </c>
      <c r="F17" s="10">
        <v>523</v>
      </c>
      <c r="G17" s="60">
        <v>0.24</v>
      </c>
      <c r="H17" s="12" t="s">
        <v>27</v>
      </c>
      <c r="I17" s="8">
        <f t="shared" si="2"/>
        <v>7723</v>
      </c>
      <c r="J17" s="16">
        <f t="shared" si="3"/>
        <v>1808.751</v>
      </c>
    </row>
    <row r="18" spans="1:10" x14ac:dyDescent="0.2">
      <c r="A18" s="51">
        <v>44635</v>
      </c>
      <c r="B18" s="10">
        <v>86224</v>
      </c>
      <c r="C18" s="8">
        <f t="shared" si="0"/>
        <v>8866</v>
      </c>
      <c r="D18" s="10">
        <v>54309</v>
      </c>
      <c r="E18" s="8">
        <f t="shared" si="1"/>
        <v>3924</v>
      </c>
      <c r="F18" s="10">
        <v>523</v>
      </c>
      <c r="G18" s="60">
        <v>0.28000000000000003</v>
      </c>
      <c r="H18" s="12" t="s">
        <v>26</v>
      </c>
      <c r="I18" s="8">
        <f t="shared" si="2"/>
        <v>12790</v>
      </c>
      <c r="J18" s="16">
        <f t="shared" si="3"/>
        <v>3247.9560000000001</v>
      </c>
    </row>
    <row r="19" spans="1:10" x14ac:dyDescent="0.2">
      <c r="A19" s="51">
        <v>44636</v>
      </c>
      <c r="B19" s="10">
        <v>95090</v>
      </c>
      <c r="C19" s="8">
        <f t="shared" si="0"/>
        <v>6683</v>
      </c>
      <c r="D19" s="10">
        <v>58233</v>
      </c>
      <c r="E19" s="8">
        <f t="shared" si="1"/>
        <v>3727</v>
      </c>
      <c r="F19" s="10">
        <v>555</v>
      </c>
      <c r="G19" s="60">
        <v>0.33</v>
      </c>
      <c r="H19" s="12" t="s">
        <v>26</v>
      </c>
      <c r="I19" s="8">
        <f t="shared" si="2"/>
        <v>10410</v>
      </c>
      <c r="J19" s="16">
        <f t="shared" si="3"/>
        <v>2584.3829999999998</v>
      </c>
    </row>
    <row r="20" spans="1:10" x14ac:dyDescent="0.2">
      <c r="A20" s="51">
        <v>44637</v>
      </c>
      <c r="B20" s="10">
        <v>101773</v>
      </c>
      <c r="C20" s="8">
        <f t="shared" si="0"/>
        <v>6098</v>
      </c>
      <c r="D20" s="10">
        <v>61960</v>
      </c>
      <c r="E20" s="8">
        <f t="shared" si="1"/>
        <v>3701</v>
      </c>
      <c r="F20" s="12">
        <v>555</v>
      </c>
      <c r="G20" s="60">
        <v>0.52</v>
      </c>
      <c r="H20" s="12" t="s">
        <v>26</v>
      </c>
      <c r="I20" s="8">
        <f t="shared" si="2"/>
        <v>9799</v>
      </c>
      <c r="J20" s="16">
        <f t="shared" si="3"/>
        <v>2411.3009999999999</v>
      </c>
    </row>
    <row r="21" spans="1:10" x14ac:dyDescent="0.2">
      <c r="A21" s="51">
        <v>44638</v>
      </c>
      <c r="B21" s="10">
        <v>107871</v>
      </c>
      <c r="C21" s="8">
        <f t="shared" si="0"/>
        <v>6816</v>
      </c>
      <c r="D21" s="10">
        <v>65661</v>
      </c>
      <c r="E21" s="8">
        <f t="shared" si="1"/>
        <v>3979</v>
      </c>
      <c r="F21" s="12">
        <v>555</v>
      </c>
      <c r="G21" s="60">
        <v>0.61</v>
      </c>
      <c r="H21" s="12" t="s">
        <v>27</v>
      </c>
      <c r="I21" s="8">
        <f t="shared" si="2"/>
        <v>10795</v>
      </c>
      <c r="J21" s="16">
        <f t="shared" si="3"/>
        <v>2667.2909999999997</v>
      </c>
    </row>
    <row r="22" spans="1:10" x14ac:dyDescent="0.2">
      <c r="A22" s="51">
        <v>44639</v>
      </c>
      <c r="B22" s="10">
        <v>114687</v>
      </c>
      <c r="C22" s="8">
        <f t="shared" si="0"/>
        <v>6490</v>
      </c>
      <c r="D22" s="10">
        <v>69640</v>
      </c>
      <c r="E22" s="8">
        <f t="shared" si="1"/>
        <v>3546</v>
      </c>
      <c r="F22" s="12">
        <v>555</v>
      </c>
      <c r="G22" s="60">
        <v>0.47</v>
      </c>
      <c r="H22" s="12" t="s">
        <v>27</v>
      </c>
      <c r="I22" s="8">
        <f t="shared" si="2"/>
        <v>10036</v>
      </c>
      <c r="J22" s="16">
        <f t="shared" si="3"/>
        <v>2496.7619999999997</v>
      </c>
    </row>
    <row r="23" spans="1:10" x14ac:dyDescent="0.2">
      <c r="A23" s="51">
        <v>44640</v>
      </c>
      <c r="B23" s="10">
        <v>121177</v>
      </c>
      <c r="C23" s="8">
        <f t="shared" si="0"/>
        <v>6135</v>
      </c>
      <c r="D23" s="10">
        <v>73186</v>
      </c>
      <c r="E23" s="8">
        <f t="shared" si="1"/>
        <v>3426</v>
      </c>
      <c r="F23" s="10">
        <v>555</v>
      </c>
      <c r="G23" s="60">
        <v>0.43</v>
      </c>
      <c r="H23" s="12" t="s">
        <v>27</v>
      </c>
      <c r="I23" s="8">
        <f t="shared" si="2"/>
        <v>9561</v>
      </c>
      <c r="J23" s="16">
        <f t="shared" si="3"/>
        <v>2373.2819999999997</v>
      </c>
    </row>
    <row r="24" spans="1:10" x14ac:dyDescent="0.2">
      <c r="A24" s="51">
        <v>44641</v>
      </c>
      <c r="B24" s="10">
        <v>127312</v>
      </c>
      <c r="C24" s="8">
        <f t="shared" si="0"/>
        <v>5885</v>
      </c>
      <c r="D24" s="10">
        <v>76612</v>
      </c>
      <c r="E24" s="8">
        <f t="shared" si="1"/>
        <v>3295</v>
      </c>
      <c r="F24" s="10">
        <v>555</v>
      </c>
      <c r="G24" s="60">
        <v>0.26</v>
      </c>
      <c r="H24" s="12" t="s">
        <v>27</v>
      </c>
      <c r="I24" s="8">
        <f t="shared" si="2"/>
        <v>9180</v>
      </c>
      <c r="J24" s="16">
        <f t="shared" si="3"/>
        <v>2278.0949999999998</v>
      </c>
    </row>
    <row r="25" spans="1:10" x14ac:dyDescent="0.2">
      <c r="A25" s="51">
        <v>44642</v>
      </c>
      <c r="B25" s="10">
        <v>133197</v>
      </c>
      <c r="C25" s="8">
        <f t="shared" si="0"/>
        <v>5864</v>
      </c>
      <c r="D25" s="10">
        <v>79907</v>
      </c>
      <c r="E25" s="8">
        <f t="shared" si="1"/>
        <v>3220</v>
      </c>
      <c r="F25" s="10">
        <v>555</v>
      </c>
      <c r="G25" s="60">
        <v>0.33</v>
      </c>
      <c r="H25" s="12" t="s">
        <v>26</v>
      </c>
      <c r="I25" s="8">
        <f t="shared" si="2"/>
        <v>9084</v>
      </c>
      <c r="J25" s="16">
        <f t="shared" si="3"/>
        <v>2258.7719999999999</v>
      </c>
    </row>
    <row r="26" spans="1:10" x14ac:dyDescent="0.2">
      <c r="A26" s="51">
        <v>44643</v>
      </c>
      <c r="B26" s="10">
        <v>139061</v>
      </c>
      <c r="C26" s="8">
        <f>IF(B27-B26 &lt; 0,0,B27-B26)</f>
        <v>6023</v>
      </c>
      <c r="D26" s="10">
        <v>83127</v>
      </c>
      <c r="E26" s="8">
        <f t="shared" si="1"/>
        <v>3472</v>
      </c>
      <c r="F26" s="10">
        <v>555</v>
      </c>
      <c r="G26" s="69">
        <v>0.45</v>
      </c>
      <c r="H26" s="18" t="s">
        <v>27</v>
      </c>
      <c r="I26" s="8">
        <f t="shared" si="2"/>
        <v>9495</v>
      </c>
      <c r="J26" s="16">
        <f t="shared" si="3"/>
        <v>2349.1679999999997</v>
      </c>
    </row>
    <row r="27" spans="1:10" x14ac:dyDescent="0.2">
      <c r="A27" s="51">
        <v>44644</v>
      </c>
      <c r="B27" s="10">
        <v>145084</v>
      </c>
      <c r="C27" s="8">
        <f>IF(B28-B27 &lt; 0,0,B28-B27)</f>
        <v>6272</v>
      </c>
      <c r="D27" s="10">
        <v>86599</v>
      </c>
      <c r="E27" s="8">
        <f t="shared" si="1"/>
        <v>3382</v>
      </c>
      <c r="F27" s="10">
        <v>555</v>
      </c>
      <c r="G27" s="60">
        <v>0.42</v>
      </c>
      <c r="H27" s="12" t="s">
        <v>26</v>
      </c>
      <c r="I27" s="8">
        <f t="shared" si="2"/>
        <v>9654</v>
      </c>
      <c r="J27" s="16">
        <f t="shared" si="3"/>
        <v>2404.9499999999998</v>
      </c>
    </row>
    <row r="28" spans="1:10" x14ac:dyDescent="0.2">
      <c r="A28" s="51">
        <v>44645</v>
      </c>
      <c r="B28" s="10">
        <v>151356</v>
      </c>
      <c r="C28" s="8">
        <f t="shared" si="0"/>
        <v>6565</v>
      </c>
      <c r="D28" s="10">
        <v>89981</v>
      </c>
      <c r="E28" s="8">
        <f t="shared" si="1"/>
        <v>4045</v>
      </c>
      <c r="F28" s="10">
        <v>555</v>
      </c>
      <c r="G28" s="60">
        <v>0.45</v>
      </c>
      <c r="H28" s="12" t="s">
        <v>25</v>
      </c>
      <c r="I28" s="8">
        <f t="shared" si="2"/>
        <v>10610</v>
      </c>
      <c r="J28" s="16">
        <f t="shared" si="3"/>
        <v>2606.6849999999995</v>
      </c>
    </row>
    <row r="29" spans="1:10" x14ac:dyDescent="0.2">
      <c r="A29" s="51">
        <v>44646</v>
      </c>
      <c r="B29" s="10">
        <v>157921</v>
      </c>
      <c r="C29" s="8">
        <f t="shared" si="0"/>
        <v>6349</v>
      </c>
      <c r="D29" s="10">
        <v>94026</v>
      </c>
      <c r="E29" s="8">
        <f t="shared" si="1"/>
        <v>3790</v>
      </c>
      <c r="F29" s="10">
        <v>555</v>
      </c>
      <c r="G29" s="60">
        <v>0.43</v>
      </c>
      <c r="H29" s="12" t="s">
        <v>28</v>
      </c>
      <c r="I29" s="8">
        <f t="shared" si="2"/>
        <v>10139</v>
      </c>
      <c r="J29" s="16">
        <f t="shared" si="3"/>
        <v>2499.3419999999996</v>
      </c>
    </row>
    <row r="30" spans="1:10" x14ac:dyDescent="0.2">
      <c r="A30" s="51">
        <v>44647</v>
      </c>
      <c r="B30" s="10">
        <v>164270</v>
      </c>
      <c r="C30" s="8">
        <f t="shared" si="0"/>
        <v>6553</v>
      </c>
      <c r="D30" s="10">
        <v>97816</v>
      </c>
      <c r="E30" s="8">
        <f t="shared" si="1"/>
        <v>3736</v>
      </c>
      <c r="F30" s="10">
        <v>555</v>
      </c>
      <c r="G30" s="60">
        <v>0.32</v>
      </c>
      <c r="H30" s="12" t="s">
        <v>29</v>
      </c>
      <c r="I30" s="8">
        <f t="shared" si="2"/>
        <v>10289</v>
      </c>
      <c r="J30" s="16">
        <f t="shared" si="3"/>
        <v>2548.5360000000001</v>
      </c>
    </row>
    <row r="31" spans="1:10" x14ac:dyDescent="0.2">
      <c r="A31" s="51">
        <v>44648</v>
      </c>
      <c r="B31" s="10">
        <v>170823</v>
      </c>
      <c r="C31" s="8">
        <f t="shared" si="0"/>
        <v>6742</v>
      </c>
      <c r="D31" s="10">
        <v>101552</v>
      </c>
      <c r="E31" s="8">
        <f t="shared" si="1"/>
        <v>3804</v>
      </c>
      <c r="F31" s="10">
        <v>555</v>
      </c>
      <c r="G31" s="60">
        <v>0.34</v>
      </c>
      <c r="H31" s="12" t="s">
        <v>29</v>
      </c>
      <c r="I31" s="8">
        <f t="shared" si="2"/>
        <v>10546</v>
      </c>
      <c r="J31" s="16">
        <f t="shared" si="3"/>
        <v>2615.0039999999999</v>
      </c>
    </row>
    <row r="32" spans="1:10" x14ac:dyDescent="0.2">
      <c r="A32" s="51">
        <v>44649</v>
      </c>
      <c r="B32" s="10">
        <v>177565</v>
      </c>
      <c r="C32" s="8">
        <f t="shared" si="0"/>
        <v>6011</v>
      </c>
      <c r="D32" s="10">
        <v>105356</v>
      </c>
      <c r="E32" s="8">
        <f t="shared" si="1"/>
        <v>3433</v>
      </c>
      <c r="F32" s="10">
        <v>555</v>
      </c>
      <c r="G32" s="60">
        <v>0.27</v>
      </c>
      <c r="H32" s="12" t="s">
        <v>30</v>
      </c>
      <c r="I32" s="8">
        <f t="shared" si="2"/>
        <v>9444</v>
      </c>
      <c r="J32" s="16">
        <f t="shared" si="3"/>
        <v>2338.8089999999997</v>
      </c>
    </row>
    <row r="33" spans="1:10" x14ac:dyDescent="0.2">
      <c r="A33" s="51">
        <v>44650</v>
      </c>
      <c r="B33" s="10">
        <v>183576</v>
      </c>
      <c r="C33" s="8">
        <f t="shared" si="0"/>
        <v>0</v>
      </c>
      <c r="D33" s="10">
        <v>108789</v>
      </c>
      <c r="E33" s="8">
        <f t="shared" si="1"/>
        <v>0</v>
      </c>
      <c r="F33" s="10">
        <v>555</v>
      </c>
      <c r="G33" s="60">
        <v>0.27</v>
      </c>
      <c r="H33" s="12" t="s">
        <v>30</v>
      </c>
      <c r="I33" s="8">
        <f t="shared" si="2"/>
        <v>0</v>
      </c>
      <c r="J33" s="16">
        <f t="shared" si="3"/>
        <v>0</v>
      </c>
    </row>
    <row r="34" spans="1:10" x14ac:dyDescent="0.2">
      <c r="A34" s="51">
        <v>44651</v>
      </c>
      <c r="B34" s="58">
        <v>0</v>
      </c>
      <c r="C34" s="8">
        <v>0</v>
      </c>
      <c r="D34" s="10"/>
      <c r="E34" s="8">
        <v>0</v>
      </c>
      <c r="F34" s="10"/>
      <c r="G34" s="60">
        <v>0.3</v>
      </c>
      <c r="H34" s="12" t="s">
        <v>30</v>
      </c>
      <c r="I34" s="8">
        <f t="shared" si="2"/>
        <v>0</v>
      </c>
      <c r="J34" s="16">
        <f t="shared" si="3"/>
        <v>0</v>
      </c>
    </row>
    <row r="35" spans="1:10" x14ac:dyDescent="0.2">
      <c r="A35" s="59"/>
      <c r="B35" s="10"/>
      <c r="C35" s="8"/>
      <c r="D35" s="10"/>
      <c r="E35" s="8"/>
      <c r="F35" s="10"/>
      <c r="G35" s="12"/>
      <c r="H35" s="12"/>
      <c r="I35" s="8">
        <f t="shared" si="2"/>
        <v>0</v>
      </c>
      <c r="J35" s="16">
        <f t="shared" si="3"/>
        <v>0</v>
      </c>
    </row>
    <row r="36" spans="1:10" x14ac:dyDescent="0.2">
      <c r="A36" s="92" t="s">
        <v>31</v>
      </c>
      <c r="B36" s="93"/>
      <c r="C36" s="9">
        <f>SUM(C4:C34)</f>
        <v>177853</v>
      </c>
      <c r="D36" s="9"/>
      <c r="E36" s="9">
        <f>SUM(E4:E34)</f>
        <v>103068</v>
      </c>
      <c r="F36" s="9">
        <f>MAX(F4:F34)</f>
        <v>555</v>
      </c>
      <c r="G36" s="11"/>
      <c r="H36" s="11"/>
      <c r="I36" s="8">
        <f>+E36+C36</f>
        <v>280921</v>
      </c>
      <c r="J36" s="16">
        <f>(C36*0.288)+(E36*0.177)</f>
        <v>69464.7</v>
      </c>
    </row>
    <row r="37" spans="1:10" x14ac:dyDescent="0.2">
      <c r="A37" s="17">
        <f>COUNT(A4:A34)</f>
        <v>31</v>
      </c>
      <c r="C37" s="1">
        <f>COUNTIF(C4:C34,"&gt;0")</f>
        <v>29</v>
      </c>
      <c r="G37" s="1"/>
    </row>
    <row r="39" spans="1:10" ht="15.75" x14ac:dyDescent="0.25">
      <c r="A39" s="13" t="s">
        <v>32</v>
      </c>
    </row>
  </sheetData>
  <mergeCells count="1">
    <mergeCell ref="A36:B36"/>
  </mergeCells>
  <pageMargins left="0.21" right="0.21" top="0.57999999999999996" bottom="0.69" header="0.5" footer="0.5"/>
  <pageSetup paperSize="9" scale="64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40"/>
  <sheetViews>
    <sheetView topLeftCell="A11" zoomScaleNormal="100" workbookViewId="0">
      <selection activeCell="F34" sqref="F34"/>
    </sheetView>
  </sheetViews>
  <sheetFormatPr defaultRowHeight="12.75" x14ac:dyDescent="0.2"/>
  <cols>
    <col min="1" max="1" width="14" style="4" customWidth="1"/>
    <col min="2" max="2" width="20.28515625" style="1" bestFit="1" customWidth="1"/>
    <col min="3" max="3" width="18.85546875" style="1" bestFit="1" customWidth="1"/>
    <col min="4" max="4" width="20.28515625" style="1" bestFit="1" customWidth="1"/>
    <col min="5" max="5" width="18.85546875" style="1" customWidth="1"/>
    <col min="6" max="6" width="14.7109375" style="1" customWidth="1"/>
    <col min="7" max="7" width="11.28515625" customWidth="1"/>
    <col min="8" max="8" width="13.85546875" customWidth="1"/>
    <col min="9" max="9" width="19.140625" style="1" bestFit="1" customWidth="1"/>
    <col min="10" max="10" width="10.140625" style="14" bestFit="1" customWidth="1"/>
  </cols>
  <sheetData>
    <row r="1" spans="1:10" ht="18" x14ac:dyDescent="0.25">
      <c r="A1" s="6" t="s">
        <v>12</v>
      </c>
    </row>
    <row r="2" spans="1:10" ht="18" x14ac:dyDescent="0.25">
      <c r="A2" s="2"/>
      <c r="B2" s="7" t="s">
        <v>13</v>
      </c>
      <c r="C2" s="7" t="s">
        <v>14</v>
      </c>
      <c r="D2" s="7" t="s">
        <v>13</v>
      </c>
      <c r="E2" s="7" t="s">
        <v>14</v>
      </c>
      <c r="F2" s="7" t="s">
        <v>15</v>
      </c>
      <c r="G2" s="7" t="s">
        <v>16</v>
      </c>
      <c r="H2" s="7" t="s">
        <v>17</v>
      </c>
      <c r="I2" s="7" t="s">
        <v>18</v>
      </c>
      <c r="J2" s="15" t="s">
        <v>19</v>
      </c>
    </row>
    <row r="3" spans="1:10" x14ac:dyDescent="0.2">
      <c r="A3" s="3"/>
      <c r="B3" s="7" t="s">
        <v>20</v>
      </c>
      <c r="C3" s="7" t="s">
        <v>20</v>
      </c>
      <c r="D3" s="7" t="s">
        <v>21</v>
      </c>
      <c r="E3" s="7" t="s">
        <v>21</v>
      </c>
      <c r="F3" s="56" t="s">
        <v>20</v>
      </c>
      <c r="G3" s="7" t="s">
        <v>22</v>
      </c>
      <c r="H3" s="11"/>
      <c r="I3" s="7" t="s">
        <v>23</v>
      </c>
      <c r="J3" s="15" t="s">
        <v>24</v>
      </c>
    </row>
    <row r="4" spans="1:10" x14ac:dyDescent="0.2">
      <c r="A4" s="51">
        <v>44621</v>
      </c>
      <c r="B4" s="10">
        <v>1719</v>
      </c>
      <c r="C4" s="8">
        <f>IF(B5-B4 &lt; 0,0,B5-B4)</f>
        <v>1658</v>
      </c>
      <c r="D4" s="10">
        <v>1319</v>
      </c>
      <c r="E4" s="8">
        <f t="shared" ref="E4:E33" si="0">IF(D5-D4 &lt; 0,0,D5-D4)</f>
        <v>656</v>
      </c>
      <c r="F4" s="10">
        <v>147</v>
      </c>
      <c r="G4" s="60">
        <v>0.2</v>
      </c>
      <c r="H4" s="12" t="s">
        <v>25</v>
      </c>
      <c r="I4" s="8">
        <f>+E4+C4</f>
        <v>2314</v>
      </c>
      <c r="J4" s="16">
        <f>(C4*0.288)+(E4*0.177)</f>
        <v>593.61599999999999</v>
      </c>
    </row>
    <row r="5" spans="1:10" x14ac:dyDescent="0.2">
      <c r="A5" s="51">
        <v>44622</v>
      </c>
      <c r="B5" s="10">
        <v>3377</v>
      </c>
      <c r="C5" s="8">
        <f t="shared" ref="C5:C33" si="1">IF(B6-B5 &lt; 0,0,B6-B5)</f>
        <v>1569</v>
      </c>
      <c r="D5" s="10">
        <v>1975</v>
      </c>
      <c r="E5" s="8">
        <f t="shared" si="0"/>
        <v>624</v>
      </c>
      <c r="F5" s="10">
        <v>146</v>
      </c>
      <c r="G5" s="60">
        <v>0.23</v>
      </c>
      <c r="H5" s="12" t="s">
        <v>26</v>
      </c>
      <c r="I5" s="8">
        <f t="shared" ref="I5:I35" si="2">+E5+C5</f>
        <v>2193</v>
      </c>
      <c r="J5" s="16">
        <f t="shared" ref="J5:J35" si="3">(C5*0.288)+(E5*0.177)</f>
        <v>562.31999999999994</v>
      </c>
    </row>
    <row r="6" spans="1:10" x14ac:dyDescent="0.2">
      <c r="A6" s="51">
        <v>44623</v>
      </c>
      <c r="B6" s="10">
        <v>4946</v>
      </c>
      <c r="C6" s="8">
        <f t="shared" si="1"/>
        <v>1732</v>
      </c>
      <c r="D6" s="10">
        <v>2599</v>
      </c>
      <c r="E6" s="8">
        <f t="shared" si="0"/>
        <v>691</v>
      </c>
      <c r="F6" s="10">
        <v>147</v>
      </c>
      <c r="G6" s="60">
        <v>0.34</v>
      </c>
      <c r="H6" s="12" t="s">
        <v>25</v>
      </c>
      <c r="I6" s="8">
        <f t="shared" si="2"/>
        <v>2423</v>
      </c>
      <c r="J6" s="16">
        <f t="shared" si="3"/>
        <v>621.12299999999993</v>
      </c>
    </row>
    <row r="7" spans="1:10" x14ac:dyDescent="0.2">
      <c r="A7" s="51">
        <v>44624</v>
      </c>
      <c r="B7" s="10">
        <v>6678</v>
      </c>
      <c r="C7" s="8">
        <f t="shared" si="1"/>
        <v>1700</v>
      </c>
      <c r="D7" s="10">
        <v>3290</v>
      </c>
      <c r="E7" s="8">
        <f t="shared" si="0"/>
        <v>658</v>
      </c>
      <c r="F7" s="10">
        <v>147</v>
      </c>
      <c r="G7" s="60">
        <v>0.35</v>
      </c>
      <c r="H7" s="12" t="s">
        <v>25</v>
      </c>
      <c r="I7" s="8">
        <f t="shared" si="2"/>
        <v>2358</v>
      </c>
      <c r="J7" s="16">
        <f t="shared" si="3"/>
        <v>606.06599999999992</v>
      </c>
    </row>
    <row r="8" spans="1:10" x14ac:dyDescent="0.2">
      <c r="A8" s="51">
        <v>44625</v>
      </c>
      <c r="B8" s="10">
        <v>8378</v>
      </c>
      <c r="C8" s="8">
        <f t="shared" si="1"/>
        <v>1716</v>
      </c>
      <c r="D8" s="10">
        <v>3948</v>
      </c>
      <c r="E8" s="8">
        <f t="shared" si="0"/>
        <v>468</v>
      </c>
      <c r="F8" s="10">
        <v>147</v>
      </c>
      <c r="G8" s="60">
        <v>0.28999999999999998</v>
      </c>
      <c r="H8" s="12" t="s">
        <v>27</v>
      </c>
      <c r="I8" s="8">
        <f t="shared" si="2"/>
        <v>2184</v>
      </c>
      <c r="J8" s="16">
        <f t="shared" si="3"/>
        <v>577.04399999999998</v>
      </c>
    </row>
    <row r="9" spans="1:10" x14ac:dyDescent="0.2">
      <c r="A9" s="51">
        <v>44626</v>
      </c>
      <c r="B9" s="10">
        <v>10094</v>
      </c>
      <c r="C9" s="8">
        <f t="shared" si="1"/>
        <v>1675</v>
      </c>
      <c r="D9" s="10">
        <v>4416</v>
      </c>
      <c r="E9" s="8">
        <f t="shared" si="0"/>
        <v>515</v>
      </c>
      <c r="F9" s="10">
        <v>159</v>
      </c>
      <c r="G9" s="60">
        <v>0.3</v>
      </c>
      <c r="H9" s="12" t="s">
        <v>27</v>
      </c>
      <c r="I9" s="8">
        <f t="shared" si="2"/>
        <v>2190</v>
      </c>
      <c r="J9" s="16">
        <f t="shared" si="3"/>
        <v>573.55499999999995</v>
      </c>
    </row>
    <row r="10" spans="1:10" x14ac:dyDescent="0.2">
      <c r="A10" s="51">
        <v>44627</v>
      </c>
      <c r="B10" s="10">
        <v>11769</v>
      </c>
      <c r="C10" s="8">
        <f t="shared" si="1"/>
        <v>1809</v>
      </c>
      <c r="D10" s="10">
        <v>4931</v>
      </c>
      <c r="E10" s="8">
        <f t="shared" si="0"/>
        <v>787</v>
      </c>
      <c r="F10" s="10">
        <v>172</v>
      </c>
      <c r="G10" s="61">
        <v>0.27</v>
      </c>
      <c r="H10" s="12" t="s">
        <v>26</v>
      </c>
      <c r="I10" s="8">
        <f t="shared" si="2"/>
        <v>2596</v>
      </c>
      <c r="J10" s="16">
        <f t="shared" si="3"/>
        <v>660.29099999999994</v>
      </c>
    </row>
    <row r="11" spans="1:10" x14ac:dyDescent="0.2">
      <c r="A11" s="51">
        <v>44628</v>
      </c>
      <c r="B11" s="10">
        <v>13578</v>
      </c>
      <c r="C11" s="8">
        <f t="shared" si="1"/>
        <v>1861</v>
      </c>
      <c r="D11" s="10">
        <v>5718</v>
      </c>
      <c r="E11" s="8">
        <f t="shared" si="0"/>
        <v>853</v>
      </c>
      <c r="F11" s="10">
        <v>172</v>
      </c>
      <c r="G11" s="60">
        <v>0.27</v>
      </c>
      <c r="H11" s="12" t="s">
        <v>26</v>
      </c>
      <c r="I11" s="8">
        <f t="shared" si="2"/>
        <v>2714</v>
      </c>
      <c r="J11" s="16">
        <f t="shared" si="3"/>
        <v>686.94899999999996</v>
      </c>
    </row>
    <row r="12" spans="1:10" x14ac:dyDescent="0.2">
      <c r="A12" s="51">
        <v>44629</v>
      </c>
      <c r="B12" s="10">
        <v>15439</v>
      </c>
      <c r="C12" s="8">
        <f t="shared" si="1"/>
        <v>1911</v>
      </c>
      <c r="D12" s="10">
        <v>6571</v>
      </c>
      <c r="E12" s="8">
        <f t="shared" si="0"/>
        <v>917</v>
      </c>
      <c r="F12" s="10">
        <v>172</v>
      </c>
      <c r="G12" s="60">
        <v>0.3</v>
      </c>
      <c r="H12" s="12" t="s">
        <v>27</v>
      </c>
      <c r="I12" s="8">
        <f t="shared" si="2"/>
        <v>2828</v>
      </c>
      <c r="J12" s="16">
        <f t="shared" si="3"/>
        <v>712.67699999999991</v>
      </c>
    </row>
    <row r="13" spans="1:10" x14ac:dyDescent="0.2">
      <c r="A13" s="51">
        <v>44630</v>
      </c>
      <c r="B13" s="10">
        <v>17350</v>
      </c>
      <c r="C13" s="8">
        <f t="shared" si="1"/>
        <v>1975</v>
      </c>
      <c r="D13" s="10">
        <v>7488</v>
      </c>
      <c r="E13" s="8">
        <f t="shared" si="0"/>
        <v>882</v>
      </c>
      <c r="F13" s="10">
        <v>173</v>
      </c>
      <c r="G13" s="60">
        <v>0.32</v>
      </c>
      <c r="H13" s="12" t="s">
        <v>25</v>
      </c>
      <c r="I13" s="8">
        <f t="shared" si="2"/>
        <v>2857</v>
      </c>
      <c r="J13" s="16">
        <f t="shared" si="3"/>
        <v>724.91399999999999</v>
      </c>
    </row>
    <row r="14" spans="1:10" x14ac:dyDescent="0.2">
      <c r="A14" s="51">
        <v>44631</v>
      </c>
      <c r="B14" s="10">
        <v>19325</v>
      </c>
      <c r="C14" s="8">
        <f t="shared" si="1"/>
        <v>1988</v>
      </c>
      <c r="D14" s="10">
        <v>8370</v>
      </c>
      <c r="E14" s="8">
        <f>IF(D15-D14 &lt; 0,0,D15-D14)</f>
        <v>1015</v>
      </c>
      <c r="F14" s="10">
        <v>173</v>
      </c>
      <c r="G14" s="60">
        <v>0.51</v>
      </c>
      <c r="H14" s="12" t="s">
        <v>25</v>
      </c>
      <c r="I14" s="8">
        <f t="shared" si="2"/>
        <v>3003</v>
      </c>
      <c r="J14" s="16">
        <f t="shared" si="3"/>
        <v>752.19899999999996</v>
      </c>
    </row>
    <row r="15" spans="1:10" x14ac:dyDescent="0.2">
      <c r="A15" s="51">
        <v>44632</v>
      </c>
      <c r="B15" s="10">
        <v>21313</v>
      </c>
      <c r="C15" s="8">
        <f t="shared" si="1"/>
        <v>2067</v>
      </c>
      <c r="D15" s="10">
        <v>9385</v>
      </c>
      <c r="E15" s="8">
        <f>IF(D16-D15 &lt; 0,0,D16-D15)</f>
        <v>1067</v>
      </c>
      <c r="F15" s="10">
        <v>173</v>
      </c>
      <c r="G15" s="60">
        <v>0.52</v>
      </c>
      <c r="H15" s="12" t="s">
        <v>27</v>
      </c>
      <c r="I15" s="8">
        <f t="shared" si="2"/>
        <v>3134</v>
      </c>
      <c r="J15" s="16">
        <f t="shared" si="3"/>
        <v>784.15499999999997</v>
      </c>
    </row>
    <row r="16" spans="1:10" x14ac:dyDescent="0.2">
      <c r="A16" s="51">
        <v>44633</v>
      </c>
      <c r="B16" s="10">
        <v>23380</v>
      </c>
      <c r="C16" s="8">
        <f t="shared" si="1"/>
        <v>1926</v>
      </c>
      <c r="D16" s="10">
        <v>10452</v>
      </c>
      <c r="E16" s="8">
        <f t="shared" si="0"/>
        <v>988</v>
      </c>
      <c r="F16" s="10">
        <v>173</v>
      </c>
      <c r="G16" s="60">
        <v>0.28000000000000003</v>
      </c>
      <c r="H16" s="12" t="s">
        <v>27</v>
      </c>
      <c r="I16" s="8">
        <f t="shared" si="2"/>
        <v>2914</v>
      </c>
      <c r="J16" s="16">
        <f t="shared" si="3"/>
        <v>729.56399999999996</v>
      </c>
    </row>
    <row r="17" spans="1:10" x14ac:dyDescent="0.2">
      <c r="A17" s="51">
        <v>44634</v>
      </c>
      <c r="B17" s="10">
        <v>25306</v>
      </c>
      <c r="C17" s="8">
        <f t="shared" si="1"/>
        <v>2035</v>
      </c>
      <c r="D17" s="10">
        <v>11440</v>
      </c>
      <c r="E17" s="8">
        <f t="shared" si="0"/>
        <v>985</v>
      </c>
      <c r="F17" s="10">
        <v>173</v>
      </c>
      <c r="G17" s="60">
        <v>0.24</v>
      </c>
      <c r="H17" s="12" t="s">
        <v>27</v>
      </c>
      <c r="I17" s="8">
        <f t="shared" si="2"/>
        <v>3020</v>
      </c>
      <c r="J17" s="16">
        <f t="shared" si="3"/>
        <v>760.42499999999995</v>
      </c>
    </row>
    <row r="18" spans="1:10" x14ac:dyDescent="0.2">
      <c r="A18" s="51">
        <v>44635</v>
      </c>
      <c r="B18" s="10">
        <v>27341</v>
      </c>
      <c r="C18" s="8">
        <f t="shared" si="1"/>
        <v>1990</v>
      </c>
      <c r="D18" s="10">
        <v>12425</v>
      </c>
      <c r="E18" s="8">
        <f t="shared" si="0"/>
        <v>1020</v>
      </c>
      <c r="F18" s="10">
        <v>177</v>
      </c>
      <c r="G18" s="60">
        <v>0.28000000000000003</v>
      </c>
      <c r="H18" s="12" t="s">
        <v>26</v>
      </c>
      <c r="I18" s="8">
        <f t="shared" si="2"/>
        <v>3010</v>
      </c>
      <c r="J18" s="16">
        <f t="shared" si="3"/>
        <v>753.66</v>
      </c>
    </row>
    <row r="19" spans="1:10" x14ac:dyDescent="0.2">
      <c r="A19" s="51">
        <v>44636</v>
      </c>
      <c r="B19" s="10">
        <v>29331</v>
      </c>
      <c r="C19" s="8">
        <f t="shared" si="1"/>
        <v>2115</v>
      </c>
      <c r="D19" s="10">
        <v>13445</v>
      </c>
      <c r="E19" s="8">
        <f t="shared" si="0"/>
        <v>973</v>
      </c>
      <c r="F19" s="10">
        <v>177</v>
      </c>
      <c r="G19" s="60">
        <v>0.33</v>
      </c>
      <c r="H19" s="12" t="s">
        <v>26</v>
      </c>
      <c r="I19" s="8">
        <f t="shared" si="2"/>
        <v>3088</v>
      </c>
      <c r="J19" s="16">
        <f t="shared" si="3"/>
        <v>781.34100000000001</v>
      </c>
    </row>
    <row r="20" spans="1:10" x14ac:dyDescent="0.2">
      <c r="A20" s="51">
        <v>44637</v>
      </c>
      <c r="B20" s="10">
        <v>31446</v>
      </c>
      <c r="C20" s="8">
        <f t="shared" si="1"/>
        <v>2182</v>
      </c>
      <c r="D20" s="10">
        <v>14418</v>
      </c>
      <c r="E20" s="8">
        <f t="shared" si="0"/>
        <v>1093</v>
      </c>
      <c r="F20" s="10">
        <v>181</v>
      </c>
      <c r="G20" s="60">
        <v>0.52</v>
      </c>
      <c r="H20" s="12" t="s">
        <v>26</v>
      </c>
      <c r="I20" s="8">
        <f t="shared" si="2"/>
        <v>3275</v>
      </c>
      <c r="J20" s="16">
        <f t="shared" si="3"/>
        <v>821.87699999999995</v>
      </c>
    </row>
    <row r="21" spans="1:10" x14ac:dyDescent="0.2">
      <c r="A21" s="51">
        <v>44638</v>
      </c>
      <c r="B21" s="10">
        <v>33628</v>
      </c>
      <c r="C21" s="8">
        <f t="shared" si="1"/>
        <v>2362</v>
      </c>
      <c r="D21" s="10">
        <v>15511</v>
      </c>
      <c r="E21" s="8">
        <f t="shared" si="0"/>
        <v>1011</v>
      </c>
      <c r="F21" s="10">
        <v>183</v>
      </c>
      <c r="G21" s="60">
        <v>0.61</v>
      </c>
      <c r="H21" s="12" t="s">
        <v>27</v>
      </c>
      <c r="I21" s="8">
        <f t="shared" si="2"/>
        <v>3373</v>
      </c>
      <c r="J21" s="16">
        <f t="shared" si="3"/>
        <v>859.20299999999997</v>
      </c>
    </row>
    <row r="22" spans="1:10" x14ac:dyDescent="0.2">
      <c r="A22" s="51">
        <v>44639</v>
      </c>
      <c r="B22" s="10">
        <v>35990</v>
      </c>
      <c r="C22" s="8">
        <f t="shared" si="1"/>
        <v>2290</v>
      </c>
      <c r="D22" s="10">
        <v>16522</v>
      </c>
      <c r="E22" s="8">
        <f t="shared" si="0"/>
        <v>1054</v>
      </c>
      <c r="F22" s="10">
        <v>197</v>
      </c>
      <c r="G22" s="60">
        <v>0.47</v>
      </c>
      <c r="H22" s="12" t="s">
        <v>27</v>
      </c>
      <c r="I22" s="8">
        <f t="shared" si="2"/>
        <v>3344</v>
      </c>
      <c r="J22" s="16">
        <f t="shared" si="3"/>
        <v>846.07799999999997</v>
      </c>
    </row>
    <row r="23" spans="1:10" x14ac:dyDescent="0.2">
      <c r="A23" s="51">
        <v>44640</v>
      </c>
      <c r="B23" s="10">
        <v>38280</v>
      </c>
      <c r="C23" s="8">
        <f t="shared" si="1"/>
        <v>2261</v>
      </c>
      <c r="D23" s="10">
        <v>17576</v>
      </c>
      <c r="E23" s="8">
        <f t="shared" si="0"/>
        <v>958</v>
      </c>
      <c r="F23" s="10">
        <v>197</v>
      </c>
      <c r="G23" s="60">
        <v>0.43</v>
      </c>
      <c r="H23" s="12" t="s">
        <v>27</v>
      </c>
      <c r="I23" s="8">
        <f t="shared" si="2"/>
        <v>3219</v>
      </c>
      <c r="J23" s="16">
        <f t="shared" si="3"/>
        <v>820.73400000000004</v>
      </c>
    </row>
    <row r="24" spans="1:10" x14ac:dyDescent="0.2">
      <c r="A24" s="51">
        <v>44641</v>
      </c>
      <c r="B24" s="10">
        <v>40541</v>
      </c>
      <c r="C24" s="8">
        <f t="shared" si="1"/>
        <v>2228</v>
      </c>
      <c r="D24" s="10">
        <v>18534</v>
      </c>
      <c r="E24" s="8">
        <f t="shared" si="0"/>
        <v>928</v>
      </c>
      <c r="F24" s="10">
        <v>197</v>
      </c>
      <c r="G24" s="60">
        <v>0.26</v>
      </c>
      <c r="H24" s="12" t="s">
        <v>27</v>
      </c>
      <c r="I24" s="8">
        <f t="shared" si="2"/>
        <v>3156</v>
      </c>
      <c r="J24" s="16">
        <f t="shared" si="3"/>
        <v>805.92</v>
      </c>
    </row>
    <row r="25" spans="1:10" x14ac:dyDescent="0.2">
      <c r="A25" s="51">
        <v>44642</v>
      </c>
      <c r="B25" s="10">
        <v>42769</v>
      </c>
      <c r="C25" s="8">
        <f t="shared" si="1"/>
        <v>2123</v>
      </c>
      <c r="D25" s="10">
        <v>19462</v>
      </c>
      <c r="E25" s="8">
        <f t="shared" si="0"/>
        <v>1014</v>
      </c>
      <c r="F25" s="10">
        <v>197</v>
      </c>
      <c r="G25" s="60">
        <v>0.33</v>
      </c>
      <c r="H25" s="12" t="s">
        <v>26</v>
      </c>
      <c r="I25" s="8">
        <f t="shared" si="2"/>
        <v>3137</v>
      </c>
      <c r="J25" s="16">
        <f t="shared" si="3"/>
        <v>790.90199999999993</v>
      </c>
    </row>
    <row r="26" spans="1:10" x14ac:dyDescent="0.2">
      <c r="A26" s="51">
        <v>44643</v>
      </c>
      <c r="B26" s="10">
        <v>44892</v>
      </c>
      <c r="C26" s="8">
        <f t="shared" si="1"/>
        <v>2167</v>
      </c>
      <c r="D26" s="10">
        <v>20476</v>
      </c>
      <c r="E26" s="8">
        <f t="shared" si="0"/>
        <v>1173</v>
      </c>
      <c r="F26" s="10">
        <v>197</v>
      </c>
      <c r="G26" s="69">
        <v>0.45</v>
      </c>
      <c r="H26" s="18" t="s">
        <v>27</v>
      </c>
      <c r="I26" s="8">
        <f t="shared" si="2"/>
        <v>3340</v>
      </c>
      <c r="J26" s="16">
        <f t="shared" si="3"/>
        <v>831.71699999999998</v>
      </c>
    </row>
    <row r="27" spans="1:10" x14ac:dyDescent="0.2">
      <c r="A27" s="51">
        <v>44644</v>
      </c>
      <c r="B27" s="10">
        <v>47059</v>
      </c>
      <c r="C27" s="8">
        <f t="shared" si="1"/>
        <v>2170</v>
      </c>
      <c r="D27" s="10">
        <v>21649</v>
      </c>
      <c r="E27" s="8">
        <f t="shared" si="0"/>
        <v>1018</v>
      </c>
      <c r="F27" s="10">
        <v>197</v>
      </c>
      <c r="G27" s="60">
        <v>0.42</v>
      </c>
      <c r="H27" s="12" t="s">
        <v>26</v>
      </c>
      <c r="I27" s="8">
        <f t="shared" si="2"/>
        <v>3188</v>
      </c>
      <c r="J27" s="16">
        <f t="shared" si="3"/>
        <v>805.14599999999996</v>
      </c>
    </row>
    <row r="28" spans="1:10" x14ac:dyDescent="0.2">
      <c r="A28" s="51">
        <v>44645</v>
      </c>
      <c r="B28" s="10">
        <v>49229</v>
      </c>
      <c r="C28" s="8">
        <f t="shared" si="1"/>
        <v>2258</v>
      </c>
      <c r="D28" s="10">
        <v>22667</v>
      </c>
      <c r="E28" s="8">
        <f t="shared" si="0"/>
        <v>978</v>
      </c>
      <c r="F28" s="10">
        <v>197</v>
      </c>
      <c r="G28" s="60">
        <v>0.45</v>
      </c>
      <c r="H28" s="12" t="s">
        <v>25</v>
      </c>
      <c r="I28" s="8">
        <f t="shared" si="2"/>
        <v>3236</v>
      </c>
      <c r="J28" s="16">
        <f t="shared" si="3"/>
        <v>823.41</v>
      </c>
    </row>
    <row r="29" spans="1:10" x14ac:dyDescent="0.2">
      <c r="A29" s="51">
        <v>44646</v>
      </c>
      <c r="B29" s="10">
        <v>51487</v>
      </c>
      <c r="C29" s="8">
        <f t="shared" si="1"/>
        <v>2134</v>
      </c>
      <c r="D29" s="10">
        <v>23645</v>
      </c>
      <c r="E29" s="8">
        <f t="shared" si="0"/>
        <v>1026</v>
      </c>
      <c r="F29" s="10">
        <v>197</v>
      </c>
      <c r="G29" s="60">
        <v>0.43</v>
      </c>
      <c r="H29" s="12" t="s">
        <v>28</v>
      </c>
      <c r="I29" s="8">
        <f t="shared" si="2"/>
        <v>3160</v>
      </c>
      <c r="J29" s="16">
        <f t="shared" si="3"/>
        <v>796.19399999999996</v>
      </c>
    </row>
    <row r="30" spans="1:10" x14ac:dyDescent="0.2">
      <c r="A30" s="51">
        <v>44647</v>
      </c>
      <c r="B30" s="10">
        <v>53621</v>
      </c>
      <c r="C30" s="8">
        <f t="shared" si="1"/>
        <v>2195</v>
      </c>
      <c r="D30" s="10">
        <v>24671</v>
      </c>
      <c r="E30" s="8">
        <f t="shared" si="0"/>
        <v>1008</v>
      </c>
      <c r="F30" s="10">
        <v>197</v>
      </c>
      <c r="G30" s="60">
        <v>0.32</v>
      </c>
      <c r="H30" s="12" t="s">
        <v>29</v>
      </c>
      <c r="I30" s="8">
        <f t="shared" si="2"/>
        <v>3203</v>
      </c>
      <c r="J30" s="16">
        <f t="shared" si="3"/>
        <v>810.57600000000002</v>
      </c>
    </row>
    <row r="31" spans="1:10" x14ac:dyDescent="0.2">
      <c r="A31" s="51">
        <v>44648</v>
      </c>
      <c r="B31" s="10">
        <v>55816</v>
      </c>
      <c r="C31" s="8">
        <f t="shared" si="1"/>
        <v>2141</v>
      </c>
      <c r="D31" s="10">
        <v>25679</v>
      </c>
      <c r="E31" s="8">
        <f t="shared" si="0"/>
        <v>1100</v>
      </c>
      <c r="F31" s="10">
        <v>197</v>
      </c>
      <c r="G31" s="60">
        <v>0.34</v>
      </c>
      <c r="H31" s="12" t="s">
        <v>29</v>
      </c>
      <c r="I31" s="8">
        <f t="shared" si="2"/>
        <v>3241</v>
      </c>
      <c r="J31" s="16">
        <f t="shared" si="3"/>
        <v>811.30799999999999</v>
      </c>
    </row>
    <row r="32" spans="1:10" x14ac:dyDescent="0.2">
      <c r="A32" s="51">
        <v>44649</v>
      </c>
      <c r="B32" s="10">
        <v>57957</v>
      </c>
      <c r="C32" s="8">
        <f t="shared" si="1"/>
        <v>2276</v>
      </c>
      <c r="D32" s="10">
        <v>26779</v>
      </c>
      <c r="E32" s="8">
        <f t="shared" si="0"/>
        <v>1032</v>
      </c>
      <c r="F32" s="10">
        <v>197</v>
      </c>
      <c r="G32" s="60">
        <v>0.27</v>
      </c>
      <c r="H32" s="12" t="s">
        <v>30</v>
      </c>
      <c r="I32" s="8">
        <f t="shared" si="2"/>
        <v>3308</v>
      </c>
      <c r="J32" s="16">
        <f t="shared" si="3"/>
        <v>838.15199999999993</v>
      </c>
    </row>
    <row r="33" spans="1:10" x14ac:dyDescent="0.2">
      <c r="A33" s="51">
        <v>44650</v>
      </c>
      <c r="B33" s="10">
        <v>60233</v>
      </c>
      <c r="C33" s="8">
        <f t="shared" si="1"/>
        <v>0</v>
      </c>
      <c r="D33" s="10">
        <v>27811</v>
      </c>
      <c r="E33" s="8">
        <f t="shared" si="0"/>
        <v>0</v>
      </c>
      <c r="F33" s="10">
        <v>202</v>
      </c>
      <c r="G33" s="60">
        <v>0.27</v>
      </c>
      <c r="H33" s="12" t="s">
        <v>30</v>
      </c>
      <c r="I33" s="8">
        <f t="shared" si="2"/>
        <v>0</v>
      </c>
      <c r="J33" s="16">
        <f t="shared" si="3"/>
        <v>0</v>
      </c>
    </row>
    <row r="34" spans="1:10" x14ac:dyDescent="0.2">
      <c r="A34" s="51">
        <v>44651</v>
      </c>
      <c r="B34" s="10">
        <v>0</v>
      </c>
      <c r="C34" s="8">
        <v>0</v>
      </c>
      <c r="D34" s="10">
        <v>0</v>
      </c>
      <c r="E34" s="8">
        <v>0</v>
      </c>
      <c r="F34" s="10">
        <v>0</v>
      </c>
      <c r="G34" s="60">
        <v>0.3</v>
      </c>
      <c r="H34" s="12" t="s">
        <v>30</v>
      </c>
      <c r="I34" s="8">
        <f t="shared" si="2"/>
        <v>0</v>
      </c>
      <c r="J34" s="16">
        <f t="shared" si="3"/>
        <v>0</v>
      </c>
    </row>
    <row r="35" spans="1:10" x14ac:dyDescent="0.2">
      <c r="A35" s="51"/>
      <c r="B35" s="58"/>
      <c r="C35" s="8"/>
      <c r="D35" s="10"/>
      <c r="E35" s="8"/>
      <c r="F35" s="10"/>
      <c r="G35" s="12"/>
      <c r="H35" s="12"/>
      <c r="I35" s="8">
        <f t="shared" si="2"/>
        <v>0</v>
      </c>
      <c r="J35" s="16">
        <f t="shared" si="3"/>
        <v>0</v>
      </c>
    </row>
    <row r="36" spans="1:10" ht="13.5" customHeight="1" x14ac:dyDescent="0.2">
      <c r="A36" s="92"/>
      <c r="B36" s="93"/>
      <c r="C36" s="9">
        <f>SUM(C4:C35)</f>
        <v>58514</v>
      </c>
      <c r="D36" s="9"/>
      <c r="E36" s="9">
        <f>SUM(E4:E35)</f>
        <v>26492</v>
      </c>
      <c r="F36" s="9">
        <f>MAX(F4:F34)</f>
        <v>202</v>
      </c>
      <c r="G36" s="11"/>
      <c r="H36" s="11"/>
      <c r="I36" s="8">
        <f>+E36+C36</f>
        <v>85006</v>
      </c>
      <c r="J36" s="16">
        <f>(C36*0.288)+(E36*0.177)</f>
        <v>21541.115999999998</v>
      </c>
    </row>
    <row r="37" spans="1:10" x14ac:dyDescent="0.2">
      <c r="A37" s="4">
        <f>COUNT(A4:A34)</f>
        <v>31</v>
      </c>
      <c r="G37" s="1"/>
      <c r="H37" t="s">
        <v>33</v>
      </c>
    </row>
    <row r="38" spans="1:10" x14ac:dyDescent="0.2">
      <c r="H38" t="s">
        <v>34</v>
      </c>
    </row>
    <row r="39" spans="1:10" ht="15.75" x14ac:dyDescent="0.25">
      <c r="A39" s="13" t="s">
        <v>32</v>
      </c>
      <c r="H39" t="s">
        <v>35</v>
      </c>
    </row>
    <row r="40" spans="1:10" x14ac:dyDescent="0.2">
      <c r="H40" t="s">
        <v>36</v>
      </c>
    </row>
  </sheetData>
  <mergeCells count="1">
    <mergeCell ref="A36:B36"/>
  </mergeCells>
  <pageMargins left="0.24" right="0.18" top="0.63" bottom="0.56999999999999995" header="0.5" footer="0.5"/>
  <pageSetup paperSize="9" scale="51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40"/>
  <sheetViews>
    <sheetView topLeftCell="A16" zoomScaleNormal="100" workbookViewId="0">
      <selection activeCell="C30" sqref="C30"/>
    </sheetView>
  </sheetViews>
  <sheetFormatPr defaultRowHeight="12.75" x14ac:dyDescent="0.2"/>
  <cols>
    <col min="1" max="1" width="14" style="4" customWidth="1"/>
    <col min="2" max="2" width="20.28515625" style="1" bestFit="1" customWidth="1"/>
    <col min="3" max="3" width="18.85546875" style="1" bestFit="1" customWidth="1"/>
    <col min="4" max="4" width="20.28515625" style="1" bestFit="1" customWidth="1"/>
    <col min="5" max="5" width="18.85546875" style="1" customWidth="1"/>
    <col min="6" max="6" width="14.7109375" style="1" customWidth="1"/>
    <col min="7" max="7" width="11.28515625" customWidth="1"/>
    <col min="8" max="8" width="18.7109375" style="62" customWidth="1"/>
    <col min="9" max="9" width="19.140625" style="1" bestFit="1" customWidth="1"/>
    <col min="10" max="10" width="10.140625" style="14" bestFit="1" customWidth="1"/>
  </cols>
  <sheetData>
    <row r="1" spans="1:10" ht="18" x14ac:dyDescent="0.25">
      <c r="A1" s="6" t="s">
        <v>12</v>
      </c>
    </row>
    <row r="2" spans="1:10" ht="18" x14ac:dyDescent="0.25">
      <c r="A2" s="2"/>
      <c r="B2" s="7" t="s">
        <v>13</v>
      </c>
      <c r="C2" s="7" t="s">
        <v>14</v>
      </c>
      <c r="D2" s="7" t="s">
        <v>13</v>
      </c>
      <c r="E2" s="7" t="s">
        <v>14</v>
      </c>
      <c r="F2" s="7" t="s">
        <v>15</v>
      </c>
      <c r="G2" s="7" t="s">
        <v>16</v>
      </c>
      <c r="H2" s="7" t="s">
        <v>17</v>
      </c>
      <c r="I2" s="7" t="s">
        <v>18</v>
      </c>
      <c r="J2" s="15" t="s">
        <v>19</v>
      </c>
    </row>
    <row r="3" spans="1:10" x14ac:dyDescent="0.2">
      <c r="A3" s="3"/>
      <c r="B3" s="7" t="s">
        <v>20</v>
      </c>
      <c r="C3" s="7" t="s">
        <v>20</v>
      </c>
      <c r="D3" s="7"/>
      <c r="E3" s="7" t="s">
        <v>21</v>
      </c>
      <c r="F3" s="56" t="s">
        <v>20</v>
      </c>
      <c r="G3" s="7" t="s">
        <v>22</v>
      </c>
      <c r="H3" s="63"/>
      <c r="I3" s="7" t="s">
        <v>23</v>
      </c>
      <c r="J3" s="15" t="s">
        <v>24</v>
      </c>
    </row>
    <row r="4" spans="1:10" x14ac:dyDescent="0.2">
      <c r="A4" s="51">
        <v>44621</v>
      </c>
      <c r="B4" s="10">
        <v>5118</v>
      </c>
      <c r="C4" s="8">
        <f>IF(B5-B4 &lt; 0,0,B5-B4)</f>
        <v>5417</v>
      </c>
      <c r="D4" s="10">
        <v>5249</v>
      </c>
      <c r="E4" s="8">
        <f>IF(D5-D4 &lt; 0,0,D5-D4)</f>
        <v>3577</v>
      </c>
      <c r="F4" s="10">
        <v>423</v>
      </c>
      <c r="G4" s="60">
        <v>0.2</v>
      </c>
      <c r="H4" s="12" t="s">
        <v>25</v>
      </c>
      <c r="I4" s="8">
        <f>+E4+C4</f>
        <v>8994</v>
      </c>
      <c r="J4" s="16">
        <f>(C4*0.288)+(E4*0.177)</f>
        <v>2193.2249999999999</v>
      </c>
    </row>
    <row r="5" spans="1:10" x14ac:dyDescent="0.2">
      <c r="A5" s="51">
        <v>44622</v>
      </c>
      <c r="B5" s="10">
        <v>10535</v>
      </c>
      <c r="C5" s="8">
        <f t="shared" ref="C5:C34" si="0">IF(B6-B5 &lt; 0,0,B6-B5)</f>
        <v>5389</v>
      </c>
      <c r="D5" s="10">
        <v>8826</v>
      </c>
      <c r="E5" s="8">
        <f t="shared" ref="E5:E34" si="1">IF(D6-D5 &lt; 0,0,D6-D5)</f>
        <v>3306</v>
      </c>
      <c r="F5" s="10">
        <v>463</v>
      </c>
      <c r="G5" s="60">
        <v>0.23</v>
      </c>
      <c r="H5" s="12" t="s">
        <v>26</v>
      </c>
      <c r="I5" s="8">
        <f>+E5+C5</f>
        <v>8695</v>
      </c>
      <c r="J5" s="16">
        <f t="shared" ref="J5:J35" si="2">(C5*0.288)+(E5*0.177)</f>
        <v>2137.194</v>
      </c>
    </row>
    <row r="6" spans="1:10" s="68" customFormat="1" ht="11.25" customHeight="1" x14ac:dyDescent="0.2">
      <c r="A6" s="51">
        <v>44623</v>
      </c>
      <c r="B6" s="65">
        <v>15924</v>
      </c>
      <c r="C6" s="66">
        <f t="shared" si="0"/>
        <v>3889</v>
      </c>
      <c r="D6" s="65">
        <v>12132</v>
      </c>
      <c r="E6" s="66">
        <f t="shared" si="1"/>
        <v>3836</v>
      </c>
      <c r="F6" s="65">
        <v>463</v>
      </c>
      <c r="G6" s="60">
        <v>0.34</v>
      </c>
      <c r="H6" s="12" t="s">
        <v>25</v>
      </c>
      <c r="I6" s="66">
        <f>+E6+C6</f>
        <v>7725</v>
      </c>
      <c r="J6" s="67">
        <f t="shared" si="2"/>
        <v>1799.0039999999999</v>
      </c>
    </row>
    <row r="7" spans="1:10" x14ac:dyDescent="0.2">
      <c r="A7" s="51">
        <v>44624</v>
      </c>
      <c r="B7" s="10">
        <v>19813</v>
      </c>
      <c r="C7" s="8">
        <f t="shared" si="0"/>
        <v>6427</v>
      </c>
      <c r="D7" s="10">
        <v>15968</v>
      </c>
      <c r="E7" s="8">
        <f t="shared" si="1"/>
        <v>2364</v>
      </c>
      <c r="F7" s="12">
        <v>463</v>
      </c>
      <c r="G7" s="60">
        <v>0.35</v>
      </c>
      <c r="H7" s="12" t="s">
        <v>25</v>
      </c>
      <c r="I7" s="8">
        <f t="shared" ref="I7:I35" si="3">+E7+C7</f>
        <v>8791</v>
      </c>
      <c r="J7" s="16">
        <f t="shared" si="2"/>
        <v>2269.404</v>
      </c>
    </row>
    <row r="8" spans="1:10" x14ac:dyDescent="0.2">
      <c r="A8" s="51">
        <v>44625</v>
      </c>
      <c r="B8" s="10">
        <v>26240</v>
      </c>
      <c r="C8" s="8">
        <f t="shared" si="0"/>
        <v>4837</v>
      </c>
      <c r="D8" s="10">
        <v>18332</v>
      </c>
      <c r="E8" s="8">
        <f t="shared" si="1"/>
        <v>2935</v>
      </c>
      <c r="F8" s="12">
        <v>463</v>
      </c>
      <c r="G8" s="60">
        <v>0.28999999999999998</v>
      </c>
      <c r="H8" s="12" t="s">
        <v>27</v>
      </c>
      <c r="I8" s="8">
        <f t="shared" si="3"/>
        <v>7772</v>
      </c>
      <c r="J8" s="16">
        <f t="shared" si="2"/>
        <v>1912.5509999999999</v>
      </c>
    </row>
    <row r="9" spans="1:10" x14ac:dyDescent="0.2">
      <c r="A9" s="51">
        <v>44626</v>
      </c>
      <c r="B9" s="10">
        <v>31077</v>
      </c>
      <c r="C9" s="8">
        <f t="shared" si="0"/>
        <v>4709</v>
      </c>
      <c r="D9" s="10">
        <v>21267</v>
      </c>
      <c r="E9" s="8">
        <f t="shared" si="1"/>
        <v>2854</v>
      </c>
      <c r="F9" s="10">
        <v>463</v>
      </c>
      <c r="G9" s="60">
        <v>0.3</v>
      </c>
      <c r="H9" s="12" t="s">
        <v>27</v>
      </c>
      <c r="I9" s="8">
        <f t="shared" si="3"/>
        <v>7563</v>
      </c>
      <c r="J9" s="16">
        <f t="shared" si="2"/>
        <v>1861.35</v>
      </c>
    </row>
    <row r="10" spans="1:10" x14ac:dyDescent="0.2">
      <c r="A10" s="51">
        <v>44627</v>
      </c>
      <c r="B10" s="10">
        <v>35786</v>
      </c>
      <c r="C10" s="8">
        <f t="shared" si="0"/>
        <v>4617</v>
      </c>
      <c r="D10" s="10">
        <v>24121</v>
      </c>
      <c r="E10" s="8">
        <f t="shared" si="1"/>
        <v>2846</v>
      </c>
      <c r="F10" s="10">
        <v>463</v>
      </c>
      <c r="G10" s="61">
        <v>0.27</v>
      </c>
      <c r="H10" s="12" t="s">
        <v>26</v>
      </c>
      <c r="I10" s="8">
        <f t="shared" si="3"/>
        <v>7463</v>
      </c>
      <c r="J10" s="16">
        <f t="shared" si="2"/>
        <v>1833.4379999999999</v>
      </c>
    </row>
    <row r="11" spans="1:10" x14ac:dyDescent="0.2">
      <c r="A11" s="51">
        <v>44628</v>
      </c>
      <c r="B11" s="10">
        <v>40403</v>
      </c>
      <c r="C11" s="8">
        <f t="shared" si="0"/>
        <v>4737</v>
      </c>
      <c r="D11" s="10">
        <v>26967</v>
      </c>
      <c r="E11" s="8">
        <f t="shared" si="1"/>
        <v>2773</v>
      </c>
      <c r="F11" s="10">
        <v>463</v>
      </c>
      <c r="G11" s="60">
        <v>0.27</v>
      </c>
      <c r="H11" s="12" t="s">
        <v>26</v>
      </c>
      <c r="I11" s="8">
        <f t="shared" si="3"/>
        <v>7510</v>
      </c>
      <c r="J11" s="16">
        <f t="shared" si="2"/>
        <v>1855.0769999999998</v>
      </c>
    </row>
    <row r="12" spans="1:10" x14ac:dyDescent="0.2">
      <c r="A12" s="51">
        <v>44629</v>
      </c>
      <c r="B12" s="10">
        <v>45140</v>
      </c>
      <c r="C12" s="8">
        <f t="shared" si="0"/>
        <v>5268</v>
      </c>
      <c r="D12" s="10">
        <v>29740</v>
      </c>
      <c r="E12" s="8">
        <f t="shared" si="1"/>
        <v>3257</v>
      </c>
      <c r="F12" s="10">
        <v>463</v>
      </c>
      <c r="G12" s="60">
        <v>0.3</v>
      </c>
      <c r="H12" s="12" t="s">
        <v>27</v>
      </c>
      <c r="I12" s="8">
        <f t="shared" si="3"/>
        <v>8525</v>
      </c>
      <c r="J12" s="16">
        <f t="shared" si="2"/>
        <v>2093.6729999999998</v>
      </c>
    </row>
    <row r="13" spans="1:10" x14ac:dyDescent="0.2">
      <c r="A13" s="51">
        <v>44630</v>
      </c>
      <c r="B13" s="10">
        <v>50408</v>
      </c>
      <c r="C13" s="8">
        <f t="shared" si="0"/>
        <v>5408</v>
      </c>
      <c r="D13" s="10">
        <v>32997</v>
      </c>
      <c r="E13" s="8">
        <f t="shared" si="1"/>
        <v>3046</v>
      </c>
      <c r="F13" s="10">
        <v>463</v>
      </c>
      <c r="G13" s="60">
        <v>0.32</v>
      </c>
      <c r="H13" s="12" t="s">
        <v>25</v>
      </c>
      <c r="I13" s="8">
        <f t="shared" si="3"/>
        <v>8454</v>
      </c>
      <c r="J13" s="16">
        <f t="shared" si="2"/>
        <v>2096.6459999999997</v>
      </c>
    </row>
    <row r="14" spans="1:10" x14ac:dyDescent="0.2">
      <c r="A14" s="51">
        <v>44631</v>
      </c>
      <c r="B14" s="10">
        <v>55816</v>
      </c>
      <c r="C14" s="8">
        <f t="shared" si="0"/>
        <v>5268</v>
      </c>
      <c r="D14" s="10">
        <v>36043</v>
      </c>
      <c r="E14" s="8">
        <f t="shared" si="1"/>
        <v>3075</v>
      </c>
      <c r="F14" s="10">
        <v>463</v>
      </c>
      <c r="G14" s="60">
        <v>0.51</v>
      </c>
      <c r="H14" s="12" t="s">
        <v>25</v>
      </c>
      <c r="I14" s="8">
        <f t="shared" si="3"/>
        <v>8343</v>
      </c>
      <c r="J14" s="16">
        <f t="shared" si="2"/>
        <v>2061.4589999999998</v>
      </c>
    </row>
    <row r="15" spans="1:10" x14ac:dyDescent="0.2">
      <c r="A15" s="51">
        <v>44632</v>
      </c>
      <c r="B15" s="10">
        <v>61084</v>
      </c>
      <c r="C15" s="8">
        <f t="shared" si="0"/>
        <v>5449</v>
      </c>
      <c r="D15" s="10">
        <v>39118</v>
      </c>
      <c r="E15" s="8">
        <f t="shared" si="1"/>
        <v>3457</v>
      </c>
      <c r="F15" s="10">
        <v>463</v>
      </c>
      <c r="G15" s="60">
        <v>0.52</v>
      </c>
      <c r="H15" s="12" t="s">
        <v>27</v>
      </c>
      <c r="I15" s="8">
        <f t="shared" si="3"/>
        <v>8906</v>
      </c>
      <c r="J15" s="16">
        <f t="shared" si="2"/>
        <v>2181.201</v>
      </c>
    </row>
    <row r="16" spans="1:10" x14ac:dyDescent="0.2">
      <c r="A16" s="51">
        <v>44633</v>
      </c>
      <c r="B16" s="10">
        <v>66533</v>
      </c>
      <c r="C16" s="8">
        <f t="shared" si="0"/>
        <v>5429</v>
      </c>
      <c r="D16" s="10">
        <v>42575</v>
      </c>
      <c r="E16" s="8">
        <f t="shared" si="1"/>
        <v>2768</v>
      </c>
      <c r="F16" s="10">
        <v>463</v>
      </c>
      <c r="G16" s="60">
        <v>0.28000000000000003</v>
      </c>
      <c r="H16" s="12" t="s">
        <v>27</v>
      </c>
      <c r="I16" s="8">
        <f t="shared" si="3"/>
        <v>8197</v>
      </c>
      <c r="J16" s="16">
        <f t="shared" si="2"/>
        <v>2053.4879999999998</v>
      </c>
    </row>
    <row r="17" spans="1:10" x14ac:dyDescent="0.2">
      <c r="A17" s="51">
        <v>44634</v>
      </c>
      <c r="B17" s="10">
        <v>71962</v>
      </c>
      <c r="C17" s="8">
        <f t="shared" si="0"/>
        <v>5428</v>
      </c>
      <c r="D17" s="10">
        <v>45343</v>
      </c>
      <c r="E17" s="8">
        <f t="shared" si="1"/>
        <v>3433</v>
      </c>
      <c r="F17" s="10">
        <v>464</v>
      </c>
      <c r="G17" s="60">
        <v>0.24</v>
      </c>
      <c r="H17" s="12" t="s">
        <v>27</v>
      </c>
      <c r="I17" s="8">
        <f t="shared" si="3"/>
        <v>8861</v>
      </c>
      <c r="J17" s="16">
        <f t="shared" si="2"/>
        <v>2170.9049999999997</v>
      </c>
    </row>
    <row r="18" spans="1:10" x14ac:dyDescent="0.2">
      <c r="A18" s="51">
        <v>44635</v>
      </c>
      <c r="B18" s="10">
        <v>77390</v>
      </c>
      <c r="C18" s="8">
        <f t="shared" si="0"/>
        <v>5229</v>
      </c>
      <c r="D18" s="10">
        <v>48776</v>
      </c>
      <c r="E18" s="8">
        <f t="shared" si="1"/>
        <v>3145</v>
      </c>
      <c r="F18" s="10">
        <v>464</v>
      </c>
      <c r="G18" s="60">
        <v>0.28000000000000003</v>
      </c>
      <c r="H18" s="12" t="s">
        <v>26</v>
      </c>
      <c r="I18" s="8">
        <f t="shared" si="3"/>
        <v>8374</v>
      </c>
      <c r="J18" s="16">
        <f t="shared" si="2"/>
        <v>2062.6170000000002</v>
      </c>
    </row>
    <row r="19" spans="1:10" x14ac:dyDescent="0.2">
      <c r="A19" s="51">
        <v>44636</v>
      </c>
      <c r="B19" s="10">
        <v>82619</v>
      </c>
      <c r="C19" s="8">
        <f t="shared" si="0"/>
        <v>5079</v>
      </c>
      <c r="D19" s="10">
        <v>51921</v>
      </c>
      <c r="E19" s="8">
        <f t="shared" si="1"/>
        <v>2856</v>
      </c>
      <c r="F19" s="10">
        <v>464</v>
      </c>
      <c r="G19" s="60">
        <v>0.33</v>
      </c>
      <c r="H19" s="12" t="s">
        <v>26</v>
      </c>
      <c r="I19" s="8">
        <f t="shared" si="3"/>
        <v>7935</v>
      </c>
      <c r="J19" s="16">
        <f t="shared" si="2"/>
        <v>1968.2639999999999</v>
      </c>
    </row>
    <row r="20" spans="1:10" x14ac:dyDescent="0.2">
      <c r="A20" s="51">
        <v>44637</v>
      </c>
      <c r="B20" s="10">
        <v>87698</v>
      </c>
      <c r="C20" s="8">
        <f t="shared" si="0"/>
        <v>5212</v>
      </c>
      <c r="D20" s="10">
        <v>54777</v>
      </c>
      <c r="E20" s="8">
        <f t="shared" si="1"/>
        <v>3755</v>
      </c>
      <c r="F20" s="10">
        <v>464</v>
      </c>
      <c r="G20" s="60">
        <v>0.52</v>
      </c>
      <c r="H20" s="12" t="s">
        <v>26</v>
      </c>
      <c r="I20" s="8">
        <f t="shared" si="3"/>
        <v>8967</v>
      </c>
      <c r="J20" s="16">
        <f t="shared" si="2"/>
        <v>2165.6909999999998</v>
      </c>
    </row>
    <row r="21" spans="1:10" x14ac:dyDescent="0.2">
      <c r="A21" s="51">
        <v>44638</v>
      </c>
      <c r="B21" s="10">
        <v>92910</v>
      </c>
      <c r="C21" s="8">
        <f t="shared" si="0"/>
        <v>5805</v>
      </c>
      <c r="D21" s="10">
        <v>58532</v>
      </c>
      <c r="E21" s="8">
        <f t="shared" si="1"/>
        <v>2985</v>
      </c>
      <c r="F21" s="10">
        <v>464</v>
      </c>
      <c r="G21" s="60">
        <v>0.61</v>
      </c>
      <c r="H21" s="12" t="s">
        <v>27</v>
      </c>
      <c r="I21" s="8">
        <f t="shared" si="3"/>
        <v>8790</v>
      </c>
      <c r="J21" s="16">
        <f t="shared" si="2"/>
        <v>2200.1849999999999</v>
      </c>
    </row>
    <row r="22" spans="1:10" x14ac:dyDescent="0.2">
      <c r="A22" s="51">
        <v>44639</v>
      </c>
      <c r="B22" s="10">
        <v>98715</v>
      </c>
      <c r="C22" s="8">
        <f t="shared" si="0"/>
        <v>5679</v>
      </c>
      <c r="D22" s="10">
        <v>61517</v>
      </c>
      <c r="E22" s="8">
        <f t="shared" si="1"/>
        <v>3065</v>
      </c>
      <c r="F22" s="10">
        <v>464</v>
      </c>
      <c r="G22" s="60">
        <v>0.47</v>
      </c>
      <c r="H22" s="12" t="s">
        <v>27</v>
      </c>
      <c r="I22" s="8">
        <f t="shared" si="3"/>
        <v>8744</v>
      </c>
      <c r="J22" s="16">
        <f t="shared" si="2"/>
        <v>2178.0569999999998</v>
      </c>
    </row>
    <row r="23" spans="1:10" x14ac:dyDescent="0.2">
      <c r="A23" s="51">
        <v>44640</v>
      </c>
      <c r="B23" s="10">
        <v>104394</v>
      </c>
      <c r="C23" s="8">
        <f t="shared" si="0"/>
        <v>5088</v>
      </c>
      <c r="D23" s="10">
        <v>64582</v>
      </c>
      <c r="E23" s="8">
        <f t="shared" si="1"/>
        <v>3176</v>
      </c>
      <c r="F23" s="10">
        <v>464</v>
      </c>
      <c r="G23" s="60">
        <v>0.43</v>
      </c>
      <c r="H23" s="12" t="s">
        <v>27</v>
      </c>
      <c r="I23" s="8">
        <f t="shared" si="3"/>
        <v>8264</v>
      </c>
      <c r="J23" s="16">
        <f t="shared" si="2"/>
        <v>2027.4959999999996</v>
      </c>
    </row>
    <row r="24" spans="1:10" x14ac:dyDescent="0.2">
      <c r="A24" s="51">
        <v>44641</v>
      </c>
      <c r="B24" s="10">
        <v>109482</v>
      </c>
      <c r="C24" s="8">
        <f>IF(B25-B24 &lt; 0,0,B25-B24)</f>
        <v>5139</v>
      </c>
      <c r="D24" s="10">
        <v>67758</v>
      </c>
      <c r="E24" s="8">
        <f t="shared" si="1"/>
        <v>2933</v>
      </c>
      <c r="F24" s="10">
        <v>464</v>
      </c>
      <c r="G24" s="60">
        <v>0.26</v>
      </c>
      <c r="H24" s="12" t="s">
        <v>27</v>
      </c>
      <c r="I24" s="8">
        <f t="shared" si="3"/>
        <v>8072</v>
      </c>
      <c r="J24" s="16">
        <f t="shared" si="2"/>
        <v>1999.1729999999998</v>
      </c>
    </row>
    <row r="25" spans="1:10" x14ac:dyDescent="0.2">
      <c r="A25" s="51">
        <v>44642</v>
      </c>
      <c r="B25" s="57">
        <v>114621</v>
      </c>
      <c r="C25" s="8">
        <f>IF(B26-B25 &lt; 0,0,B26-B25)</f>
        <v>5089</v>
      </c>
      <c r="D25" s="10">
        <v>70691</v>
      </c>
      <c r="E25" s="8">
        <f t="shared" si="1"/>
        <v>3095</v>
      </c>
      <c r="F25" s="10">
        <v>464</v>
      </c>
      <c r="G25" s="60">
        <v>0.33</v>
      </c>
      <c r="H25" s="12" t="s">
        <v>26</v>
      </c>
      <c r="I25" s="8">
        <f t="shared" si="3"/>
        <v>8184</v>
      </c>
      <c r="J25" s="16">
        <f t="shared" si="2"/>
        <v>2013.4469999999997</v>
      </c>
    </row>
    <row r="26" spans="1:10" x14ac:dyDescent="0.2">
      <c r="A26" s="51">
        <v>44643</v>
      </c>
      <c r="B26" s="10">
        <v>119710</v>
      </c>
      <c r="C26" s="8">
        <f t="shared" si="0"/>
        <v>5259</v>
      </c>
      <c r="D26" s="10">
        <v>73786</v>
      </c>
      <c r="E26" s="8">
        <f t="shared" si="1"/>
        <v>3347</v>
      </c>
      <c r="F26" s="10">
        <v>464</v>
      </c>
      <c r="G26" s="69">
        <v>0.45</v>
      </c>
      <c r="H26" s="18" t="s">
        <v>27</v>
      </c>
      <c r="I26" s="8">
        <f t="shared" si="3"/>
        <v>8606</v>
      </c>
      <c r="J26" s="16">
        <f t="shared" si="2"/>
        <v>2107.011</v>
      </c>
    </row>
    <row r="27" spans="1:10" x14ac:dyDescent="0.2">
      <c r="A27" s="51">
        <v>44644</v>
      </c>
      <c r="B27" s="10">
        <v>124969</v>
      </c>
      <c r="C27" s="8">
        <f>IF(B28-B27 &lt; 0,0,B28-B27)</f>
        <v>5378</v>
      </c>
      <c r="D27" s="10">
        <v>77133</v>
      </c>
      <c r="E27" s="8">
        <f t="shared" si="1"/>
        <v>2914</v>
      </c>
      <c r="F27" s="10">
        <v>464</v>
      </c>
      <c r="G27" s="60">
        <v>0.42</v>
      </c>
      <c r="H27" s="12" t="s">
        <v>26</v>
      </c>
      <c r="I27" s="8">
        <f t="shared" si="3"/>
        <v>8292</v>
      </c>
      <c r="J27" s="16">
        <f t="shared" si="2"/>
        <v>2064.6419999999998</v>
      </c>
    </row>
    <row r="28" spans="1:10" x14ac:dyDescent="0.2">
      <c r="A28" s="51">
        <v>44645</v>
      </c>
      <c r="B28" s="10">
        <v>130347</v>
      </c>
      <c r="C28" s="8">
        <f t="shared" si="0"/>
        <v>5288</v>
      </c>
      <c r="D28" s="10">
        <v>80047</v>
      </c>
      <c r="E28" s="8">
        <f t="shared" si="1"/>
        <v>3336</v>
      </c>
      <c r="F28" s="10">
        <v>464</v>
      </c>
      <c r="G28" s="60">
        <v>0.45</v>
      </c>
      <c r="H28" s="12" t="s">
        <v>25</v>
      </c>
      <c r="I28" s="8">
        <f t="shared" si="3"/>
        <v>8624</v>
      </c>
      <c r="J28" s="16">
        <f t="shared" si="2"/>
        <v>2113.4160000000002</v>
      </c>
    </row>
    <row r="29" spans="1:10" x14ac:dyDescent="0.2">
      <c r="A29" s="51">
        <v>44646</v>
      </c>
      <c r="B29" s="10">
        <v>135635</v>
      </c>
      <c r="C29" s="8">
        <f t="shared" si="0"/>
        <v>5519</v>
      </c>
      <c r="D29" s="10">
        <v>83383</v>
      </c>
      <c r="E29" s="8">
        <f t="shared" si="1"/>
        <v>3075</v>
      </c>
      <c r="F29" s="10">
        <v>464</v>
      </c>
      <c r="G29" s="60">
        <v>0.43</v>
      </c>
      <c r="H29" s="12" t="s">
        <v>28</v>
      </c>
      <c r="I29" s="8">
        <f t="shared" si="3"/>
        <v>8594</v>
      </c>
      <c r="J29" s="16">
        <f t="shared" si="2"/>
        <v>2133.7469999999998</v>
      </c>
    </row>
    <row r="30" spans="1:10" x14ac:dyDescent="0.2">
      <c r="A30" s="51">
        <v>44647</v>
      </c>
      <c r="B30" s="10">
        <v>141154</v>
      </c>
      <c r="C30" s="8">
        <f t="shared" si="0"/>
        <v>5518</v>
      </c>
      <c r="D30" s="10">
        <v>86458</v>
      </c>
      <c r="E30" s="8">
        <f t="shared" si="1"/>
        <v>3085</v>
      </c>
      <c r="F30" s="10">
        <v>464</v>
      </c>
      <c r="G30" s="60">
        <v>0.32</v>
      </c>
      <c r="H30" s="12" t="s">
        <v>29</v>
      </c>
      <c r="I30" s="8">
        <f t="shared" si="3"/>
        <v>8603</v>
      </c>
      <c r="J30" s="16">
        <f t="shared" si="2"/>
        <v>2135.2289999999998</v>
      </c>
    </row>
    <row r="31" spans="1:10" x14ac:dyDescent="0.2">
      <c r="A31" s="51">
        <v>44648</v>
      </c>
      <c r="B31" s="10">
        <v>146672</v>
      </c>
      <c r="C31" s="8">
        <f t="shared" si="0"/>
        <v>5518</v>
      </c>
      <c r="D31" s="10">
        <v>89543</v>
      </c>
      <c r="E31" s="8">
        <f t="shared" si="1"/>
        <v>3464</v>
      </c>
      <c r="F31" s="10">
        <v>464</v>
      </c>
      <c r="G31" s="60">
        <v>0.34</v>
      </c>
      <c r="H31" s="12" t="s">
        <v>29</v>
      </c>
      <c r="I31" s="8">
        <f t="shared" si="3"/>
        <v>8982</v>
      </c>
      <c r="J31" s="16">
        <f t="shared" si="2"/>
        <v>2202.3119999999999</v>
      </c>
    </row>
    <row r="32" spans="1:10" x14ac:dyDescent="0.2">
      <c r="A32" s="51">
        <v>44649</v>
      </c>
      <c r="B32" s="10">
        <v>152190</v>
      </c>
      <c r="C32" s="8">
        <f t="shared" si="0"/>
        <v>5297</v>
      </c>
      <c r="D32" s="10">
        <v>93007</v>
      </c>
      <c r="E32" s="8">
        <f t="shared" si="1"/>
        <v>3095</v>
      </c>
      <c r="F32" s="10">
        <v>465</v>
      </c>
      <c r="G32" s="60">
        <v>0.27</v>
      </c>
      <c r="H32" s="12" t="s">
        <v>30</v>
      </c>
      <c r="I32" s="8">
        <f t="shared" si="3"/>
        <v>8392</v>
      </c>
      <c r="J32" s="16">
        <f t="shared" si="2"/>
        <v>2073.3509999999997</v>
      </c>
    </row>
    <row r="33" spans="1:10" x14ac:dyDescent="0.2">
      <c r="A33" s="51">
        <v>44650</v>
      </c>
      <c r="B33" s="10">
        <v>157487</v>
      </c>
      <c r="C33" s="8">
        <f t="shared" si="0"/>
        <v>0</v>
      </c>
      <c r="D33" s="10">
        <v>96102</v>
      </c>
      <c r="E33" s="8">
        <f t="shared" si="1"/>
        <v>0</v>
      </c>
      <c r="F33" s="10">
        <v>464</v>
      </c>
      <c r="G33" s="60">
        <v>0.27</v>
      </c>
      <c r="H33" s="12" t="s">
        <v>30</v>
      </c>
      <c r="I33" s="8">
        <f t="shared" si="3"/>
        <v>0</v>
      </c>
      <c r="J33" s="16">
        <f t="shared" si="2"/>
        <v>0</v>
      </c>
    </row>
    <row r="34" spans="1:10" x14ac:dyDescent="0.2">
      <c r="A34" s="51">
        <v>44651</v>
      </c>
      <c r="B34" s="10">
        <v>0</v>
      </c>
      <c r="C34" s="8">
        <f t="shared" si="0"/>
        <v>0</v>
      </c>
      <c r="D34" s="10">
        <v>0</v>
      </c>
      <c r="E34" s="8">
        <f t="shared" si="1"/>
        <v>0</v>
      </c>
      <c r="F34" s="10">
        <v>0</v>
      </c>
      <c r="G34" s="60">
        <v>0.3</v>
      </c>
      <c r="H34" s="12" t="s">
        <v>30</v>
      </c>
      <c r="I34" s="8">
        <f t="shared" si="3"/>
        <v>0</v>
      </c>
      <c r="J34" s="16">
        <f t="shared" si="2"/>
        <v>0</v>
      </c>
    </row>
    <row r="35" spans="1:10" x14ac:dyDescent="0.2">
      <c r="A35" s="5"/>
      <c r="B35" s="58"/>
      <c r="C35" s="8"/>
      <c r="D35" s="10"/>
      <c r="E35" s="8"/>
      <c r="F35" s="10"/>
      <c r="G35" s="12"/>
      <c r="H35" s="64"/>
      <c r="I35" s="8">
        <f t="shared" si="3"/>
        <v>0</v>
      </c>
      <c r="J35" s="16">
        <f t="shared" si="2"/>
        <v>0</v>
      </c>
    </row>
    <row r="36" spans="1:10" x14ac:dyDescent="0.2">
      <c r="A36" s="92"/>
      <c r="B36" s="93"/>
      <c r="C36" s="9">
        <f>SUM(C4:C35)</f>
        <v>152369</v>
      </c>
      <c r="D36" s="9"/>
      <c r="E36" s="9">
        <f>SUM(E4:E35)</f>
        <v>90853</v>
      </c>
      <c r="F36" s="9">
        <f>MAX(F4:F34)</f>
        <v>465</v>
      </c>
      <c r="G36" s="11"/>
      <c r="H36" s="63"/>
      <c r="I36" s="8">
        <f>+E36+C36</f>
        <v>243222</v>
      </c>
      <c r="J36" s="16">
        <f>(C36*0.288)+(E36*0.177)</f>
        <v>59963.252999999997</v>
      </c>
    </row>
    <row r="37" spans="1:10" x14ac:dyDescent="0.2">
      <c r="A37" s="4">
        <f>COUNT(A4:A34)</f>
        <v>31</v>
      </c>
      <c r="G37" s="1"/>
    </row>
    <row r="38" spans="1:10" x14ac:dyDescent="0.2">
      <c r="H38" s="62" t="s">
        <v>34</v>
      </c>
    </row>
    <row r="39" spans="1:10" ht="15.75" x14ac:dyDescent="0.25">
      <c r="A39" s="13" t="s">
        <v>32</v>
      </c>
      <c r="H39" s="62" t="s">
        <v>35</v>
      </c>
    </row>
    <row r="40" spans="1:10" x14ac:dyDescent="0.2">
      <c r="H40" s="62" t="s">
        <v>36</v>
      </c>
    </row>
  </sheetData>
  <mergeCells count="1">
    <mergeCell ref="A36:B36"/>
  </mergeCells>
  <pageMargins left="0.25" right="0.17" top="0.63" bottom="0.57999999999999996" header="0.5" footer="0.5"/>
  <pageSetup paperSize="9" scale="61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38"/>
  <sheetViews>
    <sheetView topLeftCell="A11" zoomScale="90" zoomScaleNormal="90" workbookViewId="0">
      <selection activeCell="D35" sqref="D35"/>
    </sheetView>
  </sheetViews>
  <sheetFormatPr defaultRowHeight="12.75" x14ac:dyDescent="0.2"/>
  <cols>
    <col min="1" max="1" width="14" style="4" customWidth="1"/>
    <col min="2" max="2" width="20.28515625" style="1" bestFit="1" customWidth="1"/>
    <col min="3" max="3" width="18.85546875" style="1" bestFit="1" customWidth="1"/>
    <col min="4" max="4" width="25.7109375" style="1" bestFit="1" customWidth="1"/>
    <col min="5" max="5" width="18.85546875" style="1" customWidth="1"/>
    <col min="6" max="6" width="11.28515625" customWidth="1"/>
    <col min="7" max="7" width="11.7109375" customWidth="1"/>
    <col min="8" max="8" width="19.140625" style="1" bestFit="1" customWidth="1"/>
    <col min="9" max="9" width="13.28515625" style="14" customWidth="1"/>
  </cols>
  <sheetData>
    <row r="1" spans="1:9" ht="18" x14ac:dyDescent="0.25">
      <c r="A1" s="6" t="s">
        <v>37</v>
      </c>
    </row>
    <row r="2" spans="1:9" ht="18" x14ac:dyDescent="0.25">
      <c r="A2" s="2"/>
      <c r="B2" s="7" t="s">
        <v>38</v>
      </c>
      <c r="C2" s="7" t="s">
        <v>39</v>
      </c>
      <c r="D2" s="7" t="s">
        <v>40</v>
      </c>
      <c r="E2" s="7" t="s">
        <v>39</v>
      </c>
      <c r="F2" s="7" t="s">
        <v>16</v>
      </c>
      <c r="G2" s="7" t="s">
        <v>17</v>
      </c>
      <c r="H2" s="7" t="s">
        <v>18</v>
      </c>
      <c r="I2" s="15" t="s">
        <v>19</v>
      </c>
    </row>
    <row r="3" spans="1:9" x14ac:dyDescent="0.2">
      <c r="A3" s="3"/>
      <c r="B3" s="7" t="s">
        <v>41</v>
      </c>
      <c r="C3" s="7" t="s">
        <v>41</v>
      </c>
      <c r="D3" s="7" t="s">
        <v>41</v>
      </c>
      <c r="E3" s="7" t="s">
        <v>41</v>
      </c>
      <c r="F3" s="7" t="s">
        <v>22</v>
      </c>
      <c r="G3" s="11"/>
      <c r="H3" s="7" t="s">
        <v>41</v>
      </c>
      <c r="I3" s="15" t="s">
        <v>24</v>
      </c>
    </row>
    <row r="4" spans="1:9" x14ac:dyDescent="0.2">
      <c r="A4" s="51">
        <v>44621</v>
      </c>
      <c r="B4" s="10">
        <v>241503</v>
      </c>
      <c r="C4" s="8">
        <f t="shared" ref="C4:C6" si="0">IF(B5-B4&lt;0,0,B5-B4)</f>
        <v>1149</v>
      </c>
      <c r="D4" s="10">
        <v>2751</v>
      </c>
      <c r="E4" s="8">
        <f t="shared" ref="E4:E6" si="1">IF(D5-D4&lt;0,0,D5-D4)</f>
        <v>14</v>
      </c>
      <c r="F4" s="60">
        <v>0.2</v>
      </c>
      <c r="G4" s="12" t="s">
        <v>25</v>
      </c>
      <c r="H4" s="8">
        <f>+E4+C4</f>
        <v>1163</v>
      </c>
      <c r="I4" s="16">
        <f>(C4*1.35)+(E4*1.35)</f>
        <v>1570.0500000000002</v>
      </c>
    </row>
    <row r="5" spans="1:9" x14ac:dyDescent="0.2">
      <c r="A5" s="51">
        <v>44622</v>
      </c>
      <c r="B5" s="10">
        <v>242652</v>
      </c>
      <c r="C5" s="8">
        <f t="shared" si="0"/>
        <v>1190</v>
      </c>
      <c r="D5" s="10">
        <v>2765</v>
      </c>
      <c r="E5" s="8">
        <f t="shared" si="1"/>
        <v>5</v>
      </c>
      <c r="F5" s="60">
        <v>0.23</v>
      </c>
      <c r="G5" s="12" t="s">
        <v>26</v>
      </c>
      <c r="H5" s="8">
        <f t="shared" ref="H5:H34" si="2">+E5+C5</f>
        <v>1195</v>
      </c>
      <c r="I5" s="16">
        <f t="shared" ref="I5:I34" si="3">(C5*1.35)+(E5*1.35)</f>
        <v>1613.25</v>
      </c>
    </row>
    <row r="6" spans="1:9" x14ac:dyDescent="0.2">
      <c r="A6" s="51">
        <v>44623</v>
      </c>
      <c r="B6" s="10">
        <v>243842</v>
      </c>
      <c r="C6" s="8">
        <f t="shared" si="0"/>
        <v>1204</v>
      </c>
      <c r="D6" s="10">
        <v>2770</v>
      </c>
      <c r="E6" s="8">
        <f t="shared" si="1"/>
        <v>22</v>
      </c>
      <c r="F6" s="60">
        <v>0.34</v>
      </c>
      <c r="G6" s="12" t="s">
        <v>25</v>
      </c>
      <c r="H6" s="8">
        <f t="shared" si="2"/>
        <v>1226</v>
      </c>
      <c r="I6" s="16">
        <f>(C6*1.35)+(E6*1.35)</f>
        <v>1655.1000000000001</v>
      </c>
    </row>
    <row r="7" spans="1:9" x14ac:dyDescent="0.2">
      <c r="A7" s="51">
        <v>44624</v>
      </c>
      <c r="B7" s="10">
        <v>245046</v>
      </c>
      <c r="C7" s="8">
        <f>IF(B8-B7&lt;0,0,B8-B7)</f>
        <v>1196</v>
      </c>
      <c r="D7" s="10">
        <v>2792</v>
      </c>
      <c r="E7" s="8">
        <f>IF(D8-D7&lt;0,0,D8-D7)</f>
        <v>17</v>
      </c>
      <c r="F7" s="60">
        <v>0.35</v>
      </c>
      <c r="G7" s="12" t="s">
        <v>25</v>
      </c>
      <c r="H7" s="8">
        <f t="shared" si="2"/>
        <v>1213</v>
      </c>
      <c r="I7" s="16">
        <f t="shared" si="3"/>
        <v>1637.5500000000002</v>
      </c>
    </row>
    <row r="8" spans="1:9" x14ac:dyDescent="0.2">
      <c r="A8" s="51">
        <v>44625</v>
      </c>
      <c r="B8" s="10">
        <v>246242</v>
      </c>
      <c r="C8" s="8">
        <f>IF(B9-B8&lt;0,0,B9-B8)</f>
        <v>1129</v>
      </c>
      <c r="D8" s="10">
        <v>2809</v>
      </c>
      <c r="E8" s="8">
        <f>IF(D9-D8&lt;0,0,D9-D8)</f>
        <v>5</v>
      </c>
      <c r="F8" s="60">
        <v>0.28999999999999998</v>
      </c>
      <c r="G8" s="12" t="s">
        <v>27</v>
      </c>
      <c r="H8" s="8">
        <f t="shared" si="2"/>
        <v>1134</v>
      </c>
      <c r="I8" s="16">
        <f t="shared" si="3"/>
        <v>1530.9</v>
      </c>
    </row>
    <row r="9" spans="1:9" x14ac:dyDescent="0.2">
      <c r="A9" s="51">
        <v>44626</v>
      </c>
      <c r="B9" s="10">
        <v>247371</v>
      </c>
      <c r="C9" s="8">
        <f t="shared" ref="C9:C34" si="4">IF(B10-B9&lt;0,0,B10-B9)</f>
        <v>1119</v>
      </c>
      <c r="D9" s="10">
        <v>2814</v>
      </c>
      <c r="E9" s="8">
        <f t="shared" ref="E9:E34" si="5">IF(D10-D9&lt;0,0,D10-D9)</f>
        <v>7</v>
      </c>
      <c r="F9" s="60">
        <v>0.3</v>
      </c>
      <c r="G9" s="12" t="s">
        <v>27</v>
      </c>
      <c r="H9" s="8">
        <f t="shared" si="2"/>
        <v>1126</v>
      </c>
      <c r="I9" s="16">
        <f t="shared" si="3"/>
        <v>1520.1000000000001</v>
      </c>
    </row>
    <row r="10" spans="1:9" x14ac:dyDescent="0.2">
      <c r="A10" s="51">
        <v>44627</v>
      </c>
      <c r="B10" s="10">
        <v>248490</v>
      </c>
      <c r="C10" s="8">
        <f t="shared" si="4"/>
        <v>1099</v>
      </c>
      <c r="D10" s="10">
        <v>2821</v>
      </c>
      <c r="E10" s="8">
        <f t="shared" si="5"/>
        <v>5</v>
      </c>
      <c r="F10" s="61">
        <v>0.27</v>
      </c>
      <c r="G10" s="12" t="s">
        <v>26</v>
      </c>
      <c r="H10" s="8">
        <f t="shared" si="2"/>
        <v>1104</v>
      </c>
      <c r="I10" s="16">
        <f t="shared" si="3"/>
        <v>1490.4</v>
      </c>
    </row>
    <row r="11" spans="1:9" x14ac:dyDescent="0.2">
      <c r="A11" s="51">
        <v>44628</v>
      </c>
      <c r="B11" s="10">
        <v>249589</v>
      </c>
      <c r="C11" s="8">
        <f>IF(B12-B11&lt;0,0,B12-B11)</f>
        <v>1016</v>
      </c>
      <c r="D11" s="10">
        <v>2826</v>
      </c>
      <c r="E11" s="8">
        <f t="shared" si="5"/>
        <v>6</v>
      </c>
      <c r="F11" s="60">
        <v>0.27</v>
      </c>
      <c r="G11" s="12" t="s">
        <v>26</v>
      </c>
      <c r="H11" s="8">
        <f t="shared" si="2"/>
        <v>1022</v>
      </c>
      <c r="I11" s="16">
        <f t="shared" si="3"/>
        <v>1379.7</v>
      </c>
    </row>
    <row r="12" spans="1:9" x14ac:dyDescent="0.2">
      <c r="A12" s="51">
        <v>44629</v>
      </c>
      <c r="B12" s="10">
        <v>250605</v>
      </c>
      <c r="C12" s="8">
        <f t="shared" si="4"/>
        <v>1341</v>
      </c>
      <c r="D12" s="10">
        <v>2832</v>
      </c>
      <c r="E12" s="8">
        <f t="shared" si="5"/>
        <v>8</v>
      </c>
      <c r="F12" s="60">
        <v>0.3</v>
      </c>
      <c r="G12" s="12" t="s">
        <v>27</v>
      </c>
      <c r="H12" s="8">
        <f t="shared" si="2"/>
        <v>1349</v>
      </c>
      <c r="I12" s="16">
        <f t="shared" si="3"/>
        <v>1821.15</v>
      </c>
    </row>
    <row r="13" spans="1:9" x14ac:dyDescent="0.2">
      <c r="A13" s="51">
        <v>44630</v>
      </c>
      <c r="B13" s="10">
        <v>251946</v>
      </c>
      <c r="C13" s="8">
        <f t="shared" si="4"/>
        <v>1231</v>
      </c>
      <c r="D13" s="10">
        <v>2840</v>
      </c>
      <c r="E13" s="8">
        <f t="shared" si="5"/>
        <v>8</v>
      </c>
      <c r="F13" s="60">
        <v>0.32</v>
      </c>
      <c r="G13" s="12" t="s">
        <v>25</v>
      </c>
      <c r="H13" s="8">
        <f t="shared" si="2"/>
        <v>1239</v>
      </c>
      <c r="I13" s="16">
        <f t="shared" si="3"/>
        <v>1672.65</v>
      </c>
    </row>
    <row r="14" spans="1:9" x14ac:dyDescent="0.2">
      <c r="A14" s="51">
        <v>44631</v>
      </c>
      <c r="B14" s="10">
        <v>253177</v>
      </c>
      <c r="C14" s="8">
        <f t="shared" si="4"/>
        <v>1152</v>
      </c>
      <c r="D14" s="10">
        <v>2848</v>
      </c>
      <c r="E14" s="8">
        <f t="shared" si="5"/>
        <v>10</v>
      </c>
      <c r="F14" s="60">
        <v>0.51</v>
      </c>
      <c r="G14" s="12" t="s">
        <v>25</v>
      </c>
      <c r="H14" s="8">
        <f t="shared" si="2"/>
        <v>1162</v>
      </c>
      <c r="I14" s="16">
        <f t="shared" si="3"/>
        <v>1568.7</v>
      </c>
    </row>
    <row r="15" spans="1:9" x14ac:dyDescent="0.2">
      <c r="A15" s="51">
        <v>44632</v>
      </c>
      <c r="B15" s="10">
        <v>254329</v>
      </c>
      <c r="C15" s="8">
        <f t="shared" si="4"/>
        <v>1279</v>
      </c>
      <c r="D15" s="10">
        <v>2858</v>
      </c>
      <c r="E15" s="8">
        <f t="shared" si="5"/>
        <v>8</v>
      </c>
      <c r="F15" s="60">
        <v>0.52</v>
      </c>
      <c r="G15" s="12" t="s">
        <v>27</v>
      </c>
      <c r="H15" s="8">
        <f t="shared" si="2"/>
        <v>1287</v>
      </c>
      <c r="I15" s="16">
        <f t="shared" si="3"/>
        <v>1737.45</v>
      </c>
    </row>
    <row r="16" spans="1:9" x14ac:dyDescent="0.2">
      <c r="A16" s="51">
        <v>44633</v>
      </c>
      <c r="B16" s="10">
        <v>255608</v>
      </c>
      <c r="C16" s="8">
        <f t="shared" si="4"/>
        <v>1207</v>
      </c>
      <c r="D16" s="10">
        <v>2866</v>
      </c>
      <c r="E16" s="8">
        <f t="shared" si="5"/>
        <v>4</v>
      </c>
      <c r="F16" s="60">
        <v>0.28000000000000003</v>
      </c>
      <c r="G16" s="12" t="s">
        <v>27</v>
      </c>
      <c r="H16" s="8">
        <f t="shared" si="2"/>
        <v>1211</v>
      </c>
      <c r="I16" s="16">
        <f t="shared" si="3"/>
        <v>1634.8500000000001</v>
      </c>
    </row>
    <row r="17" spans="1:9" x14ac:dyDescent="0.2">
      <c r="A17" s="51">
        <v>44634</v>
      </c>
      <c r="B17" s="10">
        <v>256815</v>
      </c>
      <c r="C17" s="8">
        <f t="shared" si="4"/>
        <v>1199</v>
      </c>
      <c r="D17" s="10">
        <v>2870</v>
      </c>
      <c r="E17" s="8">
        <f t="shared" si="5"/>
        <v>0</v>
      </c>
      <c r="F17" s="60">
        <v>0.24</v>
      </c>
      <c r="G17" s="12" t="s">
        <v>27</v>
      </c>
      <c r="H17" s="8">
        <f t="shared" si="2"/>
        <v>1199</v>
      </c>
      <c r="I17" s="16">
        <f t="shared" si="3"/>
        <v>1618.65</v>
      </c>
    </row>
    <row r="18" spans="1:9" x14ac:dyDescent="0.2">
      <c r="A18" s="51">
        <v>44635</v>
      </c>
      <c r="B18" s="10">
        <v>258014</v>
      </c>
      <c r="C18" s="8">
        <f t="shared" si="4"/>
        <v>1148</v>
      </c>
      <c r="D18" s="10">
        <v>2870</v>
      </c>
      <c r="E18" s="8">
        <f t="shared" si="5"/>
        <v>0</v>
      </c>
      <c r="F18" s="60">
        <v>0.28000000000000003</v>
      </c>
      <c r="G18" s="12" t="s">
        <v>26</v>
      </c>
      <c r="H18" s="8">
        <f t="shared" si="2"/>
        <v>1148</v>
      </c>
      <c r="I18" s="16">
        <f t="shared" si="3"/>
        <v>1549.8000000000002</v>
      </c>
    </row>
    <row r="19" spans="1:9" x14ac:dyDescent="0.2">
      <c r="A19" s="51">
        <v>44636</v>
      </c>
      <c r="B19" s="10">
        <v>259162</v>
      </c>
      <c r="C19" s="8">
        <f t="shared" si="4"/>
        <v>1170</v>
      </c>
      <c r="D19" s="10">
        <v>2870</v>
      </c>
      <c r="E19" s="8">
        <f t="shared" si="5"/>
        <v>0</v>
      </c>
      <c r="F19" s="60">
        <v>0.33</v>
      </c>
      <c r="G19" s="12" t="s">
        <v>26</v>
      </c>
      <c r="H19" s="8">
        <f t="shared" si="2"/>
        <v>1170</v>
      </c>
      <c r="I19" s="16">
        <f t="shared" si="3"/>
        <v>1579.5</v>
      </c>
    </row>
    <row r="20" spans="1:9" x14ac:dyDescent="0.2">
      <c r="A20" s="51">
        <v>44637</v>
      </c>
      <c r="B20" s="10">
        <v>260332</v>
      </c>
      <c r="C20" s="8">
        <f t="shared" si="4"/>
        <v>1182</v>
      </c>
      <c r="D20" s="10">
        <v>2870</v>
      </c>
      <c r="E20" s="8">
        <f t="shared" si="5"/>
        <v>7</v>
      </c>
      <c r="F20" s="60">
        <v>0.52</v>
      </c>
      <c r="G20" s="12" t="s">
        <v>26</v>
      </c>
      <c r="H20" s="8">
        <f t="shared" si="2"/>
        <v>1189</v>
      </c>
      <c r="I20" s="16">
        <f t="shared" si="3"/>
        <v>1605.15</v>
      </c>
    </row>
    <row r="21" spans="1:9" x14ac:dyDescent="0.2">
      <c r="A21" s="51">
        <v>44638</v>
      </c>
      <c r="B21" s="10">
        <v>261514</v>
      </c>
      <c r="C21" s="8">
        <f t="shared" si="4"/>
        <v>1306</v>
      </c>
      <c r="D21" s="10">
        <v>2877</v>
      </c>
      <c r="E21" s="8">
        <f t="shared" si="5"/>
        <v>2</v>
      </c>
      <c r="F21" s="60">
        <v>0.61</v>
      </c>
      <c r="G21" s="12" t="s">
        <v>27</v>
      </c>
      <c r="H21" s="8">
        <f t="shared" si="2"/>
        <v>1308</v>
      </c>
      <c r="I21" s="16">
        <f t="shared" si="3"/>
        <v>1765.8000000000002</v>
      </c>
    </row>
    <row r="22" spans="1:9" x14ac:dyDescent="0.2">
      <c r="A22" s="51">
        <v>44639</v>
      </c>
      <c r="B22" s="10">
        <v>262820</v>
      </c>
      <c r="C22" s="8">
        <f t="shared" si="4"/>
        <v>1265</v>
      </c>
      <c r="D22" s="10">
        <v>2879</v>
      </c>
      <c r="E22" s="8">
        <f t="shared" si="5"/>
        <v>0</v>
      </c>
      <c r="F22" s="60">
        <v>0.47</v>
      </c>
      <c r="G22" s="12" t="s">
        <v>27</v>
      </c>
      <c r="H22" s="8">
        <f t="shared" si="2"/>
        <v>1265</v>
      </c>
      <c r="I22" s="16">
        <f t="shared" si="3"/>
        <v>1707.75</v>
      </c>
    </row>
    <row r="23" spans="1:9" x14ac:dyDescent="0.2">
      <c r="A23" s="51">
        <v>44640</v>
      </c>
      <c r="B23" s="10">
        <v>264085</v>
      </c>
      <c r="C23" s="8">
        <f t="shared" si="4"/>
        <v>1246</v>
      </c>
      <c r="D23" s="10">
        <v>2879</v>
      </c>
      <c r="E23" s="8">
        <f t="shared" si="5"/>
        <v>1</v>
      </c>
      <c r="F23" s="60">
        <v>0.43</v>
      </c>
      <c r="G23" s="12" t="s">
        <v>27</v>
      </c>
      <c r="H23" s="8">
        <f t="shared" si="2"/>
        <v>1247</v>
      </c>
      <c r="I23" s="16">
        <f t="shared" si="3"/>
        <v>1683.45</v>
      </c>
    </row>
    <row r="24" spans="1:9" x14ac:dyDescent="0.2">
      <c r="A24" s="51">
        <v>44641</v>
      </c>
      <c r="B24" s="10">
        <v>265331</v>
      </c>
      <c r="C24" s="8">
        <f t="shared" si="4"/>
        <v>1238</v>
      </c>
      <c r="D24" s="10">
        <v>2880</v>
      </c>
      <c r="E24" s="8">
        <f t="shared" si="5"/>
        <v>1</v>
      </c>
      <c r="F24" s="60">
        <v>0.26</v>
      </c>
      <c r="G24" s="12" t="s">
        <v>27</v>
      </c>
      <c r="H24" s="8">
        <f t="shared" si="2"/>
        <v>1239</v>
      </c>
      <c r="I24" s="16">
        <f t="shared" si="3"/>
        <v>1672.65</v>
      </c>
    </row>
    <row r="25" spans="1:9" x14ac:dyDescent="0.2">
      <c r="A25" s="51">
        <v>44642</v>
      </c>
      <c r="B25" s="10">
        <v>266569</v>
      </c>
      <c r="C25" s="8">
        <f t="shared" si="4"/>
        <v>1293</v>
      </c>
      <c r="D25" s="10">
        <v>2881</v>
      </c>
      <c r="E25" s="8">
        <f t="shared" si="5"/>
        <v>1</v>
      </c>
      <c r="F25" s="60">
        <v>0.33</v>
      </c>
      <c r="G25" s="12" t="s">
        <v>26</v>
      </c>
      <c r="H25" s="8">
        <f t="shared" si="2"/>
        <v>1294</v>
      </c>
      <c r="I25" s="16">
        <f t="shared" si="3"/>
        <v>1746.9</v>
      </c>
    </row>
    <row r="26" spans="1:9" x14ac:dyDescent="0.2">
      <c r="A26" s="51">
        <v>44643</v>
      </c>
      <c r="B26" s="10">
        <v>267862</v>
      </c>
      <c r="C26" s="8">
        <f t="shared" si="4"/>
        <v>1314</v>
      </c>
      <c r="D26" s="10">
        <v>2882</v>
      </c>
      <c r="E26" s="8">
        <f t="shared" si="5"/>
        <v>1</v>
      </c>
      <c r="F26" s="69">
        <v>0.45</v>
      </c>
      <c r="G26" s="18" t="s">
        <v>27</v>
      </c>
      <c r="H26" s="8">
        <f t="shared" si="2"/>
        <v>1315</v>
      </c>
      <c r="I26" s="16">
        <f t="shared" si="3"/>
        <v>1775.25</v>
      </c>
    </row>
    <row r="27" spans="1:9" x14ac:dyDescent="0.2">
      <c r="A27" s="51">
        <v>44644</v>
      </c>
      <c r="B27" s="10">
        <v>269176</v>
      </c>
      <c r="C27" s="8">
        <f t="shared" si="4"/>
        <v>1357</v>
      </c>
      <c r="D27" s="10">
        <v>2883</v>
      </c>
      <c r="E27" s="8">
        <f t="shared" si="5"/>
        <v>0</v>
      </c>
      <c r="F27" s="60">
        <v>0.42</v>
      </c>
      <c r="G27" s="12" t="s">
        <v>26</v>
      </c>
      <c r="H27" s="8">
        <f t="shared" si="2"/>
        <v>1357</v>
      </c>
      <c r="I27" s="16">
        <f t="shared" si="3"/>
        <v>1831.95</v>
      </c>
    </row>
    <row r="28" spans="1:9" x14ac:dyDescent="0.2">
      <c r="A28" s="51">
        <v>44645</v>
      </c>
      <c r="B28" s="10">
        <v>270533</v>
      </c>
      <c r="C28" s="8">
        <f t="shared" si="4"/>
        <v>1310</v>
      </c>
      <c r="D28" s="10">
        <v>2883</v>
      </c>
      <c r="E28" s="8">
        <f t="shared" si="5"/>
        <v>1</v>
      </c>
      <c r="F28" s="60">
        <v>0.45</v>
      </c>
      <c r="G28" s="12" t="s">
        <v>25</v>
      </c>
      <c r="H28" s="8">
        <f t="shared" si="2"/>
        <v>1311</v>
      </c>
      <c r="I28" s="16">
        <f t="shared" si="3"/>
        <v>1769.8500000000001</v>
      </c>
    </row>
    <row r="29" spans="1:9" x14ac:dyDescent="0.2">
      <c r="A29" s="51">
        <v>44646</v>
      </c>
      <c r="B29" s="10">
        <v>271843</v>
      </c>
      <c r="C29" s="8">
        <f t="shared" si="4"/>
        <v>1290</v>
      </c>
      <c r="D29" s="10">
        <v>2884</v>
      </c>
      <c r="E29" s="8">
        <f t="shared" si="5"/>
        <v>1</v>
      </c>
      <c r="F29" s="60">
        <v>0.43</v>
      </c>
      <c r="G29" s="12" t="s">
        <v>28</v>
      </c>
      <c r="H29" s="8">
        <f t="shared" si="2"/>
        <v>1291</v>
      </c>
      <c r="I29" s="16">
        <f t="shared" si="3"/>
        <v>1742.8500000000001</v>
      </c>
    </row>
    <row r="30" spans="1:9" x14ac:dyDescent="0.2">
      <c r="A30" s="51">
        <v>44647</v>
      </c>
      <c r="B30" s="10">
        <v>273133</v>
      </c>
      <c r="C30" s="8">
        <f t="shared" si="4"/>
        <v>1101</v>
      </c>
      <c r="D30" s="10">
        <v>2885</v>
      </c>
      <c r="E30" s="8">
        <f t="shared" si="5"/>
        <v>1</v>
      </c>
      <c r="F30" s="60">
        <v>0.32</v>
      </c>
      <c r="G30" s="12" t="s">
        <v>29</v>
      </c>
      <c r="H30" s="8">
        <f t="shared" si="2"/>
        <v>1102</v>
      </c>
      <c r="I30" s="16">
        <f t="shared" si="3"/>
        <v>1487.7</v>
      </c>
    </row>
    <row r="31" spans="1:9" x14ac:dyDescent="0.2">
      <c r="A31" s="51">
        <v>44648</v>
      </c>
      <c r="B31" s="10">
        <v>274234</v>
      </c>
      <c r="C31" s="8">
        <f t="shared" si="4"/>
        <v>889</v>
      </c>
      <c r="D31" s="10">
        <v>2886</v>
      </c>
      <c r="E31" s="8">
        <f t="shared" si="5"/>
        <v>1</v>
      </c>
      <c r="F31" s="60">
        <v>0.34</v>
      </c>
      <c r="G31" s="12" t="s">
        <v>29</v>
      </c>
      <c r="H31" s="8">
        <f t="shared" si="2"/>
        <v>890</v>
      </c>
      <c r="I31" s="16">
        <f t="shared" si="3"/>
        <v>1201.5</v>
      </c>
    </row>
    <row r="32" spans="1:9" x14ac:dyDescent="0.2">
      <c r="A32" s="51">
        <v>44649</v>
      </c>
      <c r="B32" s="10">
        <v>275123</v>
      </c>
      <c r="C32" s="8">
        <f t="shared" si="4"/>
        <v>838</v>
      </c>
      <c r="D32" s="10">
        <v>2887</v>
      </c>
      <c r="E32" s="8">
        <f t="shared" si="5"/>
        <v>1</v>
      </c>
      <c r="F32" s="60">
        <v>0.27</v>
      </c>
      <c r="G32" s="12" t="s">
        <v>30</v>
      </c>
      <c r="H32" s="8">
        <f t="shared" si="2"/>
        <v>839</v>
      </c>
      <c r="I32" s="16">
        <f t="shared" si="3"/>
        <v>1132.6500000000001</v>
      </c>
    </row>
    <row r="33" spans="1:9" x14ac:dyDescent="0.2">
      <c r="A33" s="51">
        <v>44650</v>
      </c>
      <c r="B33" s="10">
        <v>275961</v>
      </c>
      <c r="C33" s="8">
        <f t="shared" si="4"/>
        <v>864</v>
      </c>
      <c r="D33" s="10">
        <v>2888</v>
      </c>
      <c r="E33" s="8">
        <f t="shared" si="5"/>
        <v>1</v>
      </c>
      <c r="F33" s="60">
        <v>0.27</v>
      </c>
      <c r="G33" s="12" t="s">
        <v>30</v>
      </c>
      <c r="H33" s="8">
        <f t="shared" si="2"/>
        <v>865</v>
      </c>
      <c r="I33" s="16">
        <f t="shared" si="3"/>
        <v>1167.75</v>
      </c>
    </row>
    <row r="34" spans="1:9" x14ac:dyDescent="0.2">
      <c r="A34" s="51">
        <v>44651</v>
      </c>
      <c r="B34" s="10">
        <v>276825</v>
      </c>
      <c r="C34" s="8">
        <f t="shared" si="4"/>
        <v>0</v>
      </c>
      <c r="D34" s="10">
        <v>2889</v>
      </c>
      <c r="E34" s="8">
        <f t="shared" si="5"/>
        <v>0</v>
      </c>
      <c r="F34" s="60">
        <v>0.3</v>
      </c>
      <c r="G34" s="12" t="s">
        <v>30</v>
      </c>
      <c r="H34" s="8">
        <f t="shared" si="2"/>
        <v>0</v>
      </c>
      <c r="I34" s="16">
        <f t="shared" si="3"/>
        <v>0</v>
      </c>
    </row>
    <row r="35" spans="1:9" x14ac:dyDescent="0.2">
      <c r="A35" s="92"/>
      <c r="B35" s="93"/>
      <c r="C35" s="9">
        <f>SUM(C4:C34)</f>
        <v>35322</v>
      </c>
      <c r="D35" s="9"/>
      <c r="E35" s="9">
        <f>SUM(E4:E34)</f>
        <v>138</v>
      </c>
      <c r="F35" s="11"/>
      <c r="G35" s="11"/>
      <c r="H35" s="8">
        <f>SUM(H4:H34)</f>
        <v>35460</v>
      </c>
      <c r="I35" s="16">
        <f>SUM(I4:I34)</f>
        <v>47870.999999999993</v>
      </c>
    </row>
    <row r="36" spans="1:9" x14ac:dyDescent="0.2">
      <c r="A36" s="17"/>
      <c r="F36" s="1"/>
    </row>
    <row r="38" spans="1:9" ht="15.75" x14ac:dyDescent="0.25">
      <c r="A38" s="13" t="s">
        <v>32</v>
      </c>
    </row>
  </sheetData>
  <mergeCells count="1">
    <mergeCell ref="A35:B35"/>
  </mergeCells>
  <phoneticPr fontId="4" type="noConversion"/>
  <printOptions horizontalCentered="1" verticalCentered="1"/>
  <pageMargins left="0.21" right="0.21" top="0.57999999999999996" bottom="0.69" header="0.5" footer="0.5"/>
  <pageSetup paperSize="9" scale="77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M39"/>
  <sheetViews>
    <sheetView topLeftCell="A30" zoomScale="85" workbookViewId="0">
      <selection activeCell="J36" sqref="J36"/>
    </sheetView>
  </sheetViews>
  <sheetFormatPr defaultRowHeight="12.75" x14ac:dyDescent="0.2"/>
  <cols>
    <col min="1" max="1" width="14" style="4" customWidth="1"/>
    <col min="2" max="2" width="12.140625" style="1" customWidth="1"/>
    <col min="3" max="3" width="12.5703125" style="1" customWidth="1"/>
    <col min="4" max="4" width="12.5703125" customWidth="1"/>
    <col min="5" max="5" width="9.42578125" style="14" customWidth="1"/>
    <col min="6" max="6" width="14" style="40" bestFit="1" customWidth="1"/>
    <col min="7" max="7" width="16.7109375" style="40" customWidth="1"/>
    <col min="8" max="8" width="13.7109375" style="40" customWidth="1"/>
    <col min="9" max="9" width="11" style="40" customWidth="1"/>
    <col min="10" max="10" width="9" style="40" customWidth="1"/>
  </cols>
  <sheetData>
    <row r="1" spans="1:13" ht="18" x14ac:dyDescent="0.25">
      <c r="A1" s="6" t="s">
        <v>42</v>
      </c>
    </row>
    <row r="2" spans="1:13" ht="26.25" x14ac:dyDescent="0.25">
      <c r="A2" s="41"/>
      <c r="B2" s="42" t="s">
        <v>43</v>
      </c>
      <c r="C2" s="42" t="s">
        <v>44</v>
      </c>
      <c r="D2" s="42" t="s">
        <v>44</v>
      </c>
      <c r="E2" s="43" t="s">
        <v>45</v>
      </c>
      <c r="F2" s="44" t="s">
        <v>46</v>
      </c>
      <c r="G2" s="42" t="s">
        <v>46</v>
      </c>
      <c r="H2" s="42" t="s">
        <v>39</v>
      </c>
      <c r="I2" s="45" t="s">
        <v>19</v>
      </c>
      <c r="J2" s="46" t="s">
        <v>47</v>
      </c>
      <c r="K2" s="47"/>
    </row>
    <row r="3" spans="1:13" x14ac:dyDescent="0.2">
      <c r="A3" s="48"/>
      <c r="B3" s="7" t="s">
        <v>48</v>
      </c>
      <c r="C3" s="7" t="s">
        <v>49</v>
      </c>
      <c r="D3" s="7" t="s">
        <v>50</v>
      </c>
      <c r="E3" s="31" t="s">
        <v>51</v>
      </c>
      <c r="F3" s="49" t="s">
        <v>49</v>
      </c>
      <c r="G3" s="7" t="s">
        <v>50</v>
      </c>
      <c r="H3" s="7" t="s">
        <v>52</v>
      </c>
      <c r="I3" s="15" t="s">
        <v>24</v>
      </c>
      <c r="J3" s="50"/>
      <c r="K3" s="47"/>
    </row>
    <row r="4" spans="1:13" x14ac:dyDescent="0.2">
      <c r="A4" s="51">
        <v>44621</v>
      </c>
      <c r="B4" s="7" t="s">
        <v>53</v>
      </c>
      <c r="C4" s="32"/>
      <c r="D4" s="32"/>
      <c r="E4" s="52">
        <f>D4-C4</f>
        <v>0</v>
      </c>
      <c r="F4" s="33"/>
      <c r="G4" s="34"/>
      <c r="H4" s="52">
        <f>G4-F4</f>
        <v>0</v>
      </c>
      <c r="I4" s="16">
        <f>(H4*[1]Summary!$C$6)</f>
        <v>0</v>
      </c>
      <c r="J4" s="76"/>
      <c r="K4" s="94"/>
      <c r="L4" s="94"/>
      <c r="M4" s="94"/>
    </row>
    <row r="5" spans="1:13" x14ac:dyDescent="0.2">
      <c r="A5" s="51">
        <v>44622</v>
      </c>
      <c r="B5" s="32">
        <v>2</v>
      </c>
      <c r="C5" s="35">
        <v>8.3000000000000007</v>
      </c>
      <c r="D5" s="35">
        <v>18</v>
      </c>
      <c r="E5" s="52">
        <f>D5-C5</f>
        <v>9.6999999999999993</v>
      </c>
      <c r="F5" s="33">
        <v>1616986.1</v>
      </c>
      <c r="G5" s="34">
        <v>1617208.4</v>
      </c>
      <c r="H5" s="53">
        <f t="shared" ref="H5:H35" si="0">G5-F5</f>
        <v>222.29999999981374</v>
      </c>
      <c r="I5" s="16">
        <f>(H5*[1]Summary!$C$6)</f>
        <v>631.33199999947101</v>
      </c>
      <c r="J5" s="74"/>
      <c r="K5" s="77"/>
      <c r="L5" s="78"/>
      <c r="M5" s="78"/>
    </row>
    <row r="6" spans="1:13" x14ac:dyDescent="0.2">
      <c r="A6" s="51">
        <v>44623</v>
      </c>
      <c r="B6" s="7" t="s">
        <v>53</v>
      </c>
      <c r="C6" s="35"/>
      <c r="D6" s="35"/>
      <c r="E6" s="52">
        <f t="shared" ref="E6:E35" si="1">D6-C6</f>
        <v>0</v>
      </c>
      <c r="F6" s="36"/>
      <c r="G6" s="37"/>
      <c r="H6" s="53">
        <f t="shared" si="0"/>
        <v>0</v>
      </c>
      <c r="I6" s="16">
        <f>(H6*[1]Summary!$C$6)</f>
        <v>0</v>
      </c>
      <c r="J6" s="80">
        <v>4600</v>
      </c>
      <c r="K6" s="103" t="s">
        <v>54</v>
      </c>
      <c r="L6" s="104"/>
      <c r="M6" s="105"/>
    </row>
    <row r="7" spans="1:13" x14ac:dyDescent="0.2">
      <c r="A7" s="51">
        <v>44624</v>
      </c>
      <c r="B7" s="35">
        <v>2</v>
      </c>
      <c r="C7" s="35">
        <v>8.3000000000000007</v>
      </c>
      <c r="D7" s="35">
        <v>18</v>
      </c>
      <c r="E7" s="52">
        <f t="shared" si="1"/>
        <v>9.6999999999999993</v>
      </c>
      <c r="F7" s="33">
        <v>1617208.4</v>
      </c>
      <c r="G7" s="34">
        <v>1617428</v>
      </c>
      <c r="H7" s="53">
        <f t="shared" si="0"/>
        <v>219.60000000009313</v>
      </c>
      <c r="I7" s="16">
        <f>(H7*[1]Summary!$C$6)</f>
        <v>623.66400000026442</v>
      </c>
      <c r="J7" s="80">
        <v>-523</v>
      </c>
      <c r="K7" s="100" t="s">
        <v>55</v>
      </c>
      <c r="L7" s="101"/>
      <c r="M7" s="102"/>
    </row>
    <row r="8" spans="1:13" x14ac:dyDescent="0.2">
      <c r="A8" s="51">
        <v>44625</v>
      </c>
      <c r="B8" s="7" t="s">
        <v>53</v>
      </c>
      <c r="C8" s="32"/>
      <c r="D8" s="32"/>
      <c r="E8" s="52">
        <f t="shared" si="1"/>
        <v>0</v>
      </c>
      <c r="F8" s="33"/>
      <c r="G8" s="34"/>
      <c r="H8" s="52">
        <f t="shared" si="0"/>
        <v>0</v>
      </c>
      <c r="I8" s="16">
        <f>(H8*[1]Summary!$C$6)</f>
        <v>0</v>
      </c>
      <c r="J8" s="79">
        <v>-100</v>
      </c>
      <c r="K8" s="106" t="s">
        <v>56</v>
      </c>
      <c r="L8" s="107"/>
      <c r="M8" s="107"/>
    </row>
    <row r="9" spans="1:13" hidden="1" x14ac:dyDescent="0.2">
      <c r="A9" s="51">
        <v>44626</v>
      </c>
      <c r="B9" s="32"/>
      <c r="C9" s="32"/>
      <c r="D9" s="32"/>
      <c r="E9" s="52">
        <f t="shared" si="1"/>
        <v>0</v>
      </c>
      <c r="F9" s="33"/>
      <c r="G9" s="38"/>
      <c r="H9" s="52">
        <f t="shared" si="0"/>
        <v>0</v>
      </c>
      <c r="I9" s="16">
        <f>(H9*[1]Summary!$C$6)</f>
        <v>0</v>
      </c>
      <c r="J9" s="79"/>
      <c r="K9" s="94"/>
      <c r="L9" s="94"/>
      <c r="M9" s="78"/>
    </row>
    <row r="10" spans="1:13" x14ac:dyDescent="0.2">
      <c r="A10" s="51">
        <v>44626</v>
      </c>
      <c r="B10" s="32">
        <v>2</v>
      </c>
      <c r="C10" s="32">
        <v>8.3000000000000007</v>
      </c>
      <c r="D10" s="32">
        <v>18</v>
      </c>
      <c r="E10" s="52">
        <f t="shared" si="1"/>
        <v>9.6999999999999993</v>
      </c>
      <c r="F10" s="33">
        <v>1617428</v>
      </c>
      <c r="G10" s="38">
        <v>1617630</v>
      </c>
      <c r="H10" s="52">
        <f>G10-F10</f>
        <v>202</v>
      </c>
      <c r="I10" s="16">
        <f>(H10*[1]Summary!$C$6)</f>
        <v>573.67999999999995</v>
      </c>
      <c r="J10" s="79"/>
      <c r="K10" s="77"/>
      <c r="L10" s="77"/>
      <c r="M10" s="78"/>
    </row>
    <row r="11" spans="1:13" x14ac:dyDescent="0.2">
      <c r="A11" s="51">
        <v>44627</v>
      </c>
      <c r="B11" s="7" t="s">
        <v>53</v>
      </c>
      <c r="C11" s="32"/>
      <c r="D11" s="32"/>
      <c r="E11" s="52">
        <f t="shared" si="1"/>
        <v>0</v>
      </c>
      <c r="F11" s="33"/>
      <c r="G11" s="38"/>
      <c r="H11" s="52">
        <f t="shared" si="0"/>
        <v>0</v>
      </c>
      <c r="I11" s="16">
        <f>(H11*[1]Summary!$C$6)</f>
        <v>0</v>
      </c>
      <c r="J11" s="79"/>
      <c r="K11" s="94"/>
      <c r="L11" s="94"/>
      <c r="M11" s="78"/>
    </row>
    <row r="12" spans="1:13" x14ac:dyDescent="0.2">
      <c r="A12" s="51">
        <v>44628</v>
      </c>
      <c r="B12" s="32">
        <v>2</v>
      </c>
      <c r="C12" s="35">
        <v>8.3000000000000007</v>
      </c>
      <c r="D12" s="35">
        <v>15</v>
      </c>
      <c r="E12" s="52">
        <f t="shared" si="1"/>
        <v>6.6999999999999993</v>
      </c>
      <c r="F12" s="33">
        <v>1617630</v>
      </c>
      <c r="G12" s="38">
        <v>1617792.5</v>
      </c>
      <c r="H12" s="52">
        <f t="shared" si="0"/>
        <v>162.5</v>
      </c>
      <c r="I12" s="16">
        <f>(H12*[1]Summary!$C$6)</f>
        <v>461.5</v>
      </c>
      <c r="J12" s="79"/>
      <c r="K12" s="97"/>
      <c r="L12" s="94"/>
      <c r="M12" s="78"/>
    </row>
    <row r="13" spans="1:13" x14ac:dyDescent="0.2">
      <c r="A13" s="51">
        <v>44629</v>
      </c>
      <c r="B13" s="7" t="s">
        <v>53</v>
      </c>
      <c r="C13" s="32"/>
      <c r="D13" s="32"/>
      <c r="E13" s="52">
        <f t="shared" si="1"/>
        <v>0</v>
      </c>
      <c r="F13" s="33"/>
      <c r="G13" s="38"/>
      <c r="H13" s="52">
        <f t="shared" si="0"/>
        <v>0</v>
      </c>
      <c r="I13" s="16">
        <f>(H13*[1]Summary!$C$6)</f>
        <v>0</v>
      </c>
      <c r="J13" s="79"/>
      <c r="K13" s="77"/>
      <c r="L13" s="78"/>
      <c r="M13" s="78"/>
    </row>
    <row r="14" spans="1:13" x14ac:dyDescent="0.2">
      <c r="A14" s="51">
        <v>44630</v>
      </c>
      <c r="B14" s="32">
        <v>2</v>
      </c>
      <c r="C14" s="32">
        <v>8.3000000000000007</v>
      </c>
      <c r="D14" s="32">
        <v>18</v>
      </c>
      <c r="E14" s="52">
        <f t="shared" si="1"/>
        <v>9.6999999999999993</v>
      </c>
      <c r="F14" s="33">
        <v>1617792.5</v>
      </c>
      <c r="G14" s="38">
        <v>1617979.7</v>
      </c>
      <c r="H14" s="52">
        <f t="shared" si="0"/>
        <v>187.19999999995343</v>
      </c>
      <c r="I14" s="16">
        <f>(H14*[1]Summary!$C$6)</f>
        <v>531.64799999986769</v>
      </c>
      <c r="J14" s="79">
        <v>-70</v>
      </c>
      <c r="K14" s="98" t="s">
        <v>57</v>
      </c>
      <c r="L14" s="99"/>
      <c r="M14" s="99"/>
    </row>
    <row r="15" spans="1:13" x14ac:dyDescent="0.2">
      <c r="A15" s="51">
        <v>44632</v>
      </c>
      <c r="B15" s="32">
        <v>2</v>
      </c>
      <c r="C15" s="32">
        <v>8.3000000000000007</v>
      </c>
      <c r="D15" s="32">
        <v>14.3</v>
      </c>
      <c r="E15" s="52">
        <f t="shared" si="1"/>
        <v>6</v>
      </c>
      <c r="F15" s="33">
        <v>1617979.7</v>
      </c>
      <c r="G15" s="38">
        <v>1618131.9</v>
      </c>
      <c r="H15" s="52">
        <f t="shared" si="0"/>
        <v>152.19999999995343</v>
      </c>
      <c r="I15" s="16">
        <f>(H15*[1]Summary!$C$6)</f>
        <v>432.24799999986772</v>
      </c>
      <c r="J15" s="79"/>
      <c r="K15" s="77"/>
      <c r="L15" s="78"/>
      <c r="M15" s="78"/>
    </row>
    <row r="16" spans="1:13" x14ac:dyDescent="0.2">
      <c r="A16" s="51">
        <v>44633</v>
      </c>
      <c r="B16" s="7" t="s">
        <v>53</v>
      </c>
      <c r="C16" s="32"/>
      <c r="D16" s="32"/>
      <c r="E16" s="52">
        <f t="shared" si="1"/>
        <v>0</v>
      </c>
      <c r="F16" s="33"/>
      <c r="G16" s="38"/>
      <c r="H16" s="52">
        <f t="shared" si="0"/>
        <v>0</v>
      </c>
      <c r="I16" s="16">
        <f>(H16*[1]Summary!$C$6)</f>
        <v>0</v>
      </c>
      <c r="J16" s="79"/>
      <c r="K16" s="77"/>
      <c r="L16" s="78"/>
      <c r="M16" s="78"/>
    </row>
    <row r="17" spans="1:13" x14ac:dyDescent="0.2">
      <c r="A17" s="51">
        <v>44634</v>
      </c>
      <c r="B17" s="32">
        <v>2</v>
      </c>
      <c r="C17" s="32">
        <v>17</v>
      </c>
      <c r="D17" s="32">
        <v>19.3</v>
      </c>
      <c r="E17" s="52">
        <f t="shared" si="1"/>
        <v>2.3000000000000007</v>
      </c>
      <c r="F17" s="33">
        <v>1618131.9</v>
      </c>
      <c r="G17" s="38">
        <v>1618168.9</v>
      </c>
      <c r="H17" s="52">
        <f>G17-F17</f>
        <v>37</v>
      </c>
      <c r="I17" s="16">
        <f>(H17*[1]Summary!$C$6)</f>
        <v>105.08</v>
      </c>
      <c r="J17" s="79"/>
      <c r="K17" s="77"/>
      <c r="L17" s="78"/>
      <c r="M17" s="78"/>
    </row>
    <row r="18" spans="1:13" x14ac:dyDescent="0.2">
      <c r="A18" s="51">
        <v>44635</v>
      </c>
      <c r="B18" s="39">
        <v>2</v>
      </c>
      <c r="C18" s="39">
        <v>7.3</v>
      </c>
      <c r="D18" s="39">
        <v>18</v>
      </c>
      <c r="E18" s="52">
        <f t="shared" si="1"/>
        <v>10.7</v>
      </c>
      <c r="F18" s="33">
        <v>1618168.9</v>
      </c>
      <c r="G18" s="38">
        <v>1618357.5</v>
      </c>
      <c r="H18" s="52">
        <f t="shared" si="0"/>
        <v>188.60000000009313</v>
      </c>
      <c r="I18" s="16">
        <f>(H18*[1]Summary!$C$6)</f>
        <v>535.62400000026446</v>
      </c>
      <c r="J18" s="79"/>
      <c r="K18" s="77"/>
      <c r="L18" s="78"/>
      <c r="M18" s="78"/>
    </row>
    <row r="19" spans="1:13" x14ac:dyDescent="0.2">
      <c r="A19" s="51">
        <v>44636</v>
      </c>
      <c r="B19" s="7" t="s">
        <v>53</v>
      </c>
      <c r="C19" s="39"/>
      <c r="D19" s="39"/>
      <c r="E19" s="52">
        <f t="shared" si="1"/>
        <v>0</v>
      </c>
      <c r="F19" s="33"/>
      <c r="G19" s="38"/>
      <c r="H19" s="52">
        <f>G19-F19</f>
        <v>0</v>
      </c>
      <c r="I19" s="16">
        <f>(H19*[1]Summary!$C$6)</f>
        <v>0</v>
      </c>
      <c r="J19" s="79"/>
      <c r="K19" s="77"/>
      <c r="L19" s="78"/>
      <c r="M19" s="78"/>
    </row>
    <row r="20" spans="1:13" x14ac:dyDescent="0.2">
      <c r="A20" s="51">
        <v>44637</v>
      </c>
      <c r="B20" s="39">
        <v>2</v>
      </c>
      <c r="C20" s="39">
        <v>8.3000000000000007</v>
      </c>
      <c r="D20" s="39">
        <v>19</v>
      </c>
      <c r="E20" s="52">
        <f t="shared" si="1"/>
        <v>10.7</v>
      </c>
      <c r="F20" s="33">
        <v>1618357.5</v>
      </c>
      <c r="G20" s="38">
        <v>1618568</v>
      </c>
      <c r="H20" s="52">
        <f t="shared" si="0"/>
        <v>210.5</v>
      </c>
      <c r="I20" s="16">
        <f>(H20*[1]Summary!$C$6)</f>
        <v>597.81999999999994</v>
      </c>
      <c r="J20" s="79"/>
      <c r="K20" s="97"/>
      <c r="L20" s="94"/>
      <c r="M20" s="78"/>
    </row>
    <row r="21" spans="1:13" x14ac:dyDescent="0.2">
      <c r="A21" s="51">
        <v>44638</v>
      </c>
      <c r="B21" s="7" t="s">
        <v>53</v>
      </c>
      <c r="C21" s="39"/>
      <c r="D21" s="39"/>
      <c r="E21" s="52">
        <f t="shared" si="1"/>
        <v>0</v>
      </c>
      <c r="F21" s="33"/>
      <c r="G21" s="38"/>
      <c r="H21" s="52">
        <f t="shared" si="0"/>
        <v>0</v>
      </c>
      <c r="I21" s="16">
        <f>(H21*[1]Summary!$C$6)</f>
        <v>0</v>
      </c>
      <c r="J21" s="79"/>
      <c r="K21" s="77"/>
      <c r="L21" s="78"/>
      <c r="M21" s="78"/>
    </row>
    <row r="22" spans="1:13" x14ac:dyDescent="0.2">
      <c r="A22" s="51">
        <v>44639</v>
      </c>
      <c r="B22" s="39">
        <v>2</v>
      </c>
      <c r="C22" s="39">
        <v>8.3000000000000007</v>
      </c>
      <c r="D22" s="39">
        <v>18</v>
      </c>
      <c r="E22" s="52">
        <f t="shared" si="1"/>
        <v>9.6999999999999993</v>
      </c>
      <c r="F22" s="52">
        <v>1618568</v>
      </c>
      <c r="G22" s="38">
        <v>1618920.4</v>
      </c>
      <c r="H22" s="52">
        <f>G22-F22</f>
        <v>352.39999999990687</v>
      </c>
      <c r="I22" s="16">
        <f>(H22*[1]Summary!$C$6)</f>
        <v>1000.8159999997355</v>
      </c>
      <c r="J22" s="75"/>
      <c r="K22" s="77"/>
      <c r="L22" s="78"/>
      <c r="M22" s="78"/>
    </row>
    <row r="23" spans="1:13" x14ac:dyDescent="0.2">
      <c r="A23" s="51">
        <v>44640</v>
      </c>
      <c r="B23" s="39">
        <v>2</v>
      </c>
      <c r="C23" s="39">
        <v>8.3000000000000007</v>
      </c>
      <c r="D23" s="39">
        <v>18</v>
      </c>
      <c r="E23" s="52">
        <f t="shared" si="1"/>
        <v>9.6999999999999993</v>
      </c>
      <c r="F23" s="52">
        <v>1618920.4</v>
      </c>
      <c r="G23" s="38">
        <v>1619092.8</v>
      </c>
      <c r="H23" s="52">
        <f t="shared" si="0"/>
        <v>172.4000000001397</v>
      </c>
      <c r="I23" s="16">
        <f>(H23*[1]Summary!$C$6)</f>
        <v>489.6160000003967</v>
      </c>
      <c r="J23" s="79"/>
      <c r="K23" s="77"/>
      <c r="L23" s="78"/>
      <c r="M23" s="78"/>
    </row>
    <row r="24" spans="1:13" x14ac:dyDescent="0.2">
      <c r="A24" s="51">
        <v>44641</v>
      </c>
      <c r="B24" s="7" t="s">
        <v>53</v>
      </c>
      <c r="C24" s="39"/>
      <c r="D24" s="39"/>
      <c r="E24" s="52">
        <f t="shared" si="1"/>
        <v>0</v>
      </c>
      <c r="F24" s="52"/>
      <c r="G24" s="38"/>
      <c r="H24" s="52">
        <f>G24-F24</f>
        <v>0</v>
      </c>
      <c r="I24" s="16">
        <f>(H24*[1]Summary!$C$6)</f>
        <v>0</v>
      </c>
      <c r="J24" s="79">
        <v>-100</v>
      </c>
      <c r="K24" s="98" t="s">
        <v>58</v>
      </c>
      <c r="L24" s="99"/>
      <c r="M24" s="99"/>
    </row>
    <row r="25" spans="1:13" x14ac:dyDescent="0.2">
      <c r="A25" s="51">
        <v>44642</v>
      </c>
      <c r="B25" s="39">
        <v>2</v>
      </c>
      <c r="C25" s="39">
        <v>8.3000000000000007</v>
      </c>
      <c r="D25" s="39">
        <v>18</v>
      </c>
      <c r="E25" s="52">
        <f t="shared" si="1"/>
        <v>9.6999999999999993</v>
      </c>
      <c r="F25" s="52">
        <v>1619092.8</v>
      </c>
      <c r="G25" s="38">
        <v>1619248.4</v>
      </c>
      <c r="H25" s="52">
        <f t="shared" si="0"/>
        <v>155.5999999998603</v>
      </c>
      <c r="I25" s="16">
        <f>(H25*[1]Summary!$C$6)</f>
        <v>441.90399999960323</v>
      </c>
      <c r="J25" s="79">
        <v>4550</v>
      </c>
      <c r="K25" s="108" t="s">
        <v>54</v>
      </c>
      <c r="L25" s="109"/>
      <c r="M25" s="109"/>
    </row>
    <row r="26" spans="1:13" x14ac:dyDescent="0.2">
      <c r="A26" s="51">
        <v>44643</v>
      </c>
      <c r="B26" s="39">
        <v>1</v>
      </c>
      <c r="C26" s="39">
        <v>13.3</v>
      </c>
      <c r="D26" s="39">
        <v>14.3</v>
      </c>
      <c r="E26" s="52">
        <f t="shared" si="1"/>
        <v>1</v>
      </c>
      <c r="F26" s="33">
        <v>1652194</v>
      </c>
      <c r="G26" s="38">
        <v>1652226.2</v>
      </c>
      <c r="H26" s="52">
        <f t="shared" si="0"/>
        <v>32.199999999953434</v>
      </c>
      <c r="I26" s="16">
        <f>(H26*[1]Summary!$C$6)</f>
        <v>91.447999999867747</v>
      </c>
      <c r="J26" s="79"/>
      <c r="K26" s="77"/>
      <c r="L26" s="78"/>
      <c r="M26" s="78"/>
    </row>
    <row r="27" spans="1:13" x14ac:dyDescent="0.2">
      <c r="A27" s="51">
        <v>44644</v>
      </c>
      <c r="B27" s="39">
        <v>2</v>
      </c>
      <c r="C27" s="39">
        <v>8.3000000000000007</v>
      </c>
      <c r="D27" s="39">
        <v>18</v>
      </c>
      <c r="E27" s="52">
        <f t="shared" si="1"/>
        <v>9.6999999999999993</v>
      </c>
      <c r="F27" s="33">
        <v>1619248.4</v>
      </c>
      <c r="G27" s="38">
        <v>1619387</v>
      </c>
      <c r="H27" s="52">
        <f t="shared" si="0"/>
        <v>138.60000000009313</v>
      </c>
      <c r="I27" s="16">
        <f>(H27*[1]Summary!$C$6)</f>
        <v>393.62400000026446</v>
      </c>
      <c r="J27" s="79"/>
      <c r="K27" s="77"/>
      <c r="L27" s="78"/>
      <c r="M27" s="78"/>
    </row>
    <row r="28" spans="1:13" x14ac:dyDescent="0.2">
      <c r="A28" s="51">
        <v>44645</v>
      </c>
      <c r="B28" s="39">
        <v>1</v>
      </c>
      <c r="C28" s="39">
        <v>8.3000000000000007</v>
      </c>
      <c r="D28" s="39">
        <v>18</v>
      </c>
      <c r="E28" s="52">
        <f t="shared" si="1"/>
        <v>9.6999999999999993</v>
      </c>
      <c r="F28" s="33">
        <v>1652226.2</v>
      </c>
      <c r="G28" s="38">
        <v>1652591.7</v>
      </c>
      <c r="H28" s="52">
        <f t="shared" si="0"/>
        <v>365.5</v>
      </c>
      <c r="I28" s="16">
        <f>(H28*[1]Summary!$C$6)</f>
        <v>1038.02</v>
      </c>
      <c r="J28" s="79"/>
      <c r="K28" s="77"/>
      <c r="L28" s="78"/>
      <c r="M28" s="78"/>
    </row>
    <row r="29" spans="1:13" x14ac:dyDescent="0.2">
      <c r="A29" s="51">
        <v>44646</v>
      </c>
      <c r="B29" s="39">
        <v>1</v>
      </c>
      <c r="C29" s="39">
        <v>8.3000000000000007</v>
      </c>
      <c r="D29" s="39">
        <v>18</v>
      </c>
      <c r="E29" s="52">
        <f t="shared" si="1"/>
        <v>9.6999999999999993</v>
      </c>
      <c r="F29" s="33">
        <v>1652591.7</v>
      </c>
      <c r="G29" s="38">
        <v>1652962.3</v>
      </c>
      <c r="H29" s="52">
        <f t="shared" si="0"/>
        <v>370.60000000009313</v>
      </c>
      <c r="I29" s="16">
        <f>(H29*[1]Summary!$C$6)</f>
        <v>1052.5040000002643</v>
      </c>
      <c r="J29" s="79"/>
      <c r="K29" s="77"/>
      <c r="L29" s="78"/>
      <c r="M29" s="78"/>
    </row>
    <row r="30" spans="1:13" x14ac:dyDescent="0.2">
      <c r="A30" s="51">
        <v>44647</v>
      </c>
      <c r="B30" s="7" t="s">
        <v>53</v>
      </c>
      <c r="C30" s="39"/>
      <c r="D30" s="39"/>
      <c r="E30" s="52">
        <f>D30-C30</f>
        <v>0</v>
      </c>
      <c r="F30" s="33"/>
      <c r="G30" s="38"/>
      <c r="H30" s="52">
        <f t="shared" si="0"/>
        <v>0</v>
      </c>
      <c r="I30" s="16">
        <f>(H30*[1]Summary!$C$6)</f>
        <v>0</v>
      </c>
      <c r="J30" s="79"/>
      <c r="K30" s="77"/>
      <c r="L30" s="78"/>
      <c r="M30" s="78"/>
    </row>
    <row r="31" spans="1:13" x14ac:dyDescent="0.2">
      <c r="A31" s="51">
        <v>44648</v>
      </c>
      <c r="B31" s="39">
        <v>1</v>
      </c>
      <c r="C31" s="39">
        <v>9</v>
      </c>
      <c r="D31" s="39">
        <v>18</v>
      </c>
      <c r="E31" s="52">
        <f>D31-C31</f>
        <v>9</v>
      </c>
      <c r="F31" s="33">
        <v>1652962.3</v>
      </c>
      <c r="G31" s="34">
        <v>1653243.2</v>
      </c>
      <c r="H31" s="52">
        <f>G31-F31</f>
        <v>280.89999999990687</v>
      </c>
      <c r="I31" s="16">
        <f>(H31*[1]Summary!$C$6)</f>
        <v>797.75599999973542</v>
      </c>
      <c r="J31" s="79"/>
      <c r="K31" s="97"/>
      <c r="L31" s="94"/>
      <c r="M31" s="78"/>
    </row>
    <row r="32" spans="1:13" x14ac:dyDescent="0.2">
      <c r="A32" s="51">
        <v>44649</v>
      </c>
      <c r="B32" s="7" t="s">
        <v>53</v>
      </c>
      <c r="C32" s="32"/>
      <c r="D32" s="32"/>
      <c r="E32" s="52">
        <f t="shared" si="1"/>
        <v>0</v>
      </c>
      <c r="F32" s="33"/>
      <c r="G32" s="34"/>
      <c r="H32" s="52">
        <f t="shared" si="0"/>
        <v>0</v>
      </c>
      <c r="I32" s="16">
        <f>(H32*[1]Summary!$C$6)</f>
        <v>0</v>
      </c>
      <c r="J32" s="79"/>
      <c r="K32" s="77"/>
      <c r="L32" s="78"/>
      <c r="M32" s="78"/>
    </row>
    <row r="33" spans="1:13" x14ac:dyDescent="0.2">
      <c r="A33" s="51">
        <v>44650</v>
      </c>
      <c r="B33" s="39">
        <v>1</v>
      </c>
      <c r="C33" s="39">
        <v>8.48</v>
      </c>
      <c r="D33" s="39">
        <v>17</v>
      </c>
      <c r="E33" s="52">
        <f>D33-C33</f>
        <v>8.52</v>
      </c>
      <c r="F33" s="33">
        <v>1653243.2</v>
      </c>
      <c r="G33" s="34">
        <v>1653589.6</v>
      </c>
      <c r="H33" s="52">
        <f>G33-F33</f>
        <v>346.4000000001397</v>
      </c>
      <c r="I33" s="16">
        <f>(H33*[1]Summary!$C$6)</f>
        <v>983.77600000039672</v>
      </c>
      <c r="J33" s="79"/>
      <c r="K33" s="77"/>
      <c r="L33" s="78"/>
      <c r="M33" s="78"/>
    </row>
    <row r="34" spans="1:13" x14ac:dyDescent="0.2">
      <c r="A34" s="51">
        <v>44651</v>
      </c>
      <c r="B34" s="7" t="s">
        <v>53</v>
      </c>
      <c r="C34" s="70"/>
      <c r="D34" s="70"/>
      <c r="E34" s="52">
        <f>D34-C34</f>
        <v>0</v>
      </c>
      <c r="F34" s="71"/>
      <c r="G34" s="72"/>
      <c r="H34" s="52">
        <f>G34-F34</f>
        <v>0</v>
      </c>
      <c r="I34" s="16">
        <f>(H34*[1]Summary!$C$6)</f>
        <v>0</v>
      </c>
      <c r="J34" s="73"/>
      <c r="K34" s="40"/>
    </row>
    <row r="35" spans="1:13" x14ac:dyDescent="0.2">
      <c r="A35" s="81"/>
      <c r="B35" s="70"/>
      <c r="C35" s="70"/>
      <c r="D35" s="70"/>
      <c r="E35" s="82">
        <f t="shared" si="1"/>
        <v>0</v>
      </c>
      <c r="F35" s="71"/>
      <c r="G35" s="72"/>
      <c r="H35" s="82">
        <f t="shared" si="0"/>
        <v>0</v>
      </c>
      <c r="I35" s="83">
        <f>(H35*[1]Summary!$C$6)</f>
        <v>0</v>
      </c>
      <c r="J35" s="84"/>
      <c r="K35" s="40"/>
    </row>
    <row r="36" spans="1:13" ht="25.5" x14ac:dyDescent="0.2">
      <c r="A36" s="95" t="s">
        <v>31</v>
      </c>
      <c r="B36" s="96"/>
      <c r="C36" s="85"/>
      <c r="D36" s="85"/>
      <c r="E36" s="86"/>
      <c r="F36" s="87"/>
      <c r="G36" s="88"/>
      <c r="H36" s="89">
        <f>SUM(H4:H35)</f>
        <v>3796.5</v>
      </c>
      <c r="I36" s="89">
        <f>SUM(I4:I35)</f>
        <v>10782.059999999998</v>
      </c>
      <c r="J36" s="90">
        <f>SUM(J4:J35)-H36</f>
        <v>4560.5</v>
      </c>
      <c r="K36" s="91" t="s">
        <v>59</v>
      </c>
      <c r="L36" s="54"/>
    </row>
    <row r="37" spans="1:13" x14ac:dyDescent="0.2">
      <c r="A37" s="17"/>
      <c r="D37" s="1"/>
    </row>
    <row r="38" spans="1:13" x14ac:dyDescent="0.2">
      <c r="F38" s="55"/>
      <c r="G38" s="47"/>
      <c r="H38" s="47"/>
    </row>
    <row r="39" spans="1:13" ht="15.75" x14ac:dyDescent="0.25">
      <c r="A39" s="13"/>
    </row>
  </sheetData>
  <mergeCells count="13">
    <mergeCell ref="K4:M4"/>
    <mergeCell ref="A36:B36"/>
    <mergeCell ref="K9:L9"/>
    <mergeCell ref="K11:L11"/>
    <mergeCell ref="K20:L20"/>
    <mergeCell ref="K12:L12"/>
    <mergeCell ref="K14:M14"/>
    <mergeCell ref="K31:L31"/>
    <mergeCell ref="K7:M7"/>
    <mergeCell ref="K6:M6"/>
    <mergeCell ref="K8:M8"/>
    <mergeCell ref="K25:M25"/>
    <mergeCell ref="K24:M24"/>
  </mergeCells>
  <pageMargins left="0.21" right="0.21" top="0.57999999999999996" bottom="0.69" header="0.5" footer="0.5"/>
  <pageSetup paperSize="9" scale="7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TOTAL</vt:lpstr>
      <vt:lpstr>B16</vt:lpstr>
      <vt:lpstr>B16 ext</vt:lpstr>
      <vt:lpstr>B17</vt:lpstr>
      <vt:lpstr>Water Reading</vt:lpstr>
      <vt:lpstr>Diesel Reading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Adi Ezani</dc:creator>
  <cp:keywords/>
  <dc:description/>
  <cp:lastModifiedBy>Joe J. El Khoury</cp:lastModifiedBy>
  <cp:revision/>
  <dcterms:created xsi:type="dcterms:W3CDTF">2010-04-20T02:02:44Z</dcterms:created>
  <dcterms:modified xsi:type="dcterms:W3CDTF">2022-04-06T15:23:20Z</dcterms:modified>
  <cp:category/>
  <cp:contentStatus/>
</cp:coreProperties>
</file>