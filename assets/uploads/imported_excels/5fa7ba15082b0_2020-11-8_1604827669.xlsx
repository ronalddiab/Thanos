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W17" i="7"/>
  <c r="AV17" i="7"/>
  <c r="AP17" i="7"/>
  <c r="AO17" i="7"/>
  <c r="AL17" i="7"/>
  <c r="AK17" i="7"/>
  <c r="AH17" i="7"/>
  <c r="AG17" i="7"/>
  <c r="AC17" i="7"/>
  <c r="AB17" i="7"/>
  <c r="AQ17" i="7" s="1"/>
  <c r="AA17" i="7"/>
  <c r="Z17" i="7"/>
  <c r="Y17" i="7"/>
  <c r="X17" i="7"/>
  <c r="AM17" i="7" s="1"/>
  <c r="W17" i="7"/>
  <c r="V17" i="7"/>
  <c r="U17" i="7"/>
  <c r="T17" i="7"/>
  <c r="AI17" i="7" s="1"/>
  <c r="S17" i="7"/>
  <c r="R17" i="7"/>
  <c r="Q17" i="7"/>
  <c r="AV16" i="7"/>
  <c r="AW16" i="7" s="1"/>
  <c r="AR16" i="7"/>
  <c r="AQ16" i="7"/>
  <c r="AN16" i="7"/>
  <c r="AM16" i="7"/>
  <c r="AJ16" i="7"/>
  <c r="AI16" i="7"/>
  <c r="AF16" i="7"/>
  <c r="AS16" i="7" s="1"/>
  <c r="AC16" i="7"/>
  <c r="AB16" i="7"/>
  <c r="AA16" i="7"/>
  <c r="AP16" i="7" s="1"/>
  <c r="Z16" i="7"/>
  <c r="AO16" i="7" s="1"/>
  <c r="Y16" i="7"/>
  <c r="X16" i="7"/>
  <c r="W16" i="7"/>
  <c r="AL16" i="7" s="1"/>
  <c r="V16" i="7"/>
  <c r="AK16" i="7" s="1"/>
  <c r="U16" i="7"/>
  <c r="T16" i="7"/>
  <c r="S16" i="7"/>
  <c r="AH16" i="7" s="1"/>
  <c r="R16" i="7"/>
  <c r="AG16" i="7" s="1"/>
  <c r="Q16" i="7"/>
  <c r="AV15" i="7"/>
  <c r="AW15" i="7" s="1"/>
  <c r="AP15" i="7"/>
  <c r="AO15" i="7"/>
  <c r="AL15" i="7"/>
  <c r="AK15" i="7"/>
  <c r="AH15" i="7"/>
  <c r="AG15" i="7"/>
  <c r="AC15" i="7"/>
  <c r="AB15" i="7"/>
  <c r="AQ15" i="7" s="1"/>
  <c r="AA15" i="7"/>
  <c r="Z15" i="7"/>
  <c r="Y15" i="7"/>
  <c r="X15" i="7"/>
  <c r="AM15" i="7" s="1"/>
  <c r="W15" i="7"/>
  <c r="V15" i="7"/>
  <c r="U15" i="7"/>
  <c r="T15" i="7"/>
  <c r="AI15" i="7" s="1"/>
  <c r="S15" i="7"/>
  <c r="R15" i="7"/>
  <c r="Q15" i="7"/>
  <c r="AV14" i="7"/>
  <c r="R9" i="9" s="1"/>
  <c r="G9" i="5" s="1"/>
  <c r="AR14" i="7"/>
  <c r="AM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P12" i="9"/>
  <c r="O12" i="9"/>
  <c r="N12" i="9"/>
  <c r="L12" i="9"/>
  <c r="K12" i="9"/>
  <c r="J12" i="9"/>
  <c r="H12" i="9"/>
  <c r="G12" i="9"/>
  <c r="F12" i="9"/>
  <c r="B12" i="9"/>
  <c r="S11" i="9"/>
  <c r="R11" i="9"/>
  <c r="G11" i="5" s="1"/>
  <c r="Q11" i="9"/>
  <c r="P11" i="9"/>
  <c r="N11" i="9"/>
  <c r="M11" i="9"/>
  <c r="L11" i="9"/>
  <c r="J11" i="9"/>
  <c r="I11" i="9"/>
  <c r="H11" i="9"/>
  <c r="F11" i="9"/>
  <c r="E11" i="9"/>
  <c r="B11" i="9"/>
  <c r="S10" i="9"/>
  <c r="R10" i="9"/>
  <c r="G10" i="5" s="1"/>
  <c r="P10" i="9"/>
  <c r="O10" i="9"/>
  <c r="N10" i="9"/>
  <c r="L10" i="9"/>
  <c r="K10" i="9"/>
  <c r="J10" i="9"/>
  <c r="H10" i="9"/>
  <c r="G10" i="9"/>
  <c r="F10" i="9"/>
  <c r="B10" i="9"/>
  <c r="S9" i="9"/>
  <c r="Q9" i="9"/>
  <c r="P9" i="9"/>
  <c r="O9" i="9"/>
  <c r="N9" i="9"/>
  <c r="M9" i="9"/>
  <c r="L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G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AW14" i="7" l="1"/>
  <c r="R8" i="9"/>
  <c r="G8" i="5" s="1"/>
  <c r="J9" i="9"/>
  <c r="E9" i="5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E12" i="5" s="1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AW38" i="7" l="1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<sst xmlns="http://schemas.openxmlformats.org/spreadsheetml/2006/main" count="128" uniqueCount="49">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</sst>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V17" sqref="AV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2"/>
        <v>0</v>
      </c>
      <c r="Y14" s="37" t="str">
        <f t="shared" si="23"/>
        <v>0</v>
      </c>
      <c r="Z14" s="37" t="str">
        <f>IF((L14-L13&lt;0), "0",L14-L13)</f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44144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44145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15640</v>
      </c>
      <c r="R38" s="30">
        <f t="shared" si="38"/>
        <v>101920</v>
      </c>
      <c r="S38" s="30">
        <f t="shared" si="38"/>
        <v>540</v>
      </c>
      <c r="T38" s="30">
        <f t="shared" si="38"/>
        <v>10690</v>
      </c>
      <c r="U38" s="30">
        <f t="shared" si="38"/>
        <v>31880</v>
      </c>
      <c r="V38" s="30">
        <f t="shared" si="38"/>
        <v>22878</v>
      </c>
      <c r="W38" s="30">
        <f t="shared" si="38"/>
        <v>16820</v>
      </c>
      <c r="X38" s="30">
        <f t="shared" si="38"/>
        <v>26720</v>
      </c>
      <c r="Y38" s="30">
        <f t="shared" si="38"/>
        <v>38460</v>
      </c>
      <c r="Z38" s="30">
        <f t="shared" si="38"/>
        <v>17940</v>
      </c>
      <c r="AA38" s="30">
        <f t="shared" si="38"/>
        <v>22830</v>
      </c>
      <c r="AB38" s="30">
        <f t="shared" si="38"/>
        <v>49490</v>
      </c>
      <c r="AC38" s="30">
        <f t="shared" si="38"/>
        <v>73580</v>
      </c>
      <c r="AD38" s="35">
        <f t="shared" si="38"/>
        <v>429388</v>
      </c>
      <c r="AF38" s="35">
        <f t="shared" ref="AF38:AS38" si="39">SUM(AF7:AF34)</f>
        <v>78.2</v>
      </c>
      <c r="AG38" s="35">
        <f t="shared" si="39"/>
        <v>509.6</v>
      </c>
      <c r="AH38" s="35">
        <f t="shared" si="39"/>
        <v>2.7</v>
      </c>
      <c r="AI38" s="35">
        <f t="shared" si="39"/>
        <v>53.45</v>
      </c>
      <c r="AJ38" s="35">
        <f t="shared" si="39"/>
        <v>159.4</v>
      </c>
      <c r="AK38" s="35">
        <f t="shared" si="39"/>
        <v>114.39000000000001</v>
      </c>
      <c r="AL38" s="35">
        <f t="shared" si="39"/>
        <v>84.100000000000009</v>
      </c>
      <c r="AM38" s="35">
        <f t="shared" si="39"/>
        <v>133.60000000000002</v>
      </c>
      <c r="AN38" s="35">
        <f t="shared" si="39"/>
        <v>192.3</v>
      </c>
      <c r="AO38" s="35">
        <f t="shared" si="39"/>
        <v>89.7</v>
      </c>
      <c r="AP38" s="35">
        <f t="shared" si="39"/>
        <v>114.14999999999999</v>
      </c>
      <c r="AQ38" s="35">
        <f t="shared" si="39"/>
        <v>247.45</v>
      </c>
      <c r="AR38" s="35">
        <f t="shared" si="39"/>
        <v>367.90000000000003</v>
      </c>
      <c r="AS38" s="35">
        <f t="shared" si="39"/>
        <v>2146.94</v>
      </c>
      <c r="AU38" s="48"/>
      <c r="AV38" s="35">
        <f>SUM(AV7:AV34)</f>
        <v>13310</v>
      </c>
      <c r="AW38" s="35">
        <f>SUM(AW7:AW34)</f>
        <v>18.84</v>
      </c>
    </row>
    <row r="39" spans="1:49" x14ac:dyDescent="0.25">
      <c r="D39">
        <v>5.0000000000000001E-3</v>
      </c>
      <c r="AV39" s="36">
        <f>AV38*0.00378541*1000</f>
        <v>50383.807099999998</v>
      </c>
    </row>
    <row r="40" spans="1:49" x14ac:dyDescent="0.25">
      <c r="D40">
        <v>2E-3</v>
      </c>
      <c r="AV40">
        <f>AV39/31</f>
        <v>1625.2840999999999</v>
      </c>
    </row>
    <row r="41" spans="1:49" x14ac:dyDescent="0.25">
      <c r="AV41">
        <f>AV38*0.00378541</f>
        <v>50.383807099999999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2020-11-08T07:50:34Z</dcterms:modified>
</cp:coreProperties>
</file>