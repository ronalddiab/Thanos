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60" yWindow="240" windowWidth="25600" windowHeight="16060" tabRatio="620" activeTab="1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N35" i="119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I38" i="119"/>
  <c r="G38" i="119"/>
  <c r="E38" i="119"/>
  <c r="C38" i="119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L10" i="117"/>
  <c r="L20" i="117"/>
  <c r="L30" i="117"/>
  <c r="L25" i="117"/>
  <c r="L21" i="117"/>
  <c r="L22" i="117"/>
  <c r="L32" i="117"/>
  <c r="L2" i="117"/>
  <c r="L12" i="117"/>
  <c r="L3" i="117"/>
  <c r="L18" i="117"/>
  <c r="L13" i="117"/>
  <c r="L23" i="117"/>
  <c r="L4" i="117"/>
  <c r="L15" i="117"/>
  <c r="L16" i="117"/>
  <c r="L5" i="117"/>
  <c r="L8" i="117"/>
  <c r="L31" i="117"/>
  <c r="L27" i="117"/>
  <c r="L6" i="117"/>
  <c r="L14" i="117"/>
  <c r="L28" i="117"/>
  <c r="L7" i="117"/>
  <c r="L11" i="117"/>
  <c r="L17" i="117"/>
  <c r="L9" i="117"/>
  <c r="L29" i="117"/>
  <c r="L24" i="117"/>
  <c r="L19" i="117"/>
  <c r="L26" i="117"/>
  <c r="J3" i="117"/>
  <c r="J10" i="117"/>
  <c r="J17" i="117"/>
  <c r="J18" i="117"/>
  <c r="J20" i="117"/>
  <c r="J19" i="117"/>
  <c r="J24" i="117"/>
  <c r="J26" i="117"/>
  <c r="J7" i="117"/>
  <c r="J30" i="117"/>
  <c r="J21" i="117"/>
  <c r="J25" i="117"/>
  <c r="J4" i="117"/>
  <c r="J5" i="117"/>
  <c r="J8" i="117"/>
  <c r="J11" i="117"/>
  <c r="J14" i="117"/>
  <c r="J9" i="117"/>
  <c r="J22" i="117"/>
  <c r="J23" i="117"/>
  <c r="J15" i="117"/>
  <c r="J29" i="117"/>
  <c r="J32" i="117"/>
  <c r="J31" i="117"/>
  <c r="J13" i="117"/>
  <c r="J27" i="117"/>
  <c r="J6" i="117"/>
  <c r="J16" i="117"/>
  <c r="J2" i="117"/>
  <c r="J12" i="117"/>
  <c r="J28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<sst xmlns="http://schemas.openxmlformats.org/spreadsheetml/2006/main" count="66" uniqueCount="32">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</sst>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9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b/>
      <sz val="11"/>
      <color rgb="FF000000"/>
      <name val="Segoe UI Emoji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7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50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1" fontId="16" fillId="0" borderId="1" xfId="11" applyNumberFormat="1" applyFont="1" applyBorder="1" applyAlignment="1">
      <alignment horizontal="center" vertical="center"/>
    </xf>
    <xf numFmtId="1" fontId="8" fillId="0" borderId="1" xfId="11" applyNumberFormat="1" applyFont="1" applyBorder="1" applyAlignment="1">
      <alignment horizontal="center"/>
    </xf>
  </cellXfs>
  <cellStyles count="27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標準" xfId="0" builtinId="0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3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48</v>
          </cell>
          <cell r="H387">
            <v>42</v>
          </cell>
          <cell r="I387">
            <v>50</v>
          </cell>
          <cell r="J387">
            <v>86</v>
          </cell>
          <cell r="K387">
            <v>69</v>
          </cell>
          <cell r="L387">
            <v>77</v>
          </cell>
          <cell r="M387">
            <v>57</v>
          </cell>
          <cell r="N387">
            <v>53</v>
          </cell>
          <cell r="O387">
            <v>67</v>
          </cell>
          <cell r="P387">
            <v>75</v>
          </cell>
          <cell r="Q387">
            <v>103</v>
          </cell>
          <cell r="R387">
            <v>165</v>
          </cell>
          <cell r="S387">
            <v>87</v>
          </cell>
          <cell r="T387">
            <v>66</v>
          </cell>
          <cell r="U387">
            <v>82</v>
          </cell>
          <cell r="V387">
            <v>75</v>
          </cell>
          <cell r="W387">
            <v>73</v>
          </cell>
          <cell r="X387">
            <v>107</v>
          </cell>
          <cell r="Y387">
            <v>179</v>
          </cell>
          <cell r="Z387">
            <v>175</v>
          </cell>
          <cell r="AA387">
            <v>70</v>
          </cell>
          <cell r="AB387">
            <v>63</v>
          </cell>
          <cell r="AC387">
            <v>65</v>
          </cell>
          <cell r="AD387">
            <v>96</v>
          </cell>
          <cell r="AE387">
            <v>116</v>
          </cell>
          <cell r="AF387">
            <v>178</v>
          </cell>
          <cell r="AG387">
            <v>122</v>
          </cell>
          <cell r="AH387">
            <v>89</v>
          </cell>
          <cell r="AI387">
            <v>106</v>
          </cell>
          <cell r="AJ387">
            <v>77</v>
          </cell>
          <cell r="AK387">
            <v>70</v>
          </cell>
        </row>
        <row r="388">
          <cell r="G388">
            <v>88</v>
          </cell>
          <cell r="H388">
            <v>70</v>
          </cell>
          <cell r="I388">
            <v>88</v>
          </cell>
          <cell r="J388">
            <v>164</v>
          </cell>
          <cell r="K388">
            <v>130</v>
          </cell>
          <cell r="L388">
            <v>144</v>
          </cell>
          <cell r="M388">
            <v>111</v>
          </cell>
          <cell r="N388">
            <v>107</v>
          </cell>
          <cell r="O388">
            <v>121</v>
          </cell>
          <cell r="P388">
            <v>139</v>
          </cell>
          <cell r="Q388">
            <v>193</v>
          </cell>
          <cell r="R388">
            <v>321</v>
          </cell>
          <cell r="S388">
            <v>166</v>
          </cell>
          <cell r="T388">
            <v>136</v>
          </cell>
          <cell r="U388">
            <v>163</v>
          </cell>
          <cell r="V388">
            <v>143</v>
          </cell>
          <cell r="W388">
            <v>134</v>
          </cell>
          <cell r="X388">
            <v>223</v>
          </cell>
          <cell r="Y388">
            <v>391</v>
          </cell>
          <cell r="Z388">
            <v>340</v>
          </cell>
          <cell r="AA388">
            <v>133</v>
          </cell>
          <cell r="AB388">
            <v>118</v>
          </cell>
          <cell r="AC388">
            <v>116</v>
          </cell>
          <cell r="AD388">
            <v>175</v>
          </cell>
          <cell r="AE388">
            <v>246</v>
          </cell>
          <cell r="AF388">
            <v>346</v>
          </cell>
          <cell r="AG388">
            <v>234</v>
          </cell>
          <cell r="AH388">
            <v>160</v>
          </cell>
          <cell r="AI388">
            <v>238</v>
          </cell>
          <cell r="AJ388">
            <v>166</v>
          </cell>
          <cell r="AK388">
            <v>145</v>
          </cell>
        </row>
      </sheetData>
      <sheetData sheetId="5"/>
      <sheetData sheetId="6"/>
      <sheetData sheetId="7">
        <row r="23">
          <cell r="G23">
            <v>188.3</v>
          </cell>
          <cell r="H23">
            <v>179.6</v>
          </cell>
          <cell r="I23">
            <v>181</v>
          </cell>
          <cell r="J23">
            <v>193.2</v>
          </cell>
          <cell r="K23">
            <v>186.2</v>
          </cell>
          <cell r="L23">
            <v>207.1</v>
          </cell>
          <cell r="M23">
            <v>173.9</v>
          </cell>
          <cell r="N23">
            <v>168.5</v>
          </cell>
          <cell r="O23">
            <v>169</v>
          </cell>
          <cell r="P23">
            <v>189.2</v>
          </cell>
          <cell r="Q23">
            <v>206.9</v>
          </cell>
          <cell r="R23">
            <v>184.9</v>
          </cell>
          <cell r="S23">
            <v>209.5</v>
          </cell>
          <cell r="T23">
            <v>184.8</v>
          </cell>
          <cell r="U23">
            <v>207.9</v>
          </cell>
          <cell r="V23">
            <v>191.7</v>
          </cell>
          <cell r="W23">
            <v>185.3</v>
          </cell>
          <cell r="X23">
            <v>216.8</v>
          </cell>
          <cell r="Y23">
            <v>207.4</v>
          </cell>
          <cell r="Z23">
            <v>214.4</v>
          </cell>
          <cell r="AA23">
            <v>199.3</v>
          </cell>
          <cell r="AB23">
            <v>201.5</v>
          </cell>
          <cell r="AC23">
            <v>186.2</v>
          </cell>
          <cell r="AD23">
            <v>206.4</v>
          </cell>
          <cell r="AE23">
            <v>218.3</v>
          </cell>
          <cell r="AF23">
            <v>204.3</v>
          </cell>
          <cell r="AG23">
            <v>196.3</v>
          </cell>
          <cell r="AH23">
            <v>206</v>
          </cell>
          <cell r="AI23">
            <v>206.7</v>
          </cell>
          <cell r="AJ23">
            <v>166.4</v>
          </cell>
          <cell r="AK23">
            <v>195.1</v>
          </cell>
        </row>
        <row r="41">
          <cell r="G41">
            <v>139</v>
          </cell>
          <cell r="H41">
            <v>115</v>
          </cell>
          <cell r="I41">
            <v>129</v>
          </cell>
          <cell r="J41">
            <v>145</v>
          </cell>
          <cell r="K41">
            <v>191</v>
          </cell>
          <cell r="L41">
            <v>200</v>
          </cell>
          <cell r="M41">
            <v>183</v>
          </cell>
          <cell r="N41">
            <v>141</v>
          </cell>
          <cell r="O41">
            <v>153</v>
          </cell>
          <cell r="P41">
            <v>192</v>
          </cell>
          <cell r="Q41">
            <v>161</v>
          </cell>
          <cell r="R41">
            <v>220</v>
          </cell>
          <cell r="S41">
            <v>236</v>
          </cell>
          <cell r="T41">
            <v>163</v>
          </cell>
          <cell r="U41">
            <v>147</v>
          </cell>
          <cell r="V41">
            <v>150</v>
          </cell>
          <cell r="W41">
            <v>184</v>
          </cell>
          <cell r="X41">
            <v>171</v>
          </cell>
          <cell r="Y41">
            <v>224</v>
          </cell>
          <cell r="Z41">
            <v>280</v>
          </cell>
          <cell r="AA41">
            <v>211</v>
          </cell>
          <cell r="AB41">
            <v>176</v>
          </cell>
          <cell r="AC41">
            <v>135</v>
          </cell>
          <cell r="AD41">
            <v>193</v>
          </cell>
          <cell r="AE41">
            <v>195</v>
          </cell>
          <cell r="AF41">
            <v>217</v>
          </cell>
          <cell r="AG41">
            <v>239</v>
          </cell>
          <cell r="AH41">
            <v>218</v>
          </cell>
          <cell r="AI41">
            <v>213</v>
          </cell>
          <cell r="AJ41">
            <v>177</v>
          </cell>
          <cell r="AK41">
            <v>157</v>
          </cell>
        </row>
        <row r="66">
          <cell r="G66">
            <v>7882.3805400000001</v>
          </cell>
          <cell r="H66">
            <v>8440.4251800000002</v>
          </cell>
          <cell r="I66">
            <v>7673.1138000000001</v>
          </cell>
          <cell r="J66">
            <v>8789.2030800000011</v>
          </cell>
          <cell r="K66">
            <v>9207.7365600000012</v>
          </cell>
          <cell r="L66">
            <v>10393.58142</v>
          </cell>
          <cell r="M66">
            <v>9137.9809799999985</v>
          </cell>
          <cell r="N66">
            <v>8789.2030800000011</v>
          </cell>
          <cell r="O66">
            <v>8370.6695999999993</v>
          </cell>
          <cell r="P66">
            <v>10044.803519999999</v>
          </cell>
          <cell r="Q66">
            <v>9068.2253999999994</v>
          </cell>
          <cell r="R66">
            <v>11160.8928</v>
          </cell>
          <cell r="S66">
            <v>11021.38164</v>
          </cell>
          <cell r="T66">
            <v>9556.5144600000003</v>
          </cell>
          <cell r="U66">
            <v>7952.1361200000001</v>
          </cell>
          <cell r="V66">
            <v>6766.29126</v>
          </cell>
          <cell r="W66">
            <v>9347.2477199999994</v>
          </cell>
          <cell r="X66">
            <v>8858.9586600000002</v>
          </cell>
          <cell r="Y66">
            <v>10463.337</v>
          </cell>
          <cell r="Z66">
            <v>12416.49324</v>
          </cell>
          <cell r="AA66">
            <v>9417.0033000000003</v>
          </cell>
          <cell r="AB66">
            <v>9626.2700400000012</v>
          </cell>
          <cell r="AC66">
            <v>7742.8693800000001</v>
          </cell>
          <cell r="AD66">
            <v>9835.5367799999985</v>
          </cell>
          <cell r="AE66">
            <v>9765.7811999999994</v>
          </cell>
          <cell r="AF66">
            <v>10602.848160000001</v>
          </cell>
          <cell r="AG66">
            <v>11230.648380000001</v>
          </cell>
          <cell r="AH66">
            <v>10254.07026</v>
          </cell>
          <cell r="AI66">
            <v>9556.5144600000003</v>
          </cell>
          <cell r="AJ66">
            <v>9137.9809799999985</v>
          </cell>
          <cell r="AK66">
            <v>8510.1807599999993</v>
          </cell>
        </row>
        <row r="91">
          <cell r="G91">
            <v>10719.4686</v>
          </cell>
          <cell r="H91">
            <v>10219.706399999999</v>
          </cell>
          <cell r="I91">
            <v>11034.7716</v>
          </cell>
          <cell r="J91">
            <v>14990.3658</v>
          </cell>
          <cell r="K91">
            <v>11226.175799999999</v>
          </cell>
          <cell r="L91">
            <v>16927.465199999999</v>
          </cell>
          <cell r="M91">
            <v>15561.8004</v>
          </cell>
          <cell r="N91">
            <v>16102.677</v>
          </cell>
          <cell r="O91">
            <v>14590.3338</v>
          </cell>
          <cell r="P91">
            <v>13402.460999999999</v>
          </cell>
          <cell r="Q91">
            <v>9581.8775999999998</v>
          </cell>
          <cell r="R91">
            <v>6891.3845999999994</v>
          </cell>
          <cell r="S91">
            <v>6046.5947999999999</v>
          </cell>
          <cell r="T91">
            <v>4040.8788</v>
          </cell>
          <cell r="U91">
            <v>7885.0751999999993</v>
          </cell>
          <cell r="V91">
            <v>6241.6103999999996</v>
          </cell>
          <cell r="W91">
            <v>5835.7446</v>
          </cell>
          <cell r="X91">
            <v>16849.958999999999</v>
          </cell>
          <cell r="Y91">
            <v>9941.3508000000002</v>
          </cell>
          <cell r="Z91">
            <v>12380.434799999999</v>
          </cell>
          <cell r="AA91">
            <v>12748.5198</v>
          </cell>
          <cell r="AB91">
            <v>18966.517199999998</v>
          </cell>
          <cell r="AC91">
            <v>17463.341400000001</v>
          </cell>
          <cell r="AD91">
            <v>13549.4172</v>
          </cell>
          <cell r="AE91">
            <v>9474.9246000000003</v>
          </cell>
          <cell r="AF91">
            <v>4078.1039999999998</v>
          </cell>
          <cell r="AG91">
            <v>3862.2534000000001</v>
          </cell>
          <cell r="AH91">
            <v>8737.3655999999992</v>
          </cell>
          <cell r="AI91">
            <v>13327.7328</v>
          </cell>
          <cell r="AJ91">
            <v>5075.4059999999999</v>
          </cell>
          <cell r="AK91">
            <v>3981.7073999999998</v>
          </cell>
        </row>
        <row r="115">
          <cell r="G115">
            <v>1349.2746</v>
          </cell>
          <cell r="H115">
            <v>1181.7611999999999</v>
          </cell>
          <cell r="I115">
            <v>1213.1525999999999</v>
          </cell>
          <cell r="J115">
            <v>1073.1414</v>
          </cell>
          <cell r="K115">
            <v>1978.4915999999998</v>
          </cell>
          <cell r="L115">
            <v>1525.3997999999999</v>
          </cell>
          <cell r="M115">
            <v>1215.9305999999999</v>
          </cell>
          <cell r="N115">
            <v>639.49559999999997</v>
          </cell>
          <cell r="O115">
            <v>1283.7138</v>
          </cell>
          <cell r="P115">
            <v>1323.7169999999999</v>
          </cell>
          <cell r="Q115">
            <v>2062.3872000000001</v>
          </cell>
          <cell r="R115">
            <v>3334.1556</v>
          </cell>
          <cell r="S115">
            <v>3085.5245999999997</v>
          </cell>
          <cell r="T115">
            <v>5046.5147999999999</v>
          </cell>
          <cell r="U115">
            <v>2829.9485999999997</v>
          </cell>
          <cell r="V115">
            <v>3197.4780000000001</v>
          </cell>
          <cell r="W115">
            <v>3169.4202</v>
          </cell>
          <cell r="X115">
            <v>585.60239999999999</v>
          </cell>
          <cell r="Y115">
            <v>2399.3586</v>
          </cell>
          <cell r="Z115">
            <v>3018.8525999999997</v>
          </cell>
          <cell r="AA115">
            <v>2517.9791999999998</v>
          </cell>
          <cell r="AB115">
            <v>281.96699999999998</v>
          </cell>
          <cell r="AC115">
            <v>839.7894</v>
          </cell>
          <cell r="AD115">
            <v>1184.5391999999999</v>
          </cell>
          <cell r="AE115">
            <v>2309.0735999999997</v>
          </cell>
          <cell r="AF115">
            <v>2563.5383999999999</v>
          </cell>
          <cell r="AG115">
            <v>3701.9627999999998</v>
          </cell>
          <cell r="AH115">
            <v>2822.7257999999997</v>
          </cell>
          <cell r="AI115">
            <v>1440.6707999999999</v>
          </cell>
          <cell r="AJ115">
            <v>2368.5227999999997</v>
          </cell>
          <cell r="AK115">
            <v>2733.5520000000001</v>
          </cell>
        </row>
        <row r="147">
          <cell r="G147">
            <v>13308</v>
          </cell>
          <cell r="H147">
            <v>13198</v>
          </cell>
          <cell r="I147">
            <v>13627</v>
          </cell>
          <cell r="J147">
            <v>14037</v>
          </cell>
          <cell r="K147">
            <v>14359</v>
          </cell>
          <cell r="L147">
            <v>14761</v>
          </cell>
          <cell r="M147">
            <v>14158</v>
          </cell>
          <cell r="N147">
            <v>14243</v>
          </cell>
          <cell r="O147">
            <v>14176</v>
          </cell>
          <cell r="P147">
            <v>14240</v>
          </cell>
          <cell r="Q147">
            <v>14502</v>
          </cell>
          <cell r="R147">
            <v>14640</v>
          </cell>
          <cell r="S147">
            <v>14734</v>
          </cell>
          <cell r="T147">
            <v>13855</v>
          </cell>
          <cell r="U147">
            <v>13837</v>
          </cell>
          <cell r="V147">
            <v>13767</v>
          </cell>
          <cell r="W147">
            <v>14269</v>
          </cell>
          <cell r="X147">
            <v>14733</v>
          </cell>
          <cell r="Y147">
            <v>14940</v>
          </cell>
          <cell r="Z147">
            <v>15079</v>
          </cell>
          <cell r="AA147">
            <v>14460</v>
          </cell>
          <cell r="AB147">
            <v>14637</v>
          </cell>
          <cell r="AC147">
            <v>14110</v>
          </cell>
          <cell r="AD147">
            <v>14631</v>
          </cell>
          <cell r="AE147">
            <v>14678</v>
          </cell>
          <cell r="AF147">
            <v>14621</v>
          </cell>
          <cell r="AG147">
            <v>14927</v>
          </cell>
          <cell r="AH147">
            <v>14565</v>
          </cell>
          <cell r="AI147">
            <v>14869</v>
          </cell>
          <cell r="AJ147">
            <v>14226</v>
          </cell>
          <cell r="AK147">
            <v>14297</v>
          </cell>
        </row>
      </sheetData>
      <sheetData sheetId="8">
        <row r="3">
          <cell r="G3">
            <v>27.56</v>
          </cell>
        </row>
        <row r="23">
          <cell r="M23">
            <v>139.62012672203704</v>
          </cell>
        </row>
      </sheetData>
      <sheetData sheetId="9"/>
      <sheetData sheetId="10"/>
      <sheetData sheetId="11">
        <row r="29">
          <cell r="C29">
            <v>413.92199999999997</v>
          </cell>
        </row>
      </sheetData>
      <sheetData sheetId="12">
        <row r="29">
          <cell r="C29">
            <v>413.08859999999999</v>
          </cell>
        </row>
      </sheetData>
      <sheetData sheetId="13">
        <row r="29">
          <cell r="C29">
            <v>413.92199999999997</v>
          </cell>
        </row>
      </sheetData>
      <sheetData sheetId="14">
        <row r="29">
          <cell r="C29">
            <v>412.81079999999997</v>
          </cell>
        </row>
      </sheetData>
      <sheetData sheetId="15">
        <row r="29">
          <cell r="C29">
            <v>413.64420000000001</v>
          </cell>
        </row>
      </sheetData>
      <sheetData sheetId="16">
        <row r="29">
          <cell r="C29">
            <v>413.64420000000001</v>
          </cell>
        </row>
      </sheetData>
      <sheetData sheetId="17">
        <row r="29">
          <cell r="C29">
            <v>413.08859999999999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413.64420000000001</v>
          </cell>
        </row>
      </sheetData>
      <sheetData sheetId="20">
        <row r="29">
          <cell r="C29">
            <v>413.3664</v>
          </cell>
        </row>
      </sheetData>
      <sheetData sheetId="21">
        <row r="29">
          <cell r="C29">
            <v>413.64420000000001</v>
          </cell>
        </row>
      </sheetData>
      <sheetData sheetId="22">
        <row r="29">
          <cell r="C29">
            <v>413.64420000000001</v>
          </cell>
        </row>
      </sheetData>
      <sheetData sheetId="23">
        <row r="29">
          <cell r="C29">
            <v>414.19979999999998</v>
          </cell>
        </row>
      </sheetData>
      <sheetData sheetId="24">
        <row r="29">
          <cell r="C29">
            <v>413.08859999999999</v>
          </cell>
        </row>
      </sheetData>
      <sheetData sheetId="25">
        <row r="29">
          <cell r="C29">
            <v>413.92199999999997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413.92199999999997</v>
          </cell>
        </row>
      </sheetData>
      <sheetData sheetId="28">
        <row r="29">
          <cell r="C29">
            <v>413.3664</v>
          </cell>
        </row>
      </sheetData>
      <sheetData sheetId="29">
        <row r="29">
          <cell r="C29">
            <v>413.92199999999997</v>
          </cell>
        </row>
      </sheetData>
      <sheetData sheetId="30">
        <row r="29">
          <cell r="C29">
            <v>413.3664</v>
          </cell>
        </row>
      </sheetData>
      <sheetData sheetId="31">
        <row r="29">
          <cell r="C29">
            <v>413.64420000000001</v>
          </cell>
        </row>
      </sheetData>
      <sheetData sheetId="32">
        <row r="29">
          <cell r="C29">
            <v>413.3664</v>
          </cell>
        </row>
      </sheetData>
      <sheetData sheetId="33">
        <row r="29">
          <cell r="C29">
            <v>413.08859999999999</v>
          </cell>
        </row>
      </sheetData>
      <sheetData sheetId="34">
        <row r="29">
          <cell r="C29">
            <v>413.64420000000001</v>
          </cell>
        </row>
      </sheetData>
      <sheetData sheetId="35">
        <row r="29">
          <cell r="C29">
            <v>413.92199999999997</v>
          </cell>
        </row>
      </sheetData>
      <sheetData sheetId="36">
        <row r="29">
          <cell r="C29">
            <v>413.3664</v>
          </cell>
        </row>
      </sheetData>
      <sheetData sheetId="37">
        <row r="29">
          <cell r="C29">
            <v>413.92199999999997</v>
          </cell>
        </row>
      </sheetData>
      <sheetData sheetId="38">
        <row r="29">
          <cell r="C29">
            <v>413.3664</v>
          </cell>
        </row>
      </sheetData>
      <sheetData sheetId="39">
        <row r="29">
          <cell r="C29">
            <v>413.64420000000001</v>
          </cell>
        </row>
      </sheetData>
      <sheetData sheetId="40">
        <row r="29">
          <cell r="C29">
            <v>413.3664</v>
          </cell>
        </row>
      </sheetData>
      <sheetData sheetId="41">
        <row r="29">
          <cell r="C29">
            <v>413.92199999999997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4">
          <cell r="V24">
            <v>39.233951310595856</v>
          </cell>
        </row>
        <row r="26">
          <cell r="V26">
            <v>38.978918158148716</v>
          </cell>
          <cell r="AE26">
            <v>21.237717722962365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R30" sqref="R29:R30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3</v>
      </c>
      <c r="D2" s="7">
        <v>2022</v>
      </c>
      <c r="E2" s="9" t="str">
        <f>'Otemachi Daily'!D5</f>
        <v>0</v>
      </c>
      <c r="F2" s="34">
        <f>[1]見込!$G$3</f>
        <v>27.56</v>
      </c>
      <c r="G2" s="9" t="str">
        <f>'Otemachi Daily'!F5</f>
        <v>0</v>
      </c>
      <c r="H2" s="34">
        <f>[1]見込!$M$23</f>
        <v>139.62012672203704</v>
      </c>
      <c r="I2" s="9" t="str">
        <f>'Otemachi Daily'!H5</f>
        <v>0</v>
      </c>
      <c r="J2" s="34">
        <f>[2]Sheet1!$V$26</f>
        <v>38.978918158148716</v>
      </c>
      <c r="K2" s="9" t="str">
        <f>'Otemachi Daily'!J5</f>
        <v>0</v>
      </c>
      <c r="L2" s="34">
        <f>[2]Sheet1!$AE$26</f>
        <v>21.237717722962365</v>
      </c>
      <c r="M2" s="9" t="str">
        <f>'Otemachi Daily'!L5</f>
        <v>0</v>
      </c>
      <c r="N2" s="34">
        <v>741</v>
      </c>
      <c r="O2" s="9">
        <f>'Otemachi Daily'!M5</f>
        <v>48</v>
      </c>
      <c r="P2" s="9">
        <f>'Otemachi Daily'!N5</f>
        <v>88</v>
      </c>
    </row>
    <row r="3" spans="1:16" ht="17">
      <c r="A3" s="6" t="s">
        <v>22</v>
      </c>
      <c r="B3" s="7">
        <f>B2+1</f>
        <v>2</v>
      </c>
      <c r="C3" s="8">
        <v>3</v>
      </c>
      <c r="D3" s="7">
        <v>2022</v>
      </c>
      <c r="E3" s="9" t="str">
        <f>'Otemachi Daily'!D6</f>
        <v>0</v>
      </c>
      <c r="F3" s="34">
        <f>[1]見込!$G$3</f>
        <v>27.56</v>
      </c>
      <c r="G3" s="9" t="str">
        <f>'Otemachi Daily'!F6</f>
        <v>0</v>
      </c>
      <c r="H3" s="34">
        <f>[1]見込!$M$23</f>
        <v>139.62012672203704</v>
      </c>
      <c r="I3" s="9" t="str">
        <f>'Otemachi Daily'!H6</f>
        <v>0</v>
      </c>
      <c r="J3" s="34">
        <f>[2]Sheet1!$V$26</f>
        <v>38.978918158148716</v>
      </c>
      <c r="K3" s="9">
        <f>'Otemachi Daily'!J6</f>
        <v>58.28244000000268</v>
      </c>
      <c r="L3" s="34">
        <f>[2]Sheet1!$AE$26</f>
        <v>21.237717722962365</v>
      </c>
      <c r="M3" s="9" t="str">
        <f>'Otemachi Daily'!L6</f>
        <v>0</v>
      </c>
      <c r="N3" s="34">
        <v>741</v>
      </c>
      <c r="O3" s="9">
        <f>'Otemachi Daily'!M6</f>
        <v>42</v>
      </c>
      <c r="P3" s="9">
        <f>'Otemachi Daily'!N6</f>
        <v>70</v>
      </c>
    </row>
    <row r="4" spans="1:16" ht="17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f>'Otemachi Daily'!D7</f>
        <v>429</v>
      </c>
      <c r="F4" s="34">
        <f>[1]見込!$G$3</f>
        <v>27.56</v>
      </c>
      <c r="G4" s="9">
        <f>'Otemachi Daily'!F7</f>
        <v>1.4000000000000057</v>
      </c>
      <c r="H4" s="34">
        <f>[1]見込!$M$23</f>
        <v>139.62012672203704</v>
      </c>
      <c r="I4" s="9">
        <f>'Otemachi Daily'!H7</f>
        <v>32.224799999999959</v>
      </c>
      <c r="J4" s="34">
        <f>[2]Sheet1!$V$26</f>
        <v>38.978918158148716</v>
      </c>
      <c r="K4" s="9">
        <f>'Otemachi Daily'!J7</f>
        <v>47.753819999998086</v>
      </c>
      <c r="L4" s="34">
        <f>[2]Sheet1!$AE$26</f>
        <v>21.237717722962365</v>
      </c>
      <c r="M4" s="9">
        <f>'Otemachi Daily'!L7</f>
        <v>14</v>
      </c>
      <c r="N4" s="34">
        <v>741</v>
      </c>
      <c r="O4" s="9">
        <f>'Otemachi Daily'!M7</f>
        <v>50</v>
      </c>
      <c r="P4" s="9">
        <f>'Otemachi Daily'!N7</f>
        <v>88</v>
      </c>
    </row>
    <row r="5" spans="1:16" ht="17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f>'Otemachi Daily'!D8</f>
        <v>410</v>
      </c>
      <c r="F5" s="34">
        <f>[1]見込!$G$3</f>
        <v>27.56</v>
      </c>
      <c r="G5" s="9">
        <f>'Otemachi Daily'!F8</f>
        <v>12.199999999999989</v>
      </c>
      <c r="H5" s="34">
        <f>[1]見込!$M$23</f>
        <v>139.62012672203704</v>
      </c>
      <c r="I5" s="9" t="str">
        <f>'Otemachi Daily'!H8</f>
        <v>0</v>
      </c>
      <c r="J5" s="34">
        <f>[2]Sheet1!$V$26</f>
        <v>38.978918158148716</v>
      </c>
      <c r="K5" s="9">
        <f>'Otemachi Daily'!J8</f>
        <v>5071.6834799999997</v>
      </c>
      <c r="L5" s="34">
        <f>[2]Sheet1!$AE$26</f>
        <v>21.237717722962365</v>
      </c>
      <c r="M5" s="9">
        <f>'Otemachi Daily'!L8</f>
        <v>16</v>
      </c>
      <c r="N5" s="34">
        <v>741</v>
      </c>
      <c r="O5" s="9">
        <f>'Otemachi Daily'!M8</f>
        <v>86</v>
      </c>
      <c r="P5" s="9">
        <f>'Otemachi Daily'!N8</f>
        <v>164</v>
      </c>
    </row>
    <row r="6" spans="1:16" ht="17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f>'Otemachi Daily'!D9</f>
        <v>322</v>
      </c>
      <c r="F6" s="34">
        <f>[1]見込!$G$3</f>
        <v>27.56</v>
      </c>
      <c r="G6" s="9" t="str">
        <f>'Otemachi Daily'!F9</f>
        <v>0</v>
      </c>
      <c r="H6" s="34">
        <f>[1]見込!$M$23</f>
        <v>139.62012672203704</v>
      </c>
      <c r="I6" s="9">
        <f>'Otemachi Daily'!H9</f>
        <v>906.18360000000007</v>
      </c>
      <c r="J6" s="34">
        <f>[2]Sheet1!$V$26</f>
        <v>38.978918158148716</v>
      </c>
      <c r="K6" s="9" t="str">
        <f>'Otemachi Daily'!J9</f>
        <v>0</v>
      </c>
      <c r="L6" s="34">
        <f>[2]Sheet1!$AE$26</f>
        <v>21.237717722962365</v>
      </c>
      <c r="M6" s="9">
        <f>'Otemachi Daily'!L9</f>
        <v>46</v>
      </c>
      <c r="N6" s="34">
        <v>741</v>
      </c>
      <c r="O6" s="9">
        <f>'Otemachi Daily'!M9</f>
        <v>69</v>
      </c>
      <c r="P6" s="9">
        <f>'Otemachi Daily'!N9</f>
        <v>130</v>
      </c>
    </row>
    <row r="7" spans="1:16" ht="17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f>'Otemachi Daily'!D10</f>
        <v>402</v>
      </c>
      <c r="F7" s="34">
        <f>[1]見込!$G$3</f>
        <v>27.56</v>
      </c>
      <c r="G7" s="9">
        <f>'Otemachi Daily'!F10</f>
        <v>20.900000000000006</v>
      </c>
      <c r="H7" s="34">
        <f>[1]見込!$M$23</f>
        <v>139.62012672203704</v>
      </c>
      <c r="I7" s="9" t="str">
        <f>'Otemachi Daily'!H10</f>
        <v>0</v>
      </c>
      <c r="J7" s="34">
        <f>[2]Sheet1!$V$26</f>
        <v>38.978918158148716</v>
      </c>
      <c r="K7" s="9">
        <f>'Otemachi Daily'!J10</f>
        <v>6887.1342599999989</v>
      </c>
      <c r="L7" s="34">
        <f>[2]Sheet1!$AE$26</f>
        <v>21.237717722962365</v>
      </c>
      <c r="M7" s="9">
        <f>'Otemachi Daily'!L10</f>
        <v>9</v>
      </c>
      <c r="N7" s="34">
        <v>741</v>
      </c>
      <c r="O7" s="9">
        <f>'Otemachi Daily'!M10</f>
        <v>77</v>
      </c>
      <c r="P7" s="9">
        <f>'Otemachi Daily'!N10</f>
        <v>144</v>
      </c>
    </row>
    <row r="8" spans="1:16" ht="17">
      <c r="A8" s="6" t="s">
        <v>22</v>
      </c>
      <c r="B8" s="7">
        <f t="shared" si="0"/>
        <v>7</v>
      </c>
      <c r="C8" s="8">
        <v>3</v>
      </c>
      <c r="D8" s="7">
        <v>2022</v>
      </c>
      <c r="E8" s="9" t="str">
        <f>'Otemachi Daily'!D11</f>
        <v>0</v>
      </c>
      <c r="F8" s="34">
        <f>[1]見込!$G$3</f>
        <v>27.56</v>
      </c>
      <c r="G8" s="9" t="str">
        <f>'Otemachi Daily'!F11</f>
        <v>0</v>
      </c>
      <c r="H8" s="34">
        <f>[1]見込!$M$23</f>
        <v>139.62012672203704</v>
      </c>
      <c r="I8" s="9" t="str">
        <f>'Otemachi Daily'!H11</f>
        <v>0</v>
      </c>
      <c r="J8" s="34">
        <f>[2]Sheet1!$V$26</f>
        <v>38.978918158148716</v>
      </c>
      <c r="K8" s="9" t="str">
        <f>'Otemachi Daily'!J11</f>
        <v>0</v>
      </c>
      <c r="L8" s="34">
        <f>[2]Sheet1!$AE$26</f>
        <v>21.237717722962365</v>
      </c>
      <c r="M8" s="9" t="str">
        <f>'Otemachi Daily'!L11</f>
        <v>0</v>
      </c>
      <c r="N8" s="34">
        <v>741</v>
      </c>
      <c r="O8" s="9">
        <f>'Otemachi Daily'!M11</f>
        <v>57</v>
      </c>
      <c r="P8" s="9">
        <f>'Otemachi Daily'!N11</f>
        <v>111</v>
      </c>
    </row>
    <row r="9" spans="1:16" ht="17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f>'Otemachi Daily'!D12</f>
        <v>85</v>
      </c>
      <c r="F9" s="34">
        <f>[1]見込!$G$3</f>
        <v>27.56</v>
      </c>
      <c r="G9" s="9" t="str">
        <f>'Otemachi Daily'!F12</f>
        <v>0</v>
      </c>
      <c r="H9" s="34">
        <f>[1]見込!$M$23</f>
        <v>139.62012672203704</v>
      </c>
      <c r="I9" s="9" t="str">
        <f>'Otemachi Daily'!H12</f>
        <v>0</v>
      </c>
      <c r="J9" s="34">
        <f>[2]Sheet1!$V$26</f>
        <v>38.978918158148716</v>
      </c>
      <c r="K9" s="9">
        <f>'Otemachi Daily'!J12</f>
        <v>192.09870000000228</v>
      </c>
      <c r="L9" s="34">
        <f>[2]Sheet1!$AE$26</f>
        <v>21.237717722962365</v>
      </c>
      <c r="M9" s="9" t="str">
        <f>'Otemachi Daily'!L12</f>
        <v>0</v>
      </c>
      <c r="N9" s="34">
        <v>741</v>
      </c>
      <c r="O9" s="9">
        <f>'Otemachi Daily'!M12</f>
        <v>53</v>
      </c>
      <c r="P9" s="9">
        <f>'Otemachi Daily'!N12</f>
        <v>107</v>
      </c>
    </row>
    <row r="10" spans="1:16" ht="17">
      <c r="A10" s="6" t="s">
        <v>22</v>
      </c>
      <c r="B10" s="7">
        <f t="shared" si="0"/>
        <v>9</v>
      </c>
      <c r="C10" s="8">
        <v>3</v>
      </c>
      <c r="D10" s="7">
        <v>2022</v>
      </c>
      <c r="E10" s="9" t="str">
        <f>'Otemachi Daily'!D13</f>
        <v>0</v>
      </c>
      <c r="F10" s="34">
        <f>[1]見込!$G$3</f>
        <v>27.56</v>
      </c>
      <c r="G10" s="9">
        <f>'Otemachi Daily'!F13</f>
        <v>0.5</v>
      </c>
      <c r="H10" s="34">
        <f>[1]見込!$M$23</f>
        <v>139.62012672203704</v>
      </c>
      <c r="I10" s="9">
        <f>'Otemachi Daily'!H13</f>
        <v>644.49599999999987</v>
      </c>
      <c r="J10" s="34">
        <f>[2]Sheet1!$V$26</f>
        <v>38.978918158148716</v>
      </c>
      <c r="K10" s="9" t="str">
        <f>'Otemachi Daily'!J13</f>
        <v>0</v>
      </c>
      <c r="L10" s="34">
        <f>[2]Sheet1!$AE$26</f>
        <v>21.237717722962365</v>
      </c>
      <c r="M10" s="9">
        <f>'Otemachi Daily'!L13</f>
        <v>12</v>
      </c>
      <c r="N10" s="34">
        <v>741</v>
      </c>
      <c r="O10" s="9">
        <f>'Otemachi Daily'!M13</f>
        <v>67</v>
      </c>
      <c r="P10" s="9">
        <f>'Otemachi Daily'!N13</f>
        <v>121</v>
      </c>
    </row>
    <row r="11" spans="1:16" ht="17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f>'Otemachi Daily'!D14</f>
        <v>64</v>
      </c>
      <c r="F11" s="34">
        <f>[1]見込!$G$3</f>
        <v>27.56</v>
      </c>
      <c r="G11" s="9">
        <f>'Otemachi Daily'!F14</f>
        <v>20.199999999999989</v>
      </c>
      <c r="H11" s="34">
        <f>[1]見込!$M$23</f>
        <v>139.62012672203704</v>
      </c>
      <c r="I11" s="9">
        <f>'Otemachi Daily'!H14</f>
        <v>39.725400000000036</v>
      </c>
      <c r="J11" s="34">
        <f>[2]Sheet1!$V$26</f>
        <v>38.978918158148716</v>
      </c>
      <c r="K11" s="9">
        <f>'Otemachi Daily'!J14</f>
        <v>486.26111999999557</v>
      </c>
      <c r="L11" s="34">
        <f>[2]Sheet1!$AE$26</f>
        <v>21.237717722962365</v>
      </c>
      <c r="M11" s="9">
        <f>'Otemachi Daily'!L14</f>
        <v>39</v>
      </c>
      <c r="N11" s="34">
        <v>741</v>
      </c>
      <c r="O11" s="9">
        <f>'Otemachi Daily'!M14</f>
        <v>75</v>
      </c>
      <c r="P11" s="9">
        <f>'Otemachi Daily'!N14</f>
        <v>139</v>
      </c>
    </row>
    <row r="12" spans="1:16" ht="17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f>'Otemachi Daily'!D15</f>
        <v>262</v>
      </c>
      <c r="F12" s="34">
        <f>[1]見込!$G$3</f>
        <v>27.56</v>
      </c>
      <c r="G12" s="9">
        <f>'Otemachi Daily'!F15</f>
        <v>17.700000000000017</v>
      </c>
      <c r="H12" s="34">
        <f>[1]見込!$M$23</f>
        <v>139.62012672203704</v>
      </c>
      <c r="I12" s="9">
        <f>'Otemachi Daily'!H15</f>
        <v>738.94800000000032</v>
      </c>
      <c r="J12" s="34">
        <f>[2]Sheet1!$V$26</f>
        <v>38.978918158148716</v>
      </c>
      <c r="K12" s="9" t="str">
        <f>'Otemachi Daily'!J15</f>
        <v>0</v>
      </c>
      <c r="L12" s="34">
        <f>[2]Sheet1!$AE$26</f>
        <v>21.237717722962365</v>
      </c>
      <c r="M12" s="9" t="str">
        <f>'Otemachi Daily'!L15</f>
        <v>0</v>
      </c>
      <c r="N12" s="34">
        <v>741</v>
      </c>
      <c r="O12" s="9">
        <f>'Otemachi Daily'!M15</f>
        <v>103</v>
      </c>
      <c r="P12" s="9">
        <f>'Otemachi Daily'!N15</f>
        <v>193</v>
      </c>
    </row>
    <row r="13" spans="1:16" ht="17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f>'Otemachi Daily'!D16</f>
        <v>138</v>
      </c>
      <c r="F13" s="34">
        <f>[1]見込!$G$3</f>
        <v>27.56</v>
      </c>
      <c r="G13" s="9" t="str">
        <f>'Otemachi Daily'!F16</f>
        <v>0</v>
      </c>
      <c r="H13" s="34">
        <f>[1]見込!$M$23</f>
        <v>139.62012672203704</v>
      </c>
      <c r="I13" s="9">
        <f>'Otemachi Daily'!H16</f>
        <v>1271.7683999999999</v>
      </c>
      <c r="J13" s="34">
        <f>[2]Sheet1!$V$26</f>
        <v>38.978918158148716</v>
      </c>
      <c r="K13" s="9" t="str">
        <f>'Otemachi Daily'!J16</f>
        <v>0</v>
      </c>
      <c r="L13" s="34">
        <f>[2]Sheet1!$AE$26</f>
        <v>21.237717722962365</v>
      </c>
      <c r="M13" s="9">
        <f>'Otemachi Daily'!L16</f>
        <v>59</v>
      </c>
      <c r="N13" s="34">
        <v>741</v>
      </c>
      <c r="O13" s="9">
        <f>'Otemachi Daily'!M16</f>
        <v>165</v>
      </c>
      <c r="P13" s="9">
        <f>'Otemachi Daily'!N16</f>
        <v>321</v>
      </c>
    </row>
    <row r="14" spans="1:16" ht="17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f>'Otemachi Daily'!D17</f>
        <v>94</v>
      </c>
      <c r="F14" s="34">
        <f>[1]見込!$G$3</f>
        <v>27.56</v>
      </c>
      <c r="G14" s="9">
        <f>'Otemachi Daily'!F17</f>
        <v>24.599999999999994</v>
      </c>
      <c r="H14" s="34">
        <f>[1]見込!$M$23</f>
        <v>139.62012672203704</v>
      </c>
      <c r="I14" s="9" t="str">
        <f>'Otemachi Daily'!H17</f>
        <v>0</v>
      </c>
      <c r="J14" s="34">
        <f>[2]Sheet1!$V$26</f>
        <v>38.978918158148716</v>
      </c>
      <c r="K14" s="9" t="str">
        <f>'Otemachi Daily'!J17</f>
        <v>0</v>
      </c>
      <c r="L14" s="34">
        <f>[2]Sheet1!$AE$26</f>
        <v>21.237717722962365</v>
      </c>
      <c r="M14" s="9">
        <f>'Otemachi Daily'!L17</f>
        <v>16</v>
      </c>
      <c r="N14" s="34">
        <v>741</v>
      </c>
      <c r="O14" s="9">
        <f>'Otemachi Daily'!M17</f>
        <v>87</v>
      </c>
      <c r="P14" s="9">
        <f>'Otemachi Daily'!N17</f>
        <v>166</v>
      </c>
    </row>
    <row r="15" spans="1:16" ht="17">
      <c r="A15" s="6" t="s">
        <v>22</v>
      </c>
      <c r="B15" s="7">
        <f t="shared" si="0"/>
        <v>14</v>
      </c>
      <c r="C15" s="8">
        <v>3</v>
      </c>
      <c r="D15" s="7">
        <v>2022</v>
      </c>
      <c r="E15" s="9" t="str">
        <f>'Otemachi Daily'!D18</f>
        <v>0</v>
      </c>
      <c r="F15" s="34">
        <f>[1]見込!$G$3</f>
        <v>27.56</v>
      </c>
      <c r="G15" s="9" t="str">
        <f>'Otemachi Daily'!F18</f>
        <v>0</v>
      </c>
      <c r="H15" s="34">
        <f>[1]見込!$M$23</f>
        <v>139.62012672203704</v>
      </c>
      <c r="I15" s="9">
        <f>'Otemachi Daily'!H18</f>
        <v>1959.8790000000004</v>
      </c>
      <c r="J15" s="34">
        <f>[2]Sheet1!$V$26</f>
        <v>38.978918158148716</v>
      </c>
      <c r="K15" s="9" t="str">
        <f>'Otemachi Daily'!J18</f>
        <v>0</v>
      </c>
      <c r="L15" s="34">
        <f>[2]Sheet1!$AE$26</f>
        <v>21.237717722962365</v>
      </c>
      <c r="M15" s="9" t="str">
        <f>'Otemachi Daily'!L18</f>
        <v>0</v>
      </c>
      <c r="N15" s="34">
        <v>741</v>
      </c>
      <c r="O15" s="9">
        <f>'Otemachi Daily'!M18</f>
        <v>66</v>
      </c>
      <c r="P15" s="9">
        <f>'Otemachi Daily'!N18</f>
        <v>136</v>
      </c>
    </row>
    <row r="16" spans="1:16" ht="17">
      <c r="A16" s="6" t="s">
        <v>22</v>
      </c>
      <c r="B16" s="7">
        <f t="shared" si="0"/>
        <v>15</v>
      </c>
      <c r="C16" s="8">
        <v>3</v>
      </c>
      <c r="D16" s="7">
        <v>2022</v>
      </c>
      <c r="E16" s="9" t="str">
        <f>'Otemachi Daily'!D19</f>
        <v>0</v>
      </c>
      <c r="F16" s="34">
        <f>[1]見込!$G$3</f>
        <v>27.56</v>
      </c>
      <c r="G16" s="9">
        <f>'Otemachi Daily'!F19</f>
        <v>23.099999999999994</v>
      </c>
      <c r="H16" s="34">
        <f>[1]見込!$M$23</f>
        <v>139.62012672203704</v>
      </c>
      <c r="I16" s="9" t="str">
        <f>'Otemachi Daily'!H19</f>
        <v>0</v>
      </c>
      <c r="J16" s="34">
        <f>[2]Sheet1!$V$26</f>
        <v>38.978918158148716</v>
      </c>
      <c r="K16" s="9">
        <f>'Otemachi Daily'!J19</f>
        <v>2239.8180599999978</v>
      </c>
      <c r="L16" s="34">
        <f>[2]Sheet1!$AE$26</f>
        <v>21.237717722962365</v>
      </c>
      <c r="M16" s="9" t="str">
        <f>'Otemachi Daily'!L19</f>
        <v>0</v>
      </c>
      <c r="N16" s="34">
        <v>741</v>
      </c>
      <c r="O16" s="9">
        <f>'Otemachi Daily'!M19</f>
        <v>82</v>
      </c>
      <c r="P16" s="9">
        <f>'Otemachi Daily'!N19</f>
        <v>163</v>
      </c>
    </row>
    <row r="17" spans="1:16" ht="17">
      <c r="A17" s="6" t="s">
        <v>22</v>
      </c>
      <c r="B17" s="7">
        <f t="shared" si="0"/>
        <v>16</v>
      </c>
      <c r="C17" s="8">
        <v>3</v>
      </c>
      <c r="D17" s="7">
        <v>2022</v>
      </c>
      <c r="E17" s="9" t="str">
        <f>'Otemachi Daily'!D20</f>
        <v>0</v>
      </c>
      <c r="F17" s="34">
        <f>[1]見込!$G$3</f>
        <v>27.56</v>
      </c>
      <c r="G17" s="9" t="str">
        <f>'Otemachi Daily'!F20</f>
        <v>0</v>
      </c>
      <c r="H17" s="34">
        <f>[1]見込!$M$23</f>
        <v>139.62012672203704</v>
      </c>
      <c r="I17" s="9">
        <f>'Otemachi Daily'!H20</f>
        <v>367.25160000000051</v>
      </c>
      <c r="J17" s="34">
        <f>[2]Sheet1!$V$26</f>
        <v>38.978918158148716</v>
      </c>
      <c r="K17" s="9" t="str">
        <f>'Otemachi Daily'!J20</f>
        <v>0</v>
      </c>
      <c r="L17" s="34">
        <f>[2]Sheet1!$AE$26</f>
        <v>21.237717722962365</v>
      </c>
      <c r="M17" s="9">
        <f>'Otemachi Daily'!L20</f>
        <v>3</v>
      </c>
      <c r="N17" s="34">
        <v>741</v>
      </c>
      <c r="O17" s="9">
        <f>'Otemachi Daily'!M20</f>
        <v>75</v>
      </c>
      <c r="P17" s="9">
        <f>'Otemachi Daily'!N20</f>
        <v>143</v>
      </c>
    </row>
    <row r="18" spans="1:16" ht="17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f>'Otemachi Daily'!D21</f>
        <v>502</v>
      </c>
      <c r="F18" s="34">
        <f>[1]見込!$G$3</f>
        <v>27.56</v>
      </c>
      <c r="G18" s="9" t="str">
        <f>'Otemachi Daily'!F21</f>
        <v>0</v>
      </c>
      <c r="H18" s="34">
        <f>[1]見込!$M$23</f>
        <v>139.62012672203704</v>
      </c>
      <c r="I18" s="9" t="str">
        <f>'Otemachi Daily'!H21</f>
        <v>0</v>
      </c>
      <c r="J18" s="34">
        <f>[2]Sheet1!$V$26</f>
        <v>38.978918158148716</v>
      </c>
      <c r="K18" s="9">
        <f>'Otemachi Daily'!J21</f>
        <v>2175.0906599999998</v>
      </c>
      <c r="L18" s="34">
        <f>[2]Sheet1!$AE$26</f>
        <v>21.237717722962365</v>
      </c>
      <c r="M18" s="9">
        <f>'Otemachi Daily'!L21</f>
        <v>34</v>
      </c>
      <c r="N18" s="34">
        <v>741</v>
      </c>
      <c r="O18" s="9">
        <f>'Otemachi Daily'!M21</f>
        <v>73</v>
      </c>
      <c r="P18" s="9">
        <f>'Otemachi Daily'!N21</f>
        <v>134</v>
      </c>
    </row>
    <row r="19" spans="1:16" ht="17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f>'Otemachi Daily'!D22</f>
        <v>464</v>
      </c>
      <c r="F19" s="34">
        <f>[1]見込!$G$3</f>
        <v>27.56</v>
      </c>
      <c r="G19" s="9">
        <f>'Otemachi Daily'!F22</f>
        <v>31.5</v>
      </c>
      <c r="H19" s="34">
        <f>[1]見込!$M$23</f>
        <v>139.62012672203704</v>
      </c>
      <c r="I19" s="9" t="str">
        <f>'Otemachi Daily'!H22</f>
        <v>0</v>
      </c>
      <c r="J19" s="34">
        <f>[2]Sheet1!$V$26</f>
        <v>38.978918158148716</v>
      </c>
      <c r="K19" s="9">
        <f>'Otemachi Daily'!J22</f>
        <v>10525.92534</v>
      </c>
      <c r="L19" s="34">
        <f>[2]Sheet1!$AE$26</f>
        <v>21.237717722962365</v>
      </c>
      <c r="M19" s="9" t="str">
        <f>'Otemachi Daily'!L22</f>
        <v>0</v>
      </c>
      <c r="N19" s="34">
        <v>741</v>
      </c>
      <c r="O19" s="9">
        <f>'Otemachi Daily'!M22</f>
        <v>107</v>
      </c>
      <c r="P19" s="9">
        <f>'Otemachi Daily'!N22</f>
        <v>223</v>
      </c>
    </row>
    <row r="20" spans="1:16" ht="17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f>'Otemachi Daily'!D23</f>
        <v>207</v>
      </c>
      <c r="F20" s="34">
        <f>[1]見込!$G$3</f>
        <v>27.56</v>
      </c>
      <c r="G20" s="9" t="str">
        <f>'Otemachi Daily'!F23</f>
        <v>0</v>
      </c>
      <c r="H20" s="34">
        <f>[1]見込!$M$23</f>
        <v>139.62012672203704</v>
      </c>
      <c r="I20" s="9">
        <f>'Otemachi Daily'!H23</f>
        <v>1814.3117999999999</v>
      </c>
      <c r="J20" s="34">
        <f>[2]Sheet1!$V$26</f>
        <v>38.978918158148716</v>
      </c>
      <c r="K20" s="9" t="str">
        <f>'Otemachi Daily'!J23</f>
        <v>0</v>
      </c>
      <c r="L20" s="34">
        <f>[2]Sheet1!$AE$26</f>
        <v>21.237717722962365</v>
      </c>
      <c r="M20" s="9">
        <f>'Otemachi Daily'!L23</f>
        <v>53</v>
      </c>
      <c r="N20" s="34">
        <v>741</v>
      </c>
      <c r="O20" s="9">
        <f>'Otemachi Daily'!M23</f>
        <v>179</v>
      </c>
      <c r="P20" s="9">
        <f>'Otemachi Daily'!N23</f>
        <v>391</v>
      </c>
    </row>
    <row r="21" spans="1:16" ht="17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f>'Otemachi Daily'!D24</f>
        <v>139</v>
      </c>
      <c r="F21" s="34">
        <f>[1]見込!$G$3</f>
        <v>27.56</v>
      </c>
      <c r="G21" s="9">
        <f>'Otemachi Daily'!F24</f>
        <v>7</v>
      </c>
      <c r="H21" s="34">
        <f>[1]見込!$M$23</f>
        <v>139.62012672203704</v>
      </c>
      <c r="I21" s="9">
        <f>'Otemachi Daily'!H24</f>
        <v>618.93839999999955</v>
      </c>
      <c r="J21" s="34">
        <f>[2]Sheet1!$V$26</f>
        <v>38.978918158148716</v>
      </c>
      <c r="K21" s="9">
        <f>'Otemachi Daily'!J24</f>
        <v>4392.2402399999992</v>
      </c>
      <c r="L21" s="34">
        <f>[2]Sheet1!$AE$26</f>
        <v>21.237717722962365</v>
      </c>
      <c r="M21" s="9">
        <f>'Otemachi Daily'!L24</f>
        <v>56</v>
      </c>
      <c r="N21" s="34">
        <v>741</v>
      </c>
      <c r="O21" s="9">
        <f>'Otemachi Daily'!M24</f>
        <v>175</v>
      </c>
      <c r="P21" s="9">
        <f>'Otemachi Daily'!N24</f>
        <v>340</v>
      </c>
    </row>
    <row r="22" spans="1:16" ht="17">
      <c r="A22" s="6" t="s">
        <v>22</v>
      </c>
      <c r="B22" s="7">
        <f t="shared" si="0"/>
        <v>21</v>
      </c>
      <c r="C22" s="8">
        <v>3</v>
      </c>
      <c r="D22" s="7">
        <v>2022</v>
      </c>
      <c r="E22" s="9" t="str">
        <f>'Otemachi Daily'!D25</f>
        <v>0</v>
      </c>
      <c r="F22" s="34">
        <f>[1]見込!$G$3</f>
        <v>27.56</v>
      </c>
      <c r="G22" s="9" t="str">
        <f>'Otemachi Daily'!F25</f>
        <v>0</v>
      </c>
      <c r="H22" s="34">
        <f>[1]見込!$M$23</f>
        <v>139.62012672203704</v>
      </c>
      <c r="I22" s="9" t="str">
        <f>'Otemachi Daily'!H25</f>
        <v>0</v>
      </c>
      <c r="J22" s="34">
        <f>[2]Sheet1!$V$26</f>
        <v>38.978918158148716</v>
      </c>
      <c r="K22" s="9" t="str">
        <f>'Otemachi Daily'!J25</f>
        <v>0</v>
      </c>
      <c r="L22" s="34">
        <f>[2]Sheet1!$AE$26</f>
        <v>21.237717722962365</v>
      </c>
      <c r="M22" s="9" t="str">
        <f>'Otemachi Daily'!L25</f>
        <v>0</v>
      </c>
      <c r="N22" s="34">
        <v>741</v>
      </c>
      <c r="O22" s="9">
        <f>'Otemachi Daily'!M25</f>
        <v>70</v>
      </c>
      <c r="P22" s="9">
        <f>'Otemachi Daily'!N25</f>
        <v>133</v>
      </c>
    </row>
    <row r="23" spans="1:16" ht="17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f>'Otemachi Daily'!D26</f>
        <v>177</v>
      </c>
      <c r="F23" s="34">
        <f>[1]見込!$G$3</f>
        <v>27.56</v>
      </c>
      <c r="G23" s="9">
        <f>'Otemachi Daily'!F26</f>
        <v>2.1999999999999886</v>
      </c>
      <c r="H23" s="34">
        <f>[1]見込!$M$23</f>
        <v>139.62012672203704</v>
      </c>
      <c r="I23" s="9" t="str">
        <f>'Otemachi Daily'!H26</f>
        <v>0</v>
      </c>
      <c r="J23" s="34">
        <f>[2]Sheet1!$V$26</f>
        <v>38.978918158148716</v>
      </c>
      <c r="K23" s="9">
        <f>'Otemachi Daily'!J26</f>
        <v>6427.2641399999993</v>
      </c>
      <c r="L23" s="34">
        <f>[2]Sheet1!$AE$26</f>
        <v>21.237717722962365</v>
      </c>
      <c r="M23" s="9" t="str">
        <f>'Otemachi Daily'!L26</f>
        <v>0</v>
      </c>
      <c r="N23" s="34">
        <v>741</v>
      </c>
      <c r="O23" s="9">
        <f>'Otemachi Daily'!M26</f>
        <v>63</v>
      </c>
      <c r="P23" s="9">
        <f>'Otemachi Daily'!N26</f>
        <v>118</v>
      </c>
    </row>
    <row r="24" spans="1:16" ht="17">
      <c r="A24" s="6" t="s">
        <v>22</v>
      </c>
      <c r="B24" s="7">
        <f t="shared" si="0"/>
        <v>23</v>
      </c>
      <c r="C24" s="8">
        <v>3</v>
      </c>
      <c r="D24" s="7">
        <v>2022</v>
      </c>
      <c r="E24" s="9" t="str">
        <f>'Otemachi Daily'!D27</f>
        <v>0</v>
      </c>
      <c r="F24" s="34">
        <f>[1]見込!$G$3</f>
        <v>27.56</v>
      </c>
      <c r="G24" s="9" t="str">
        <f>'Otemachi Daily'!F27</f>
        <v>0</v>
      </c>
      <c r="H24" s="34">
        <f>[1]見込!$M$23</f>
        <v>139.62012672203704</v>
      </c>
      <c r="I24" s="9">
        <f>'Otemachi Daily'!H27</f>
        <v>557.54459999999995</v>
      </c>
      <c r="J24" s="34">
        <f>[2]Sheet1!$V$26</f>
        <v>38.978918158148716</v>
      </c>
      <c r="K24" s="9" t="str">
        <f>'Otemachi Daily'!J27</f>
        <v>0</v>
      </c>
      <c r="L24" s="34">
        <f>[2]Sheet1!$AE$26</f>
        <v>21.237717722962365</v>
      </c>
      <c r="M24" s="9" t="str">
        <f>'Otemachi Daily'!L27</f>
        <v>0</v>
      </c>
      <c r="N24" s="34">
        <v>741</v>
      </c>
      <c r="O24" s="9">
        <f>'Otemachi Daily'!M27</f>
        <v>65</v>
      </c>
      <c r="P24" s="9">
        <f>'Otemachi Daily'!N27</f>
        <v>116</v>
      </c>
    </row>
    <row r="25" spans="1:16" ht="17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f>'Otemachi Daily'!D28</f>
        <v>521</v>
      </c>
      <c r="F25" s="34">
        <f>[1]見込!$G$3</f>
        <v>27.56</v>
      </c>
      <c r="G25" s="9">
        <f>'Otemachi Daily'!F28</f>
        <v>20.200000000000017</v>
      </c>
      <c r="H25" s="34">
        <f>[1]見込!$M$23</f>
        <v>139.62012672203704</v>
      </c>
      <c r="I25" s="9">
        <f>'Otemachi Daily'!H28</f>
        <v>345.30539999999996</v>
      </c>
      <c r="J25" s="34">
        <f>[2]Sheet1!$V$26</f>
        <v>38.978918158148716</v>
      </c>
      <c r="K25" s="9" t="str">
        <f>'Otemachi Daily'!J28</f>
        <v>0</v>
      </c>
      <c r="L25" s="34">
        <f>[2]Sheet1!$AE$26</f>
        <v>21.237717722962365</v>
      </c>
      <c r="M25" s="9">
        <f>'Otemachi Daily'!L28</f>
        <v>58</v>
      </c>
      <c r="N25" s="34">
        <v>741</v>
      </c>
      <c r="O25" s="9">
        <f>'Otemachi Daily'!M28</f>
        <v>96</v>
      </c>
      <c r="P25" s="9">
        <f>'Otemachi Daily'!N28</f>
        <v>175</v>
      </c>
    </row>
    <row r="26" spans="1:16" ht="17">
      <c r="A26" s="6" t="s">
        <v>22</v>
      </c>
      <c r="B26" s="7">
        <f>B25+1</f>
        <v>25</v>
      </c>
      <c r="C26" s="8">
        <v>3</v>
      </c>
      <c r="D26" s="7">
        <v>2022</v>
      </c>
      <c r="E26" s="9">
        <f>'Otemachi Daily'!D29</f>
        <v>47</v>
      </c>
      <c r="F26" s="34">
        <f>[1]見込!$G$3</f>
        <v>27.56</v>
      </c>
      <c r="G26" s="9">
        <f>'Otemachi Daily'!F29</f>
        <v>11.900000000000006</v>
      </c>
      <c r="H26" s="34">
        <f>[1]見込!$M$23</f>
        <v>139.62012672203704</v>
      </c>
      <c r="I26" s="9">
        <f>'Otemachi Daily'!H29</f>
        <v>1124.8121999999998</v>
      </c>
      <c r="J26" s="34">
        <f>[2]Sheet1!$V$26</f>
        <v>38.978918158148716</v>
      </c>
      <c r="K26" s="9" t="str">
        <f>'Otemachi Daily'!J29</f>
        <v>0</v>
      </c>
      <c r="L26" s="34">
        <f>[2]Sheet1!$AE$26</f>
        <v>21.237717722962365</v>
      </c>
      <c r="M26" s="9">
        <f>'Otemachi Daily'!L29</f>
        <v>2</v>
      </c>
      <c r="N26" s="34">
        <v>741</v>
      </c>
      <c r="O26" s="9">
        <f>'Otemachi Daily'!M29</f>
        <v>116</v>
      </c>
      <c r="P26" s="9">
        <f>'Otemachi Daily'!N29</f>
        <v>246</v>
      </c>
    </row>
    <row r="27" spans="1:16" ht="17">
      <c r="A27" s="6" t="s">
        <v>22</v>
      </c>
      <c r="B27" s="7">
        <f t="shared" si="0"/>
        <v>26</v>
      </c>
      <c r="C27" s="8">
        <v>3</v>
      </c>
      <c r="D27" s="7">
        <v>2022</v>
      </c>
      <c r="E27" s="9" t="str">
        <f>'Otemachi Daily'!D30</f>
        <v>0</v>
      </c>
      <c r="F27" s="34">
        <f>[1]見込!$G$3</f>
        <v>27.56</v>
      </c>
      <c r="G27" s="9" t="str">
        <f>'Otemachi Daily'!F30</f>
        <v>0</v>
      </c>
      <c r="H27" s="34">
        <f>[1]見込!$M$23</f>
        <v>139.62012672203704</v>
      </c>
      <c r="I27" s="9">
        <f>'Otemachi Daily'!H30</f>
        <v>253.90920000000006</v>
      </c>
      <c r="J27" s="34">
        <f>[2]Sheet1!$V$26</f>
        <v>38.978918158148716</v>
      </c>
      <c r="K27" s="9" t="str">
        <f>'Otemachi Daily'!J30</f>
        <v>0</v>
      </c>
      <c r="L27" s="34">
        <f>[2]Sheet1!$AE$26</f>
        <v>21.237717722962365</v>
      </c>
      <c r="M27" s="9">
        <f>'Otemachi Daily'!L30</f>
        <v>22</v>
      </c>
      <c r="N27" s="34">
        <v>741</v>
      </c>
      <c r="O27" s="9">
        <f>'Otemachi Daily'!M30</f>
        <v>178</v>
      </c>
      <c r="P27" s="9">
        <f>'Otemachi Daily'!N30</f>
        <v>346</v>
      </c>
    </row>
    <row r="28" spans="1:16" ht="17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f>'Otemachi Daily'!D31</f>
        <v>306</v>
      </c>
      <c r="F28" s="34">
        <f>[1]見込!$G$3</f>
        <v>27.56</v>
      </c>
      <c r="G28" s="9" t="str">
        <f>'Otemachi Daily'!F31</f>
        <v>0</v>
      </c>
      <c r="H28" s="34">
        <f>[1]見込!$M$23</f>
        <v>139.62012672203704</v>
      </c>
      <c r="I28" s="9">
        <f>'Otemachi Daily'!H31</f>
        <v>1138.98</v>
      </c>
      <c r="J28" s="34">
        <f>[2]Sheet1!$V$26</f>
        <v>38.978918158148716</v>
      </c>
      <c r="K28" s="9">
        <f>'Otemachi Daily'!J31</f>
        <v>411.94961999999941</v>
      </c>
      <c r="L28" s="34">
        <f>[2]Sheet1!$AE$26</f>
        <v>21.237717722962365</v>
      </c>
      <c r="M28" s="9">
        <f>'Otemachi Daily'!L31</f>
        <v>22</v>
      </c>
      <c r="N28" s="34">
        <v>741</v>
      </c>
      <c r="O28" s="9">
        <f>'Otemachi Daily'!M31</f>
        <v>122</v>
      </c>
      <c r="P28" s="9">
        <f>'Otemachi Daily'!N31</f>
        <v>234</v>
      </c>
    </row>
    <row r="29" spans="1:16" ht="17">
      <c r="A29" s="6" t="s">
        <v>22</v>
      </c>
      <c r="B29" s="7">
        <f t="shared" si="0"/>
        <v>28</v>
      </c>
      <c r="C29" s="8">
        <v>3</v>
      </c>
      <c r="D29" s="7">
        <v>2022</v>
      </c>
      <c r="E29" s="9" t="str">
        <f>'Otemachi Daily'!D32</f>
        <v>0</v>
      </c>
      <c r="F29" s="34">
        <f>[1]見込!$G$3</f>
        <v>27.56</v>
      </c>
      <c r="G29" s="9">
        <f>'Otemachi Daily'!F32</f>
        <v>9.6999999999999886</v>
      </c>
      <c r="H29" s="34">
        <f>[1]見込!$M$23</f>
        <v>139.62012672203704</v>
      </c>
      <c r="I29" s="9" t="str">
        <f>'Otemachi Daily'!H32</f>
        <v>0</v>
      </c>
      <c r="J29" s="34">
        <f>[2]Sheet1!$V$26</f>
        <v>38.978918158148716</v>
      </c>
      <c r="K29" s="9">
        <f>'Otemachi Daily'!J32</f>
        <v>3898.5340799999976</v>
      </c>
      <c r="L29" s="34">
        <f>[2]Sheet1!$AE$26</f>
        <v>21.237717722962365</v>
      </c>
      <c r="M29" s="9" t="str">
        <f>'Otemachi Daily'!L32</f>
        <v>0</v>
      </c>
      <c r="N29" s="34">
        <v>741</v>
      </c>
      <c r="O29" s="9">
        <f>'Otemachi Daily'!M32</f>
        <v>89</v>
      </c>
      <c r="P29" s="9">
        <f>'Otemachi Daily'!N32</f>
        <v>160</v>
      </c>
    </row>
    <row r="30" spans="1:16" ht="17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f>'Otemachi Daily'!D33</f>
        <v>304</v>
      </c>
      <c r="F30" s="34">
        <f>[1]見込!$G$3</f>
        <v>27.56</v>
      </c>
      <c r="G30" s="9">
        <f>'Otemachi Daily'!F33</f>
        <v>0.69999999999998863</v>
      </c>
      <c r="H30" s="34">
        <f>[1]見込!$M$23</f>
        <v>139.62012672203704</v>
      </c>
      <c r="I30" s="9" t="str">
        <f>'Otemachi Daily'!H33</f>
        <v>0</v>
      </c>
      <c r="J30" s="34">
        <f>[2]Sheet1!$V$26</f>
        <v>38.978918158148716</v>
      </c>
      <c r="K30" s="9">
        <f>'Otemachi Daily'!J33</f>
        <v>3892.8114000000023</v>
      </c>
      <c r="L30" s="34">
        <f>[2]Sheet1!$AE$26</f>
        <v>21.237717722962365</v>
      </c>
      <c r="M30" s="9" t="str">
        <f>'Otemachi Daily'!L33</f>
        <v>0</v>
      </c>
      <c r="N30" s="34">
        <v>741</v>
      </c>
      <c r="O30" s="9">
        <f>'Otemachi Daily'!M33</f>
        <v>106</v>
      </c>
      <c r="P30" s="9">
        <f>'Otemachi Daily'!N33</f>
        <v>238</v>
      </c>
    </row>
    <row r="31" spans="1:16" ht="17">
      <c r="A31" s="6" t="s">
        <v>22</v>
      </c>
      <c r="B31" s="7">
        <f t="shared" si="0"/>
        <v>30</v>
      </c>
      <c r="C31" s="8">
        <v>3</v>
      </c>
      <c r="D31" s="7">
        <v>2022</v>
      </c>
      <c r="E31" s="9" t="str">
        <f>'Otemachi Daily'!D34</f>
        <v>0</v>
      </c>
      <c r="F31" s="34">
        <f>[1]見込!$G$3</f>
        <v>27.56</v>
      </c>
      <c r="G31" s="9" t="str">
        <f>'Otemachi Daily'!F34</f>
        <v>0</v>
      </c>
      <c r="H31" s="34">
        <f>[1]見込!$M$23</f>
        <v>139.62012672203704</v>
      </c>
      <c r="I31" s="9">
        <f>'Otemachi Daily'!H34</f>
        <v>927.57419999999979</v>
      </c>
      <c r="J31" s="34">
        <f>[2]Sheet1!$V$26</f>
        <v>38.978918158148716</v>
      </c>
      <c r="K31" s="9" t="str">
        <f>'Otemachi Daily'!J34</f>
        <v>0</v>
      </c>
      <c r="L31" s="34">
        <f>[2]Sheet1!$AE$26</f>
        <v>21.237717722962365</v>
      </c>
      <c r="M31" s="9" t="str">
        <f>'Otemachi Daily'!L34</f>
        <v>0</v>
      </c>
      <c r="N31" s="34">
        <v>741</v>
      </c>
      <c r="O31" s="9">
        <f>'Otemachi Daily'!M34</f>
        <v>77</v>
      </c>
      <c r="P31" s="9">
        <f>'Otemachi Daily'!N34</f>
        <v>166</v>
      </c>
    </row>
    <row r="32" spans="1:16" ht="17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f>'Otemachi Daily'!D35</f>
        <v>71</v>
      </c>
      <c r="F32" s="34">
        <f>[1]見込!$G$3</f>
        <v>27.56</v>
      </c>
      <c r="G32" s="9">
        <f>'Otemachi Daily'!F35</f>
        <v>28.699999999999989</v>
      </c>
      <c r="H32" s="34">
        <f>[1]見込!$M$23</f>
        <v>139.62012672203704</v>
      </c>
      <c r="I32" s="9">
        <f>'Otemachi Daily'!H35</f>
        <v>365.58480000000054</v>
      </c>
      <c r="J32" s="34">
        <f>[2]Sheet1!$V$26</f>
        <v>38.978918158148716</v>
      </c>
      <c r="K32" s="9" t="str">
        <f>'Otemachi Daily'!J35</f>
        <v>0</v>
      </c>
      <c r="L32" s="34">
        <f>[2]Sheet1!$AE$26</f>
        <v>21.237717722962365</v>
      </c>
      <c r="M32" s="9" t="str">
        <f>'Otemachi Daily'!L35</f>
        <v>0</v>
      </c>
      <c r="N32" s="34">
        <v>741</v>
      </c>
      <c r="O32" s="9">
        <f>'Otemachi Daily'!M35</f>
        <v>70</v>
      </c>
      <c r="P32" s="9">
        <f>'Otemachi Daily'!N35</f>
        <v>145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tabSelected="1" topLeftCell="A22" zoomScale="80" zoomScaleNormal="80" zoomScalePageLayoutView="80" workbookViewId="0">
      <pane xSplit="1" topLeftCell="B1" activePane="topRight" state="frozen"/>
      <selection pane="topRight" activeCell="C35" sqref="C35:N35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>
        <v>13758</v>
      </c>
      <c r="D4" s="24"/>
      <c r="E4" s="49">
        <v>218.7</v>
      </c>
      <c r="F4" s="25"/>
      <c r="G4" s="49">
        <v>1825.4238</v>
      </c>
      <c r="H4" s="25"/>
      <c r="I4" s="49">
        <v>22657.951379999999</v>
      </c>
      <c r="J4" s="25"/>
      <c r="K4" s="23">
        <v>188</v>
      </c>
      <c r="M4" s="27"/>
      <c r="N4" s="27"/>
    </row>
    <row r="5" spans="1:17" ht="33" customHeight="1">
      <c r="A5" s="28">
        <v>44621</v>
      </c>
      <c r="B5" s="39"/>
      <c r="C5" s="35">
        <f>[1]コスト!$G$147</f>
        <v>13308</v>
      </c>
      <c r="D5" s="48" t="str">
        <f>IF((C5-C4&lt;0), "0",C5-C4)</f>
        <v>0</v>
      </c>
      <c r="E5" s="35">
        <f>[1]コスト!$G$23</f>
        <v>188.3</v>
      </c>
      <c r="F5" s="48" t="str">
        <f>IF((E5-E4&lt;0), "0",E5-E4)</f>
        <v>0</v>
      </c>
      <c r="G5" s="35">
        <f>[1]コスト!$G$115+'[1]1日'!$C$29</f>
        <v>1763.1966</v>
      </c>
      <c r="H5" s="48" t="str">
        <f>IF((G5-G4&lt;0), "0",G5-G4)</f>
        <v>0</v>
      </c>
      <c r="I5" s="35">
        <f>[1]コスト!$G$91+[1]コスト!$G$66</f>
        <v>18601.849139999998</v>
      </c>
      <c r="J5" s="48" t="str">
        <f>IF((I5-I4&lt;0), "0",I5-I4)</f>
        <v>0</v>
      </c>
      <c r="K5" s="35">
        <f>[1]コスト!$G$41</f>
        <v>139</v>
      </c>
      <c r="L5" s="48" t="str">
        <f>IF((K5-K4&lt;0), "0",K5-K4)</f>
        <v>0</v>
      </c>
      <c r="M5" s="35">
        <f>[1]使用量!$G$387</f>
        <v>48</v>
      </c>
      <c r="N5" s="35">
        <f>[1]使用量!$G$388</f>
        <v>88</v>
      </c>
      <c r="O5" s="26"/>
      <c r="P5" s="37"/>
      <c r="Q5" s="37"/>
    </row>
    <row r="6" spans="1:17" ht="45" customHeight="1">
      <c r="A6" s="28">
        <v>44622</v>
      </c>
      <c r="B6" s="39"/>
      <c r="C6" s="35">
        <f>[1]コスト!$H$147</f>
        <v>13198</v>
      </c>
      <c r="D6" s="48" t="str">
        <f>IF((C6-C5&lt;0), "0",C6-C5)</f>
        <v>0</v>
      </c>
      <c r="E6" s="35">
        <f>[1]コスト!$H$23</f>
        <v>179.6</v>
      </c>
      <c r="F6" s="48" t="str">
        <f t="shared" ref="F6:F35" si="0">IF((E6-E5&lt;0), "0",E6-E5)</f>
        <v>0</v>
      </c>
      <c r="G6" s="35">
        <f>[1]コスト!$H$115+'[1]2日'!$C$29</f>
        <v>1594.8498</v>
      </c>
      <c r="H6" s="48" t="str">
        <f t="shared" ref="H6:H35" si="1">IF((G6-G5&lt;0), "0",G6-G5)</f>
        <v>0</v>
      </c>
      <c r="I6" s="35">
        <f>[1]コスト!$H$91+[1]コスト!$H$66</f>
        <v>18660.131580000001</v>
      </c>
      <c r="J6" s="48">
        <f t="shared" ref="J6:J35" si="2">IF((I6-I5&lt;0), "0",I6-I5)</f>
        <v>58.28244000000268</v>
      </c>
      <c r="K6" s="35">
        <f>[1]コスト!$H$41</f>
        <v>115</v>
      </c>
      <c r="L6" s="48" t="str">
        <f t="shared" ref="L6:L35" si="3">IF((K6-K5&lt;0), "0",K6-K5)</f>
        <v>0</v>
      </c>
      <c r="M6" s="35">
        <f>[1]使用量!$H$387</f>
        <v>42</v>
      </c>
      <c r="N6" s="35">
        <f>[1]使用量!$H$388</f>
        <v>70</v>
      </c>
      <c r="O6" s="26"/>
      <c r="P6" s="37"/>
      <c r="Q6" s="37"/>
    </row>
    <row r="7" spans="1:17" ht="45" customHeight="1">
      <c r="A7" s="28">
        <v>44623</v>
      </c>
      <c r="B7" s="39"/>
      <c r="C7" s="35">
        <f>[1]コスト!$I$147</f>
        <v>13627</v>
      </c>
      <c r="D7" s="48">
        <f>IF((C7-C6&lt;0), "0",C7-C6)</f>
        <v>429</v>
      </c>
      <c r="E7" s="35">
        <f>[1]コスト!$I$23</f>
        <v>181</v>
      </c>
      <c r="F7" s="48">
        <f t="shared" si="0"/>
        <v>1.4000000000000057</v>
      </c>
      <c r="G7" s="35">
        <f>[1]コスト!$I$115+'[1]3日'!$C$29</f>
        <v>1627.0745999999999</v>
      </c>
      <c r="H7" s="48">
        <f t="shared" si="1"/>
        <v>32.224799999999959</v>
      </c>
      <c r="I7" s="35">
        <f>[1]コスト!$I$91+[1]コスト!$I$66</f>
        <v>18707.885399999999</v>
      </c>
      <c r="J7" s="48">
        <f t="shared" si="2"/>
        <v>47.753819999998086</v>
      </c>
      <c r="K7" s="35">
        <f>[1]コスト!$I$41</f>
        <v>129</v>
      </c>
      <c r="L7" s="48">
        <f t="shared" si="3"/>
        <v>14</v>
      </c>
      <c r="M7" s="35">
        <f>[1]使用量!$I$387</f>
        <v>50</v>
      </c>
      <c r="N7" s="35">
        <f>[1]使用量!$I$388</f>
        <v>88</v>
      </c>
      <c r="P7" s="37"/>
      <c r="Q7" s="37"/>
    </row>
    <row r="8" spans="1:17" ht="45" customHeight="1">
      <c r="A8" s="28">
        <v>44624</v>
      </c>
      <c r="B8" s="39"/>
      <c r="C8" s="35">
        <f>[1]コスト!$J$147</f>
        <v>14037</v>
      </c>
      <c r="D8" s="48">
        <f t="shared" ref="D8:D25" si="4">IF((C8-C7&lt;0), "0",C8-C7)</f>
        <v>410</v>
      </c>
      <c r="E8" s="35">
        <f>[1]コスト!$J$23</f>
        <v>193.2</v>
      </c>
      <c r="F8" s="48">
        <f t="shared" si="0"/>
        <v>12.199999999999989</v>
      </c>
      <c r="G8" s="35">
        <f>[1]コスト!$J$115+'[1]4日'!$C$29</f>
        <v>1485.9521999999999</v>
      </c>
      <c r="H8" s="48" t="str">
        <f t="shared" si="1"/>
        <v>0</v>
      </c>
      <c r="I8" s="35">
        <f>[1]コスト!$J$91+[1]コスト!$J$66</f>
        <v>23779.568879999999</v>
      </c>
      <c r="J8" s="48">
        <f t="shared" si="2"/>
        <v>5071.6834799999997</v>
      </c>
      <c r="K8" s="35">
        <f>[1]コスト!$J$41</f>
        <v>145</v>
      </c>
      <c r="L8" s="48">
        <f t="shared" si="3"/>
        <v>16</v>
      </c>
      <c r="M8" s="35">
        <f>[1]使用量!$J$387</f>
        <v>86</v>
      </c>
      <c r="N8" s="35">
        <f>[1]使用量!$J$388</f>
        <v>164</v>
      </c>
      <c r="P8" s="37"/>
      <c r="Q8" s="37"/>
    </row>
    <row r="9" spans="1:17" ht="45" customHeight="1">
      <c r="A9" s="28">
        <v>44625</v>
      </c>
      <c r="B9" s="39"/>
      <c r="C9" s="35">
        <f>[1]コスト!$K$147</f>
        <v>14359</v>
      </c>
      <c r="D9" s="48">
        <f t="shared" si="4"/>
        <v>322</v>
      </c>
      <c r="E9" s="35">
        <f>[1]コスト!$K$23</f>
        <v>186.2</v>
      </c>
      <c r="F9" s="48" t="str">
        <f t="shared" si="0"/>
        <v>0</v>
      </c>
      <c r="G9" s="35">
        <f>[1]コスト!$K$115+'[1]5日'!$C$29</f>
        <v>2392.1358</v>
      </c>
      <c r="H9" s="48">
        <f t="shared" si="1"/>
        <v>906.18360000000007</v>
      </c>
      <c r="I9" s="35">
        <f>[1]コスト!$K$91+[1]コスト!$K$66</f>
        <v>20433.912360000002</v>
      </c>
      <c r="J9" s="48" t="str">
        <f t="shared" si="2"/>
        <v>0</v>
      </c>
      <c r="K9" s="35">
        <f>[1]コスト!$K$41</f>
        <v>191</v>
      </c>
      <c r="L9" s="48">
        <f t="shared" si="3"/>
        <v>46</v>
      </c>
      <c r="M9" s="35">
        <f>[1]使用量!$K$387</f>
        <v>69</v>
      </c>
      <c r="N9" s="35">
        <f>[1]使用量!$K$388</f>
        <v>130</v>
      </c>
      <c r="P9" s="37"/>
      <c r="Q9" s="37"/>
    </row>
    <row r="10" spans="1:17" ht="45" customHeight="1">
      <c r="A10" s="28">
        <v>44626</v>
      </c>
      <c r="B10" s="39"/>
      <c r="C10" s="35">
        <f>[1]コスト!$L$147</f>
        <v>14761</v>
      </c>
      <c r="D10" s="48">
        <f t="shared" si="4"/>
        <v>402</v>
      </c>
      <c r="E10" s="35">
        <f>[1]コスト!$L$23</f>
        <v>207.1</v>
      </c>
      <c r="F10" s="48">
        <f t="shared" si="0"/>
        <v>20.900000000000006</v>
      </c>
      <c r="G10" s="35">
        <f>[1]コスト!$L$115+'[1]6日'!$C$29</f>
        <v>1939.0439999999999</v>
      </c>
      <c r="H10" s="48" t="str">
        <f t="shared" si="1"/>
        <v>0</v>
      </c>
      <c r="I10" s="35">
        <f>[1]コスト!$L$91+[1]コスト!$L$66</f>
        <v>27321.046620000001</v>
      </c>
      <c r="J10" s="48">
        <f>IF((I10-I9&lt;0), "0",I10-I9)</f>
        <v>6887.1342599999989</v>
      </c>
      <c r="K10" s="35">
        <f>[1]コスト!$L$41</f>
        <v>200</v>
      </c>
      <c r="L10" s="48">
        <f t="shared" si="3"/>
        <v>9</v>
      </c>
      <c r="M10" s="35">
        <f>[1]使用量!$L$387</f>
        <v>77</v>
      </c>
      <c r="N10" s="35">
        <f>[1]使用量!$L$388</f>
        <v>144</v>
      </c>
      <c r="P10" s="37"/>
      <c r="Q10" s="37"/>
    </row>
    <row r="11" spans="1:17" ht="45" customHeight="1">
      <c r="A11" s="28">
        <v>44627</v>
      </c>
      <c r="B11" s="39"/>
      <c r="C11" s="35">
        <f>[1]コスト!$M$147</f>
        <v>14158</v>
      </c>
      <c r="D11" s="48" t="str">
        <f t="shared" si="4"/>
        <v>0</v>
      </c>
      <c r="E11" s="35">
        <f>[1]コスト!$M$23</f>
        <v>173.9</v>
      </c>
      <c r="F11" s="48" t="str">
        <f t="shared" si="0"/>
        <v>0</v>
      </c>
      <c r="G11" s="35">
        <f>[1]コスト!$M$115+'[1]7日'!$C$29</f>
        <v>1629.0192</v>
      </c>
      <c r="H11" s="48" t="str">
        <f t="shared" si="1"/>
        <v>0</v>
      </c>
      <c r="I11" s="35">
        <f>[1]コスト!$M$91+[1]コスト!$M$66</f>
        <v>24699.78138</v>
      </c>
      <c r="J11" s="48" t="str">
        <f t="shared" si="2"/>
        <v>0</v>
      </c>
      <c r="K11" s="35">
        <f>[1]コスト!$M$41</f>
        <v>183</v>
      </c>
      <c r="L11" s="48" t="str">
        <f t="shared" si="3"/>
        <v>0</v>
      </c>
      <c r="M11" s="35">
        <f>[1]使用量!$M$387</f>
        <v>57</v>
      </c>
      <c r="N11" s="35">
        <f>[1]使用量!$M$388</f>
        <v>111</v>
      </c>
      <c r="P11" s="37"/>
      <c r="Q11" s="37"/>
    </row>
    <row r="12" spans="1:17" ht="45" customHeight="1">
      <c r="A12" s="28">
        <v>44628</v>
      </c>
      <c r="B12" s="39"/>
      <c r="C12" s="35">
        <f>[1]コスト!$N$147</f>
        <v>14243</v>
      </c>
      <c r="D12" s="48">
        <f t="shared" si="4"/>
        <v>85</v>
      </c>
      <c r="E12" s="35">
        <f>[1]コスト!$N$23</f>
        <v>168.5</v>
      </c>
      <c r="F12" s="48" t="str">
        <f t="shared" si="0"/>
        <v>0</v>
      </c>
      <c r="G12" s="35">
        <f>[1]コスト!$N$115+'[1]8日'!$C$29</f>
        <v>1052.8620000000001</v>
      </c>
      <c r="H12" s="48" t="str">
        <f t="shared" si="1"/>
        <v>0</v>
      </c>
      <c r="I12" s="35">
        <f>[1]コスト!$N$91+[1]コスト!$N$66</f>
        <v>24891.880080000003</v>
      </c>
      <c r="J12" s="48">
        <f t="shared" si="2"/>
        <v>192.09870000000228</v>
      </c>
      <c r="K12" s="35">
        <f>[1]コスト!$N$41</f>
        <v>141</v>
      </c>
      <c r="L12" s="48" t="str">
        <f t="shared" si="3"/>
        <v>0</v>
      </c>
      <c r="M12" s="35">
        <f>[1]使用量!$N$387</f>
        <v>53</v>
      </c>
      <c r="N12" s="35">
        <f>[1]使用量!$N$388</f>
        <v>107</v>
      </c>
      <c r="P12" s="37"/>
      <c r="Q12" s="37"/>
    </row>
    <row r="13" spans="1:17" ht="45" customHeight="1">
      <c r="A13" s="28">
        <v>44629</v>
      </c>
      <c r="B13" s="39"/>
      <c r="C13" s="35">
        <f>[1]コスト!$O$147</f>
        <v>14176</v>
      </c>
      <c r="D13" s="48" t="str">
        <f t="shared" si="4"/>
        <v>0</v>
      </c>
      <c r="E13" s="35">
        <f>[1]コスト!$O$23</f>
        <v>169</v>
      </c>
      <c r="F13" s="48">
        <f t="shared" si="0"/>
        <v>0.5</v>
      </c>
      <c r="G13" s="35">
        <f>[1]コスト!$O$115+'[1]9日'!$C$29</f>
        <v>1697.3579999999999</v>
      </c>
      <c r="H13" s="48">
        <f t="shared" si="1"/>
        <v>644.49599999999987</v>
      </c>
      <c r="I13" s="35">
        <f>[1]コスト!$O$91+[1]コスト!$O$66</f>
        <v>22961.003400000001</v>
      </c>
      <c r="J13" s="48" t="str">
        <f t="shared" si="2"/>
        <v>0</v>
      </c>
      <c r="K13" s="35">
        <f>[1]コスト!$O$41</f>
        <v>153</v>
      </c>
      <c r="L13" s="48">
        <f t="shared" si="3"/>
        <v>12</v>
      </c>
      <c r="M13" s="35">
        <f>[1]使用量!$O$387</f>
        <v>67</v>
      </c>
      <c r="N13" s="35">
        <f>[1]使用量!$O$388</f>
        <v>121</v>
      </c>
      <c r="P13" s="37"/>
      <c r="Q13" s="37"/>
    </row>
    <row r="14" spans="1:17" ht="45" customHeight="1">
      <c r="A14" s="28">
        <v>44630</v>
      </c>
      <c r="B14" s="39"/>
      <c r="C14" s="35">
        <f>[1]コスト!$P$147</f>
        <v>14240</v>
      </c>
      <c r="D14" s="48">
        <f t="shared" si="4"/>
        <v>64</v>
      </c>
      <c r="E14" s="35">
        <f>[1]コスト!$P$23</f>
        <v>189.2</v>
      </c>
      <c r="F14" s="48">
        <f t="shared" si="0"/>
        <v>20.199999999999989</v>
      </c>
      <c r="G14" s="35">
        <f>[1]コスト!$P$115+'[1]10日'!$C$29</f>
        <v>1737.0834</v>
      </c>
      <c r="H14" s="48">
        <f t="shared" si="1"/>
        <v>39.725400000000036</v>
      </c>
      <c r="I14" s="35">
        <f>[1]コスト!$P$91+[1]コスト!$P$66</f>
        <v>23447.264519999997</v>
      </c>
      <c r="J14" s="48">
        <f t="shared" si="2"/>
        <v>486.26111999999557</v>
      </c>
      <c r="K14" s="35">
        <f>[1]コスト!$P$41</f>
        <v>192</v>
      </c>
      <c r="L14" s="48">
        <f t="shared" si="3"/>
        <v>39</v>
      </c>
      <c r="M14" s="35">
        <f>[1]使用量!$P$387</f>
        <v>75</v>
      </c>
      <c r="N14" s="35">
        <f>[1]使用量!$P$388</f>
        <v>139</v>
      </c>
      <c r="P14" s="37"/>
      <c r="Q14" s="37"/>
    </row>
    <row r="15" spans="1:17" ht="45" customHeight="1">
      <c r="A15" s="28">
        <v>44631</v>
      </c>
      <c r="B15" s="39"/>
      <c r="C15" s="35">
        <f>[1]コスト!$Q$147</f>
        <v>14502</v>
      </c>
      <c r="D15" s="48">
        <f t="shared" si="4"/>
        <v>262</v>
      </c>
      <c r="E15" s="35">
        <f>[1]コスト!$Q$23</f>
        <v>206.9</v>
      </c>
      <c r="F15" s="48">
        <f t="shared" si="0"/>
        <v>17.700000000000017</v>
      </c>
      <c r="G15" s="35">
        <f>[1]コスト!$Q$115+'[1]11日'!$C$29</f>
        <v>2476.0314000000003</v>
      </c>
      <c r="H15" s="48">
        <f t="shared" si="1"/>
        <v>738.94800000000032</v>
      </c>
      <c r="I15" s="35">
        <f>[1]コスト!$Q$91+[1]コスト!$Q$66</f>
        <v>18650.102999999999</v>
      </c>
      <c r="J15" s="48" t="str">
        <f t="shared" si="2"/>
        <v>0</v>
      </c>
      <c r="K15" s="35">
        <f>[1]コスト!$Q$41</f>
        <v>161</v>
      </c>
      <c r="L15" s="48" t="str">
        <f t="shared" si="3"/>
        <v>0</v>
      </c>
      <c r="M15" s="35">
        <f>[1]使用量!$Q$387</f>
        <v>103</v>
      </c>
      <c r="N15" s="35">
        <f>[1]使用量!$Q$388</f>
        <v>193</v>
      </c>
      <c r="P15" s="37"/>
      <c r="Q15" s="37"/>
    </row>
    <row r="16" spans="1:17" ht="45" customHeight="1">
      <c r="A16" s="28">
        <v>44632</v>
      </c>
      <c r="B16" s="39"/>
      <c r="C16" s="35">
        <f>[1]コスト!$R$147</f>
        <v>14640</v>
      </c>
      <c r="D16" s="48">
        <f t="shared" si="4"/>
        <v>138</v>
      </c>
      <c r="E16" s="35">
        <f>[1]コスト!$R$23</f>
        <v>184.9</v>
      </c>
      <c r="F16" s="48" t="str">
        <f t="shared" si="0"/>
        <v>0</v>
      </c>
      <c r="G16" s="35">
        <f>[1]コスト!$R$115+'[1]12日'!$C$29</f>
        <v>3747.7998000000002</v>
      </c>
      <c r="H16" s="48">
        <f t="shared" si="1"/>
        <v>1271.7683999999999</v>
      </c>
      <c r="I16" s="35">
        <f>[1]コスト!$R$91+[1]コスト!$R$66</f>
        <v>18052.277399999999</v>
      </c>
      <c r="J16" s="48" t="str">
        <f t="shared" si="2"/>
        <v>0</v>
      </c>
      <c r="K16" s="35">
        <f>[1]コスト!$R$41</f>
        <v>220</v>
      </c>
      <c r="L16" s="48">
        <f t="shared" si="3"/>
        <v>59</v>
      </c>
      <c r="M16" s="35">
        <f>[1]使用量!$R$387</f>
        <v>165</v>
      </c>
      <c r="N16" s="35">
        <f>[1]使用量!$R$388</f>
        <v>321</v>
      </c>
      <c r="P16" s="37"/>
      <c r="Q16" s="37"/>
    </row>
    <row r="17" spans="1:26" ht="45" customHeight="1">
      <c r="A17" s="28">
        <v>44633</v>
      </c>
      <c r="B17" s="39"/>
      <c r="C17" s="35">
        <f>[1]コスト!$S$147</f>
        <v>14734</v>
      </c>
      <c r="D17" s="48">
        <f t="shared" si="4"/>
        <v>94</v>
      </c>
      <c r="E17" s="35">
        <f>[1]コスト!$S$23</f>
        <v>209.5</v>
      </c>
      <c r="F17" s="48">
        <f t="shared" si="0"/>
        <v>24.599999999999994</v>
      </c>
      <c r="G17" s="35">
        <f>[1]コスト!$S$115+'[1]13日'!$C$29</f>
        <v>3499.7243999999996</v>
      </c>
      <c r="H17" s="48" t="str">
        <f t="shared" si="1"/>
        <v>0</v>
      </c>
      <c r="I17" s="35">
        <f>[1]コスト!$S$91+[1]コスト!$S$66</f>
        <v>17067.976439999999</v>
      </c>
      <c r="J17" s="48" t="str">
        <f t="shared" si="2"/>
        <v>0</v>
      </c>
      <c r="K17" s="35">
        <f>[1]コスト!$S$41</f>
        <v>236</v>
      </c>
      <c r="L17" s="48">
        <f t="shared" si="3"/>
        <v>16</v>
      </c>
      <c r="M17" s="35">
        <f>[1]使用量!$S$387</f>
        <v>87</v>
      </c>
      <c r="N17" s="35">
        <f>[1]使用量!$S$388</f>
        <v>166</v>
      </c>
      <c r="P17" s="37"/>
      <c r="Q17" s="37"/>
    </row>
    <row r="18" spans="1:26" ht="45" customHeight="1">
      <c r="A18" s="28">
        <v>44634</v>
      </c>
      <c r="B18" s="39"/>
      <c r="C18" s="35">
        <f>[1]コスト!$T$147</f>
        <v>13855</v>
      </c>
      <c r="D18" s="48" t="str">
        <f t="shared" si="4"/>
        <v>0</v>
      </c>
      <c r="E18" s="35">
        <f>[1]コスト!$T$23</f>
        <v>184.8</v>
      </c>
      <c r="F18" s="48" t="str">
        <f t="shared" si="0"/>
        <v>0</v>
      </c>
      <c r="G18" s="35">
        <f>[1]コスト!$T$115+'[1]14日'!$C$29</f>
        <v>5459.6034</v>
      </c>
      <c r="H18" s="48">
        <f t="shared" si="1"/>
        <v>1959.8790000000004</v>
      </c>
      <c r="I18" s="35">
        <f>[1]コスト!$T$91+[1]コスト!$T$66</f>
        <v>13597.393260000001</v>
      </c>
      <c r="J18" s="48" t="str">
        <f t="shared" si="2"/>
        <v>0</v>
      </c>
      <c r="K18" s="35">
        <f>[1]コスト!$T$41</f>
        <v>163</v>
      </c>
      <c r="L18" s="48" t="str">
        <f t="shared" si="3"/>
        <v>0</v>
      </c>
      <c r="M18" s="35">
        <f>[1]使用量!$T$387</f>
        <v>66</v>
      </c>
      <c r="N18" s="35">
        <f>[1]使用量!$T$388</f>
        <v>136</v>
      </c>
      <c r="P18" s="37"/>
      <c r="Q18" s="37"/>
      <c r="Z18" s="36"/>
    </row>
    <row r="19" spans="1:26" ht="45" customHeight="1">
      <c r="A19" s="28">
        <v>44635</v>
      </c>
      <c r="B19" s="39"/>
      <c r="C19" s="35">
        <f>[1]コスト!$U$147</f>
        <v>13837</v>
      </c>
      <c r="D19" s="48" t="str">
        <f t="shared" si="4"/>
        <v>0</v>
      </c>
      <c r="E19" s="35">
        <f>[1]コスト!$U$23</f>
        <v>207.9</v>
      </c>
      <c r="F19" s="48">
        <f t="shared" si="0"/>
        <v>23.099999999999994</v>
      </c>
      <c r="G19" s="35">
        <f>[1]コスト!$U$115+'[1]15日'!$C$29</f>
        <v>3243.8705999999997</v>
      </c>
      <c r="H19" s="48" t="str">
        <f t="shared" si="1"/>
        <v>0</v>
      </c>
      <c r="I19" s="35">
        <f>[1]コスト!$U$91+[1]コスト!$U$66</f>
        <v>15837.211319999999</v>
      </c>
      <c r="J19" s="48">
        <f t="shared" si="2"/>
        <v>2239.8180599999978</v>
      </c>
      <c r="K19" s="35">
        <f>[1]コスト!$U$41</f>
        <v>147</v>
      </c>
      <c r="L19" s="48" t="str">
        <f t="shared" si="3"/>
        <v>0</v>
      </c>
      <c r="M19" s="35">
        <f>[1]使用量!$U$387</f>
        <v>82</v>
      </c>
      <c r="N19" s="35">
        <f>[1]使用量!$U$388</f>
        <v>163</v>
      </c>
      <c r="P19" s="37"/>
      <c r="Q19" s="37"/>
    </row>
    <row r="20" spans="1:26" ht="45" customHeight="1">
      <c r="A20" s="28">
        <v>44636</v>
      </c>
      <c r="B20" s="39"/>
      <c r="C20" s="35">
        <f>[1]コスト!$V$147</f>
        <v>13767</v>
      </c>
      <c r="D20" s="48" t="str">
        <f t="shared" si="4"/>
        <v>0</v>
      </c>
      <c r="E20" s="35">
        <f>[1]コスト!$V$23</f>
        <v>191.7</v>
      </c>
      <c r="F20" s="48" t="str">
        <f t="shared" si="0"/>
        <v>0</v>
      </c>
      <c r="G20" s="35">
        <f>[1]コスト!$V$115+'[1]16日'!$C$29</f>
        <v>3611.1222000000002</v>
      </c>
      <c r="H20" s="48">
        <f t="shared" si="1"/>
        <v>367.25160000000051</v>
      </c>
      <c r="I20" s="35">
        <f>[1]コスト!$V$91+[1]コスト!$V$66</f>
        <v>13007.90166</v>
      </c>
      <c r="J20" s="48" t="str">
        <f t="shared" si="2"/>
        <v>0</v>
      </c>
      <c r="K20" s="35">
        <f>[1]コスト!$V$41</f>
        <v>150</v>
      </c>
      <c r="L20" s="48">
        <f t="shared" si="3"/>
        <v>3</v>
      </c>
      <c r="M20" s="35">
        <f>[1]使用量!$V$387</f>
        <v>75</v>
      </c>
      <c r="N20" s="35">
        <f>[1]使用量!$V$388</f>
        <v>143</v>
      </c>
      <c r="P20" s="37"/>
      <c r="Q20" s="37"/>
    </row>
    <row r="21" spans="1:26" ht="45" customHeight="1">
      <c r="A21" s="28">
        <v>44637</v>
      </c>
      <c r="B21" s="39"/>
      <c r="C21" s="35">
        <f>[1]コスト!$W$147</f>
        <v>14269</v>
      </c>
      <c r="D21" s="48">
        <f t="shared" si="4"/>
        <v>502</v>
      </c>
      <c r="E21" s="35">
        <f>[1]コスト!$W$23</f>
        <v>185.3</v>
      </c>
      <c r="F21" s="48" t="str">
        <f t="shared" si="0"/>
        <v>0</v>
      </c>
      <c r="G21" s="35">
        <f>[1]コスト!$W$115+'[1]17日'!$C$29</f>
        <v>3583.3422</v>
      </c>
      <c r="H21" s="48" t="str">
        <f t="shared" si="1"/>
        <v>0</v>
      </c>
      <c r="I21" s="35">
        <f>[1]コスト!$W$91+[1]コスト!$W$66</f>
        <v>15182.992319999999</v>
      </c>
      <c r="J21" s="48">
        <f t="shared" si="2"/>
        <v>2175.0906599999998</v>
      </c>
      <c r="K21" s="35">
        <f>[1]コスト!$W$41</f>
        <v>184</v>
      </c>
      <c r="L21" s="48">
        <f t="shared" si="3"/>
        <v>34</v>
      </c>
      <c r="M21" s="35">
        <f>[1]使用量!$W$387</f>
        <v>73</v>
      </c>
      <c r="N21" s="35">
        <f>[1]使用量!$W$388</f>
        <v>134</v>
      </c>
      <c r="P21" s="37"/>
      <c r="Q21" s="37"/>
    </row>
    <row r="22" spans="1:26" ht="45" customHeight="1">
      <c r="A22" s="28">
        <v>44638</v>
      </c>
      <c r="B22" s="39"/>
      <c r="C22" s="35">
        <f>[1]コスト!$X$147</f>
        <v>14733</v>
      </c>
      <c r="D22" s="48">
        <f t="shared" si="4"/>
        <v>464</v>
      </c>
      <c r="E22" s="35">
        <f>[1]コスト!$X$23</f>
        <v>216.8</v>
      </c>
      <c r="F22" s="48">
        <f t="shared" si="0"/>
        <v>31.5</v>
      </c>
      <c r="G22" s="35">
        <f>[1]コスト!$X$115+'[1]18日'!$C$29</f>
        <v>998.96879999999999</v>
      </c>
      <c r="H22" s="48" t="str">
        <f t="shared" si="1"/>
        <v>0</v>
      </c>
      <c r="I22" s="35">
        <f>[1]コスト!$X$91+[1]コスト!$X$66</f>
        <v>25708.917659999999</v>
      </c>
      <c r="J22" s="48">
        <f t="shared" si="2"/>
        <v>10525.92534</v>
      </c>
      <c r="K22" s="35">
        <f>[1]コスト!$X$41</f>
        <v>171</v>
      </c>
      <c r="L22" s="48" t="str">
        <f t="shared" si="3"/>
        <v>0</v>
      </c>
      <c r="M22" s="35">
        <f>[1]使用量!$X$387</f>
        <v>107</v>
      </c>
      <c r="N22" s="35">
        <f>[1]使用量!$X$388</f>
        <v>223</v>
      </c>
      <c r="P22" s="37"/>
      <c r="Q22" s="37"/>
    </row>
    <row r="23" spans="1:26" ht="45" customHeight="1">
      <c r="A23" s="28">
        <v>44639</v>
      </c>
      <c r="B23" s="39"/>
      <c r="C23" s="35">
        <f>[1]コスト!$Y$147</f>
        <v>14940</v>
      </c>
      <c r="D23" s="48">
        <f>IF((C23-C22&lt;0), "0",C23-C22)</f>
        <v>207</v>
      </c>
      <c r="E23" s="35">
        <f>[1]コスト!$Y$23</f>
        <v>207.4</v>
      </c>
      <c r="F23" s="48" t="str">
        <f t="shared" si="0"/>
        <v>0</v>
      </c>
      <c r="G23" s="35">
        <f>[1]コスト!$Y$115+'[1]19日'!$C$29</f>
        <v>2813.2806</v>
      </c>
      <c r="H23" s="48">
        <f t="shared" si="1"/>
        <v>1814.3117999999999</v>
      </c>
      <c r="I23" s="35">
        <f>[1]コスト!$Y$91+[1]コスト!$Y$66</f>
        <v>20404.6878</v>
      </c>
      <c r="J23" s="48" t="str">
        <f t="shared" si="2"/>
        <v>0</v>
      </c>
      <c r="K23" s="35">
        <f>[1]コスト!$Y$41</f>
        <v>224</v>
      </c>
      <c r="L23" s="48">
        <f t="shared" si="3"/>
        <v>53</v>
      </c>
      <c r="M23" s="35">
        <f>[1]使用量!$Y$387</f>
        <v>179</v>
      </c>
      <c r="N23" s="35">
        <f>[1]使用量!$Y$388</f>
        <v>391</v>
      </c>
      <c r="P23" s="37"/>
      <c r="Q23" s="37"/>
    </row>
    <row r="24" spans="1:26" ht="45" customHeight="1">
      <c r="A24" s="28">
        <v>44640</v>
      </c>
      <c r="B24" s="39"/>
      <c r="C24" s="35">
        <f>[1]コスト!$Z$147</f>
        <v>15079</v>
      </c>
      <c r="D24" s="48">
        <f t="shared" ref="D24:D35" si="5">IF((C24-C23&lt;0), "0",C24-C23)</f>
        <v>139</v>
      </c>
      <c r="E24" s="35">
        <f>[1]コスト!$Z$23</f>
        <v>214.4</v>
      </c>
      <c r="F24" s="48">
        <f t="shared" si="0"/>
        <v>7</v>
      </c>
      <c r="G24" s="35">
        <f>[1]コスト!$Z$115+'[1]20日'!$C$29</f>
        <v>3432.2189999999996</v>
      </c>
      <c r="H24" s="48">
        <f t="shared" si="1"/>
        <v>618.93839999999955</v>
      </c>
      <c r="I24" s="35">
        <f>[1]コスト!$Z$91+[1]コスト!$Z$66</f>
        <v>24796.928039999999</v>
      </c>
      <c r="J24" s="48">
        <f t="shared" si="2"/>
        <v>4392.2402399999992</v>
      </c>
      <c r="K24" s="35">
        <f>[1]コスト!$Z$41</f>
        <v>280</v>
      </c>
      <c r="L24" s="48">
        <f t="shared" si="3"/>
        <v>56</v>
      </c>
      <c r="M24" s="35">
        <f>[1]使用量!$Z$387</f>
        <v>175</v>
      </c>
      <c r="N24" s="35">
        <f>[1]使用量!$Z$388</f>
        <v>340</v>
      </c>
      <c r="P24" s="37"/>
      <c r="Q24" s="37"/>
    </row>
    <row r="25" spans="1:26" ht="45" customHeight="1">
      <c r="A25" s="28">
        <v>44641</v>
      </c>
      <c r="B25" s="39"/>
      <c r="C25" s="35">
        <f>[1]コスト!$AA$147</f>
        <v>14460</v>
      </c>
      <c r="D25" s="48" t="str">
        <f t="shared" si="5"/>
        <v>0</v>
      </c>
      <c r="E25" s="35">
        <f>[1]コスト!$AA$23</f>
        <v>199.3</v>
      </c>
      <c r="F25" s="48" t="str">
        <f t="shared" si="0"/>
        <v>0</v>
      </c>
      <c r="G25" s="35">
        <f>[1]コスト!$AA$115+'[1]21日'!$C$29</f>
        <v>2931.6233999999999</v>
      </c>
      <c r="H25" s="48" t="str">
        <f t="shared" si="1"/>
        <v>0</v>
      </c>
      <c r="I25" s="35">
        <f>[1]コスト!$AA$91+[1]コスト!$AA$66</f>
        <v>22165.523099999999</v>
      </c>
      <c r="J25" s="48" t="str">
        <f t="shared" si="2"/>
        <v>0</v>
      </c>
      <c r="K25" s="35">
        <f>[1]コスト!$AA$41</f>
        <v>211</v>
      </c>
      <c r="L25" s="48" t="str">
        <f t="shared" si="3"/>
        <v>0</v>
      </c>
      <c r="M25" s="35">
        <f>[1]使用量!$AA$387</f>
        <v>70</v>
      </c>
      <c r="N25" s="35">
        <f>[1]使用量!$AA$388</f>
        <v>133</v>
      </c>
      <c r="P25" s="37"/>
      <c r="Q25" s="37"/>
    </row>
    <row r="26" spans="1:26" ht="45" customHeight="1">
      <c r="A26" s="28">
        <v>44642</v>
      </c>
      <c r="B26" s="39"/>
      <c r="C26" s="35">
        <f>[1]コスト!$AB$147</f>
        <v>14637</v>
      </c>
      <c r="D26" s="48">
        <f t="shared" si="5"/>
        <v>177</v>
      </c>
      <c r="E26" s="35">
        <f>[1]コスト!$AB$23</f>
        <v>201.5</v>
      </c>
      <c r="F26" s="48">
        <f t="shared" si="0"/>
        <v>2.1999999999999886</v>
      </c>
      <c r="G26" s="35">
        <f>[1]コスト!$AB$115+'[1]22日'!$C$29</f>
        <v>695.33339999999998</v>
      </c>
      <c r="H26" s="48" t="str">
        <f t="shared" si="1"/>
        <v>0</v>
      </c>
      <c r="I26" s="35">
        <f>[1]コスト!$AB$91+[1]コスト!$AB$66</f>
        <v>28592.787239999998</v>
      </c>
      <c r="J26" s="48">
        <f t="shared" si="2"/>
        <v>6427.2641399999993</v>
      </c>
      <c r="K26" s="35">
        <f>[1]コスト!$AB$41</f>
        <v>176</v>
      </c>
      <c r="L26" s="48" t="str">
        <f t="shared" si="3"/>
        <v>0</v>
      </c>
      <c r="M26" s="35">
        <f>[1]使用量!$AB$387</f>
        <v>63</v>
      </c>
      <c r="N26" s="35">
        <f>[1]使用量!$AB$388</f>
        <v>118</v>
      </c>
      <c r="P26" s="37"/>
      <c r="Q26" s="37"/>
    </row>
    <row r="27" spans="1:26" ht="45" customHeight="1">
      <c r="A27" s="28">
        <v>44643</v>
      </c>
      <c r="B27" s="39"/>
      <c r="C27" s="35">
        <f>[1]コスト!$AC$147</f>
        <v>14110</v>
      </c>
      <c r="D27" s="48" t="str">
        <f t="shared" si="5"/>
        <v>0</v>
      </c>
      <c r="E27" s="35">
        <f>[1]コスト!$AC$23</f>
        <v>186.2</v>
      </c>
      <c r="F27" s="48" t="str">
        <f t="shared" si="0"/>
        <v>0</v>
      </c>
      <c r="G27" s="35">
        <f>[1]コスト!$AC$115+'[1]23日'!$C$29</f>
        <v>1252.8779999999999</v>
      </c>
      <c r="H27" s="48">
        <f t="shared" si="1"/>
        <v>557.54459999999995</v>
      </c>
      <c r="I27" s="35">
        <f>[1]コスト!$AC$91+[1]コスト!$AC$66</f>
        <v>25206.210780000001</v>
      </c>
      <c r="J27" s="48" t="str">
        <f t="shared" si="2"/>
        <v>0</v>
      </c>
      <c r="K27" s="35">
        <f>[1]コスト!$AC$41</f>
        <v>135</v>
      </c>
      <c r="L27" s="48" t="str">
        <f t="shared" si="3"/>
        <v>0</v>
      </c>
      <c r="M27" s="35">
        <f>[1]使用量!$AC$387</f>
        <v>65</v>
      </c>
      <c r="N27" s="35">
        <f>[1]使用量!$AC$388</f>
        <v>116</v>
      </c>
      <c r="P27" s="37"/>
      <c r="Q27" s="37"/>
    </row>
    <row r="28" spans="1:26" ht="45" customHeight="1">
      <c r="A28" s="28">
        <v>44644</v>
      </c>
      <c r="B28" s="39"/>
      <c r="C28" s="35">
        <f>[1]コスト!$AD$147</f>
        <v>14631</v>
      </c>
      <c r="D28" s="48">
        <f t="shared" si="5"/>
        <v>521</v>
      </c>
      <c r="E28" s="35">
        <f>[1]コスト!$AD$23</f>
        <v>206.4</v>
      </c>
      <c r="F28" s="48">
        <f t="shared" si="0"/>
        <v>20.200000000000017</v>
      </c>
      <c r="G28" s="35">
        <f>[1]コスト!$AD$115+'[1]24日'!$C$29</f>
        <v>1598.1833999999999</v>
      </c>
      <c r="H28" s="48">
        <f t="shared" si="1"/>
        <v>345.30539999999996</v>
      </c>
      <c r="I28" s="35">
        <f>[1]コスト!$AD$91+[1]コスト!$AD$66</f>
        <v>23384.953979999998</v>
      </c>
      <c r="J28" s="48" t="str">
        <f t="shared" si="2"/>
        <v>0</v>
      </c>
      <c r="K28" s="35">
        <f>[1]コスト!$AD$41</f>
        <v>193</v>
      </c>
      <c r="L28" s="48">
        <f t="shared" si="3"/>
        <v>58</v>
      </c>
      <c r="M28" s="35">
        <f>[1]使用量!$AD$387</f>
        <v>96</v>
      </c>
      <c r="N28" s="35">
        <f>[1]使用量!$AD$388</f>
        <v>175</v>
      </c>
      <c r="P28" s="37"/>
      <c r="Q28" s="37"/>
    </row>
    <row r="29" spans="1:26" ht="45" customHeight="1">
      <c r="A29" s="28">
        <v>44645</v>
      </c>
      <c r="B29" s="39"/>
      <c r="C29" s="35">
        <f>[1]コスト!$AE$147</f>
        <v>14678</v>
      </c>
      <c r="D29" s="48">
        <f t="shared" si="5"/>
        <v>47</v>
      </c>
      <c r="E29" s="35">
        <f>[1]コスト!$AE$23</f>
        <v>218.3</v>
      </c>
      <c r="F29" s="48">
        <f t="shared" si="0"/>
        <v>11.900000000000006</v>
      </c>
      <c r="G29" s="35">
        <f>[1]コスト!$AE$115+'[1]25日'!$C$29</f>
        <v>2722.9955999999997</v>
      </c>
      <c r="H29" s="48">
        <f t="shared" si="1"/>
        <v>1124.8121999999998</v>
      </c>
      <c r="I29" s="35">
        <f>[1]コスト!$AE$91+[1]コスト!$AE$66</f>
        <v>19240.7058</v>
      </c>
      <c r="J29" s="48" t="str">
        <f t="shared" si="2"/>
        <v>0</v>
      </c>
      <c r="K29" s="35">
        <f>[1]コスト!$AE$41</f>
        <v>195</v>
      </c>
      <c r="L29" s="48">
        <f t="shared" si="3"/>
        <v>2</v>
      </c>
      <c r="M29" s="35">
        <f>[1]使用量!$AE$387</f>
        <v>116</v>
      </c>
      <c r="N29" s="35">
        <f>[1]使用量!$AE$388</f>
        <v>246</v>
      </c>
      <c r="P29" s="37"/>
      <c r="Q29" s="37"/>
    </row>
    <row r="30" spans="1:26" ht="45" customHeight="1">
      <c r="A30" s="28">
        <v>44646</v>
      </c>
      <c r="B30" s="39"/>
      <c r="C30" s="35">
        <f>[1]コスト!$AF$147</f>
        <v>14621</v>
      </c>
      <c r="D30" s="48" t="str">
        <f t="shared" si="5"/>
        <v>0</v>
      </c>
      <c r="E30" s="35">
        <f>[1]コスト!$AF$23</f>
        <v>204.3</v>
      </c>
      <c r="F30" s="48" t="str">
        <f t="shared" si="0"/>
        <v>0</v>
      </c>
      <c r="G30" s="35">
        <f>[1]コスト!$AF$115+'[1]26日'!$C$29</f>
        <v>2976.9047999999998</v>
      </c>
      <c r="H30" s="48">
        <f t="shared" si="1"/>
        <v>253.90920000000006</v>
      </c>
      <c r="I30" s="35">
        <f>[1]コスト!$AF$91+[1]コスト!$AF$66</f>
        <v>14680.952160000001</v>
      </c>
      <c r="J30" s="48" t="str">
        <f t="shared" si="2"/>
        <v>0</v>
      </c>
      <c r="K30" s="35">
        <f>[1]コスト!$AF$41</f>
        <v>217</v>
      </c>
      <c r="L30" s="48">
        <f t="shared" si="3"/>
        <v>22</v>
      </c>
      <c r="M30" s="35">
        <f>[1]使用量!$AF$387</f>
        <v>178</v>
      </c>
      <c r="N30" s="35">
        <f>[1]使用量!$AF$388</f>
        <v>346</v>
      </c>
      <c r="P30" s="37"/>
      <c r="Q30" s="37"/>
    </row>
    <row r="31" spans="1:26" ht="45" customHeight="1">
      <c r="A31" s="28">
        <v>44647</v>
      </c>
      <c r="B31" s="39"/>
      <c r="C31" s="35">
        <f>[1]コスト!$AG$147</f>
        <v>14927</v>
      </c>
      <c r="D31" s="48">
        <f t="shared" si="5"/>
        <v>306</v>
      </c>
      <c r="E31" s="35">
        <f>[1]コスト!$AG$23</f>
        <v>196.3</v>
      </c>
      <c r="F31" s="48" t="str">
        <f t="shared" si="0"/>
        <v>0</v>
      </c>
      <c r="G31" s="35">
        <f>[1]コスト!$AG$115+'[1]27日'!$C$29</f>
        <v>4115.8847999999998</v>
      </c>
      <c r="H31" s="48">
        <f t="shared" si="1"/>
        <v>1138.98</v>
      </c>
      <c r="I31" s="35">
        <f>[1]コスト!$AG$91+[1]コスト!$AG$66</f>
        <v>15092.90178</v>
      </c>
      <c r="J31" s="48">
        <f t="shared" si="2"/>
        <v>411.94961999999941</v>
      </c>
      <c r="K31" s="35">
        <f>[1]コスト!$AG$41</f>
        <v>239</v>
      </c>
      <c r="L31" s="48">
        <f t="shared" si="3"/>
        <v>22</v>
      </c>
      <c r="M31" s="35">
        <f>[1]使用量!$AG$387</f>
        <v>122</v>
      </c>
      <c r="N31" s="35">
        <f>[1]使用量!$AG$388</f>
        <v>234</v>
      </c>
      <c r="P31" s="37"/>
      <c r="Q31" s="37"/>
    </row>
    <row r="32" spans="1:26" ht="45" customHeight="1">
      <c r="A32" s="28">
        <v>44648</v>
      </c>
      <c r="B32" s="39"/>
      <c r="C32" s="35">
        <f>[1]コスト!$AH$147</f>
        <v>14565</v>
      </c>
      <c r="D32" s="48" t="str">
        <f t="shared" si="5"/>
        <v>0</v>
      </c>
      <c r="E32" s="35">
        <f>[1]コスト!$AH$23</f>
        <v>206</v>
      </c>
      <c r="F32" s="48">
        <f t="shared" si="0"/>
        <v>9.6999999999999886</v>
      </c>
      <c r="G32" s="35">
        <f>[1]コスト!$AH$115+'[1]28日'!$C$29</f>
        <v>3236.0921999999996</v>
      </c>
      <c r="H32" s="48" t="str">
        <f t="shared" si="1"/>
        <v>0</v>
      </c>
      <c r="I32" s="35">
        <f>[1]コスト!$AH$91+[1]コスト!$AH$66</f>
        <v>18991.435859999998</v>
      </c>
      <c r="J32" s="48">
        <f t="shared" si="2"/>
        <v>3898.5340799999976</v>
      </c>
      <c r="K32" s="35">
        <f>[1]コスト!$AH$41</f>
        <v>218</v>
      </c>
      <c r="L32" s="48" t="str">
        <f t="shared" si="3"/>
        <v>0</v>
      </c>
      <c r="M32" s="35">
        <f>[1]使用量!$AH$387</f>
        <v>89</v>
      </c>
      <c r="N32" s="35">
        <f>[1]使用量!$AH$388</f>
        <v>160</v>
      </c>
      <c r="P32" s="37"/>
      <c r="Q32" s="37"/>
    </row>
    <row r="33" spans="1:17" ht="36" customHeight="1">
      <c r="A33" s="28">
        <v>44649</v>
      </c>
      <c r="C33" s="35">
        <f>[1]コスト!$AI$147</f>
        <v>14869</v>
      </c>
      <c r="D33" s="48">
        <f t="shared" si="5"/>
        <v>304</v>
      </c>
      <c r="E33" s="35">
        <f>[1]コスト!$AI$23</f>
        <v>206.7</v>
      </c>
      <c r="F33" s="48">
        <f t="shared" si="0"/>
        <v>0.69999999999998863</v>
      </c>
      <c r="G33" s="35">
        <f>[1]コスト!$AI$115+'[1]29日'!$C$29</f>
        <v>1854.3149999999998</v>
      </c>
      <c r="H33" s="48" t="str">
        <f t="shared" si="1"/>
        <v>0</v>
      </c>
      <c r="I33" s="35">
        <f>[1]コスト!$AI$91+[1]コスト!$AI$66</f>
        <v>22884.24726</v>
      </c>
      <c r="J33" s="48">
        <f t="shared" si="2"/>
        <v>3892.8114000000023</v>
      </c>
      <c r="K33" s="35">
        <f>[1]コスト!$AI$41</f>
        <v>213</v>
      </c>
      <c r="L33" s="48" t="str">
        <f t="shared" si="3"/>
        <v>0</v>
      </c>
      <c r="M33" s="35">
        <f>[1]使用量!$AI$387</f>
        <v>106</v>
      </c>
      <c r="N33" s="35">
        <f>[1]使用量!$AI$388</f>
        <v>238</v>
      </c>
      <c r="P33" s="37"/>
      <c r="Q33" s="37"/>
    </row>
    <row r="34" spans="1:17" ht="45.5" customHeight="1">
      <c r="A34" s="28">
        <v>44650</v>
      </c>
      <c r="C34" s="35">
        <f>[1]コスト!$AJ$147</f>
        <v>14226</v>
      </c>
      <c r="D34" s="48" t="str">
        <f t="shared" si="5"/>
        <v>0</v>
      </c>
      <c r="E34" s="35">
        <f>[1]コスト!$AJ$23</f>
        <v>166.4</v>
      </c>
      <c r="F34" s="48" t="str">
        <f t="shared" si="0"/>
        <v>0</v>
      </c>
      <c r="G34" s="35">
        <f>[1]コスト!$AJ$115+'[1]30日'!$C$29</f>
        <v>2781.8891999999996</v>
      </c>
      <c r="H34" s="48">
        <f t="shared" si="1"/>
        <v>927.57419999999979</v>
      </c>
      <c r="I34" s="35">
        <f>[1]コスト!$AJ$91+[1]コスト!$AJ$66</f>
        <v>14213.386979999999</v>
      </c>
      <c r="J34" s="48" t="str">
        <f t="shared" si="2"/>
        <v>0</v>
      </c>
      <c r="K34" s="35">
        <f>[1]コスト!$AJ$41</f>
        <v>177</v>
      </c>
      <c r="L34" s="48" t="str">
        <f t="shared" si="3"/>
        <v>0</v>
      </c>
      <c r="M34" s="35">
        <f>[1]使用量!$AJ$387</f>
        <v>77</v>
      </c>
      <c r="N34" s="35">
        <f>[1]使用量!$AJ$388</f>
        <v>166</v>
      </c>
      <c r="P34" s="37"/>
      <c r="Q34" s="37"/>
    </row>
    <row r="35" spans="1:17" ht="47.5" customHeight="1">
      <c r="A35" s="28">
        <v>44651</v>
      </c>
      <c r="C35" s="35">
        <f>[1]コスト!$AK$147</f>
        <v>14297</v>
      </c>
      <c r="D35" s="48">
        <f t="shared" si="5"/>
        <v>71</v>
      </c>
      <c r="E35" s="35">
        <f>[1]コスト!$AK$23</f>
        <v>195.1</v>
      </c>
      <c r="F35" s="48">
        <f t="shared" si="0"/>
        <v>28.699999999999989</v>
      </c>
      <c r="G35" s="35">
        <f>[1]コスト!$AK$115+'[1]31日'!$C$29</f>
        <v>3147.4740000000002</v>
      </c>
      <c r="H35" s="48">
        <f t="shared" si="1"/>
        <v>365.58480000000054</v>
      </c>
      <c r="I35" s="35">
        <f>[1]コスト!$AK$91+[1]コスト!$AK$66</f>
        <v>12491.888159999999</v>
      </c>
      <c r="J35" s="48" t="str">
        <f t="shared" si="2"/>
        <v>0</v>
      </c>
      <c r="K35" s="35">
        <f>[1]コスト!$AK$41</f>
        <v>157</v>
      </c>
      <c r="L35" s="48" t="str">
        <f t="shared" si="3"/>
        <v>0</v>
      </c>
      <c r="M35" s="35">
        <f>[1]使用量!$AK$387</f>
        <v>70</v>
      </c>
      <c r="N35" s="35">
        <f>[1]使用量!$AK$388</f>
        <v>145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444484</v>
      </c>
      <c r="E38" s="38">
        <f>SUM(E5:E37)</f>
        <v>6032.1000000000013</v>
      </c>
      <c r="G38" s="38">
        <f>SUM(G5:G37)</f>
        <v>77098.111799999999</v>
      </c>
      <c r="H38" s="38"/>
      <c r="I38" s="38">
        <f>SUM(I5:I37)</f>
        <v>622755.70535999979</v>
      </c>
      <c r="K38" s="38">
        <f>SUM(K5:K37)</f>
        <v>5655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2023-02-24T14:48:43Z</dcterms:modified>
</cp:coreProperties>
</file>