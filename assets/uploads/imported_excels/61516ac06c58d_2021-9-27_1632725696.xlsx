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2" i="1" l="1"/>
  <c r="I32" i="1"/>
  <c r="G32" i="1"/>
  <c r="E32" i="1"/>
  <c r="M18" i="2"/>
  <c r="O17" i="3"/>
  <c r="AM8" i="2" l="1"/>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7" i="2"/>
  <c r="AM6"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7" i="2"/>
  <c r="AE6" i="2"/>
  <c r="AH35" i="2" l="1"/>
  <c r="AG35" i="2"/>
  <c r="AF35" i="2"/>
  <c r="AH34" i="2"/>
  <c r="AG34" i="2"/>
  <c r="AF34" i="2"/>
  <c r="V35" i="2"/>
  <c r="W35" i="2"/>
  <c r="W34" i="2"/>
  <c r="V34" i="2"/>
  <c r="Q35" i="2" l="1"/>
  <c r="P35" i="2"/>
  <c r="Q34" i="2"/>
  <c r="P34" i="2"/>
  <c r="O35" i="2" l="1"/>
  <c r="N35" i="2"/>
  <c r="M35" i="2"/>
  <c r="O34" i="2"/>
  <c r="N34" i="2"/>
  <c r="M34" i="2"/>
  <c r="J35" i="2"/>
  <c r="I35" i="2"/>
  <c r="H35" i="2"/>
  <c r="G35" i="2"/>
  <c r="F35" i="2"/>
  <c r="E35" i="2"/>
  <c r="D35" i="2"/>
  <c r="C35" i="2"/>
  <c r="B35" i="2"/>
  <c r="J34" i="2"/>
  <c r="I34" i="2"/>
  <c r="H34" i="2"/>
  <c r="G34" i="2"/>
  <c r="F34" i="2"/>
  <c r="E34" i="2"/>
  <c r="D34" i="2"/>
  <c r="C34" i="2"/>
  <c r="B34" i="2"/>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V25" i="2" l="1"/>
  <c r="AH28" i="2" l="1"/>
  <c r="AG28" i="2"/>
  <c r="AF28" i="2"/>
  <c r="AH27" i="2"/>
  <c r="AG27" i="2"/>
  <c r="AF27" i="2"/>
  <c r="W28" i="2"/>
  <c r="V28" i="2"/>
  <c r="W27" i="2"/>
  <c r="V27" i="2"/>
  <c r="Q28" i="2" l="1"/>
  <c r="P28" i="2"/>
  <c r="Q27" i="2"/>
  <c r="P27" i="2"/>
  <c r="O28" i="2"/>
  <c r="N28" i="2"/>
  <c r="M28" i="2"/>
  <c r="O27" i="2"/>
  <c r="N27" i="2"/>
  <c r="M27" i="2"/>
  <c r="J28" i="2" l="1"/>
  <c r="I28" i="2"/>
  <c r="H28" i="2"/>
  <c r="G28" i="2"/>
  <c r="F28" i="2"/>
  <c r="E28" i="2"/>
  <c r="D28" i="2"/>
  <c r="C28" i="2"/>
  <c r="B28" i="2"/>
  <c r="J27" i="2"/>
  <c r="I27" i="2"/>
  <c r="H27" i="2"/>
  <c r="G27" i="2"/>
  <c r="F27" i="2"/>
  <c r="E27" i="2"/>
  <c r="D27" i="2"/>
  <c r="C27" i="2"/>
  <c r="B27" i="2"/>
  <c r="AH26" i="2" l="1"/>
  <c r="AG26" i="2"/>
  <c r="AF26" i="2"/>
  <c r="W26" i="2"/>
  <c r="V26" i="2"/>
  <c r="Q26" i="2"/>
  <c r="P26" i="2"/>
  <c r="O26" i="2"/>
  <c r="N26" i="2"/>
  <c r="M26" i="2"/>
  <c r="J26" i="2" l="1"/>
  <c r="I26" i="2"/>
  <c r="H26" i="2"/>
  <c r="G26" i="2"/>
  <c r="F26" i="2"/>
  <c r="E26" i="2"/>
  <c r="D26" i="2"/>
  <c r="C26" i="2"/>
  <c r="B26" i="2"/>
  <c r="AH25" i="2" l="1"/>
  <c r="AG25" i="2"/>
  <c r="AF25" i="2"/>
  <c r="W25" i="2"/>
  <c r="Q25" i="2" l="1"/>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W22" i="2"/>
  <c r="V23" i="2"/>
  <c r="Q23" i="2" l="1"/>
  <c r="P23" i="2"/>
  <c r="O23" i="2"/>
  <c r="N23" i="2"/>
  <c r="M23" i="2"/>
  <c r="J23" i="2"/>
  <c r="I23" i="2"/>
  <c r="H23" i="2"/>
  <c r="G23" i="2"/>
  <c r="F23" i="2"/>
  <c r="E23" i="2"/>
  <c r="D23" i="2"/>
  <c r="C23" i="2"/>
  <c r="B23" i="2"/>
  <c r="AH22" i="2" l="1"/>
  <c r="AG22" i="2"/>
  <c r="AF22" i="2"/>
  <c r="V22" i="2"/>
  <c r="Q22" i="2" l="1"/>
  <c r="P22" i="2"/>
  <c r="O22" i="2"/>
  <c r="N22" i="2"/>
  <c r="M22" i="2"/>
  <c r="J22" i="2" l="1"/>
  <c r="I22" i="2"/>
  <c r="H22" i="2"/>
  <c r="G22" i="2"/>
  <c r="F22" i="2"/>
  <c r="E22" i="2"/>
  <c r="D22" i="2"/>
  <c r="C22" i="2"/>
  <c r="B22" i="2"/>
  <c r="AH21" i="2" l="1"/>
  <c r="AG21" i="2"/>
  <c r="AF21" i="2"/>
  <c r="AH20" i="2"/>
  <c r="AG20" i="2"/>
  <c r="AF20" i="2"/>
  <c r="W21" i="2"/>
  <c r="V21" i="2"/>
  <c r="W20" i="2"/>
  <c r="V20" i="2"/>
  <c r="Q21" i="2"/>
  <c r="P21" i="2"/>
  <c r="Q20" i="2"/>
  <c r="P20" i="2"/>
  <c r="O21" i="2"/>
  <c r="N21" i="2"/>
  <c r="M21" i="2"/>
  <c r="O20" i="2"/>
  <c r="N20" i="2"/>
  <c r="M20" i="2"/>
  <c r="J21" i="2" l="1"/>
  <c r="I21" i="2"/>
  <c r="H21" i="2"/>
  <c r="G21" i="2"/>
  <c r="F21" i="2"/>
  <c r="E21" i="2"/>
  <c r="D21" i="2"/>
  <c r="C21" i="2"/>
  <c r="B21" i="2"/>
  <c r="J20" i="2"/>
  <c r="I20" i="2"/>
  <c r="H20" i="2"/>
  <c r="G20" i="2"/>
  <c r="F20" i="2"/>
  <c r="E20" i="2"/>
  <c r="D20" i="2"/>
  <c r="C20" i="2"/>
  <c r="B20" i="2"/>
  <c r="AH19" i="2" l="1"/>
  <c r="AG19" i="2"/>
  <c r="AF19" i="2"/>
  <c r="W19" i="2"/>
  <c r="V19" i="2"/>
  <c r="Q19" i="2"/>
  <c r="P19" i="2"/>
  <c r="O19" i="2"/>
  <c r="N19" i="2"/>
  <c r="M19" i="2"/>
  <c r="J19" i="2" l="1"/>
  <c r="I19" i="2"/>
  <c r="H19" i="2"/>
  <c r="G19" i="2"/>
  <c r="F19" i="2"/>
  <c r="E19" i="2"/>
  <c r="D19" i="2"/>
  <c r="C19" i="2"/>
  <c r="B19" i="2"/>
  <c r="AH18" i="2" l="1"/>
  <c r="AG18" i="2"/>
  <c r="AF18" i="2"/>
  <c r="W18" i="2"/>
  <c r="V18" i="2"/>
  <c r="Q18" i="2"/>
  <c r="P18" i="2"/>
  <c r="O18" i="2"/>
  <c r="N18" i="2"/>
  <c r="J18" i="2" l="1"/>
  <c r="I18" i="2"/>
  <c r="H18" i="2"/>
  <c r="G18" i="2"/>
  <c r="F18" i="2"/>
  <c r="E18" i="2"/>
  <c r="D18" i="2"/>
  <c r="C18" i="2"/>
  <c r="B18" i="2"/>
  <c r="AH17" i="2" l="1"/>
  <c r="AG17" i="2"/>
  <c r="AF17" i="2"/>
  <c r="W17" i="2"/>
  <c r="V17" i="2"/>
  <c r="Q17" i="2"/>
  <c r="P17" i="2"/>
  <c r="O17" i="2"/>
  <c r="N17" i="2"/>
  <c r="M17" i="2"/>
  <c r="J17" i="2" l="1"/>
  <c r="I17" i="2"/>
  <c r="H17" i="2"/>
  <c r="G17" i="2"/>
  <c r="F17" i="2"/>
  <c r="E17" i="2"/>
  <c r="D17" i="2"/>
  <c r="C17" i="2"/>
  <c r="B17" i="2"/>
  <c r="AH16" i="2" l="1"/>
  <c r="AG16" i="2"/>
  <c r="AF16" i="2"/>
  <c r="W16" i="2"/>
  <c r="V16" i="2"/>
  <c r="Q16" i="2"/>
  <c r="P16" i="2"/>
  <c r="O16" i="2"/>
  <c r="N16" i="2"/>
  <c r="M16" i="2"/>
  <c r="J16" i="2" l="1"/>
  <c r="I16" i="2"/>
  <c r="H16" i="2"/>
  <c r="G16" i="2"/>
  <c r="F16" i="2"/>
  <c r="E16" i="2"/>
  <c r="D16" i="2"/>
  <c r="C16" i="2"/>
  <c r="B16" i="2"/>
  <c r="AH15" i="2" l="1"/>
  <c r="AG15" i="2"/>
  <c r="AF15" i="2"/>
  <c r="W15" i="2"/>
  <c r="V15" i="2"/>
  <c r="Q15" i="2"/>
  <c r="P15" i="2"/>
  <c r="O15" i="2"/>
  <c r="N15" i="2"/>
  <c r="M15" i="2"/>
  <c r="J15" i="2" l="1"/>
  <c r="I15" i="2"/>
  <c r="H15" i="2"/>
  <c r="G15" i="2"/>
  <c r="F15" i="2"/>
  <c r="E15" i="2"/>
  <c r="D15" i="2"/>
  <c r="C15" i="2"/>
  <c r="B15" i="2"/>
  <c r="AH14" i="2" l="1"/>
  <c r="AG14" i="2"/>
  <c r="AF14" i="2"/>
  <c r="AH13" i="2"/>
  <c r="AG13" i="2"/>
  <c r="AF13" i="2"/>
  <c r="V14" i="2"/>
  <c r="W14" i="2"/>
  <c r="W13" i="2"/>
  <c r="V13" i="2"/>
  <c r="Q14" i="2" l="1"/>
  <c r="P14" i="2"/>
  <c r="Q13" i="2"/>
  <c r="P13" i="2"/>
  <c r="O14" i="2"/>
  <c r="N14" i="2"/>
  <c r="M14" i="2"/>
  <c r="O13" i="2"/>
  <c r="N13" i="2"/>
  <c r="M13" i="2"/>
  <c r="J14" i="2"/>
  <c r="I14" i="2"/>
  <c r="H14" i="2"/>
  <c r="G14" i="2"/>
  <c r="F14" i="2"/>
  <c r="E14" i="2"/>
  <c r="D14" i="2"/>
  <c r="C14" i="2"/>
  <c r="B14" i="2"/>
  <c r="J13" i="2"/>
  <c r="I13" i="2"/>
  <c r="H13" i="2"/>
  <c r="G13" i="2"/>
  <c r="F13" i="2"/>
  <c r="E13" i="2"/>
  <c r="D13" i="2"/>
  <c r="C13" i="2"/>
  <c r="B13" i="2"/>
  <c r="AH12" i="2" l="1"/>
  <c r="AG12" i="2"/>
  <c r="AF12" i="2"/>
  <c r="W12" i="2"/>
  <c r="V12" i="2"/>
  <c r="Q12" i="2"/>
  <c r="P12" i="2"/>
  <c r="O12" i="2"/>
  <c r="N12" i="2"/>
  <c r="M12" i="2"/>
  <c r="J12" i="2" l="1"/>
  <c r="I12" i="2"/>
  <c r="H12" i="2"/>
  <c r="G12" i="2"/>
  <c r="F12" i="2"/>
  <c r="E12" i="2"/>
  <c r="D12" i="2"/>
  <c r="C12" i="2"/>
  <c r="B12" i="2"/>
  <c r="AH11" i="2" l="1"/>
  <c r="AG11" i="2"/>
  <c r="AF11" i="2"/>
  <c r="W11" i="2"/>
  <c r="V11" i="2"/>
  <c r="Q11" i="2"/>
  <c r="P11" i="2"/>
  <c r="O11" i="2"/>
  <c r="N11" i="2"/>
  <c r="M11" i="2"/>
  <c r="J11" i="2" l="1"/>
  <c r="I11" i="2"/>
  <c r="H11" i="2"/>
  <c r="G11" i="2"/>
  <c r="F11" i="2"/>
  <c r="E11" i="2"/>
  <c r="D11" i="2"/>
  <c r="C11" i="2"/>
  <c r="B11" i="2"/>
  <c r="AH10" i="2" l="1"/>
  <c r="AG10" i="2"/>
  <c r="AF10" i="2"/>
  <c r="W10" i="2"/>
  <c r="V10" i="2"/>
  <c r="Q10" i="2"/>
  <c r="P10" i="2"/>
  <c r="O10" i="2"/>
  <c r="N10" i="2"/>
  <c r="M10" i="2"/>
  <c r="J10" i="2" l="1"/>
  <c r="I10" i="2"/>
  <c r="H10" i="2"/>
  <c r="G10" i="2"/>
  <c r="F10" i="2"/>
  <c r="E10" i="2"/>
  <c r="D10" i="2"/>
  <c r="C10" i="2"/>
  <c r="B10" i="2"/>
  <c r="AH9" i="2" l="1"/>
  <c r="AG9" i="2"/>
  <c r="AF9" i="2"/>
  <c r="W9" i="2"/>
  <c r="V9" i="2"/>
  <c r="Q9" i="2"/>
  <c r="P9" i="2"/>
  <c r="O9" i="2"/>
  <c r="N9" i="2"/>
  <c r="M9" i="2"/>
  <c r="J9" i="2" l="1"/>
  <c r="I9" i="2"/>
  <c r="H9" i="2"/>
  <c r="G9" i="2"/>
  <c r="F9" i="2"/>
  <c r="E9" i="2"/>
  <c r="D9" i="2"/>
  <c r="C9" i="2"/>
  <c r="B9" i="2"/>
  <c r="AH8" i="2" l="1"/>
  <c r="AG8" i="2"/>
  <c r="AF8" i="2"/>
  <c r="W8" i="2"/>
  <c r="V8" i="2"/>
  <c r="Q8" i="2"/>
  <c r="P8" i="2"/>
  <c r="O8" i="2"/>
  <c r="N8" i="2"/>
  <c r="M8" i="2"/>
  <c r="J8" i="2" l="1"/>
  <c r="I8" i="2"/>
  <c r="H8" i="2"/>
  <c r="G8" i="2"/>
  <c r="F8" i="2"/>
  <c r="E8" i="2"/>
  <c r="D8" i="2"/>
  <c r="C8" i="2"/>
  <c r="B8" i="2"/>
  <c r="AH7" i="2" l="1"/>
  <c r="AH6" i="2"/>
  <c r="AG7" i="2"/>
  <c r="AG6" i="2"/>
  <c r="AF7" i="2"/>
  <c r="AF6" i="2"/>
  <c r="W7" i="2" l="1"/>
  <c r="V7" i="2"/>
  <c r="W6" i="2"/>
  <c r="V6" i="2"/>
  <c r="Q7" i="2"/>
  <c r="P7" i="2"/>
  <c r="Q6" i="2"/>
  <c r="P6" i="2"/>
  <c r="O7" i="2"/>
  <c r="N7" i="2"/>
  <c r="M7" i="2"/>
  <c r="O6" i="2"/>
  <c r="N6" i="2"/>
  <c r="M6" i="2"/>
  <c r="J7" i="2" l="1"/>
  <c r="I7" i="2"/>
  <c r="H7" i="2"/>
  <c r="G7" i="2"/>
  <c r="F7" i="2"/>
  <c r="E7" i="2"/>
  <c r="D7" i="2"/>
  <c r="C7" i="2"/>
  <c r="B7" i="2"/>
  <c r="J6" i="2"/>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Z35" i="2"/>
  <c r="AA35" i="2" s="1"/>
  <c r="T35" i="2"/>
  <c r="U35" i="2"/>
  <c r="R35" i="2"/>
  <c r="S35" i="2"/>
  <c r="K35" i="2"/>
  <c r="L35" i="2" s="1"/>
  <c r="M4" i="1"/>
  <c r="M5" i="1"/>
  <c r="M6" i="1"/>
  <c r="M8" i="1"/>
  <c r="M9" i="1"/>
  <c r="M10" i="1"/>
  <c r="M12" i="1"/>
  <c r="M13" i="1"/>
  <c r="M14" i="1"/>
  <c r="M15" i="1"/>
  <c r="M16" i="1"/>
  <c r="M17" i="1"/>
  <c r="M18" i="1"/>
  <c r="M19" i="1"/>
  <c r="M20" i="1"/>
  <c r="M21" i="1"/>
  <c r="M22" i="1"/>
  <c r="M24" i="1"/>
  <c r="M25" i="1"/>
  <c r="M26" i="1"/>
  <c r="M27"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AO35" i="2" l="1"/>
  <c r="N32" i="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R22" i="2"/>
  <c r="R23" i="2"/>
  <c r="O19" i="3" s="1"/>
  <c r="R24" i="2"/>
  <c r="O20" i="3" s="1"/>
  <c r="R25" i="2"/>
  <c r="O21" i="3" s="1"/>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R14" i="2"/>
  <c r="O10" i="3" s="1"/>
  <c r="T31" i="3"/>
  <c r="AK11" i="2"/>
  <c r="X7" i="3" s="1"/>
  <c r="AK12" i="2"/>
  <c r="X8" i="3" s="1"/>
  <c r="AK15" i="2"/>
  <c r="AK16" i="2"/>
  <c r="AL16" i="2" s="1"/>
  <c r="AK20" i="2"/>
  <c r="AK24" i="2"/>
  <c r="X20" i="3" s="1"/>
  <c r="AK28" i="2"/>
  <c r="AK31" i="2"/>
  <c r="AL31" i="2" s="1"/>
  <c r="AK32" i="2"/>
  <c r="AK34" i="2"/>
  <c r="AD10" i="2"/>
  <c r="AD13" i="2"/>
  <c r="AD14" i="2"/>
  <c r="AD19" i="2"/>
  <c r="AD22" i="2"/>
  <c r="AD26" i="2"/>
  <c r="AD27" i="2"/>
  <c r="AD28" i="2"/>
  <c r="AD29" i="2"/>
  <c r="AD31" i="2"/>
  <c r="AD33" i="2"/>
  <c r="AK7" i="2"/>
  <c r="AL7" i="2" s="1"/>
  <c r="AD8" i="2"/>
  <c r="AD7" i="2"/>
  <c r="AD6" i="2"/>
  <c r="T8" i="2"/>
  <c r="N4" i="3" s="1"/>
  <c r="T7" i="2"/>
  <c r="U7" i="2" s="1"/>
  <c r="S8" i="2"/>
  <c r="S7" i="2"/>
  <c r="K8" i="2"/>
  <c r="L8" i="2" s="1"/>
  <c r="K7" i="2"/>
  <c r="Z6" i="2"/>
  <c r="AK8" i="2"/>
  <c r="AL8" i="2" s="1"/>
  <c r="AK9" i="2"/>
  <c r="X5" i="3" s="1"/>
  <c r="AK10" i="2"/>
  <c r="AL10" i="2" s="1"/>
  <c r="AD9" i="2"/>
  <c r="AD11" i="2"/>
  <c r="AD12" i="2"/>
  <c r="AD15" i="2"/>
  <c r="AD16" i="2"/>
  <c r="AD18" i="2"/>
  <c r="AD20" i="2"/>
  <c r="AD21" i="2"/>
  <c r="AD23" i="2"/>
  <c r="AD24" i="2"/>
  <c r="AD25" i="2"/>
  <c r="T21" i="3" s="1"/>
  <c r="AD30" i="2"/>
  <c r="AD32" i="2"/>
  <c r="T28" i="3" s="1"/>
  <c r="AD34" i="2"/>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K14" i="2"/>
  <c r="AL14" i="2" s="1"/>
  <c r="AK17" i="2"/>
  <c r="AL17" i="2" s="1"/>
  <c r="AK19" i="2"/>
  <c r="AL19" i="2" s="1"/>
  <c r="AK21" i="2"/>
  <c r="X17" i="3" s="1"/>
  <c r="AK22" i="2"/>
  <c r="AL22" i="2" s="1"/>
  <c r="AK23" i="2"/>
  <c r="AL23" i="2" s="1"/>
  <c r="AK25" i="2"/>
  <c r="X21" i="3" s="1"/>
  <c r="AK26" i="2"/>
  <c r="X22" i="3" s="1"/>
  <c r="AK27" i="2"/>
  <c r="AL27" i="2" s="1"/>
  <c r="AK29" i="2"/>
  <c r="X25" i="3" s="1"/>
  <c r="AK30" i="2"/>
  <c r="AL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S24" i="2"/>
  <c r="S23" i="2"/>
  <c r="S22" i="2"/>
  <c r="O18" i="3"/>
  <c r="S21" i="2"/>
  <c r="S20" i="2"/>
  <c r="S19" i="2"/>
  <c r="S18" i="2"/>
  <c r="O14"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D39" i="2"/>
  <c r="G38" i="2"/>
  <c r="T27" i="3"/>
  <c r="X18" i="3"/>
  <c r="P11" i="3"/>
  <c r="G11" i="1" s="1"/>
  <c r="T22" i="3"/>
  <c r="P24" i="3"/>
  <c r="G24" i="1" s="1"/>
  <c r="T30" i="3"/>
  <c r="T12" i="3"/>
  <c r="N3" i="3"/>
  <c r="T23" i="3"/>
  <c r="K28" i="1" l="1"/>
  <c r="U32" i="2"/>
  <c r="AO32" i="2" s="1"/>
  <c r="P27" i="3"/>
  <c r="AL25" i="2"/>
  <c r="N19" i="3"/>
  <c r="P19" i="3"/>
  <c r="G19" i="1" s="1"/>
  <c r="T17" i="3"/>
  <c r="I17" i="1" s="1"/>
  <c r="P17" i="3"/>
  <c r="G17" i="1" s="1"/>
  <c r="U19" i="2"/>
  <c r="U16" i="2"/>
  <c r="U15" i="2"/>
  <c r="U11" i="2"/>
  <c r="T3" i="3"/>
  <c r="X9" i="3"/>
  <c r="P26" i="3"/>
  <c r="G26" i="1" s="1"/>
  <c r="N10" i="3"/>
  <c r="K10" i="1" s="1"/>
  <c r="S27" i="3"/>
  <c r="U30" i="2"/>
  <c r="M32" i="3"/>
  <c r="I32" i="3"/>
  <c r="N24" i="3"/>
  <c r="K24" i="1" s="1"/>
  <c r="N29" i="3"/>
  <c r="K29" i="1" s="1"/>
  <c r="P15" i="3"/>
  <c r="S15" i="3" s="1"/>
  <c r="P9" i="3"/>
  <c r="G9" i="1" s="1"/>
  <c r="V32" i="3"/>
  <c r="T7" i="3"/>
  <c r="I7" i="1" s="1"/>
  <c r="U9" i="2"/>
  <c r="K32" i="3"/>
  <c r="J32" i="3"/>
  <c r="W32" i="3"/>
  <c r="U32" i="3"/>
  <c r="T5" i="3"/>
  <c r="I5" i="1" s="1"/>
  <c r="Q32" i="3"/>
  <c r="U8" i="2"/>
  <c r="T36" i="2"/>
  <c r="U36" i="2" s="1"/>
  <c r="L32" i="3"/>
  <c r="X27" i="3"/>
  <c r="I27" i="1" s="1"/>
  <c r="AL11" i="2"/>
  <c r="X10" i="3"/>
  <c r="T20" i="3"/>
  <c r="I20" i="1" s="1"/>
  <c r="P4" i="3"/>
  <c r="G4" i="1" s="1"/>
  <c r="R32" i="3"/>
  <c r="L7" i="2"/>
  <c r="L36" i="2" s="1"/>
  <c r="K36" i="2"/>
  <c r="X2" i="3"/>
  <c r="AK36" i="2"/>
  <c r="AD36" i="2"/>
  <c r="AE36" i="2" s="1"/>
  <c r="AA6" i="2"/>
  <c r="Z36" i="2"/>
  <c r="O2" i="3"/>
  <c r="O32" i="3" s="1"/>
  <c r="R36" i="2"/>
  <c r="R38" i="2" s="1"/>
  <c r="S11" i="3"/>
  <c r="S5" i="3"/>
  <c r="E30" i="1"/>
  <c r="E17" i="1"/>
  <c r="N2" i="3"/>
  <c r="U6" i="2"/>
  <c r="AL6" i="2"/>
  <c r="G3" i="1"/>
  <c r="S3" i="3"/>
  <c r="P2" i="3"/>
  <c r="AA7" i="2"/>
  <c r="AO7" i="2" s="1"/>
  <c r="U25" i="2"/>
  <c r="I21" i="1"/>
  <c r="N18" i="3"/>
  <c r="K18" i="1" s="1"/>
  <c r="S23" i="3"/>
  <c r="K30" i="1"/>
  <c r="E29" i="1"/>
  <c r="K7" i="1"/>
  <c r="S30" i="3"/>
  <c r="X31" i="3"/>
  <c r="X26" i="3"/>
  <c r="X13" i="3"/>
  <c r="I13" i="1" s="1"/>
  <c r="AL21" i="2"/>
  <c r="I31" i="1"/>
  <c r="T25" i="3"/>
  <c r="I25" i="1" s="1"/>
  <c r="T11" i="3"/>
  <c r="T16" i="3"/>
  <c r="S26" i="3"/>
  <c r="AA17" i="2"/>
  <c r="K15" i="1"/>
  <c r="K11" i="1"/>
  <c r="K8" i="1"/>
  <c r="K4" i="1"/>
  <c r="N31" i="3"/>
  <c r="K31" i="1" s="1"/>
  <c r="K25" i="1"/>
  <c r="E24" i="1"/>
  <c r="E13" i="1"/>
  <c r="E6" i="1"/>
  <c r="X30" i="3"/>
  <c r="I30" i="1" s="1"/>
  <c r="AL34" i="2"/>
  <c r="AL24" i="2"/>
  <c r="AL9" i="2"/>
  <c r="X4" i="3"/>
  <c r="X19" i="3"/>
  <c r="T8" i="3"/>
  <c r="I8" i="1" s="1"/>
  <c r="T24" i="3"/>
  <c r="I22" i="1"/>
  <c r="G13" i="1"/>
  <c r="S13" i="3"/>
  <c r="AO33" i="2"/>
  <c r="S14" i="3"/>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O19" i="2"/>
  <c r="T15" i="3"/>
  <c r="AO13" i="2"/>
  <c r="T9" i="3"/>
  <c r="AL15" i="2"/>
  <c r="X11" i="3"/>
  <c r="T18" i="3"/>
  <c r="I18" i="1" s="1"/>
  <c r="AO22" i="2"/>
  <c r="S22" i="3"/>
  <c r="S21" i="3"/>
  <c r="G21" i="1"/>
  <c r="AO23" i="2"/>
  <c r="T10" i="3"/>
  <c r="I10" i="1" s="1"/>
  <c r="AO14" i="2"/>
  <c r="AL32" i="2"/>
  <c r="X28" i="3"/>
  <c r="I28" i="1" s="1"/>
  <c r="AL28" i="2"/>
  <c r="X24" i="3"/>
  <c r="X16" i="3"/>
  <c r="AL20" i="2"/>
  <c r="T6" i="3"/>
  <c r="X3" i="3"/>
  <c r="S24" i="3"/>
  <c r="X12" i="3"/>
  <c r="I12" i="1" s="1"/>
  <c r="AA26" i="2"/>
  <c r="AO26" i="2" s="1"/>
  <c r="N22" i="3"/>
  <c r="K22" i="1" s="1"/>
  <c r="N17" i="3"/>
  <c r="K17" i="1" s="1"/>
  <c r="T19" i="3"/>
  <c r="P18" i="3"/>
  <c r="P7" i="3"/>
  <c r="AA25" i="2"/>
  <c r="P12" i="3"/>
  <c r="T26" i="3"/>
  <c r="AL26" i="2"/>
  <c r="S28" i="3"/>
  <c r="T29" i="3"/>
  <c r="I29" i="1" s="1"/>
  <c r="AL29" i="2"/>
  <c r="AA24" i="2"/>
  <c r="AO24" i="2" s="1"/>
  <c r="P20" i="3"/>
  <c r="S31" i="3"/>
  <c r="G31" i="1"/>
  <c r="AA34" i="2"/>
  <c r="AA18" i="2"/>
  <c r="AO18" i="2" s="1"/>
  <c r="AA12" i="2"/>
  <c r="P8" i="3"/>
  <c r="E31" i="1"/>
  <c r="AL33" i="2"/>
  <c r="AL12" i="2"/>
  <c r="T2" i="3"/>
  <c r="G27" i="1"/>
  <c r="N14" i="3"/>
  <c r="K14" i="1" s="1"/>
  <c r="X23" i="3"/>
  <c r="I23" i="1" s="1"/>
  <c r="T14" i="3"/>
  <c r="I14" i="1" s="1"/>
  <c r="U34" i="2"/>
  <c r="U29" i="2"/>
  <c r="AO29" i="2" s="1"/>
  <c r="X6" i="3"/>
  <c r="X15" i="3"/>
  <c r="U10" i="2"/>
  <c r="AO10" i="2" s="1"/>
  <c r="AL18" i="2"/>
  <c r="P6" i="3"/>
  <c r="P16" i="3"/>
  <c r="AA27" i="2"/>
  <c r="AO27" i="2" s="1"/>
  <c r="S19" i="3" l="1"/>
  <c r="S17" i="3"/>
  <c r="G15" i="1"/>
  <c r="AO17" i="2"/>
  <c r="S4" i="3"/>
  <c r="I3" i="1"/>
  <c r="S9" i="3"/>
  <c r="I24" i="1"/>
  <c r="I9" i="1"/>
  <c r="AO8" i="2"/>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t>
        </r>
      </text>
    </comment>
    <comment ref="AM2" authorId="0" shapeId="0">
      <text>
        <r>
          <rPr>
            <b/>
            <sz val="9"/>
            <color indexed="81"/>
            <rFont val="Tahoma"/>
            <family val="2"/>
          </rPr>
          <t>Marian Chitian:</t>
        </r>
        <r>
          <rPr>
            <sz val="9"/>
            <color indexed="81"/>
            <rFont val="Tahoma"/>
            <family val="2"/>
          </rPr>
          <t xml:space="preserve">
Cost/ unit updated based on current Invoice </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M18" authorId="1" shapeId="0">
      <text>
        <r>
          <rPr>
            <b/>
            <sz val="9"/>
            <color indexed="81"/>
            <rFont val="Tahoma"/>
            <family val="2"/>
          </rPr>
          <t>Preparation for water tank cleaning.</t>
        </r>
        <r>
          <rPr>
            <sz val="9"/>
            <color indexed="81"/>
            <rFont val="Tahoma"/>
            <family val="2"/>
          </rPr>
          <t xml:space="preserve">
</t>
        </r>
      </text>
    </comment>
    <comment ref="M19" authorId="1" shapeId="0">
      <text>
        <r>
          <rPr>
            <b/>
            <sz val="9"/>
            <color indexed="81"/>
            <rFont val="Tahoma"/>
            <family val="2"/>
          </rPr>
          <t>Preparation for Water tank cleaning</t>
        </r>
        <r>
          <rPr>
            <sz val="9"/>
            <color indexed="81"/>
            <rFont val="Tahoma"/>
            <family val="2"/>
          </rPr>
          <t xml:space="preserve">
</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<sst xmlns="http://schemas.openxmlformats.org/spreadsheetml/2006/main" count="217" uniqueCount="104">
  <si>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</si>
  <si>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</si>
  <si>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</si>
  <si>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</si>
  <si>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</si>
  <si>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</si>
  <si>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</si>
  <si>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</si>
  <si>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</si>
  <si>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</si>
  <si>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</si>
  <si>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</si>
  <si>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</si>
  <si>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</si>
  <si>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</si>
  <si>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</si>
  <si>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</si>
  <si>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</si>
  <si>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</si>
  <si>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</si>
  <si>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</si>
  <si>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</si>
  <si>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</si>
  <si>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</si>
  <si>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</si>
  <si>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</si>
  <si>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</si>
  <si>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</si>
  <si>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</si>
  <si>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</si>
  <si>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</si>
  <si>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</si>
  <si>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</si>
  <si>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</si>
  <si>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</si>
  <si>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</si>
  <si>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</si>
  <si>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</si>
  <si>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</si>
  <si>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</si>
  <si>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</si>
  <si>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</si>
  <si>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</si>
  <si>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</si>
  <si>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</si>
  <si>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</si>
  <si>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</si>
  <si>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</si>
  <si>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</si>
  <si>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</si>
  <si>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</si>
  <si>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</si>
  <si>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</si>
  <si>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</si>
  <si>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</si>
  <si>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</si>
  <si>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</si>
  <si>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</si>
  <si>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</si>
  <si>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</si>
  <si>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</si>
  <si>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</si>
  <si>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</si>
  <si>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</si>
  <si>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</si>
  <si>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</si>
  <si>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</si>
  <si>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</si>
  <si>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</si>
  <si>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</si>
  <si>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</si>
  <si>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</si>
  <si>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</si>
  <si>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</si>
  <si>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</si>
  <si>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</si>
  <si>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</si>
  <si>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</si>
  <si>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</si>
  <si>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</si>
  <si>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</si>
  <si>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</si>
  <si>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</si>
  <si>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</si>
  <si>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</si>
  <si>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</si>
  <si>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</si>
  <si>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</si>
  <si>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</si>
  <si>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</si>
  <si>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</si>
  <si>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</si>
  <si>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</si>
  <si>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</si>
  <si>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</si>
  <si>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</si>
  <si>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</si>
  <si>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</si>
  <si>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</si>
  <si>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</si>
  <si>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</si>
  <si>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</si>
  <si>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</si>
  <si>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AED. 0.332195/Ton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</si>
</sst>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tabSelected="1" workbookViewId="0">
      <selection activeCell="I32" sqref="I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4</v>
      </c>
      <c r="D2" s="111">
        <v>2021</v>
      </c>
      <c r="E2" s="101">
        <f>Submetering!E2+Submetering!F2+Submetering!G2+Submetering!H2+Submetering!I2+Submetering!J2+Submetering!K2</f>
        <v>27648</v>
      </c>
      <c r="F2" s="113">
        <v>0.2</v>
      </c>
      <c r="G2" s="101">
        <f>Submetering!P2</f>
        <v>609</v>
      </c>
      <c r="H2" s="113">
        <v>6.47</v>
      </c>
      <c r="I2" s="101">
        <f>Submetering!T2-Submetering!T2*15%-Submetering!X2</f>
        <v>23677.323779997983</v>
      </c>
      <c r="J2" s="100">
        <v>0.21</v>
      </c>
      <c r="K2" s="101">
        <f>Submetering!N2-Submetering!O2</f>
        <v>81.419999999997799</v>
      </c>
      <c r="L2" s="113">
        <v>7.84</v>
      </c>
      <c r="M2" s="101">
        <f>Submetering!Y2</f>
        <v>132</v>
      </c>
      <c r="N2" s="102">
        <f>Submetering!Z2</f>
        <v>245</v>
      </c>
    </row>
    <row r="3" spans="1:15" x14ac:dyDescent="0.25">
      <c r="A3" s="114" t="s">
        <v>80</v>
      </c>
      <c r="B3" s="72">
        <f>B2+1</f>
        <v>2</v>
      </c>
      <c r="C3" s="73">
        <v>4</v>
      </c>
      <c r="D3" s="72">
        <v>2021</v>
      </c>
      <c r="E3" s="71">
        <f>Submetering!E3+Submetering!F3+Submetering!G3+Submetering!H3+Submetering!I3+Submetering!J3+Submetering!K3</f>
        <v>28196</v>
      </c>
      <c r="F3" s="74">
        <v>0.2</v>
      </c>
      <c r="G3" s="71">
        <f>Submetering!P3</f>
        <v>628</v>
      </c>
      <c r="H3" s="74">
        <v>6.47</v>
      </c>
      <c r="I3" s="71">
        <f>Submetering!T3-Submetering!T3*15%-Submetering!X3</f>
        <v>27244.863820003469</v>
      </c>
      <c r="J3" s="70">
        <v>0.21</v>
      </c>
      <c r="K3" s="71">
        <f>Submetering!N3-Submetering!O3</f>
        <v>73.219000000022334</v>
      </c>
      <c r="L3" s="74">
        <v>7.84</v>
      </c>
      <c r="M3" s="71">
        <f>Submetering!Y3</f>
        <v>146</v>
      </c>
      <c r="N3" s="104">
        <f>Submetering!Z3</f>
        <v>280</v>
      </c>
    </row>
    <row r="4" spans="1:15" x14ac:dyDescent="0.25">
      <c r="A4" s="114" t="s">
        <v>80</v>
      </c>
      <c r="B4" s="72">
        <f t="shared" ref="B4:B31" si="0">B3+1</f>
        <v>3</v>
      </c>
      <c r="C4" s="73">
        <v>4</v>
      </c>
      <c r="D4" s="72">
        <v>2021</v>
      </c>
      <c r="E4" s="71">
        <f>Submetering!E4+Submetering!F4+Submetering!G4+Submetering!H4+Submetering!I4+Submetering!J4+Submetering!K4</f>
        <v>27043</v>
      </c>
      <c r="F4" s="74">
        <v>0.2</v>
      </c>
      <c r="G4" s="71">
        <f>Submetering!P4</f>
        <v>595</v>
      </c>
      <c r="H4" s="74">
        <v>6.47</v>
      </c>
      <c r="I4" s="71">
        <f>Submetering!T4-Submetering!T4*15%-Submetering!X4</f>
        <v>26603.551260000277</v>
      </c>
      <c r="J4" s="70">
        <v>0.21</v>
      </c>
      <c r="K4" s="71">
        <f>Submetering!N4-Submetering!O4</f>
        <v>90.320999999992182</v>
      </c>
      <c r="L4" s="74">
        <v>7.84</v>
      </c>
      <c r="M4" s="71">
        <f>Submetering!Y4</f>
        <v>110</v>
      </c>
      <c r="N4" s="104">
        <f>Submetering!Z4</f>
        <v>202</v>
      </c>
    </row>
    <row r="5" spans="1:15" x14ac:dyDescent="0.25">
      <c r="A5" s="114" t="s">
        <v>80</v>
      </c>
      <c r="B5" s="72">
        <f t="shared" si="0"/>
        <v>4</v>
      </c>
      <c r="C5" s="73">
        <v>4</v>
      </c>
      <c r="D5" s="72">
        <v>2021</v>
      </c>
      <c r="E5" s="71">
        <f>Submetering!E5+Submetering!F5+Submetering!G5+Submetering!H5+Submetering!I5+Submetering!J5+Submetering!K5</f>
        <v>30265</v>
      </c>
      <c r="F5" s="74">
        <v>0.2</v>
      </c>
      <c r="G5" s="71">
        <f>Submetering!P5</f>
        <v>580</v>
      </c>
      <c r="H5" s="74">
        <v>6.47</v>
      </c>
      <c r="I5" s="71">
        <f>Submetering!T5-Submetering!T5*15%-Submetering!X5</f>
        <v>28578.912199998544</v>
      </c>
      <c r="J5" s="70">
        <v>0.21</v>
      </c>
      <c r="K5" s="81">
        <f>Submetering!N5-Submetering!O5</f>
        <v>80.002000000003591</v>
      </c>
      <c r="L5" s="74">
        <v>7.84</v>
      </c>
      <c r="M5" s="71">
        <f>Submetering!Y5</f>
        <v>138</v>
      </c>
      <c r="N5" s="104">
        <f>Submetering!Z5</f>
        <v>268</v>
      </c>
    </row>
    <row r="6" spans="1:15" x14ac:dyDescent="0.25">
      <c r="A6" s="114" t="s">
        <v>80</v>
      </c>
      <c r="B6" s="72">
        <f t="shared" si="0"/>
        <v>5</v>
      </c>
      <c r="C6" s="73">
        <v>4</v>
      </c>
      <c r="D6" s="72">
        <v>2021</v>
      </c>
      <c r="E6" s="71">
        <f>Submetering!E6+Submetering!F6+Submetering!G6+Submetering!H6+Submetering!I6+Submetering!J6+Submetering!K6</f>
        <v>30317</v>
      </c>
      <c r="F6" s="74">
        <v>0.2</v>
      </c>
      <c r="G6" s="71">
        <f>Submetering!P6</f>
        <v>580</v>
      </c>
      <c r="H6" s="74">
        <v>6.47</v>
      </c>
      <c r="I6" s="71">
        <f>Submetering!T6-Submetering!T6*15%-Submetering!X6</f>
        <v>23460.476739999722</v>
      </c>
      <c r="J6" s="70">
        <v>0.21</v>
      </c>
      <c r="K6" s="71">
        <f>Submetering!N6-Submetering!O6</f>
        <v>88.406999999990148</v>
      </c>
      <c r="L6" s="74">
        <v>7.84</v>
      </c>
      <c r="M6" s="71">
        <f>Submetering!Y6</f>
        <v>146</v>
      </c>
      <c r="N6" s="104">
        <f>Submetering!Z6</f>
        <v>274</v>
      </c>
    </row>
    <row r="7" spans="1:15" x14ac:dyDescent="0.25">
      <c r="A7" s="114" t="s">
        <v>80</v>
      </c>
      <c r="B7" s="72">
        <f t="shared" si="0"/>
        <v>6</v>
      </c>
      <c r="C7" s="73">
        <v>4</v>
      </c>
      <c r="D7" s="72">
        <v>2021</v>
      </c>
      <c r="E7" s="71">
        <f>Submetering!E7+Submetering!F7+Submetering!G7+Submetering!H7+Submetering!I7+Submetering!J7+Submetering!K7</f>
        <v>30007</v>
      </c>
      <c r="F7" s="74">
        <v>0.2</v>
      </c>
      <c r="G7" s="71">
        <f>Submetering!P7</f>
        <v>579</v>
      </c>
      <c r="H7" s="74">
        <v>6.47</v>
      </c>
      <c r="I7" s="71">
        <f>Submetering!T7-Submetering!T7*15%-Submetering!X7</f>
        <v>24422.854159997369</v>
      </c>
      <c r="J7" s="70">
        <v>0.21</v>
      </c>
      <c r="K7" s="71">
        <f>Submetering!N7-Submetering!O7</f>
        <v>97.811000000016065</v>
      </c>
      <c r="L7" s="74">
        <v>7.84</v>
      </c>
      <c r="M7" s="71">
        <f>Submetering!Y7</f>
        <v>152</v>
      </c>
      <c r="N7" s="104">
        <f>Submetering!Z7</f>
        <v>270</v>
      </c>
    </row>
    <row r="8" spans="1:15" x14ac:dyDescent="0.25">
      <c r="A8" s="114" t="s">
        <v>80</v>
      </c>
      <c r="B8" s="72">
        <f t="shared" si="0"/>
        <v>7</v>
      </c>
      <c r="C8" s="73">
        <v>4</v>
      </c>
      <c r="D8" s="72">
        <v>2021</v>
      </c>
      <c r="E8" s="71">
        <f>Submetering!E8+Submetering!F8+Submetering!G8+Submetering!H8+Submetering!I8+Submetering!J8+Submetering!K8</f>
        <v>31549</v>
      </c>
      <c r="F8" s="74">
        <v>0.2</v>
      </c>
      <c r="G8" s="71">
        <f>Submetering!P8</f>
        <v>578</v>
      </c>
      <c r="H8" s="74">
        <v>6.47</v>
      </c>
      <c r="I8" s="71">
        <f>Submetering!T8-Submetering!T8*15%-Submetering!X8</f>
        <v>30114.920060004646</v>
      </c>
      <c r="J8" s="70">
        <v>0.21</v>
      </c>
      <c r="K8" s="71">
        <f>Submetering!N8-Submetering!O8</f>
        <v>87.014999999985321</v>
      </c>
      <c r="L8" s="74">
        <v>7.84</v>
      </c>
      <c r="M8" s="71">
        <f>Submetering!Y8</f>
        <v>135</v>
      </c>
      <c r="N8" s="104">
        <f>Submetering!Z8</f>
        <v>233</v>
      </c>
    </row>
    <row r="9" spans="1:15" x14ac:dyDescent="0.25">
      <c r="A9" s="114" t="s">
        <v>80</v>
      </c>
      <c r="B9" s="72">
        <f t="shared" si="0"/>
        <v>8</v>
      </c>
      <c r="C9" s="73">
        <v>4</v>
      </c>
      <c r="D9" s="72">
        <v>2021</v>
      </c>
      <c r="E9" s="71">
        <f>Submetering!E9+Submetering!F9+Submetering!G9+Submetering!H9+Submetering!I9+Submetering!J9+Submetering!K9</f>
        <v>30955</v>
      </c>
      <c r="F9" s="74">
        <v>0.2</v>
      </c>
      <c r="G9" s="71">
        <f>Submetering!P9</f>
        <v>582</v>
      </c>
      <c r="H9" s="74">
        <v>6.47</v>
      </c>
      <c r="I9" s="71">
        <f>Submetering!T9-Submetering!T9*15%-Submetering!X9</f>
        <v>30874.149779997992</v>
      </c>
      <c r="J9" s="70">
        <v>0.21</v>
      </c>
      <c r="K9" s="71">
        <f>Submetering!N9-Submetering!O9</f>
        <v>97.988000000008924</v>
      </c>
      <c r="L9" s="74">
        <v>7.84</v>
      </c>
      <c r="M9" s="71">
        <f>Submetering!Y9</f>
        <v>128</v>
      </c>
      <c r="N9" s="104">
        <f>Submetering!Z9</f>
        <v>232</v>
      </c>
      <c r="O9" s="1" t="s">
        <v>12</v>
      </c>
    </row>
    <row r="10" spans="1:15" x14ac:dyDescent="0.25">
      <c r="A10" s="114" t="s">
        <v>80</v>
      </c>
      <c r="B10" s="72">
        <f t="shared" si="0"/>
        <v>9</v>
      </c>
      <c r="C10" s="73">
        <v>4</v>
      </c>
      <c r="D10" s="72">
        <v>2021</v>
      </c>
      <c r="E10" s="71">
        <f>Submetering!E10+Submetering!F10+Submetering!G10+Submetering!H10+Submetering!I10+Submetering!J10+Submetering!K10</f>
        <v>31328</v>
      </c>
      <c r="F10" s="74">
        <v>0.2</v>
      </c>
      <c r="G10" s="71">
        <f>Submetering!P10</f>
        <v>625</v>
      </c>
      <c r="H10" s="74">
        <v>6.47</v>
      </c>
      <c r="I10" s="71">
        <f>Submetering!T10-Submetering!T10*15%-Submetering!X10</f>
        <v>32035.151000001453</v>
      </c>
      <c r="J10" s="70">
        <v>0.21</v>
      </c>
      <c r="K10" s="71">
        <f>Submetering!N10-Submetering!O10</f>
        <v>84.320999999988999</v>
      </c>
      <c r="L10" s="74">
        <v>7.84</v>
      </c>
      <c r="M10" s="71">
        <f>Submetering!Y10</f>
        <v>106</v>
      </c>
      <c r="N10" s="104">
        <f>Submetering!Z10</f>
        <v>190</v>
      </c>
    </row>
    <row r="11" spans="1:15" x14ac:dyDescent="0.25">
      <c r="A11" s="114" t="s">
        <v>80</v>
      </c>
      <c r="B11" s="72">
        <f t="shared" si="0"/>
        <v>10</v>
      </c>
      <c r="C11" s="73">
        <v>4</v>
      </c>
      <c r="D11" s="72">
        <v>2021</v>
      </c>
      <c r="E11" s="71">
        <f>Submetering!E11+Submetering!F11+Submetering!G11+Submetering!H11+Submetering!I11+Submetering!J11+Submetering!K11</f>
        <v>29157</v>
      </c>
      <c r="F11" s="74">
        <v>0.2</v>
      </c>
      <c r="G11" s="71">
        <f>Submetering!P11</f>
        <v>561</v>
      </c>
      <c r="H11" s="74">
        <v>6.47</v>
      </c>
      <c r="I11" s="71">
        <f>Submetering!T11-Submetering!T11*15%-Submetering!X11</f>
        <v>31149.580599997098</v>
      </c>
      <c r="J11" s="70">
        <v>0.21</v>
      </c>
      <c r="K11" s="71">
        <f>Submetering!N11-Submetering!O11</f>
        <v>73.448000000008051</v>
      </c>
      <c r="L11" s="74">
        <v>7.84</v>
      </c>
      <c r="M11" s="71">
        <f>Submetering!Y11</f>
        <v>95</v>
      </c>
      <c r="N11" s="104">
        <f>Submetering!Z11</f>
        <v>161</v>
      </c>
    </row>
    <row r="12" spans="1:15" x14ac:dyDescent="0.25">
      <c r="A12" s="114" t="s">
        <v>80</v>
      </c>
      <c r="B12" s="72">
        <f t="shared" si="0"/>
        <v>11</v>
      </c>
      <c r="C12" s="73">
        <v>4</v>
      </c>
      <c r="D12" s="72">
        <v>2021</v>
      </c>
      <c r="E12" s="71">
        <f>Submetering!E12+Submetering!F12+Submetering!G12+Submetering!H12+Submetering!I12+Submetering!J12+Submetering!K12</f>
        <v>27298</v>
      </c>
      <c r="F12" s="74">
        <v>0.2</v>
      </c>
      <c r="G12" s="71">
        <f>Submetering!P12</f>
        <v>544</v>
      </c>
      <c r="H12" s="74">
        <v>6.47</v>
      </c>
      <c r="I12" s="71">
        <f>Submetering!T12-Submetering!T12*15%-Submetering!X12</f>
        <v>31013.481200002905</v>
      </c>
      <c r="J12" s="70">
        <v>0.21</v>
      </c>
      <c r="K12" s="71">
        <f>Submetering!N12-Submetering!O12</f>
        <v>78.920000000003256</v>
      </c>
      <c r="L12" s="74">
        <v>7.84</v>
      </c>
      <c r="M12" s="71">
        <f>Submetering!Y12</f>
        <v>105</v>
      </c>
      <c r="N12" s="104">
        <f>Submetering!Z12</f>
        <v>169</v>
      </c>
    </row>
    <row r="13" spans="1:15" x14ac:dyDescent="0.25">
      <c r="A13" s="114" t="s">
        <v>80</v>
      </c>
      <c r="B13" s="72">
        <f t="shared" si="0"/>
        <v>12</v>
      </c>
      <c r="C13" s="73">
        <v>4</v>
      </c>
      <c r="D13" s="72">
        <v>2021</v>
      </c>
      <c r="E13" s="71">
        <f>Submetering!E13+Submetering!F13+Submetering!G13+Submetering!H13+Submetering!I13+Submetering!J13+Submetering!K13</f>
        <v>26844</v>
      </c>
      <c r="F13" s="74">
        <v>0.2</v>
      </c>
      <c r="G13" s="71">
        <f>Submetering!P13</f>
        <v>540</v>
      </c>
      <c r="H13" s="74">
        <v>6.47</v>
      </c>
      <c r="I13" s="71">
        <f>Submetering!T13-Submetering!T13*15%-Submetering!X13</f>
        <v>30321.502200001458</v>
      </c>
      <c r="J13" s="70">
        <v>0.21</v>
      </c>
      <c r="K13" s="71">
        <f>Submetering!N13-Submetering!O13</f>
        <v>17.91300000000092</v>
      </c>
      <c r="L13" s="74">
        <v>7.84</v>
      </c>
      <c r="M13" s="71">
        <f>Submetering!Y13</f>
        <v>50</v>
      </c>
      <c r="N13" s="104">
        <f>Submetering!Z13</f>
        <v>65</v>
      </c>
    </row>
    <row r="14" spans="1:15" x14ac:dyDescent="0.25">
      <c r="A14" s="114" t="s">
        <v>80</v>
      </c>
      <c r="B14" s="72">
        <f t="shared" si="0"/>
        <v>13</v>
      </c>
      <c r="C14" s="73">
        <v>4</v>
      </c>
      <c r="D14" s="72">
        <v>2021</v>
      </c>
      <c r="E14" s="71">
        <f>Submetering!E14+Submetering!F14+Submetering!G14+Submetering!H14+Submetering!I14+Submetering!J14+Submetering!K14</f>
        <v>27850</v>
      </c>
      <c r="F14" s="74">
        <v>0.2</v>
      </c>
      <c r="G14" s="71">
        <f>Submetering!P14</f>
        <v>503</v>
      </c>
      <c r="H14" s="74">
        <v>6.47</v>
      </c>
      <c r="I14" s="71">
        <f>Submetering!T14-Submetering!T14*15%-Submetering!X14</f>
        <v>32636.249999998545</v>
      </c>
      <c r="J14" s="70">
        <v>0.21</v>
      </c>
      <c r="K14" s="71">
        <f>Submetering!N14-Submetering!O14</f>
        <v>-51.562000000009448</v>
      </c>
      <c r="L14" s="74">
        <v>7.84</v>
      </c>
      <c r="M14" s="71">
        <f>Submetering!Y14</f>
        <v>52</v>
      </c>
      <c r="N14" s="104">
        <f>Submetering!Z14</f>
        <v>68</v>
      </c>
    </row>
    <row r="15" spans="1:15" x14ac:dyDescent="0.25">
      <c r="A15" s="114" t="s">
        <v>80</v>
      </c>
      <c r="B15" s="72">
        <f t="shared" si="0"/>
        <v>14</v>
      </c>
      <c r="C15" s="73">
        <v>4</v>
      </c>
      <c r="D15" s="72">
        <v>2021</v>
      </c>
      <c r="E15" s="71">
        <f>Submetering!E15+Submetering!F15+Submetering!G15+Submetering!H15+Submetering!I15+Submetering!J15+Submetering!K15</f>
        <v>28328</v>
      </c>
      <c r="F15" s="74">
        <v>0.2</v>
      </c>
      <c r="G15" s="71">
        <f>Submetering!P15</f>
        <v>383</v>
      </c>
      <c r="H15" s="74">
        <v>6.47</v>
      </c>
      <c r="I15" s="71">
        <f>Submetering!T15-Submetering!T15*15%-Submetering!X15</f>
        <v>33829.132799999999</v>
      </c>
      <c r="J15" s="70">
        <v>0.21</v>
      </c>
      <c r="K15" s="81">
        <f>Submetering!N15-Submetering!O15</f>
        <v>-6.536999999987529</v>
      </c>
      <c r="L15" s="74">
        <v>7.84</v>
      </c>
      <c r="M15" s="71">
        <f>Submetering!Y15</f>
        <v>55</v>
      </c>
      <c r="N15" s="104">
        <f>Submetering!Z15</f>
        <v>68</v>
      </c>
    </row>
    <row r="16" spans="1:15" x14ac:dyDescent="0.25">
      <c r="A16" s="114" t="s">
        <v>80</v>
      </c>
      <c r="B16" s="72">
        <f t="shared" si="0"/>
        <v>15</v>
      </c>
      <c r="C16" s="73">
        <v>4</v>
      </c>
      <c r="D16" s="72">
        <v>2021</v>
      </c>
      <c r="E16" s="71">
        <f>Submetering!E16+Submetering!F16+Submetering!G16+Submetering!H16+Submetering!I16+Submetering!J16+Submetering!K16</f>
        <v>29580</v>
      </c>
      <c r="F16" s="74">
        <v>0.2</v>
      </c>
      <c r="G16" s="71">
        <f>Submetering!P16</f>
        <v>417</v>
      </c>
      <c r="H16" s="74">
        <v>6.47</v>
      </c>
      <c r="I16" s="71">
        <f>Submetering!T16-Submetering!T16*15%-Submetering!X16</f>
        <v>36074.125800000002</v>
      </c>
      <c r="J16" s="70">
        <v>0.21</v>
      </c>
      <c r="K16" s="71">
        <f>Submetering!N16-Submetering!O16</f>
        <v>226.95100000000411</v>
      </c>
      <c r="L16" s="74">
        <v>7.84</v>
      </c>
      <c r="M16" s="71">
        <f>Submetering!Y16</f>
        <v>48</v>
      </c>
      <c r="N16" s="104">
        <f>Submetering!Z16</f>
        <v>64</v>
      </c>
    </row>
    <row r="17" spans="1:14" x14ac:dyDescent="0.25">
      <c r="A17" s="114" t="s">
        <v>80</v>
      </c>
      <c r="B17" s="72">
        <f t="shared" si="0"/>
        <v>16</v>
      </c>
      <c r="C17" s="73">
        <v>4</v>
      </c>
      <c r="D17" s="72">
        <v>2021</v>
      </c>
      <c r="E17" s="71">
        <f>Submetering!E17+Submetering!F17+Submetering!G17+Submetering!H17+Submetering!I17+Submetering!J17+Submetering!K17</f>
        <v>28767</v>
      </c>
      <c r="F17" s="74">
        <v>0.2</v>
      </c>
      <c r="G17" s="71">
        <f>Submetering!P17</f>
        <v>485</v>
      </c>
      <c r="H17" s="74">
        <v>6.47</v>
      </c>
      <c r="I17" s="71">
        <f>Submetering!T17-Submetering!T17*15%-Submetering!X17</f>
        <v>28893.423799999997</v>
      </c>
      <c r="J17" s="70">
        <v>0.21</v>
      </c>
      <c r="K17" s="71">
        <f>Submetering!N17-Submetering!O17</f>
        <v>-10.054000000023734</v>
      </c>
      <c r="L17" s="74">
        <v>7.84</v>
      </c>
      <c r="M17" s="71">
        <f>Submetering!Y17</f>
        <v>33</v>
      </c>
      <c r="N17" s="104">
        <f>Submetering!Z17</f>
        <v>52</v>
      </c>
    </row>
    <row r="18" spans="1:14" x14ac:dyDescent="0.25">
      <c r="A18" s="114" t="s">
        <v>80</v>
      </c>
      <c r="B18" s="72">
        <f t="shared" si="0"/>
        <v>17</v>
      </c>
      <c r="C18" s="73">
        <v>4</v>
      </c>
      <c r="D18" s="72">
        <v>2021</v>
      </c>
      <c r="E18" s="71">
        <f>Submetering!E18+Submetering!F18+Submetering!G18+Submetering!H18+Submetering!I18+Submetering!J18+Submetering!K18</f>
        <v>30044</v>
      </c>
      <c r="F18" s="74">
        <v>0.2</v>
      </c>
      <c r="G18" s="71">
        <f>Submetering!P18</f>
        <v>408</v>
      </c>
      <c r="H18" s="74">
        <v>6.47</v>
      </c>
      <c r="I18" s="71">
        <f>Submetering!T18-Submetering!T18*15%-Submetering!X18</f>
        <v>28436.640399998549</v>
      </c>
      <c r="J18" s="70">
        <v>0.21</v>
      </c>
      <c r="K18" s="71">
        <f>Submetering!N18-Submetering!O18</f>
        <v>183.71200000001318</v>
      </c>
      <c r="L18" s="74">
        <v>7.84</v>
      </c>
      <c r="M18" s="71">
        <f>Submetering!Y18</f>
        <v>29</v>
      </c>
      <c r="N18" s="104">
        <f>Submetering!Z18</f>
        <v>42</v>
      </c>
    </row>
    <row r="19" spans="1:14" x14ac:dyDescent="0.25">
      <c r="A19" s="114" t="s">
        <v>80</v>
      </c>
      <c r="B19" s="72">
        <f t="shared" si="0"/>
        <v>18</v>
      </c>
      <c r="C19" s="73">
        <v>4</v>
      </c>
      <c r="D19" s="72">
        <v>2021</v>
      </c>
      <c r="E19" s="71">
        <f>Submetering!E19+Submetering!F19+Submetering!G19+Submetering!H19+Submetering!I19+Submetering!J19+Submetering!K19</f>
        <v>27243</v>
      </c>
      <c r="F19" s="74">
        <v>0.2</v>
      </c>
      <c r="G19" s="71">
        <f>Submetering!P19</f>
        <v>393</v>
      </c>
      <c r="H19" s="74">
        <v>6.47</v>
      </c>
      <c r="I19" s="71">
        <f>Submetering!T19-Submetering!T19*15%-Submetering!X19</f>
        <v>24592.469199998552</v>
      </c>
      <c r="J19" s="70">
        <v>0.21</v>
      </c>
      <c r="K19" s="71">
        <f>Submetering!N19-Submetering!O19</f>
        <v>63.642999999992753</v>
      </c>
      <c r="L19" s="74">
        <v>7.84</v>
      </c>
      <c r="M19" s="71">
        <f>Submetering!Y19</f>
        <v>35</v>
      </c>
      <c r="N19" s="104">
        <f>Submetering!Z19</f>
        <v>49</v>
      </c>
    </row>
    <row r="20" spans="1:14" x14ac:dyDescent="0.25">
      <c r="A20" s="114" t="s">
        <v>80</v>
      </c>
      <c r="B20" s="72">
        <f t="shared" si="0"/>
        <v>19</v>
      </c>
      <c r="C20" s="73">
        <v>4</v>
      </c>
      <c r="D20" s="72">
        <v>2021</v>
      </c>
      <c r="E20" s="71">
        <f>Submetering!E20+Submetering!F20+Submetering!G20+Submetering!H20+Submetering!I20+Submetering!J20+Submetering!K20</f>
        <v>28613</v>
      </c>
      <c r="F20" s="74">
        <v>0.2</v>
      </c>
      <c r="G20" s="71">
        <f>Submetering!P20</f>
        <v>404</v>
      </c>
      <c r="H20" s="74">
        <v>6.47</v>
      </c>
      <c r="I20" s="71">
        <f>Submetering!T20-Submetering!T20*15%-Submetering!X20</f>
        <v>26826.606800004367</v>
      </c>
      <c r="J20" s="70">
        <v>0.21</v>
      </c>
      <c r="K20" s="71">
        <f>Submetering!N20-Submetering!O20</f>
        <v>52.339000000010856</v>
      </c>
      <c r="L20" s="74">
        <v>7.84</v>
      </c>
      <c r="M20" s="71">
        <f>Submetering!Y20</f>
        <v>40</v>
      </c>
      <c r="N20" s="104">
        <f>Submetering!Z20</f>
        <v>58</v>
      </c>
    </row>
    <row r="21" spans="1:14" x14ac:dyDescent="0.25">
      <c r="A21" s="114" t="s">
        <v>80</v>
      </c>
      <c r="B21" s="72">
        <f t="shared" si="0"/>
        <v>20</v>
      </c>
      <c r="C21" s="73">
        <v>4</v>
      </c>
      <c r="D21" s="72">
        <v>2021</v>
      </c>
      <c r="E21" s="71">
        <f>Submetering!E21+Submetering!F21+Submetering!G21+Submetering!H21+Submetering!I21+Submetering!J21+Submetering!K21</f>
        <v>30181</v>
      </c>
      <c r="F21" s="74">
        <v>0.2</v>
      </c>
      <c r="G21" s="71">
        <f>Submetering!P21</f>
        <v>416</v>
      </c>
      <c r="H21" s="74">
        <v>6.47</v>
      </c>
      <c r="I21" s="71">
        <f>Submetering!T21-Submetering!T21*15%-Submetering!X21</f>
        <v>30709.116399994178</v>
      </c>
      <c r="J21" s="70">
        <v>0.21</v>
      </c>
      <c r="K21" s="71">
        <f>Submetering!N21-Submetering!O21</f>
        <v>67.386999999996078</v>
      </c>
      <c r="L21" s="74">
        <v>7.84</v>
      </c>
      <c r="M21" s="71">
        <f>Submetering!Y21</f>
        <v>35</v>
      </c>
      <c r="N21" s="104">
        <f>Submetering!Z21</f>
        <v>48</v>
      </c>
    </row>
    <row r="22" spans="1:14" x14ac:dyDescent="0.25">
      <c r="A22" s="114" t="s">
        <v>80</v>
      </c>
      <c r="B22" s="72">
        <f t="shared" si="0"/>
        <v>21</v>
      </c>
      <c r="C22" s="73">
        <v>4</v>
      </c>
      <c r="D22" s="72">
        <v>2021</v>
      </c>
      <c r="E22" s="71">
        <f>Submetering!E22+Submetering!F22+Submetering!G22+Submetering!H22+Submetering!I22+Submetering!J22+Submetering!K22</f>
        <v>28782</v>
      </c>
      <c r="F22" s="74">
        <v>0.2</v>
      </c>
      <c r="G22" s="71">
        <f>Submetering!P22</f>
        <v>457</v>
      </c>
      <c r="H22" s="74">
        <v>6.47</v>
      </c>
      <c r="I22" s="71">
        <f>Submetering!T22-Submetering!T22*15%-Submetering!X22</f>
        <v>30372.34940000582</v>
      </c>
      <c r="J22" s="70">
        <v>0.21</v>
      </c>
      <c r="K22" s="71">
        <f>Submetering!N22-Submetering!O22</f>
        <v>55.216999999989639</v>
      </c>
      <c r="L22" s="74">
        <v>7.84</v>
      </c>
      <c r="M22" s="71">
        <f>Submetering!Y22</f>
        <v>30</v>
      </c>
      <c r="N22" s="104">
        <f>Submetering!Z22</f>
        <v>43</v>
      </c>
    </row>
    <row r="23" spans="1:14" x14ac:dyDescent="0.25">
      <c r="A23" s="114" t="s">
        <v>80</v>
      </c>
      <c r="B23" s="72">
        <f t="shared" si="0"/>
        <v>22</v>
      </c>
      <c r="C23" s="73">
        <v>4</v>
      </c>
      <c r="D23" s="72">
        <v>2021</v>
      </c>
      <c r="E23" s="71">
        <f>Submetering!E23+Submetering!F23+Submetering!G23+Submetering!H23+Submetering!I23+Submetering!J23+Submetering!K23</f>
        <v>27868</v>
      </c>
      <c r="F23" s="74">
        <v>0.2</v>
      </c>
      <c r="G23" s="71">
        <f>Submetering!P23</f>
        <v>476</v>
      </c>
      <c r="H23" s="74">
        <v>6.47</v>
      </c>
      <c r="I23" s="71">
        <f>Submetering!T23-Submetering!T23*15%-Submetering!X23</f>
        <v>28965.858799994181</v>
      </c>
      <c r="J23" s="70">
        <v>0.21</v>
      </c>
      <c r="K23" s="71">
        <f>Submetering!N23-Submetering!O23</f>
        <v>60.439000000014858</v>
      </c>
      <c r="L23" s="74">
        <v>7.84</v>
      </c>
      <c r="M23" s="71">
        <f>Submetering!Y23</f>
        <v>37</v>
      </c>
      <c r="N23" s="104">
        <f>Submetering!Z23</f>
        <v>63</v>
      </c>
    </row>
    <row r="24" spans="1:14" x14ac:dyDescent="0.25">
      <c r="A24" s="114" t="s">
        <v>80</v>
      </c>
      <c r="B24" s="72">
        <f t="shared" si="0"/>
        <v>23</v>
      </c>
      <c r="C24" s="73">
        <v>4</v>
      </c>
      <c r="D24" s="72">
        <v>2021</v>
      </c>
      <c r="E24" s="71">
        <f>Submetering!E24+Submetering!F24+Submetering!G24+Submetering!H24+Submetering!I24+Submetering!J24+Submetering!K24</f>
        <v>28227</v>
      </c>
      <c r="F24" s="74">
        <v>0.2</v>
      </c>
      <c r="G24" s="71">
        <f>Submetering!P24</f>
        <v>438</v>
      </c>
      <c r="H24" s="74">
        <v>6.47</v>
      </c>
      <c r="I24" s="71">
        <f>Submetering!T24-Submetering!T24*15%-Submetering!X24</f>
        <v>29007.463000005824</v>
      </c>
      <c r="J24" s="70">
        <v>0.21</v>
      </c>
      <c r="K24" s="71">
        <f>Submetering!N24-Submetering!O24</f>
        <v>47.808999999992011</v>
      </c>
      <c r="L24" s="74">
        <v>7.84</v>
      </c>
      <c r="M24" s="71">
        <f>Submetering!Y24</f>
        <v>38</v>
      </c>
      <c r="N24" s="104">
        <f>Submetering!Z24</f>
        <v>66</v>
      </c>
    </row>
    <row r="25" spans="1:14" x14ac:dyDescent="0.25">
      <c r="A25" s="114" t="s">
        <v>80</v>
      </c>
      <c r="B25" s="72">
        <f t="shared" si="0"/>
        <v>24</v>
      </c>
      <c r="C25" s="73">
        <v>4</v>
      </c>
      <c r="D25" s="72">
        <v>2021</v>
      </c>
      <c r="E25" s="71">
        <f>Submetering!E25+Submetering!F25+Submetering!G25+Submetering!H25+Submetering!I25+Submetering!J25+Submetering!K25</f>
        <v>28548</v>
      </c>
      <c r="F25" s="74">
        <v>0.2</v>
      </c>
      <c r="G25" s="71">
        <f>Submetering!P25</f>
        <v>417</v>
      </c>
      <c r="H25" s="74">
        <v>6.47</v>
      </c>
      <c r="I25" s="71">
        <f>Submetering!T25-Submetering!T25*15%-Submetering!X25</f>
        <v>31760.240799998544</v>
      </c>
      <c r="J25" s="70">
        <v>0.21</v>
      </c>
      <c r="K25" s="71">
        <f>Submetering!N25-Submetering!O25</f>
        <v>60.255000000011933</v>
      </c>
      <c r="L25" s="74">
        <v>7.84</v>
      </c>
      <c r="M25" s="71">
        <f>Submetering!Y25</f>
        <v>33</v>
      </c>
      <c r="N25" s="104">
        <f>Submetering!Z25</f>
        <v>51</v>
      </c>
    </row>
    <row r="26" spans="1:14" x14ac:dyDescent="0.25">
      <c r="A26" s="114" t="s">
        <v>80</v>
      </c>
      <c r="B26" s="72">
        <f>B25+1</f>
        <v>25</v>
      </c>
      <c r="C26" s="73">
        <v>4</v>
      </c>
      <c r="D26" s="72">
        <v>2021</v>
      </c>
      <c r="E26" s="71">
        <f>Submetering!E26+Submetering!F26+Submetering!G26+Submetering!H26+Submetering!I26+Submetering!J26+Submetering!K26</f>
        <v>28371</v>
      </c>
      <c r="F26" s="74">
        <v>0.2</v>
      </c>
      <c r="G26" s="71">
        <f>Submetering!P26</f>
        <v>386</v>
      </c>
      <c r="H26" s="74">
        <v>6.47</v>
      </c>
      <c r="I26" s="71">
        <f>Submetering!T26-Submetering!T26*15%-Submetering!X26</f>
        <v>32309.43459999709</v>
      </c>
      <c r="J26" s="70">
        <v>0.21</v>
      </c>
      <c r="K26" s="71">
        <f>Submetering!N26-Submetering!O26</f>
        <v>64.555999999985033</v>
      </c>
      <c r="L26" s="74">
        <v>7.84</v>
      </c>
      <c r="M26" s="71">
        <f>Submetering!Y26</f>
        <v>39</v>
      </c>
      <c r="N26" s="104">
        <f>Submetering!Z26</f>
        <v>57</v>
      </c>
    </row>
    <row r="27" spans="1:14" x14ac:dyDescent="0.25">
      <c r="A27" s="114" t="s">
        <v>80</v>
      </c>
      <c r="B27" s="72">
        <f t="shared" si="0"/>
        <v>26</v>
      </c>
      <c r="C27" s="73">
        <v>4</v>
      </c>
      <c r="D27" s="72">
        <v>2021</v>
      </c>
      <c r="E27" s="71">
        <f>Submetering!E27+Submetering!F27+Submetering!G27+Submetering!H27+Submetering!I27+Submetering!J27+Submetering!K27</f>
        <v>28013</v>
      </c>
      <c r="F27" s="74">
        <v>0.2</v>
      </c>
      <c r="G27" s="71">
        <f>Submetering!P27</f>
        <v>392</v>
      </c>
      <c r="H27" s="74">
        <v>6.47</v>
      </c>
      <c r="I27" s="71">
        <f>Submetering!T27-Submetering!T27*15%-Submetering!X27</f>
        <v>31299.719199998544</v>
      </c>
      <c r="J27" s="70">
        <v>0.21</v>
      </c>
      <c r="K27" s="71">
        <f>Submetering!N27-Submetering!O27</f>
        <v>43.952000000012958</v>
      </c>
      <c r="L27" s="74">
        <v>7.84</v>
      </c>
      <c r="M27" s="71">
        <f>Submetering!Y27</f>
        <v>37</v>
      </c>
      <c r="N27" s="104">
        <f>Submetering!Z27</f>
        <v>53</v>
      </c>
    </row>
    <row r="28" spans="1:14" x14ac:dyDescent="0.25">
      <c r="A28" s="114" t="s">
        <v>80</v>
      </c>
      <c r="B28" s="72">
        <f t="shared" si="0"/>
        <v>27</v>
      </c>
      <c r="C28" s="73">
        <v>4</v>
      </c>
      <c r="D28" s="72">
        <v>2021</v>
      </c>
      <c r="E28" s="71">
        <f>Submetering!E28+Submetering!F28+Submetering!G28+Submetering!H28+Submetering!I28+Submetering!J28+Submetering!K28</f>
        <v>28711</v>
      </c>
      <c r="F28" s="74">
        <v>0.2</v>
      </c>
      <c r="G28" s="71">
        <f>Submetering!P28</f>
        <v>432</v>
      </c>
      <c r="H28" s="74">
        <v>6.47</v>
      </c>
      <c r="I28" s="71">
        <f>Submetering!T28-Submetering!T28*15%-Submetering!X28</f>
        <v>34873.458200005829</v>
      </c>
      <c r="J28" s="70">
        <v>0.21</v>
      </c>
      <c r="K28" s="71">
        <f>Submetering!N28-Submetering!O28</f>
        <v>69.235999999985324</v>
      </c>
      <c r="L28" s="74">
        <v>7.84</v>
      </c>
      <c r="M28" s="71">
        <f>Submetering!Y28</f>
        <v>45</v>
      </c>
      <c r="N28" s="104">
        <f>Submetering!Z28</f>
        <v>67</v>
      </c>
    </row>
    <row r="29" spans="1:14" x14ac:dyDescent="0.25">
      <c r="A29" s="114" t="s">
        <v>80</v>
      </c>
      <c r="B29" s="72">
        <f t="shared" si="0"/>
        <v>28</v>
      </c>
      <c r="C29" s="73">
        <v>4</v>
      </c>
      <c r="D29" s="72">
        <v>2021</v>
      </c>
      <c r="E29" s="71">
        <f>Submetering!E29+Submetering!F29+Submetering!G29+Submetering!H29+Submetering!I29+Submetering!J29+Submetering!K29</f>
        <v>26803</v>
      </c>
      <c r="F29" s="74">
        <v>0.2</v>
      </c>
      <c r="G29" s="71">
        <f>Submetering!P29</f>
        <v>494</v>
      </c>
      <c r="H29" s="74">
        <v>6.47</v>
      </c>
      <c r="I29" s="71">
        <f>Submetering!T29-Submetering!T29*15%-Submetering!X29</f>
        <v>30480.536719999101</v>
      </c>
      <c r="J29" s="70">
        <v>0.21</v>
      </c>
      <c r="K29" s="71">
        <f>Submetering!N29-Submetering!O29</f>
        <v>44.138000000014472</v>
      </c>
      <c r="L29" s="74">
        <v>7.84</v>
      </c>
      <c r="M29" s="71">
        <f>Submetering!Y29</f>
        <v>40</v>
      </c>
      <c r="N29" s="104">
        <f>Submetering!Z29</f>
        <v>61</v>
      </c>
    </row>
    <row r="30" spans="1:14" x14ac:dyDescent="0.25">
      <c r="A30" s="114" t="s">
        <v>80</v>
      </c>
      <c r="B30" s="72">
        <f t="shared" si="0"/>
        <v>29</v>
      </c>
      <c r="C30" s="73">
        <v>4</v>
      </c>
      <c r="D30" s="72">
        <v>2021</v>
      </c>
      <c r="E30" s="71">
        <f>Submetering!E30+Submetering!F30+Submetering!G30+Submetering!H30+Submetering!I30+Submetering!J30+Submetering!K30</f>
        <v>27108</v>
      </c>
      <c r="F30" s="74">
        <v>0.2</v>
      </c>
      <c r="G30" s="71">
        <f>Submetering!P30</f>
        <v>500</v>
      </c>
      <c r="H30" s="74">
        <v>6.47</v>
      </c>
      <c r="I30" s="71">
        <f>Submetering!T30-Submetering!T30*15%-Submetering!X30</f>
        <v>31741.217419999171</v>
      </c>
      <c r="J30" s="70">
        <v>0.21</v>
      </c>
      <c r="K30" s="71">
        <f>Submetering!N30-Submetering!O30</f>
        <v>63.738999999992302</v>
      </c>
      <c r="L30" s="74">
        <v>7.84</v>
      </c>
      <c r="M30" s="71">
        <f>Submetering!Y30</f>
        <v>35</v>
      </c>
      <c r="N30" s="104">
        <f>Submetering!Z30</f>
        <v>61</v>
      </c>
    </row>
    <row r="31" spans="1:14" ht="15.75" thickBot="1" x14ac:dyDescent="0.3">
      <c r="A31" s="115" t="s">
        <v>80</v>
      </c>
      <c r="B31" s="116">
        <f t="shared" si="0"/>
        <v>30</v>
      </c>
      <c r="C31" s="117">
        <v>4</v>
      </c>
      <c r="D31" s="116">
        <v>2021</v>
      </c>
      <c r="E31" s="108">
        <f>Submetering!E31+Submetering!F31+Submetering!G31+Submetering!H31+Submetering!I31+Submetering!J31+Submetering!K31</f>
        <v>28642</v>
      </c>
      <c r="F31" s="118">
        <v>0.2</v>
      </c>
      <c r="G31" s="108">
        <f>Submetering!P31</f>
        <v>578</v>
      </c>
      <c r="H31" s="118">
        <v>6.47</v>
      </c>
      <c r="I31" s="108">
        <f>Submetering!T31-Submetering!T31*15%-Submetering!X31</f>
        <v>35808.56225999882</v>
      </c>
      <c r="J31" s="107">
        <v>0.21</v>
      </c>
      <c r="K31" s="108">
        <f>Submetering!N31-Submetering!O31</f>
        <v>57.449000000009619</v>
      </c>
      <c r="L31" s="118">
        <v>7.84</v>
      </c>
      <c r="M31" s="108">
        <f>Submetering!Y31</f>
        <v>48</v>
      </c>
      <c r="N31" s="109">
        <f>Submetering!Z31</f>
        <v>84</v>
      </c>
    </row>
    <row r="32" spans="1:14" x14ac:dyDescent="0.25">
      <c r="E32" s="4">
        <f>SUM(E2:E31)</f>
        <v>862286</v>
      </c>
      <c r="G32" s="4">
        <f>SUM(G2:G31)</f>
        <v>14980</v>
      </c>
      <c r="I32" s="4">
        <f>SUM(I2:I31)</f>
        <v>898113.37239999999</v>
      </c>
      <c r="K32" s="4">
        <f>SUM(K2:K31)</f>
        <v>2043.454000000022</v>
      </c>
      <c r="M32" s="4">
        <f>SUM(M2:M31)</f>
        <v>2152</v>
      </c>
      <c r="N32" s="4">
        <f>SUM(N2:N31)</f>
        <v>3644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U32" sqref="U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4</v>
      </c>
      <c r="D2" s="99">
        <v>2021</v>
      </c>
      <c r="E2" s="101">
        <f>'FS-AD Daily '!B6</f>
        <v>4879</v>
      </c>
      <c r="F2" s="101">
        <f>'FS-AD Daily '!C6</f>
        <v>2165</v>
      </c>
      <c r="G2" s="101">
        <f>'FS-AD Daily '!D6</f>
        <v>921</v>
      </c>
      <c r="H2" s="101">
        <f>'FS-AD Daily '!E6</f>
        <v>5410</v>
      </c>
      <c r="I2" s="101">
        <f>'FS-AD Daily '!F6</f>
        <v>5842</v>
      </c>
      <c r="J2" s="101">
        <f>'FS-AD Daily '!G6</f>
        <v>3017</v>
      </c>
      <c r="K2" s="101">
        <f>'FS-AD Daily '!H6</f>
        <v>5414</v>
      </c>
      <c r="L2" s="101">
        <f>'FS-AD Daily '!I6</f>
        <v>2393</v>
      </c>
      <c r="M2" s="101">
        <f>'FS-AD Daily '!J6</f>
        <v>7465</v>
      </c>
      <c r="N2" s="101">
        <f>'FS-AD Daily '!T6</f>
        <v>166.13000000000102</v>
      </c>
      <c r="O2" s="101">
        <f>'FS-AD Daily '!R6</f>
        <v>84.71000000000322</v>
      </c>
      <c r="P2" s="101">
        <f>'FS-AD Daily '!Z6</f>
        <v>609</v>
      </c>
      <c r="Q2" s="101">
        <f>'FS-AD Daily '!V6</f>
        <v>265.59999999997672</v>
      </c>
      <c r="R2" s="101">
        <f>'FS-AD Daily '!W6</f>
        <v>0</v>
      </c>
      <c r="S2" s="101">
        <f>P2-Q2-R2</f>
        <v>343.40000000002328</v>
      </c>
      <c r="T2" s="101">
        <f>'FS-AD Daily '!AD6*3.516</f>
        <v>55385.086799999342</v>
      </c>
      <c r="U2" s="101">
        <f>('FS-AD Daily '!AF6)*1000</f>
        <v>24199.99999999709</v>
      </c>
      <c r="V2" s="101">
        <f>('FS-AD Daily '!AG6)*1000</f>
        <v>14899.999999994179</v>
      </c>
      <c r="W2" s="101">
        <f>'FS-AD Daily '!AH6*1000</f>
        <v>9700.0000000007276</v>
      </c>
      <c r="X2" s="101">
        <f>('FS-AD Daily '!AK6)*1000</f>
        <v>23400.000000001455</v>
      </c>
      <c r="Y2" s="101">
        <v>132</v>
      </c>
      <c r="Z2" s="102">
        <v>245</v>
      </c>
    </row>
    <row r="3" spans="1:26" x14ac:dyDescent="0.25">
      <c r="A3" s="103" t="s">
        <v>80</v>
      </c>
      <c r="B3" s="69">
        <f>B2+1</f>
        <v>2</v>
      </c>
      <c r="C3" s="70">
        <v>4</v>
      </c>
      <c r="D3" s="69">
        <v>2021</v>
      </c>
      <c r="E3" s="71">
        <f>'FS-AD Daily '!B7</f>
        <v>4885</v>
      </c>
      <c r="F3" s="71">
        <f>'FS-AD Daily '!C7</f>
        <v>2359</v>
      </c>
      <c r="G3" s="71">
        <f>'FS-AD Daily '!D7</f>
        <v>950</v>
      </c>
      <c r="H3" s="71">
        <f>'FS-AD Daily '!E7</f>
        <v>5398</v>
      </c>
      <c r="I3" s="71">
        <f>'FS-AD Daily '!F7</f>
        <v>6045</v>
      </c>
      <c r="J3" s="71">
        <f>'FS-AD Daily '!G7</f>
        <v>3096</v>
      </c>
      <c r="K3" s="71">
        <f>'FS-AD Daily '!H7</f>
        <v>5463</v>
      </c>
      <c r="L3" s="71">
        <f>'FS-AD Daily '!I7</f>
        <v>2473</v>
      </c>
      <c r="M3" s="71">
        <f>'FS-AD Daily '!J7</f>
        <v>7592</v>
      </c>
      <c r="N3" s="71">
        <f>'FS-AD Daily '!T7</f>
        <v>149.08100000000923</v>
      </c>
      <c r="O3" s="71">
        <f>'FS-AD Daily '!R7</f>
        <v>75.861999999986892</v>
      </c>
      <c r="P3" s="71">
        <f>'FS-AD Daily '!Z7</f>
        <v>628</v>
      </c>
      <c r="Q3" s="71">
        <f>'FS-AD Daily '!V7</f>
        <v>251.5</v>
      </c>
      <c r="R3" s="71">
        <f>'FS-AD Daily '!W7</f>
        <v>0</v>
      </c>
      <c r="S3" s="71">
        <f t="shared" ref="S3:S31" si="0">P3-Q3-R3</f>
        <v>376.5</v>
      </c>
      <c r="T3" s="71">
        <f>'FS-AD Daily '!AD7*3.516</f>
        <v>60523.369200000656</v>
      </c>
      <c r="U3" s="71">
        <f>('FS-AD Daily '!AF7)*1000</f>
        <v>27199.99999999709</v>
      </c>
      <c r="V3" s="71">
        <f>('FS-AD Daily '!AG7)*1000</f>
        <v>14700.000000004366</v>
      </c>
      <c r="W3" s="71">
        <f>'FS-AD Daily '!AH7*1000</f>
        <v>10399.999999997817</v>
      </c>
      <c r="X3" s="71">
        <f>('FS-AD Daily '!AK7)*1000</f>
        <v>24199.99999999709</v>
      </c>
      <c r="Y3" s="71">
        <v>146</v>
      </c>
      <c r="Z3" s="104">
        <v>280</v>
      </c>
    </row>
    <row r="4" spans="1:26" x14ac:dyDescent="0.25">
      <c r="A4" s="103" t="s">
        <v>80</v>
      </c>
      <c r="B4" s="69">
        <f t="shared" ref="B4:B31" si="1">B3+1</f>
        <v>3</v>
      </c>
      <c r="C4" s="70">
        <v>4</v>
      </c>
      <c r="D4" s="69">
        <v>2021</v>
      </c>
      <c r="E4" s="71">
        <f>'FS-AD Daily '!B8</f>
        <v>4782</v>
      </c>
      <c r="F4" s="71">
        <f>'FS-AD Daily '!C8</f>
        <v>3011</v>
      </c>
      <c r="G4" s="71">
        <f>'FS-AD Daily '!D8</f>
        <v>893</v>
      </c>
      <c r="H4" s="71">
        <f>'FS-AD Daily '!E8</f>
        <v>5279</v>
      </c>
      <c r="I4" s="71">
        <f>'FS-AD Daily '!F8</f>
        <v>5659</v>
      </c>
      <c r="J4" s="71">
        <f>'FS-AD Daily '!G8</f>
        <v>2955</v>
      </c>
      <c r="K4" s="71">
        <f>'FS-AD Daily '!H8</f>
        <v>4464</v>
      </c>
      <c r="L4" s="71">
        <f>'FS-AD Daily '!I8</f>
        <v>2412</v>
      </c>
      <c r="M4" s="71">
        <f>'FS-AD Daily '!J8</f>
        <v>7256</v>
      </c>
      <c r="N4" s="71">
        <f>'FS-AD Daily '!T8</f>
        <v>171.64400000000387</v>
      </c>
      <c r="O4" s="71">
        <f>'FS-AD Daily '!R8</f>
        <v>81.323000000011689</v>
      </c>
      <c r="P4" s="71">
        <f>'FS-AD Daily '!Z8</f>
        <v>595</v>
      </c>
      <c r="Q4" s="71">
        <f>'FS-AD Daily '!V8</f>
        <v>261.29999999998836</v>
      </c>
      <c r="R4" s="71">
        <f>'FS-AD Daily '!W8</f>
        <v>0</v>
      </c>
      <c r="S4" s="71">
        <f t="shared" si="0"/>
        <v>333.70000000001164</v>
      </c>
      <c r="T4" s="71">
        <f>'FS-AD Daily '!AD8*3.516</f>
        <v>61298.295600000325</v>
      </c>
      <c r="U4" s="71">
        <f>('FS-AD Daily '!AF8)*1000</f>
        <v>27699.99999999709</v>
      </c>
      <c r="V4" s="71">
        <f>('FS-AD Daily '!AG8)*1000</f>
        <v>14199.99999999709</v>
      </c>
      <c r="W4" s="71">
        <f>'FS-AD Daily '!AH8*1000</f>
        <v>10799.999999999272</v>
      </c>
      <c r="X4" s="71">
        <f>('FS-AD Daily '!AK8)*1000</f>
        <v>25500</v>
      </c>
      <c r="Y4" s="71">
        <v>110</v>
      </c>
      <c r="Z4" s="104">
        <v>202</v>
      </c>
    </row>
    <row r="5" spans="1:26" x14ac:dyDescent="0.25">
      <c r="A5" s="103" t="s">
        <v>80</v>
      </c>
      <c r="B5" s="69">
        <f t="shared" si="1"/>
        <v>4</v>
      </c>
      <c r="C5" s="70">
        <v>4</v>
      </c>
      <c r="D5" s="69">
        <v>2021</v>
      </c>
      <c r="E5" s="71">
        <f>'FS-AD Daily '!B9</f>
        <v>5349</v>
      </c>
      <c r="F5" s="71">
        <f>'FS-AD Daily '!C9</f>
        <v>2636</v>
      </c>
      <c r="G5" s="71">
        <f>'FS-AD Daily '!D9</f>
        <v>935</v>
      </c>
      <c r="H5" s="71">
        <f>'FS-AD Daily '!E9</f>
        <v>5341</v>
      </c>
      <c r="I5" s="71">
        <f>'FS-AD Daily '!F9</f>
        <v>5913</v>
      </c>
      <c r="J5" s="71">
        <f>'FS-AD Daily '!G9</f>
        <v>3363</v>
      </c>
      <c r="K5" s="71">
        <f>'FS-AD Daily '!H9</f>
        <v>6728</v>
      </c>
      <c r="L5" s="71">
        <f>'FS-AD Daily '!I9</f>
        <v>2436</v>
      </c>
      <c r="M5" s="71">
        <f>'FS-AD Daily '!J9</f>
        <v>7210</v>
      </c>
      <c r="N5" s="71">
        <f>'FS-AD Daily '!T9</f>
        <v>150.76699999999255</v>
      </c>
      <c r="O5" s="71">
        <f>'FS-AD Daily '!R9</f>
        <v>70.764999999988959</v>
      </c>
      <c r="P5" s="71">
        <f>'FS-AD Daily '!Z9</f>
        <v>580</v>
      </c>
      <c r="Q5" s="71">
        <f>'FS-AD Daily '!V9</f>
        <v>246.5</v>
      </c>
      <c r="R5" s="71">
        <f>'FS-AD Daily '!W9</f>
        <v>0</v>
      </c>
      <c r="S5" s="71">
        <f t="shared" si="0"/>
        <v>333.5</v>
      </c>
      <c r="T5" s="71">
        <f>'FS-AD Daily '!AD9*3.516</f>
        <v>62328.131999999998</v>
      </c>
      <c r="U5" s="71">
        <f>('FS-AD Daily '!AF9)*1000</f>
        <v>28600.000000005821</v>
      </c>
      <c r="V5" s="71">
        <f>('FS-AD Daily '!AG9)*1000</f>
        <v>16599.999999998545</v>
      </c>
      <c r="W5" s="71">
        <f>'FS-AD Daily '!AH9*1000</f>
        <v>10000</v>
      </c>
      <c r="X5" s="71">
        <f>('FS-AD Daily '!AK9)*1000</f>
        <v>24400.000000001455</v>
      </c>
      <c r="Y5" s="71">
        <v>138</v>
      </c>
      <c r="Z5" s="104">
        <v>268</v>
      </c>
    </row>
    <row r="6" spans="1:26" x14ac:dyDescent="0.25">
      <c r="A6" s="103" t="s">
        <v>80</v>
      </c>
      <c r="B6" s="69">
        <f t="shared" si="1"/>
        <v>5</v>
      </c>
      <c r="C6" s="70">
        <v>4</v>
      </c>
      <c r="D6" s="69">
        <v>2021</v>
      </c>
      <c r="E6" s="71">
        <f>'FS-AD Daily '!B10</f>
        <v>7002</v>
      </c>
      <c r="F6" s="71">
        <f>'FS-AD Daily '!C10</f>
        <v>2603</v>
      </c>
      <c r="G6" s="71">
        <f>'FS-AD Daily '!D10</f>
        <v>941</v>
      </c>
      <c r="H6" s="71">
        <f>'FS-AD Daily '!E10</f>
        <v>5262</v>
      </c>
      <c r="I6" s="71">
        <f>'FS-AD Daily '!F10</f>
        <v>6220</v>
      </c>
      <c r="J6" s="71">
        <f>'FS-AD Daily '!G10</f>
        <v>2831</v>
      </c>
      <c r="K6" s="71">
        <f>'FS-AD Daily '!H10</f>
        <v>5458</v>
      </c>
      <c r="L6" s="71">
        <f>'FS-AD Daily '!I10</f>
        <v>2257</v>
      </c>
      <c r="M6" s="71">
        <f>'FS-AD Daily '!J10</f>
        <v>7235</v>
      </c>
      <c r="N6" s="71">
        <f>'FS-AD Daily '!T10</f>
        <v>158.94199999999546</v>
      </c>
      <c r="O6" s="71">
        <f>'FS-AD Daily '!R10</f>
        <v>70.535000000005311</v>
      </c>
      <c r="P6" s="71">
        <f>'FS-AD Daily '!Z10</f>
        <v>580</v>
      </c>
      <c r="Q6" s="71">
        <f>'FS-AD Daily '!V10</f>
        <v>256.30000000004657</v>
      </c>
      <c r="R6" s="71">
        <f>'FS-AD Daily '!W10</f>
        <v>0</v>
      </c>
      <c r="S6" s="71">
        <f t="shared" si="0"/>
        <v>323.69999999995343</v>
      </c>
      <c r="T6" s="71">
        <f>'FS-AD Daily '!AD10*3.516</f>
        <v>54659.384399999675</v>
      </c>
      <c r="U6" s="71">
        <f>('FS-AD Daily '!AF10)*1000</f>
        <v>25199.99999999709</v>
      </c>
      <c r="V6" s="71">
        <f>('FS-AD Daily '!AG10)*1000</f>
        <v>14100.000000005821</v>
      </c>
      <c r="W6" s="71">
        <f>'FS-AD Daily '!AH10*1000</f>
        <v>8600.0000000021828</v>
      </c>
      <c r="X6" s="71">
        <f>('FS-AD Daily '!AK10)*1000</f>
        <v>23000</v>
      </c>
      <c r="Y6" s="71">
        <v>146</v>
      </c>
      <c r="Z6" s="104">
        <v>274</v>
      </c>
    </row>
    <row r="7" spans="1:26" x14ac:dyDescent="0.25">
      <c r="A7" s="103" t="s">
        <v>80</v>
      </c>
      <c r="B7" s="69">
        <f t="shared" si="1"/>
        <v>6</v>
      </c>
      <c r="C7" s="70">
        <v>4</v>
      </c>
      <c r="D7" s="69">
        <v>2021</v>
      </c>
      <c r="E7" s="71">
        <f>'FS-AD Daily '!B11</f>
        <v>7136</v>
      </c>
      <c r="F7" s="71">
        <f>'FS-AD Daily '!C11</f>
        <v>2843</v>
      </c>
      <c r="G7" s="71">
        <f>'FS-AD Daily '!D11</f>
        <v>779</v>
      </c>
      <c r="H7" s="71">
        <f>'FS-AD Daily '!E11</f>
        <v>5316</v>
      </c>
      <c r="I7" s="71">
        <f>'FS-AD Daily '!F11</f>
        <v>5434</v>
      </c>
      <c r="J7" s="71">
        <f>'FS-AD Daily '!G11</f>
        <v>3125</v>
      </c>
      <c r="K7" s="71">
        <f>'FS-AD Daily '!H11</f>
        <v>5374</v>
      </c>
      <c r="L7" s="71">
        <f>'FS-AD Daily '!I11</f>
        <v>2383</v>
      </c>
      <c r="M7" s="71">
        <f>'FS-AD Daily '!J11</f>
        <v>6651</v>
      </c>
      <c r="N7" s="71">
        <f>'FS-AD Daily '!T11</f>
        <v>175.2470000000103</v>
      </c>
      <c r="O7" s="71">
        <f>'FS-AD Daily '!R11</f>
        <v>77.435999999994237</v>
      </c>
      <c r="P7" s="71">
        <f>'FS-AD Daily '!Z11</f>
        <v>579</v>
      </c>
      <c r="Q7" s="71">
        <f>'FS-AD Daily '!V11</f>
        <v>258.39999999996508</v>
      </c>
      <c r="R7" s="71">
        <f>'FS-AD Daily '!W11</f>
        <v>0</v>
      </c>
      <c r="S7" s="71">
        <f t="shared" si="0"/>
        <v>320.60000000003492</v>
      </c>
      <c r="T7" s="71">
        <f>'FS-AD Daily '!AD11*3.516</f>
        <v>56732.769600000327</v>
      </c>
      <c r="U7" s="71">
        <f>('FS-AD Daily '!AF11)*1000</f>
        <v>26400.000000008731</v>
      </c>
      <c r="V7" s="71">
        <f>('FS-AD Daily '!AG11)*1000</f>
        <v>13699.99999999709</v>
      </c>
      <c r="W7" s="71">
        <f>'FS-AD Daily '!AH11*1000</f>
        <v>8500</v>
      </c>
      <c r="X7" s="71">
        <f>('FS-AD Daily '!AK11)*1000</f>
        <v>23800.00000000291</v>
      </c>
      <c r="Y7" s="71">
        <v>152</v>
      </c>
      <c r="Z7" s="104">
        <v>270</v>
      </c>
    </row>
    <row r="8" spans="1:26" x14ac:dyDescent="0.25">
      <c r="A8" s="103" t="s">
        <v>80</v>
      </c>
      <c r="B8" s="69">
        <f t="shared" si="1"/>
        <v>7</v>
      </c>
      <c r="C8" s="70">
        <v>4</v>
      </c>
      <c r="D8" s="69">
        <v>2021</v>
      </c>
      <c r="E8" s="71">
        <f>'FS-AD Daily '!B12</f>
        <v>5411</v>
      </c>
      <c r="F8" s="71">
        <f>'FS-AD Daily '!C12</f>
        <v>2767</v>
      </c>
      <c r="G8" s="71">
        <f>'FS-AD Daily '!D12</f>
        <v>918</v>
      </c>
      <c r="H8" s="71">
        <f>'FS-AD Daily '!E12</f>
        <v>5481</v>
      </c>
      <c r="I8" s="71">
        <f>'FS-AD Daily '!F12</f>
        <v>5973</v>
      </c>
      <c r="J8" s="71">
        <f>'FS-AD Daily '!G12</f>
        <v>3195</v>
      </c>
      <c r="K8" s="71">
        <f>'FS-AD Daily '!H12</f>
        <v>7804</v>
      </c>
      <c r="L8" s="71">
        <f>'FS-AD Daily '!I12</f>
        <v>2421</v>
      </c>
      <c r="M8" s="71">
        <f>'FS-AD Daily '!J12</f>
        <v>7236</v>
      </c>
      <c r="N8" s="71">
        <f>'FS-AD Daily '!T12</f>
        <v>162.2589999999982</v>
      </c>
      <c r="O8" s="71">
        <f>'FS-AD Daily '!R12</f>
        <v>75.244000000012875</v>
      </c>
      <c r="P8" s="71">
        <f>'FS-AD Daily '!Z12</f>
        <v>578</v>
      </c>
      <c r="Q8" s="71">
        <f>'FS-AD Daily '!V12</f>
        <v>246.5</v>
      </c>
      <c r="R8" s="71">
        <f>'FS-AD Daily '!W12</f>
        <v>0</v>
      </c>
      <c r="S8" s="71">
        <f t="shared" si="0"/>
        <v>331.5</v>
      </c>
      <c r="T8" s="71">
        <f>'FS-AD Daily '!AD12*3.516</f>
        <v>65194.023600000328</v>
      </c>
      <c r="U8" s="71">
        <f>('FS-AD Daily '!AF12)*1000</f>
        <v>29699.99999999709</v>
      </c>
      <c r="V8" s="71">
        <f>('FS-AD Daily '!AG12)*1000</f>
        <v>17500</v>
      </c>
      <c r="W8" s="71">
        <f>'FS-AD Daily '!AH12*1000</f>
        <v>9299.9999999992724</v>
      </c>
      <c r="X8" s="71">
        <f>('FS-AD Daily '!AK12)*1000</f>
        <v>25299.999999995634</v>
      </c>
      <c r="Y8" s="71">
        <v>135</v>
      </c>
      <c r="Z8" s="104">
        <v>233</v>
      </c>
    </row>
    <row r="9" spans="1:26" x14ac:dyDescent="0.25">
      <c r="A9" s="103" t="s">
        <v>80</v>
      </c>
      <c r="B9" s="69">
        <f t="shared" si="1"/>
        <v>8</v>
      </c>
      <c r="C9" s="70">
        <v>4</v>
      </c>
      <c r="D9" s="69">
        <v>2021</v>
      </c>
      <c r="E9" s="71">
        <f>'FS-AD Daily '!B13</f>
        <v>4700</v>
      </c>
      <c r="F9" s="71">
        <f>'FS-AD Daily '!C13</f>
        <v>3173</v>
      </c>
      <c r="G9" s="71">
        <f>'FS-AD Daily '!D13</f>
        <v>900</v>
      </c>
      <c r="H9" s="71">
        <f>'FS-AD Daily '!E13</f>
        <v>5466</v>
      </c>
      <c r="I9" s="71">
        <f>'FS-AD Daily '!F13</f>
        <v>5872</v>
      </c>
      <c r="J9" s="71">
        <f>'FS-AD Daily '!G13</f>
        <v>3182</v>
      </c>
      <c r="K9" s="71">
        <f>'FS-AD Daily '!H13</f>
        <v>7662</v>
      </c>
      <c r="L9" s="71">
        <f>'FS-AD Daily '!I13</f>
        <v>2408</v>
      </c>
      <c r="M9" s="71">
        <f>'FS-AD Daily '!J13</f>
        <v>7216</v>
      </c>
      <c r="N9" s="71">
        <f>'FS-AD Daily '!T13</f>
        <v>172.50900000000547</v>
      </c>
      <c r="O9" s="71">
        <f>'FS-AD Daily '!R13</f>
        <v>74.520999999996548</v>
      </c>
      <c r="P9" s="71">
        <f>'FS-AD Daily '!Z13</f>
        <v>582</v>
      </c>
      <c r="Q9" s="71">
        <f>'FS-AD Daily '!V13</f>
        <v>258.29999999998836</v>
      </c>
      <c r="R9" s="71">
        <f>'FS-AD Daily '!W13</f>
        <v>0</v>
      </c>
      <c r="S9" s="71">
        <f t="shared" si="0"/>
        <v>323.70000000001164</v>
      </c>
      <c r="T9" s="71">
        <f>'FS-AD Daily '!AD13*3.516</f>
        <v>65616.646799999347</v>
      </c>
      <c r="U9" s="71">
        <f>('FS-AD Daily '!AF13)*1000</f>
        <v>29699.99999999709</v>
      </c>
      <c r="V9" s="71">
        <f>('FS-AD Daily '!AG13)*1000</f>
        <v>24900.000000001455</v>
      </c>
      <c r="W9" s="71">
        <f>'FS-AD Daily '!AH13*1000</f>
        <v>9500</v>
      </c>
      <c r="X9" s="71">
        <f>('FS-AD Daily '!AK13)*1000</f>
        <v>24900.000000001455</v>
      </c>
      <c r="Y9" s="71">
        <v>128</v>
      </c>
      <c r="Z9" s="104">
        <v>232</v>
      </c>
    </row>
    <row r="10" spans="1:26" x14ac:dyDescent="0.25">
      <c r="A10" s="103" t="s">
        <v>80</v>
      </c>
      <c r="B10" s="69">
        <f t="shared" si="1"/>
        <v>9</v>
      </c>
      <c r="C10" s="70">
        <v>4</v>
      </c>
      <c r="D10" s="69">
        <v>2021</v>
      </c>
      <c r="E10" s="71">
        <f>'FS-AD Daily '!B14</f>
        <v>5128</v>
      </c>
      <c r="F10" s="71">
        <f>'FS-AD Daily '!C14</f>
        <v>3065</v>
      </c>
      <c r="G10" s="71">
        <f>'FS-AD Daily '!D14</f>
        <v>1037</v>
      </c>
      <c r="H10" s="71">
        <f>'FS-AD Daily '!E14</f>
        <v>5515</v>
      </c>
      <c r="I10" s="71">
        <f>'FS-AD Daily '!F14</f>
        <v>6182</v>
      </c>
      <c r="J10" s="71">
        <f>'FS-AD Daily '!G14</f>
        <v>3156</v>
      </c>
      <c r="K10" s="71">
        <f>'FS-AD Daily '!H14</f>
        <v>7245</v>
      </c>
      <c r="L10" s="71">
        <f>'FS-AD Daily '!I14</f>
        <v>2387</v>
      </c>
      <c r="M10" s="71">
        <f>'FS-AD Daily '!J14</f>
        <v>7802</v>
      </c>
      <c r="N10" s="71">
        <f>'FS-AD Daily '!T14</f>
        <v>169.79399999998714</v>
      </c>
      <c r="O10" s="71">
        <f>'FS-AD Daily '!R14</f>
        <v>85.472999999998137</v>
      </c>
      <c r="P10" s="71">
        <f>'FS-AD Daily '!Z14</f>
        <v>625</v>
      </c>
      <c r="Q10" s="71">
        <f>'FS-AD Daily '!V14</f>
        <v>256</v>
      </c>
      <c r="R10" s="71">
        <f>'FS-AD Daily '!W14</f>
        <v>0</v>
      </c>
      <c r="S10" s="71">
        <f t="shared" si="0"/>
        <v>369</v>
      </c>
      <c r="T10" s="71">
        <f>'FS-AD Daily '!AD14*3.516</f>
        <v>67806.06</v>
      </c>
      <c r="U10" s="71">
        <f>('FS-AD Daily '!AF14)*1000</f>
        <v>30699.99999999709</v>
      </c>
      <c r="V10" s="71">
        <f>('FS-AD Daily '!AG14)*1000</f>
        <v>20800.00000000291</v>
      </c>
      <c r="W10" s="71">
        <f>'FS-AD Daily '!AH14*1000</f>
        <v>9700.0000000007276</v>
      </c>
      <c r="X10" s="71">
        <f>('FS-AD Daily '!AK14)*1000</f>
        <v>25599.999999998545</v>
      </c>
      <c r="Y10" s="71">
        <v>106</v>
      </c>
      <c r="Z10" s="104">
        <v>190</v>
      </c>
    </row>
    <row r="11" spans="1:26" x14ac:dyDescent="0.25">
      <c r="A11" s="103" t="s">
        <v>80</v>
      </c>
      <c r="B11" s="69">
        <f t="shared" si="1"/>
        <v>10</v>
      </c>
      <c r="C11" s="70">
        <v>4</v>
      </c>
      <c r="D11" s="69">
        <v>2021</v>
      </c>
      <c r="E11" s="71">
        <f>'FS-AD Daily '!B15</f>
        <v>5084</v>
      </c>
      <c r="F11" s="71">
        <f>'FS-AD Daily '!C15</f>
        <v>2923</v>
      </c>
      <c r="G11" s="71">
        <f>'FS-AD Daily '!D15</f>
        <v>1035</v>
      </c>
      <c r="H11" s="71">
        <f>'FS-AD Daily '!E15</f>
        <v>5421</v>
      </c>
      <c r="I11" s="71">
        <f>'FS-AD Daily '!F15</f>
        <v>5790</v>
      </c>
      <c r="J11" s="71">
        <f>'FS-AD Daily '!G15</f>
        <v>2999</v>
      </c>
      <c r="K11" s="71">
        <f>'FS-AD Daily '!H15</f>
        <v>5905</v>
      </c>
      <c r="L11" s="71">
        <f>'FS-AD Daily '!I15</f>
        <v>2383</v>
      </c>
      <c r="M11" s="71">
        <f>'FS-AD Daily '!J15</f>
        <v>8839</v>
      </c>
      <c r="N11" s="71">
        <f>'FS-AD Daily '!T15</f>
        <v>147.56200000000899</v>
      </c>
      <c r="O11" s="71">
        <f>'FS-AD Daily '!R15</f>
        <v>74.114000000000942</v>
      </c>
      <c r="P11" s="71">
        <f>'FS-AD Daily '!Z15</f>
        <v>561</v>
      </c>
      <c r="Q11" s="71">
        <f>'FS-AD Daily '!V15</f>
        <v>231.90000000002328</v>
      </c>
      <c r="R11" s="71">
        <f>'FS-AD Daily '!W15</f>
        <v>0</v>
      </c>
      <c r="S11" s="71">
        <f t="shared" si="0"/>
        <v>329.09999999997672</v>
      </c>
      <c r="T11" s="71">
        <f>'FS-AD Daily '!AD15*3.516</f>
        <v>65823.036000000007</v>
      </c>
      <c r="U11" s="71">
        <f>('FS-AD Daily '!AF15)*1000</f>
        <v>29400.000000008731</v>
      </c>
      <c r="V11" s="71">
        <f>('FS-AD Daily '!AG15)*1000</f>
        <v>18300.00000000291</v>
      </c>
      <c r="W11" s="71">
        <f>'FS-AD Daily '!AH15*1000</f>
        <v>10700.000000000728</v>
      </c>
      <c r="X11" s="71">
        <f>('FS-AD Daily '!AK15)*1000</f>
        <v>24800.00000000291</v>
      </c>
      <c r="Y11" s="71">
        <v>95</v>
      </c>
      <c r="Z11" s="104">
        <v>161</v>
      </c>
    </row>
    <row r="12" spans="1:26" x14ac:dyDescent="0.25">
      <c r="A12" s="103" t="s">
        <v>80</v>
      </c>
      <c r="B12" s="69">
        <f t="shared" si="1"/>
        <v>11</v>
      </c>
      <c r="C12" s="70">
        <v>4</v>
      </c>
      <c r="D12" s="69">
        <v>2021</v>
      </c>
      <c r="E12" s="71">
        <f>'FS-AD Daily '!B16</f>
        <v>4683</v>
      </c>
      <c r="F12" s="71">
        <f>'FS-AD Daily '!C16</f>
        <v>3163</v>
      </c>
      <c r="G12" s="71">
        <f>'FS-AD Daily '!D16</f>
        <v>790</v>
      </c>
      <c r="H12" s="71">
        <f>'FS-AD Daily '!E16</f>
        <v>5571</v>
      </c>
      <c r="I12" s="71">
        <f>'FS-AD Daily '!F16</f>
        <v>5842</v>
      </c>
      <c r="J12" s="71">
        <f>'FS-AD Daily '!G16</f>
        <v>2967</v>
      </c>
      <c r="K12" s="71">
        <f>'FS-AD Daily '!H16</f>
        <v>4282</v>
      </c>
      <c r="L12" s="71">
        <f>'FS-AD Daily '!I16</f>
        <v>2518</v>
      </c>
      <c r="M12" s="71">
        <f>'FS-AD Daily '!J16</f>
        <v>5863</v>
      </c>
      <c r="N12" s="71">
        <f>'FS-AD Daily '!T16</f>
        <v>147.28399999999965</v>
      </c>
      <c r="O12" s="71">
        <f>'FS-AD Daily '!R16</f>
        <v>68.363999999996395</v>
      </c>
      <c r="P12" s="71">
        <f>'FS-AD Daily '!Z16</f>
        <v>544</v>
      </c>
      <c r="Q12" s="71">
        <f>'FS-AD Daily '!V16</f>
        <v>225.79999999998836</v>
      </c>
      <c r="R12" s="71">
        <f>'FS-AD Daily '!W16</f>
        <v>0</v>
      </c>
      <c r="S12" s="71">
        <f t="shared" si="0"/>
        <v>318.20000000001164</v>
      </c>
      <c r="T12" s="71">
        <f>'FS-AD Daily '!AD16*3.516</f>
        <v>65545.271999999997</v>
      </c>
      <c r="U12" s="71">
        <f>('FS-AD Daily '!AF16)*1000</f>
        <v>30000</v>
      </c>
      <c r="V12" s="71">
        <f>('FS-AD Daily '!AG16)*1000</f>
        <v>15500</v>
      </c>
      <c r="W12" s="71">
        <f>'FS-AD Daily '!AH16*1000</f>
        <v>11599.999999998545</v>
      </c>
      <c r="X12" s="71">
        <f>('FS-AD Daily '!AK16)*1000</f>
        <v>24699.99999999709</v>
      </c>
      <c r="Y12" s="71">
        <v>105</v>
      </c>
      <c r="Z12" s="104">
        <v>169</v>
      </c>
    </row>
    <row r="13" spans="1:26" x14ac:dyDescent="0.25">
      <c r="A13" s="103" t="s">
        <v>80</v>
      </c>
      <c r="B13" s="69">
        <f t="shared" si="1"/>
        <v>12</v>
      </c>
      <c r="C13" s="70">
        <v>4</v>
      </c>
      <c r="D13" s="69">
        <v>2021</v>
      </c>
      <c r="E13" s="71">
        <f>'FS-AD Daily '!B17</f>
        <v>4731</v>
      </c>
      <c r="F13" s="71">
        <f>'FS-AD Daily '!C17</f>
        <v>3066</v>
      </c>
      <c r="G13" s="71">
        <f>'FS-AD Daily '!D17</f>
        <v>841</v>
      </c>
      <c r="H13" s="71">
        <f>'FS-AD Daily '!E17</f>
        <v>5381</v>
      </c>
      <c r="I13" s="71">
        <f>'FS-AD Daily '!F17</f>
        <v>5916</v>
      </c>
      <c r="J13" s="71">
        <f>'FS-AD Daily '!G17</f>
        <v>2750</v>
      </c>
      <c r="K13" s="71">
        <f>'FS-AD Daily '!H17</f>
        <v>4159</v>
      </c>
      <c r="L13" s="71">
        <f>'FS-AD Daily '!I17</f>
        <v>2445</v>
      </c>
      <c r="M13" s="71">
        <f>'FS-AD Daily '!J17</f>
        <v>7103</v>
      </c>
      <c r="N13" s="71">
        <f>'FS-AD Daily '!T17</f>
        <v>84.079999999998108</v>
      </c>
      <c r="O13" s="71">
        <f>'FS-AD Daily '!R17</f>
        <v>66.166999999997188</v>
      </c>
      <c r="P13" s="71">
        <f>'FS-AD Daily '!Z17</f>
        <v>540</v>
      </c>
      <c r="Q13" s="71">
        <f>'FS-AD Daily '!V17</f>
        <v>220.40000000002328</v>
      </c>
      <c r="R13" s="71">
        <f>'FS-AD Daily '!W17</f>
        <v>0</v>
      </c>
      <c r="S13" s="71">
        <f t="shared" si="0"/>
        <v>319.59999999997672</v>
      </c>
      <c r="T13" s="71">
        <f>'FS-AD Daily '!AD17*3.516</f>
        <v>64613.531999999999</v>
      </c>
      <c r="U13" s="71">
        <f>('FS-AD Daily '!AF17)*1000</f>
        <v>29799.999999988358</v>
      </c>
      <c r="V13" s="71">
        <f>('FS-AD Daily '!AG17)*1000</f>
        <v>15299.999999995634</v>
      </c>
      <c r="W13" s="71">
        <f>'FS-AD Daily '!AH17*1000</f>
        <v>11599.999999998545</v>
      </c>
      <c r="X13" s="71">
        <f>('FS-AD Daily '!AK17)*1000</f>
        <v>24599.999999998545</v>
      </c>
      <c r="Y13" s="71">
        <v>50</v>
      </c>
      <c r="Z13" s="104">
        <v>65</v>
      </c>
    </row>
    <row r="14" spans="1:26" x14ac:dyDescent="0.25">
      <c r="A14" s="103" t="s">
        <v>80</v>
      </c>
      <c r="B14" s="69">
        <f t="shared" si="1"/>
        <v>13</v>
      </c>
      <c r="C14" s="70">
        <v>4</v>
      </c>
      <c r="D14" s="69">
        <v>2021</v>
      </c>
      <c r="E14" s="71">
        <f>'FS-AD Daily '!B18</f>
        <v>4830</v>
      </c>
      <c r="F14" s="71">
        <f>'FS-AD Daily '!C18</f>
        <v>3184</v>
      </c>
      <c r="G14" s="71">
        <f>'FS-AD Daily '!D18</f>
        <v>875</v>
      </c>
      <c r="H14" s="71">
        <f>'FS-AD Daily '!E18</f>
        <v>5946</v>
      </c>
      <c r="I14" s="71">
        <f>'FS-AD Daily '!F18</f>
        <v>6008</v>
      </c>
      <c r="J14" s="71">
        <f>'FS-AD Daily '!G18</f>
        <v>2758</v>
      </c>
      <c r="K14" s="71">
        <f>'FS-AD Daily '!H18</f>
        <v>4249</v>
      </c>
      <c r="L14" s="71">
        <f>'FS-AD Daily '!I18</f>
        <v>2555</v>
      </c>
      <c r="M14" s="71">
        <f>'FS-AD Daily '!J18</f>
        <v>6562</v>
      </c>
      <c r="N14" s="71">
        <f>'FS-AD Daily '!T18</f>
        <v>4.0389999999897555</v>
      </c>
      <c r="O14" s="71">
        <f>'FS-AD Daily '!R18</f>
        <v>55.600999999999203</v>
      </c>
      <c r="P14" s="71">
        <f>'FS-AD Daily '!Z18</f>
        <v>503</v>
      </c>
      <c r="Q14" s="71">
        <f>'FS-AD Daily '!V18</f>
        <v>177.20000000001164</v>
      </c>
      <c r="R14" s="71">
        <f>'FS-AD Daily '!W18</f>
        <v>0</v>
      </c>
      <c r="S14" s="71">
        <f t="shared" si="0"/>
        <v>325.79999999998836</v>
      </c>
      <c r="T14" s="71">
        <f>'FS-AD Daily '!AD18*3.516</f>
        <v>65925</v>
      </c>
      <c r="U14" s="71">
        <f>('FS-AD Daily '!AF18)*1000</f>
        <v>31100.000000005821</v>
      </c>
      <c r="V14" s="71">
        <f>('FS-AD Daily '!AG18)*1000</f>
        <v>15800.00000000291</v>
      </c>
      <c r="W14" s="71">
        <f>'FS-AD Daily '!AH18*1000</f>
        <v>12100.000000002183</v>
      </c>
      <c r="X14" s="71">
        <f>('FS-AD Daily '!AK18)*1000</f>
        <v>23400.000000001455</v>
      </c>
      <c r="Y14" s="71">
        <v>52</v>
      </c>
      <c r="Z14" s="104">
        <v>68</v>
      </c>
    </row>
    <row r="15" spans="1:26" x14ac:dyDescent="0.25">
      <c r="A15" s="103" t="s">
        <v>80</v>
      </c>
      <c r="B15" s="69">
        <f t="shared" si="1"/>
        <v>14</v>
      </c>
      <c r="C15" s="70">
        <v>4</v>
      </c>
      <c r="D15" s="69">
        <v>2021</v>
      </c>
      <c r="E15" s="71">
        <f>'FS-AD Daily '!B19</f>
        <v>4796</v>
      </c>
      <c r="F15" s="71">
        <f>'FS-AD Daily '!C19</f>
        <v>3036</v>
      </c>
      <c r="G15" s="71">
        <f>'FS-AD Daily '!D19</f>
        <v>854</v>
      </c>
      <c r="H15" s="71">
        <f>'FS-AD Daily '!E19</f>
        <v>6523</v>
      </c>
      <c r="I15" s="71">
        <f>'FS-AD Daily '!F19</f>
        <v>5765</v>
      </c>
      <c r="J15" s="71">
        <f>'FS-AD Daily '!G19</f>
        <v>2794</v>
      </c>
      <c r="K15" s="71">
        <f>'FS-AD Daily '!H19</f>
        <v>4560</v>
      </c>
      <c r="L15" s="71">
        <f>'FS-AD Daily '!I19</f>
        <v>2569</v>
      </c>
      <c r="M15" s="71">
        <f>'FS-AD Daily '!J19</f>
        <v>6493</v>
      </c>
      <c r="N15" s="71">
        <f>'FS-AD Daily '!T19</f>
        <v>47.008000000012544</v>
      </c>
      <c r="O15" s="71">
        <f>'FS-AD Daily '!R19</f>
        <v>53.545000000000073</v>
      </c>
      <c r="P15" s="71">
        <f>'FS-AD Daily '!Z19</f>
        <v>383</v>
      </c>
      <c r="Q15" s="71">
        <f>'FS-AD Daily '!V19</f>
        <v>66.5</v>
      </c>
      <c r="R15" s="71">
        <f>'FS-AD Daily '!W19</f>
        <v>0</v>
      </c>
      <c r="S15" s="71">
        <f t="shared" si="0"/>
        <v>316.5</v>
      </c>
      <c r="T15" s="71">
        <f>'FS-AD Daily '!AD19*3.516</f>
        <v>66269.567999999999</v>
      </c>
      <c r="U15" s="71">
        <f>('FS-AD Daily '!AF19)*1000</f>
        <v>31300.00000000291</v>
      </c>
      <c r="V15" s="71">
        <f>('FS-AD Daily '!AG19)*1000</f>
        <v>16299.999999995634</v>
      </c>
      <c r="W15" s="71">
        <f>'FS-AD Daily '!AH19*1000</f>
        <v>12099.999999998545</v>
      </c>
      <c r="X15" s="71">
        <f>('FS-AD Daily '!AK19)*1000</f>
        <v>22500</v>
      </c>
      <c r="Y15" s="71">
        <v>55</v>
      </c>
      <c r="Z15" s="104">
        <v>68</v>
      </c>
    </row>
    <row r="16" spans="1:26" x14ac:dyDescent="0.25">
      <c r="A16" s="103" t="s">
        <v>80</v>
      </c>
      <c r="B16" s="69">
        <f t="shared" si="1"/>
        <v>15</v>
      </c>
      <c r="C16" s="70">
        <v>4</v>
      </c>
      <c r="D16" s="69">
        <v>2021</v>
      </c>
      <c r="E16" s="71">
        <f>'FS-AD Daily '!B20</f>
        <v>4887</v>
      </c>
      <c r="F16" s="71">
        <f>'FS-AD Daily '!C20</f>
        <v>3021</v>
      </c>
      <c r="G16" s="71">
        <f>'FS-AD Daily '!D20</f>
        <v>884</v>
      </c>
      <c r="H16" s="71">
        <f>'FS-AD Daily '!E20</f>
        <v>6522</v>
      </c>
      <c r="I16" s="71">
        <f>'FS-AD Daily '!F20</f>
        <v>5806</v>
      </c>
      <c r="J16" s="71">
        <f>'FS-AD Daily '!G20</f>
        <v>2845</v>
      </c>
      <c r="K16" s="71">
        <f>'FS-AD Daily '!H20</f>
        <v>5615</v>
      </c>
      <c r="L16" s="71">
        <f>'FS-AD Daily '!I20</f>
        <v>2494</v>
      </c>
      <c r="M16" s="71">
        <f>'FS-AD Daily '!J20</f>
        <v>6627</v>
      </c>
      <c r="N16" s="71">
        <f>'FS-AD Daily '!T20</f>
        <v>281.40800000000309</v>
      </c>
      <c r="O16" s="71">
        <f>'FS-AD Daily '!R20</f>
        <v>54.45699999999897</v>
      </c>
      <c r="P16" s="71">
        <f>'FS-AD Daily '!Z20</f>
        <v>417</v>
      </c>
      <c r="Q16" s="71">
        <f>'FS-AD Daily '!V20</f>
        <v>84.599999999976717</v>
      </c>
      <c r="R16" s="71">
        <f>'FS-AD Daily '!W20</f>
        <v>0</v>
      </c>
      <c r="S16" s="71">
        <f t="shared" si="0"/>
        <v>332.40000000002328</v>
      </c>
      <c r="T16" s="71">
        <f>'FS-AD Daily '!AD20*3.516</f>
        <v>72440.148000000001</v>
      </c>
      <c r="U16" s="71">
        <f>('FS-AD Daily '!AF20)*1000</f>
        <v>34500</v>
      </c>
      <c r="V16" s="71">
        <f>('FS-AD Daily '!AG20)*1000</f>
        <v>20100.000000005821</v>
      </c>
      <c r="W16" s="71">
        <f>'FS-AD Daily '!AH20*1000</f>
        <v>11500</v>
      </c>
      <c r="X16" s="71">
        <f>('FS-AD Daily '!AK20)*1000</f>
        <v>25500</v>
      </c>
      <c r="Y16" s="71">
        <v>48</v>
      </c>
      <c r="Z16" s="104">
        <v>64</v>
      </c>
    </row>
    <row r="17" spans="1:26" x14ac:dyDescent="0.25">
      <c r="A17" s="103" t="s">
        <v>80</v>
      </c>
      <c r="B17" s="69">
        <f t="shared" si="1"/>
        <v>16</v>
      </c>
      <c r="C17" s="70">
        <v>4</v>
      </c>
      <c r="D17" s="69">
        <v>2021</v>
      </c>
      <c r="E17" s="71">
        <f>'FS-AD Daily '!B21</f>
        <v>5021</v>
      </c>
      <c r="F17" s="71">
        <f>'FS-AD Daily '!C21</f>
        <v>2972</v>
      </c>
      <c r="G17" s="71">
        <f>'FS-AD Daily '!D21</f>
        <v>845</v>
      </c>
      <c r="H17" s="71">
        <f>'FS-AD Daily '!E21</f>
        <v>6229</v>
      </c>
      <c r="I17" s="71">
        <f>'FS-AD Daily '!F21</f>
        <v>5735</v>
      </c>
      <c r="J17" s="71">
        <f>'FS-AD Daily '!G21</f>
        <v>2613</v>
      </c>
      <c r="K17" s="71">
        <f>'FS-AD Daily '!H21</f>
        <v>5352</v>
      </c>
      <c r="L17" s="71">
        <f>'FS-AD Daily '!I21</f>
        <v>2354</v>
      </c>
      <c r="M17" s="71">
        <f>'FS-AD Daily '!J21</f>
        <v>6536</v>
      </c>
      <c r="N17" s="71">
        <f>'FS-AD Daily '!T21</f>
        <v>51.951999999990221</v>
      </c>
      <c r="O17" s="71">
        <f>'FS-AD Daily '!R21</f>
        <v>62.006000000013955</v>
      </c>
      <c r="P17" s="71">
        <f>'FS-AD Daily '!Z21</f>
        <v>485</v>
      </c>
      <c r="Q17" s="71">
        <f>'FS-AD Daily '!V21</f>
        <v>122.20000000001164</v>
      </c>
      <c r="R17" s="71">
        <f>'FS-AD Daily '!W21</f>
        <v>0</v>
      </c>
      <c r="S17" s="71">
        <f t="shared" si="0"/>
        <v>362.79999999998836</v>
      </c>
      <c r="T17" s="71">
        <f>'FS-AD Daily '!AD21*3.516</f>
        <v>63404.027999999998</v>
      </c>
      <c r="U17" s="71">
        <f>('FS-AD Daily '!AF21)*1000</f>
        <v>29800.00000000291</v>
      </c>
      <c r="V17" s="71">
        <f>('FS-AD Daily '!AG21)*1000</f>
        <v>17699.99999999709</v>
      </c>
      <c r="W17" s="71">
        <f>'FS-AD Daily '!AH21*1000</f>
        <v>10700.000000000728</v>
      </c>
      <c r="X17" s="71">
        <f>('FS-AD Daily '!AK21)*1000</f>
        <v>25000</v>
      </c>
      <c r="Y17" s="71">
        <v>33</v>
      </c>
      <c r="Z17" s="104">
        <v>52</v>
      </c>
    </row>
    <row r="18" spans="1:26" x14ac:dyDescent="0.25">
      <c r="A18" s="103" t="s">
        <v>80</v>
      </c>
      <c r="B18" s="69">
        <f t="shared" si="1"/>
        <v>17</v>
      </c>
      <c r="C18" s="70">
        <v>4</v>
      </c>
      <c r="D18" s="69">
        <v>2021</v>
      </c>
      <c r="E18" s="71">
        <f>'FS-AD Daily '!B22</f>
        <v>5695</v>
      </c>
      <c r="F18" s="71">
        <f>'FS-AD Daily '!C22</f>
        <v>3128</v>
      </c>
      <c r="G18" s="71">
        <f>'FS-AD Daily '!D22</f>
        <v>939</v>
      </c>
      <c r="H18" s="71">
        <f>'FS-AD Daily '!E22</f>
        <v>6866</v>
      </c>
      <c r="I18" s="71">
        <f>'FS-AD Daily '!F22</f>
        <v>5855</v>
      </c>
      <c r="J18" s="71">
        <f>'FS-AD Daily '!G22</f>
        <v>2662</v>
      </c>
      <c r="K18" s="71">
        <f>'FS-AD Daily '!H22</f>
        <v>4899</v>
      </c>
      <c r="L18" s="71">
        <f>'FS-AD Daily '!I22</f>
        <v>2505</v>
      </c>
      <c r="M18" s="71">
        <f>'FS-AD Daily '!J22</f>
        <v>6967</v>
      </c>
      <c r="N18" s="71">
        <f>'FS-AD Daily '!T22</f>
        <v>240.92700000000696</v>
      </c>
      <c r="O18" s="71">
        <f>'FS-AD Daily '!R22</f>
        <v>57.214999999993779</v>
      </c>
      <c r="P18" s="71">
        <f>'FS-AD Daily '!Z22</f>
        <v>408</v>
      </c>
      <c r="Q18" s="71">
        <f>'FS-AD Daily '!V22</f>
        <v>91.599999999976717</v>
      </c>
      <c r="R18" s="71">
        <f>'FS-AD Daily '!W22</f>
        <v>0</v>
      </c>
      <c r="S18" s="71">
        <f t="shared" si="0"/>
        <v>316.40000000002328</v>
      </c>
      <c r="T18" s="71">
        <f>'FS-AD Daily '!AD22*3.516</f>
        <v>63337.224000000002</v>
      </c>
      <c r="U18" s="71">
        <f>('FS-AD Daily '!AF22)*1000</f>
        <v>30299.999999988358</v>
      </c>
      <c r="V18" s="71">
        <f>('FS-AD Daily '!AG22)*1000</f>
        <v>16000</v>
      </c>
      <c r="W18" s="71">
        <f>'FS-AD Daily '!AH22*1000</f>
        <v>11500</v>
      </c>
      <c r="X18" s="71">
        <f>('FS-AD Daily '!AK22)*1000</f>
        <v>25400.000000001455</v>
      </c>
      <c r="Y18" s="71">
        <v>29</v>
      </c>
      <c r="Z18" s="104">
        <v>42</v>
      </c>
    </row>
    <row r="19" spans="1:26" x14ac:dyDescent="0.25">
      <c r="A19" s="103" t="s">
        <v>80</v>
      </c>
      <c r="B19" s="69">
        <f t="shared" si="1"/>
        <v>18</v>
      </c>
      <c r="C19" s="70">
        <v>4</v>
      </c>
      <c r="D19" s="69">
        <v>2021</v>
      </c>
      <c r="E19" s="71">
        <f>'FS-AD Daily '!B23</f>
        <v>5193</v>
      </c>
      <c r="F19" s="71">
        <f>'FS-AD Daily '!C23</f>
        <v>2771</v>
      </c>
      <c r="G19" s="71">
        <f>'FS-AD Daily '!D23</f>
        <v>883</v>
      </c>
      <c r="H19" s="71">
        <f>'FS-AD Daily '!E23</f>
        <v>6177</v>
      </c>
      <c r="I19" s="71">
        <f>'FS-AD Daily '!F23</f>
        <v>5346</v>
      </c>
      <c r="J19" s="71">
        <f>'FS-AD Daily '!G23</f>
        <v>2427</v>
      </c>
      <c r="K19" s="71">
        <f>'FS-AD Daily '!H23</f>
        <v>4446</v>
      </c>
      <c r="L19" s="71">
        <f>'FS-AD Daily '!I23</f>
        <v>2332</v>
      </c>
      <c r="M19" s="71">
        <f>'FS-AD Daily '!J23</f>
        <v>6226</v>
      </c>
      <c r="N19" s="71">
        <f>'FS-AD Daily '!T23</f>
        <v>117.65199999999822</v>
      </c>
      <c r="O19" s="71">
        <f>'FS-AD Daily '!R23</f>
        <v>54.009000000005472</v>
      </c>
      <c r="P19" s="71">
        <f>'FS-AD Daily '!Z23</f>
        <v>393</v>
      </c>
      <c r="Q19" s="71">
        <f>'FS-AD Daily '!V23</f>
        <v>78.400000000023283</v>
      </c>
      <c r="R19" s="71">
        <f>'FS-AD Daily '!W23</f>
        <v>0</v>
      </c>
      <c r="S19" s="71">
        <f t="shared" si="0"/>
        <v>314.59999999997672</v>
      </c>
      <c r="T19" s="71">
        <f>'FS-AD Daily '!AD23*3.516</f>
        <v>53520.552000000003</v>
      </c>
      <c r="U19" s="71">
        <f>('FS-AD Daily '!AF23)*1000</f>
        <v>26500</v>
      </c>
      <c r="V19" s="71">
        <f>('FS-AD Daily '!AG23)*1000</f>
        <v>14699.99999999709</v>
      </c>
      <c r="W19" s="71">
        <f>'FS-AD Daily '!AH23*1000</f>
        <v>9900.0000000014552</v>
      </c>
      <c r="X19" s="71">
        <f>('FS-AD Daily '!AK23)*1000</f>
        <v>20900.000000001455</v>
      </c>
      <c r="Y19" s="71">
        <v>35</v>
      </c>
      <c r="Z19" s="104">
        <v>49</v>
      </c>
    </row>
    <row r="20" spans="1:26" x14ac:dyDescent="0.25">
      <c r="A20" s="103" t="s">
        <v>80</v>
      </c>
      <c r="B20" s="69">
        <f t="shared" si="1"/>
        <v>19</v>
      </c>
      <c r="C20" s="70">
        <v>4</v>
      </c>
      <c r="D20" s="69">
        <v>2021</v>
      </c>
      <c r="E20" s="71">
        <f>'FS-AD Daily '!B24</f>
        <v>5003</v>
      </c>
      <c r="F20" s="71">
        <f>'FS-AD Daily '!C24</f>
        <v>3218</v>
      </c>
      <c r="G20" s="71">
        <f>'FS-AD Daily '!D24</f>
        <v>849</v>
      </c>
      <c r="H20" s="71">
        <f>'FS-AD Daily '!E24</f>
        <v>6662</v>
      </c>
      <c r="I20" s="71">
        <f>'FS-AD Daily '!F24</f>
        <v>5762</v>
      </c>
      <c r="J20" s="71">
        <f>'FS-AD Daily '!G24</f>
        <v>2678</v>
      </c>
      <c r="K20" s="71">
        <f>'FS-AD Daily '!H24</f>
        <v>4441</v>
      </c>
      <c r="L20" s="71">
        <f>'FS-AD Daily '!I24</f>
        <v>2466</v>
      </c>
      <c r="M20" s="71">
        <f>'FS-AD Daily '!J24</f>
        <v>6405</v>
      </c>
      <c r="N20" s="71">
        <f>'FS-AD Daily '!T24</f>
        <v>104.07099999999991</v>
      </c>
      <c r="O20" s="71">
        <f>'FS-AD Daily '!R24</f>
        <v>51.731999999989057</v>
      </c>
      <c r="P20" s="71">
        <f>'FS-AD Daily '!Z24</f>
        <v>404</v>
      </c>
      <c r="Q20" s="71">
        <f>'FS-AD Daily '!V24</f>
        <v>84.799999999988358</v>
      </c>
      <c r="R20" s="71">
        <f>'FS-AD Daily '!W24</f>
        <v>0</v>
      </c>
      <c r="S20" s="71">
        <f t="shared" si="0"/>
        <v>319.20000000001164</v>
      </c>
      <c r="T20" s="71">
        <f>'FS-AD Daily '!AD24*3.516</f>
        <v>57796.008000000002</v>
      </c>
      <c r="U20" s="71">
        <f>('FS-AD Daily '!AF24)*1000</f>
        <v>29500</v>
      </c>
      <c r="V20" s="71">
        <f>('FS-AD Daily '!AG24)*1000</f>
        <v>15200.000000004366</v>
      </c>
      <c r="W20" s="71">
        <f>'FS-AD Daily '!AH24*1000</f>
        <v>10099.999999998545</v>
      </c>
      <c r="X20" s="71">
        <f>('FS-AD Daily '!AK24)*1000</f>
        <v>22299.999999995634</v>
      </c>
      <c r="Y20" s="71">
        <v>40</v>
      </c>
      <c r="Z20" s="104">
        <v>58</v>
      </c>
    </row>
    <row r="21" spans="1:26" x14ac:dyDescent="0.25">
      <c r="A21" s="103" t="s">
        <v>80</v>
      </c>
      <c r="B21" s="69">
        <f t="shared" si="1"/>
        <v>20</v>
      </c>
      <c r="C21" s="70">
        <v>4</v>
      </c>
      <c r="D21" s="69">
        <v>2021</v>
      </c>
      <c r="E21" s="71">
        <f>'FS-AD Daily '!B25</f>
        <v>4933</v>
      </c>
      <c r="F21" s="71">
        <f>'FS-AD Daily '!C25</f>
        <v>3681</v>
      </c>
      <c r="G21" s="71">
        <f>'FS-AD Daily '!D25</f>
        <v>811</v>
      </c>
      <c r="H21" s="71">
        <f>'FS-AD Daily '!E25</f>
        <v>6033</v>
      </c>
      <c r="I21" s="71">
        <f>'FS-AD Daily '!F25</f>
        <v>5721</v>
      </c>
      <c r="J21" s="71">
        <f>'FS-AD Daily '!G25</f>
        <v>2693</v>
      </c>
      <c r="K21" s="71">
        <f>'FS-AD Daily '!H25</f>
        <v>6309</v>
      </c>
      <c r="L21" s="71">
        <f>'FS-AD Daily '!I25</f>
        <v>2438</v>
      </c>
      <c r="M21" s="71">
        <f>'FS-AD Daily '!J25</f>
        <v>6423</v>
      </c>
      <c r="N21" s="71">
        <f>'FS-AD Daily '!T25</f>
        <v>121.11900000000242</v>
      </c>
      <c r="O21" s="71">
        <f>'FS-AD Daily '!R25</f>
        <v>53.732000000006337</v>
      </c>
      <c r="P21" s="71">
        <f>'FS-AD Daily '!Z25</f>
        <v>416</v>
      </c>
      <c r="Q21" s="71">
        <f>'FS-AD Daily '!V25</f>
        <v>108</v>
      </c>
      <c r="R21" s="71">
        <f>'FS-AD Daily '!W25</f>
        <v>0</v>
      </c>
      <c r="S21" s="71">
        <f t="shared" si="0"/>
        <v>308</v>
      </c>
      <c r="T21" s="71">
        <f>'FS-AD Daily '!AD25*3.516</f>
        <v>65657.784</v>
      </c>
      <c r="U21" s="71">
        <f>('FS-AD Daily '!AF25)*1000</f>
        <v>32500</v>
      </c>
      <c r="V21" s="71">
        <f>('FS-AD Daily '!AG25)*1000</f>
        <v>22000</v>
      </c>
      <c r="W21" s="71">
        <f>'FS-AD Daily '!AH25*1000</f>
        <v>10500</v>
      </c>
      <c r="X21" s="71">
        <f>('FS-AD Daily '!AK25)*1000</f>
        <v>25100.000000005821</v>
      </c>
      <c r="Y21" s="71">
        <v>35</v>
      </c>
      <c r="Z21" s="104">
        <v>48</v>
      </c>
    </row>
    <row r="22" spans="1:26" x14ac:dyDescent="0.25">
      <c r="A22" s="103" t="s">
        <v>80</v>
      </c>
      <c r="B22" s="69">
        <f t="shared" si="1"/>
        <v>21</v>
      </c>
      <c r="C22" s="70">
        <v>4</v>
      </c>
      <c r="D22" s="69">
        <v>2021</v>
      </c>
      <c r="E22" s="71">
        <f>'FS-AD Daily '!B26</f>
        <v>4862</v>
      </c>
      <c r="F22" s="71">
        <f>'FS-AD Daily '!C26</f>
        <v>3119</v>
      </c>
      <c r="G22" s="71">
        <f>'FS-AD Daily '!D26</f>
        <v>819</v>
      </c>
      <c r="H22" s="71">
        <f>'FS-AD Daily '!E26</f>
        <v>5935</v>
      </c>
      <c r="I22" s="71">
        <f>'FS-AD Daily '!F26</f>
        <v>5844</v>
      </c>
      <c r="J22" s="71">
        <f>'FS-AD Daily '!G26</f>
        <v>2684</v>
      </c>
      <c r="K22" s="71">
        <f>'FS-AD Daily '!H26</f>
        <v>5519</v>
      </c>
      <c r="L22" s="71">
        <f>'FS-AD Daily '!I26</f>
        <v>2498</v>
      </c>
      <c r="M22" s="71">
        <f>'FS-AD Daily '!J26</f>
        <v>6755</v>
      </c>
      <c r="N22" s="71">
        <f>'FS-AD Daily '!T26</f>
        <v>114.66599999999016</v>
      </c>
      <c r="O22" s="71">
        <f>'FS-AD Daily '!R26</f>
        <v>59.449000000000524</v>
      </c>
      <c r="P22" s="71">
        <f>'FS-AD Daily '!Z26</f>
        <v>457</v>
      </c>
      <c r="Q22" s="71">
        <f>'FS-AD Daily '!V26</f>
        <v>140.5</v>
      </c>
      <c r="R22" s="71">
        <f>'FS-AD Daily '!W26</f>
        <v>0</v>
      </c>
      <c r="S22" s="71">
        <f t="shared" si="0"/>
        <v>316.5</v>
      </c>
      <c r="T22" s="71">
        <f>'FS-AD Daily '!AD26*3.516</f>
        <v>66202.763999999996</v>
      </c>
      <c r="U22" s="71">
        <f>('FS-AD Daily '!AF26)*1000</f>
        <v>32100.000000005821</v>
      </c>
      <c r="V22" s="71">
        <f>('FS-AD Daily '!AG26)*1000</f>
        <v>20400.000000001455</v>
      </c>
      <c r="W22" s="71">
        <f>'FS-AD Daily '!AH26*1000</f>
        <v>11099.999999998545</v>
      </c>
      <c r="X22" s="71">
        <f>('FS-AD Daily '!AK26)*1000</f>
        <v>25899.999999994179</v>
      </c>
      <c r="Y22" s="71">
        <v>30</v>
      </c>
      <c r="Z22" s="104">
        <v>43</v>
      </c>
    </row>
    <row r="23" spans="1:26" x14ac:dyDescent="0.25">
      <c r="A23" s="103" t="s">
        <v>80</v>
      </c>
      <c r="B23" s="69">
        <f t="shared" si="1"/>
        <v>22</v>
      </c>
      <c r="C23" s="70">
        <v>4</v>
      </c>
      <c r="D23" s="69">
        <v>2021</v>
      </c>
      <c r="E23" s="71">
        <f>'FS-AD Daily '!B27</f>
        <v>4932</v>
      </c>
      <c r="F23" s="71">
        <f>'FS-AD Daily '!C27</f>
        <v>2801</v>
      </c>
      <c r="G23" s="71">
        <f>'FS-AD Daily '!D27</f>
        <v>838</v>
      </c>
      <c r="H23" s="71">
        <f>'FS-AD Daily '!E27</f>
        <v>6131</v>
      </c>
      <c r="I23" s="71">
        <f>'FS-AD Daily '!F27</f>
        <v>5763</v>
      </c>
      <c r="J23" s="71">
        <f>'FS-AD Daily '!G27</f>
        <v>2703</v>
      </c>
      <c r="K23" s="71">
        <f>'FS-AD Daily '!H27</f>
        <v>4700</v>
      </c>
      <c r="L23" s="71">
        <f>'FS-AD Daily '!I27</f>
        <v>2451</v>
      </c>
      <c r="M23" s="71">
        <f>'FS-AD Daily '!J27</f>
        <v>6668</v>
      </c>
      <c r="N23" s="71">
        <f>'FS-AD Daily '!T27</f>
        <v>132.45200000000841</v>
      </c>
      <c r="O23" s="71">
        <f>'FS-AD Daily '!R27</f>
        <v>72.012999999993554</v>
      </c>
      <c r="P23" s="71">
        <f>'FS-AD Daily '!Z27</f>
        <v>476</v>
      </c>
      <c r="Q23" s="71">
        <f>'FS-AD Daily '!V27</f>
        <v>129.79999999998836</v>
      </c>
      <c r="R23" s="71">
        <f>'FS-AD Daily '!W27</f>
        <v>0</v>
      </c>
      <c r="S23" s="71">
        <f t="shared" si="0"/>
        <v>346.20000000001164</v>
      </c>
      <c r="T23" s="71">
        <f>'FS-AD Daily '!AD27*3.516</f>
        <v>64195.127999999997</v>
      </c>
      <c r="U23" s="71">
        <f>('FS-AD Daily '!AF27)*1000</f>
        <v>32500</v>
      </c>
      <c r="V23" s="71">
        <f>('FS-AD Daily '!AG27)*1000</f>
        <v>17299.999999995634</v>
      </c>
      <c r="W23" s="71">
        <f>'FS-AD Daily '!AH27*1000</f>
        <v>11300.00000000291</v>
      </c>
      <c r="X23" s="71">
        <f>('FS-AD Daily '!AK27)*1000</f>
        <v>25600.000000005821</v>
      </c>
      <c r="Y23" s="71">
        <v>37</v>
      </c>
      <c r="Z23" s="104">
        <v>63</v>
      </c>
    </row>
    <row r="24" spans="1:26" x14ac:dyDescent="0.25">
      <c r="A24" s="103" t="s">
        <v>80</v>
      </c>
      <c r="B24" s="69">
        <f t="shared" si="1"/>
        <v>23</v>
      </c>
      <c r="C24" s="70">
        <v>4</v>
      </c>
      <c r="D24" s="69">
        <v>2021</v>
      </c>
      <c r="E24" s="71">
        <f>'FS-AD Daily '!B28</f>
        <v>4843</v>
      </c>
      <c r="F24" s="71">
        <f>'FS-AD Daily '!C28</f>
        <v>2883</v>
      </c>
      <c r="G24" s="71">
        <f>'FS-AD Daily '!D28</f>
        <v>881</v>
      </c>
      <c r="H24" s="71">
        <f>'FS-AD Daily '!E28</f>
        <v>6651</v>
      </c>
      <c r="I24" s="71">
        <f>'FS-AD Daily '!F28</f>
        <v>5850</v>
      </c>
      <c r="J24" s="71">
        <f>'FS-AD Daily '!G28</f>
        <v>2678</v>
      </c>
      <c r="K24" s="71">
        <f>'FS-AD Daily '!H28</f>
        <v>4441</v>
      </c>
      <c r="L24" s="71">
        <f>'FS-AD Daily '!I28</f>
        <v>2487</v>
      </c>
      <c r="M24" s="71">
        <f>'FS-AD Daily '!J28</f>
        <v>6830</v>
      </c>
      <c r="N24" s="71">
        <f>'FS-AD Daily '!T28</f>
        <v>121.28899999998976</v>
      </c>
      <c r="O24" s="71">
        <f>'FS-AD Daily '!R28</f>
        <v>73.479999999997744</v>
      </c>
      <c r="P24" s="71">
        <f>'FS-AD Daily '!Z28</f>
        <v>438</v>
      </c>
      <c r="Q24" s="71">
        <f>'FS-AD Daily '!V28</f>
        <v>88.400000000023283</v>
      </c>
      <c r="R24" s="71">
        <f>'FS-AD Daily '!W28</f>
        <v>0</v>
      </c>
      <c r="S24" s="71">
        <f t="shared" si="0"/>
        <v>349.59999999997672</v>
      </c>
      <c r="T24" s="71">
        <f>'FS-AD Daily '!AD28*3.516</f>
        <v>64008.78</v>
      </c>
      <c r="U24" s="71">
        <f>('FS-AD Daily '!AF28)*1000</f>
        <v>30399.999999994179</v>
      </c>
      <c r="V24" s="71">
        <f>('FS-AD Daily '!AG28)*1000</f>
        <v>16500</v>
      </c>
      <c r="W24" s="71">
        <f>'FS-AD Daily '!AH28*1000</f>
        <v>12199.99999999709</v>
      </c>
      <c r="X24" s="71">
        <f>('FS-AD Daily '!AK28)*1000</f>
        <v>25399.999999994179</v>
      </c>
      <c r="Y24" s="71">
        <v>38</v>
      </c>
      <c r="Z24" s="104">
        <v>66</v>
      </c>
    </row>
    <row r="25" spans="1:26" x14ac:dyDescent="0.25">
      <c r="A25" s="103" t="s">
        <v>80</v>
      </c>
      <c r="B25" s="69">
        <f t="shared" si="1"/>
        <v>24</v>
      </c>
      <c r="C25" s="70">
        <v>4</v>
      </c>
      <c r="D25" s="69">
        <v>2021</v>
      </c>
      <c r="E25" s="71">
        <f>'FS-AD Daily '!B29</f>
        <v>4971</v>
      </c>
      <c r="F25" s="71">
        <f>'FS-AD Daily '!C29</f>
        <v>2803</v>
      </c>
      <c r="G25" s="71">
        <f>'FS-AD Daily '!D29</f>
        <v>827</v>
      </c>
      <c r="H25" s="71">
        <f>'FS-AD Daily '!E29</f>
        <v>6588</v>
      </c>
      <c r="I25" s="71">
        <f>'FS-AD Daily '!F29</f>
        <v>5722</v>
      </c>
      <c r="J25" s="71">
        <f>'FS-AD Daily '!G29</f>
        <v>2677</v>
      </c>
      <c r="K25" s="71">
        <f>'FS-AD Daily '!H29</f>
        <v>4960</v>
      </c>
      <c r="L25" s="71">
        <f>'FS-AD Daily '!I29</f>
        <v>2512</v>
      </c>
      <c r="M25" s="71">
        <f>'FS-AD Daily '!J29</f>
        <v>6374</v>
      </c>
      <c r="N25" s="71">
        <f>'FS-AD Daily '!T29</f>
        <v>132.03500000001077</v>
      </c>
      <c r="O25" s="71">
        <f>'FS-AD Daily '!R29</f>
        <v>71.779999999998836</v>
      </c>
      <c r="P25" s="71">
        <f>'FS-AD Daily '!Z29</f>
        <v>417</v>
      </c>
      <c r="Q25" s="71">
        <f>'FS-AD Daily '!V29</f>
        <v>95.299999999988358</v>
      </c>
      <c r="R25" s="71">
        <f>'FS-AD Daily '!W29</f>
        <v>0</v>
      </c>
      <c r="S25" s="71">
        <f t="shared" si="0"/>
        <v>321.70000000001164</v>
      </c>
      <c r="T25" s="71">
        <f>'FS-AD Daily '!AD29*3.516</f>
        <v>69012.047999999995</v>
      </c>
      <c r="U25" s="71">
        <f>('FS-AD Daily '!AF29)*1000</f>
        <v>33000</v>
      </c>
      <c r="V25" s="71">
        <f>('FS-AD Daily '!AG29)*1000</f>
        <v>20000</v>
      </c>
      <c r="W25" s="71">
        <f>'FS-AD Daily '!AH29*1000</f>
        <v>12200.000000000728</v>
      </c>
      <c r="X25" s="71">
        <f>('FS-AD Daily '!AK29)*1000</f>
        <v>26900.000000001455</v>
      </c>
      <c r="Y25" s="71">
        <v>33</v>
      </c>
      <c r="Z25" s="104">
        <v>51</v>
      </c>
    </row>
    <row r="26" spans="1:26" x14ac:dyDescent="0.25">
      <c r="A26" s="103" t="s">
        <v>80</v>
      </c>
      <c r="B26" s="69">
        <f>B25+1</f>
        <v>25</v>
      </c>
      <c r="C26" s="70">
        <v>4</v>
      </c>
      <c r="D26" s="69">
        <v>2021</v>
      </c>
      <c r="E26" s="71">
        <f>'FS-AD Daily '!B30</f>
        <v>4858</v>
      </c>
      <c r="F26" s="71">
        <f>'FS-AD Daily '!C30</f>
        <v>2889</v>
      </c>
      <c r="G26" s="71">
        <f>'FS-AD Daily '!D30</f>
        <v>855</v>
      </c>
      <c r="H26" s="71">
        <f>'FS-AD Daily '!E30</f>
        <v>6559</v>
      </c>
      <c r="I26" s="71">
        <f>'FS-AD Daily '!F30</f>
        <v>5636</v>
      </c>
      <c r="J26" s="71">
        <f>'FS-AD Daily '!G30</f>
        <v>2707</v>
      </c>
      <c r="K26" s="71">
        <f>'FS-AD Daily '!H30</f>
        <v>4867</v>
      </c>
      <c r="L26" s="71">
        <f>'FS-AD Daily '!I30</f>
        <v>2585</v>
      </c>
      <c r="M26" s="71">
        <f>'FS-AD Daily '!J30</f>
        <v>6268</v>
      </c>
      <c r="N26" s="71">
        <f>'FS-AD Daily '!T30</f>
        <v>129.60099999999511</v>
      </c>
      <c r="O26" s="71">
        <f>'FS-AD Daily '!R30</f>
        <v>65.045000000010077</v>
      </c>
      <c r="P26" s="71">
        <f>'FS-AD Daily '!Z30</f>
        <v>386</v>
      </c>
      <c r="Q26" s="71">
        <f>'FS-AD Daily '!V30</f>
        <v>90.5</v>
      </c>
      <c r="R26" s="71">
        <f>'FS-AD Daily '!W30</f>
        <v>0</v>
      </c>
      <c r="S26" s="71">
        <f t="shared" si="0"/>
        <v>295.5</v>
      </c>
      <c r="T26" s="71">
        <f>'FS-AD Daily '!AD30*3.516</f>
        <v>68952.275999999998</v>
      </c>
      <c r="U26" s="71">
        <f>('FS-AD Daily '!AF30)*1000</f>
        <v>33300.00000000291</v>
      </c>
      <c r="V26" s="71">
        <f>('FS-AD Daily '!AG30)*1000</f>
        <v>18900.000000001455</v>
      </c>
      <c r="W26" s="71">
        <f>'FS-AD Daily '!AH30*1000</f>
        <v>12799.999999999272</v>
      </c>
      <c r="X26" s="71">
        <f>('FS-AD Daily '!AK30)*1000</f>
        <v>26300.00000000291</v>
      </c>
      <c r="Y26" s="71">
        <v>39</v>
      </c>
      <c r="Z26" s="104">
        <v>57</v>
      </c>
    </row>
    <row r="27" spans="1:26" x14ac:dyDescent="0.25">
      <c r="A27" s="103" t="s">
        <v>80</v>
      </c>
      <c r="B27" s="69">
        <f t="shared" si="1"/>
        <v>26</v>
      </c>
      <c r="C27" s="70">
        <v>4</v>
      </c>
      <c r="D27" s="69">
        <v>2021</v>
      </c>
      <c r="E27" s="71">
        <f>'FS-AD Daily '!B31</f>
        <v>4918</v>
      </c>
      <c r="F27" s="71">
        <f>'FS-AD Daily '!C31</f>
        <v>2942</v>
      </c>
      <c r="G27" s="71">
        <f>'FS-AD Daily '!D31</f>
        <v>833</v>
      </c>
      <c r="H27" s="71">
        <f>'FS-AD Daily '!E31</f>
        <v>6621</v>
      </c>
      <c r="I27" s="71">
        <f>'FS-AD Daily '!F31</f>
        <v>5765</v>
      </c>
      <c r="J27" s="71">
        <f>'FS-AD Daily '!G31</f>
        <v>2704</v>
      </c>
      <c r="K27" s="71">
        <f>'FS-AD Daily '!H31</f>
        <v>4230</v>
      </c>
      <c r="L27" s="71">
        <f>'FS-AD Daily '!I31</f>
        <v>2539</v>
      </c>
      <c r="M27" s="71">
        <f>'FS-AD Daily '!J31</f>
        <v>6344</v>
      </c>
      <c r="N27" s="71">
        <f>'FS-AD Daily '!T31</f>
        <v>107.77200000000812</v>
      </c>
      <c r="O27" s="71">
        <f>'FS-AD Daily '!R31</f>
        <v>63.819999999995161</v>
      </c>
      <c r="P27" s="71">
        <f>'FS-AD Daily '!Z31</f>
        <v>392</v>
      </c>
      <c r="Q27" s="71">
        <f>'FS-AD Daily '!V31</f>
        <v>85.900000000023283</v>
      </c>
      <c r="R27" s="71">
        <f>'FS-AD Daily '!W31</f>
        <v>0</v>
      </c>
      <c r="S27" s="71">
        <f t="shared" si="0"/>
        <v>306.09999999997672</v>
      </c>
      <c r="T27" s="71">
        <f>'FS-AD Daily '!AD31*3.516</f>
        <v>66705.551999999996</v>
      </c>
      <c r="U27" s="71">
        <f>('FS-AD Daily '!AF31)*1000</f>
        <v>32800.00000000291</v>
      </c>
      <c r="V27" s="71">
        <f>('FS-AD Daily '!AG31)*1000</f>
        <v>17599.999999998545</v>
      </c>
      <c r="W27" s="71">
        <f>'FS-AD Daily '!AH31*1000</f>
        <v>12900.000000001455</v>
      </c>
      <c r="X27" s="71">
        <f>('FS-AD Daily '!AK31)*1000</f>
        <v>25400.000000001455</v>
      </c>
      <c r="Y27" s="71">
        <v>37</v>
      </c>
      <c r="Z27" s="104">
        <v>53</v>
      </c>
    </row>
    <row r="28" spans="1:26" x14ac:dyDescent="0.25">
      <c r="A28" s="103" t="s">
        <v>80</v>
      </c>
      <c r="B28" s="69">
        <f t="shared" si="1"/>
        <v>27</v>
      </c>
      <c r="C28" s="70">
        <v>4</v>
      </c>
      <c r="D28" s="69">
        <v>2021</v>
      </c>
      <c r="E28" s="71">
        <f>'FS-AD Daily '!B32</f>
        <v>5035</v>
      </c>
      <c r="F28" s="71">
        <f>'FS-AD Daily '!C32</f>
        <v>3056</v>
      </c>
      <c r="G28" s="71">
        <f>'FS-AD Daily '!D32</f>
        <v>874</v>
      </c>
      <c r="H28" s="71">
        <f>'FS-AD Daily '!E32</f>
        <v>6455</v>
      </c>
      <c r="I28" s="71">
        <f>'FS-AD Daily '!F32</f>
        <v>5884</v>
      </c>
      <c r="J28" s="71">
        <f>'FS-AD Daily '!G32</f>
        <v>2811</v>
      </c>
      <c r="K28" s="71">
        <f>'FS-AD Daily '!H32</f>
        <v>4596</v>
      </c>
      <c r="L28" s="71">
        <f>'FS-AD Daily '!I32</f>
        <v>2591</v>
      </c>
      <c r="M28" s="71">
        <f>'FS-AD Daily '!J32</f>
        <v>6539</v>
      </c>
      <c r="N28" s="71">
        <f>'FS-AD Daily '!T32</f>
        <v>136.71799999998984</v>
      </c>
      <c r="O28" s="71">
        <f>'FS-AD Daily '!R32</f>
        <v>67.482000000004518</v>
      </c>
      <c r="P28" s="71">
        <f>'FS-AD Daily '!Z32</f>
        <v>432</v>
      </c>
      <c r="Q28" s="71">
        <f>'FS-AD Daily '!V32</f>
        <v>110.29999999998836</v>
      </c>
      <c r="R28" s="71">
        <f>'FS-AD Daily '!W32</f>
        <v>0</v>
      </c>
      <c r="S28" s="71">
        <f t="shared" si="0"/>
        <v>321.70000000001164</v>
      </c>
      <c r="T28" s="71">
        <f>'FS-AD Daily '!AD32*3.516</f>
        <v>73262.892000000007</v>
      </c>
      <c r="U28" s="71">
        <f>('FS-AD Daily '!AF32)*1000</f>
        <v>35699.99999999709</v>
      </c>
      <c r="V28" s="71">
        <f>('FS-AD Daily '!AG32)*1000</f>
        <v>20400.000000001455</v>
      </c>
      <c r="W28" s="71">
        <f>'FS-AD Daily '!AH32*1000</f>
        <v>14000</v>
      </c>
      <c r="X28" s="71">
        <f>('FS-AD Daily '!AK32)*1000</f>
        <v>27399.999999994179</v>
      </c>
      <c r="Y28" s="71">
        <v>45</v>
      </c>
      <c r="Z28" s="104">
        <v>67</v>
      </c>
    </row>
    <row r="29" spans="1:26" x14ac:dyDescent="0.25">
      <c r="A29" s="103" t="s">
        <v>80</v>
      </c>
      <c r="B29" s="69">
        <f t="shared" si="1"/>
        <v>28</v>
      </c>
      <c r="C29" s="70">
        <v>4</v>
      </c>
      <c r="D29" s="69">
        <v>2021</v>
      </c>
      <c r="E29" s="71">
        <f>'FS-AD Daily '!B33</f>
        <v>4756</v>
      </c>
      <c r="F29" s="71">
        <f>'FS-AD Daily '!C33</f>
        <v>3037</v>
      </c>
      <c r="G29" s="71">
        <f>'FS-AD Daily '!D33</f>
        <v>816</v>
      </c>
      <c r="H29" s="71">
        <f>'FS-AD Daily '!E33</f>
        <v>5920</v>
      </c>
      <c r="I29" s="71">
        <f>'FS-AD Daily '!F33</f>
        <v>5699</v>
      </c>
      <c r="J29" s="71">
        <f>'FS-AD Daily '!G33</f>
        <v>2528</v>
      </c>
      <c r="K29" s="71">
        <f>'FS-AD Daily '!H33</f>
        <v>4047</v>
      </c>
      <c r="L29" s="71">
        <f>'FS-AD Daily '!I33</f>
        <v>2481</v>
      </c>
      <c r="M29" s="71">
        <f>'FS-AD Daily '!J33</f>
        <v>6141</v>
      </c>
      <c r="N29" s="71">
        <f>'FS-AD Daily '!T33</f>
        <v>112.02100000000428</v>
      </c>
      <c r="O29" s="71">
        <f>'FS-AD Daily '!R33</f>
        <v>67.882999999989806</v>
      </c>
      <c r="P29" s="71">
        <f>'FS-AD Daily '!Z33</f>
        <v>494</v>
      </c>
      <c r="Q29" s="71">
        <f>'FS-AD Daily '!V33</f>
        <v>169.20000000001164</v>
      </c>
      <c r="R29" s="71">
        <f>'FS-AD Daily '!W33</f>
        <v>0</v>
      </c>
      <c r="S29" s="71">
        <f t="shared" si="0"/>
        <v>324.79999999998836</v>
      </c>
      <c r="T29" s="71">
        <f>'FS-AD Daily '!AD33*3.516</f>
        <v>66330.043200000655</v>
      </c>
      <c r="U29" s="71">
        <f>('FS-AD Daily '!AF33)*1000</f>
        <v>32000</v>
      </c>
      <c r="V29" s="71">
        <f>('FS-AD Daily '!AG33)*1000</f>
        <v>17900.000000001455</v>
      </c>
      <c r="W29" s="71">
        <f>'FS-AD Daily '!AH33*1000</f>
        <v>13200.000000000728</v>
      </c>
      <c r="X29" s="71">
        <f>('FS-AD Daily '!AK33)*1000</f>
        <v>25900.000000001455</v>
      </c>
      <c r="Y29" s="71">
        <v>40</v>
      </c>
      <c r="Z29" s="104">
        <v>61</v>
      </c>
    </row>
    <row r="30" spans="1:26" x14ac:dyDescent="0.25">
      <c r="A30" s="103" t="s">
        <v>80</v>
      </c>
      <c r="B30" s="69">
        <f t="shared" si="1"/>
        <v>29</v>
      </c>
      <c r="C30" s="70">
        <v>4</v>
      </c>
      <c r="D30" s="69">
        <v>2021</v>
      </c>
      <c r="E30" s="71">
        <f>'FS-AD Daily '!B34</f>
        <v>4821</v>
      </c>
      <c r="F30" s="71">
        <f>'FS-AD Daily '!C34</f>
        <v>2944</v>
      </c>
      <c r="G30" s="71">
        <f>'FS-AD Daily '!D34</f>
        <v>806</v>
      </c>
      <c r="H30" s="71">
        <f>'FS-AD Daily '!E34</f>
        <v>5948</v>
      </c>
      <c r="I30" s="71">
        <f>'FS-AD Daily '!F34</f>
        <v>5927</v>
      </c>
      <c r="J30" s="71">
        <f>'FS-AD Daily '!G34</f>
        <v>2506</v>
      </c>
      <c r="K30" s="71">
        <f>'FS-AD Daily '!H34</f>
        <v>4156</v>
      </c>
      <c r="L30" s="71">
        <f>'FS-AD Daily '!I34</f>
        <v>2530</v>
      </c>
      <c r="M30" s="71">
        <f>'FS-AD Daily '!J34</f>
        <v>6413</v>
      </c>
      <c r="N30" s="71">
        <f>'FS-AD Daily '!T34</f>
        <v>134.78100000000268</v>
      </c>
      <c r="O30" s="71">
        <f>'FS-AD Daily '!R34</f>
        <v>71.042000000010376</v>
      </c>
      <c r="P30" s="71">
        <f>'FS-AD Daily '!Z34</f>
        <v>500</v>
      </c>
      <c r="Q30" s="71">
        <f>'FS-AD Daily '!V34</f>
        <v>174.09999999997672</v>
      </c>
      <c r="R30" s="71">
        <f>'FS-AD Daily '!W34</f>
        <v>0</v>
      </c>
      <c r="S30" s="71">
        <f t="shared" si="0"/>
        <v>325.90000000002328</v>
      </c>
      <c r="T30" s="71">
        <f>'FS-AD Daily '!AD34*3.516</f>
        <v>70283.785199999023</v>
      </c>
      <c r="U30" s="71">
        <f>('FS-AD Daily '!AF34)*1000</f>
        <v>34199.99999999709</v>
      </c>
      <c r="V30" s="71">
        <f>('FS-AD Daily '!AG34)*1000</f>
        <v>17900.000000001455</v>
      </c>
      <c r="W30" s="71">
        <f>'FS-AD Daily '!AH34*1000</f>
        <v>13799.999999999272</v>
      </c>
      <c r="X30" s="71">
        <f>('FS-AD Daily '!AK34)*1000</f>
        <v>28000</v>
      </c>
      <c r="Y30" s="71">
        <v>35</v>
      </c>
      <c r="Z30" s="104">
        <v>61</v>
      </c>
    </row>
    <row r="31" spans="1:26" ht="15.75" thickBot="1" x14ac:dyDescent="0.3">
      <c r="A31" s="105" t="s">
        <v>80</v>
      </c>
      <c r="B31" s="106">
        <f t="shared" si="1"/>
        <v>30</v>
      </c>
      <c r="C31" s="107">
        <v>4</v>
      </c>
      <c r="D31" s="106">
        <v>2021</v>
      </c>
      <c r="E31" s="108">
        <f>'FS-AD Daily '!B35</f>
        <v>4810</v>
      </c>
      <c r="F31" s="108">
        <f>'FS-AD Daily '!C35</f>
        <v>3027</v>
      </c>
      <c r="G31" s="108">
        <f>'FS-AD Daily '!D35</f>
        <v>884</v>
      </c>
      <c r="H31" s="108">
        <f>'FS-AD Daily '!E35</f>
        <v>6125</v>
      </c>
      <c r="I31" s="108">
        <f>'FS-AD Daily '!F35</f>
        <v>5984</v>
      </c>
      <c r="J31" s="108">
        <f>'FS-AD Daily '!G35</f>
        <v>2512</v>
      </c>
      <c r="K31" s="108">
        <f>'FS-AD Daily '!H35</f>
        <v>5300</v>
      </c>
      <c r="L31" s="108">
        <f>'FS-AD Daily '!I35</f>
        <v>2427</v>
      </c>
      <c r="M31" s="108">
        <f>'FS-AD Daily '!J35</f>
        <v>6634</v>
      </c>
      <c r="N31" s="108">
        <f>'FS-AD Daily '!T35</f>
        <v>138.625</v>
      </c>
      <c r="O31" s="108">
        <f>'FS-AD Daily '!R35</f>
        <v>81.175999999990381</v>
      </c>
      <c r="P31" s="108">
        <f>'FS-AD Daily '!Z35</f>
        <v>578</v>
      </c>
      <c r="Q31" s="108">
        <f>'FS-AD Daily '!V35</f>
        <v>185</v>
      </c>
      <c r="R31" s="108">
        <f>'FS-AD Daily '!W35</f>
        <v>0</v>
      </c>
      <c r="S31" s="108">
        <f t="shared" si="0"/>
        <v>393</v>
      </c>
      <c r="T31" s="108">
        <f>'FS-AD Daily '!AD35*3.516</f>
        <v>76715.955600000321</v>
      </c>
      <c r="U31" s="108">
        <f>('FS-AD Daily '!AF35)*1000</f>
        <v>37500</v>
      </c>
      <c r="V31" s="108">
        <f>('FS-AD Daily '!AG35)*1000</f>
        <v>22000</v>
      </c>
      <c r="W31" s="108">
        <f>'FS-AD Daily '!AH35*1000</f>
        <v>13900.000000001455</v>
      </c>
      <c r="X31" s="108">
        <f>('FS-AD Daily '!AK35)*1000</f>
        <v>29400.000000001455</v>
      </c>
      <c r="Y31" s="108">
        <v>48</v>
      </c>
      <c r="Z31" s="109">
        <v>84</v>
      </c>
    </row>
    <row r="32" spans="1:26" x14ac:dyDescent="0.25">
      <c r="I32" s="4">
        <f t="shared" ref="I32:W32" si="2">SUM(I2:I31)</f>
        <v>174760</v>
      </c>
      <c r="J32" s="4">
        <f t="shared" si="2"/>
        <v>84616</v>
      </c>
      <c r="K32" s="4">
        <f t="shared" si="2"/>
        <v>156645</v>
      </c>
      <c r="L32" s="4">
        <f t="shared" si="2"/>
        <v>73730</v>
      </c>
      <c r="M32" s="4">
        <f t="shared" si="2"/>
        <v>204673</v>
      </c>
      <c r="N32" s="4">
        <f t="shared" si="2"/>
        <v>4083.4350000000122</v>
      </c>
      <c r="O32" s="4">
        <f t="shared" si="2"/>
        <v>2039.9809999999902</v>
      </c>
      <c r="P32" s="4">
        <f t="shared" si="2"/>
        <v>14980</v>
      </c>
      <c r="Q32" s="4">
        <f t="shared" si="2"/>
        <v>5060.7999999999884</v>
      </c>
      <c r="R32" s="4">
        <f t="shared" si="2"/>
        <v>0</v>
      </c>
      <c r="S32" s="4">
        <f t="shared" si="2"/>
        <v>9919.2000000000116</v>
      </c>
      <c r="T32" s="4">
        <f t="shared" si="2"/>
        <v>1939545.1439999999</v>
      </c>
      <c r="U32" s="4">
        <f t="shared" si="2"/>
        <v>917599.99999999127</v>
      </c>
      <c r="V32" s="4">
        <f t="shared" si="2"/>
        <v>527200.00000000442</v>
      </c>
      <c r="W32" s="4">
        <f t="shared" si="2"/>
        <v>336200.00000000076</v>
      </c>
      <c r="X32" s="4">
        <f>'FS-AD Daily '!U37</f>
        <v>16020.679360000173</v>
      </c>
      <c r="Y32" s="4">
        <f>SUM(Y2:Y31)</f>
        <v>2152</v>
      </c>
      <c r="Z32" s="4">
        <f>SUM(Z2:Z31)</f>
        <v>3644</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opLeftCell="X1" zoomScaleNormal="100" workbookViewId="0">
      <pane ySplit="5" topLeftCell="A24" activePane="bottomLeft" state="frozen"/>
      <selection pane="bottomLeft" activeCell="AK27" sqref="AK2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9" t="s">
        <v>14</v>
      </c>
      <c r="C1" s="129"/>
      <c r="D1" s="129"/>
      <c r="E1" s="129"/>
      <c r="F1" s="129"/>
      <c r="G1" s="129"/>
      <c r="H1" s="129"/>
      <c r="I1" s="129"/>
      <c r="J1" s="129"/>
      <c r="K1" s="25" t="s">
        <v>15</v>
      </c>
      <c r="L1" s="26" t="s">
        <v>16</v>
      </c>
      <c r="M1" s="27" t="s">
        <v>17</v>
      </c>
      <c r="N1" s="28" t="s">
        <v>18</v>
      </c>
      <c r="O1" s="28" t="s">
        <v>19</v>
      </c>
      <c r="P1" s="65" t="s">
        <v>20</v>
      </c>
      <c r="Q1" s="30" t="s">
        <v>21</v>
      </c>
      <c r="R1" s="31" t="s">
        <v>22</v>
      </c>
      <c r="S1" s="29" t="s">
        <v>23</v>
      </c>
      <c r="T1" s="32" t="s">
        <v>24</v>
      </c>
      <c r="U1" s="33" t="s">
        <v>25</v>
      </c>
      <c r="V1" s="32" t="s">
        <v>26</v>
      </c>
      <c r="W1" s="32" t="s">
        <v>27</v>
      </c>
      <c r="X1" s="130" t="s">
        <v>28</v>
      </c>
      <c r="Y1" s="130"/>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3" t="s">
        <v>42</v>
      </c>
      <c r="M2" s="10"/>
      <c r="N2" s="10"/>
      <c r="O2" s="10"/>
      <c r="P2" s="10"/>
      <c r="Q2" s="10"/>
      <c r="R2" s="10"/>
      <c r="S2" s="135"/>
      <c r="T2" s="47"/>
      <c r="U2" s="136"/>
      <c r="V2" s="45"/>
      <c r="W2" s="45"/>
      <c r="X2" s="22">
        <v>1</v>
      </c>
      <c r="Y2" s="22">
        <v>2</v>
      </c>
      <c r="Z2" s="23"/>
      <c r="AA2" s="133" t="s">
        <v>100</v>
      </c>
      <c r="AB2" s="43"/>
      <c r="AC2" s="131" t="s">
        <v>43</v>
      </c>
      <c r="AD2" s="138"/>
      <c r="AE2" s="136" t="s">
        <v>103</v>
      </c>
      <c r="AF2" s="45"/>
      <c r="AG2" s="45"/>
      <c r="AH2" s="45"/>
      <c r="AI2" s="44"/>
      <c r="AJ2" s="44"/>
      <c r="AK2" s="44"/>
      <c r="AL2" s="44"/>
      <c r="AM2" s="136" t="s">
        <v>103</v>
      </c>
      <c r="AN2" s="139"/>
      <c r="AO2" s="137"/>
    </row>
    <row r="3" spans="1:44" ht="15" customHeight="1" x14ac:dyDescent="0.25">
      <c r="A3" s="9"/>
      <c r="B3" s="11" t="s">
        <v>44</v>
      </c>
      <c r="C3" s="11" t="s">
        <v>45</v>
      </c>
      <c r="D3" s="11" t="s">
        <v>46</v>
      </c>
      <c r="E3" s="11" t="s">
        <v>47</v>
      </c>
      <c r="F3" s="11" t="s">
        <v>48</v>
      </c>
      <c r="G3" s="11" t="s">
        <v>49</v>
      </c>
      <c r="H3" s="11" t="s">
        <v>50</v>
      </c>
      <c r="I3" s="11" t="s">
        <v>51</v>
      </c>
      <c r="J3" s="11" t="s">
        <v>52</v>
      </c>
      <c r="K3" s="132"/>
      <c r="L3" s="134"/>
      <c r="M3" s="10"/>
      <c r="N3" s="10"/>
      <c r="O3" s="10"/>
      <c r="P3" s="10"/>
      <c r="Q3" s="10"/>
      <c r="R3" s="10"/>
      <c r="S3" s="135"/>
      <c r="T3" s="47"/>
      <c r="U3" s="136"/>
      <c r="V3" s="45"/>
      <c r="W3" s="45"/>
      <c r="X3" s="11"/>
      <c r="Y3" s="11"/>
      <c r="Z3" s="12"/>
      <c r="AA3" s="133"/>
      <c r="AB3" s="43"/>
      <c r="AC3" s="131"/>
      <c r="AD3" s="138"/>
      <c r="AE3" s="136"/>
      <c r="AF3" s="45"/>
      <c r="AG3" s="45"/>
      <c r="AH3" s="45"/>
      <c r="AI3" s="13"/>
      <c r="AJ3" s="44"/>
      <c r="AK3" s="44"/>
      <c r="AL3" s="44"/>
      <c r="AM3" s="136"/>
      <c r="AN3" s="139"/>
      <c r="AO3" s="137"/>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5"/>
      <c r="T4" s="47"/>
      <c r="U4" s="136"/>
      <c r="V4" s="45"/>
      <c r="W4" s="45"/>
      <c r="X4" s="52"/>
      <c r="Y4" s="87">
        <v>810372</v>
      </c>
      <c r="Z4" s="12"/>
      <c r="AA4" s="133"/>
      <c r="AB4" s="87">
        <v>3429882</v>
      </c>
      <c r="AC4" s="131"/>
      <c r="AD4" s="138"/>
      <c r="AE4" s="136"/>
      <c r="AF4" s="45"/>
      <c r="AG4" s="45"/>
      <c r="AH4" s="45"/>
      <c r="AI4" s="43">
        <v>41552</v>
      </c>
      <c r="AJ4" s="43"/>
      <c r="AK4" s="43"/>
      <c r="AL4" s="43"/>
      <c r="AM4" s="136"/>
      <c r="AN4" s="139"/>
      <c r="AO4" s="137"/>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44287</v>
      </c>
      <c r="B6" s="86">
        <f>11617934-11613055</f>
        <v>4879</v>
      </c>
      <c r="C6" s="86">
        <f>7398187-7396022</f>
        <v>2165</v>
      </c>
      <c r="D6" s="86">
        <f>1436092-1435171</f>
        <v>921</v>
      </c>
      <c r="E6" s="86">
        <f>11010382-11004972</f>
        <v>5410</v>
      </c>
      <c r="F6" s="86">
        <f>10892632-10886790</f>
        <v>5842</v>
      </c>
      <c r="G6" s="86">
        <f>8003252-8000235</f>
        <v>3017</v>
      </c>
      <c r="H6" s="86">
        <f>7935105-7929691</f>
        <v>5414</v>
      </c>
      <c r="I6" s="86">
        <f>4958088-4955695</f>
        <v>2393</v>
      </c>
      <c r="J6" s="86">
        <f>10851502-10844037</f>
        <v>7465</v>
      </c>
      <c r="K6" s="63">
        <f>SUM(B6:H6)</f>
        <v>27648</v>
      </c>
      <c r="L6" s="40">
        <f>K6*0.2</f>
        <v>5529.6</v>
      </c>
      <c r="M6" s="83">
        <f>66651.181-66497.601</f>
        <v>153.58000000000175</v>
      </c>
      <c r="N6" s="83">
        <f>4071.062-4069.03</f>
        <v>2.031999999999698</v>
      </c>
      <c r="O6" s="83">
        <f>9321.863-9319.065</f>
        <v>2.797999999998865</v>
      </c>
      <c r="P6" s="82">
        <f>84191.214-84111.334</f>
        <v>79.880000000004657</v>
      </c>
      <c r="Q6" s="83">
        <f>22860.248-22847.698</f>
        <v>12.549999999999272</v>
      </c>
      <c r="R6" s="84">
        <f t="shared" ref="R6:R34" si="0">N6+O6+P6</f>
        <v>84.71000000000322</v>
      </c>
      <c r="S6" s="84">
        <f t="shared" ref="S6:S34" si="1">(N6+O6+P6)*7.84</f>
        <v>664.12640000002523</v>
      </c>
      <c r="T6" s="64">
        <f t="shared" ref="T6:T34" si="2">M6+Q6</f>
        <v>166.13000000000102</v>
      </c>
      <c r="U6" s="84">
        <f>T6*7.84</f>
        <v>1302.459200000008</v>
      </c>
      <c r="V6" s="84">
        <f>335975.8-335710.2</f>
        <v>265.59999999997672</v>
      </c>
      <c r="W6" s="64">
        <f t="shared" ref="W6:W35" si="3">129959.4-129959.4</f>
        <v>0</v>
      </c>
      <c r="X6" s="85" t="s">
        <v>63</v>
      </c>
      <c r="Y6" s="85">
        <v>810981</v>
      </c>
      <c r="Z6" s="61">
        <f>IF((Y6-Y5&lt;0), "0",Y6-Y4)</f>
        <v>609</v>
      </c>
      <c r="AA6" s="90">
        <f>Z6*6.47</f>
        <v>3940.23</v>
      </c>
      <c r="AB6" s="75">
        <v>3445634.3</v>
      </c>
      <c r="AC6" s="75">
        <f>AB4</f>
        <v>3429882</v>
      </c>
      <c r="AD6" s="41">
        <f t="shared" ref="AD6:AD35" si="4">IF((AB6-AC6&lt;0), "0",AB6-AC6)</f>
        <v>15752.299999999814</v>
      </c>
      <c r="AE6" s="84">
        <f>AD6*0.332195</f>
        <v>5232.8352984999383</v>
      </c>
      <c r="AF6" s="84">
        <f>83562.5-83538.3</f>
        <v>24.19999999999709</v>
      </c>
      <c r="AG6" s="84">
        <f>43448.2-43433.3</f>
        <v>14.899999999994179</v>
      </c>
      <c r="AH6" s="84">
        <f>26308.4-26298.7</f>
        <v>9.7000000000007276</v>
      </c>
      <c r="AI6" s="75">
        <f>AI4</f>
        <v>41552</v>
      </c>
      <c r="AJ6" s="75">
        <v>41575.4</v>
      </c>
      <c r="AK6" s="59">
        <f>IF((AJ6-AI6)&lt;0, "0",AJ6-AI6)</f>
        <v>23.400000000001455</v>
      </c>
      <c r="AL6" s="128">
        <f t="shared" ref="AL6:AL34" si="5">AK6*(284.34513609)</f>
        <v>6653.6761845064129</v>
      </c>
      <c r="AM6" s="84">
        <f>AL6*0.332195</f>
        <v>2210.3179601121078</v>
      </c>
      <c r="AN6" s="101">
        <v>132</v>
      </c>
      <c r="AO6" s="77">
        <f t="shared" ref="AO6:AO34" si="6">L6+U6+AA6+AE6</f>
        <v>16005.124498499947</v>
      </c>
    </row>
    <row r="7" spans="1:44" x14ac:dyDescent="0.25">
      <c r="A7" s="79">
        <v>44288</v>
      </c>
      <c r="B7" s="86">
        <f>11622819-11617934</f>
        <v>4885</v>
      </c>
      <c r="C7" s="86">
        <f>7400546-7398187</f>
        <v>2359</v>
      </c>
      <c r="D7" s="86">
        <f>1437042-1436092</f>
        <v>950</v>
      </c>
      <c r="E7" s="86">
        <f>11015780-11010382</f>
        <v>5398</v>
      </c>
      <c r="F7" s="86">
        <f>10898677-10892632</f>
        <v>6045</v>
      </c>
      <c r="G7" s="86">
        <f>8006348-8003252</f>
        <v>3096</v>
      </c>
      <c r="H7" s="86">
        <f>7940568-7935105</f>
        <v>5463</v>
      </c>
      <c r="I7" s="86">
        <f>4960561-4958088</f>
        <v>2473</v>
      </c>
      <c r="J7" s="86">
        <f>10859094-10851502</f>
        <v>7592</v>
      </c>
      <c r="K7" s="86">
        <f>SUM(B7:H7)</f>
        <v>28196</v>
      </c>
      <c r="L7" s="14">
        <f>K7*0.2</f>
        <v>5639.2000000000007</v>
      </c>
      <c r="M7" s="83">
        <f>66789.55-66651.18</f>
        <v>138.3700000000099</v>
      </c>
      <c r="N7" s="83">
        <f>4072.962-4071.062</f>
        <v>1.9000000000000909</v>
      </c>
      <c r="O7" s="83">
        <f>9322.359-9321.863</f>
        <v>0.49600000000100408</v>
      </c>
      <c r="P7" s="82">
        <f>84264.68-84191.214</f>
        <v>73.465999999985797</v>
      </c>
      <c r="Q7" s="83">
        <f>22870.959-22860.248</f>
        <v>10.710999999999331</v>
      </c>
      <c r="R7" s="83">
        <f t="shared" si="0"/>
        <v>75.861999999986892</v>
      </c>
      <c r="S7" s="83">
        <f>(N7+O7+P7)*7.84</f>
        <v>594.75807999989718</v>
      </c>
      <c r="T7" s="83">
        <f>M7+Q7</f>
        <v>149.08100000000923</v>
      </c>
      <c r="U7" s="83">
        <f>T7*7.84</f>
        <v>1168.7950400000723</v>
      </c>
      <c r="V7" s="83">
        <f>336227.3-335975.8</f>
        <v>251.5</v>
      </c>
      <c r="W7" s="83">
        <f t="shared" si="3"/>
        <v>0</v>
      </c>
      <c r="X7" s="86" t="s">
        <v>63</v>
      </c>
      <c r="Y7" s="86">
        <v>811609</v>
      </c>
      <c r="Z7" s="5">
        <f>IF((Y7-Y6&lt;0), "0",Y7-Y6)</f>
        <v>628</v>
      </c>
      <c r="AA7" s="14">
        <f t="shared" ref="AA7:AA34" si="7">Z7*6.47</f>
        <v>4063.16</v>
      </c>
      <c r="AB7" s="87">
        <v>3462848</v>
      </c>
      <c r="AC7" s="87">
        <f>AB6</f>
        <v>3445634.3</v>
      </c>
      <c r="AD7" s="5">
        <f t="shared" si="4"/>
        <v>17213.700000000186</v>
      </c>
      <c r="AE7" s="83">
        <f>AD7*0.332195</f>
        <v>5718.3050715000618</v>
      </c>
      <c r="AF7" s="83">
        <f>83589.5-83562.3</f>
        <v>27.19999999999709</v>
      </c>
      <c r="AG7" s="83">
        <f>43462.9-43448.2</f>
        <v>14.700000000004366</v>
      </c>
      <c r="AH7" s="83">
        <f>26318.8-26308.4</f>
        <v>10.399999999997817</v>
      </c>
      <c r="AI7" s="87">
        <f>AJ6</f>
        <v>41575.4</v>
      </c>
      <c r="AJ7" s="86">
        <v>41599.599999999999</v>
      </c>
      <c r="AK7" s="48">
        <f t="shared" ref="AK7:AK34" si="8">IF((AJ7-AI7)&lt;0, "0",AJ7-AI7)</f>
        <v>24.19999999999709</v>
      </c>
      <c r="AL7" s="89">
        <f t="shared" si="5"/>
        <v>6881.1522933771721</v>
      </c>
      <c r="AM7" s="83">
        <f>AL7*0.332195</f>
        <v>2285.8843860984298</v>
      </c>
      <c r="AN7" s="71">
        <v>146</v>
      </c>
      <c r="AO7" s="78">
        <f t="shared" si="6"/>
        <v>16589.460111500135</v>
      </c>
    </row>
    <row r="8" spans="1:44" x14ac:dyDescent="0.25">
      <c r="A8" s="79">
        <v>44289</v>
      </c>
      <c r="B8" s="86">
        <f>11627601-11622819</f>
        <v>4782</v>
      </c>
      <c r="C8" s="86">
        <f>7403557-7400546</f>
        <v>3011</v>
      </c>
      <c r="D8" s="86">
        <f>1437935-1437042</f>
        <v>893</v>
      </c>
      <c r="E8" s="86">
        <f>11021059-11015780</f>
        <v>5279</v>
      </c>
      <c r="F8" s="86">
        <f>10904336-10898677</f>
        <v>5659</v>
      </c>
      <c r="G8" s="86">
        <f>8009303-8006348</f>
        <v>2955</v>
      </c>
      <c r="H8" s="86">
        <f>7945032-7940568</f>
        <v>4464</v>
      </c>
      <c r="I8" s="86">
        <f>4962973-4960561</f>
        <v>2412</v>
      </c>
      <c r="J8" s="86">
        <f>10866350-10859094</f>
        <v>7256</v>
      </c>
      <c r="K8" s="86">
        <f>SUM(B8:H8)</f>
        <v>27043</v>
      </c>
      <c r="L8" s="14">
        <f t="shared" ref="L8:L34" si="9">K8*0.2</f>
        <v>5408.6</v>
      </c>
      <c r="M8" s="83">
        <f>66948.1-66789.55</f>
        <v>158.55000000000291</v>
      </c>
      <c r="N8" s="83">
        <f>4075.566-4072.962</f>
        <v>2.6039999999998145</v>
      </c>
      <c r="O8" s="83">
        <f>9323.124-9322.359</f>
        <v>0.76499999999941792</v>
      </c>
      <c r="P8" s="82">
        <f>84342.634-84264.68</f>
        <v>77.954000000012456</v>
      </c>
      <c r="Q8" s="83">
        <f>22884.053-22870.959</f>
        <v>13.09400000000096</v>
      </c>
      <c r="R8" s="83">
        <f t="shared" si="0"/>
        <v>81.323000000011689</v>
      </c>
      <c r="S8" s="83">
        <f>(N8+O8+P8)*7.84</f>
        <v>637.57232000009162</v>
      </c>
      <c r="T8" s="83">
        <f>M8+Q8</f>
        <v>171.64400000000387</v>
      </c>
      <c r="U8" s="83">
        <f>T8*7.84</f>
        <v>1345.6889600000304</v>
      </c>
      <c r="V8" s="83">
        <f>336488.6-336227.3</f>
        <v>261.29999999998836</v>
      </c>
      <c r="W8" s="83">
        <f t="shared" si="3"/>
        <v>0</v>
      </c>
      <c r="X8" s="86" t="s">
        <v>63</v>
      </c>
      <c r="Y8" s="86">
        <v>812204</v>
      </c>
      <c r="Z8" s="5">
        <f t="shared" ref="Z8:Z34" si="10">IF((Y8-Y7&lt;0), "0",Y8-Y7)</f>
        <v>595</v>
      </c>
      <c r="AA8" s="14">
        <f t="shared" si="7"/>
        <v>3849.6499999999996</v>
      </c>
      <c r="AB8" s="87">
        <v>3480282.1</v>
      </c>
      <c r="AC8" s="87">
        <f t="shared" ref="AC8:AC35" si="11">AB7</f>
        <v>3462848</v>
      </c>
      <c r="AD8" s="5">
        <f t="shared" si="4"/>
        <v>17434.100000000093</v>
      </c>
      <c r="AE8" s="83">
        <f t="shared" ref="AE8:AE35" si="12">AD8*0.332195</f>
        <v>5791.5208495000315</v>
      </c>
      <c r="AF8" s="83">
        <f>83617.2-83589.5</f>
        <v>27.69999999999709</v>
      </c>
      <c r="AG8" s="83">
        <f>43477.1-43462.9</f>
        <v>14.19999999999709</v>
      </c>
      <c r="AH8" s="83">
        <f>26329.6-26318.8</f>
        <v>10.799999999999272</v>
      </c>
      <c r="AI8" s="87">
        <f t="shared" ref="AI8:AI35" si="13">AJ7</f>
        <v>41599.599999999999</v>
      </c>
      <c r="AJ8" s="86">
        <v>41625.1</v>
      </c>
      <c r="AK8" s="48">
        <f t="shared" si="8"/>
        <v>25.5</v>
      </c>
      <c r="AL8" s="89">
        <f t="shared" si="5"/>
        <v>7250.8009702949994</v>
      </c>
      <c r="AM8" s="83">
        <f t="shared" ref="AM8:AM35" si="14">AL8*0.332195</f>
        <v>2408.6798283271473</v>
      </c>
      <c r="AN8" s="71">
        <v>110</v>
      </c>
      <c r="AO8" s="78">
        <f t="shared" si="6"/>
        <v>16395.459809500062</v>
      </c>
    </row>
    <row r="9" spans="1:44" x14ac:dyDescent="0.25">
      <c r="A9" s="79">
        <v>44290</v>
      </c>
      <c r="B9" s="86">
        <f>11632950-11627601</f>
        <v>5349</v>
      </c>
      <c r="C9" s="86">
        <f>7406193-7403557</f>
        <v>2636</v>
      </c>
      <c r="D9" s="86">
        <f>1438870-1437935</f>
        <v>935</v>
      </c>
      <c r="E9" s="86">
        <f>11026400-11021059</f>
        <v>5341</v>
      </c>
      <c r="F9" s="86">
        <f>10910249-10904336</f>
        <v>5913</v>
      </c>
      <c r="G9" s="86">
        <f>8012666-8009303</f>
        <v>3363</v>
      </c>
      <c r="H9" s="86">
        <f>7951760-7945032</f>
        <v>6728</v>
      </c>
      <c r="I9" s="86">
        <f>4965409-4962973</f>
        <v>2436</v>
      </c>
      <c r="J9" s="86">
        <f>10873560-10866350</f>
        <v>7210</v>
      </c>
      <c r="K9" s="86">
        <f t="shared" ref="K9:K34" si="15">SUM(B9:H9)</f>
        <v>30265</v>
      </c>
      <c r="L9" s="14">
        <f t="shared" si="9"/>
        <v>6053</v>
      </c>
      <c r="M9" s="83">
        <f>67088.109-66948.1</f>
        <v>140.00899999999092</v>
      </c>
      <c r="N9" s="83">
        <f>4076.949-4075.566</f>
        <v>1.3830000000002656</v>
      </c>
      <c r="O9" s="83">
        <f>9323.74-9323.124</f>
        <v>0.61599999999998545</v>
      </c>
      <c r="P9" s="82">
        <f>84411.4-84342.634</f>
        <v>68.765999999988708</v>
      </c>
      <c r="Q9" s="83">
        <f>22894.811-22884.053</f>
        <v>10.75800000000163</v>
      </c>
      <c r="R9" s="83">
        <f t="shared" si="0"/>
        <v>70.764999999988959</v>
      </c>
      <c r="S9" s="83">
        <f t="shared" si="1"/>
        <v>554.79759999991347</v>
      </c>
      <c r="T9" s="83">
        <f t="shared" si="2"/>
        <v>150.76699999999255</v>
      </c>
      <c r="U9" s="83">
        <f t="shared" ref="U9:U36" si="16">T9*7.84</f>
        <v>1182.0132799999415</v>
      </c>
      <c r="V9" s="83">
        <f>336735.1-336488.6</f>
        <v>246.5</v>
      </c>
      <c r="W9" s="83">
        <f t="shared" si="3"/>
        <v>0</v>
      </c>
      <c r="X9" s="86" t="s">
        <v>63</v>
      </c>
      <c r="Y9" s="86">
        <v>812784</v>
      </c>
      <c r="Z9" s="5">
        <f t="shared" si="10"/>
        <v>580</v>
      </c>
      <c r="AA9" s="14">
        <f t="shared" si="7"/>
        <v>3752.6</v>
      </c>
      <c r="AB9" s="87">
        <v>3498009.1</v>
      </c>
      <c r="AC9" s="87">
        <f t="shared" si="11"/>
        <v>3480282.1</v>
      </c>
      <c r="AD9" s="5">
        <f t="shared" si="4"/>
        <v>17727</v>
      </c>
      <c r="AE9" s="83">
        <f t="shared" si="12"/>
        <v>5888.8207650000004</v>
      </c>
      <c r="AF9" s="83">
        <f>83645.8-83617.2</f>
        <v>28.600000000005821</v>
      </c>
      <c r="AG9" s="83">
        <f>43493.7-43477.1</f>
        <v>16.599999999998545</v>
      </c>
      <c r="AH9" s="83">
        <f>26339.6-26329.6</f>
        <v>10</v>
      </c>
      <c r="AI9" s="87">
        <f t="shared" si="13"/>
        <v>41625.1</v>
      </c>
      <c r="AJ9" s="86">
        <v>41649.5</v>
      </c>
      <c r="AK9" s="48">
        <f t="shared" si="8"/>
        <v>24.400000000001455</v>
      </c>
      <c r="AL9" s="89">
        <f t="shared" si="5"/>
        <v>6938.0213205964137</v>
      </c>
      <c r="AM9" s="83">
        <f t="shared" si="14"/>
        <v>2304.7759925955256</v>
      </c>
      <c r="AN9" s="71">
        <v>138</v>
      </c>
      <c r="AO9" s="78">
        <f t="shared" si="6"/>
        <v>16876.434044999944</v>
      </c>
    </row>
    <row r="10" spans="1:44" x14ac:dyDescent="0.25">
      <c r="A10" s="79">
        <v>44291</v>
      </c>
      <c r="B10" s="86">
        <f>11639952-11632950</f>
        <v>7002</v>
      </c>
      <c r="C10" s="86">
        <f>7408796-7406193</f>
        <v>2603</v>
      </c>
      <c r="D10" s="86">
        <f>1439811-1438870</f>
        <v>941</v>
      </c>
      <c r="E10" s="86">
        <f>11031662-11026400</f>
        <v>5262</v>
      </c>
      <c r="F10" s="86">
        <f>10916469-10910249</f>
        <v>6220</v>
      </c>
      <c r="G10" s="86">
        <f>8015497-8012666</f>
        <v>2831</v>
      </c>
      <c r="H10" s="86">
        <f>7957218-7951760</f>
        <v>5458</v>
      </c>
      <c r="I10" s="86">
        <f>4967666-4965409</f>
        <v>2257</v>
      </c>
      <c r="J10" s="86">
        <f>10880795-10873560</f>
        <v>7235</v>
      </c>
      <c r="K10" s="86">
        <f t="shared" si="15"/>
        <v>30317</v>
      </c>
      <c r="L10" s="14">
        <f t="shared" si="9"/>
        <v>6063.4000000000005</v>
      </c>
      <c r="M10" s="83">
        <f>67235.851-67088.109</f>
        <v>147.74199999999837</v>
      </c>
      <c r="N10" s="83">
        <f>4079.913-4076.949</f>
        <v>2.9639999999999418</v>
      </c>
      <c r="O10" s="83">
        <f>9324.234-9323.74</f>
        <v>0.49400000000059663</v>
      </c>
      <c r="P10" s="82">
        <f>84478.477-84411.4</f>
        <v>67.077000000004773</v>
      </c>
      <c r="Q10" s="83">
        <f>22906.011-22894.811</f>
        <v>11.19999999999709</v>
      </c>
      <c r="R10" s="83">
        <f t="shared" si="0"/>
        <v>70.535000000005311</v>
      </c>
      <c r="S10" s="83">
        <f t="shared" si="1"/>
        <v>552.99440000004165</v>
      </c>
      <c r="T10" s="83">
        <f t="shared" si="2"/>
        <v>158.94199999999546</v>
      </c>
      <c r="U10" s="83">
        <f t="shared" si="16"/>
        <v>1246.1052799999643</v>
      </c>
      <c r="V10" s="83">
        <f>336991.4-336735.1</f>
        <v>256.30000000004657</v>
      </c>
      <c r="W10" s="83">
        <f t="shared" si="3"/>
        <v>0</v>
      </c>
      <c r="X10" s="86" t="s">
        <v>63</v>
      </c>
      <c r="Y10" s="86">
        <v>813364</v>
      </c>
      <c r="Z10" s="5">
        <f t="shared" si="10"/>
        <v>580</v>
      </c>
      <c r="AA10" s="14">
        <f t="shared" si="7"/>
        <v>3752.6</v>
      </c>
      <c r="AB10" s="87">
        <v>3513555</v>
      </c>
      <c r="AC10" s="87">
        <f t="shared" si="11"/>
        <v>3498009.1</v>
      </c>
      <c r="AD10" s="5">
        <f t="shared" si="4"/>
        <v>15545.899999999907</v>
      </c>
      <c r="AE10" s="83">
        <f t="shared" si="12"/>
        <v>5164.2702504999697</v>
      </c>
      <c r="AF10" s="83">
        <f>83671-83645.8</f>
        <v>25.19999999999709</v>
      </c>
      <c r="AG10" s="83">
        <f>43507.8-43493.7</f>
        <v>14.100000000005821</v>
      </c>
      <c r="AH10" s="83">
        <f>26348.2-26339.6</f>
        <v>8.6000000000021828</v>
      </c>
      <c r="AI10" s="87">
        <f t="shared" si="13"/>
        <v>41649.5</v>
      </c>
      <c r="AJ10" s="87">
        <v>41672.5</v>
      </c>
      <c r="AK10" s="48">
        <f t="shared" si="8"/>
        <v>23</v>
      </c>
      <c r="AL10" s="89">
        <f t="shared" si="5"/>
        <v>6539.9381300699997</v>
      </c>
      <c r="AM10" s="83">
        <f t="shared" si="14"/>
        <v>2172.5347471186037</v>
      </c>
      <c r="AN10" s="71">
        <v>146</v>
      </c>
      <c r="AO10" s="78">
        <f t="shared" si="6"/>
        <v>16226.375530499936</v>
      </c>
    </row>
    <row r="11" spans="1:44" x14ac:dyDescent="0.25">
      <c r="A11" s="79">
        <v>44292</v>
      </c>
      <c r="B11" s="86">
        <f>11647088-11639952</f>
        <v>7136</v>
      </c>
      <c r="C11" s="86">
        <f>7411639-7408796</f>
        <v>2843</v>
      </c>
      <c r="D11" s="86">
        <f>1440590-1439811</f>
        <v>779</v>
      </c>
      <c r="E11" s="86">
        <f>11036978-11031662</f>
        <v>5316</v>
      </c>
      <c r="F11" s="86">
        <f>10921903-10916469</f>
        <v>5434</v>
      </c>
      <c r="G11" s="86">
        <f>8018622-8015497</f>
        <v>3125</v>
      </c>
      <c r="H11" s="86">
        <f>7962592-7957218</f>
        <v>5374</v>
      </c>
      <c r="I11" s="86">
        <f>4970049-4967666</f>
        <v>2383</v>
      </c>
      <c r="J11" s="86">
        <f>10887446-10880795</f>
        <v>6651</v>
      </c>
      <c r="K11" s="86">
        <f t="shared" si="15"/>
        <v>30007</v>
      </c>
      <c r="L11" s="14">
        <f t="shared" si="9"/>
        <v>6001.4000000000005</v>
      </c>
      <c r="M11" s="83">
        <f>67399.44-67235.851</f>
        <v>163.58900000000722</v>
      </c>
      <c r="N11" s="83">
        <f>4081.394-4079.913</f>
        <v>1.4809999999997672</v>
      </c>
      <c r="O11" s="83">
        <f>9324.808-9324.234</f>
        <v>0.57400000000052387</v>
      </c>
      <c r="P11" s="82">
        <f>84553.858-84478.477</f>
        <v>75.380999999993946</v>
      </c>
      <c r="Q11" s="83">
        <f>22917.669-22906.011</f>
        <v>11.658000000003085</v>
      </c>
      <c r="R11" s="83">
        <f t="shared" si="0"/>
        <v>77.435999999994237</v>
      </c>
      <c r="S11" s="83">
        <f t="shared" si="1"/>
        <v>607.09823999995479</v>
      </c>
      <c r="T11" s="83">
        <f t="shared" si="2"/>
        <v>175.2470000000103</v>
      </c>
      <c r="U11" s="83">
        <f t="shared" si="16"/>
        <v>1373.9364800000808</v>
      </c>
      <c r="V11" s="83">
        <f>337249.8-336991.4</f>
        <v>258.39999999996508</v>
      </c>
      <c r="W11" s="83">
        <f t="shared" si="3"/>
        <v>0</v>
      </c>
      <c r="X11" s="86" t="s">
        <v>63</v>
      </c>
      <c r="Y11" s="86">
        <v>813943</v>
      </c>
      <c r="Z11" s="5">
        <f t="shared" si="10"/>
        <v>579</v>
      </c>
      <c r="AA11" s="14">
        <f t="shared" si="7"/>
        <v>3746.1299999999997</v>
      </c>
      <c r="AB11" s="87">
        <v>3529690.6</v>
      </c>
      <c r="AC11" s="87">
        <f t="shared" si="11"/>
        <v>3513555</v>
      </c>
      <c r="AD11" s="5">
        <f t="shared" si="4"/>
        <v>16135.600000000093</v>
      </c>
      <c r="AE11" s="83">
        <f t="shared" si="12"/>
        <v>5360.1656420000309</v>
      </c>
      <c r="AF11" s="83">
        <f>83697.6-83671.2</f>
        <v>26.400000000008731</v>
      </c>
      <c r="AG11" s="83">
        <f>43521.5-43507.8</f>
        <v>13.69999999999709</v>
      </c>
      <c r="AH11" s="83">
        <f>26356.7-26348.2</f>
        <v>8.5</v>
      </c>
      <c r="AI11" s="87">
        <f t="shared" si="13"/>
        <v>41672.5</v>
      </c>
      <c r="AJ11" s="87">
        <v>41696.300000000003</v>
      </c>
      <c r="AK11" s="48">
        <f t="shared" si="8"/>
        <v>23.80000000000291</v>
      </c>
      <c r="AL11" s="89">
        <f t="shared" si="5"/>
        <v>6767.4142389428271</v>
      </c>
      <c r="AM11" s="83">
        <f t="shared" si="14"/>
        <v>2248.1011731056124</v>
      </c>
      <c r="AN11" s="71">
        <v>152</v>
      </c>
      <c r="AO11" s="78">
        <f t="shared" si="6"/>
        <v>16481.632122000112</v>
      </c>
    </row>
    <row r="12" spans="1:44" x14ac:dyDescent="0.25">
      <c r="A12" s="79">
        <v>44293</v>
      </c>
      <c r="B12" s="86">
        <f>11652499-11647088</f>
        <v>5411</v>
      </c>
      <c r="C12" s="86">
        <f>7414406-7411639</f>
        <v>2767</v>
      </c>
      <c r="D12" s="86">
        <f>1441508-1440590</f>
        <v>918</v>
      </c>
      <c r="E12" s="86">
        <f>11042459-11036978</f>
        <v>5481</v>
      </c>
      <c r="F12" s="86">
        <f>10927876-10921903</f>
        <v>5973</v>
      </c>
      <c r="G12" s="86">
        <f>8021817-8018622</f>
        <v>3195</v>
      </c>
      <c r="H12" s="86">
        <f>7970396-7962592</f>
        <v>7804</v>
      </c>
      <c r="I12" s="86">
        <f>4972470-4970049</f>
        <v>2421</v>
      </c>
      <c r="J12" s="86">
        <f>10894682-10887446</f>
        <v>7236</v>
      </c>
      <c r="K12" s="86">
        <f t="shared" si="15"/>
        <v>31549</v>
      </c>
      <c r="L12" s="14">
        <f t="shared" si="9"/>
        <v>6309.8</v>
      </c>
      <c r="M12" s="83">
        <f>67541.754-67399.44</f>
        <v>142.31399999999849</v>
      </c>
      <c r="N12" s="83">
        <f>4082.942-4081.394</f>
        <v>1.5480000000002292</v>
      </c>
      <c r="O12" s="83">
        <f>9325.436-9324.808</f>
        <v>0.62799999999879219</v>
      </c>
      <c r="P12" s="82">
        <f>84626.926-84553.858</f>
        <v>73.068000000013853</v>
      </c>
      <c r="Q12" s="83">
        <f>22937.614-22917.669</f>
        <v>19.944999999999709</v>
      </c>
      <c r="R12" s="83">
        <f t="shared" si="0"/>
        <v>75.244000000012875</v>
      </c>
      <c r="S12" s="83">
        <f t="shared" si="1"/>
        <v>589.91296000010095</v>
      </c>
      <c r="T12" s="83">
        <f t="shared" si="2"/>
        <v>162.2589999999982</v>
      </c>
      <c r="U12" s="83">
        <f t="shared" si="16"/>
        <v>1272.1105599999858</v>
      </c>
      <c r="V12" s="83">
        <f>337496.3-337249.8</f>
        <v>246.5</v>
      </c>
      <c r="W12" s="83">
        <f t="shared" si="3"/>
        <v>0</v>
      </c>
      <c r="X12" s="86" t="s">
        <v>63</v>
      </c>
      <c r="Y12" s="86">
        <v>814521</v>
      </c>
      <c r="Z12" s="5">
        <f t="shared" si="10"/>
        <v>578</v>
      </c>
      <c r="AA12" s="14">
        <f t="shared" si="7"/>
        <v>3739.66</v>
      </c>
      <c r="AB12" s="87">
        <v>3548232.7</v>
      </c>
      <c r="AC12" s="87">
        <f t="shared" si="11"/>
        <v>3529690.6</v>
      </c>
      <c r="AD12" s="5">
        <f t="shared" si="4"/>
        <v>18542.100000000093</v>
      </c>
      <c r="AE12" s="83">
        <f t="shared" si="12"/>
        <v>6159.5929095000311</v>
      </c>
      <c r="AF12" s="83">
        <f>83727.3-83697.6</f>
        <v>29.69999999999709</v>
      </c>
      <c r="AG12" s="83">
        <f>43539-43521.5</f>
        <v>17.5</v>
      </c>
      <c r="AH12" s="83">
        <f>26366-26356.7</f>
        <v>9.2999999999992724</v>
      </c>
      <c r="AI12" s="87">
        <f t="shared" si="13"/>
        <v>41696.300000000003</v>
      </c>
      <c r="AJ12" s="87">
        <v>41721.599999999999</v>
      </c>
      <c r="AK12" s="48">
        <f t="shared" si="8"/>
        <v>25.299999999995634</v>
      </c>
      <c r="AL12" s="89">
        <f t="shared" si="5"/>
        <v>7193.9319430757587</v>
      </c>
      <c r="AM12" s="83">
        <f t="shared" si="14"/>
        <v>2389.788221830052</v>
      </c>
      <c r="AN12" s="71">
        <v>135</v>
      </c>
      <c r="AO12" s="78">
        <f t="shared" si="6"/>
        <v>17481.163469500018</v>
      </c>
    </row>
    <row r="13" spans="1:44" x14ac:dyDescent="0.25">
      <c r="A13" s="79">
        <v>44294</v>
      </c>
      <c r="B13" s="86">
        <f>11657199-11652499</f>
        <v>4700</v>
      </c>
      <c r="C13" s="86">
        <f>7417579-7414406</f>
        <v>3173</v>
      </c>
      <c r="D13" s="86">
        <f>1442408-1441508</f>
        <v>900</v>
      </c>
      <c r="E13" s="86">
        <f>11047925-11042459</f>
        <v>5466</v>
      </c>
      <c r="F13" s="86">
        <f>10933748-10927876</f>
        <v>5872</v>
      </c>
      <c r="G13" s="86">
        <f>8024999-8021817</f>
        <v>3182</v>
      </c>
      <c r="H13" s="86">
        <f>7978058-7970396</f>
        <v>7662</v>
      </c>
      <c r="I13" s="86">
        <f>4974878-4972470</f>
        <v>2408</v>
      </c>
      <c r="J13" s="86">
        <f>10901898-10894682</f>
        <v>7216</v>
      </c>
      <c r="K13" s="86">
        <f t="shared" si="15"/>
        <v>30955</v>
      </c>
      <c r="L13" s="14">
        <f t="shared" si="9"/>
        <v>6191</v>
      </c>
      <c r="M13" s="83">
        <f>67707.354-67541.754</f>
        <v>165.60000000000582</v>
      </c>
      <c r="N13" s="83">
        <f>4084.186-4082.942</f>
        <v>1.2440000000001419</v>
      </c>
      <c r="O13" s="83">
        <f>9326.089-9325.436</f>
        <v>0.65300000000024738</v>
      </c>
      <c r="P13" s="82">
        <f>84699.55-84626.926</f>
        <v>72.623999999996158</v>
      </c>
      <c r="Q13" s="83">
        <f>22944.523-22937.614</f>
        <v>6.9089999999996508</v>
      </c>
      <c r="R13" s="83">
        <f t="shared" si="0"/>
        <v>74.520999999996548</v>
      </c>
      <c r="S13" s="83">
        <f t="shared" si="1"/>
        <v>584.24463999997295</v>
      </c>
      <c r="T13" s="83">
        <f t="shared" si="2"/>
        <v>172.50900000000547</v>
      </c>
      <c r="U13" s="83">
        <f t="shared" si="16"/>
        <v>1352.470560000043</v>
      </c>
      <c r="V13" s="83">
        <f>337754.6-337496.3</f>
        <v>258.29999999998836</v>
      </c>
      <c r="W13" s="83">
        <f t="shared" si="3"/>
        <v>0</v>
      </c>
      <c r="X13" s="86" t="s">
        <v>63</v>
      </c>
      <c r="Y13" s="86">
        <v>815103</v>
      </c>
      <c r="Z13" s="5">
        <f t="shared" si="10"/>
        <v>582</v>
      </c>
      <c r="AA13" s="14">
        <f t="shared" si="7"/>
        <v>3765.54</v>
      </c>
      <c r="AB13" s="87">
        <v>3566895</v>
      </c>
      <c r="AC13" s="87">
        <f t="shared" si="11"/>
        <v>3548232.7</v>
      </c>
      <c r="AD13" s="5">
        <f t="shared" si="4"/>
        <v>18662.299999999814</v>
      </c>
      <c r="AE13" s="83">
        <f t="shared" si="12"/>
        <v>6199.5227484999386</v>
      </c>
      <c r="AF13" s="83">
        <f>83757-83727.3</f>
        <v>29.69999999999709</v>
      </c>
      <c r="AG13" s="83">
        <f>41746.5-41721.6</f>
        <v>24.900000000001455</v>
      </c>
      <c r="AH13" s="83">
        <f>26375.5-26366</f>
        <v>9.5</v>
      </c>
      <c r="AI13" s="87">
        <f t="shared" si="13"/>
        <v>41721.599999999999</v>
      </c>
      <c r="AJ13" s="87">
        <v>41746.5</v>
      </c>
      <c r="AK13" s="48">
        <f t="shared" si="8"/>
        <v>24.900000000001455</v>
      </c>
      <c r="AL13" s="89">
        <f t="shared" si="5"/>
        <v>7080.1938886414137</v>
      </c>
      <c r="AM13" s="83">
        <f t="shared" si="14"/>
        <v>2352.0050088372345</v>
      </c>
      <c r="AN13" s="71">
        <v>128</v>
      </c>
      <c r="AO13" s="78">
        <f t="shared" si="6"/>
        <v>17508.53330849998</v>
      </c>
    </row>
    <row r="14" spans="1:44" x14ac:dyDescent="0.25">
      <c r="A14" s="79">
        <v>44295</v>
      </c>
      <c r="B14" s="86">
        <f>11662327-11657199</f>
        <v>5128</v>
      </c>
      <c r="C14" s="86">
        <f>7420644-7417579</f>
        <v>3065</v>
      </c>
      <c r="D14" s="86">
        <f>1443445-1442408</f>
        <v>1037</v>
      </c>
      <c r="E14" s="86">
        <f>11053440-11047925</f>
        <v>5515</v>
      </c>
      <c r="F14" s="86">
        <f>10939930-10933748</f>
        <v>6182</v>
      </c>
      <c r="G14" s="86">
        <f>8028155-8024999</f>
        <v>3156</v>
      </c>
      <c r="H14" s="86">
        <f>7985303-7978058</f>
        <v>7245</v>
      </c>
      <c r="I14" s="86">
        <f>4977265-4974878</f>
        <v>2387</v>
      </c>
      <c r="J14" s="86">
        <f>10909700-10901898</f>
        <v>7802</v>
      </c>
      <c r="K14" s="86">
        <f t="shared" si="15"/>
        <v>31328</v>
      </c>
      <c r="L14" s="14">
        <f t="shared" si="9"/>
        <v>6265.6</v>
      </c>
      <c r="M14" s="83">
        <f>67868.275-67707.354</f>
        <v>160.92099999998754</v>
      </c>
      <c r="N14" s="83">
        <f>4085.489-4084.186</f>
        <v>1.3029999999998836</v>
      </c>
      <c r="O14" s="83">
        <f>9326.593-9326.089</f>
        <v>0.50400000000081491</v>
      </c>
      <c r="P14" s="82">
        <f>84783.216-84699.55</f>
        <v>83.665999999997439</v>
      </c>
      <c r="Q14" s="83">
        <f>22953.396-22944.523</f>
        <v>8.8729999999995925</v>
      </c>
      <c r="R14" s="83">
        <f>N14+O14+P14</f>
        <v>85.472999999998137</v>
      </c>
      <c r="S14" s="83">
        <f t="shared" si="1"/>
        <v>670.10831999998538</v>
      </c>
      <c r="T14" s="83">
        <f t="shared" si="2"/>
        <v>169.79399999998714</v>
      </c>
      <c r="U14" s="83">
        <f t="shared" si="16"/>
        <v>1331.1849599998991</v>
      </c>
      <c r="V14" s="83">
        <f>338010.6-337754.6</f>
        <v>256</v>
      </c>
      <c r="W14" s="83">
        <f t="shared" si="3"/>
        <v>0</v>
      </c>
      <c r="X14" s="86" t="s">
        <v>63</v>
      </c>
      <c r="Y14" s="87">
        <v>815728</v>
      </c>
      <c r="Z14" s="5">
        <f>IF((Y14-Y13&lt;0), "0",Y14-Y13)</f>
        <v>625</v>
      </c>
      <c r="AA14" s="14">
        <f t="shared" si="7"/>
        <v>4043.75</v>
      </c>
      <c r="AB14" s="87">
        <v>3586180</v>
      </c>
      <c r="AC14" s="87">
        <f t="shared" si="11"/>
        <v>3566895</v>
      </c>
      <c r="AD14" s="5">
        <f t="shared" si="4"/>
        <v>19285</v>
      </c>
      <c r="AE14" s="83">
        <f t="shared" si="12"/>
        <v>6406.3805750000001</v>
      </c>
      <c r="AF14" s="83">
        <f>83787.7-83757</f>
        <v>30.69999999999709</v>
      </c>
      <c r="AG14" s="83">
        <f>43580-43559.2</f>
        <v>20.80000000000291</v>
      </c>
      <c r="AH14" s="83">
        <f>26385.2-26375.5</f>
        <v>9.7000000000007276</v>
      </c>
      <c r="AI14" s="87">
        <f t="shared" si="13"/>
        <v>41746.5</v>
      </c>
      <c r="AJ14" s="87">
        <v>41772.1</v>
      </c>
      <c r="AK14" s="48">
        <f t="shared" si="8"/>
        <v>25.599999999998545</v>
      </c>
      <c r="AL14" s="89">
        <f t="shared" si="5"/>
        <v>7279.2354839035861</v>
      </c>
      <c r="AM14" s="83">
        <f t="shared" si="14"/>
        <v>2418.1256315753517</v>
      </c>
      <c r="AN14" s="71">
        <v>106</v>
      </c>
      <c r="AO14" s="78">
        <f t="shared" si="6"/>
        <v>18046.915534999898</v>
      </c>
    </row>
    <row r="15" spans="1:44" x14ac:dyDescent="0.25">
      <c r="A15" s="79">
        <v>44296</v>
      </c>
      <c r="B15" s="86">
        <f>11667411-11662327</f>
        <v>5084</v>
      </c>
      <c r="C15" s="86">
        <f>7423567-7420644</f>
        <v>2923</v>
      </c>
      <c r="D15" s="86">
        <f>1444480-1443445</f>
        <v>1035</v>
      </c>
      <c r="E15" s="86">
        <f>11058861-11053440</f>
        <v>5421</v>
      </c>
      <c r="F15" s="86">
        <f>10945720-10939930</f>
        <v>5790</v>
      </c>
      <c r="G15" s="86">
        <f>8031154-8028155</f>
        <v>2999</v>
      </c>
      <c r="H15" s="86">
        <f>7991208-7985303</f>
        <v>5905</v>
      </c>
      <c r="I15" s="86">
        <f>4979648-4977265</f>
        <v>2383</v>
      </c>
      <c r="J15" s="86">
        <f>10918539-10909700</f>
        <v>8839</v>
      </c>
      <c r="K15" s="86">
        <f t="shared" si="15"/>
        <v>29157</v>
      </c>
      <c r="L15" s="14">
        <f t="shared" si="9"/>
        <v>5831.4000000000005</v>
      </c>
      <c r="M15" s="83">
        <f>68004.463-67868.275</f>
        <v>136.1880000000092</v>
      </c>
      <c r="N15" s="83">
        <f>4087.608-4085.489</f>
        <v>2.1190000000001419</v>
      </c>
      <c r="O15" s="83">
        <f>9327.368-9326.593</f>
        <v>0.7749999999996362</v>
      </c>
      <c r="P15" s="82">
        <f>84854.436-84783.216</f>
        <v>71.220000000001164</v>
      </c>
      <c r="Q15" s="83">
        <f>22964.77-22953.396</f>
        <v>11.373999999999796</v>
      </c>
      <c r="R15" s="83">
        <f t="shared" si="0"/>
        <v>74.114000000000942</v>
      </c>
      <c r="S15" s="83">
        <f t="shared" si="1"/>
        <v>581.0537600000074</v>
      </c>
      <c r="T15" s="83">
        <f t="shared" si="2"/>
        <v>147.56200000000899</v>
      </c>
      <c r="U15" s="83">
        <f t="shared" si="16"/>
        <v>1156.8860800000705</v>
      </c>
      <c r="V15" s="83">
        <f>338242.5-338010.6</f>
        <v>231.90000000002328</v>
      </c>
      <c r="W15" s="83">
        <f t="shared" si="3"/>
        <v>0</v>
      </c>
      <c r="X15" s="86" t="s">
        <v>63</v>
      </c>
      <c r="Y15" s="87">
        <v>816289</v>
      </c>
      <c r="Z15" s="5">
        <f t="shared" si="10"/>
        <v>561</v>
      </c>
      <c r="AA15" s="14">
        <f t="shared" si="7"/>
        <v>3629.67</v>
      </c>
      <c r="AB15" s="87">
        <v>3604901</v>
      </c>
      <c r="AC15" s="87">
        <f t="shared" si="11"/>
        <v>3586180</v>
      </c>
      <c r="AD15" s="5">
        <f t="shared" si="4"/>
        <v>18721</v>
      </c>
      <c r="AE15" s="83">
        <f t="shared" si="12"/>
        <v>6219.0225950000004</v>
      </c>
      <c r="AF15" s="83">
        <f>83817.1-83787.7</f>
        <v>29.400000000008731</v>
      </c>
      <c r="AG15" s="83">
        <f>43598.3-43580</f>
        <v>18.30000000000291</v>
      </c>
      <c r="AH15" s="83">
        <f>26395.9-26385.2</f>
        <v>10.700000000000728</v>
      </c>
      <c r="AI15" s="87">
        <f t="shared" si="13"/>
        <v>41772.1</v>
      </c>
      <c r="AJ15" s="87">
        <v>41796.9</v>
      </c>
      <c r="AK15" s="48">
        <f t="shared" si="8"/>
        <v>24.80000000000291</v>
      </c>
      <c r="AL15" s="89">
        <f t="shared" si="5"/>
        <v>7051.7593750328269</v>
      </c>
      <c r="AM15" s="83">
        <f t="shared" si="14"/>
        <v>2342.5592055890302</v>
      </c>
      <c r="AN15" s="71">
        <v>95</v>
      </c>
      <c r="AO15" s="88">
        <f t="shared" si="6"/>
        <v>16836.978675000071</v>
      </c>
    </row>
    <row r="16" spans="1:44" x14ac:dyDescent="0.25">
      <c r="A16" s="79">
        <v>44297</v>
      </c>
      <c r="B16" s="86">
        <f>11672094-11667411</f>
        <v>4683</v>
      </c>
      <c r="C16" s="86">
        <f>7426730-7423567</f>
        <v>3163</v>
      </c>
      <c r="D16" s="86">
        <f>1445270-1444480</f>
        <v>790</v>
      </c>
      <c r="E16" s="86">
        <f>11064432-11058861</f>
        <v>5571</v>
      </c>
      <c r="F16" s="86">
        <f>10951562-10945720</f>
        <v>5842</v>
      </c>
      <c r="G16" s="86">
        <f>8034121-8031154</f>
        <v>2967</v>
      </c>
      <c r="H16" s="86">
        <f>7995490-7991208</f>
        <v>4282</v>
      </c>
      <c r="I16" s="86">
        <f>4982166-4979648</f>
        <v>2518</v>
      </c>
      <c r="J16" s="86">
        <f>10924402-10918539</f>
        <v>5863</v>
      </c>
      <c r="K16" s="86">
        <f t="shared" si="15"/>
        <v>27298</v>
      </c>
      <c r="L16" s="14">
        <f t="shared" si="9"/>
        <v>5459.6</v>
      </c>
      <c r="M16" s="83">
        <f>68140.486-68004.463</f>
        <v>136.02300000000105</v>
      </c>
      <c r="N16" s="83">
        <f>4089.588-4087.608</f>
        <v>1.9800000000000182</v>
      </c>
      <c r="O16" s="83">
        <f>9328.147-9327.368</f>
        <v>0.77900000000045111</v>
      </c>
      <c r="P16" s="82">
        <f>84920.041-84854.436</f>
        <v>65.604999999995925</v>
      </c>
      <c r="Q16" s="83">
        <f>22976.031-22964.77</f>
        <v>11.260999999998603</v>
      </c>
      <c r="R16" s="83">
        <f t="shared" si="0"/>
        <v>68.363999999996395</v>
      </c>
      <c r="S16" s="83">
        <f t="shared" si="1"/>
        <v>535.97375999997178</v>
      </c>
      <c r="T16" s="83">
        <f t="shared" si="2"/>
        <v>147.28399999999965</v>
      </c>
      <c r="U16" s="83">
        <f t="shared" si="16"/>
        <v>1154.7065599999974</v>
      </c>
      <c r="V16" s="83">
        <f>338468.3-338242.5</f>
        <v>225.79999999998836</v>
      </c>
      <c r="W16" s="83">
        <f t="shared" si="3"/>
        <v>0</v>
      </c>
      <c r="X16" s="86" t="s">
        <v>63</v>
      </c>
      <c r="Y16" s="87">
        <v>816833</v>
      </c>
      <c r="Z16" s="5">
        <f t="shared" si="10"/>
        <v>544</v>
      </c>
      <c r="AA16" s="14">
        <f t="shared" si="7"/>
        <v>3519.68</v>
      </c>
      <c r="AB16" s="87">
        <v>3623543</v>
      </c>
      <c r="AC16" s="87">
        <f t="shared" si="11"/>
        <v>3604901</v>
      </c>
      <c r="AD16" s="5">
        <f t="shared" si="4"/>
        <v>18642</v>
      </c>
      <c r="AE16" s="83">
        <f t="shared" si="12"/>
        <v>6192.7791900000002</v>
      </c>
      <c r="AF16" s="83">
        <f>83847.1-83817.1</f>
        <v>30</v>
      </c>
      <c r="AG16" s="83">
        <f>43613.8-43598.3</f>
        <v>15.5</v>
      </c>
      <c r="AH16" s="83">
        <f>26407.5-26395.9</f>
        <v>11.599999999998545</v>
      </c>
      <c r="AI16" s="87">
        <f t="shared" si="13"/>
        <v>41796.9</v>
      </c>
      <c r="AJ16" s="87">
        <v>41821.599999999999</v>
      </c>
      <c r="AK16" s="48">
        <f t="shared" si="8"/>
        <v>24.69999999999709</v>
      </c>
      <c r="AL16" s="89">
        <f t="shared" si="5"/>
        <v>7023.324861422172</v>
      </c>
      <c r="AM16" s="83">
        <f t="shared" si="14"/>
        <v>2333.1134023401387</v>
      </c>
      <c r="AN16" s="71">
        <v>105</v>
      </c>
      <c r="AO16" s="78">
        <f t="shared" si="6"/>
        <v>16326.765749999999</v>
      </c>
    </row>
    <row r="17" spans="1:41" x14ac:dyDescent="0.25">
      <c r="A17" s="79">
        <v>44298</v>
      </c>
      <c r="B17" s="86">
        <f>11676825-11672094</f>
        <v>4731</v>
      </c>
      <c r="C17" s="86">
        <f>7429796-7426730</f>
        <v>3066</v>
      </c>
      <c r="D17" s="86">
        <f>1446111-1445270</f>
        <v>841</v>
      </c>
      <c r="E17" s="86">
        <f>11069813-11064432</f>
        <v>5381</v>
      </c>
      <c r="F17" s="86">
        <f>10957478-10951562</f>
        <v>5916</v>
      </c>
      <c r="G17" s="86">
        <f>8036871-8034121</f>
        <v>2750</v>
      </c>
      <c r="H17" s="86">
        <f>7999649-7995490</f>
        <v>4159</v>
      </c>
      <c r="I17" s="86">
        <f>4984611-4982166</f>
        <v>2445</v>
      </c>
      <c r="J17" s="86">
        <f>10931505-10924402</f>
        <v>7103</v>
      </c>
      <c r="K17" s="86">
        <f t="shared" si="15"/>
        <v>26844</v>
      </c>
      <c r="L17" s="14">
        <f t="shared" si="9"/>
        <v>5368.8</v>
      </c>
      <c r="M17" s="83">
        <f>68210.205-68140.486</f>
        <v>69.718999999997322</v>
      </c>
      <c r="N17" s="83">
        <f>4090.813-4089.588</f>
        <v>1.2249999999999091</v>
      </c>
      <c r="O17" s="83">
        <f>9328.726-9328.147</f>
        <v>0.57899999999972351</v>
      </c>
      <c r="P17" s="82">
        <f>84984.404-84920.041</f>
        <v>64.362999999997555</v>
      </c>
      <c r="Q17" s="83">
        <f>22990.392-22976.031</f>
        <v>14.361000000000786</v>
      </c>
      <c r="R17" s="83">
        <f t="shared" si="0"/>
        <v>66.166999999997188</v>
      </c>
      <c r="S17" s="83">
        <f t="shared" si="1"/>
        <v>518.74927999997794</v>
      </c>
      <c r="T17" s="83">
        <f t="shared" si="2"/>
        <v>84.079999999998108</v>
      </c>
      <c r="U17" s="83">
        <f t="shared" si="16"/>
        <v>659.18719999998518</v>
      </c>
      <c r="V17" s="83">
        <f>338688.7-338468.3</f>
        <v>220.40000000002328</v>
      </c>
      <c r="W17" s="83">
        <f t="shared" si="3"/>
        <v>0</v>
      </c>
      <c r="X17" s="86" t="s">
        <v>63</v>
      </c>
      <c r="Y17" s="87">
        <v>817373</v>
      </c>
      <c r="Z17" s="5">
        <f t="shared" si="10"/>
        <v>540</v>
      </c>
      <c r="AA17" s="14">
        <f t="shared" si="7"/>
        <v>3493.7999999999997</v>
      </c>
      <c r="AB17" s="87">
        <v>3641920</v>
      </c>
      <c r="AC17" s="87">
        <f t="shared" si="11"/>
        <v>3623543</v>
      </c>
      <c r="AD17" s="5">
        <f t="shared" si="4"/>
        <v>18377</v>
      </c>
      <c r="AE17" s="83">
        <f t="shared" si="12"/>
        <v>6104.747515</v>
      </c>
      <c r="AF17" s="83">
        <f>83876.9-83847.1</f>
        <v>29.799999999988358</v>
      </c>
      <c r="AG17" s="83">
        <f>43629.1-43613.8</f>
        <v>15.299999999995634</v>
      </c>
      <c r="AH17" s="83">
        <f>26419.1-26407.5</f>
        <v>11.599999999998545</v>
      </c>
      <c r="AI17" s="87">
        <f t="shared" si="13"/>
        <v>41821.599999999999</v>
      </c>
      <c r="AJ17" s="87">
        <v>41846.199999999997</v>
      </c>
      <c r="AK17" s="48">
        <f t="shared" si="8"/>
        <v>24.599999999998545</v>
      </c>
      <c r="AL17" s="89">
        <f t="shared" si="5"/>
        <v>6994.8903478135862</v>
      </c>
      <c r="AM17" s="83">
        <f t="shared" si="14"/>
        <v>2323.6675990919343</v>
      </c>
      <c r="AN17" s="71">
        <v>50</v>
      </c>
      <c r="AO17" s="78">
        <f t="shared" si="6"/>
        <v>15626.534714999983</v>
      </c>
    </row>
    <row r="18" spans="1:41" x14ac:dyDescent="0.25">
      <c r="A18" s="79">
        <v>44299</v>
      </c>
      <c r="B18" s="86">
        <f>11681655-11676825</f>
        <v>4830</v>
      </c>
      <c r="C18" s="86">
        <f>7432980-7429796</f>
        <v>3184</v>
      </c>
      <c r="D18" s="86">
        <f>1446986-1446111</f>
        <v>875</v>
      </c>
      <c r="E18" s="86">
        <f>11075759-11069813</f>
        <v>5946</v>
      </c>
      <c r="F18" s="86">
        <f>10963486-10957478</f>
        <v>6008</v>
      </c>
      <c r="G18" s="86">
        <f>8039629-8036871</f>
        <v>2758</v>
      </c>
      <c r="H18" s="86">
        <f>8003898-7999649</f>
        <v>4249</v>
      </c>
      <c r="I18" s="86">
        <f>4987166-4984611</f>
        <v>2555</v>
      </c>
      <c r="J18" s="86">
        <f>10938067-10931505</f>
        <v>6562</v>
      </c>
      <c r="K18" s="86">
        <f t="shared" si="15"/>
        <v>27850</v>
      </c>
      <c r="L18" s="14">
        <f t="shared" si="9"/>
        <v>5570</v>
      </c>
      <c r="M18" s="83">
        <f>68202.786-68210.205</f>
        <v>-7.419000000008964</v>
      </c>
      <c r="N18" s="83">
        <f>4091.721-4090.813</f>
        <v>0.90799999999990177</v>
      </c>
      <c r="O18" s="83">
        <f>9329.188-9328.726</f>
        <v>0.46199999999953434</v>
      </c>
      <c r="P18" s="82">
        <f>85038.635-84984.404</f>
        <v>54.230999999999767</v>
      </c>
      <c r="Q18" s="83">
        <f>23001.85-22990.392</f>
        <v>11.457999999998719</v>
      </c>
      <c r="R18" s="83">
        <f t="shared" si="0"/>
        <v>55.600999999999203</v>
      </c>
      <c r="S18" s="83">
        <f t="shared" si="1"/>
        <v>435.91183999999373</v>
      </c>
      <c r="T18" s="83">
        <f t="shared" si="2"/>
        <v>4.0389999999897555</v>
      </c>
      <c r="U18" s="83">
        <f t="shared" si="16"/>
        <v>31.665759999919683</v>
      </c>
      <c r="V18" s="83">
        <f>338865.9-338688.7</f>
        <v>177.20000000001164</v>
      </c>
      <c r="W18" s="83">
        <f t="shared" si="3"/>
        <v>0</v>
      </c>
      <c r="X18" s="86" t="s">
        <v>63</v>
      </c>
      <c r="Y18" s="87">
        <v>817876</v>
      </c>
      <c r="Z18" s="5">
        <f t="shared" si="10"/>
        <v>503</v>
      </c>
      <c r="AA18" s="14">
        <f t="shared" si="7"/>
        <v>3254.41</v>
      </c>
      <c r="AB18" s="87">
        <v>3660670</v>
      </c>
      <c r="AC18" s="87">
        <f t="shared" si="11"/>
        <v>3641920</v>
      </c>
      <c r="AD18" s="5">
        <f t="shared" si="4"/>
        <v>18750</v>
      </c>
      <c r="AE18" s="83">
        <f t="shared" si="12"/>
        <v>6228.65625</v>
      </c>
      <c r="AF18" s="82">
        <f>83908-83876.9</f>
        <v>31.100000000005821</v>
      </c>
      <c r="AG18" s="82">
        <f>43644.9-43629.1</f>
        <v>15.80000000000291</v>
      </c>
      <c r="AH18" s="82">
        <f>26431.2-26419.1</f>
        <v>12.100000000002183</v>
      </c>
      <c r="AI18" s="87">
        <f t="shared" si="13"/>
        <v>41846.199999999997</v>
      </c>
      <c r="AJ18" s="87">
        <v>41869.599999999999</v>
      </c>
      <c r="AK18" s="48">
        <f t="shared" si="8"/>
        <v>23.400000000001455</v>
      </c>
      <c r="AL18" s="89">
        <f t="shared" si="5"/>
        <v>6653.6761845064129</v>
      </c>
      <c r="AM18" s="83">
        <f t="shared" si="14"/>
        <v>2210.3179601121078</v>
      </c>
      <c r="AN18" s="71">
        <v>52</v>
      </c>
      <c r="AO18" s="78">
        <f t="shared" si="6"/>
        <v>15084.73200999992</v>
      </c>
    </row>
    <row r="19" spans="1:41" x14ac:dyDescent="0.25">
      <c r="A19" s="79">
        <v>44300</v>
      </c>
      <c r="B19" s="86">
        <f>11686451-11681655</f>
        <v>4796</v>
      </c>
      <c r="C19" s="86">
        <f>7436016-7432980</f>
        <v>3036</v>
      </c>
      <c r="D19" s="86">
        <f>1447840-1446986</f>
        <v>854</v>
      </c>
      <c r="E19" s="86">
        <f>11082282-11075759</f>
        <v>6523</v>
      </c>
      <c r="F19" s="86">
        <f>10969251-10963486</f>
        <v>5765</v>
      </c>
      <c r="G19" s="86">
        <f>8042423-8039629</f>
        <v>2794</v>
      </c>
      <c r="H19" s="86">
        <f>8008458-8003898</f>
        <v>4560</v>
      </c>
      <c r="I19" s="86">
        <f>4989735-4987166</f>
        <v>2569</v>
      </c>
      <c r="J19" s="86">
        <f>10944560-10938067</f>
        <v>6493</v>
      </c>
      <c r="K19" s="86">
        <f t="shared" si="15"/>
        <v>28328</v>
      </c>
      <c r="L19" s="14">
        <f t="shared" si="9"/>
        <v>5665.6</v>
      </c>
      <c r="M19" s="83">
        <f>68225.569-68202.786</f>
        <v>22.783000000010361</v>
      </c>
      <c r="N19" s="83">
        <f>4092.149-4091.721</f>
        <v>0.42799999999988358</v>
      </c>
      <c r="O19" s="83">
        <f>9329.695-9329.188</f>
        <v>0.5069999999996071</v>
      </c>
      <c r="P19" s="82">
        <f>85091.245-85038.635</f>
        <v>52.610000000000582</v>
      </c>
      <c r="Q19" s="83">
        <f>23026.075-23001.85</f>
        <v>24.225000000002183</v>
      </c>
      <c r="R19" s="83">
        <f t="shared" si="0"/>
        <v>53.545000000000073</v>
      </c>
      <c r="S19" s="83">
        <f t="shared" si="1"/>
        <v>419.79280000000057</v>
      </c>
      <c r="T19" s="83">
        <f t="shared" si="2"/>
        <v>47.008000000012544</v>
      </c>
      <c r="U19" s="83">
        <f t="shared" si="16"/>
        <v>368.54272000009831</v>
      </c>
      <c r="V19" s="83">
        <f>338932.4-338865.9</f>
        <v>66.5</v>
      </c>
      <c r="W19" s="83">
        <f t="shared" si="3"/>
        <v>0</v>
      </c>
      <c r="X19" s="86" t="s">
        <v>63</v>
      </c>
      <c r="Y19" s="87">
        <v>818259</v>
      </c>
      <c r="Z19" s="5">
        <f t="shared" si="10"/>
        <v>383</v>
      </c>
      <c r="AA19" s="14">
        <f t="shared" si="7"/>
        <v>2478.0099999999998</v>
      </c>
      <c r="AB19" s="87">
        <v>3679518</v>
      </c>
      <c r="AC19" s="87">
        <f t="shared" si="11"/>
        <v>3660670</v>
      </c>
      <c r="AD19" s="5">
        <f t="shared" si="4"/>
        <v>18848</v>
      </c>
      <c r="AE19" s="83">
        <f t="shared" si="12"/>
        <v>6261.2113600000002</v>
      </c>
      <c r="AF19" s="83">
        <f>83939.3-83908</f>
        <v>31.30000000000291</v>
      </c>
      <c r="AG19" s="83">
        <f>43661.2-43644.9</f>
        <v>16.299999999995634</v>
      </c>
      <c r="AH19" s="83">
        <f>26443.3-26431.2</f>
        <v>12.099999999998545</v>
      </c>
      <c r="AI19" s="87">
        <f t="shared" si="13"/>
        <v>41869.599999999999</v>
      </c>
      <c r="AJ19" s="87">
        <v>41892.1</v>
      </c>
      <c r="AK19" s="48">
        <f t="shared" si="8"/>
        <v>22.5</v>
      </c>
      <c r="AL19" s="89">
        <f t="shared" si="5"/>
        <v>6397.7655620249998</v>
      </c>
      <c r="AM19" s="83">
        <f t="shared" si="14"/>
        <v>2125.3057308768948</v>
      </c>
      <c r="AN19" s="71">
        <v>55</v>
      </c>
      <c r="AO19" s="78">
        <f t="shared" si="6"/>
        <v>14773.364080000098</v>
      </c>
    </row>
    <row r="20" spans="1:41" x14ac:dyDescent="0.25">
      <c r="A20" s="79">
        <v>44301</v>
      </c>
      <c r="B20" s="86">
        <f>11691338-11686451</f>
        <v>4887</v>
      </c>
      <c r="C20" s="86">
        <f>7439037-7436016</f>
        <v>3021</v>
      </c>
      <c r="D20" s="86">
        <f>1448724-1447840</f>
        <v>884</v>
      </c>
      <c r="E20" s="86">
        <f>11088804-11082282</f>
        <v>6522</v>
      </c>
      <c r="F20" s="86">
        <f>10975057-10969251</f>
        <v>5806</v>
      </c>
      <c r="G20" s="86">
        <f>8045268-8042423</f>
        <v>2845</v>
      </c>
      <c r="H20" s="86">
        <f>8014073-8008458</f>
        <v>5615</v>
      </c>
      <c r="I20" s="86">
        <f>4992229-4989735</f>
        <v>2494</v>
      </c>
      <c r="J20" s="86">
        <f>10951187-10944560</f>
        <v>6627</v>
      </c>
      <c r="K20" s="86">
        <f t="shared" si="15"/>
        <v>29580</v>
      </c>
      <c r="L20" s="14">
        <f t="shared" si="9"/>
        <v>5916</v>
      </c>
      <c r="M20" s="83">
        <f>68485.691-68225.569</f>
        <v>260.12200000000303</v>
      </c>
      <c r="N20" s="83">
        <f>4093.861-4092.149</f>
        <v>1.7119999999999891</v>
      </c>
      <c r="O20" s="83">
        <f>9330.304-9329.695</f>
        <v>0.60900000000037835</v>
      </c>
      <c r="P20" s="82">
        <f>85143.381-85091.245</f>
        <v>52.135999999998603</v>
      </c>
      <c r="Q20" s="83">
        <f>23047.361-23026.075</f>
        <v>21.286000000000058</v>
      </c>
      <c r="R20" s="83">
        <f t="shared" si="0"/>
        <v>54.45699999999897</v>
      </c>
      <c r="S20" s="83">
        <f t="shared" si="1"/>
        <v>426.94287999999193</v>
      </c>
      <c r="T20" s="83">
        <f t="shared" si="2"/>
        <v>281.40800000000309</v>
      </c>
      <c r="U20" s="83">
        <f t="shared" si="16"/>
        <v>2206.2387200000239</v>
      </c>
      <c r="V20" s="83">
        <f>339017-338932.4</f>
        <v>84.599999999976717</v>
      </c>
      <c r="W20" s="83">
        <f t="shared" si="3"/>
        <v>0</v>
      </c>
      <c r="X20" s="86" t="s">
        <v>63</v>
      </c>
      <c r="Y20" s="87">
        <v>818676</v>
      </c>
      <c r="Z20" s="5">
        <f t="shared" si="10"/>
        <v>417</v>
      </c>
      <c r="AA20" s="14">
        <f t="shared" si="7"/>
        <v>2697.99</v>
      </c>
      <c r="AB20" s="87">
        <v>3700121</v>
      </c>
      <c r="AC20" s="87">
        <f t="shared" si="11"/>
        <v>3679518</v>
      </c>
      <c r="AD20" s="5">
        <f t="shared" si="4"/>
        <v>20603</v>
      </c>
      <c r="AE20" s="83">
        <f t="shared" si="12"/>
        <v>6844.2135850000004</v>
      </c>
      <c r="AF20" s="83">
        <f>83973.8-83939.3</f>
        <v>34.5</v>
      </c>
      <c r="AG20" s="83">
        <f>43681.3-43661.2</f>
        <v>20.100000000005821</v>
      </c>
      <c r="AH20" s="83">
        <f>26454.8-26443.3</f>
        <v>11.5</v>
      </c>
      <c r="AI20" s="87">
        <f t="shared" si="13"/>
        <v>41892.1</v>
      </c>
      <c r="AJ20" s="87">
        <v>41917.599999999999</v>
      </c>
      <c r="AK20" s="48">
        <f t="shared" si="8"/>
        <v>25.5</v>
      </c>
      <c r="AL20" s="89">
        <f t="shared" si="5"/>
        <v>7250.8009702949994</v>
      </c>
      <c r="AM20" s="83">
        <f t="shared" si="14"/>
        <v>2408.6798283271473</v>
      </c>
      <c r="AN20" s="71">
        <v>48</v>
      </c>
      <c r="AO20" s="78">
        <f t="shared" si="6"/>
        <v>17664.442305000026</v>
      </c>
    </row>
    <row r="21" spans="1:41" x14ac:dyDescent="0.25">
      <c r="A21" s="79">
        <v>44302</v>
      </c>
      <c r="B21" s="86">
        <f>11696359-11691338</f>
        <v>5021</v>
      </c>
      <c r="C21" s="86">
        <f>7442009-7439037</f>
        <v>2972</v>
      </c>
      <c r="D21" s="86">
        <f>1449569-1448724</f>
        <v>845</v>
      </c>
      <c r="E21" s="86">
        <f>11095033-11088804</f>
        <v>6229</v>
      </c>
      <c r="F21" s="86">
        <f>10980792-10975057</f>
        <v>5735</v>
      </c>
      <c r="G21" s="86">
        <f>8047881-8045268</f>
        <v>2613</v>
      </c>
      <c r="H21" s="86">
        <f>8019425-8014073</f>
        <v>5352</v>
      </c>
      <c r="I21" s="86">
        <f>4994583-4992229</f>
        <v>2354</v>
      </c>
      <c r="J21" s="86">
        <f>10957723-10951187</f>
        <v>6536</v>
      </c>
      <c r="K21" s="86">
        <f t="shared" si="15"/>
        <v>28767</v>
      </c>
      <c r="L21" s="14">
        <f t="shared" si="9"/>
        <v>5753.4000000000005</v>
      </c>
      <c r="M21" s="83">
        <f>68528.905-68485.691</f>
        <v>43.213999999992666</v>
      </c>
      <c r="N21" s="83">
        <f>4095.014-4093.861</f>
        <v>1.1530000000002474</v>
      </c>
      <c r="O21" s="83">
        <f>9330.79-9330.304</f>
        <v>0.4860000000007858</v>
      </c>
      <c r="P21" s="82">
        <f>85203.748-85143.381</f>
        <v>60.367000000012922</v>
      </c>
      <c r="Q21" s="83">
        <f>23056.099-23047.361</f>
        <v>8.7379999999975553</v>
      </c>
      <c r="R21" s="83">
        <f t="shared" si="0"/>
        <v>62.006000000013955</v>
      </c>
      <c r="S21" s="83">
        <f t="shared" si="1"/>
        <v>486.12704000010939</v>
      </c>
      <c r="T21" s="83">
        <f t="shared" si="2"/>
        <v>51.951999999990221</v>
      </c>
      <c r="U21" s="83">
        <f t="shared" si="16"/>
        <v>407.3036799999233</v>
      </c>
      <c r="V21" s="83">
        <f>339139.2-339017</f>
        <v>122.20000000001164</v>
      </c>
      <c r="W21" s="83">
        <f t="shared" si="3"/>
        <v>0</v>
      </c>
      <c r="X21" s="86" t="s">
        <v>63</v>
      </c>
      <c r="Y21" s="87">
        <v>819161</v>
      </c>
      <c r="Z21" s="5">
        <f t="shared" si="10"/>
        <v>485</v>
      </c>
      <c r="AA21" s="14">
        <f t="shared" si="7"/>
        <v>3137.95</v>
      </c>
      <c r="AB21" s="87">
        <v>3718154</v>
      </c>
      <c r="AC21" s="86">
        <f t="shared" si="11"/>
        <v>3700121</v>
      </c>
      <c r="AD21" s="5">
        <f t="shared" si="4"/>
        <v>18033</v>
      </c>
      <c r="AE21" s="83">
        <f t="shared" si="12"/>
        <v>5990.4724350000006</v>
      </c>
      <c r="AF21" s="83">
        <f>84003.6-83973.8</f>
        <v>29.80000000000291</v>
      </c>
      <c r="AG21" s="83">
        <f>43699-43681.3</f>
        <v>17.69999999999709</v>
      </c>
      <c r="AH21" s="83">
        <f>26465.5-26454.8</f>
        <v>10.700000000000728</v>
      </c>
      <c r="AI21" s="87">
        <f t="shared" si="13"/>
        <v>41917.599999999999</v>
      </c>
      <c r="AJ21" s="87">
        <v>41942.6</v>
      </c>
      <c r="AK21" s="48">
        <f t="shared" si="8"/>
        <v>25</v>
      </c>
      <c r="AL21" s="89">
        <f t="shared" si="5"/>
        <v>7108.6284022499995</v>
      </c>
      <c r="AM21" s="83">
        <f t="shared" si="14"/>
        <v>2361.4508120854389</v>
      </c>
      <c r="AN21" s="71">
        <v>33</v>
      </c>
      <c r="AO21" s="78">
        <f t="shared" si="6"/>
        <v>15289.126114999923</v>
      </c>
    </row>
    <row r="22" spans="1:41" x14ac:dyDescent="0.25">
      <c r="A22" s="79">
        <v>44303</v>
      </c>
      <c r="B22" s="86">
        <f>11702054-11696359</f>
        <v>5695</v>
      </c>
      <c r="C22" s="86">
        <f>7445137-7442009</f>
        <v>3128</v>
      </c>
      <c r="D22" s="86">
        <f>1450508-1449569</f>
        <v>939</v>
      </c>
      <c r="E22" s="86">
        <f>11101899-11095033</f>
        <v>6866</v>
      </c>
      <c r="F22" s="86">
        <f>10986647-10980792</f>
        <v>5855</v>
      </c>
      <c r="G22" s="86">
        <f>8050543-8047881</f>
        <v>2662</v>
      </c>
      <c r="H22" s="86">
        <f>8024324-8019425</f>
        <v>4899</v>
      </c>
      <c r="I22" s="86">
        <f>4997088-4994583</f>
        <v>2505</v>
      </c>
      <c r="J22" s="86">
        <f>10964690-10957723</f>
        <v>6967</v>
      </c>
      <c r="K22" s="86">
        <f t="shared" si="15"/>
        <v>30044</v>
      </c>
      <c r="L22" s="14">
        <f t="shared" si="9"/>
        <v>6008.8</v>
      </c>
      <c r="M22" s="83">
        <f>68758.747-68528.905</f>
        <v>229.84200000000419</v>
      </c>
      <c r="N22" s="83">
        <f>4096.141-4095.014</f>
        <v>1.126999999999498</v>
      </c>
      <c r="O22" s="83">
        <f>9331.239-9330.79</f>
        <v>0.44899999999870488</v>
      </c>
      <c r="P22" s="82">
        <f>85259.387-85203.748</f>
        <v>55.638999999995576</v>
      </c>
      <c r="Q22" s="83">
        <f>23067.184-23056.099</f>
        <v>11.085000000002765</v>
      </c>
      <c r="R22" s="83">
        <f t="shared" si="0"/>
        <v>57.214999999993779</v>
      </c>
      <c r="S22" s="83">
        <f t="shared" si="1"/>
        <v>448.56559999995125</v>
      </c>
      <c r="T22" s="83">
        <f t="shared" si="2"/>
        <v>240.92700000000696</v>
      </c>
      <c r="U22" s="83">
        <f t="shared" si="16"/>
        <v>1888.8676800000544</v>
      </c>
      <c r="V22" s="83">
        <f>339230.8-339139.2</f>
        <v>91.599999999976717</v>
      </c>
      <c r="W22" s="83">
        <f t="shared" si="3"/>
        <v>0</v>
      </c>
      <c r="X22" s="86" t="s">
        <v>63</v>
      </c>
      <c r="Y22" s="87">
        <v>819569</v>
      </c>
      <c r="Z22" s="5">
        <f t="shared" si="10"/>
        <v>408</v>
      </c>
      <c r="AA22" s="14">
        <f t="shared" si="7"/>
        <v>2639.7599999999998</v>
      </c>
      <c r="AB22" s="87">
        <v>3736168</v>
      </c>
      <c r="AC22" s="86">
        <f t="shared" si="11"/>
        <v>3718154</v>
      </c>
      <c r="AD22" s="5">
        <f t="shared" si="4"/>
        <v>18014</v>
      </c>
      <c r="AE22" s="83">
        <f t="shared" si="12"/>
        <v>5984.1607300000005</v>
      </c>
      <c r="AF22" s="83">
        <f>84033.9-84003.6</f>
        <v>30.299999999988358</v>
      </c>
      <c r="AG22" s="83">
        <f>43715-43699</f>
        <v>16</v>
      </c>
      <c r="AH22" s="83">
        <f>26477-26465.5</f>
        <v>11.5</v>
      </c>
      <c r="AI22" s="87">
        <f t="shared" si="13"/>
        <v>41942.6</v>
      </c>
      <c r="AJ22" s="87">
        <v>41968</v>
      </c>
      <c r="AK22" s="48">
        <f t="shared" si="8"/>
        <v>25.400000000001455</v>
      </c>
      <c r="AL22" s="89">
        <f t="shared" si="5"/>
        <v>7222.3664566864136</v>
      </c>
      <c r="AM22" s="83">
        <f t="shared" si="14"/>
        <v>2399.2340250789434</v>
      </c>
      <c r="AN22" s="71">
        <v>29</v>
      </c>
      <c r="AO22" s="78">
        <f t="shared" si="6"/>
        <v>16521.588410000055</v>
      </c>
    </row>
    <row r="23" spans="1:41" x14ac:dyDescent="0.25">
      <c r="A23" s="79">
        <v>44304</v>
      </c>
      <c r="B23" s="86">
        <f>11707247-11702054</f>
        <v>5193</v>
      </c>
      <c r="C23" s="86">
        <f>7447908-7445137</f>
        <v>2771</v>
      </c>
      <c r="D23" s="86">
        <f>1451391-1450508</f>
        <v>883</v>
      </c>
      <c r="E23" s="86">
        <f>11108076-11101899</f>
        <v>6177</v>
      </c>
      <c r="F23" s="86">
        <f>10991993-10986647</f>
        <v>5346</v>
      </c>
      <c r="G23" s="86">
        <f>8052970-8050543</f>
        <v>2427</v>
      </c>
      <c r="H23" s="86">
        <f>8028770-8024324</f>
        <v>4446</v>
      </c>
      <c r="I23" s="86">
        <f>4999420-4997088</f>
        <v>2332</v>
      </c>
      <c r="J23" s="86">
        <f>10970916-10964690</f>
        <v>6226</v>
      </c>
      <c r="K23" s="86">
        <f t="shared" si="15"/>
        <v>27243</v>
      </c>
      <c r="L23" s="14">
        <f t="shared" si="9"/>
        <v>5448.6</v>
      </c>
      <c r="M23" s="83">
        <f>68865.406-68758.747</f>
        <v>106.65899999999965</v>
      </c>
      <c r="N23" s="83">
        <f>4097.883-4096.141</f>
        <v>1.7420000000001892</v>
      </c>
      <c r="O23" s="83">
        <f>9331.664-9331.239</f>
        <v>0.42500000000109139</v>
      </c>
      <c r="P23" s="82">
        <f>85311.229-85259.387</f>
        <v>51.842000000004191</v>
      </c>
      <c r="Q23" s="83">
        <f>23078.177-23067.184</f>
        <v>10.992999999998574</v>
      </c>
      <c r="R23" s="83">
        <f t="shared" si="0"/>
        <v>54.009000000005472</v>
      </c>
      <c r="S23" s="83">
        <f t="shared" si="1"/>
        <v>423.43056000004287</v>
      </c>
      <c r="T23" s="83">
        <f t="shared" si="2"/>
        <v>117.65199999999822</v>
      </c>
      <c r="U23" s="83">
        <f t="shared" si="16"/>
        <v>922.39167999998608</v>
      </c>
      <c r="V23" s="83">
        <f>339309.2-339230.8</f>
        <v>78.400000000023283</v>
      </c>
      <c r="W23" s="83">
        <f t="shared" si="3"/>
        <v>0</v>
      </c>
      <c r="X23" s="86" t="s">
        <v>63</v>
      </c>
      <c r="Y23" s="87">
        <v>819962</v>
      </c>
      <c r="Z23" s="5">
        <f t="shared" si="10"/>
        <v>393</v>
      </c>
      <c r="AA23" s="14">
        <f t="shared" si="7"/>
        <v>2542.71</v>
      </c>
      <c r="AB23" s="87">
        <v>3751390</v>
      </c>
      <c r="AC23" s="86">
        <f t="shared" si="11"/>
        <v>3736168</v>
      </c>
      <c r="AD23" s="5">
        <f t="shared" si="4"/>
        <v>15222</v>
      </c>
      <c r="AE23" s="83">
        <f t="shared" si="12"/>
        <v>5056.6722900000004</v>
      </c>
      <c r="AF23" s="83">
        <f>84060.4-84033.9</f>
        <v>26.5</v>
      </c>
      <c r="AG23" s="83">
        <f>43729.7-43715</f>
        <v>14.69999999999709</v>
      </c>
      <c r="AH23" s="83">
        <f>26486.9-26477</f>
        <v>9.9000000000014552</v>
      </c>
      <c r="AI23" s="87">
        <f t="shared" si="13"/>
        <v>41968</v>
      </c>
      <c r="AJ23" s="87">
        <v>41988.9</v>
      </c>
      <c r="AK23" s="48">
        <f t="shared" si="8"/>
        <v>20.900000000001455</v>
      </c>
      <c r="AL23" s="89">
        <f t="shared" si="5"/>
        <v>5942.8133442814133</v>
      </c>
      <c r="AM23" s="83">
        <f t="shared" si="14"/>
        <v>1974.1728789035642</v>
      </c>
      <c r="AN23" s="71">
        <v>35</v>
      </c>
      <c r="AO23" s="78">
        <f t="shared" si="6"/>
        <v>13970.373969999988</v>
      </c>
    </row>
    <row r="24" spans="1:41" x14ac:dyDescent="0.25">
      <c r="A24" s="79">
        <v>44305</v>
      </c>
      <c r="B24" s="86">
        <f>11712250-11707247</f>
        <v>5003</v>
      </c>
      <c r="C24" s="86">
        <f>7451126-7447908</f>
        <v>3218</v>
      </c>
      <c r="D24" s="86">
        <f>1452240-1451391</f>
        <v>849</v>
      </c>
      <c r="E24" s="86">
        <f>11114738-11108076</f>
        <v>6662</v>
      </c>
      <c r="F24" s="86">
        <f>10997755-10991993</f>
        <v>5762</v>
      </c>
      <c r="G24" s="86">
        <f>8055648-8052970</f>
        <v>2678</v>
      </c>
      <c r="H24" s="86">
        <f>8033211-8028770</f>
        <v>4441</v>
      </c>
      <c r="I24" s="86">
        <f>5001886-4999420</f>
        <v>2466</v>
      </c>
      <c r="J24" s="86">
        <f>10977321-10970916</f>
        <v>6405</v>
      </c>
      <c r="K24" s="86">
        <f t="shared" si="15"/>
        <v>28613</v>
      </c>
      <c r="L24" s="14">
        <f t="shared" si="9"/>
        <v>5722.6</v>
      </c>
      <c r="M24" s="83">
        <f>68958.948-68865.406</f>
        <v>93.542000000001281</v>
      </c>
      <c r="N24" s="83">
        <f>4100.028-4097.883</f>
        <v>2.1450000000004366</v>
      </c>
      <c r="O24" s="83">
        <f>9332.144-9331.664</f>
        <v>0.47999999999956344</v>
      </c>
      <c r="P24" s="82">
        <f>85360.336-85311.229</f>
        <v>49.106999999989057</v>
      </c>
      <c r="Q24" s="83">
        <f>23088.706-23078.177</f>
        <v>10.528999999998632</v>
      </c>
      <c r="R24" s="83">
        <f t="shared" si="0"/>
        <v>51.731999999989057</v>
      </c>
      <c r="S24" s="83">
        <f t="shared" si="1"/>
        <v>405.57887999991419</v>
      </c>
      <c r="T24" s="83">
        <f t="shared" si="2"/>
        <v>104.07099999999991</v>
      </c>
      <c r="U24" s="83">
        <f t="shared" si="16"/>
        <v>815.91663999999935</v>
      </c>
      <c r="V24" s="83">
        <f>339394-339309.2</f>
        <v>84.799999999988358</v>
      </c>
      <c r="W24" s="83">
        <f t="shared" si="3"/>
        <v>0</v>
      </c>
      <c r="X24" s="86" t="s">
        <v>63</v>
      </c>
      <c r="Y24" s="87">
        <v>820366</v>
      </c>
      <c r="Z24" s="5">
        <f t="shared" si="10"/>
        <v>404</v>
      </c>
      <c r="AA24" s="14">
        <f t="shared" si="7"/>
        <v>2613.88</v>
      </c>
      <c r="AB24" s="87">
        <v>3767828</v>
      </c>
      <c r="AC24" s="86">
        <f t="shared" si="11"/>
        <v>3751390</v>
      </c>
      <c r="AD24" s="5">
        <f t="shared" si="4"/>
        <v>16438</v>
      </c>
      <c r="AE24" s="83">
        <f t="shared" si="12"/>
        <v>5460.6214100000007</v>
      </c>
      <c r="AF24" s="83">
        <f>84089.9-84060.4</f>
        <v>29.5</v>
      </c>
      <c r="AG24" s="83">
        <f>43744.9-43729.7</f>
        <v>15.200000000004366</v>
      </c>
      <c r="AH24" s="83">
        <f>26497-26486.9</f>
        <v>10.099999999998545</v>
      </c>
      <c r="AI24" s="87">
        <f t="shared" si="13"/>
        <v>41988.9</v>
      </c>
      <c r="AJ24" s="87">
        <v>42011.199999999997</v>
      </c>
      <c r="AK24" s="48">
        <f t="shared" si="8"/>
        <v>22.299999999995634</v>
      </c>
      <c r="AL24" s="89">
        <f t="shared" si="5"/>
        <v>6340.8965348057582</v>
      </c>
      <c r="AM24" s="83">
        <f t="shared" si="14"/>
        <v>2106.414124379799</v>
      </c>
      <c r="AN24" s="71">
        <v>40</v>
      </c>
      <c r="AO24" s="78">
        <f t="shared" si="6"/>
        <v>14613.018049999999</v>
      </c>
    </row>
    <row r="25" spans="1:41" x14ac:dyDescent="0.25">
      <c r="A25" s="79">
        <v>44306</v>
      </c>
      <c r="B25" s="86">
        <f>11717183-11712250</f>
        <v>4933</v>
      </c>
      <c r="C25" s="86">
        <f>7454807-7451126</f>
        <v>3681</v>
      </c>
      <c r="D25" s="86">
        <f>1453051-1452240</f>
        <v>811</v>
      </c>
      <c r="E25" s="86">
        <f>11120771-11114738</f>
        <v>6033</v>
      </c>
      <c r="F25" s="86">
        <f>11003476-10997755</f>
        <v>5721</v>
      </c>
      <c r="G25" s="86">
        <f>8058341-8055648</f>
        <v>2693</v>
      </c>
      <c r="H25" s="86">
        <f>8039520-8033211</f>
        <v>6309</v>
      </c>
      <c r="I25" s="86">
        <f>5004324-5001886</f>
        <v>2438</v>
      </c>
      <c r="J25" s="86">
        <f>10983744-10977321</f>
        <v>6423</v>
      </c>
      <c r="K25" s="86">
        <f t="shared" si="15"/>
        <v>30181</v>
      </c>
      <c r="L25" s="14">
        <f t="shared" si="9"/>
        <v>6036.2000000000007</v>
      </c>
      <c r="M25" s="83">
        <f>69068.702-68958.948</f>
        <v>109.75400000000081</v>
      </c>
      <c r="N25" s="83">
        <f>4101.424-4100.028</f>
        <v>1.3959999999997308</v>
      </c>
      <c r="O25" s="83">
        <f>9332.626-9332.144</f>
        <v>0.4819999999999709</v>
      </c>
      <c r="P25" s="82">
        <f>85412.19-85360.336</f>
        <v>51.854000000006636</v>
      </c>
      <c r="Q25" s="83">
        <f>23100.071-23088.706</f>
        <v>11.365000000001601</v>
      </c>
      <c r="R25" s="83">
        <f t="shared" si="0"/>
        <v>53.732000000006337</v>
      </c>
      <c r="S25" s="83">
        <f t="shared" si="1"/>
        <v>421.25888000004966</v>
      </c>
      <c r="T25" s="83">
        <f t="shared" si="2"/>
        <v>121.11900000000242</v>
      </c>
      <c r="U25" s="83">
        <f t="shared" si="16"/>
        <v>949.57296000001895</v>
      </c>
      <c r="V25" s="83">
        <f>339502-339394</f>
        <v>108</v>
      </c>
      <c r="W25" s="83">
        <f t="shared" si="3"/>
        <v>0</v>
      </c>
      <c r="X25" s="86" t="s">
        <v>63</v>
      </c>
      <c r="Y25" s="87">
        <v>820782</v>
      </c>
      <c r="Z25" s="5">
        <f t="shared" si="10"/>
        <v>416</v>
      </c>
      <c r="AA25" s="14">
        <f t="shared" si="7"/>
        <v>2691.52</v>
      </c>
      <c r="AB25" s="87">
        <v>3786502</v>
      </c>
      <c r="AC25" s="86">
        <f t="shared" si="11"/>
        <v>3767828</v>
      </c>
      <c r="AD25" s="5">
        <f t="shared" si="4"/>
        <v>18674</v>
      </c>
      <c r="AE25" s="83">
        <f t="shared" si="12"/>
        <v>6203.4094300000006</v>
      </c>
      <c r="AF25" s="83">
        <f>84122.4-84089.9</f>
        <v>32.5</v>
      </c>
      <c r="AG25" s="83">
        <f>43766.9-43744.9</f>
        <v>22</v>
      </c>
      <c r="AH25" s="83">
        <f>26507.5-26497</f>
        <v>10.5</v>
      </c>
      <c r="AI25" s="87">
        <f t="shared" si="13"/>
        <v>42011.199999999997</v>
      </c>
      <c r="AJ25" s="87">
        <v>42036.3</v>
      </c>
      <c r="AK25" s="48">
        <f t="shared" si="8"/>
        <v>25.100000000005821</v>
      </c>
      <c r="AL25" s="89">
        <f t="shared" si="5"/>
        <v>7137.0629158606544</v>
      </c>
      <c r="AM25" s="83">
        <f t="shared" si="14"/>
        <v>2370.8966153343304</v>
      </c>
      <c r="AN25" s="71">
        <v>35</v>
      </c>
      <c r="AO25" s="78">
        <f t="shared" si="6"/>
        <v>15880.70239000002</v>
      </c>
    </row>
    <row r="26" spans="1:41" x14ac:dyDescent="0.25">
      <c r="A26" s="79">
        <v>44307</v>
      </c>
      <c r="B26" s="86">
        <f>11722045-11717183</f>
        <v>4862</v>
      </c>
      <c r="C26" s="86">
        <f>7457926-7454807</f>
        <v>3119</v>
      </c>
      <c r="D26" s="86">
        <f>1453870-1453051</f>
        <v>819</v>
      </c>
      <c r="E26" s="86">
        <f>11126706-11120771</f>
        <v>5935</v>
      </c>
      <c r="F26" s="86">
        <f>11009320-11003476</f>
        <v>5844</v>
      </c>
      <c r="G26" s="86">
        <f>8061025-8058341</f>
        <v>2684</v>
      </c>
      <c r="H26" s="86">
        <f>8045039-8039520</f>
        <v>5519</v>
      </c>
      <c r="I26" s="86">
        <f>5006822-5004324</f>
        <v>2498</v>
      </c>
      <c r="J26" s="86">
        <f>10990499-10983744</f>
        <v>6755</v>
      </c>
      <c r="K26" s="86">
        <f t="shared" si="15"/>
        <v>28782</v>
      </c>
      <c r="L26" s="14">
        <f t="shared" si="9"/>
        <v>5756.4000000000005</v>
      </c>
      <c r="M26" s="83">
        <f>69172.593-69068.702</f>
        <v>103.89099999998871</v>
      </c>
      <c r="N26" s="83">
        <f>4103.166-4101.424</f>
        <v>1.7420000000001892</v>
      </c>
      <c r="O26" s="83">
        <f>9333.424-9332.626</f>
        <v>0.79800000000068394</v>
      </c>
      <c r="P26" s="82">
        <f>85469.099-85412.19</f>
        <v>56.908999999999651</v>
      </c>
      <c r="Q26" s="83">
        <f>23110.846-23100.071</f>
        <v>10.775000000001455</v>
      </c>
      <c r="R26" s="83">
        <f t="shared" si="0"/>
        <v>59.449000000000524</v>
      </c>
      <c r="S26" s="83">
        <f t="shared" si="1"/>
        <v>466.08016000000407</v>
      </c>
      <c r="T26" s="83">
        <f t="shared" si="2"/>
        <v>114.66599999999016</v>
      </c>
      <c r="U26" s="83">
        <f t="shared" si="16"/>
        <v>898.98143999992283</v>
      </c>
      <c r="V26" s="83">
        <f>339642.5-339502</f>
        <v>140.5</v>
      </c>
      <c r="W26" s="83">
        <f t="shared" si="3"/>
        <v>0</v>
      </c>
      <c r="X26" s="86" t="s">
        <v>63</v>
      </c>
      <c r="Y26" s="87">
        <v>821239</v>
      </c>
      <c r="Z26" s="5">
        <f t="shared" si="10"/>
        <v>457</v>
      </c>
      <c r="AA26" s="14">
        <f t="shared" si="7"/>
        <v>2956.79</v>
      </c>
      <c r="AB26" s="87">
        <v>3805331</v>
      </c>
      <c r="AC26" s="86">
        <f t="shared" si="11"/>
        <v>3786502</v>
      </c>
      <c r="AD26" s="5">
        <f t="shared" si="4"/>
        <v>18829</v>
      </c>
      <c r="AE26" s="83">
        <f t="shared" si="12"/>
        <v>6254.8996550000002</v>
      </c>
      <c r="AF26" s="83">
        <f>84154.5-84122.4</f>
        <v>32.100000000005821</v>
      </c>
      <c r="AG26" s="83">
        <f>43787.3-43766.9</f>
        <v>20.400000000001455</v>
      </c>
      <c r="AH26" s="83">
        <f>26518.6-26507.5</f>
        <v>11.099999999998545</v>
      </c>
      <c r="AI26" s="87">
        <f t="shared" si="13"/>
        <v>42036.3</v>
      </c>
      <c r="AJ26" s="87">
        <v>42062.2</v>
      </c>
      <c r="AK26" s="48">
        <f t="shared" si="8"/>
        <v>25.899999999994179</v>
      </c>
      <c r="AL26" s="89">
        <f t="shared" si="5"/>
        <v>7364.5390247293444</v>
      </c>
      <c r="AM26" s="83">
        <f t="shared" si="14"/>
        <v>2446.4630413199648</v>
      </c>
      <c r="AN26" s="71">
        <v>30</v>
      </c>
      <c r="AO26" s="78">
        <f t="shared" si="6"/>
        <v>15867.071094999923</v>
      </c>
    </row>
    <row r="27" spans="1:41" x14ac:dyDescent="0.25">
      <c r="A27" s="79">
        <v>44308</v>
      </c>
      <c r="B27" s="86">
        <f>11726977-11722045</f>
        <v>4932</v>
      </c>
      <c r="C27" s="86">
        <f>7460727-7457926</f>
        <v>2801</v>
      </c>
      <c r="D27" s="86">
        <f>1454708-1453870</f>
        <v>838</v>
      </c>
      <c r="E27" s="86">
        <f>11132837-11126706</f>
        <v>6131</v>
      </c>
      <c r="F27" s="86">
        <f>11015083-11009320</f>
        <v>5763</v>
      </c>
      <c r="G27" s="86">
        <f>8063728-8061025</f>
        <v>2703</v>
      </c>
      <c r="H27" s="86">
        <f>8049739-8045039</f>
        <v>4700</v>
      </c>
      <c r="I27" s="86">
        <f>5009273-5006822</f>
        <v>2451</v>
      </c>
      <c r="J27" s="86">
        <f>10997167-10990499</f>
        <v>6668</v>
      </c>
      <c r="K27" s="86">
        <f t="shared" si="15"/>
        <v>27868</v>
      </c>
      <c r="L27" s="14">
        <f t="shared" si="9"/>
        <v>5573.6</v>
      </c>
      <c r="M27" s="83">
        <f>69294.69-69172.593</f>
        <v>122.09700000000885</v>
      </c>
      <c r="N27" s="83">
        <f>4109.425-4103.166</f>
        <v>6.2590000000000146</v>
      </c>
      <c r="O27" s="83">
        <f>9338.49-9333.424</f>
        <v>5.0659999999988941</v>
      </c>
      <c r="P27" s="82">
        <f>85529.787-85469.099</f>
        <v>60.687999999994645</v>
      </c>
      <c r="Q27" s="83">
        <f>23121.201-23110.846</f>
        <v>10.354999999999563</v>
      </c>
      <c r="R27" s="83">
        <f t="shared" si="0"/>
        <v>72.012999999993554</v>
      </c>
      <c r="S27" s="83">
        <f t="shared" si="1"/>
        <v>564.58191999994949</v>
      </c>
      <c r="T27" s="83">
        <f t="shared" si="2"/>
        <v>132.45200000000841</v>
      </c>
      <c r="U27" s="83">
        <f t="shared" si="16"/>
        <v>1038.4236800000658</v>
      </c>
      <c r="V27" s="83">
        <f>339772.3-339642.5</f>
        <v>129.79999999998836</v>
      </c>
      <c r="W27" s="83">
        <f t="shared" si="3"/>
        <v>0</v>
      </c>
      <c r="X27" s="86" t="s">
        <v>63</v>
      </c>
      <c r="Y27" s="87">
        <v>821715</v>
      </c>
      <c r="Z27" s="5">
        <f t="shared" si="10"/>
        <v>476</v>
      </c>
      <c r="AA27" s="14">
        <f t="shared" si="7"/>
        <v>3079.72</v>
      </c>
      <c r="AB27" s="87">
        <v>3823589</v>
      </c>
      <c r="AC27" s="86">
        <f t="shared" si="11"/>
        <v>3805331</v>
      </c>
      <c r="AD27" s="5">
        <f t="shared" si="4"/>
        <v>18258</v>
      </c>
      <c r="AE27" s="83">
        <f t="shared" si="12"/>
        <v>6065.2163100000007</v>
      </c>
      <c r="AF27" s="83">
        <f>84187-84154.5</f>
        <v>32.5</v>
      </c>
      <c r="AG27" s="83">
        <f>43804.6-43787.3</f>
        <v>17.299999999995634</v>
      </c>
      <c r="AH27" s="83">
        <f>26529.9-26518.6</f>
        <v>11.30000000000291</v>
      </c>
      <c r="AI27" s="87">
        <f t="shared" si="13"/>
        <v>42062.2</v>
      </c>
      <c r="AJ27" s="87">
        <v>42087.8</v>
      </c>
      <c r="AK27" s="48">
        <f t="shared" si="8"/>
        <v>25.600000000005821</v>
      </c>
      <c r="AL27" s="89">
        <f t="shared" si="5"/>
        <v>7279.2354839056543</v>
      </c>
      <c r="AM27" s="83">
        <f t="shared" si="14"/>
        <v>2418.1256315760388</v>
      </c>
      <c r="AN27" s="71">
        <v>37</v>
      </c>
      <c r="AO27" s="78">
        <f t="shared" si="6"/>
        <v>15756.959990000065</v>
      </c>
    </row>
    <row r="28" spans="1:41" x14ac:dyDescent="0.25">
      <c r="A28" s="79">
        <v>44309</v>
      </c>
      <c r="B28" s="86">
        <f>11731820-11726977</f>
        <v>4843</v>
      </c>
      <c r="C28" s="86">
        <f>7463610-7460727</f>
        <v>2883</v>
      </c>
      <c r="D28" s="86">
        <f>1455589-1454708</f>
        <v>881</v>
      </c>
      <c r="E28" s="86">
        <f>11139488-11132837</f>
        <v>6651</v>
      </c>
      <c r="F28" s="86">
        <f>11020933-11015083</f>
        <v>5850</v>
      </c>
      <c r="G28" s="86">
        <f>8066406-8063728</f>
        <v>2678</v>
      </c>
      <c r="H28" s="86">
        <f>8054180-8049739</f>
        <v>4441</v>
      </c>
      <c r="I28" s="86">
        <f>5011760-5009273</f>
        <v>2487</v>
      </c>
      <c r="J28" s="86">
        <f>11003997-10997167</f>
        <v>6830</v>
      </c>
      <c r="K28" s="86">
        <f t="shared" si="15"/>
        <v>28227</v>
      </c>
      <c r="L28" s="14">
        <f t="shared" si="9"/>
        <v>5645.4000000000005</v>
      </c>
      <c r="M28" s="83">
        <f>69407.29-69294.69</f>
        <v>112.59999999999127</v>
      </c>
      <c r="N28" s="83">
        <f>4112.887-4109.425</f>
        <v>3.4619999999995343</v>
      </c>
      <c r="O28" s="83">
        <f>9341.058-9338.49</f>
        <v>2.5680000000011205</v>
      </c>
      <c r="P28" s="82">
        <f>85597.237-85529.787</f>
        <v>67.44999999999709</v>
      </c>
      <c r="Q28" s="83">
        <f>23129.89-23121.201</f>
        <v>8.6889999999984866</v>
      </c>
      <c r="R28" s="83">
        <f t="shared" si="0"/>
        <v>73.479999999997744</v>
      </c>
      <c r="S28" s="83">
        <f t="shared" si="1"/>
        <v>576.0831999999823</v>
      </c>
      <c r="T28" s="83">
        <f t="shared" si="2"/>
        <v>121.28899999998976</v>
      </c>
      <c r="U28" s="83">
        <f t="shared" si="16"/>
        <v>950.90575999991961</v>
      </c>
      <c r="V28" s="83">
        <f>339860.7-339772.3</f>
        <v>88.400000000023283</v>
      </c>
      <c r="W28" s="83">
        <f t="shared" si="3"/>
        <v>0</v>
      </c>
      <c r="X28" s="86" t="s">
        <v>63</v>
      </c>
      <c r="Y28" s="87">
        <v>822153</v>
      </c>
      <c r="Z28" s="5">
        <f t="shared" si="10"/>
        <v>438</v>
      </c>
      <c r="AA28" s="14">
        <f t="shared" si="7"/>
        <v>2833.8599999999997</v>
      </c>
      <c r="AB28" s="87">
        <v>3841794</v>
      </c>
      <c r="AC28" s="86">
        <f t="shared" si="11"/>
        <v>3823589</v>
      </c>
      <c r="AD28" s="5">
        <f t="shared" si="4"/>
        <v>18205</v>
      </c>
      <c r="AE28" s="83">
        <f t="shared" si="12"/>
        <v>6047.6099750000003</v>
      </c>
      <c r="AF28" s="83">
        <f>84217.4-84187</f>
        <v>30.399999999994179</v>
      </c>
      <c r="AG28" s="83">
        <f>43821.1-43804.6</f>
        <v>16.5</v>
      </c>
      <c r="AH28" s="83">
        <f>26542.1-26529.9</f>
        <v>12.19999999999709</v>
      </c>
      <c r="AI28" s="87">
        <f t="shared" si="13"/>
        <v>42087.8</v>
      </c>
      <c r="AJ28" s="87">
        <v>42113.2</v>
      </c>
      <c r="AK28" s="48">
        <f t="shared" si="8"/>
        <v>25.399999999994179</v>
      </c>
      <c r="AL28" s="89">
        <f t="shared" si="5"/>
        <v>7222.3664566843445</v>
      </c>
      <c r="AM28" s="83">
        <f t="shared" si="14"/>
        <v>2399.2340250782559</v>
      </c>
      <c r="AN28" s="71">
        <v>38</v>
      </c>
      <c r="AO28" s="78">
        <f t="shared" si="6"/>
        <v>15477.775734999919</v>
      </c>
    </row>
    <row r="29" spans="1:41" x14ac:dyDescent="0.25">
      <c r="A29" s="79">
        <v>44310</v>
      </c>
      <c r="B29" s="86">
        <f>11736791-11731820</f>
        <v>4971</v>
      </c>
      <c r="C29" s="86">
        <f>7466413-7463610</f>
        <v>2803</v>
      </c>
      <c r="D29" s="86">
        <f>1456416-1455589</f>
        <v>827</v>
      </c>
      <c r="E29" s="86">
        <f>11146076-11139488</f>
        <v>6588</v>
      </c>
      <c r="F29" s="86">
        <f>11026655-11020933</f>
        <v>5722</v>
      </c>
      <c r="G29" s="86">
        <f>8069083-8066406</f>
        <v>2677</v>
      </c>
      <c r="H29" s="86">
        <f>8059140-8054180</f>
        <v>4960</v>
      </c>
      <c r="I29" s="86">
        <f>5014272-5011760</f>
        <v>2512</v>
      </c>
      <c r="J29" s="86">
        <f>11010371-11003997</f>
        <v>6374</v>
      </c>
      <c r="K29" s="86">
        <f t="shared" si="15"/>
        <v>28548</v>
      </c>
      <c r="L29" s="14">
        <f t="shared" si="9"/>
        <v>5709.6</v>
      </c>
      <c r="M29" s="83">
        <f>69528.224-69407.29</f>
        <v>120.93400000000838</v>
      </c>
      <c r="N29" s="83">
        <f>4119.789-4112.887</f>
        <v>6.9020000000000437</v>
      </c>
      <c r="O29" s="83">
        <f>9345.845-9341.058</f>
        <v>4.7869999999984429</v>
      </c>
      <c r="P29" s="82">
        <f>85657.328-85597.237</f>
        <v>60.091000000000349</v>
      </c>
      <c r="Q29" s="83">
        <f>23140.991-23129.89</f>
        <v>11.101000000002387</v>
      </c>
      <c r="R29" s="83">
        <f t="shared" si="0"/>
        <v>71.779999999998836</v>
      </c>
      <c r="S29" s="83">
        <f t="shared" si="1"/>
        <v>562.75519999999085</v>
      </c>
      <c r="T29" s="83">
        <f t="shared" si="2"/>
        <v>132.03500000001077</v>
      </c>
      <c r="U29" s="83">
        <f t="shared" si="16"/>
        <v>1035.1544000000845</v>
      </c>
      <c r="V29" s="83">
        <f>339956-339860.7</f>
        <v>95.299999999988358</v>
      </c>
      <c r="W29" s="83">
        <f t="shared" si="3"/>
        <v>0</v>
      </c>
      <c r="X29" s="86" t="s">
        <v>63</v>
      </c>
      <c r="Y29" s="87">
        <v>822570</v>
      </c>
      <c r="Z29" s="5">
        <f t="shared" si="10"/>
        <v>417</v>
      </c>
      <c r="AA29" s="14">
        <f t="shared" si="7"/>
        <v>2697.99</v>
      </c>
      <c r="AB29" s="87">
        <v>3861422</v>
      </c>
      <c r="AC29" s="86">
        <f t="shared" si="11"/>
        <v>3841794</v>
      </c>
      <c r="AD29" s="5">
        <f t="shared" si="4"/>
        <v>19628</v>
      </c>
      <c r="AE29" s="83">
        <f t="shared" si="12"/>
        <v>6520.3234600000005</v>
      </c>
      <c r="AF29" s="83">
        <f>84250.4-84217.4</f>
        <v>33</v>
      </c>
      <c r="AG29" s="83">
        <f>43841.1-43821.1</f>
        <v>20</v>
      </c>
      <c r="AH29" s="83">
        <f>26554.3-26542.1</f>
        <v>12.200000000000728</v>
      </c>
      <c r="AI29" s="87">
        <f t="shared" si="13"/>
        <v>42113.2</v>
      </c>
      <c r="AJ29" s="87">
        <v>42140.1</v>
      </c>
      <c r="AK29" s="48">
        <f t="shared" si="8"/>
        <v>26.900000000001455</v>
      </c>
      <c r="AL29" s="89">
        <f t="shared" si="5"/>
        <v>7648.8841608214134</v>
      </c>
      <c r="AM29" s="83">
        <f t="shared" si="14"/>
        <v>2540.9210738040697</v>
      </c>
      <c r="AN29" s="71">
        <v>33</v>
      </c>
      <c r="AO29" s="78">
        <f t="shared" si="6"/>
        <v>15963.067860000087</v>
      </c>
    </row>
    <row r="30" spans="1:41" x14ac:dyDescent="0.25">
      <c r="A30" s="79">
        <v>44311</v>
      </c>
      <c r="B30" s="86">
        <f>11741649-11736791</f>
        <v>4858</v>
      </c>
      <c r="C30" s="86">
        <f>7469302-7466413</f>
        <v>2889</v>
      </c>
      <c r="D30" s="86">
        <f>1457271-1456416</f>
        <v>855</v>
      </c>
      <c r="E30" s="86">
        <f>11152635-11146076</f>
        <v>6559</v>
      </c>
      <c r="F30" s="86">
        <f>11032291-11026655</f>
        <v>5636</v>
      </c>
      <c r="G30" s="86">
        <f>8071790-8069083</f>
        <v>2707</v>
      </c>
      <c r="H30" s="86">
        <f>8064007-8059140</f>
        <v>4867</v>
      </c>
      <c r="I30" s="86">
        <f>5016857-5014272</f>
        <v>2585</v>
      </c>
      <c r="J30" s="86">
        <f>11016639-11010371</f>
        <v>6268</v>
      </c>
      <c r="K30" s="86">
        <f t="shared" si="15"/>
        <v>28371</v>
      </c>
      <c r="L30" s="14">
        <f t="shared" si="9"/>
        <v>5674.2000000000007</v>
      </c>
      <c r="M30" s="83">
        <f>69648.026-69528.224</f>
        <v>119.80199999999604</v>
      </c>
      <c r="N30" s="83">
        <f>4127.427-4119.789</f>
        <v>7.63799999999992</v>
      </c>
      <c r="O30" s="83">
        <f>9350.651-9345.845</f>
        <v>4.8060000000004948</v>
      </c>
      <c r="P30" s="82">
        <f>85709.929-85657.328</f>
        <v>52.601000000009662</v>
      </c>
      <c r="Q30" s="83">
        <f>23150.79-23140.991</f>
        <v>9.7989999999990687</v>
      </c>
      <c r="R30" s="83">
        <f t="shared" si="0"/>
        <v>65.045000000010077</v>
      </c>
      <c r="S30" s="83">
        <f t="shared" si="1"/>
        <v>509.95280000007898</v>
      </c>
      <c r="T30" s="83">
        <f t="shared" si="2"/>
        <v>129.60099999999511</v>
      </c>
      <c r="U30" s="83">
        <f t="shared" si="16"/>
        <v>1016.0718399999616</v>
      </c>
      <c r="V30" s="83">
        <f>340046.5-339956</f>
        <v>90.5</v>
      </c>
      <c r="W30" s="83">
        <f t="shared" si="3"/>
        <v>0</v>
      </c>
      <c r="X30" s="86" t="s">
        <v>63</v>
      </c>
      <c r="Y30" s="87">
        <v>822956</v>
      </c>
      <c r="Z30" s="5">
        <f t="shared" si="10"/>
        <v>386</v>
      </c>
      <c r="AA30" s="14">
        <f t="shared" si="7"/>
        <v>2497.42</v>
      </c>
      <c r="AB30" s="87">
        <v>3881033</v>
      </c>
      <c r="AC30" s="86">
        <f t="shared" si="11"/>
        <v>3861422</v>
      </c>
      <c r="AD30" s="5">
        <f t="shared" si="4"/>
        <v>19611</v>
      </c>
      <c r="AE30" s="83">
        <f t="shared" si="12"/>
        <v>6514.6761450000004</v>
      </c>
      <c r="AF30" s="83">
        <f>84283.7-84250.4</f>
        <v>33.30000000000291</v>
      </c>
      <c r="AG30" s="83">
        <f>43860-43841.1</f>
        <v>18.900000000001455</v>
      </c>
      <c r="AH30" s="83">
        <f>26567.1-26554.3</f>
        <v>12.799999999999272</v>
      </c>
      <c r="AI30" s="87">
        <f t="shared" si="13"/>
        <v>42140.1</v>
      </c>
      <c r="AJ30" s="87">
        <v>42166.400000000001</v>
      </c>
      <c r="AK30" s="48">
        <f t="shared" si="8"/>
        <v>26.30000000000291</v>
      </c>
      <c r="AL30" s="89">
        <f t="shared" si="5"/>
        <v>7478.2770791678267</v>
      </c>
      <c r="AM30" s="83">
        <f t="shared" si="14"/>
        <v>2484.2462543141564</v>
      </c>
      <c r="AN30" s="71">
        <v>39</v>
      </c>
      <c r="AO30" s="78">
        <f t="shared" si="6"/>
        <v>15702.367984999964</v>
      </c>
    </row>
    <row r="31" spans="1:41" x14ac:dyDescent="0.25">
      <c r="A31" s="79">
        <v>44312</v>
      </c>
      <c r="B31" s="86">
        <f>11746567-11741649</f>
        <v>4918</v>
      </c>
      <c r="C31" s="86">
        <f>7472244-7469302</f>
        <v>2942</v>
      </c>
      <c r="D31" s="86">
        <f>1458104-1457271</f>
        <v>833</v>
      </c>
      <c r="E31" s="86">
        <f>11159256-11152635</f>
        <v>6621</v>
      </c>
      <c r="F31" s="86">
        <f>11038056-11032291</f>
        <v>5765</v>
      </c>
      <c r="G31" s="86">
        <f>8074494-8071790</f>
        <v>2704</v>
      </c>
      <c r="H31" s="86">
        <f>8068237-8064007</f>
        <v>4230</v>
      </c>
      <c r="I31" s="86">
        <f>5019396-5016857</f>
        <v>2539</v>
      </c>
      <c r="J31" s="86">
        <f>11022983-11016639</f>
        <v>6344</v>
      </c>
      <c r="K31" s="86">
        <f t="shared" si="15"/>
        <v>28013</v>
      </c>
      <c r="L31" s="14">
        <f t="shared" si="9"/>
        <v>5602.6</v>
      </c>
      <c r="M31" s="83">
        <f>69745.657-69648.026</f>
        <v>97.631000000008498</v>
      </c>
      <c r="N31" s="83">
        <f>4134.64-4127.427</f>
        <v>7.2130000000006476</v>
      </c>
      <c r="O31" s="83">
        <f>9354.714-9350.651</f>
        <v>4.0630000000001019</v>
      </c>
      <c r="P31" s="82">
        <f>85762.473-85709.929</f>
        <v>52.543999999994412</v>
      </c>
      <c r="Q31" s="83">
        <f>23160.931-23150.79</f>
        <v>10.140999999999622</v>
      </c>
      <c r="R31" s="83">
        <f t="shared" si="0"/>
        <v>63.819999999995161</v>
      </c>
      <c r="S31" s="83">
        <f t="shared" si="1"/>
        <v>500.34879999996207</v>
      </c>
      <c r="T31" s="83">
        <f t="shared" si="2"/>
        <v>107.77200000000812</v>
      </c>
      <c r="U31" s="83">
        <f t="shared" si="16"/>
        <v>844.93248000006361</v>
      </c>
      <c r="V31" s="83">
        <f>340132.4-340046.5</f>
        <v>85.900000000023283</v>
      </c>
      <c r="W31" s="83">
        <f t="shared" si="3"/>
        <v>0</v>
      </c>
      <c r="X31" s="86" t="s">
        <v>63</v>
      </c>
      <c r="Y31" s="87">
        <v>823348</v>
      </c>
      <c r="Z31" s="5">
        <f t="shared" si="10"/>
        <v>392</v>
      </c>
      <c r="AA31" s="14">
        <f t="shared" si="7"/>
        <v>2536.2399999999998</v>
      </c>
      <c r="AB31" s="87">
        <v>3900005</v>
      </c>
      <c r="AC31" s="86">
        <f t="shared" si="11"/>
        <v>3881033</v>
      </c>
      <c r="AD31" s="5">
        <f t="shared" si="4"/>
        <v>18972</v>
      </c>
      <c r="AE31" s="83">
        <f t="shared" si="12"/>
        <v>6302.4035400000002</v>
      </c>
      <c r="AF31" s="83">
        <f>84316.5-84283.7</f>
        <v>32.80000000000291</v>
      </c>
      <c r="AG31" s="83">
        <f>43877.6-43860</f>
        <v>17.599999999998545</v>
      </c>
      <c r="AH31" s="83">
        <f>26580-26567.1</f>
        <v>12.900000000001455</v>
      </c>
      <c r="AI31" s="87">
        <f t="shared" si="13"/>
        <v>42166.400000000001</v>
      </c>
      <c r="AJ31" s="87">
        <v>42191.8</v>
      </c>
      <c r="AK31" s="48">
        <f t="shared" si="8"/>
        <v>25.400000000001455</v>
      </c>
      <c r="AL31" s="89">
        <f t="shared" si="5"/>
        <v>7222.3664566864136</v>
      </c>
      <c r="AM31" s="83">
        <f t="shared" si="14"/>
        <v>2399.2340250789434</v>
      </c>
      <c r="AN31" s="71">
        <v>37</v>
      </c>
      <c r="AO31" s="78">
        <f t="shared" si="6"/>
        <v>15286.176020000064</v>
      </c>
    </row>
    <row r="32" spans="1:41" x14ac:dyDescent="0.25">
      <c r="A32" s="79">
        <v>44313</v>
      </c>
      <c r="B32" s="86">
        <f>11751602-11746567</f>
        <v>5035</v>
      </c>
      <c r="C32" s="86">
        <f>7475300-7472244</f>
        <v>3056</v>
      </c>
      <c r="D32" s="86">
        <f>1458978-1458104</f>
        <v>874</v>
      </c>
      <c r="E32" s="86">
        <f>11165711-11159256</f>
        <v>6455</v>
      </c>
      <c r="F32" s="86">
        <f>11043940-11038056</f>
        <v>5884</v>
      </c>
      <c r="G32" s="86">
        <f>8077305-8074494</f>
        <v>2811</v>
      </c>
      <c r="H32" s="86">
        <f>8072833-8068237</f>
        <v>4596</v>
      </c>
      <c r="I32" s="86">
        <f>5021987-5019396</f>
        <v>2591</v>
      </c>
      <c r="J32" s="86">
        <f>11029522-11022983</f>
        <v>6539</v>
      </c>
      <c r="K32" s="86">
        <f t="shared" si="15"/>
        <v>28711</v>
      </c>
      <c r="L32" s="14">
        <f t="shared" si="9"/>
        <v>5742.2000000000007</v>
      </c>
      <c r="M32" s="83">
        <f>69871.079-69745.657</f>
        <v>125.42199999999139</v>
      </c>
      <c r="N32" s="83">
        <f>4140.268-4134.64</f>
        <v>5.6279999999997017</v>
      </c>
      <c r="O32" s="83">
        <f>9358.601-9354.714</f>
        <v>3.8870000000006257</v>
      </c>
      <c r="P32" s="82">
        <f>85820.44-85762.473</f>
        <v>57.967000000004191</v>
      </c>
      <c r="Q32" s="83">
        <f>23172.227-23160.931</f>
        <v>11.295999999998457</v>
      </c>
      <c r="R32" s="83">
        <f t="shared" si="0"/>
        <v>67.482000000004518</v>
      </c>
      <c r="S32" s="83">
        <f t="shared" si="1"/>
        <v>529.0588800000354</v>
      </c>
      <c r="T32" s="83">
        <f t="shared" si="2"/>
        <v>136.71799999998984</v>
      </c>
      <c r="U32" s="83">
        <f t="shared" si="16"/>
        <v>1071.8691199999203</v>
      </c>
      <c r="V32" s="83">
        <f>340242.7-340132.4</f>
        <v>110.29999999998836</v>
      </c>
      <c r="W32" s="83">
        <f t="shared" si="3"/>
        <v>0</v>
      </c>
      <c r="X32" s="86" t="s">
        <v>63</v>
      </c>
      <c r="Y32" s="87">
        <v>823780</v>
      </c>
      <c r="Z32" s="5">
        <f t="shared" si="10"/>
        <v>432</v>
      </c>
      <c r="AA32" s="14">
        <f t="shared" si="7"/>
        <v>2795.04</v>
      </c>
      <c r="AB32" s="87">
        <v>3920842</v>
      </c>
      <c r="AC32" s="86">
        <f t="shared" si="11"/>
        <v>3900005</v>
      </c>
      <c r="AD32" s="5">
        <f t="shared" si="4"/>
        <v>20837</v>
      </c>
      <c r="AE32" s="83">
        <f t="shared" si="12"/>
        <v>6921.9472150000001</v>
      </c>
      <c r="AF32" s="83">
        <f>84352.2-84316.5</f>
        <v>35.69999999999709</v>
      </c>
      <c r="AG32" s="83">
        <f>43898-43877.6</f>
        <v>20.400000000001455</v>
      </c>
      <c r="AH32" s="83">
        <f>26594-26580</f>
        <v>14</v>
      </c>
      <c r="AI32" s="87">
        <f t="shared" si="13"/>
        <v>42191.8</v>
      </c>
      <c r="AJ32" s="86">
        <v>42219.199999999997</v>
      </c>
      <c r="AK32" s="48">
        <f t="shared" si="8"/>
        <v>27.399999999994179</v>
      </c>
      <c r="AL32" s="89">
        <f t="shared" si="5"/>
        <v>7791.0567288643442</v>
      </c>
      <c r="AM32" s="83">
        <f t="shared" si="14"/>
        <v>2588.150090045091</v>
      </c>
      <c r="AN32" s="71">
        <v>45</v>
      </c>
      <c r="AO32" s="78">
        <f t="shared" si="6"/>
        <v>16531.056334999921</v>
      </c>
    </row>
    <row r="33" spans="1:41" x14ac:dyDescent="0.25">
      <c r="A33" s="79">
        <v>44314</v>
      </c>
      <c r="B33" s="86">
        <f>11756358-11751602</f>
        <v>4756</v>
      </c>
      <c r="C33" s="86">
        <f>7478337-7475300</f>
        <v>3037</v>
      </c>
      <c r="D33" s="86">
        <f>1459794-1458978</f>
        <v>816</v>
      </c>
      <c r="E33" s="86">
        <f>11171631-11165711</f>
        <v>5920</v>
      </c>
      <c r="F33" s="86">
        <f>11049639-11043940</f>
        <v>5699</v>
      </c>
      <c r="G33" s="86">
        <f>8079833-8077305</f>
        <v>2528</v>
      </c>
      <c r="H33" s="86">
        <f>8076880-8072833</f>
        <v>4047</v>
      </c>
      <c r="I33" s="86">
        <f>5024468-5021987</f>
        <v>2481</v>
      </c>
      <c r="J33" s="86">
        <f>11035663-11029522</f>
        <v>6141</v>
      </c>
      <c r="K33" s="86">
        <f t="shared" si="15"/>
        <v>26803</v>
      </c>
      <c r="L33" s="14">
        <f t="shared" si="9"/>
        <v>5360.6</v>
      </c>
      <c r="M33" s="83">
        <f>69972.955-69871.079</f>
        <v>101.87600000000384</v>
      </c>
      <c r="N33" s="83">
        <f>4147.317-4140.268</f>
        <v>7.0489999999999782</v>
      </c>
      <c r="O33" s="83">
        <f>9363.392-9358.601</f>
        <v>4.7909999999992579</v>
      </c>
      <c r="P33" s="82">
        <f>85876.483-85820.44</f>
        <v>56.04299999999057</v>
      </c>
      <c r="Q33" s="83">
        <f>23182.372-23172.227</f>
        <v>10.145000000000437</v>
      </c>
      <c r="R33" s="83">
        <f t="shared" si="0"/>
        <v>67.882999999989806</v>
      </c>
      <c r="S33" s="83">
        <f t="shared" si="1"/>
        <v>532.20271999992008</v>
      </c>
      <c r="T33" s="83">
        <f t="shared" si="2"/>
        <v>112.02100000000428</v>
      </c>
      <c r="U33" s="83">
        <f t="shared" si="16"/>
        <v>878.24464000003354</v>
      </c>
      <c r="V33" s="83">
        <f>340411.9-340242.7</f>
        <v>169.20000000001164</v>
      </c>
      <c r="W33" s="83">
        <f t="shared" si="3"/>
        <v>0</v>
      </c>
      <c r="X33" s="86" t="s">
        <v>63</v>
      </c>
      <c r="Y33" s="87">
        <v>824274</v>
      </c>
      <c r="Z33" s="5">
        <f t="shared" si="10"/>
        <v>494</v>
      </c>
      <c r="AA33" s="14">
        <f t="shared" si="7"/>
        <v>3196.18</v>
      </c>
      <c r="AB33" s="87">
        <v>3939707.2</v>
      </c>
      <c r="AC33" s="86">
        <f t="shared" si="11"/>
        <v>3920842</v>
      </c>
      <c r="AD33" s="5">
        <f t="shared" si="4"/>
        <v>18865.200000000186</v>
      </c>
      <c r="AE33" s="83">
        <f t="shared" si="12"/>
        <v>6266.9251140000624</v>
      </c>
      <c r="AF33" s="83">
        <f>84384.2-84352.2</f>
        <v>32</v>
      </c>
      <c r="AG33" s="83">
        <f>43915.9-43898</f>
        <v>17.900000000001455</v>
      </c>
      <c r="AH33" s="83">
        <f>26607.2-26594</f>
        <v>13.200000000000728</v>
      </c>
      <c r="AI33" s="87">
        <f t="shared" si="13"/>
        <v>42219.199999999997</v>
      </c>
      <c r="AJ33" s="86">
        <v>42245.1</v>
      </c>
      <c r="AK33" s="48">
        <f t="shared" si="8"/>
        <v>25.900000000001455</v>
      </c>
      <c r="AL33" s="89">
        <f t="shared" si="5"/>
        <v>7364.5390247314135</v>
      </c>
      <c r="AM33" s="83">
        <f t="shared" si="14"/>
        <v>2446.4630413206519</v>
      </c>
      <c r="AN33" s="71">
        <v>40</v>
      </c>
      <c r="AO33" s="78">
        <f t="shared" si="6"/>
        <v>15701.949754000096</v>
      </c>
    </row>
    <row r="34" spans="1:41" x14ac:dyDescent="0.25">
      <c r="A34" s="79">
        <v>44315</v>
      </c>
      <c r="B34" s="86">
        <f>11761179-11756358</f>
        <v>4821</v>
      </c>
      <c r="C34" s="86">
        <f>7481281-7478337</f>
        <v>2944</v>
      </c>
      <c r="D34" s="86">
        <f>1460600-1459794</f>
        <v>806</v>
      </c>
      <c r="E34" s="86">
        <f>11177579-11171631</f>
        <v>5948</v>
      </c>
      <c r="F34" s="86">
        <f>11055566-11049639</f>
        <v>5927</v>
      </c>
      <c r="G34" s="86">
        <f>8082339-8079833</f>
        <v>2506</v>
      </c>
      <c r="H34" s="86">
        <f>8081036-8076880</f>
        <v>4156</v>
      </c>
      <c r="I34" s="86">
        <f>5026998-5024468</f>
        <v>2530</v>
      </c>
      <c r="J34" s="86">
        <f>11042076-11035663</f>
        <v>6413</v>
      </c>
      <c r="K34" s="86">
        <f t="shared" si="15"/>
        <v>27108</v>
      </c>
      <c r="L34" s="14">
        <f t="shared" si="9"/>
        <v>5421.6</v>
      </c>
      <c r="M34" s="83">
        <f>70096.084-69972.955</f>
        <v>123.12900000000081</v>
      </c>
      <c r="N34" s="83">
        <f>4153.345-4147.317</f>
        <v>6.0280000000002474</v>
      </c>
      <c r="O34" s="83">
        <f>9366.445-9363.392</f>
        <v>3.0529999999998836</v>
      </c>
      <c r="P34" s="82">
        <f>85938.444-85876.483</f>
        <v>61.961000000010245</v>
      </c>
      <c r="Q34" s="83">
        <f>23194.024-23182.372</f>
        <v>11.652000000001863</v>
      </c>
      <c r="R34" s="83">
        <f t="shared" si="0"/>
        <v>71.042000000010376</v>
      </c>
      <c r="S34" s="83">
        <f t="shared" si="1"/>
        <v>556.96928000008131</v>
      </c>
      <c r="T34" s="83">
        <f t="shared" si="2"/>
        <v>134.78100000000268</v>
      </c>
      <c r="U34" s="83">
        <f t="shared" si="16"/>
        <v>1056.683040000021</v>
      </c>
      <c r="V34" s="83">
        <f>340586-340411.9</f>
        <v>174.09999999997672</v>
      </c>
      <c r="W34" s="83">
        <f t="shared" si="3"/>
        <v>0</v>
      </c>
      <c r="X34" s="86" t="s">
        <v>63</v>
      </c>
      <c r="Y34" s="87">
        <v>824774</v>
      </c>
      <c r="Z34" s="5">
        <f t="shared" si="10"/>
        <v>500</v>
      </c>
      <c r="AA34" s="14">
        <f t="shared" si="7"/>
        <v>3235</v>
      </c>
      <c r="AB34" s="87">
        <v>3959696.9</v>
      </c>
      <c r="AC34" s="86">
        <f t="shared" si="11"/>
        <v>3939707.2</v>
      </c>
      <c r="AD34" s="5">
        <f t="shared" si="4"/>
        <v>19989.699999999721</v>
      </c>
      <c r="AE34" s="83">
        <f t="shared" si="12"/>
        <v>6640.478391499908</v>
      </c>
      <c r="AF34" s="83">
        <f>84418.4-84384.2</f>
        <v>34.19999999999709</v>
      </c>
      <c r="AG34" s="83">
        <f>43933.8-43915.9</f>
        <v>17.900000000001455</v>
      </c>
      <c r="AH34" s="83">
        <f>26621-26607.2</f>
        <v>13.799999999999272</v>
      </c>
      <c r="AI34" s="87">
        <f t="shared" si="13"/>
        <v>42245.1</v>
      </c>
      <c r="AJ34" s="87">
        <v>42273.1</v>
      </c>
      <c r="AK34" s="48">
        <f t="shared" si="8"/>
        <v>28</v>
      </c>
      <c r="AL34" s="89">
        <f t="shared" si="5"/>
        <v>7961.66381052</v>
      </c>
      <c r="AM34" s="83">
        <f t="shared" si="14"/>
        <v>2644.8249095356914</v>
      </c>
      <c r="AN34" s="71">
        <v>35</v>
      </c>
      <c r="AO34" s="78">
        <f t="shared" si="6"/>
        <v>16353.761431499928</v>
      </c>
    </row>
    <row r="35" spans="1:41" ht="21.75" thickBot="1" x14ac:dyDescent="0.3">
      <c r="A35" s="79">
        <v>44316</v>
      </c>
      <c r="B35" s="86">
        <f>11765989-11761179</f>
        <v>4810</v>
      </c>
      <c r="C35" s="86">
        <f>7484308-7481281</f>
        <v>3027</v>
      </c>
      <c r="D35" s="86">
        <f>1461484-1460600</f>
        <v>884</v>
      </c>
      <c r="E35" s="86">
        <f>11183704-11177579</f>
        <v>6125</v>
      </c>
      <c r="F35" s="86">
        <f>11061550-11055566</f>
        <v>5984</v>
      </c>
      <c r="G35" s="86">
        <f>8084851-8082339</f>
        <v>2512</v>
      </c>
      <c r="H35" s="86">
        <f>8086336-8081036</f>
        <v>5300</v>
      </c>
      <c r="I35" s="86">
        <f>5029425-5026998</f>
        <v>2427</v>
      </c>
      <c r="J35" s="86">
        <f>11048710-11042076</f>
        <v>6634</v>
      </c>
      <c r="K35" s="86">
        <f t="shared" ref="K35" si="17">SUM(B35:H35)</f>
        <v>28642</v>
      </c>
      <c r="L35" s="14">
        <f t="shared" ref="L35" si="18">K35*0.2</f>
        <v>5728.4000000000005</v>
      </c>
      <c r="M35" s="83">
        <f>70225.91-70096.084</f>
        <v>129.82600000000093</v>
      </c>
      <c r="N35" s="83">
        <f>4159.916-4153.345</f>
        <v>6.5709999999999127</v>
      </c>
      <c r="O35" s="83">
        <f>9371.579-9366.445</f>
        <v>5.1340000000000146</v>
      </c>
      <c r="P35" s="82">
        <f>86007.915-85938.444</f>
        <v>69.470999999990454</v>
      </c>
      <c r="Q35" s="83">
        <f>23202.823-23194.024</f>
        <v>8.7989999999990687</v>
      </c>
      <c r="R35" s="83">
        <f t="shared" ref="R35" si="19">N35+O35+P35</f>
        <v>81.175999999990381</v>
      </c>
      <c r="S35" s="83">
        <f t="shared" ref="S35" si="20">(N35+O35+P35)*7.84</f>
        <v>636.41983999992453</v>
      </c>
      <c r="T35" s="83">
        <f t="shared" ref="T35" si="21">M35+Q35</f>
        <v>138.625</v>
      </c>
      <c r="U35" s="83">
        <f t="shared" ref="U35" si="22">T35*7.84</f>
        <v>1086.82</v>
      </c>
      <c r="V35" s="83">
        <f>340771-340586</f>
        <v>185</v>
      </c>
      <c r="W35" s="83">
        <f t="shared" si="3"/>
        <v>0</v>
      </c>
      <c r="X35" s="86" t="s">
        <v>102</v>
      </c>
      <c r="Y35" s="87">
        <v>825352</v>
      </c>
      <c r="Z35" s="5">
        <f t="shared" ref="Z35" si="23">IF((Y35-Y34&lt;0), "0",Y35-Y34)</f>
        <v>578</v>
      </c>
      <c r="AA35" s="14">
        <f t="shared" ref="AA35" si="24">Z35*6.47</f>
        <v>3739.66</v>
      </c>
      <c r="AB35" s="87">
        <v>3981516</v>
      </c>
      <c r="AC35" s="86">
        <f t="shared" si="11"/>
        <v>3959696.9</v>
      </c>
      <c r="AD35" s="5">
        <f t="shared" si="4"/>
        <v>21819.100000000093</v>
      </c>
      <c r="AE35" s="83">
        <f t="shared" si="12"/>
        <v>7248.1959245000317</v>
      </c>
      <c r="AF35" s="83">
        <f>84455.9-84418.4</f>
        <v>37.5</v>
      </c>
      <c r="AG35" s="83">
        <f>43955.8-43933.8</f>
        <v>22</v>
      </c>
      <c r="AH35" s="83">
        <f>26634.9-26621</f>
        <v>13.900000000001455</v>
      </c>
      <c r="AI35" s="87">
        <f t="shared" si="13"/>
        <v>42273.1</v>
      </c>
      <c r="AJ35" s="87">
        <v>42302.5</v>
      </c>
      <c r="AK35" s="48">
        <f t="shared" ref="AK35" si="25">IF((AJ35-AI35)&lt;0, "0",AJ35-AI35)</f>
        <v>29.400000000001455</v>
      </c>
      <c r="AL35" s="89">
        <f t="shared" ref="AL35" si="26">AK35*(284.34513609)</f>
        <v>8359.7470010464131</v>
      </c>
      <c r="AM35" s="83">
        <f t="shared" si="14"/>
        <v>2777.0661550126133</v>
      </c>
      <c r="AN35" s="108">
        <v>48</v>
      </c>
      <c r="AO35" s="78">
        <f t="shared" ref="AO35" si="27">L35+U35+AA35+AE35</f>
        <v>17803.075924500034</v>
      </c>
    </row>
    <row r="36" spans="1:41" x14ac:dyDescent="0.25">
      <c r="A36" s="76"/>
      <c r="D36" s="6">
        <f>SUM(D6:D35)</f>
        <v>26313</v>
      </c>
      <c r="E36" s="6" t="s">
        <v>93</v>
      </c>
      <c r="G36" s="6">
        <f t="shared" ref="G36:L36" si="28">SUM(G6:G35)</f>
        <v>84616</v>
      </c>
      <c r="H36" s="6">
        <f t="shared" si="28"/>
        <v>156645</v>
      </c>
      <c r="I36" s="6">
        <f t="shared" si="28"/>
        <v>73730</v>
      </c>
      <c r="J36" s="6">
        <f t="shared" si="28"/>
        <v>204673</v>
      </c>
      <c r="K36" s="6">
        <f t="shared" si="28"/>
        <v>862286</v>
      </c>
      <c r="L36" s="15">
        <f t="shared" si="28"/>
        <v>172457.20000000007</v>
      </c>
      <c r="R36" s="16">
        <f>SUM(R6:R35)</f>
        <v>2039.9809999999902</v>
      </c>
      <c r="T36" s="16">
        <f>SUM(T6:T35)</f>
        <v>4083.4350000000122</v>
      </c>
      <c r="U36" s="16">
        <f t="shared" si="16"/>
        <v>32014.130400000096</v>
      </c>
      <c r="Z36" s="17">
        <f>SUM(Z6:Z35)</f>
        <v>14980</v>
      </c>
      <c r="AA36" s="17">
        <f>SUM(AA6:AA35)</f>
        <v>96920.599999999991</v>
      </c>
      <c r="AD36" s="17">
        <f>SUM(AD6:AD35)</f>
        <v>551634</v>
      </c>
      <c r="AE36" s="16">
        <f>AD36*0.334569</f>
        <v>184559.63574600001</v>
      </c>
      <c r="AF36" s="16">
        <f>SUM(AF6:AF35)</f>
        <v>917.59999999999127</v>
      </c>
      <c r="AG36" s="16">
        <f>SUM(AG6:AG35)</f>
        <v>527.20000000000437</v>
      </c>
      <c r="AH36" s="16">
        <f>SUM(AH6:AH35)</f>
        <v>336.20000000000073</v>
      </c>
      <c r="AK36" s="42">
        <f>SUM(AK6:AK35)</f>
        <v>750.5</v>
      </c>
      <c r="AL36" s="42">
        <f>SUM(AL6:AL35)</f>
        <v>213401.02463554495</v>
      </c>
      <c r="AM36" s="42">
        <f>SUM(AM6:AM35)</f>
        <v>70890.753378804875</v>
      </c>
      <c r="AN36" s="42">
        <f>SUM(AN6:AN35)</f>
        <v>2152</v>
      </c>
      <c r="AO36" s="42">
        <f>SUM(AO6:AO35)</f>
        <v>484641.98703000008</v>
      </c>
    </row>
    <row r="37" spans="1:41" x14ac:dyDescent="0.25">
      <c r="D37" s="6" t="e">
        <f>#REF!*24</f>
        <v>#REF!</v>
      </c>
      <c r="E37" s="6" t="s">
        <v>1</v>
      </c>
      <c r="R37" s="16">
        <v>7.84</v>
      </c>
      <c r="T37" s="16" t="s">
        <v>99</v>
      </c>
      <c r="U37" s="16">
        <f>U36-R38</f>
        <v>16020.679360000173</v>
      </c>
    </row>
    <row r="38" spans="1:41" x14ac:dyDescent="0.25">
      <c r="D38" s="6" t="e">
        <f>D37*31</f>
        <v>#REF!</v>
      </c>
      <c r="E38" s="6" t="s">
        <v>2</v>
      </c>
      <c r="F38" s="6" t="s">
        <v>94</v>
      </c>
      <c r="G38" s="6" t="e">
        <f>D38*0.2</f>
        <v>#REF!</v>
      </c>
      <c r="R38" s="16">
        <f>R36*R37</f>
        <v>15993.451039999924</v>
      </c>
      <c r="U38" s="16">
        <f>U37/R37</f>
        <v>2043.454000000022</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2021-05-03T04:17:39Z</dcterms:modified>
</cp:coreProperties>
</file>