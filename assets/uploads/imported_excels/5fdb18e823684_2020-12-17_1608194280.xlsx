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esktop\Four Seasons Asia Pacific\Daily\"/>
    </mc:Choice>
  </mc:AlternateContent>
  <bookViews>
    <workbookView xWindow="0" yWindow="0" windowWidth="28800" windowHeight="12435"/>
  </bookViews>
  <sheets>
    <sheet name="TOTAL" sheetId="11" r:id="rId1"/>
    <sheet name="FS Jimbaran November 2020" sheetId="8" r:id="rId2"/>
    <sheet name="Electricity Residences " sheetId="7" r:id="rId3"/>
    <sheet name="December'20 RNs &amp; Covers Fcst" sheetId="10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2" i="11"/>
  <c r="B4" i="1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" i="11"/>
  <c r="AD55" i="8" l="1"/>
  <c r="AG41" i="8" l="1"/>
  <c r="AI41" i="8" s="1"/>
  <c r="AG40" i="8"/>
  <c r="AI40" i="8" s="1"/>
  <c r="AG39" i="8"/>
  <c r="AI39" i="8" s="1"/>
  <c r="AG38" i="8"/>
  <c r="AI38" i="8" s="1"/>
  <c r="AG37" i="8"/>
  <c r="AI37" i="8" s="1"/>
  <c r="AG36" i="8"/>
  <c r="AI36" i="8" s="1"/>
  <c r="AG35" i="8"/>
  <c r="AI35" i="8" s="1"/>
  <c r="AG34" i="8"/>
  <c r="AI34" i="8" s="1"/>
  <c r="AG33" i="8"/>
  <c r="AI33" i="8" s="1"/>
  <c r="AG32" i="8"/>
  <c r="AI32" i="8" s="1"/>
  <c r="AG31" i="8"/>
  <c r="AI31" i="8" s="1"/>
  <c r="AG30" i="8"/>
  <c r="AI30" i="8" s="1"/>
  <c r="AG29" i="8"/>
  <c r="AI29" i="8" s="1"/>
  <c r="AG28" i="8"/>
  <c r="AI28" i="8" s="1"/>
  <c r="AG27" i="8"/>
  <c r="AI27" i="8" s="1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X46" i="8" l="1"/>
  <c r="C38" i="10" l="1"/>
  <c r="B38" i="10"/>
  <c r="A10" i="10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9" i="10"/>
  <c r="A8" i="10"/>
  <c r="AA41" i="8"/>
  <c r="AB41" i="8" s="1"/>
  <c r="AA40" i="8"/>
  <c r="AB40" i="8" s="1"/>
  <c r="AA39" i="8"/>
  <c r="AB39" i="8" s="1"/>
  <c r="AA38" i="8"/>
  <c r="AB38" i="8" s="1"/>
  <c r="AA37" i="8"/>
  <c r="AB37" i="8" s="1"/>
  <c r="AA36" i="8"/>
  <c r="AB36" i="8" s="1"/>
  <c r="AA35" i="8"/>
  <c r="AB35" i="8" s="1"/>
  <c r="AA34" i="8"/>
  <c r="AB34" i="8" s="1"/>
  <c r="AA33" i="8"/>
  <c r="AB33" i="8" s="1"/>
  <c r="AA32" i="8"/>
  <c r="AB32" i="8" s="1"/>
  <c r="AA31" i="8"/>
  <c r="AB31" i="8" s="1"/>
  <c r="AA30" i="8"/>
  <c r="AB30" i="8" s="1"/>
  <c r="AA29" i="8"/>
  <c r="AB29" i="8" s="1"/>
  <c r="AA28" i="8"/>
  <c r="AB28" i="8" s="1"/>
  <c r="AA27" i="8"/>
  <c r="AB27" i="8" s="1"/>
  <c r="V41" i="8"/>
  <c r="V40" i="8"/>
  <c r="V39" i="8"/>
  <c r="V38" i="8"/>
  <c r="V37" i="8"/>
  <c r="V36" i="8"/>
  <c r="V35" i="8"/>
  <c r="V34" i="8"/>
  <c r="V33" i="8"/>
  <c r="V32" i="8"/>
  <c r="V31" i="8"/>
  <c r="V30" i="8"/>
  <c r="V29" i="8"/>
  <c r="V28" i="8"/>
  <c r="V27" i="8"/>
  <c r="G46" i="8" l="1"/>
  <c r="L46" i="8"/>
  <c r="J46" i="8"/>
  <c r="D46" i="8"/>
  <c r="C46" i="8"/>
  <c r="G8" i="7"/>
  <c r="G7" i="7"/>
  <c r="P41" i="8"/>
  <c r="P40" i="8"/>
  <c r="P39" i="8"/>
  <c r="P38" i="8"/>
  <c r="P37" i="8"/>
  <c r="P35" i="8"/>
  <c r="P34" i="8"/>
  <c r="P33" i="8"/>
  <c r="P32" i="8"/>
  <c r="P31" i="8"/>
  <c r="P30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K46" i="8" l="1"/>
  <c r="H46" i="8"/>
  <c r="N14" i="8"/>
  <c r="N38" i="8"/>
  <c r="N22" i="8"/>
  <c r="N30" i="8"/>
  <c r="M46" i="8"/>
  <c r="N18" i="8"/>
  <c r="N26" i="8"/>
  <c r="N34" i="8"/>
  <c r="N23" i="8"/>
  <c r="N24" i="8"/>
  <c r="N32" i="8"/>
  <c r="N17" i="8"/>
  <c r="N25" i="8"/>
  <c r="N33" i="8"/>
  <c r="N41" i="8"/>
  <c r="N31" i="8"/>
  <c r="N16" i="8"/>
  <c r="N15" i="8"/>
  <c r="N40" i="8"/>
  <c r="N39" i="8"/>
  <c r="N19" i="8"/>
  <c r="N27" i="8"/>
  <c r="N35" i="8"/>
  <c r="N12" i="8"/>
  <c r="N20" i="8"/>
  <c r="N28" i="8"/>
  <c r="N36" i="8"/>
  <c r="N13" i="8"/>
  <c r="N21" i="8"/>
  <c r="N29" i="8"/>
  <c r="N37" i="8"/>
  <c r="N46" i="8" l="1"/>
  <c r="I26" i="8" l="1"/>
  <c r="O26" i="8" s="1"/>
  <c r="I12" i="8"/>
  <c r="I24" i="8"/>
  <c r="O24" i="8" s="1"/>
  <c r="I18" i="8"/>
  <c r="O18" i="8" s="1"/>
  <c r="I16" i="8"/>
  <c r="O16" i="8" s="1"/>
  <c r="E36" i="8"/>
  <c r="E29" i="8"/>
  <c r="E28" i="8"/>
  <c r="E46" i="8" l="1"/>
  <c r="P28" i="8"/>
  <c r="I29" i="8"/>
  <c r="O29" i="8" s="1"/>
  <c r="P29" i="8"/>
  <c r="I36" i="8"/>
  <c r="O36" i="8" s="1"/>
  <c r="P36" i="8"/>
  <c r="I20" i="8"/>
  <c r="O20" i="8" s="1"/>
  <c r="I21" i="8"/>
  <c r="O21" i="8" s="1"/>
  <c r="I13" i="8"/>
  <c r="O13" i="8" s="1"/>
  <c r="I25" i="8"/>
  <c r="O25" i="8" s="1"/>
  <c r="I17" i="8"/>
  <c r="O17" i="8" s="1"/>
  <c r="I40" i="8"/>
  <c r="O40" i="8" s="1"/>
  <c r="I28" i="8"/>
  <c r="O28" i="8" s="1"/>
  <c r="I37" i="8"/>
  <c r="O37" i="8" s="1"/>
  <c r="I30" i="8"/>
  <c r="O30" i="8" s="1"/>
  <c r="I39" i="8"/>
  <c r="O39" i="8" s="1"/>
  <c r="I19" i="8"/>
  <c r="O19" i="8" s="1"/>
  <c r="I38" i="8"/>
  <c r="O38" i="8" s="1"/>
  <c r="I31" i="8"/>
  <c r="O31" i="8" s="1"/>
  <c r="I22" i="8"/>
  <c r="O22" i="8" s="1"/>
  <c r="I15" i="8"/>
  <c r="O15" i="8" s="1"/>
  <c r="I23" i="8"/>
  <c r="O23" i="8" s="1"/>
  <c r="I33" i="8"/>
  <c r="O33" i="8" s="1"/>
  <c r="I41" i="8"/>
  <c r="O41" i="8" s="1"/>
  <c r="I14" i="8"/>
  <c r="O14" i="8" s="1"/>
  <c r="I34" i="8"/>
  <c r="O34" i="8" s="1"/>
  <c r="I32" i="8"/>
  <c r="O32" i="8" s="1"/>
  <c r="I27" i="8"/>
  <c r="O27" i="8" s="1"/>
  <c r="I35" i="8"/>
  <c r="O35" i="8" s="1"/>
  <c r="F46" i="8" l="1"/>
  <c r="I46" i="8"/>
  <c r="F23" i="7" l="1"/>
  <c r="V13" i="8" l="1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12" i="8"/>
  <c r="AF46" i="8"/>
  <c r="AE46" i="8"/>
  <c r="AD46" i="8"/>
  <c r="AC46" i="8"/>
  <c r="W46" i="8"/>
  <c r="S43" i="8"/>
  <c r="AL26" i="8"/>
  <c r="AG26" i="8"/>
  <c r="AI26" i="8" s="1"/>
  <c r="AJ25" i="8"/>
  <c r="AG25" i="8"/>
  <c r="AI25" i="8" s="1"/>
  <c r="AJ24" i="8"/>
  <c r="AG24" i="8"/>
  <c r="AI24" i="8" s="1"/>
  <c r="AL23" i="8"/>
  <c r="AG23" i="8"/>
  <c r="AI23" i="8" s="1"/>
  <c r="AJ22" i="8"/>
  <c r="AG22" i="8"/>
  <c r="AI22" i="8" s="1"/>
  <c r="AL21" i="8"/>
  <c r="AG21" i="8"/>
  <c r="AI21" i="8" s="1"/>
  <c r="AL20" i="8"/>
  <c r="AG20" i="8"/>
  <c r="AI20" i="8" s="1"/>
  <c r="AL19" i="8"/>
  <c r="AG19" i="8"/>
  <c r="AI19" i="8" s="1"/>
  <c r="AJ18" i="8"/>
  <c r="AG18" i="8"/>
  <c r="AI18" i="8" s="1"/>
  <c r="AL17" i="8"/>
  <c r="AG17" i="8"/>
  <c r="AI17" i="8" s="1"/>
  <c r="AL16" i="8"/>
  <c r="AG16" i="8"/>
  <c r="AI16" i="8" s="1"/>
  <c r="AL15" i="8"/>
  <c r="AG15" i="8"/>
  <c r="AI15" i="8" s="1"/>
  <c r="AL14" i="8"/>
  <c r="AG14" i="8"/>
  <c r="AI14" i="8" s="1"/>
  <c r="AL13" i="8"/>
  <c r="AG13" i="8"/>
  <c r="AI13" i="8" s="1"/>
  <c r="O12" i="8"/>
  <c r="O46" i="8" s="1"/>
  <c r="AL12" i="8"/>
  <c r="AG12" i="8"/>
  <c r="AI12" i="8" s="1"/>
  <c r="AJ46" i="8" l="1"/>
  <c r="AL22" i="8"/>
  <c r="AL24" i="8"/>
  <c r="AL25" i="8"/>
  <c r="Y46" i="8"/>
  <c r="V46" i="8"/>
  <c r="AA14" i="8"/>
  <c r="AB14" i="8" s="1"/>
  <c r="AA22" i="8"/>
  <c r="AB22" i="8" s="1"/>
  <c r="AA18" i="8"/>
  <c r="AB18" i="8" s="1"/>
  <c r="AA13" i="8"/>
  <c r="AB13" i="8" s="1"/>
  <c r="AA23" i="8"/>
  <c r="AB23" i="8" s="1"/>
  <c r="AA19" i="8"/>
  <c r="AB19" i="8" s="1"/>
  <c r="AA20" i="8"/>
  <c r="AB20" i="8" s="1"/>
  <c r="AA24" i="8"/>
  <c r="AB24" i="8" s="1"/>
  <c r="AA26" i="8"/>
  <c r="AB26" i="8" s="1"/>
  <c r="AA17" i="8"/>
  <c r="AB17" i="8" s="1"/>
  <c r="AA16" i="8"/>
  <c r="AB16" i="8" s="1"/>
  <c r="AA21" i="8"/>
  <c r="AB21" i="8" s="1"/>
  <c r="AA15" i="8"/>
  <c r="AB15" i="8" s="1"/>
  <c r="AA25" i="8"/>
  <c r="AB25" i="8" s="1"/>
  <c r="AA12" i="8"/>
  <c r="Z46" i="8"/>
  <c r="AL18" i="8"/>
  <c r="AG46" i="8"/>
  <c r="AH46" i="8" s="1"/>
  <c r="P46" i="8"/>
  <c r="G9" i="7"/>
  <c r="G12" i="7"/>
  <c r="G11" i="7"/>
  <c r="G20" i="7"/>
  <c r="G19" i="7"/>
  <c r="F8" i="7"/>
  <c r="G23" i="7" l="1"/>
  <c r="AK46" i="8"/>
  <c r="AL46" i="8" s="1"/>
  <c r="AI46" i="8"/>
  <c r="AA46" i="8"/>
  <c r="AB46" i="8" s="1"/>
  <c r="AB12" i="8"/>
  <c r="G10" i="7" l="1"/>
  <c r="Q46" i="8"/>
  <c r="S46" i="8" s="1"/>
  <c r="G4" i="7"/>
  <c r="F6" i="7"/>
  <c r="F24" i="7" s="1"/>
  <c r="R46" i="8" s="1"/>
  <c r="T46" i="8" s="1"/>
  <c r="U46" i="8" s="1"/>
  <c r="G24" i="7" l="1"/>
  <c r="U47" i="8"/>
  <c r="E24" i="7" l="1"/>
  <c r="D24" i="7"/>
  <c r="C24" i="7"/>
  <c r="E23" i="7"/>
  <c r="D23" i="7"/>
  <c r="C23" i="7"/>
  <c r="C26" i="7" l="1"/>
</calcChain>
</file>

<file path=xl/sharedStrings.xml><?xml version="1.0" encoding="utf-8"?>
<sst xmlns="http://schemas.openxmlformats.org/spreadsheetml/2006/main" count="150" uniqueCount="94">
  <si>
    <t>Municipal Water (m3)</t>
  </si>
  <si>
    <t>Forecast</t>
  </si>
  <si>
    <t>September</t>
  </si>
  <si>
    <t>October</t>
  </si>
  <si>
    <t>Date</t>
  </si>
  <si>
    <t>Room Nights</t>
  </si>
  <si>
    <t>Food Covers</t>
  </si>
  <si>
    <t>Water (m3)</t>
  </si>
  <si>
    <t>Electricity - Sundara</t>
  </si>
  <si>
    <t>Residences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</si>
  <si>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</si>
  <si>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</si>
  <si>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</si>
  <si>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</si>
  <si>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</si>
  <si>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</si>
  <si>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August</t>
  </si>
  <si>
    <t>Charge</t>
  </si>
  <si>
    <t>Office &amp; Pantry</t>
  </si>
  <si>
    <t>Unit (KWh) - bill Estate Common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</si>
  <si>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</si>
  <si>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</si>
  <si>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</si>
  <si>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</si>
  <si>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</si>
  <si>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</si>
  <si>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</si>
  <si>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</si>
  <si>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</si>
  <si>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</si>
  <si>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</si>
  <si>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</si>
  <si>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</si>
  <si>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</si>
  <si>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</si>
  <si>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</si>
  <si>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</si>
  <si>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</si>
  <si>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</si>
  <si>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Sub Total (Resort &amp; Sundara) Cost  (IDR)</t>
  </si>
  <si>
    <t>TOTAL  Electricity consumption (KWh)</t>
  </si>
  <si>
    <t>Residences- Electricity KWh (daily reading N/A), monthly report</t>
  </si>
  <si>
    <t>Resort Cost  (IDR)</t>
  </si>
  <si>
    <t>Sundara Cost  (IDR)</t>
  </si>
  <si>
    <t>IDR</t>
  </si>
  <si>
    <t>Total Charges</t>
  </si>
  <si>
    <t>USD</t>
  </si>
  <si>
    <t>TOTAL  Electricity cost</t>
  </si>
  <si>
    <t>WATER</t>
  </si>
  <si>
    <t>`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</si>
  <si>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</si>
  <si>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</si>
  <si>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</si>
  <si>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</si>
  <si>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</si>
  <si>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</si>
  <si>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</si>
  <si>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</si>
  <si>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During closure charges based on minimum contract</t>
  </si>
  <si>
    <t>Four Seasons Resort Bali at Jimbaran Bay</t>
  </si>
  <si>
    <t xml:space="preserve">Include </t>
  </si>
  <si>
    <t>Resort</t>
  </si>
  <si>
    <t xml:space="preserve">Sundara </t>
  </si>
  <si>
    <t>kWh rate</t>
  </si>
  <si>
    <t>Deepwell water Cost (IDR)</t>
  </si>
  <si>
    <t>50 Kg (tube) IVD &amp; TW</t>
  </si>
  <si>
    <t>NOVEMBER 2020</t>
  </si>
  <si>
    <t>Sub Total (Resort &amp; Sundara), KWh</t>
  </si>
  <si>
    <t>Electricity Resort</t>
  </si>
  <si>
    <t>ELECTRICITY Resort, Sundara &amp; Residences</t>
  </si>
  <si>
    <t>Residences 2020</t>
  </si>
  <si>
    <t>November'20</t>
  </si>
  <si>
    <t>December'20</t>
  </si>
  <si>
    <t>BASED LOAD KWh (from 10 pm - 6 pm)</t>
  </si>
  <si>
    <t>PEAK LOAD KWh (from 6 pm - 10 pm)</t>
  </si>
  <si>
    <t>Refer to</t>
  </si>
  <si>
    <t>Electricity Residences '!A1</t>
  </si>
  <si>
    <t>Minimum charges apply during each residence closure according to the contract</t>
  </si>
  <si>
    <t>RNs &amp; Food Cover is based on actual November 2020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</si>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</sst>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_-* #,##0.000_-;\-* #,##0.000_-;_-* &quot;-&quot;??_-;_-@_-"/>
    <numFmt numFmtId="170" formatCode="_-* #,##0.00000_-;\-* #,##0.00000_-;_-* &quot;-&quot;??_-;_-@_-"/>
    <numFmt numFmtId="171" formatCode="_-* #,##0.000000_-;\-* #,##0.00000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i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311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165" fontId="2" fillId="3" borderId="0" xfId="2" applyNumberFormat="1" applyFont="1" applyFill="1" applyBorder="1"/>
    <xf numFmtId="165" fontId="5" fillId="3" borderId="0" xfId="2" applyNumberFormat="1" applyFont="1" applyFill="1" applyBorder="1"/>
    <xf numFmtId="165" fontId="7" fillId="3" borderId="0" xfId="2" applyNumberFormat="1" applyFont="1" applyFill="1" applyBorder="1"/>
    <xf numFmtId="165" fontId="2" fillId="0" borderId="0" xfId="2" applyNumberFormat="1" applyFont="1" applyBorder="1"/>
    <xf numFmtId="164" fontId="0" fillId="0" borderId="0" xfId="2" applyFont="1" applyBorder="1"/>
    <xf numFmtId="0" fontId="0" fillId="3" borderId="0" xfId="0" applyFill="1"/>
    <xf numFmtId="165" fontId="3" fillId="0" borderId="0" xfId="2" applyNumberFormat="1" applyFont="1" applyBorder="1"/>
    <xf numFmtId="164" fontId="8" fillId="0" borderId="0" xfId="2" applyFont="1" applyBorder="1"/>
    <xf numFmtId="164" fontId="8" fillId="0" borderId="0" xfId="0" applyNumberFormat="1" applyFont="1" applyBorder="1"/>
    <xf numFmtId="165" fontId="0" fillId="0" borderId="0" xfId="0" applyNumberFormat="1" applyBorder="1"/>
    <xf numFmtId="164" fontId="0" fillId="3" borderId="12" xfId="2" applyFont="1" applyFill="1" applyBorder="1"/>
    <xf numFmtId="164" fontId="0" fillId="3" borderId="15" xfId="2" applyFont="1" applyFill="1" applyBorder="1"/>
    <xf numFmtId="164" fontId="0" fillId="3" borderId="24" xfId="2" applyFont="1" applyFill="1" applyBorder="1"/>
    <xf numFmtId="164" fontId="0" fillId="3" borderId="11" xfId="2" applyFont="1" applyFill="1" applyBorder="1"/>
    <xf numFmtId="0" fontId="12" fillId="0" borderId="0" xfId="0" applyFont="1"/>
    <xf numFmtId="0" fontId="0" fillId="0" borderId="22" xfId="0" applyBorder="1"/>
    <xf numFmtId="0" fontId="0" fillId="0" borderId="34" xfId="0" applyBorder="1" applyAlignment="1">
      <alignment horizontal="center" vertical="center" wrapText="1"/>
    </xf>
    <xf numFmtId="164" fontId="0" fillId="0" borderId="0" xfId="2" applyFont="1"/>
    <xf numFmtId="44" fontId="8" fillId="0" borderId="0" xfId="1" applyNumberFormat="1" applyFont="1" applyBorder="1"/>
    <xf numFmtId="0" fontId="8" fillId="0" borderId="0" xfId="0" applyFont="1" applyBorder="1" applyAlignment="1">
      <alignment horizontal="right"/>
    </xf>
    <xf numFmtId="43" fontId="0" fillId="0" borderId="0" xfId="0" applyNumberFormat="1"/>
    <xf numFmtId="165" fontId="0" fillId="0" borderId="0" xfId="0" applyNumberFormat="1"/>
    <xf numFmtId="0" fontId="0" fillId="3" borderId="0" xfId="0" applyFill="1" applyBorder="1"/>
    <xf numFmtId="164" fontId="0" fillId="3" borderId="0" xfId="0" applyNumberFormat="1" applyFill="1" applyBorder="1"/>
    <xf numFmtId="165" fontId="8" fillId="0" borderId="0" xfId="2" applyNumberFormat="1" applyFont="1" applyBorder="1"/>
    <xf numFmtId="165" fontId="8" fillId="0" borderId="0" xfId="2" applyNumberFormat="1" applyFont="1" applyBorder="1" applyAlignment="1">
      <alignment horizontal="right"/>
    </xf>
    <xf numFmtId="165" fontId="5" fillId="4" borderId="0" xfId="2" applyNumberFormat="1" applyFont="1" applyFill="1" applyBorder="1"/>
    <xf numFmtId="165" fontId="1" fillId="0" borderId="23" xfId="0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165" fontId="0" fillId="0" borderId="36" xfId="2" applyNumberFormat="1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3" borderId="42" xfId="2" applyFont="1" applyFill="1" applyBorder="1"/>
    <xf numFmtId="164" fontId="0" fillId="3" borderId="5" xfId="2" applyFont="1" applyFill="1" applyBorder="1"/>
    <xf numFmtId="165" fontId="3" fillId="3" borderId="0" xfId="2" applyNumberFormat="1" applyFont="1" applyFill="1" applyBorder="1"/>
    <xf numFmtId="165" fontId="0" fillId="3" borderId="0" xfId="0" applyNumberFormat="1" applyFill="1" applyBorder="1"/>
    <xf numFmtId="0" fontId="10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13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10" fillId="3" borderId="0" xfId="2" applyNumberFormat="1" applyFont="1" applyFill="1" applyBorder="1" applyAlignment="1"/>
    <xf numFmtId="166" fontId="0" fillId="0" borderId="8" xfId="2" applyNumberFormat="1" applyFont="1" applyBorder="1"/>
    <xf numFmtId="44" fontId="8" fillId="0" borderId="0" xfId="1" applyFont="1" applyBorder="1"/>
    <xf numFmtId="0" fontId="1" fillId="4" borderId="40" xfId="0" applyFont="1" applyFill="1" applyBorder="1" applyAlignment="1">
      <alignment horizontal="center" vertical="center"/>
    </xf>
    <xf numFmtId="167" fontId="0" fillId="0" borderId="0" xfId="0" applyNumberFormat="1" applyBorder="1"/>
    <xf numFmtId="167" fontId="3" fillId="0" borderId="0" xfId="2" applyNumberFormat="1" applyFont="1" applyBorder="1"/>
    <xf numFmtId="167" fontId="10" fillId="3" borderId="0" xfId="0" applyNumberFormat="1" applyFont="1" applyFill="1" applyBorder="1" applyAlignment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43" fontId="0" fillId="0" borderId="0" xfId="2" applyNumberFormat="1" applyFon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5" fontId="0" fillId="0" borderId="47" xfId="2" applyNumberFormat="1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167" fontId="0" fillId="0" borderId="27" xfId="0" applyNumberFormat="1" applyBorder="1" applyAlignment="1">
      <alignment horizontal="center" vertical="center" wrapText="1"/>
    </xf>
    <xf numFmtId="167" fontId="0" fillId="0" borderId="48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36" xfId="0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6" fillId="11" borderId="49" xfId="0" applyFont="1" applyFill="1" applyBorder="1" applyAlignment="1">
      <alignment horizontal="center" vertical="center" shrinkToFit="1"/>
    </xf>
    <xf numFmtId="0" fontId="16" fillId="11" borderId="50" xfId="0" applyFont="1" applyFill="1" applyBorder="1" applyAlignment="1">
      <alignment horizontal="center" vertical="center" shrinkToFit="1"/>
    </xf>
    <xf numFmtId="164" fontId="13" fillId="3" borderId="0" xfId="2" applyFont="1" applyFill="1" applyBorder="1" applyAlignment="1"/>
    <xf numFmtId="164" fontId="12" fillId="0" borderId="16" xfId="2" applyFont="1" applyBorder="1" applyAlignment="1">
      <alignment horizontal="center" vertical="center" wrapText="1"/>
    </xf>
    <xf numFmtId="164" fontId="12" fillId="0" borderId="29" xfId="2" applyFont="1" applyBorder="1" applyAlignment="1">
      <alignment horizontal="center" vertical="center" wrapText="1"/>
    </xf>
    <xf numFmtId="164" fontId="12" fillId="0" borderId="8" xfId="2" applyFont="1" applyBorder="1"/>
    <xf numFmtId="164" fontId="12" fillId="3" borderId="0" xfId="2" applyFont="1" applyFill="1" applyBorder="1"/>
    <xf numFmtId="164" fontId="17" fillId="0" borderId="0" xfId="2" applyFont="1" applyBorder="1"/>
    <xf numFmtId="164" fontId="12" fillId="0" borderId="0" xfId="2" applyFont="1"/>
    <xf numFmtId="165" fontId="13" fillId="3" borderId="0" xfId="2" applyNumberFormat="1" applyFont="1" applyFill="1" applyBorder="1" applyAlignment="1"/>
    <xf numFmtId="165" fontId="12" fillId="3" borderId="0" xfId="2" applyNumberFormat="1" applyFont="1" applyFill="1" applyBorder="1"/>
    <xf numFmtId="165" fontId="17" fillId="0" borderId="0" xfId="2" applyNumberFormat="1" applyFont="1" applyBorder="1"/>
    <xf numFmtId="165" fontId="12" fillId="0" borderId="0" xfId="2" applyNumberFormat="1" applyFont="1"/>
    <xf numFmtId="165" fontId="0" fillId="3" borderId="44" xfId="0" applyNumberFormat="1" applyFill="1" applyBorder="1"/>
    <xf numFmtId="165" fontId="1" fillId="0" borderId="44" xfId="0" applyNumberFormat="1" applyFont="1" applyBorder="1"/>
    <xf numFmtId="0" fontId="0" fillId="3" borderId="52" xfId="0" applyFill="1" applyBorder="1"/>
    <xf numFmtId="165" fontId="0" fillId="3" borderId="52" xfId="2" applyNumberFormat="1" applyFont="1" applyFill="1" applyBorder="1"/>
    <xf numFmtId="164" fontId="12" fillId="3" borderId="52" xfId="2" applyFont="1" applyFill="1" applyBorder="1"/>
    <xf numFmtId="165" fontId="12" fillId="3" borderId="52" xfId="2" applyNumberFormat="1" applyFont="1" applyFill="1" applyBorder="1"/>
    <xf numFmtId="164" fontId="0" fillId="3" borderId="52" xfId="0" applyNumberFormat="1" applyFill="1" applyBorder="1"/>
    <xf numFmtId="0" fontId="0" fillId="3" borderId="54" xfId="0" applyFill="1" applyBorder="1"/>
    <xf numFmtId="43" fontId="0" fillId="3" borderId="52" xfId="0" applyNumberFormat="1" applyFill="1" applyBorder="1"/>
    <xf numFmtId="165" fontId="0" fillId="3" borderId="52" xfId="0" applyNumberFormat="1" applyFill="1" applyBorder="1"/>
    <xf numFmtId="165" fontId="0" fillId="0" borderId="52" xfId="2" applyNumberFormat="1" applyFont="1" applyBorder="1"/>
    <xf numFmtId="167" fontId="0" fillId="3" borderId="54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13" fillId="6" borderId="23" xfId="2" applyNumberFormat="1" applyFont="1" applyFill="1" applyBorder="1"/>
    <xf numFmtId="165" fontId="1" fillId="6" borderId="23" xfId="0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3" fontId="0" fillId="0" borderId="0" xfId="0" applyNumberFormat="1"/>
    <xf numFmtId="9" fontId="0" fillId="0" borderId="0" xfId="5" applyFont="1"/>
    <xf numFmtId="165" fontId="8" fillId="0" borderId="0" xfId="2" applyNumberFormat="1" applyFont="1"/>
    <xf numFmtId="3" fontId="18" fillId="0" borderId="0" xfId="0" applyNumberFormat="1" applyFont="1"/>
    <xf numFmtId="4" fontId="0" fillId="0" borderId="0" xfId="0" applyNumberFormat="1"/>
    <xf numFmtId="168" fontId="10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52" xfId="2" applyNumberFormat="1" applyFont="1" applyFill="1" applyBorder="1"/>
    <xf numFmtId="168" fontId="0" fillId="0" borderId="0" xfId="2" applyNumberFormat="1" applyFont="1" applyBorder="1"/>
    <xf numFmtId="168" fontId="3" fillId="0" borderId="0" xfId="2" applyNumberFormat="1" applyFont="1" applyBorder="1"/>
    <xf numFmtId="168" fontId="0" fillId="0" borderId="0" xfId="2" applyNumberFormat="1" applyFont="1"/>
    <xf numFmtId="165" fontId="18" fillId="0" borderId="0" xfId="2" applyNumberFormat="1" applyFont="1"/>
    <xf numFmtId="165" fontId="1" fillId="0" borderId="44" xfId="2" applyNumberFormat="1" applyFont="1" applyBorder="1"/>
    <xf numFmtId="165" fontId="0" fillId="0" borderId="19" xfId="2" applyNumberFormat="1" applyFont="1" applyBorder="1" applyAlignment="1">
      <alignment horizontal="center" vertical="center" wrapText="1"/>
    </xf>
    <xf numFmtId="165" fontId="9" fillId="0" borderId="0" xfId="2" applyNumberFormat="1" applyFont="1"/>
    <xf numFmtId="0" fontId="0" fillId="0" borderId="58" xfId="0" applyBorder="1" applyAlignment="1">
      <alignment horizontal="center" vertical="center" wrapText="1"/>
    </xf>
    <xf numFmtId="165" fontId="13" fillId="0" borderId="60" xfId="2" applyNumberFormat="1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165" fontId="12" fillId="0" borderId="62" xfId="2" applyNumberFormat="1" applyFont="1" applyBorder="1" applyAlignment="1">
      <alignment horizontal="center" vertical="center" wrapText="1"/>
    </xf>
    <xf numFmtId="165" fontId="12" fillId="0" borderId="21" xfId="2" applyNumberFormat="1" applyFont="1" applyBorder="1"/>
    <xf numFmtId="0" fontId="0" fillId="0" borderId="31" xfId="0" applyBorder="1"/>
    <xf numFmtId="165" fontId="0" fillId="0" borderId="31" xfId="2" applyNumberFormat="1" applyFont="1" applyBorder="1"/>
    <xf numFmtId="164" fontId="12" fillId="0" borderId="31" xfId="2" applyFont="1" applyBorder="1"/>
    <xf numFmtId="165" fontId="12" fillId="0" borderId="34" xfId="2" applyNumberFormat="1" applyFont="1" applyBorder="1"/>
    <xf numFmtId="0" fontId="1" fillId="0" borderId="5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64" xfId="2" applyNumberFormat="1" applyFont="1" applyBorder="1"/>
    <xf numFmtId="0" fontId="0" fillId="0" borderId="34" xfId="0" applyBorder="1"/>
    <xf numFmtId="165" fontId="0" fillId="0" borderId="10" xfId="2" applyNumberFormat="1" applyFont="1" applyBorder="1"/>
    <xf numFmtId="165" fontId="0" fillId="3" borderId="10" xfId="2" applyNumberFormat="1" applyFont="1" applyFill="1" applyBorder="1"/>
    <xf numFmtId="0" fontId="0" fillId="0" borderId="65" xfId="0" applyBorder="1"/>
    <xf numFmtId="170" fontId="12" fillId="0" borderId="0" xfId="2" applyNumberFormat="1" applyFont="1"/>
    <xf numFmtId="170" fontId="0" fillId="0" borderId="0" xfId="2" applyNumberFormat="1" applyFont="1" applyBorder="1"/>
    <xf numFmtId="169" fontId="18" fillId="0" borderId="0" xfId="2" applyNumberFormat="1" applyFont="1"/>
    <xf numFmtId="171" fontId="0" fillId="0" borderId="0" xfId="2" applyNumberFormat="1" applyFont="1"/>
    <xf numFmtId="164" fontId="0" fillId="0" borderId="50" xfId="2" applyFont="1" applyBorder="1"/>
    <xf numFmtId="164" fontId="0" fillId="0" borderId="66" xfId="2" applyFont="1" applyBorder="1"/>
    <xf numFmtId="0" fontId="0" fillId="0" borderId="40" xfId="0" applyBorder="1" applyAlignment="1">
      <alignment horizontal="center" vertical="center" wrapText="1"/>
    </xf>
    <xf numFmtId="165" fontId="12" fillId="0" borderId="49" xfId="2" applyNumberFormat="1" applyFont="1" applyBorder="1" applyAlignment="1">
      <alignment horizontal="center" vertical="center" wrapText="1"/>
    </xf>
    <xf numFmtId="165" fontId="12" fillId="0" borderId="50" xfId="2" applyNumberFormat="1" applyFont="1" applyBorder="1"/>
    <xf numFmtId="165" fontId="12" fillId="0" borderId="66" xfId="2" applyNumberFormat="1" applyFont="1" applyBorder="1"/>
    <xf numFmtId="165" fontId="14" fillId="0" borderId="23" xfId="0" applyNumberFormat="1" applyFont="1" applyBorder="1"/>
    <xf numFmtId="168" fontId="0" fillId="0" borderId="37" xfId="2" applyNumberFormat="1" applyFont="1" applyBorder="1" applyAlignment="1">
      <alignment horizontal="center" vertical="center" wrapText="1"/>
    </xf>
    <xf numFmtId="168" fontId="8" fillId="0" borderId="0" xfId="2" applyNumberFormat="1" applyFont="1" applyBorder="1"/>
    <xf numFmtId="165" fontId="13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8" xfId="0" applyFill="1" applyBorder="1"/>
    <xf numFmtId="0" fontId="0" fillId="3" borderId="15" xfId="0" applyFill="1" applyBorder="1"/>
    <xf numFmtId="0" fontId="0" fillId="3" borderId="69" xfId="0" applyFill="1" applyBorder="1"/>
    <xf numFmtId="0" fontId="0" fillId="3" borderId="70" xfId="0" applyFill="1" applyBorder="1"/>
    <xf numFmtId="165" fontId="0" fillId="3" borderId="53" xfId="2" applyNumberFormat="1" applyFont="1" applyFill="1" applyBorder="1"/>
    <xf numFmtId="0" fontId="16" fillId="11" borderId="66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5" fontId="2" fillId="3" borderId="43" xfId="2" applyNumberFormat="1" applyFont="1" applyFill="1" applyBorder="1"/>
    <xf numFmtId="165" fontId="5" fillId="3" borderId="43" xfId="2" applyNumberFormat="1" applyFont="1" applyFill="1" applyBorder="1"/>
    <xf numFmtId="165" fontId="0" fillId="0" borderId="43" xfId="2" applyNumberFormat="1" applyFont="1" applyBorder="1"/>
    <xf numFmtId="165" fontId="3" fillId="0" borderId="43" xfId="2" applyNumberFormat="1" applyFont="1" applyBorder="1"/>
    <xf numFmtId="165" fontId="1" fillId="0" borderId="44" xfId="2" applyNumberFormat="1" applyFont="1" applyBorder="1" applyAlignment="1">
      <alignment horizontal="center"/>
    </xf>
    <xf numFmtId="3" fontId="0" fillId="0" borderId="43" xfId="0" applyNumberFormat="1" applyBorder="1"/>
    <xf numFmtId="165" fontId="2" fillId="3" borderId="5" xfId="2" applyNumberFormat="1" applyFont="1" applyFill="1" applyBorder="1"/>
    <xf numFmtId="165" fontId="7" fillId="3" borderId="5" xfId="2" applyNumberFormat="1" applyFont="1" applyFill="1" applyBorder="1"/>
    <xf numFmtId="165" fontId="5" fillId="3" borderId="5" xfId="2" applyNumberFormat="1" applyFont="1" applyFill="1" applyBorder="1"/>
    <xf numFmtId="165" fontId="1" fillId="4" borderId="44" xfId="2" applyNumberFormat="1" applyFont="1" applyFill="1" applyBorder="1" applyAlignment="1">
      <alignment horizontal="center"/>
    </xf>
    <xf numFmtId="165" fontId="1" fillId="3" borderId="43" xfId="2" applyNumberFormat="1" applyFont="1" applyFill="1" applyBorder="1" applyAlignment="1">
      <alignment horizontal="right"/>
    </xf>
    <xf numFmtId="165" fontId="6" fillId="3" borderId="43" xfId="2" applyNumberFormat="1" applyFont="1" applyFill="1" applyBorder="1" applyAlignment="1">
      <alignment horizontal="right"/>
    </xf>
    <xf numFmtId="165" fontId="1" fillId="3" borderId="43" xfId="2" applyNumberFormat="1" applyFont="1" applyFill="1" applyBorder="1"/>
    <xf numFmtId="165" fontId="0" fillId="0" borderId="51" xfId="2" applyNumberFormat="1" applyFont="1" applyBorder="1"/>
    <xf numFmtId="165" fontId="2" fillId="12" borderId="71" xfId="2" applyNumberFormat="1" applyFont="1" applyFill="1" applyBorder="1"/>
    <xf numFmtId="165" fontId="0" fillId="12" borderId="71" xfId="2" applyNumberFormat="1" applyFont="1" applyFill="1" applyBorder="1"/>
    <xf numFmtId="165" fontId="0" fillId="12" borderId="42" xfId="2" applyNumberFormat="1" applyFont="1" applyFill="1" applyBorder="1"/>
    <xf numFmtId="165" fontId="1" fillId="12" borderId="51" xfId="2" applyNumberFormat="1" applyFont="1" applyFill="1" applyBorder="1"/>
    <xf numFmtId="165" fontId="0" fillId="12" borderId="51" xfId="2" applyNumberFormat="1" applyFont="1" applyFill="1" applyBorder="1"/>
    <xf numFmtId="165" fontId="0" fillId="12" borderId="72" xfId="2" applyNumberFormat="1" applyFont="1" applyFill="1" applyBorder="1"/>
    <xf numFmtId="165" fontId="1" fillId="5" borderId="45" xfId="2" applyNumberFormat="1" applyFont="1" applyFill="1" applyBorder="1" applyAlignment="1">
      <alignment horizontal="center"/>
    </xf>
    <xf numFmtId="165" fontId="1" fillId="5" borderId="2" xfId="2" applyNumberFormat="1" applyFont="1" applyFill="1" applyBorder="1" applyAlignment="1">
      <alignment horizontal="center"/>
    </xf>
    <xf numFmtId="165" fontId="1" fillId="5" borderId="56" xfId="2" applyNumberFormat="1" applyFont="1" applyFill="1" applyBorder="1" applyAlignment="1">
      <alignment horizontal="center"/>
    </xf>
    <xf numFmtId="167" fontId="1" fillId="3" borderId="7" xfId="0" applyNumberFormat="1" applyFont="1" applyFill="1" applyBorder="1"/>
    <xf numFmtId="0" fontId="0" fillId="0" borderId="7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5" xfId="0" applyFill="1" applyBorder="1"/>
    <xf numFmtId="43" fontId="0" fillId="3" borderId="5" xfId="0" applyNumberFormat="1" applyFill="1" applyBorder="1"/>
    <xf numFmtId="0" fontId="0" fillId="3" borderId="74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8" fontId="0" fillId="0" borderId="24" xfId="2" applyNumberFormat="1" applyFont="1" applyBorder="1"/>
    <xf numFmtId="165" fontId="1" fillId="0" borderId="22" xfId="2" applyNumberFormat="1" applyFont="1" applyBorder="1"/>
    <xf numFmtId="165" fontId="19" fillId="3" borderId="8" xfId="2" applyNumberFormat="1" applyFont="1" applyFill="1" applyBorder="1" applyProtection="1">
      <protection locked="0"/>
    </xf>
    <xf numFmtId="168" fontId="0" fillId="3" borderId="11" xfId="2" applyNumberFormat="1" applyFont="1" applyFill="1" applyBorder="1"/>
    <xf numFmtId="168" fontId="11" fillId="3" borderId="11" xfId="2" applyNumberFormat="1" applyFont="1" applyFill="1" applyBorder="1" applyAlignment="1">
      <alignment vertical="top" wrapText="1"/>
    </xf>
    <xf numFmtId="168" fontId="11" fillId="3" borderId="0" xfId="2" applyNumberFormat="1" applyFont="1" applyFill="1" applyBorder="1" applyAlignment="1">
      <alignment vertical="top" wrapText="1"/>
    </xf>
    <xf numFmtId="0" fontId="11" fillId="3" borderId="68" xfId="4" applyFill="1" applyBorder="1" applyAlignment="1">
      <alignment vertical="top" wrapText="1"/>
    </xf>
    <xf numFmtId="0" fontId="0" fillId="3" borderId="68" xfId="0" applyFill="1" applyBorder="1" applyAlignment="1"/>
    <xf numFmtId="0" fontId="0" fillId="3" borderId="59" xfId="0" applyFill="1" applyBorder="1" applyAlignment="1">
      <alignment wrapText="1"/>
    </xf>
    <xf numFmtId="0" fontId="0" fillId="3" borderId="68" xfId="0" applyFill="1" applyBorder="1" applyAlignment="1">
      <alignment wrapText="1"/>
    </xf>
    <xf numFmtId="0" fontId="11" fillId="3" borderId="55" xfId="4" applyFill="1" applyBorder="1" applyAlignment="1">
      <alignment vertical="top" wrapText="1"/>
    </xf>
    <xf numFmtId="0" fontId="11" fillId="3" borderId="15" xfId="4" applyFill="1" applyBorder="1" applyAlignment="1">
      <alignment vertical="top" wrapText="1"/>
    </xf>
    <xf numFmtId="165" fontId="1" fillId="13" borderId="6" xfId="0" applyNumberFormat="1" applyFont="1" applyFill="1" applyBorder="1"/>
    <xf numFmtId="164" fontId="8" fillId="0" borderId="0" xfId="2" applyNumberFormat="1" applyFont="1" applyBorder="1"/>
    <xf numFmtId="44" fontId="13" fillId="13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6" xfId="2" applyNumberFormat="1" applyFont="1" applyBorder="1" applyAlignment="1">
      <alignment horizontal="center" vertical="center" wrapText="1"/>
    </xf>
    <xf numFmtId="168" fontId="0" fillId="0" borderId="26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52" xfId="2" applyNumberFormat="1" applyFont="1" applyBorder="1"/>
    <xf numFmtId="168" fontId="0" fillId="0" borderId="6" xfId="2" applyNumberFormat="1" applyFont="1" applyBorder="1"/>
    <xf numFmtId="165" fontId="1" fillId="13" borderId="6" xfId="2" applyNumberFormat="1" applyFont="1" applyFill="1" applyBorder="1"/>
    <xf numFmtId="167" fontId="1" fillId="13" borderId="7" xfId="0" applyNumberFormat="1" applyFont="1" applyFill="1" applyBorder="1"/>
    <xf numFmtId="165" fontId="1" fillId="13" borderId="33" xfId="2" applyNumberFormat="1" applyFont="1" applyFill="1" applyBorder="1"/>
    <xf numFmtId="167" fontId="1" fillId="13" borderId="35" xfId="2" applyNumberFormat="1" applyFont="1" applyFill="1" applyBorder="1"/>
    <xf numFmtId="164" fontId="9" fillId="0" borderId="0" xfId="2" applyFont="1" applyBorder="1"/>
    <xf numFmtId="164" fontId="0" fillId="3" borderId="33" xfId="2" applyFont="1" applyFill="1" applyBorder="1"/>
    <xf numFmtId="164" fontId="0" fillId="3" borderId="57" xfId="2" applyFont="1" applyFill="1" applyBorder="1"/>
    <xf numFmtId="164" fontId="0" fillId="3" borderId="7" xfId="2" applyFont="1" applyFill="1" applyBorder="1"/>
    <xf numFmtId="0" fontId="11" fillId="0" borderId="6" xfId="4" quotePrefix="1" applyBorder="1"/>
    <xf numFmtId="0" fontId="11" fillId="0" borderId="23" xfId="4" quotePrefix="1" applyBorder="1"/>
    <xf numFmtId="165" fontId="2" fillId="0" borderId="10" xfId="2" applyNumberFormat="1" applyFont="1" applyBorder="1"/>
    <xf numFmtId="165" fontId="19" fillId="3" borderId="75" xfId="2" applyNumberFormat="1" applyFont="1" applyFill="1" applyBorder="1" applyProtection="1">
      <protection locked="0"/>
    </xf>
    <xf numFmtId="166" fontId="0" fillId="0" borderId="63" xfId="2" applyNumberFormat="1" applyFont="1" applyBorder="1"/>
    <xf numFmtId="165" fontId="19" fillId="3" borderId="50" xfId="2" applyNumberFormat="1" applyFont="1" applyFill="1" applyBorder="1" applyProtection="1">
      <protection locked="0"/>
    </xf>
    <xf numFmtId="165" fontId="0" fillId="0" borderId="66" xfId="2" applyNumberFormat="1" applyFont="1" applyBorder="1"/>
    <xf numFmtId="7" fontId="8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left"/>
    </xf>
    <xf numFmtId="49" fontId="13" fillId="2" borderId="45" xfId="0" applyNumberFormat="1" applyFont="1" applyFill="1" applyBorder="1" applyAlignment="1">
      <alignment horizontal="left"/>
    </xf>
    <xf numFmtId="49" fontId="13" fillId="2" borderId="2" xfId="0" applyNumberFormat="1" applyFont="1" applyFill="1" applyBorder="1" applyAlignment="1">
      <alignment horizontal="left"/>
    </xf>
    <xf numFmtId="165" fontId="13" fillId="0" borderId="28" xfId="2" applyNumberFormat="1" applyFont="1" applyBorder="1" applyAlignment="1">
      <alignment horizontal="center" vertical="center" wrapText="1"/>
    </xf>
    <xf numFmtId="165" fontId="13" fillId="0" borderId="44" xfId="2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168" fontId="1" fillId="0" borderId="12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15" fillId="10" borderId="28" xfId="0" applyFont="1" applyFill="1" applyBorder="1" applyAlignment="1">
      <alignment horizontal="center" vertical="center" wrapText="1"/>
    </xf>
    <xf numFmtId="0" fontId="15" fillId="10" borderId="43" xfId="0" applyFont="1" applyFill="1" applyBorder="1" applyAlignment="1">
      <alignment horizontal="center" vertical="center" wrapText="1"/>
    </xf>
    <xf numFmtId="0" fontId="15" fillId="10" borderId="44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5" borderId="40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8" borderId="40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1" fillId="5" borderId="1" xfId="2" applyNumberFormat="1" applyFont="1" applyFill="1" applyBorder="1" applyAlignment="1">
      <alignment horizontal="center"/>
    </xf>
    <xf numFmtId="0" fontId="1" fillId="5" borderId="45" xfId="2" applyNumberFormat="1" applyFont="1" applyFill="1" applyBorder="1" applyAlignment="1">
      <alignment horizontal="center"/>
    </xf>
    <xf numFmtId="165" fontId="1" fillId="0" borderId="23" xfId="2" applyNumberFormat="1" applyFont="1" applyBorder="1" applyAlignment="1">
      <alignment horizontal="center"/>
    </xf>
    <xf numFmtId="165" fontId="1" fillId="0" borderId="7" xfId="2" applyNumberFormat="1" applyFont="1" applyBorder="1" applyAlignment="1">
      <alignment horizontal="center"/>
    </xf>
    <xf numFmtId="17" fontId="10" fillId="3" borderId="67" xfId="0" applyNumberFormat="1" applyFont="1" applyFill="1" applyBorder="1" applyAlignment="1">
      <alignment horizontal="center"/>
    </xf>
    <xf numFmtId="0" fontId="10" fillId="3" borderId="67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5" fillId="10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2" fontId="18" fillId="0" borderId="8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" fontId="8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</cellXfs>
  <cellStyles count="8">
    <cellStyle name="Comma" xfId="2" builtinId="3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524" y="76814"/>
          <a:ext cx="1311886" cy="860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tabSelected="1" workbookViewId="0">
      <selection activeCell="P12" sqref="P12"/>
    </sheetView>
  </sheetViews>
  <sheetFormatPr defaultColWidth="11.5703125" defaultRowHeight="15" x14ac:dyDescent="0.25"/>
  <cols>
    <col min="1" max="1" width="18.42578125" style="302" customWidth="1"/>
    <col min="2" max="2" width="11.5703125" style="303"/>
    <col min="3" max="3" width="11.5703125" style="304"/>
    <col min="4" max="4" width="13.42578125" style="303" customWidth="1"/>
    <col min="5" max="5" width="12.5703125" style="301" customWidth="1"/>
    <col min="6" max="6" width="12.5703125" style="305" customWidth="1"/>
    <col min="7" max="7" width="11.5703125" style="301"/>
    <col min="8" max="8" width="11.5703125" style="305"/>
    <col min="9" max="9" width="11.5703125" style="306"/>
    <col min="10" max="10" width="11.5703125" style="307"/>
    <col min="11" max="11" width="11.5703125" style="301"/>
    <col min="12" max="12" width="11.5703125" style="307"/>
    <col min="13" max="26" width="11.5703125" style="301"/>
  </cols>
  <sheetData>
    <row r="1" spans="1:15" s="295" customFormat="1" ht="60" x14ac:dyDescent="0.25">
      <c r="A1" s="291" t="s">
        <v>79</v>
      </c>
      <c r="B1" s="291" t="s">
        <v>80</v>
      </c>
      <c r="C1" s="292" t="s">
        <v>81</v>
      </c>
      <c r="D1" s="291" t="s">
        <v>82</v>
      </c>
      <c r="E1" s="248" t="s">
        <v>83</v>
      </c>
      <c r="F1" s="293" t="s">
        <v>84</v>
      </c>
      <c r="G1" s="248" t="s">
        <v>89</v>
      </c>
      <c r="H1" s="293" t="s">
        <v>90</v>
      </c>
      <c r="I1" s="309" t="s">
        <v>92</v>
      </c>
      <c r="J1" s="293" t="s">
        <v>93</v>
      </c>
      <c r="K1" s="248" t="s">
        <v>85</v>
      </c>
      <c r="L1" s="294" t="s">
        <v>86</v>
      </c>
      <c r="M1" s="248" t="s">
        <v>87</v>
      </c>
      <c r="N1" s="248" t="s">
        <v>6</v>
      </c>
    </row>
    <row r="2" spans="1:15" x14ac:dyDescent="0.25">
      <c r="A2" s="296" t="s">
        <v>91</v>
      </c>
      <c r="B2" s="297">
        <v>1</v>
      </c>
      <c r="C2" s="298">
        <v>11</v>
      </c>
      <c r="D2" s="297">
        <v>2020</v>
      </c>
      <c r="E2" s="299">
        <f>'FS Jimbaran November 2020'!P12</f>
        <v>13819.999999999809</v>
      </c>
      <c r="F2" s="308">
        <f>'FS Jimbaran November 2020'!O12/'FS Jimbaran November 2020'!P12</f>
        <v>1177.6107394008689</v>
      </c>
      <c r="G2" s="299">
        <f>'FS Jimbaran November 2020'!AG12</f>
        <v>112</v>
      </c>
      <c r="H2" s="308">
        <f>'FS Jimbaran November 2020'!AH12/'FS Jimbaran November 2020'!AG12</f>
        <v>13190</v>
      </c>
      <c r="I2" s="299">
        <f>'FS Jimbaran November 2020'!AJ12</f>
        <v>157.09</v>
      </c>
      <c r="J2" s="300">
        <f>'FS Jimbaran November 2020'!AK12/'FS Jimbaran November 2020'!AJ12</f>
        <v>8400</v>
      </c>
      <c r="K2" s="299">
        <f>'FS Jimbaran November 2020'!V12</f>
        <v>884</v>
      </c>
      <c r="L2" s="308">
        <f>'FS Jimbaran November 2020'!AA12/'FS Jimbaran November 2020'!V12</f>
        <v>1685.2158257918552</v>
      </c>
      <c r="M2" s="299">
        <f>'FS Jimbaran November 2020'!C12</f>
        <v>7</v>
      </c>
      <c r="N2" s="299">
        <f>'FS Jimbaran November 2020'!D12</f>
        <v>127</v>
      </c>
    </row>
    <row r="3" spans="1:15" x14ac:dyDescent="0.25">
      <c r="A3" s="296" t="s">
        <v>91</v>
      </c>
      <c r="B3" s="297">
        <f>B2+1</f>
        <v>2</v>
      </c>
      <c r="C3" s="298">
        <v>11</v>
      </c>
      <c r="D3" s="297">
        <v>2020</v>
      </c>
      <c r="E3" s="299">
        <f>'FS Jimbaran November 2020'!P13</f>
        <v>13920.000000000193</v>
      </c>
      <c r="F3" s="308">
        <f>'FS Jimbaran November 2020'!O13/'FS Jimbaran November 2020'!P13</f>
        <v>1180.1075734324684</v>
      </c>
      <c r="G3" s="310">
        <f>'FS Jimbaran November 2020'!AG13</f>
        <v>112</v>
      </c>
      <c r="H3" s="308">
        <f>'FS Jimbaran November 2020'!AH13/'FS Jimbaran November 2020'!AG13</f>
        <v>13190</v>
      </c>
      <c r="I3" s="310">
        <f>'FS Jimbaran November 2020'!AJ13</f>
        <v>139.94</v>
      </c>
      <c r="J3" s="300">
        <f>'FS Jimbaran November 2020'!AK13/'FS Jimbaran November 2020'!AJ13</f>
        <v>8400</v>
      </c>
      <c r="K3" s="299">
        <f>'FS Jimbaran November 2020'!V13</f>
        <v>875</v>
      </c>
      <c r="L3" s="308">
        <f>'FS Jimbaran November 2020'!AA13/'FS Jimbaran November 2020'!V13</f>
        <v>2150.1391085714286</v>
      </c>
      <c r="M3" s="299">
        <f>'FS Jimbaran November 2020'!C13</f>
        <v>5</v>
      </c>
      <c r="N3" s="299">
        <f>'FS Jimbaran November 2020'!D13</f>
        <v>72</v>
      </c>
    </row>
    <row r="4" spans="1:15" x14ac:dyDescent="0.25">
      <c r="A4" s="296" t="s">
        <v>91</v>
      </c>
      <c r="B4" s="297">
        <f t="shared" ref="B4:B31" si="0">B3+1</f>
        <v>3</v>
      </c>
      <c r="C4" s="298">
        <v>11</v>
      </c>
      <c r="D4" s="297">
        <v>2020</v>
      </c>
      <c r="E4" s="299">
        <f>'FS Jimbaran November 2020'!P14</f>
        <v>13919.999999999647</v>
      </c>
      <c r="F4" s="308">
        <f>'FS Jimbaran November 2020'!O14/'FS Jimbaran November 2020'!P14</f>
        <v>1177.8930969425296</v>
      </c>
      <c r="G4" s="310">
        <f>'FS Jimbaran November 2020'!AG14</f>
        <v>102</v>
      </c>
      <c r="H4" s="308">
        <f>'FS Jimbaran November 2020'!AH14/'FS Jimbaran November 2020'!AG14</f>
        <v>13190</v>
      </c>
      <c r="I4" s="310">
        <f>'FS Jimbaran November 2020'!AJ14</f>
        <v>132</v>
      </c>
      <c r="J4" s="300">
        <f>'FS Jimbaran November 2020'!AK14/'FS Jimbaran November 2020'!AJ14</f>
        <v>8400</v>
      </c>
      <c r="K4" s="299">
        <f>'FS Jimbaran November 2020'!V14</f>
        <v>891</v>
      </c>
      <c r="L4" s="308">
        <f>'FS Jimbaran November 2020'!AA14/'FS Jimbaran November 2020'!V14</f>
        <v>2093.8229068462401</v>
      </c>
      <c r="M4" s="299">
        <f>'FS Jimbaran November 2020'!C14</f>
        <v>4</v>
      </c>
      <c r="N4" s="299">
        <f>'FS Jimbaran November 2020'!D14</f>
        <v>36</v>
      </c>
    </row>
    <row r="5" spans="1:15" x14ac:dyDescent="0.25">
      <c r="A5" s="296" t="s">
        <v>91</v>
      </c>
      <c r="B5" s="297">
        <f t="shared" si="0"/>
        <v>4</v>
      </c>
      <c r="C5" s="298">
        <v>11</v>
      </c>
      <c r="D5" s="297">
        <v>2020</v>
      </c>
      <c r="E5" s="299">
        <f>'FS Jimbaran November 2020'!P15</f>
        <v>14099.9999999997</v>
      </c>
      <c r="F5" s="308">
        <f>'FS Jimbaran November 2020'!O15/'FS Jimbaran November 2020'!P15</f>
        <v>1179.0174784000012</v>
      </c>
      <c r="G5" s="310">
        <f>'FS Jimbaran November 2020'!AG15</f>
        <v>142</v>
      </c>
      <c r="H5" s="308">
        <f>'FS Jimbaran November 2020'!AH15/'FS Jimbaran November 2020'!AG15</f>
        <v>13190</v>
      </c>
      <c r="I5" s="310">
        <f>'FS Jimbaran November 2020'!AJ15</f>
        <v>122.7</v>
      </c>
      <c r="J5" s="300">
        <f>'FS Jimbaran November 2020'!AK15/'FS Jimbaran November 2020'!AJ15</f>
        <v>8400</v>
      </c>
      <c r="K5" s="299">
        <f>'FS Jimbaran November 2020'!V15</f>
        <v>925</v>
      </c>
      <c r="L5" s="308">
        <f>'FS Jimbaran November 2020'!AA15/'FS Jimbaran November 2020'!V15</f>
        <v>1847.913427027027</v>
      </c>
      <c r="M5" s="299">
        <f>'FS Jimbaran November 2020'!C15</f>
        <v>6</v>
      </c>
      <c r="N5" s="299">
        <f>'FS Jimbaran November 2020'!D15</f>
        <v>48</v>
      </c>
    </row>
    <row r="6" spans="1:15" x14ac:dyDescent="0.25">
      <c r="A6" s="296" t="s">
        <v>91</v>
      </c>
      <c r="B6" s="297">
        <f t="shared" si="0"/>
        <v>5</v>
      </c>
      <c r="C6" s="298">
        <v>11</v>
      </c>
      <c r="D6" s="297">
        <v>2020</v>
      </c>
      <c r="E6" s="299">
        <f>'FS Jimbaran November 2020'!P16</f>
        <v>14020.000000000167</v>
      </c>
      <c r="F6" s="308">
        <f>'FS Jimbaran November 2020'!O16/'FS Jimbaran November 2020'!P16</f>
        <v>1180.2966760499266</v>
      </c>
      <c r="G6" s="310">
        <f>'FS Jimbaran November 2020'!AG16</f>
        <v>112</v>
      </c>
      <c r="H6" s="308">
        <f>'FS Jimbaran November 2020'!AH16/'FS Jimbaran November 2020'!AG16</f>
        <v>13190</v>
      </c>
      <c r="I6" s="310">
        <f>'FS Jimbaran November 2020'!AJ16</f>
        <v>207</v>
      </c>
      <c r="J6" s="300">
        <f>'FS Jimbaran November 2020'!AK16/'FS Jimbaran November 2020'!AJ16</f>
        <v>8400</v>
      </c>
      <c r="K6" s="299">
        <f>'FS Jimbaran November 2020'!V16</f>
        <v>913</v>
      </c>
      <c r="L6" s="308">
        <f>'FS Jimbaran November 2020'!AA16/'FS Jimbaran November 2020'!V16</f>
        <v>1674.9287842278204</v>
      </c>
      <c r="M6" s="299">
        <f>'FS Jimbaran November 2020'!C16</f>
        <v>5</v>
      </c>
      <c r="N6" s="299">
        <f>'FS Jimbaran November 2020'!D16</f>
        <v>77</v>
      </c>
    </row>
    <row r="7" spans="1:15" x14ac:dyDescent="0.25">
      <c r="A7" s="296" t="s">
        <v>91</v>
      </c>
      <c r="B7" s="297">
        <f t="shared" si="0"/>
        <v>6</v>
      </c>
      <c r="C7" s="298">
        <v>11</v>
      </c>
      <c r="D7" s="297">
        <v>2020</v>
      </c>
      <c r="E7" s="299">
        <f>'FS Jimbaran November 2020'!P17</f>
        <v>14620.000000000104</v>
      </c>
      <c r="F7" s="308">
        <f>'FS Jimbaran November 2020'!O17/'FS Jimbaran November 2020'!P17</f>
        <v>1176.5263050246222</v>
      </c>
      <c r="G7" s="310">
        <f>'FS Jimbaran November 2020'!AG17</f>
        <v>112</v>
      </c>
      <c r="H7" s="308">
        <f>'FS Jimbaran November 2020'!AH17/'FS Jimbaran November 2020'!AG17</f>
        <v>13190</v>
      </c>
      <c r="I7" s="310">
        <f>'FS Jimbaran November 2020'!AJ17</f>
        <v>131.1</v>
      </c>
      <c r="J7" s="300">
        <f>'FS Jimbaran November 2020'!AK17/'FS Jimbaran November 2020'!AJ17</f>
        <v>8400</v>
      </c>
      <c r="K7" s="299">
        <f>'FS Jimbaran November 2020'!V17</f>
        <v>945</v>
      </c>
      <c r="L7" s="308">
        <f>'FS Jimbaran November 2020'!AA17/'FS Jimbaran November 2020'!V17</f>
        <v>1698.1895661375661</v>
      </c>
      <c r="M7" s="299">
        <f>'FS Jimbaran November 2020'!C17</f>
        <v>8</v>
      </c>
      <c r="N7" s="299">
        <f>'FS Jimbaran November 2020'!D17</f>
        <v>65</v>
      </c>
    </row>
    <row r="8" spans="1:15" x14ac:dyDescent="0.25">
      <c r="A8" s="296" t="s">
        <v>91</v>
      </c>
      <c r="B8" s="297">
        <f t="shared" si="0"/>
        <v>7</v>
      </c>
      <c r="C8" s="298">
        <v>11</v>
      </c>
      <c r="D8" s="297">
        <v>2020</v>
      </c>
      <c r="E8" s="299">
        <f>'FS Jimbaran November 2020'!P18</f>
        <v>13439.999999999856</v>
      </c>
      <c r="F8" s="308">
        <f>'FS Jimbaran November 2020'!O18/'FS Jimbaran November 2020'!P18</f>
        <v>1182.737426636912</v>
      </c>
      <c r="G8" s="310">
        <f>'FS Jimbaran November 2020'!AG18</f>
        <v>112</v>
      </c>
      <c r="H8" s="308">
        <f>'FS Jimbaran November 2020'!AH18/'FS Jimbaran November 2020'!AG18</f>
        <v>13190</v>
      </c>
      <c r="I8" s="310">
        <f>'FS Jimbaran November 2020'!AJ18</f>
        <v>634.73</v>
      </c>
      <c r="J8" s="300">
        <f>'FS Jimbaran November 2020'!AK18/'FS Jimbaran November 2020'!AJ18</f>
        <v>8400</v>
      </c>
      <c r="K8" s="299">
        <f>'FS Jimbaran November 2020'!V18</f>
        <v>909</v>
      </c>
      <c r="L8" s="308">
        <f>'FS Jimbaran November 2020'!AA18/'FS Jimbaran November 2020'!V18</f>
        <v>1996.0072387238724</v>
      </c>
      <c r="M8" s="299">
        <f>'FS Jimbaran November 2020'!C18</f>
        <v>10</v>
      </c>
      <c r="N8" s="299">
        <f>'FS Jimbaran November 2020'!D18</f>
        <v>88</v>
      </c>
    </row>
    <row r="9" spans="1:15" x14ac:dyDescent="0.25">
      <c r="A9" s="296" t="s">
        <v>91</v>
      </c>
      <c r="B9" s="297">
        <f t="shared" si="0"/>
        <v>8</v>
      </c>
      <c r="C9" s="298">
        <v>11</v>
      </c>
      <c r="D9" s="297">
        <v>2020</v>
      </c>
      <c r="E9" s="299">
        <f>'FS Jimbaran November 2020'!P19</f>
        <v>13880.000000000593</v>
      </c>
      <c r="F9" s="308">
        <f>'FS Jimbaran November 2020'!O19/'FS Jimbaran November 2020'!P19</f>
        <v>1182.8176361296785</v>
      </c>
      <c r="G9" s="310">
        <f>'FS Jimbaran November 2020'!AG19</f>
        <v>112</v>
      </c>
      <c r="H9" s="308">
        <f>'FS Jimbaran November 2020'!AH19/'FS Jimbaran November 2020'!AG19</f>
        <v>13190</v>
      </c>
      <c r="I9" s="310">
        <f>'FS Jimbaran November 2020'!AJ19</f>
        <v>199.65</v>
      </c>
      <c r="J9" s="300">
        <f>'FS Jimbaran November 2020'!AK19/'FS Jimbaran November 2020'!AJ19</f>
        <v>8400</v>
      </c>
      <c r="K9" s="299">
        <f>'FS Jimbaran November 2020'!V19</f>
        <v>854</v>
      </c>
      <c r="L9" s="308">
        <f>'FS Jimbaran November 2020'!AA19/'FS Jimbaran November 2020'!V19</f>
        <v>1886.2024590163933</v>
      </c>
      <c r="M9" s="299">
        <f>'FS Jimbaran November 2020'!C19</f>
        <v>10</v>
      </c>
      <c r="N9" s="299">
        <f>'FS Jimbaran November 2020'!D19</f>
        <v>133</v>
      </c>
      <c r="O9" s="301" t="s">
        <v>88</v>
      </c>
    </row>
    <row r="10" spans="1:15" x14ac:dyDescent="0.25">
      <c r="A10" s="296" t="s">
        <v>91</v>
      </c>
      <c r="B10" s="297">
        <f t="shared" si="0"/>
        <v>9</v>
      </c>
      <c r="C10" s="298">
        <v>11</v>
      </c>
      <c r="D10" s="297">
        <v>2020</v>
      </c>
      <c r="E10" s="299">
        <f>'FS Jimbaran November 2020'!P20</f>
        <v>14459.999999999212</v>
      </c>
      <c r="F10" s="308">
        <f>'FS Jimbaran November 2020'!O20/'FS Jimbaran November 2020'!P20</f>
        <v>1180.5191347565731</v>
      </c>
      <c r="G10" s="310">
        <f>'FS Jimbaran November 2020'!AG20</f>
        <v>112</v>
      </c>
      <c r="H10" s="308">
        <f>'FS Jimbaran November 2020'!AH20/'FS Jimbaran November 2020'!AG20</f>
        <v>13190</v>
      </c>
      <c r="I10" s="310">
        <f>'FS Jimbaran November 2020'!AJ20</f>
        <v>111.25</v>
      </c>
      <c r="J10" s="300">
        <f>'FS Jimbaran November 2020'!AK20/'FS Jimbaran November 2020'!AJ20</f>
        <v>8400</v>
      </c>
      <c r="K10" s="299">
        <f>'FS Jimbaran November 2020'!V20</f>
        <v>939</v>
      </c>
      <c r="L10" s="308">
        <f>'FS Jimbaran November 2020'!AA20/'FS Jimbaran November 2020'!V20</f>
        <v>2031.4641427050053</v>
      </c>
      <c r="M10" s="299">
        <f>'FS Jimbaran November 2020'!C20</f>
        <v>7</v>
      </c>
      <c r="N10" s="299">
        <f>'FS Jimbaran November 2020'!D20</f>
        <v>69</v>
      </c>
    </row>
    <row r="11" spans="1:15" x14ac:dyDescent="0.25">
      <c r="A11" s="296" t="s">
        <v>91</v>
      </c>
      <c r="B11" s="297">
        <f t="shared" si="0"/>
        <v>10</v>
      </c>
      <c r="C11" s="298">
        <v>11</v>
      </c>
      <c r="D11" s="297">
        <v>2020</v>
      </c>
      <c r="E11" s="299">
        <f>'FS Jimbaran November 2020'!P21</f>
        <v>14499.999999999976</v>
      </c>
      <c r="F11" s="308">
        <f>'FS Jimbaran November 2020'!O21/'FS Jimbaran November 2020'!P21</f>
        <v>1178.8336175186207</v>
      </c>
      <c r="G11" s="310">
        <f>'FS Jimbaran November 2020'!AG21</f>
        <v>137</v>
      </c>
      <c r="H11" s="308">
        <f>'FS Jimbaran November 2020'!AH21/'FS Jimbaran November 2020'!AG21</f>
        <v>13190</v>
      </c>
      <c r="I11" s="310">
        <f>'FS Jimbaran November 2020'!AJ21</f>
        <v>152.78</v>
      </c>
      <c r="J11" s="300">
        <f>'FS Jimbaran November 2020'!AK21/'FS Jimbaran November 2020'!AJ21</f>
        <v>8400</v>
      </c>
      <c r="K11" s="299">
        <f>'FS Jimbaran November 2020'!V21</f>
        <v>863</v>
      </c>
      <c r="L11" s="308">
        <f>'FS Jimbaran November 2020'!AA21/'FS Jimbaran November 2020'!V21</f>
        <v>1723.060741599073</v>
      </c>
      <c r="M11" s="299">
        <f>'FS Jimbaran November 2020'!C21</f>
        <v>5</v>
      </c>
      <c r="N11" s="299">
        <f>'FS Jimbaran November 2020'!D21</f>
        <v>139</v>
      </c>
    </row>
    <row r="12" spans="1:15" x14ac:dyDescent="0.25">
      <c r="A12" s="296" t="s">
        <v>91</v>
      </c>
      <c r="B12" s="297">
        <f t="shared" si="0"/>
        <v>11</v>
      </c>
      <c r="C12" s="298">
        <v>11</v>
      </c>
      <c r="D12" s="297">
        <v>2020</v>
      </c>
      <c r="E12" s="299">
        <f>'FS Jimbaran November 2020'!P22</f>
        <v>13420.000000000011</v>
      </c>
      <c r="F12" s="308">
        <f>'FS Jimbaran November 2020'!O22/'FS Jimbaran November 2020'!P22</f>
        <v>1177.9208970566317</v>
      </c>
      <c r="G12" s="310">
        <f>'FS Jimbaran November 2020'!AG22</f>
        <v>112</v>
      </c>
      <c r="H12" s="308">
        <f>'FS Jimbaran November 2020'!AH22/'FS Jimbaran November 2020'!AG22</f>
        <v>13190</v>
      </c>
      <c r="I12" s="310">
        <f>'FS Jimbaran November 2020'!AJ22</f>
        <v>634.56000000000006</v>
      </c>
      <c r="J12" s="300">
        <f>'FS Jimbaran November 2020'!AK22/'FS Jimbaran November 2020'!AJ22</f>
        <v>8400</v>
      </c>
      <c r="K12" s="299">
        <f>'FS Jimbaran November 2020'!V22</f>
        <v>812</v>
      </c>
      <c r="L12" s="308">
        <f>'FS Jimbaran November 2020'!AA22/'FS Jimbaran November 2020'!V22</f>
        <v>2152.9536945812806</v>
      </c>
      <c r="M12" s="299">
        <f>'FS Jimbaran November 2020'!C22</f>
        <v>4</v>
      </c>
      <c r="N12" s="299">
        <f>'FS Jimbaran November 2020'!D22</f>
        <v>30</v>
      </c>
    </row>
    <row r="13" spans="1:15" x14ac:dyDescent="0.25">
      <c r="A13" s="296" t="s">
        <v>91</v>
      </c>
      <c r="B13" s="297">
        <f t="shared" si="0"/>
        <v>12</v>
      </c>
      <c r="C13" s="298">
        <v>11</v>
      </c>
      <c r="D13" s="297">
        <v>2020</v>
      </c>
      <c r="E13" s="299">
        <f>'FS Jimbaran November 2020'!P23</f>
        <v>13879.999999999996</v>
      </c>
      <c r="F13" s="308">
        <f>'FS Jimbaran November 2020'!O23/'FS Jimbaran November 2020'!P23</f>
        <v>1181.7930214884727</v>
      </c>
      <c r="G13" s="310">
        <f>'FS Jimbaran November 2020'!AG23</f>
        <v>62</v>
      </c>
      <c r="H13" s="308">
        <f>'FS Jimbaran November 2020'!AH23/'FS Jimbaran November 2020'!AG23</f>
        <v>13190</v>
      </c>
      <c r="I13" s="310">
        <f>'FS Jimbaran November 2020'!AJ23</f>
        <v>113.29</v>
      </c>
      <c r="J13" s="300">
        <f>'FS Jimbaran November 2020'!AK23/'FS Jimbaran November 2020'!AJ23</f>
        <v>8400</v>
      </c>
      <c r="K13" s="299">
        <f>'FS Jimbaran November 2020'!V23</f>
        <v>863</v>
      </c>
      <c r="L13" s="308">
        <f>'FS Jimbaran November 2020'!AA23/'FS Jimbaran November 2020'!V23</f>
        <v>1164.4445075318656</v>
      </c>
      <c r="M13" s="299">
        <f>'FS Jimbaran November 2020'!C23</f>
        <v>6</v>
      </c>
      <c r="N13" s="299">
        <f>'FS Jimbaran November 2020'!D23</f>
        <v>48</v>
      </c>
    </row>
    <row r="14" spans="1:15" x14ac:dyDescent="0.25">
      <c r="A14" s="296" t="s">
        <v>91</v>
      </c>
      <c r="B14" s="297">
        <f t="shared" si="0"/>
        <v>13</v>
      </c>
      <c r="C14" s="298">
        <v>11</v>
      </c>
      <c r="D14" s="297">
        <v>2020</v>
      </c>
      <c r="E14" s="299">
        <f>'FS Jimbaran November 2020'!P24</f>
        <v>14680.000000000004</v>
      </c>
      <c r="F14" s="308">
        <f>'FS Jimbaran November 2020'!O24/'FS Jimbaran November 2020'!P24</f>
        <v>1181.9317429618529</v>
      </c>
      <c r="G14" s="310">
        <f>'FS Jimbaran November 2020'!AG24</f>
        <v>112</v>
      </c>
      <c r="H14" s="308">
        <f>'FS Jimbaran November 2020'!AH24/'FS Jimbaran November 2020'!AG24</f>
        <v>13190</v>
      </c>
      <c r="I14" s="310">
        <f>'FS Jimbaran November 2020'!AJ24</f>
        <v>101.64</v>
      </c>
      <c r="J14" s="300">
        <f>'FS Jimbaran November 2020'!AK24/'FS Jimbaran November 2020'!AJ24</f>
        <v>8400</v>
      </c>
      <c r="K14" s="299">
        <f>'FS Jimbaran November 2020'!V24</f>
        <v>853</v>
      </c>
      <c r="L14" s="308">
        <f>'FS Jimbaran November 2020'!AA24/'FS Jimbaran November 2020'!V24</f>
        <v>1364.9603516998827</v>
      </c>
      <c r="M14" s="299">
        <f>'FS Jimbaran November 2020'!C24</f>
        <v>15</v>
      </c>
      <c r="N14" s="299">
        <f>'FS Jimbaran November 2020'!D24</f>
        <v>94</v>
      </c>
    </row>
    <row r="15" spans="1:15" x14ac:dyDescent="0.25">
      <c r="A15" s="296" t="s">
        <v>91</v>
      </c>
      <c r="B15" s="297">
        <f t="shared" si="0"/>
        <v>14</v>
      </c>
      <c r="C15" s="298">
        <v>11</v>
      </c>
      <c r="D15" s="297">
        <v>2020</v>
      </c>
      <c r="E15" s="299">
        <f>'FS Jimbaran November 2020'!P25</f>
        <v>14660.000000000007</v>
      </c>
      <c r="F15" s="308">
        <f>'FS Jimbaran November 2020'!O25/'FS Jimbaran November 2020'!P25</f>
        <v>1180.5371509522508</v>
      </c>
      <c r="G15" s="310">
        <f>'FS Jimbaran November 2020'!AG25</f>
        <v>162</v>
      </c>
      <c r="H15" s="308">
        <f>'FS Jimbaran November 2020'!AH25/'FS Jimbaran November 2020'!AG25</f>
        <v>13190</v>
      </c>
      <c r="I15" s="310">
        <f>'FS Jimbaran November 2020'!AJ25</f>
        <v>630.20000000000005</v>
      </c>
      <c r="J15" s="300">
        <f>'FS Jimbaran November 2020'!AK25/'FS Jimbaran November 2020'!AJ25</f>
        <v>8400</v>
      </c>
      <c r="K15" s="299">
        <f>'FS Jimbaran November 2020'!V25</f>
        <v>862</v>
      </c>
      <c r="L15" s="308">
        <f>'FS Jimbaran November 2020'!AA25/'FS Jimbaran November 2020'!V25</f>
        <v>1289.9255452436196</v>
      </c>
      <c r="M15" s="299">
        <f>'FS Jimbaran November 2020'!C25</f>
        <v>12</v>
      </c>
      <c r="N15" s="299">
        <f>'FS Jimbaran November 2020'!D25</f>
        <v>158</v>
      </c>
    </row>
    <row r="16" spans="1:15" x14ac:dyDescent="0.25">
      <c r="A16" s="296" t="s">
        <v>91</v>
      </c>
      <c r="B16" s="297">
        <f t="shared" si="0"/>
        <v>15</v>
      </c>
      <c r="C16" s="298">
        <v>11</v>
      </c>
      <c r="D16" s="297">
        <v>2020</v>
      </c>
      <c r="E16" s="299">
        <f>'FS Jimbaran November 2020'!P26</f>
        <v>12716.456000000293</v>
      </c>
      <c r="F16" s="308">
        <f>'FS Jimbaran November 2020'!O26/'FS Jimbaran November 2020'!P26</f>
        <v>1184.9794966233992</v>
      </c>
      <c r="G16" s="310">
        <f>'FS Jimbaran November 2020'!AG26</f>
        <v>82</v>
      </c>
      <c r="H16" s="308">
        <f>'FS Jimbaran November 2020'!AH26/'FS Jimbaran November 2020'!AG26</f>
        <v>13190</v>
      </c>
      <c r="I16" s="310">
        <f>'FS Jimbaran November 2020'!AJ26</f>
        <v>89.08</v>
      </c>
      <c r="J16" s="300">
        <f>'FS Jimbaran November 2020'!AK26/'FS Jimbaran November 2020'!AJ26</f>
        <v>8400</v>
      </c>
      <c r="K16" s="299">
        <f>'FS Jimbaran November 2020'!V26</f>
        <v>846</v>
      </c>
      <c r="L16" s="308">
        <f>'FS Jimbaran November 2020'!AA26/'FS Jimbaran November 2020'!V26</f>
        <v>1375.1789479905435</v>
      </c>
      <c r="M16" s="299">
        <f>'FS Jimbaran November 2020'!C26</f>
        <v>2</v>
      </c>
      <c r="N16" s="299">
        <f>'FS Jimbaran November 2020'!D26</f>
        <v>123</v>
      </c>
    </row>
    <row r="17" spans="1:14" x14ac:dyDescent="0.25">
      <c r="A17" s="296" t="s">
        <v>91</v>
      </c>
      <c r="B17" s="297">
        <f t="shared" si="0"/>
        <v>16</v>
      </c>
      <c r="C17" s="298">
        <v>11</v>
      </c>
      <c r="D17" s="297">
        <v>2020</v>
      </c>
      <c r="E17" s="299">
        <f>'FS Jimbaran November 2020'!P27</f>
        <v>14340.000000000047</v>
      </c>
      <c r="F17" s="308">
        <f>'FS Jimbaran November 2020'!O27/'FS Jimbaran November 2020'!P27</f>
        <v>1178.3125555955367</v>
      </c>
      <c r="G17" s="310">
        <f>'FS Jimbaran November 2020'!AG27</f>
        <v>112</v>
      </c>
      <c r="H17" s="308">
        <f>'FS Jimbaran November 2020'!AH27/'FS Jimbaran November 2020'!AG27</f>
        <v>13190</v>
      </c>
      <c r="I17" s="310">
        <f>'FS Jimbaran November 2020'!AJ27</f>
        <v>460</v>
      </c>
      <c r="J17" s="300">
        <f>'FS Jimbaran November 2020'!AK27/'FS Jimbaran November 2020'!AJ27</f>
        <v>8400</v>
      </c>
      <c r="K17" s="299">
        <f>'FS Jimbaran November 2020'!V27</f>
        <v>912</v>
      </c>
      <c r="L17" s="308">
        <f>'FS Jimbaran November 2020'!AA27/'FS Jimbaran November 2020'!V27</f>
        <v>1578.7333991228072</v>
      </c>
      <c r="M17" s="299">
        <f>'FS Jimbaran November 2020'!C27</f>
        <v>5</v>
      </c>
      <c r="N17" s="299">
        <f>'FS Jimbaran November 2020'!D27</f>
        <v>32</v>
      </c>
    </row>
    <row r="18" spans="1:14" x14ac:dyDescent="0.25">
      <c r="A18" s="296" t="s">
        <v>91</v>
      </c>
      <c r="B18" s="297">
        <f t="shared" si="0"/>
        <v>17</v>
      </c>
      <c r="C18" s="298">
        <v>11</v>
      </c>
      <c r="D18" s="297">
        <v>2020</v>
      </c>
      <c r="E18" s="299">
        <f>'FS Jimbaran November 2020'!P28</f>
        <v>13735</v>
      </c>
      <c r="F18" s="308">
        <f>'FS Jimbaran November 2020'!O28/'FS Jimbaran November 2020'!P28</f>
        <v>1182.7502811270476</v>
      </c>
      <c r="G18" s="310">
        <f>'FS Jimbaran November 2020'!AG28</f>
        <v>102</v>
      </c>
      <c r="H18" s="308">
        <f>'FS Jimbaran November 2020'!AH28/'FS Jimbaran November 2020'!AG28</f>
        <v>13190</v>
      </c>
      <c r="I18" s="310">
        <f>'FS Jimbaran November 2020'!AJ28</f>
        <v>480</v>
      </c>
      <c r="J18" s="300">
        <f>'FS Jimbaran November 2020'!AK28/'FS Jimbaran November 2020'!AJ28</f>
        <v>8400</v>
      </c>
      <c r="K18" s="299">
        <f>'FS Jimbaran November 2020'!V28</f>
        <v>941</v>
      </c>
      <c r="L18" s="308">
        <f>'FS Jimbaran November 2020'!AA28/'FS Jimbaran November 2020'!V28</f>
        <v>1799.7283846971307</v>
      </c>
      <c r="M18" s="299">
        <f>'FS Jimbaran November 2020'!C28</f>
        <v>4</v>
      </c>
      <c r="N18" s="299">
        <f>'FS Jimbaran November 2020'!D28</f>
        <v>29</v>
      </c>
    </row>
    <row r="19" spans="1:14" x14ac:dyDescent="0.25">
      <c r="A19" s="296" t="s">
        <v>91</v>
      </c>
      <c r="B19" s="297">
        <f t="shared" si="0"/>
        <v>18</v>
      </c>
      <c r="C19" s="298">
        <v>11</v>
      </c>
      <c r="D19" s="297">
        <v>2020</v>
      </c>
      <c r="E19" s="299">
        <f>'FS Jimbaran November 2020'!P29</f>
        <v>14800</v>
      </c>
      <c r="F19" s="308">
        <f>'FS Jimbaran November 2020'!O29/'FS Jimbaran November 2020'!P29</f>
        <v>1185.4365792783783</v>
      </c>
      <c r="G19" s="310">
        <f>'FS Jimbaran November 2020'!AG29</f>
        <v>112</v>
      </c>
      <c r="H19" s="308">
        <f>'FS Jimbaran November 2020'!AH29/'FS Jimbaran November 2020'!AG29</f>
        <v>13190</v>
      </c>
      <c r="I19" s="310">
        <f>'FS Jimbaran November 2020'!AJ29</f>
        <v>495</v>
      </c>
      <c r="J19" s="300">
        <f>'FS Jimbaran November 2020'!AK29/'FS Jimbaran November 2020'!AJ29</f>
        <v>8400</v>
      </c>
      <c r="K19" s="299">
        <f>'FS Jimbaran November 2020'!V29</f>
        <v>958</v>
      </c>
      <c r="L19" s="308">
        <f>'FS Jimbaran November 2020'!AA29/'FS Jimbaran November 2020'!V29</f>
        <v>1620.9954697286012</v>
      </c>
      <c r="M19" s="299">
        <f>'FS Jimbaran November 2020'!C29</f>
        <v>4</v>
      </c>
      <c r="N19" s="299">
        <f>'FS Jimbaran November 2020'!D29</f>
        <v>34</v>
      </c>
    </row>
    <row r="20" spans="1:14" x14ac:dyDescent="0.25">
      <c r="A20" s="296" t="s">
        <v>91</v>
      </c>
      <c r="B20" s="297">
        <f t="shared" si="0"/>
        <v>19</v>
      </c>
      <c r="C20" s="298">
        <v>11</v>
      </c>
      <c r="D20" s="297">
        <v>2020</v>
      </c>
      <c r="E20" s="299">
        <f>'FS Jimbaran November 2020'!P30</f>
        <v>13459.999999999956</v>
      </c>
      <c r="F20" s="308">
        <f>'FS Jimbaran November 2020'!O30/'FS Jimbaran November 2020'!P30</f>
        <v>1186.4065694353642</v>
      </c>
      <c r="G20" s="310">
        <f>'FS Jimbaran November 2020'!AG30</f>
        <v>122</v>
      </c>
      <c r="H20" s="308">
        <f>'FS Jimbaran November 2020'!AH30/'FS Jimbaran November 2020'!AG30</f>
        <v>13190</v>
      </c>
      <c r="I20" s="310">
        <f>'FS Jimbaran November 2020'!AJ30</f>
        <v>415</v>
      </c>
      <c r="J20" s="300">
        <f>'FS Jimbaran November 2020'!AK30/'FS Jimbaran November 2020'!AJ30</f>
        <v>8400</v>
      </c>
      <c r="K20" s="299">
        <f>'FS Jimbaran November 2020'!V30</f>
        <v>949</v>
      </c>
      <c r="L20" s="308">
        <f>'FS Jimbaran November 2020'!AA30/'FS Jimbaran November 2020'!V30</f>
        <v>1428.1755532139096</v>
      </c>
      <c r="M20" s="299">
        <f>'FS Jimbaran November 2020'!C30</f>
        <v>7</v>
      </c>
      <c r="N20" s="299">
        <f>'FS Jimbaran November 2020'!D30</f>
        <v>59</v>
      </c>
    </row>
    <row r="21" spans="1:14" x14ac:dyDescent="0.25">
      <c r="A21" s="296" t="s">
        <v>91</v>
      </c>
      <c r="B21" s="297">
        <f t="shared" si="0"/>
        <v>20</v>
      </c>
      <c r="C21" s="298">
        <v>11</v>
      </c>
      <c r="D21" s="297">
        <v>2020</v>
      </c>
      <c r="E21" s="299">
        <f>'FS Jimbaran November 2020'!P31</f>
        <v>13440.000000000013</v>
      </c>
      <c r="F21" s="308">
        <f>'FS Jimbaran November 2020'!O31/'FS Jimbaran November 2020'!P31</f>
        <v>1186.9032516547616</v>
      </c>
      <c r="G21" s="310">
        <f>'FS Jimbaran November 2020'!AG31</f>
        <v>112</v>
      </c>
      <c r="H21" s="308">
        <f>'FS Jimbaran November 2020'!AH31/'FS Jimbaran November 2020'!AG31</f>
        <v>13190</v>
      </c>
      <c r="I21" s="310">
        <f>'FS Jimbaran November 2020'!AJ31</f>
        <v>1230</v>
      </c>
      <c r="J21" s="300">
        <f>'FS Jimbaran November 2020'!AK31/'FS Jimbaran November 2020'!AJ31</f>
        <v>8400</v>
      </c>
      <c r="K21" s="299">
        <f>'FS Jimbaran November 2020'!V31</f>
        <v>936</v>
      </c>
      <c r="L21" s="308">
        <f>'FS Jimbaran November 2020'!AA31/'FS Jimbaran November 2020'!V31</f>
        <v>2228.3175427350425</v>
      </c>
      <c r="M21" s="299">
        <f>'FS Jimbaran November 2020'!C31</f>
        <v>7</v>
      </c>
      <c r="N21" s="299">
        <f>'FS Jimbaran November 2020'!D31</f>
        <v>134</v>
      </c>
    </row>
    <row r="22" spans="1:14" x14ac:dyDescent="0.25">
      <c r="A22" s="296" t="s">
        <v>91</v>
      </c>
      <c r="B22" s="297">
        <f t="shared" si="0"/>
        <v>21</v>
      </c>
      <c r="C22" s="298">
        <v>11</v>
      </c>
      <c r="D22" s="297">
        <v>2020</v>
      </c>
      <c r="E22" s="299">
        <f>'FS Jimbaran November 2020'!P32</f>
        <v>15060.000000000042</v>
      </c>
      <c r="F22" s="308">
        <f>'FS Jimbaran November 2020'!O32/'FS Jimbaran November 2020'!P32</f>
        <v>1186.2552215351927</v>
      </c>
      <c r="G22" s="310">
        <f>'FS Jimbaran November 2020'!AG32</f>
        <v>122</v>
      </c>
      <c r="H22" s="308">
        <f>'FS Jimbaran November 2020'!AH32/'FS Jimbaran November 2020'!AG32</f>
        <v>13190</v>
      </c>
      <c r="I22" s="310">
        <f>'FS Jimbaran November 2020'!AJ32</f>
        <v>865</v>
      </c>
      <c r="J22" s="300">
        <f>'FS Jimbaran November 2020'!AK32/'FS Jimbaran November 2020'!AJ32</f>
        <v>8400</v>
      </c>
      <c r="K22" s="299">
        <f>'FS Jimbaran November 2020'!V32</f>
        <v>899</v>
      </c>
      <c r="L22" s="308">
        <f>'FS Jimbaran November 2020'!AA32/'FS Jimbaran November 2020'!V32</f>
        <v>1917.4590989988876</v>
      </c>
      <c r="M22" s="299">
        <f>'FS Jimbaran November 2020'!C32</f>
        <v>8</v>
      </c>
      <c r="N22" s="299">
        <f>'FS Jimbaran November 2020'!D32</f>
        <v>175</v>
      </c>
    </row>
    <row r="23" spans="1:14" x14ac:dyDescent="0.25">
      <c r="A23" s="296" t="s">
        <v>91</v>
      </c>
      <c r="B23" s="297">
        <f t="shared" si="0"/>
        <v>22</v>
      </c>
      <c r="C23" s="298">
        <v>11</v>
      </c>
      <c r="D23" s="297">
        <v>2020</v>
      </c>
      <c r="E23" s="299">
        <f>'FS Jimbaran November 2020'!P33</f>
        <v>14119.999999999958</v>
      </c>
      <c r="F23" s="308">
        <f>'FS Jimbaran November 2020'!O33/'FS Jimbaran November 2020'!P33</f>
        <v>1173.8973142209632</v>
      </c>
      <c r="G23" s="310">
        <f>'FS Jimbaran November 2020'!AG33</f>
        <v>112</v>
      </c>
      <c r="H23" s="308">
        <f>'FS Jimbaran November 2020'!AH33/'FS Jimbaran November 2020'!AG33</f>
        <v>13190</v>
      </c>
      <c r="I23" s="310">
        <f>'FS Jimbaran November 2020'!AJ33</f>
        <v>820</v>
      </c>
      <c r="J23" s="300">
        <f>'FS Jimbaran November 2020'!AK33/'FS Jimbaran November 2020'!AJ33</f>
        <v>8400</v>
      </c>
      <c r="K23" s="299">
        <f>'FS Jimbaran November 2020'!V33</f>
        <v>924</v>
      </c>
      <c r="L23" s="308">
        <f>'FS Jimbaran November 2020'!AA33/'FS Jimbaran November 2020'!V33</f>
        <v>1733.8309199134198</v>
      </c>
      <c r="M23" s="299">
        <f>'FS Jimbaran November 2020'!C33</f>
        <v>3</v>
      </c>
      <c r="N23" s="299">
        <f>'FS Jimbaran November 2020'!D33</f>
        <v>93</v>
      </c>
    </row>
    <row r="24" spans="1:14" x14ac:dyDescent="0.25">
      <c r="A24" s="296" t="s">
        <v>91</v>
      </c>
      <c r="B24" s="297">
        <f t="shared" si="0"/>
        <v>23</v>
      </c>
      <c r="C24" s="298">
        <v>11</v>
      </c>
      <c r="D24" s="297">
        <v>2020</v>
      </c>
      <c r="E24" s="299">
        <f>'FS Jimbaran November 2020'!P34</f>
        <v>13280.000000000004</v>
      </c>
      <c r="F24" s="308">
        <f>'FS Jimbaran November 2020'!O34/'FS Jimbaran November 2020'!P34</f>
        <v>1179.4985648629518</v>
      </c>
      <c r="G24" s="310">
        <f>'FS Jimbaran November 2020'!AG34</f>
        <v>112</v>
      </c>
      <c r="H24" s="308">
        <f>'FS Jimbaran November 2020'!AH34/'FS Jimbaran November 2020'!AG34</f>
        <v>13190</v>
      </c>
      <c r="I24" s="310">
        <f>'FS Jimbaran November 2020'!AJ34</f>
        <v>850</v>
      </c>
      <c r="J24" s="300">
        <f>'FS Jimbaran November 2020'!AK34/'FS Jimbaran November 2020'!AJ34</f>
        <v>8400</v>
      </c>
      <c r="K24" s="299">
        <f>'FS Jimbaran November 2020'!V34</f>
        <v>991</v>
      </c>
      <c r="L24" s="308">
        <f>'FS Jimbaran November 2020'!AA34/'FS Jimbaran November 2020'!V34</f>
        <v>1877.636912209889</v>
      </c>
      <c r="M24" s="299">
        <f>'FS Jimbaran November 2020'!C34</f>
        <v>6</v>
      </c>
      <c r="N24" s="299">
        <f>'FS Jimbaran November 2020'!D34</f>
        <v>50</v>
      </c>
    </row>
    <row r="25" spans="1:14" x14ac:dyDescent="0.25">
      <c r="A25" s="296" t="s">
        <v>91</v>
      </c>
      <c r="B25" s="297">
        <f t="shared" si="0"/>
        <v>24</v>
      </c>
      <c r="C25" s="298">
        <v>11</v>
      </c>
      <c r="D25" s="297">
        <v>2020</v>
      </c>
      <c r="E25" s="299">
        <f>'FS Jimbaran November 2020'!P35</f>
        <v>13619.999999999989</v>
      </c>
      <c r="F25" s="308">
        <f>'FS Jimbaran November 2020'!O35/'FS Jimbaran November 2020'!P35</f>
        <v>1174.2174837327459</v>
      </c>
      <c r="G25" s="310">
        <f>'FS Jimbaran November 2020'!AG35</f>
        <v>92</v>
      </c>
      <c r="H25" s="308">
        <f>'FS Jimbaran November 2020'!AH35/'FS Jimbaran November 2020'!AG35</f>
        <v>13190</v>
      </c>
      <c r="I25" s="310">
        <f>'FS Jimbaran November 2020'!AJ35</f>
        <v>625</v>
      </c>
      <c r="J25" s="300">
        <f>'FS Jimbaran November 2020'!AK35/'FS Jimbaran November 2020'!AJ35</f>
        <v>8400</v>
      </c>
      <c r="K25" s="299">
        <f>'FS Jimbaran November 2020'!V35</f>
        <v>898</v>
      </c>
      <c r="L25" s="308">
        <f>'FS Jimbaran November 2020'!AA35/'FS Jimbaran November 2020'!V35</f>
        <v>1501.9043763919822</v>
      </c>
      <c r="M25" s="299">
        <f>'FS Jimbaran November 2020'!C35</f>
        <v>5</v>
      </c>
      <c r="N25" s="299">
        <f>'FS Jimbaran November 2020'!D35</f>
        <v>30</v>
      </c>
    </row>
    <row r="26" spans="1:14" x14ac:dyDescent="0.25">
      <c r="A26" s="296" t="s">
        <v>91</v>
      </c>
      <c r="B26" s="297">
        <f>B25+1</f>
        <v>25</v>
      </c>
      <c r="C26" s="298">
        <v>11</v>
      </c>
      <c r="D26" s="297">
        <v>2020</v>
      </c>
      <c r="E26" s="299">
        <f>'FS Jimbaran November 2020'!P36</f>
        <v>21489.000000000007</v>
      </c>
      <c r="F26" s="308">
        <f>'FS Jimbaran November 2020'!O36/'FS Jimbaran November 2020'!P36</f>
        <v>1143.2569145287355</v>
      </c>
      <c r="G26" s="310">
        <f>'FS Jimbaran November 2020'!AG36</f>
        <v>102</v>
      </c>
      <c r="H26" s="308">
        <f>'FS Jimbaran November 2020'!AH36/'FS Jimbaran November 2020'!AG36</f>
        <v>13190</v>
      </c>
      <c r="I26" s="310">
        <f>'FS Jimbaran November 2020'!AJ36</f>
        <v>765</v>
      </c>
      <c r="J26" s="300">
        <f>'FS Jimbaran November 2020'!AK36/'FS Jimbaran November 2020'!AJ36</f>
        <v>8400</v>
      </c>
      <c r="K26" s="299">
        <f>'FS Jimbaran November 2020'!V36</f>
        <v>871</v>
      </c>
      <c r="L26" s="308">
        <f>'FS Jimbaran November 2020'!AA36/'FS Jimbaran November 2020'!V36</f>
        <v>2077.4187370838117</v>
      </c>
      <c r="M26" s="299">
        <f>'FS Jimbaran November 2020'!C36</f>
        <v>3</v>
      </c>
      <c r="N26" s="299">
        <f>'FS Jimbaran November 2020'!D36</f>
        <v>66</v>
      </c>
    </row>
    <row r="27" spans="1:14" x14ac:dyDescent="0.25">
      <c r="A27" s="296" t="s">
        <v>91</v>
      </c>
      <c r="B27" s="297">
        <f t="shared" si="0"/>
        <v>26</v>
      </c>
      <c r="C27" s="298">
        <v>11</v>
      </c>
      <c r="D27" s="297">
        <v>2020</v>
      </c>
      <c r="E27" s="299">
        <f>'FS Jimbaran November 2020'!P37</f>
        <v>5399.9999999999582</v>
      </c>
      <c r="F27" s="308">
        <f>'FS Jimbaran November 2020'!O37/'FS Jimbaran November 2020'!P37</f>
        <v>1320.0257162666683</v>
      </c>
      <c r="G27" s="310">
        <f>'FS Jimbaran November 2020'!AG37</f>
        <v>102</v>
      </c>
      <c r="H27" s="308">
        <f>'FS Jimbaran November 2020'!AH37/'FS Jimbaran November 2020'!AG37</f>
        <v>13190</v>
      </c>
      <c r="I27" s="310">
        <f>'FS Jimbaran November 2020'!AJ37</f>
        <v>955</v>
      </c>
      <c r="J27" s="300">
        <f>'FS Jimbaran November 2020'!AK37/'FS Jimbaran November 2020'!AJ37</f>
        <v>8400</v>
      </c>
      <c r="K27" s="299">
        <f>'FS Jimbaran November 2020'!V37</f>
        <v>906</v>
      </c>
      <c r="L27" s="308">
        <f>'FS Jimbaran November 2020'!AA37/'FS Jimbaran November 2020'!V37</f>
        <v>1923.3560154525387</v>
      </c>
      <c r="M27" s="299">
        <f>'FS Jimbaran November 2020'!C37</f>
        <v>9</v>
      </c>
      <c r="N27" s="299">
        <f>'FS Jimbaran November 2020'!D37</f>
        <v>69</v>
      </c>
    </row>
    <row r="28" spans="1:14" x14ac:dyDescent="0.25">
      <c r="A28" s="296" t="s">
        <v>91</v>
      </c>
      <c r="B28" s="297">
        <f t="shared" si="0"/>
        <v>27</v>
      </c>
      <c r="C28" s="298">
        <v>11</v>
      </c>
      <c r="D28" s="297">
        <v>2020</v>
      </c>
      <c r="E28" s="299">
        <f>'FS Jimbaran November 2020'!P38</f>
        <v>12440.000000000004</v>
      </c>
      <c r="F28" s="308">
        <f>'FS Jimbaran November 2020'!O38/'FS Jimbaran November 2020'!P38</f>
        <v>1183.5852155160771</v>
      </c>
      <c r="G28" s="310">
        <f>'FS Jimbaran November 2020'!AG38</f>
        <v>104</v>
      </c>
      <c r="H28" s="308">
        <f>'FS Jimbaran November 2020'!AH38/'FS Jimbaran November 2020'!AG38</f>
        <v>13190</v>
      </c>
      <c r="I28" s="310">
        <f>'FS Jimbaran November 2020'!AJ38</f>
        <v>1325</v>
      </c>
      <c r="J28" s="300">
        <f>'FS Jimbaran November 2020'!AK38/'FS Jimbaran November 2020'!AJ38</f>
        <v>8400</v>
      </c>
      <c r="K28" s="299">
        <f>'FS Jimbaran November 2020'!V38</f>
        <v>903</v>
      </c>
      <c r="L28" s="308">
        <f>'FS Jimbaran November 2020'!AA38/'FS Jimbaran November 2020'!V38</f>
        <v>1968.8601328903653</v>
      </c>
      <c r="M28" s="299">
        <f>'FS Jimbaran November 2020'!C38</f>
        <v>6</v>
      </c>
      <c r="N28" s="299">
        <f>'FS Jimbaran November 2020'!D38</f>
        <v>68</v>
      </c>
    </row>
    <row r="29" spans="1:14" x14ac:dyDescent="0.25">
      <c r="A29" s="296" t="s">
        <v>91</v>
      </c>
      <c r="B29" s="297">
        <f t="shared" si="0"/>
        <v>28</v>
      </c>
      <c r="C29" s="298">
        <v>11</v>
      </c>
      <c r="D29" s="297">
        <v>2020</v>
      </c>
      <c r="E29" s="299">
        <f>'FS Jimbaran November 2020'!P39</f>
        <v>12559.999999999987</v>
      </c>
      <c r="F29" s="308">
        <f>'FS Jimbaran November 2020'!O39/'FS Jimbaran November 2020'!P39</f>
        <v>1179.7780165907643</v>
      </c>
      <c r="G29" s="310">
        <f>'FS Jimbaran November 2020'!AG39</f>
        <v>110</v>
      </c>
      <c r="H29" s="308">
        <f>'FS Jimbaran November 2020'!AH39/'FS Jimbaran November 2020'!AG39</f>
        <v>13190</v>
      </c>
      <c r="I29" s="310">
        <f>'FS Jimbaran November 2020'!AJ39</f>
        <v>820</v>
      </c>
      <c r="J29" s="300">
        <f>'FS Jimbaran November 2020'!AK39/'FS Jimbaran November 2020'!AJ39</f>
        <v>8400</v>
      </c>
      <c r="K29" s="299">
        <f>'FS Jimbaran November 2020'!V39</f>
        <v>908</v>
      </c>
      <c r="L29" s="308">
        <f>'FS Jimbaran November 2020'!AA39/'FS Jimbaran November 2020'!V39</f>
        <v>1978.3982158590309</v>
      </c>
      <c r="M29" s="299">
        <f>'FS Jimbaran November 2020'!C39</f>
        <v>7</v>
      </c>
      <c r="N29" s="299">
        <f>'FS Jimbaran November 2020'!D39</f>
        <v>150</v>
      </c>
    </row>
    <row r="30" spans="1:14" x14ac:dyDescent="0.25">
      <c r="A30" s="296" t="s">
        <v>91</v>
      </c>
      <c r="B30" s="297">
        <f t="shared" si="0"/>
        <v>29</v>
      </c>
      <c r="C30" s="298">
        <v>11</v>
      </c>
      <c r="D30" s="297">
        <v>2020</v>
      </c>
      <c r="E30" s="299">
        <f>'FS Jimbaran November 2020'!P40</f>
        <v>13220.000000000013</v>
      </c>
      <c r="F30" s="308">
        <f>'FS Jimbaran November 2020'!O40/'FS Jimbaran November 2020'!P40</f>
        <v>1180.9721004281394</v>
      </c>
      <c r="G30" s="310">
        <f>'FS Jimbaran November 2020'!AG40</f>
        <v>102</v>
      </c>
      <c r="H30" s="308">
        <f>'FS Jimbaran November 2020'!AH40/'FS Jimbaran November 2020'!AG40</f>
        <v>13190</v>
      </c>
      <c r="I30" s="310">
        <f>'FS Jimbaran November 2020'!AJ40</f>
        <v>660</v>
      </c>
      <c r="J30" s="300">
        <f>'FS Jimbaran November 2020'!AK40/'FS Jimbaran November 2020'!AJ40</f>
        <v>8400</v>
      </c>
      <c r="K30" s="299">
        <f>'FS Jimbaran November 2020'!V40</f>
        <v>906</v>
      </c>
      <c r="L30" s="308">
        <f>'FS Jimbaran November 2020'!AA40/'FS Jimbaran November 2020'!V40</f>
        <v>2100.7238631346581</v>
      </c>
      <c r="M30" s="299">
        <f>'FS Jimbaran November 2020'!C40</f>
        <v>8</v>
      </c>
      <c r="N30" s="299">
        <f>'FS Jimbaran November 2020'!D40</f>
        <v>109</v>
      </c>
    </row>
    <row r="31" spans="1:14" x14ac:dyDescent="0.25">
      <c r="A31" s="296" t="s">
        <v>91</v>
      </c>
      <c r="B31" s="297">
        <f t="shared" si="0"/>
        <v>30</v>
      </c>
      <c r="C31" s="298">
        <v>11</v>
      </c>
      <c r="D31" s="297">
        <v>2020</v>
      </c>
      <c r="E31" s="299">
        <f>'FS Jimbaran November 2020'!P41</f>
        <v>12579.999999999991</v>
      </c>
      <c r="F31" s="308">
        <f>'FS Jimbaran November 2020'!O41/'FS Jimbaran November 2020'!P41</f>
        <v>1176.7257218378379</v>
      </c>
      <c r="G31" s="310">
        <f>'FS Jimbaran November 2020'!AG41</f>
        <v>92</v>
      </c>
      <c r="H31" s="308">
        <f>'FS Jimbaran November 2020'!AH41/'FS Jimbaran November 2020'!AG41</f>
        <v>13190</v>
      </c>
      <c r="I31" s="310">
        <f>'FS Jimbaran November 2020'!AJ41</f>
        <v>620</v>
      </c>
      <c r="J31" s="300">
        <f>'FS Jimbaran November 2020'!AK41/'FS Jimbaran November 2020'!AJ41</f>
        <v>8400</v>
      </c>
      <c r="K31" s="299">
        <f>'FS Jimbaran November 2020'!V41</f>
        <v>838</v>
      </c>
      <c r="L31" s="308">
        <f>'FS Jimbaran November 2020'!AA41/'FS Jimbaran November 2020'!V41</f>
        <v>1791.8940334128877</v>
      </c>
      <c r="M31" s="299">
        <f>'FS Jimbaran November 2020'!C41</f>
        <v>1</v>
      </c>
      <c r="N31" s="299">
        <f>'FS Jimbaran November 2020'!D41</f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M56"/>
  <sheetViews>
    <sheetView zoomScale="62" zoomScaleNormal="62" workbookViewId="0">
      <pane xSplit="4" ySplit="10" topLeftCell="O11" activePane="bottomRight" state="frozen"/>
      <selection pane="topRight" activeCell="E1" sqref="E1"/>
      <selection pane="bottomLeft" activeCell="A11" sqref="A11"/>
      <selection pane="bottomRight" activeCell="P12" sqref="P12"/>
    </sheetView>
  </sheetViews>
  <sheetFormatPr defaultRowHeight="15.75" x14ac:dyDescent="0.25"/>
  <cols>
    <col min="1" max="1" width="3.7109375" style="30" customWidth="1"/>
    <col min="2" max="2" width="8.7109375" style="30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97" bestFit="1" customWidth="1"/>
    <col min="14" max="14" width="20.42578125" style="101" customWidth="1"/>
    <col min="15" max="15" width="18.85546875" customWidth="1"/>
    <col min="16" max="16" width="15.140625" style="101" customWidth="1"/>
    <col min="17" max="17" width="19.7109375" customWidth="1"/>
    <col min="18" max="18" width="18.140625" style="130" customWidth="1"/>
    <col min="19" max="19" width="22.85546875" customWidth="1"/>
    <col min="20" max="20" width="17.140625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bestFit="1" customWidth="1"/>
    <col min="32" max="32" width="12.28515625" bestFit="1" customWidth="1"/>
    <col min="33" max="33" width="10.7109375" bestFit="1" customWidth="1"/>
    <col min="34" max="34" width="19" style="4" customWidth="1"/>
    <col min="35" max="35" width="10.5703125" customWidth="1"/>
    <col min="36" max="36" width="13.28515625" style="130" bestFit="1" customWidth="1"/>
    <col min="37" max="37" width="16.42578125" customWidth="1"/>
    <col min="38" max="38" width="9.42578125" style="70" bestFit="1" customWidth="1"/>
    <col min="39" max="39" width="2.28515625" style="30" customWidth="1"/>
  </cols>
  <sheetData>
    <row r="6" spans="1:39" s="51" customFormat="1" ht="19.5" thickBot="1" x14ac:dyDescent="0.35">
      <c r="B6" s="51" t="s">
        <v>59</v>
      </c>
      <c r="C6" s="60"/>
      <c r="E6" s="60"/>
      <c r="F6" s="60"/>
      <c r="H6" s="60"/>
      <c r="L6" s="60"/>
      <c r="M6" s="91"/>
      <c r="N6" s="98"/>
      <c r="P6" s="98"/>
      <c r="R6" s="125"/>
      <c r="AD6" s="60"/>
      <c r="AH6" s="60"/>
      <c r="AJ6" s="125"/>
      <c r="AL6" s="66"/>
    </row>
    <row r="7" spans="1:39" s="22" customFormat="1" ht="16.5" thickBot="1" x14ac:dyDescent="0.3">
      <c r="A7" s="56"/>
      <c r="B7" s="249" t="s">
        <v>66</v>
      </c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0"/>
      <c r="AF7" s="250"/>
      <c r="AG7" s="250"/>
      <c r="AH7" s="250"/>
      <c r="AI7" s="250"/>
      <c r="AJ7" s="250"/>
      <c r="AK7" s="250"/>
      <c r="AL7" s="251"/>
      <c r="AM7" s="56"/>
    </row>
    <row r="8" spans="1:39" s="13" customFormat="1" ht="15.75" customHeight="1" thickBot="1" x14ac:dyDescent="0.3">
      <c r="A8" s="52"/>
      <c r="B8" s="264" t="s">
        <v>4</v>
      </c>
      <c r="C8" s="267" t="s">
        <v>5</v>
      </c>
      <c r="D8" s="267" t="s">
        <v>6</v>
      </c>
      <c r="E8" s="280" t="s">
        <v>69</v>
      </c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1"/>
      <c r="R8" s="281"/>
      <c r="S8" s="281"/>
      <c r="T8" s="281"/>
      <c r="U8" s="282"/>
      <c r="V8" s="275" t="s">
        <v>48</v>
      </c>
      <c r="W8" s="276"/>
      <c r="X8" s="276"/>
      <c r="Y8" s="276"/>
      <c r="Z8" s="276"/>
      <c r="AA8" s="276"/>
      <c r="AB8" s="277"/>
      <c r="AC8" s="278" t="s">
        <v>54</v>
      </c>
      <c r="AD8" s="278"/>
      <c r="AE8" s="278"/>
      <c r="AF8" s="278"/>
      <c r="AG8" s="278"/>
      <c r="AH8" s="278"/>
      <c r="AI8" s="278"/>
      <c r="AJ8" s="278"/>
      <c r="AK8" s="278"/>
      <c r="AL8" s="279"/>
      <c r="AM8" s="54"/>
    </row>
    <row r="9" spans="1:39" ht="15" customHeight="1" thickBot="1" x14ac:dyDescent="0.3">
      <c r="A9" s="55"/>
      <c r="B9" s="265"/>
      <c r="C9" s="268"/>
      <c r="D9" s="268"/>
      <c r="E9" s="272" t="s">
        <v>68</v>
      </c>
      <c r="F9" s="273"/>
      <c r="G9" s="273"/>
      <c r="H9" s="273"/>
      <c r="I9" s="274"/>
      <c r="J9" s="270" t="s">
        <v>8</v>
      </c>
      <c r="K9" s="270"/>
      <c r="L9" s="270"/>
      <c r="M9" s="270"/>
      <c r="N9" s="271"/>
      <c r="O9" s="267" t="s">
        <v>39</v>
      </c>
      <c r="P9" s="252" t="s">
        <v>67</v>
      </c>
      <c r="Q9" s="254" t="s">
        <v>41</v>
      </c>
      <c r="R9" s="256" t="s">
        <v>51</v>
      </c>
      <c r="S9" s="258" t="s">
        <v>40</v>
      </c>
      <c r="T9" s="260" t="s">
        <v>47</v>
      </c>
      <c r="U9" s="261"/>
      <c r="V9" s="83"/>
      <c r="W9" s="84" t="s">
        <v>7</v>
      </c>
      <c r="X9" s="84"/>
      <c r="Y9" s="85"/>
      <c r="Z9" s="118"/>
      <c r="AA9" s="262" t="s">
        <v>57</v>
      </c>
      <c r="AB9" s="263"/>
      <c r="AC9" s="278" t="s">
        <v>52</v>
      </c>
      <c r="AD9" s="278"/>
      <c r="AE9" s="278"/>
      <c r="AF9" s="278"/>
      <c r="AG9" s="278"/>
      <c r="AH9" s="278"/>
      <c r="AI9" s="279"/>
      <c r="AJ9" s="226" t="s">
        <v>50</v>
      </c>
      <c r="AK9" s="63"/>
      <c r="AL9" s="67"/>
      <c r="AM9" s="55"/>
    </row>
    <row r="10" spans="1:39" ht="61.5" customHeight="1" thickBot="1" x14ac:dyDescent="0.3">
      <c r="A10" s="53"/>
      <c r="B10" s="266"/>
      <c r="C10" s="269"/>
      <c r="D10" s="269"/>
      <c r="E10" s="144" t="s">
        <v>73</v>
      </c>
      <c r="F10" s="117" t="s">
        <v>10</v>
      </c>
      <c r="G10" s="208" t="s">
        <v>74</v>
      </c>
      <c r="H10" s="37" t="s">
        <v>10</v>
      </c>
      <c r="I10" s="145" t="s">
        <v>42</v>
      </c>
      <c r="J10" s="144" t="s">
        <v>73</v>
      </c>
      <c r="K10" s="119" t="s">
        <v>10</v>
      </c>
      <c r="L10" s="208" t="s">
        <v>74</v>
      </c>
      <c r="M10" s="92" t="s">
        <v>10</v>
      </c>
      <c r="N10" s="136" t="s">
        <v>43</v>
      </c>
      <c r="O10" s="269"/>
      <c r="P10" s="253"/>
      <c r="Q10" s="255"/>
      <c r="R10" s="257"/>
      <c r="S10" s="259"/>
      <c r="T10" s="43" t="s">
        <v>44</v>
      </c>
      <c r="U10" s="45" t="s">
        <v>46</v>
      </c>
      <c r="V10" s="87" t="s">
        <v>12</v>
      </c>
      <c r="W10" s="86" t="s">
        <v>0</v>
      </c>
      <c r="X10" s="86" t="s">
        <v>56</v>
      </c>
      <c r="Y10" s="44" t="s">
        <v>14</v>
      </c>
      <c r="Z10" s="44" t="s">
        <v>64</v>
      </c>
      <c r="AA10" s="44" t="s">
        <v>44</v>
      </c>
      <c r="AB10" s="24" t="s">
        <v>46</v>
      </c>
      <c r="AC10" s="200" t="s">
        <v>11</v>
      </c>
      <c r="AD10" s="78" t="s">
        <v>65</v>
      </c>
      <c r="AE10" s="77" t="s">
        <v>15</v>
      </c>
      <c r="AF10" s="77" t="s">
        <v>13</v>
      </c>
      <c r="AG10" s="77" t="s">
        <v>55</v>
      </c>
      <c r="AH10" s="78" t="s">
        <v>44</v>
      </c>
      <c r="AI10" s="79" t="s">
        <v>46</v>
      </c>
      <c r="AJ10" s="227" t="s">
        <v>53</v>
      </c>
      <c r="AK10" s="77" t="s">
        <v>44</v>
      </c>
      <c r="AL10" s="81" t="s">
        <v>46</v>
      </c>
      <c r="AM10" s="53"/>
    </row>
    <row r="11" spans="1:39" x14ac:dyDescent="0.25">
      <c r="A11" s="53"/>
      <c r="B11" s="89"/>
      <c r="C11" s="146"/>
      <c r="D11" s="88" t="s">
        <v>49</v>
      </c>
      <c r="E11" s="133"/>
      <c r="F11" s="133"/>
      <c r="G11" s="38"/>
      <c r="H11" s="39"/>
      <c r="I11" s="147"/>
      <c r="J11" s="135"/>
      <c r="K11" s="38"/>
      <c r="L11" s="39"/>
      <c r="M11" s="93"/>
      <c r="N11" s="138"/>
      <c r="O11" s="88"/>
      <c r="P11" s="161"/>
      <c r="Q11" s="160"/>
      <c r="R11" s="165"/>
      <c r="S11" s="41"/>
      <c r="T11" s="42"/>
      <c r="U11" s="46"/>
      <c r="V11" s="137"/>
      <c r="W11" s="38"/>
      <c r="X11" s="38"/>
      <c r="Y11" s="40"/>
      <c r="Z11" s="40"/>
      <c r="AA11" s="40"/>
      <c r="AB11" s="147"/>
      <c r="AC11" s="201"/>
      <c r="AD11" s="75"/>
      <c r="AE11" s="72"/>
      <c r="AF11" s="72"/>
      <c r="AG11" s="72"/>
      <c r="AH11" s="75"/>
      <c r="AI11" s="76"/>
      <c r="AJ11" s="228"/>
      <c r="AK11" s="72"/>
      <c r="AL11" s="80"/>
      <c r="AM11" s="53"/>
    </row>
    <row r="12" spans="1:39" ht="24" customHeight="1" x14ac:dyDescent="0.25">
      <c r="A12" s="59"/>
      <c r="B12" s="90">
        <v>1</v>
      </c>
      <c r="C12" s="243">
        <v>7</v>
      </c>
      <c r="D12" s="245">
        <v>127</v>
      </c>
      <c r="E12" s="151">
        <v>10360</v>
      </c>
      <c r="F12" s="3">
        <v>11267197.973919999</v>
      </c>
      <c r="G12" s="61">
        <v>2000</v>
      </c>
      <c r="H12" s="3">
        <v>3262706.96</v>
      </c>
      <c r="I12" s="148">
        <f>H12+F12</f>
        <v>14529904.93392</v>
      </c>
      <c r="J12" s="151">
        <v>1199.9999999998181</v>
      </c>
      <c r="K12" s="3">
        <v>1320523.5875997997</v>
      </c>
      <c r="L12" s="3">
        <v>259.99999999999091</v>
      </c>
      <c r="M12" s="94">
        <v>424151.89699998515</v>
      </c>
      <c r="N12" s="139">
        <f t="shared" ref="N12:N41" si="0">M12+K12</f>
        <v>1744675.4845997849</v>
      </c>
      <c r="O12" s="158">
        <f>N12+I12</f>
        <v>16274580.418519784</v>
      </c>
      <c r="P12" s="162">
        <f>L12+J12+G12+E12</f>
        <v>13819.999999999809</v>
      </c>
      <c r="Q12" s="217"/>
      <c r="R12" s="209"/>
      <c r="S12" s="18"/>
      <c r="T12" s="20"/>
      <c r="U12" s="47"/>
      <c r="V12" s="210">
        <f t="shared" ref="V12:V26" si="1">W12+Y12</f>
        <v>884</v>
      </c>
      <c r="W12" s="3">
        <v>77</v>
      </c>
      <c r="X12" s="3">
        <v>1384845</v>
      </c>
      <c r="Y12" s="57">
        <v>807</v>
      </c>
      <c r="Z12" s="57">
        <v>104885.79</v>
      </c>
      <c r="AA12" s="57">
        <f t="shared" ref="AA12:AA26" si="2">Z12+X12</f>
        <v>1489730.79</v>
      </c>
      <c r="AB12" s="203">
        <f t="shared" ref="AB12:AB41" si="3">AA12/$AL$47</f>
        <v>114.80583056991745</v>
      </c>
      <c r="AC12" s="211"/>
      <c r="AD12" s="3">
        <v>0</v>
      </c>
      <c r="AE12" s="3">
        <v>100</v>
      </c>
      <c r="AF12" s="3">
        <v>12</v>
      </c>
      <c r="AG12" s="3">
        <f>SUM(AC12:AF12)</f>
        <v>112</v>
      </c>
      <c r="AH12" s="3">
        <v>1477280</v>
      </c>
      <c r="AI12" s="73">
        <f>AH12/$AL$47</f>
        <v>113.84631271823793</v>
      </c>
      <c r="AJ12" s="229">
        <v>157.09</v>
      </c>
      <c r="AK12" s="3">
        <v>1319556</v>
      </c>
      <c r="AL12" s="68">
        <f t="shared" ref="AL12:AL41" si="4">AK12/$AL$47</f>
        <v>101.69134153662621</v>
      </c>
      <c r="AM12" s="7"/>
    </row>
    <row r="13" spans="1:39" x14ac:dyDescent="0.25">
      <c r="A13" s="59"/>
      <c r="B13" s="90">
        <v>2</v>
      </c>
      <c r="C13" s="243">
        <v>5</v>
      </c>
      <c r="D13" s="245">
        <v>72</v>
      </c>
      <c r="E13" s="151">
        <v>10359.999999999985</v>
      </c>
      <c r="F13" s="3">
        <v>11267197.973919984</v>
      </c>
      <c r="G13" s="61">
        <v>2039.9999999999991</v>
      </c>
      <c r="H13" s="3">
        <v>3327961.0991999987</v>
      </c>
      <c r="I13" s="148">
        <f t="shared" ref="I13:I41" si="5">H13+F13</f>
        <v>14595159.073119983</v>
      </c>
      <c r="J13" s="151">
        <v>1220.0000000002547</v>
      </c>
      <c r="K13" s="3">
        <v>1342532.3140602801</v>
      </c>
      <c r="L13" s="3">
        <v>299.99999999995453</v>
      </c>
      <c r="M13" s="94">
        <v>489406.03499992582</v>
      </c>
      <c r="N13" s="139">
        <f t="shared" si="0"/>
        <v>1831938.349060206</v>
      </c>
      <c r="O13" s="158">
        <f t="shared" ref="O13:O41" si="6">N13+I13</f>
        <v>16427097.422180189</v>
      </c>
      <c r="P13" s="162">
        <f t="shared" ref="P13:P41" si="7">L13+J13+G13+E13</f>
        <v>13920.000000000193</v>
      </c>
      <c r="Q13" s="218"/>
      <c r="R13" s="212"/>
      <c r="S13" s="19"/>
      <c r="T13" s="21"/>
      <c r="U13" s="48"/>
      <c r="V13" s="210">
        <f t="shared" si="1"/>
        <v>875</v>
      </c>
      <c r="W13" s="3">
        <v>99</v>
      </c>
      <c r="X13" s="3">
        <v>1780515</v>
      </c>
      <c r="Y13" s="57">
        <v>776</v>
      </c>
      <c r="Z13" s="57">
        <v>100856.72</v>
      </c>
      <c r="AA13" s="57">
        <f t="shared" si="2"/>
        <v>1881371.72</v>
      </c>
      <c r="AB13" s="203">
        <f t="shared" si="3"/>
        <v>144.98756713308862</v>
      </c>
      <c r="AC13" s="211"/>
      <c r="AD13" s="3">
        <v>0</v>
      </c>
      <c r="AE13" s="3">
        <v>100</v>
      </c>
      <c r="AF13" s="3">
        <v>12</v>
      </c>
      <c r="AG13" s="3">
        <f t="shared" ref="AG13:AG41" si="8">SUM(AC13:AF13)</f>
        <v>112</v>
      </c>
      <c r="AH13" s="3">
        <v>1477280</v>
      </c>
      <c r="AI13" s="73">
        <f t="shared" ref="AI13:AI41" si="9">AH13/$AL$47</f>
        <v>113.84631271823793</v>
      </c>
      <c r="AJ13" s="229">
        <v>139.94</v>
      </c>
      <c r="AK13" s="3">
        <v>1175496</v>
      </c>
      <c r="AL13" s="68">
        <f t="shared" si="4"/>
        <v>90.589384013211998</v>
      </c>
      <c r="AM13" s="7"/>
    </row>
    <row r="14" spans="1:39" x14ac:dyDescent="0.25">
      <c r="A14" s="59"/>
      <c r="B14" s="90">
        <v>3</v>
      </c>
      <c r="C14" s="243">
        <v>4</v>
      </c>
      <c r="D14" s="245">
        <v>36</v>
      </c>
      <c r="E14" s="151">
        <v>10280.000000000002</v>
      </c>
      <c r="F14" s="3">
        <v>11180192.584160002</v>
      </c>
      <c r="G14" s="61">
        <v>2000</v>
      </c>
      <c r="H14" s="3">
        <v>3262706.96</v>
      </c>
      <c r="I14" s="148">
        <f t="shared" si="5"/>
        <v>14442899.544160001</v>
      </c>
      <c r="J14" s="151">
        <v>1359.9999999996726</v>
      </c>
      <c r="K14" s="3">
        <v>1496593.3992796396</v>
      </c>
      <c r="L14" s="3">
        <v>279.99999999997272</v>
      </c>
      <c r="M14" s="94">
        <v>456778.96599995549</v>
      </c>
      <c r="N14" s="139">
        <f t="shared" si="0"/>
        <v>1953372.3652795951</v>
      </c>
      <c r="O14" s="158">
        <f t="shared" si="6"/>
        <v>16396271.909439595</v>
      </c>
      <c r="P14" s="162">
        <f t="shared" si="7"/>
        <v>13919.999999999647</v>
      </c>
      <c r="Q14" s="218"/>
      <c r="R14" s="212"/>
      <c r="S14" s="19"/>
      <c r="T14" s="21"/>
      <c r="U14" s="48"/>
      <c r="V14" s="210">
        <f t="shared" si="1"/>
        <v>891</v>
      </c>
      <c r="W14" s="3">
        <v>98</v>
      </c>
      <c r="X14" s="3">
        <v>1762530</v>
      </c>
      <c r="Y14" s="57">
        <v>793</v>
      </c>
      <c r="Z14" s="57">
        <v>103066.20999999999</v>
      </c>
      <c r="AA14" s="57">
        <f t="shared" si="2"/>
        <v>1865596.21</v>
      </c>
      <c r="AB14" s="203">
        <f t="shared" si="3"/>
        <v>143.77183034334686</v>
      </c>
      <c r="AC14" s="211"/>
      <c r="AD14" s="3">
        <v>0</v>
      </c>
      <c r="AE14" s="3">
        <v>90</v>
      </c>
      <c r="AF14" s="3">
        <v>12</v>
      </c>
      <c r="AG14" s="3">
        <f t="shared" si="8"/>
        <v>102</v>
      </c>
      <c r="AH14" s="3">
        <v>1345380</v>
      </c>
      <c r="AI14" s="73">
        <f t="shared" si="9"/>
        <v>103.68146336839526</v>
      </c>
      <c r="AJ14" s="229">
        <v>132</v>
      </c>
      <c r="AK14" s="3">
        <v>1108800</v>
      </c>
      <c r="AL14" s="68">
        <f t="shared" si="4"/>
        <v>85.449468984879118</v>
      </c>
      <c r="AM14" s="7"/>
    </row>
    <row r="15" spans="1:39" x14ac:dyDescent="0.25">
      <c r="A15" s="59"/>
      <c r="B15" s="90">
        <v>4</v>
      </c>
      <c r="C15" s="243">
        <v>6</v>
      </c>
      <c r="D15" s="245">
        <v>48</v>
      </c>
      <c r="E15" s="151">
        <v>10439.999999999998</v>
      </c>
      <c r="F15" s="3">
        <v>11354203.363679998</v>
      </c>
      <c r="G15" s="61">
        <v>2080.0000000000018</v>
      </c>
      <c r="H15" s="3">
        <v>3393215.2384000029</v>
      </c>
      <c r="I15" s="148">
        <f t="shared" si="5"/>
        <v>14747418.602080001</v>
      </c>
      <c r="J15" s="151">
        <v>1319.999999999709</v>
      </c>
      <c r="K15" s="3">
        <v>1452575.9463596796</v>
      </c>
      <c r="L15" s="3">
        <v>259.99999999999091</v>
      </c>
      <c r="M15" s="94">
        <v>424151.89699998515</v>
      </c>
      <c r="N15" s="139">
        <f t="shared" si="0"/>
        <v>1876727.8433596648</v>
      </c>
      <c r="O15" s="158">
        <f t="shared" si="6"/>
        <v>16624146.445439665</v>
      </c>
      <c r="P15" s="162">
        <f t="shared" si="7"/>
        <v>14099.9999999997</v>
      </c>
      <c r="Q15" s="218"/>
      <c r="R15" s="212"/>
      <c r="S15" s="19"/>
      <c r="T15" s="21" t="s">
        <v>60</v>
      </c>
      <c r="U15" s="48"/>
      <c r="V15" s="210">
        <f t="shared" si="1"/>
        <v>925</v>
      </c>
      <c r="W15" s="3">
        <v>89</v>
      </c>
      <c r="X15" s="3">
        <v>1600665</v>
      </c>
      <c r="Y15" s="57">
        <v>836</v>
      </c>
      <c r="Z15" s="57">
        <v>108654.92</v>
      </c>
      <c r="AA15" s="57">
        <f t="shared" si="2"/>
        <v>1709319.92</v>
      </c>
      <c r="AB15" s="203">
        <f t="shared" si="3"/>
        <v>131.7284266678175</v>
      </c>
      <c r="AC15" s="211"/>
      <c r="AD15" s="3">
        <v>50</v>
      </c>
      <c r="AE15" s="3">
        <v>80</v>
      </c>
      <c r="AF15" s="3">
        <v>12</v>
      </c>
      <c r="AG15" s="3">
        <f t="shared" si="8"/>
        <v>142</v>
      </c>
      <c r="AH15" s="3">
        <v>1872980</v>
      </c>
      <c r="AI15" s="73">
        <f t="shared" si="9"/>
        <v>144.34086076776595</v>
      </c>
      <c r="AJ15" s="229">
        <v>122.7</v>
      </c>
      <c r="AK15" s="3">
        <v>1030680</v>
      </c>
      <c r="AL15" s="68">
        <f t="shared" si="4"/>
        <v>79.42916548821718</v>
      </c>
      <c r="AM15" s="7"/>
    </row>
    <row r="16" spans="1:39" x14ac:dyDescent="0.25">
      <c r="A16" s="59"/>
      <c r="B16" s="90">
        <v>5</v>
      </c>
      <c r="C16" s="243">
        <v>5</v>
      </c>
      <c r="D16" s="245">
        <v>77</v>
      </c>
      <c r="E16" s="151">
        <v>10360.000000000015</v>
      </c>
      <c r="F16" s="3">
        <v>11267197.973920016</v>
      </c>
      <c r="G16" s="61">
        <v>2079.9999999999982</v>
      </c>
      <c r="H16" s="3">
        <v>3393215.2383999969</v>
      </c>
      <c r="I16" s="148">
        <f t="shared" si="5"/>
        <v>14660413.212320013</v>
      </c>
      <c r="J16" s="151">
        <v>1300.0000000001819</v>
      </c>
      <c r="K16" s="3">
        <v>1430567.2199002001</v>
      </c>
      <c r="L16" s="3">
        <v>279.99999999997272</v>
      </c>
      <c r="M16" s="94">
        <v>456778.96599995549</v>
      </c>
      <c r="N16" s="139">
        <f t="shared" si="0"/>
        <v>1887346.1859001557</v>
      </c>
      <c r="O16" s="158">
        <f t="shared" si="6"/>
        <v>16547759.398220168</v>
      </c>
      <c r="P16" s="162">
        <f t="shared" si="7"/>
        <v>14020.000000000167</v>
      </c>
      <c r="Q16" s="218"/>
      <c r="R16" s="212"/>
      <c r="S16" s="19"/>
      <c r="T16" s="21" t="s">
        <v>61</v>
      </c>
      <c r="U16" s="48"/>
      <c r="V16" s="210">
        <f t="shared" si="1"/>
        <v>913</v>
      </c>
      <c r="W16" s="3">
        <v>79</v>
      </c>
      <c r="X16" s="3">
        <v>1420815</v>
      </c>
      <c r="Y16" s="57">
        <v>834</v>
      </c>
      <c r="Z16" s="57">
        <v>108394.98</v>
      </c>
      <c r="AA16" s="57">
        <f t="shared" si="2"/>
        <v>1529209.98</v>
      </c>
      <c r="AB16" s="203">
        <f t="shared" si="3"/>
        <v>117.84828711884704</v>
      </c>
      <c r="AC16" s="211"/>
      <c r="AD16" s="3">
        <v>0</v>
      </c>
      <c r="AE16" s="3">
        <v>100</v>
      </c>
      <c r="AF16" s="3">
        <v>12</v>
      </c>
      <c r="AG16" s="3">
        <f t="shared" si="8"/>
        <v>112</v>
      </c>
      <c r="AH16" s="3">
        <v>1477280</v>
      </c>
      <c r="AI16" s="73">
        <f t="shared" si="9"/>
        <v>113.84631271823793</v>
      </c>
      <c r="AJ16" s="229">
        <v>207</v>
      </c>
      <c r="AK16" s="3">
        <v>1738800</v>
      </c>
      <c r="AL16" s="68">
        <f t="shared" si="4"/>
        <v>134.0003036353786</v>
      </c>
      <c r="AM16" s="7"/>
    </row>
    <row r="17" spans="1:39" x14ac:dyDescent="0.25">
      <c r="A17" s="59"/>
      <c r="B17" s="90">
        <v>6</v>
      </c>
      <c r="C17" s="243">
        <v>8</v>
      </c>
      <c r="D17" s="245">
        <v>65</v>
      </c>
      <c r="E17" s="151">
        <v>10919.999999999987</v>
      </c>
      <c r="F17" s="3">
        <v>11876235.702239987</v>
      </c>
      <c r="G17" s="61">
        <v>2079.9999999999982</v>
      </c>
      <c r="H17" s="3">
        <v>3393215.2383999969</v>
      </c>
      <c r="I17" s="148">
        <f t="shared" si="5"/>
        <v>15269450.940639984</v>
      </c>
      <c r="J17" s="151">
        <v>1340.0000000001455</v>
      </c>
      <c r="K17" s="3">
        <v>1474584.6728201599</v>
      </c>
      <c r="L17" s="3">
        <v>279.99999999997272</v>
      </c>
      <c r="M17" s="94">
        <v>456778.96599995549</v>
      </c>
      <c r="N17" s="139">
        <f t="shared" si="0"/>
        <v>1931363.6388201155</v>
      </c>
      <c r="O17" s="158">
        <f t="shared" si="6"/>
        <v>17200814.579460099</v>
      </c>
      <c r="P17" s="162">
        <f t="shared" si="7"/>
        <v>14620.000000000104</v>
      </c>
      <c r="Q17" s="218"/>
      <c r="R17" s="212"/>
      <c r="S17" s="19"/>
      <c r="T17" s="21" t="s">
        <v>62</v>
      </c>
      <c r="U17" s="48"/>
      <c r="V17" s="210">
        <f t="shared" si="1"/>
        <v>945</v>
      </c>
      <c r="W17" s="3">
        <v>83</v>
      </c>
      <c r="X17" s="3">
        <v>1492755</v>
      </c>
      <c r="Y17" s="57">
        <v>862</v>
      </c>
      <c r="Z17" s="57">
        <v>112034.14</v>
      </c>
      <c r="AA17" s="57">
        <f t="shared" si="2"/>
        <v>1604789.14</v>
      </c>
      <c r="AB17" s="203">
        <f t="shared" si="3"/>
        <v>123.67278124612267</v>
      </c>
      <c r="AC17" s="211"/>
      <c r="AD17" s="3">
        <v>0</v>
      </c>
      <c r="AE17" s="3">
        <v>100</v>
      </c>
      <c r="AF17" s="3">
        <v>12</v>
      </c>
      <c r="AG17" s="3">
        <f t="shared" si="8"/>
        <v>112</v>
      </c>
      <c r="AH17" s="3">
        <v>1477280</v>
      </c>
      <c r="AI17" s="73">
        <f t="shared" si="9"/>
        <v>113.84631271823793</v>
      </c>
      <c r="AJ17" s="229">
        <v>131.1</v>
      </c>
      <c r="AK17" s="3">
        <v>1101240</v>
      </c>
      <c r="AL17" s="68">
        <f t="shared" si="4"/>
        <v>84.866858969073121</v>
      </c>
      <c r="AM17" s="7"/>
    </row>
    <row r="18" spans="1:39" x14ac:dyDescent="0.25">
      <c r="A18" s="59"/>
      <c r="B18" s="90">
        <v>7</v>
      </c>
      <c r="C18" s="243">
        <v>10</v>
      </c>
      <c r="D18" s="245">
        <v>88</v>
      </c>
      <c r="E18" s="151">
        <v>9760.00000000002</v>
      </c>
      <c r="F18" s="3">
        <v>10614657.550720021</v>
      </c>
      <c r="G18" s="61">
        <v>2000</v>
      </c>
      <c r="H18" s="3">
        <v>3262706.96</v>
      </c>
      <c r="I18" s="148">
        <f t="shared" si="5"/>
        <v>13877364.510720022</v>
      </c>
      <c r="J18" s="151">
        <v>1359.9999999996726</v>
      </c>
      <c r="K18" s="3">
        <v>1496593.3992796396</v>
      </c>
      <c r="L18" s="3">
        <v>320.00000000016371</v>
      </c>
      <c r="M18" s="94">
        <v>522033.10400026711</v>
      </c>
      <c r="N18" s="139">
        <f t="shared" si="0"/>
        <v>2018626.5032799067</v>
      </c>
      <c r="O18" s="158">
        <f t="shared" si="6"/>
        <v>15895991.013999928</v>
      </c>
      <c r="P18" s="162">
        <f t="shared" si="7"/>
        <v>13439.999999999856</v>
      </c>
      <c r="Q18" s="218"/>
      <c r="R18" s="212"/>
      <c r="S18" s="19"/>
      <c r="T18" s="21" t="s">
        <v>9</v>
      </c>
      <c r="U18" s="48"/>
      <c r="V18" s="210">
        <f t="shared" si="1"/>
        <v>909</v>
      </c>
      <c r="W18" s="3">
        <v>95</v>
      </c>
      <c r="X18" s="3">
        <v>1708575</v>
      </c>
      <c r="Y18" s="57">
        <v>814</v>
      </c>
      <c r="Z18" s="57">
        <v>105795.58</v>
      </c>
      <c r="AA18" s="57">
        <f t="shared" si="2"/>
        <v>1814370.58</v>
      </c>
      <c r="AB18" s="203">
        <f t="shared" si="3"/>
        <v>139.82413654652518</v>
      </c>
      <c r="AC18" s="211"/>
      <c r="AD18" s="3">
        <v>0</v>
      </c>
      <c r="AE18" s="3">
        <v>100</v>
      </c>
      <c r="AF18" s="3">
        <v>12</v>
      </c>
      <c r="AG18" s="3">
        <f t="shared" si="8"/>
        <v>112</v>
      </c>
      <c r="AH18" s="3">
        <v>1477280</v>
      </c>
      <c r="AI18" s="73">
        <f t="shared" si="9"/>
        <v>113.84631271823793</v>
      </c>
      <c r="AJ18" s="229">
        <f>108.73+526</f>
        <v>634.73</v>
      </c>
      <c r="AK18" s="3">
        <v>5331732</v>
      </c>
      <c r="AL18" s="68">
        <f t="shared" si="4"/>
        <v>410.88895036948725</v>
      </c>
      <c r="AM18" s="7"/>
    </row>
    <row r="19" spans="1:39" x14ac:dyDescent="0.25">
      <c r="A19" s="59"/>
      <c r="B19" s="90">
        <v>8</v>
      </c>
      <c r="C19" s="243">
        <v>10</v>
      </c>
      <c r="D19" s="245">
        <v>133</v>
      </c>
      <c r="E19" s="151">
        <v>10159.999999999996</v>
      </c>
      <c r="F19" s="3">
        <v>11049684.499519996</v>
      </c>
      <c r="G19" s="61">
        <v>2120.0000000000045</v>
      </c>
      <c r="H19" s="3">
        <v>3458469.3776000072</v>
      </c>
      <c r="I19" s="148">
        <f t="shared" si="5"/>
        <v>14508153.877120003</v>
      </c>
      <c r="J19" s="151">
        <v>1320.0000000006185</v>
      </c>
      <c r="K19" s="3">
        <v>1452575.9463606805</v>
      </c>
      <c r="L19" s="3">
        <v>279.99999999997272</v>
      </c>
      <c r="M19" s="94">
        <v>456778.96599995549</v>
      </c>
      <c r="N19" s="139">
        <f t="shared" si="0"/>
        <v>1909354.9123606361</v>
      </c>
      <c r="O19" s="158">
        <f t="shared" si="6"/>
        <v>16417508.78948064</v>
      </c>
      <c r="P19" s="162">
        <f t="shared" si="7"/>
        <v>13880.000000000593</v>
      </c>
      <c r="Q19" s="215"/>
      <c r="R19" s="212"/>
      <c r="S19" s="19"/>
      <c r="T19" s="21"/>
      <c r="U19" s="48"/>
      <c r="V19" s="210">
        <f t="shared" si="1"/>
        <v>854</v>
      </c>
      <c r="W19" s="3">
        <v>84</v>
      </c>
      <c r="X19" s="3">
        <v>1510740</v>
      </c>
      <c r="Y19" s="57">
        <v>770</v>
      </c>
      <c r="Z19" s="57">
        <v>100076.9</v>
      </c>
      <c r="AA19" s="57">
        <f t="shared" si="2"/>
        <v>1610816.9</v>
      </c>
      <c r="AB19" s="203">
        <f t="shared" si="3"/>
        <v>124.13730946687329</v>
      </c>
      <c r="AC19" s="211"/>
      <c r="AD19" s="3"/>
      <c r="AE19" s="3">
        <v>100</v>
      </c>
      <c r="AF19" s="3">
        <v>12</v>
      </c>
      <c r="AG19" s="3">
        <f t="shared" si="8"/>
        <v>112</v>
      </c>
      <c r="AH19" s="3">
        <v>1477280</v>
      </c>
      <c r="AI19" s="73">
        <f t="shared" si="9"/>
        <v>113.84631271823793</v>
      </c>
      <c r="AJ19" s="229">
        <v>199.65</v>
      </c>
      <c r="AK19" s="3">
        <v>1677060</v>
      </c>
      <c r="AL19" s="68">
        <f t="shared" si="4"/>
        <v>129.24232183962965</v>
      </c>
      <c r="AM19" s="7"/>
    </row>
    <row r="20" spans="1:39" x14ac:dyDescent="0.25">
      <c r="A20" s="59"/>
      <c r="B20" s="90">
        <v>9</v>
      </c>
      <c r="C20" s="243">
        <v>7</v>
      </c>
      <c r="D20" s="245">
        <v>69</v>
      </c>
      <c r="E20" s="151">
        <v>10680.000000000007</v>
      </c>
      <c r="F20" s="3">
        <v>11615219.532960007</v>
      </c>
      <c r="G20" s="61">
        <v>2159.9999999999964</v>
      </c>
      <c r="H20" s="3">
        <v>3523723.5167999938</v>
      </c>
      <c r="I20" s="148">
        <f t="shared" si="5"/>
        <v>15138943.049760001</v>
      </c>
      <c r="J20" s="151">
        <v>1339.999999999236</v>
      </c>
      <c r="K20" s="3">
        <v>1474584.6728191592</v>
      </c>
      <c r="L20" s="3">
        <v>279.99999999997272</v>
      </c>
      <c r="M20" s="94">
        <v>456778.96599995549</v>
      </c>
      <c r="N20" s="139">
        <f t="shared" si="0"/>
        <v>1931363.6388191148</v>
      </c>
      <c r="O20" s="158">
        <f t="shared" si="6"/>
        <v>17070306.688579116</v>
      </c>
      <c r="P20" s="162">
        <f t="shared" si="7"/>
        <v>14459.999999999212</v>
      </c>
      <c r="Q20" s="215"/>
      <c r="R20" s="212"/>
      <c r="S20" s="19"/>
      <c r="T20" s="21"/>
      <c r="U20" s="48"/>
      <c r="V20" s="210">
        <f t="shared" si="1"/>
        <v>939</v>
      </c>
      <c r="W20" s="3">
        <v>100</v>
      </c>
      <c r="X20" s="3">
        <v>1798500</v>
      </c>
      <c r="Y20" s="57">
        <v>839</v>
      </c>
      <c r="Z20" s="57">
        <v>109044.83</v>
      </c>
      <c r="AA20" s="57">
        <f t="shared" si="2"/>
        <v>1907544.83</v>
      </c>
      <c r="AB20" s="203">
        <f t="shared" si="3"/>
        <v>147.00459306308758</v>
      </c>
      <c r="AC20" s="211"/>
      <c r="AD20" s="3">
        <v>0</v>
      </c>
      <c r="AE20" s="3">
        <v>100</v>
      </c>
      <c r="AF20" s="3">
        <v>12</v>
      </c>
      <c r="AG20" s="3">
        <f t="shared" si="8"/>
        <v>112</v>
      </c>
      <c r="AH20" s="3">
        <v>1477280</v>
      </c>
      <c r="AI20" s="73">
        <f t="shared" si="9"/>
        <v>113.84631271823793</v>
      </c>
      <c r="AJ20" s="229">
        <v>111.25</v>
      </c>
      <c r="AK20" s="3">
        <v>934500</v>
      </c>
      <c r="AL20" s="68">
        <f t="shared" si="4"/>
        <v>72.017071398240915</v>
      </c>
      <c r="AM20" s="7"/>
    </row>
    <row r="21" spans="1:39" x14ac:dyDescent="0.25">
      <c r="A21" s="59"/>
      <c r="B21" s="90">
        <v>10</v>
      </c>
      <c r="C21" s="243">
        <v>5</v>
      </c>
      <c r="D21" s="245">
        <v>139</v>
      </c>
      <c r="E21" s="151">
        <v>10679.999999999978</v>
      </c>
      <c r="F21" s="3">
        <v>11615219.532959975</v>
      </c>
      <c r="G21" s="61">
        <v>2079.9999999999982</v>
      </c>
      <c r="H21" s="3">
        <v>3393215.2383999969</v>
      </c>
      <c r="I21" s="148">
        <f t="shared" si="5"/>
        <v>15008434.771359973</v>
      </c>
      <c r="J21" s="151">
        <v>1420</v>
      </c>
      <c r="K21" s="3">
        <v>1562619.5786599999</v>
      </c>
      <c r="L21" s="3">
        <v>320</v>
      </c>
      <c r="M21" s="94">
        <v>522033.10400000005</v>
      </c>
      <c r="N21" s="139">
        <f t="shared" si="0"/>
        <v>2084652.6826599999</v>
      </c>
      <c r="O21" s="158">
        <f t="shared" si="6"/>
        <v>17093087.454019971</v>
      </c>
      <c r="P21" s="162">
        <f t="shared" si="7"/>
        <v>14499.999999999976</v>
      </c>
      <c r="Q21" s="215"/>
      <c r="R21" s="212"/>
      <c r="S21" s="19"/>
      <c r="T21" s="21"/>
      <c r="U21" s="48"/>
      <c r="V21" s="210">
        <f t="shared" si="1"/>
        <v>863</v>
      </c>
      <c r="W21" s="3">
        <v>77</v>
      </c>
      <c r="X21" s="3">
        <v>1384845</v>
      </c>
      <c r="Y21" s="57">
        <v>786</v>
      </c>
      <c r="Z21" s="57">
        <v>102156.42</v>
      </c>
      <c r="AA21" s="57">
        <f t="shared" si="2"/>
        <v>1487001.42</v>
      </c>
      <c r="AB21" s="203">
        <f t="shared" si="3"/>
        <v>114.59549217059993</v>
      </c>
      <c r="AC21" s="211"/>
      <c r="AD21" s="3">
        <v>50</v>
      </c>
      <c r="AE21" s="3">
        <v>75</v>
      </c>
      <c r="AF21" s="3">
        <v>12</v>
      </c>
      <c r="AG21" s="3">
        <f t="shared" si="8"/>
        <v>137</v>
      </c>
      <c r="AH21" s="3">
        <v>1807030</v>
      </c>
      <c r="AI21" s="73">
        <f t="shared" si="9"/>
        <v>139.25843609284462</v>
      </c>
      <c r="AJ21" s="229">
        <v>152.78</v>
      </c>
      <c r="AK21" s="3">
        <v>1283352</v>
      </c>
      <c r="AL21" s="68">
        <f t="shared" si="4"/>
        <v>98.901286905377503</v>
      </c>
      <c r="AM21" s="7"/>
    </row>
    <row r="22" spans="1:39" x14ac:dyDescent="0.25">
      <c r="A22" s="59"/>
      <c r="B22" s="90">
        <v>11</v>
      </c>
      <c r="C22" s="243">
        <v>4</v>
      </c>
      <c r="D22" s="245">
        <v>30</v>
      </c>
      <c r="E22" s="151">
        <v>9960.0000000000073</v>
      </c>
      <c r="F22" s="3">
        <v>10832171.025120007</v>
      </c>
      <c r="G22" s="61">
        <v>1880.0000000000025</v>
      </c>
      <c r="H22" s="3">
        <v>3066944.5424000039</v>
      </c>
      <c r="I22" s="148">
        <f t="shared" si="5"/>
        <v>13899115.567520011</v>
      </c>
      <c r="J22" s="151">
        <v>1260</v>
      </c>
      <c r="K22" s="3">
        <v>1386549.7669799998</v>
      </c>
      <c r="L22" s="3">
        <v>320</v>
      </c>
      <c r="M22" s="94">
        <v>522033.10400000005</v>
      </c>
      <c r="N22" s="139">
        <f t="shared" si="0"/>
        <v>1908582.8709799999</v>
      </c>
      <c r="O22" s="158">
        <f t="shared" si="6"/>
        <v>15807698.438500011</v>
      </c>
      <c r="P22" s="162">
        <f t="shared" si="7"/>
        <v>13420.000000000011</v>
      </c>
      <c r="Q22" s="215"/>
      <c r="R22" s="212"/>
      <c r="S22" s="19"/>
      <c r="T22" s="21"/>
      <c r="U22" s="48"/>
      <c r="V22" s="210">
        <f t="shared" si="1"/>
        <v>812</v>
      </c>
      <c r="W22" s="3">
        <v>92</v>
      </c>
      <c r="X22" s="3">
        <v>1654620</v>
      </c>
      <c r="Y22" s="57">
        <v>720</v>
      </c>
      <c r="Z22" s="57">
        <v>93578.4</v>
      </c>
      <c r="AA22" s="57">
        <f t="shared" si="2"/>
        <v>1748198.3999999999</v>
      </c>
      <c r="AB22" s="203">
        <f t="shared" si="3"/>
        <v>134.72458961058376</v>
      </c>
      <c r="AC22" s="211"/>
      <c r="AD22" s="3">
        <v>0</v>
      </c>
      <c r="AE22" s="3">
        <v>100</v>
      </c>
      <c r="AF22" s="3">
        <v>12</v>
      </c>
      <c r="AG22" s="3">
        <f t="shared" si="8"/>
        <v>112</v>
      </c>
      <c r="AH22" s="3">
        <v>1477280</v>
      </c>
      <c r="AI22" s="73">
        <f t="shared" si="9"/>
        <v>113.84631271823793</v>
      </c>
      <c r="AJ22" s="229">
        <f>43.22+591.34</f>
        <v>634.56000000000006</v>
      </c>
      <c r="AK22" s="3">
        <v>5330304.0000000009</v>
      </c>
      <c r="AL22" s="68">
        <f t="shared" si="4"/>
        <v>410.77890181094619</v>
      </c>
      <c r="AM22" s="7"/>
    </row>
    <row r="23" spans="1:39" x14ac:dyDescent="0.25">
      <c r="A23" s="59"/>
      <c r="B23" s="90">
        <v>12</v>
      </c>
      <c r="C23" s="243">
        <v>6</v>
      </c>
      <c r="D23" s="245">
        <v>48</v>
      </c>
      <c r="E23" s="151">
        <v>10439.999999999998</v>
      </c>
      <c r="F23" s="3">
        <v>11354203.363679998</v>
      </c>
      <c r="G23" s="61">
        <v>2039.9999999999991</v>
      </c>
      <c r="H23" s="3">
        <v>3327961.0991999987</v>
      </c>
      <c r="I23" s="148">
        <f t="shared" si="5"/>
        <v>14682164.462879997</v>
      </c>
      <c r="J23" s="152">
        <v>1060</v>
      </c>
      <c r="K23" s="3">
        <v>1166462.50238</v>
      </c>
      <c r="L23" s="3">
        <v>339.99999999999994</v>
      </c>
      <c r="M23" s="94">
        <v>554660.17299999995</v>
      </c>
      <c r="N23" s="139">
        <f t="shared" si="0"/>
        <v>1721122.6753799999</v>
      </c>
      <c r="O23" s="158">
        <f t="shared" si="6"/>
        <v>16403287.138259996</v>
      </c>
      <c r="P23" s="162">
        <f t="shared" si="7"/>
        <v>13879.999999999996</v>
      </c>
      <c r="Q23" s="215"/>
      <c r="R23" s="213"/>
      <c r="S23" s="19"/>
      <c r="T23" s="21"/>
      <c r="U23" s="48"/>
      <c r="V23" s="210">
        <f t="shared" si="1"/>
        <v>863</v>
      </c>
      <c r="W23" s="3">
        <v>50</v>
      </c>
      <c r="X23" s="3">
        <v>899250</v>
      </c>
      <c r="Y23" s="57">
        <v>813</v>
      </c>
      <c r="Z23" s="57">
        <v>105665.61</v>
      </c>
      <c r="AA23" s="57">
        <f t="shared" si="2"/>
        <v>1004915.61</v>
      </c>
      <c r="AB23" s="203">
        <f t="shared" si="3"/>
        <v>77.44363749018386</v>
      </c>
      <c r="AC23" s="211"/>
      <c r="AD23" s="3">
        <v>0</v>
      </c>
      <c r="AE23" s="3">
        <v>50</v>
      </c>
      <c r="AF23" s="3">
        <v>12</v>
      </c>
      <c r="AG23" s="3">
        <f t="shared" si="8"/>
        <v>62</v>
      </c>
      <c r="AH23" s="3">
        <v>817780</v>
      </c>
      <c r="AI23" s="73">
        <f t="shared" si="9"/>
        <v>63.022065969024567</v>
      </c>
      <c r="AJ23" s="229">
        <v>113.29</v>
      </c>
      <c r="AK23" s="3">
        <v>951636</v>
      </c>
      <c r="AL23" s="68">
        <f t="shared" si="4"/>
        <v>73.337654100734497</v>
      </c>
      <c r="AM23" s="7"/>
    </row>
    <row r="24" spans="1:39" x14ac:dyDescent="0.25">
      <c r="A24" s="59"/>
      <c r="B24" s="90">
        <v>13</v>
      </c>
      <c r="C24" s="243">
        <v>15</v>
      </c>
      <c r="D24" s="245">
        <v>94</v>
      </c>
      <c r="E24" s="151">
        <v>11000</v>
      </c>
      <c r="F24" s="3">
        <v>11963241.092</v>
      </c>
      <c r="G24" s="61">
        <v>2200.0000000000027</v>
      </c>
      <c r="H24" s="3">
        <v>3588977.6560000046</v>
      </c>
      <c r="I24" s="148">
        <f t="shared" si="5"/>
        <v>15552218.748000005</v>
      </c>
      <c r="J24" s="151">
        <v>1160.0000000000002</v>
      </c>
      <c r="K24" s="3">
        <v>1276506.1346800001</v>
      </c>
      <c r="L24" s="3">
        <v>320.00000000000006</v>
      </c>
      <c r="M24" s="94">
        <v>522033.10400000011</v>
      </c>
      <c r="N24" s="139">
        <f t="shared" si="0"/>
        <v>1798539.2386800002</v>
      </c>
      <c r="O24" s="158">
        <f t="shared" si="6"/>
        <v>17350757.986680005</v>
      </c>
      <c r="P24" s="162">
        <f t="shared" si="7"/>
        <v>14680.000000000004</v>
      </c>
      <c r="Q24" s="215"/>
      <c r="R24" s="214"/>
      <c r="S24" s="19"/>
      <c r="T24" s="21"/>
      <c r="U24" s="48"/>
      <c r="V24" s="210">
        <f t="shared" si="1"/>
        <v>853</v>
      </c>
      <c r="W24" s="3">
        <v>59</v>
      </c>
      <c r="X24" s="3">
        <v>1061115</v>
      </c>
      <c r="Y24" s="57">
        <v>794</v>
      </c>
      <c r="Z24" s="57">
        <v>103196.18</v>
      </c>
      <c r="AA24" s="57">
        <f t="shared" si="2"/>
        <v>1164311.18</v>
      </c>
      <c r="AB24" s="203">
        <f t="shared" si="3"/>
        <v>89.7274279077904</v>
      </c>
      <c r="AC24" s="211"/>
      <c r="AD24" s="3">
        <v>0</v>
      </c>
      <c r="AE24" s="3">
        <v>100</v>
      </c>
      <c r="AF24" s="3">
        <v>12</v>
      </c>
      <c r="AG24" s="3">
        <f t="shared" si="8"/>
        <v>112</v>
      </c>
      <c r="AH24" s="3">
        <v>1477280</v>
      </c>
      <c r="AI24" s="73">
        <f t="shared" si="9"/>
        <v>113.84631271823793</v>
      </c>
      <c r="AJ24" s="229">
        <f>101.64</f>
        <v>101.64</v>
      </c>
      <c r="AK24" s="3">
        <v>853776</v>
      </c>
      <c r="AL24" s="68">
        <f t="shared" si="4"/>
        <v>65.796091118356912</v>
      </c>
      <c r="AM24" s="7"/>
    </row>
    <row r="25" spans="1:39" x14ac:dyDescent="0.25">
      <c r="A25" s="59"/>
      <c r="B25" s="90">
        <v>14</v>
      </c>
      <c r="C25" s="243">
        <v>12</v>
      </c>
      <c r="D25" s="245">
        <v>158</v>
      </c>
      <c r="E25" s="151">
        <v>10240.000000000009</v>
      </c>
      <c r="F25" s="3">
        <v>11136689.88928001</v>
      </c>
      <c r="G25" s="61">
        <v>2119.9999999999973</v>
      </c>
      <c r="H25" s="3">
        <v>3458469.3775999956</v>
      </c>
      <c r="I25" s="148">
        <f t="shared" si="5"/>
        <v>14595159.266880006</v>
      </c>
      <c r="J25" s="151">
        <v>1960</v>
      </c>
      <c r="K25" s="3">
        <v>2156855.1930799996</v>
      </c>
      <c r="L25" s="3">
        <v>339.99999999999989</v>
      </c>
      <c r="M25" s="94">
        <v>554660.17299999984</v>
      </c>
      <c r="N25" s="139">
        <f t="shared" si="0"/>
        <v>2711515.3660799996</v>
      </c>
      <c r="O25" s="158">
        <f t="shared" si="6"/>
        <v>17306674.632960007</v>
      </c>
      <c r="P25" s="162">
        <f t="shared" si="7"/>
        <v>14660.000000000007</v>
      </c>
      <c r="Q25" s="215"/>
      <c r="R25" s="214"/>
      <c r="S25" s="19"/>
      <c r="T25" s="21"/>
      <c r="U25" s="48"/>
      <c r="V25" s="210">
        <f t="shared" si="1"/>
        <v>862</v>
      </c>
      <c r="W25" s="3">
        <v>56</v>
      </c>
      <c r="X25" s="3">
        <v>1007160</v>
      </c>
      <c r="Y25" s="57">
        <v>806</v>
      </c>
      <c r="Z25" s="57">
        <v>104755.81999999999</v>
      </c>
      <c r="AA25" s="57">
        <f t="shared" si="2"/>
        <v>1111915.82</v>
      </c>
      <c r="AB25" s="203">
        <f t="shared" si="3"/>
        <v>85.689589082689778</v>
      </c>
      <c r="AC25" s="211"/>
      <c r="AD25" s="3">
        <v>50</v>
      </c>
      <c r="AE25" s="3">
        <v>100</v>
      </c>
      <c r="AF25" s="3">
        <v>12</v>
      </c>
      <c r="AG25" s="3">
        <f t="shared" si="8"/>
        <v>162</v>
      </c>
      <c r="AH25" s="3">
        <v>2136780</v>
      </c>
      <c r="AI25" s="73">
        <f t="shared" si="9"/>
        <v>164.67055946745128</v>
      </c>
      <c r="AJ25" s="229">
        <f>180.2+450</f>
        <v>630.20000000000005</v>
      </c>
      <c r="AK25" s="3">
        <v>5293680</v>
      </c>
      <c r="AL25" s="68">
        <f t="shared" si="4"/>
        <v>407.95647995659709</v>
      </c>
      <c r="AM25" s="7"/>
    </row>
    <row r="26" spans="1:39" x14ac:dyDescent="0.25">
      <c r="A26" s="59"/>
      <c r="B26" s="90">
        <v>15</v>
      </c>
      <c r="C26" s="243">
        <v>2</v>
      </c>
      <c r="D26" s="245">
        <v>123</v>
      </c>
      <c r="E26" s="242">
        <v>9696.4560000002912</v>
      </c>
      <c r="F26" s="3">
        <v>10545549.169633949</v>
      </c>
      <c r="G26" s="61">
        <v>1920.0000000000018</v>
      </c>
      <c r="H26" s="3">
        <v>3132198.681600003</v>
      </c>
      <c r="I26" s="148">
        <f t="shared" si="5"/>
        <v>13677747.851233952</v>
      </c>
      <c r="J26" s="151">
        <v>759.99999999999886</v>
      </c>
      <c r="K26" s="3">
        <v>836331.60547999863</v>
      </c>
      <c r="L26" s="3">
        <v>340.00000000000006</v>
      </c>
      <c r="M26" s="94">
        <v>554660.17300000007</v>
      </c>
      <c r="N26" s="139">
        <f t="shared" si="0"/>
        <v>1390991.7784799987</v>
      </c>
      <c r="O26" s="158">
        <f t="shared" si="6"/>
        <v>15068739.629713951</v>
      </c>
      <c r="P26" s="162">
        <f t="shared" si="7"/>
        <v>12716.456000000293</v>
      </c>
      <c r="Q26" s="215"/>
      <c r="R26" s="214"/>
      <c r="S26" s="19"/>
      <c r="T26" s="21"/>
      <c r="U26" s="48"/>
      <c r="V26" s="210">
        <f t="shared" si="1"/>
        <v>846</v>
      </c>
      <c r="W26" s="3">
        <v>59</v>
      </c>
      <c r="X26" s="3">
        <v>1061115</v>
      </c>
      <c r="Y26" s="57">
        <v>787</v>
      </c>
      <c r="Z26" s="57">
        <v>102286.39</v>
      </c>
      <c r="AA26" s="57">
        <f t="shared" si="2"/>
        <v>1163401.3899999999</v>
      </c>
      <c r="AB26" s="203">
        <f t="shared" si="3"/>
        <v>89.657315108017897</v>
      </c>
      <c r="AC26" s="211"/>
      <c r="AD26" s="3">
        <v>0</v>
      </c>
      <c r="AE26" s="3">
        <v>70</v>
      </c>
      <c r="AF26" s="3">
        <v>12</v>
      </c>
      <c r="AG26" s="3">
        <f t="shared" si="8"/>
        <v>82</v>
      </c>
      <c r="AH26" s="3">
        <v>1081580</v>
      </c>
      <c r="AI26" s="73">
        <f t="shared" si="9"/>
        <v>83.351764668709905</v>
      </c>
      <c r="AJ26" s="229">
        <v>89.08</v>
      </c>
      <c r="AK26" s="3">
        <v>748272</v>
      </c>
      <c r="AL26" s="68">
        <f t="shared" si="4"/>
        <v>57.665444675553267</v>
      </c>
      <c r="AM26" s="7"/>
    </row>
    <row r="27" spans="1:39" x14ac:dyDescent="0.25">
      <c r="A27" s="59"/>
      <c r="B27" s="90">
        <v>16</v>
      </c>
      <c r="C27" s="243">
        <v>5</v>
      </c>
      <c r="D27" s="245">
        <v>32</v>
      </c>
      <c r="E27" s="151">
        <v>9760.0000000000473</v>
      </c>
      <c r="F27" s="3">
        <v>10614657.550720051</v>
      </c>
      <c r="G27" s="61">
        <v>2000</v>
      </c>
      <c r="H27" s="3">
        <v>3262706.96</v>
      </c>
      <c r="I27" s="148">
        <f t="shared" si="5"/>
        <v>13877364.510720052</v>
      </c>
      <c r="J27" s="151">
        <v>2240</v>
      </c>
      <c r="K27" s="3">
        <v>2464977.3635199997</v>
      </c>
      <c r="L27" s="3">
        <v>339.99999999999989</v>
      </c>
      <c r="M27" s="94">
        <v>554660.17299999984</v>
      </c>
      <c r="N27" s="139">
        <f t="shared" si="0"/>
        <v>3019637.5365199996</v>
      </c>
      <c r="O27" s="158">
        <f t="shared" si="6"/>
        <v>16897002.047240052</v>
      </c>
      <c r="P27" s="162">
        <f t="shared" si="7"/>
        <v>14340.000000000047</v>
      </c>
      <c r="Q27" s="215"/>
      <c r="R27" s="214"/>
      <c r="S27" s="19"/>
      <c r="T27" s="21"/>
      <c r="U27" s="48"/>
      <c r="V27" s="210">
        <f t="shared" ref="V27:V41" si="10">W27+Y27</f>
        <v>912</v>
      </c>
      <c r="W27" s="3">
        <v>74</v>
      </c>
      <c r="X27" s="3">
        <v>1330890</v>
      </c>
      <c r="Y27" s="57">
        <v>838</v>
      </c>
      <c r="Z27" s="57">
        <v>108914.86</v>
      </c>
      <c r="AA27" s="57">
        <f t="shared" ref="AA27:AA41" si="11">Z27+X27</f>
        <v>1439804.86</v>
      </c>
      <c r="AB27" s="203">
        <f t="shared" si="3"/>
        <v>110.95829791562791</v>
      </c>
      <c r="AC27" s="211"/>
      <c r="AD27" s="3"/>
      <c r="AE27" s="3">
        <v>100</v>
      </c>
      <c r="AF27" s="3">
        <v>12</v>
      </c>
      <c r="AG27" s="3">
        <f t="shared" si="8"/>
        <v>112</v>
      </c>
      <c r="AH27" s="3">
        <v>1477280</v>
      </c>
      <c r="AI27" s="73">
        <f t="shared" si="9"/>
        <v>113.84631271823793</v>
      </c>
      <c r="AJ27" s="229">
        <v>460</v>
      </c>
      <c r="AK27" s="3">
        <v>3864000</v>
      </c>
      <c r="AL27" s="68">
        <f t="shared" si="4"/>
        <v>297.77845252306355</v>
      </c>
      <c r="AM27" s="7"/>
    </row>
    <row r="28" spans="1:39" x14ac:dyDescent="0.25">
      <c r="A28" s="59"/>
      <c r="B28" s="90">
        <v>17</v>
      </c>
      <c r="C28" s="243">
        <v>4</v>
      </c>
      <c r="D28" s="245">
        <v>29</v>
      </c>
      <c r="E28" s="151">
        <f>10480-145</f>
        <v>10335</v>
      </c>
      <c r="F28" s="3">
        <v>11240008.789619999</v>
      </c>
      <c r="G28" s="61">
        <v>2039.9999999999991</v>
      </c>
      <c r="H28" s="3">
        <v>3327961.0991999987</v>
      </c>
      <c r="I28" s="148">
        <f t="shared" si="5"/>
        <v>14567969.888819998</v>
      </c>
      <c r="J28" s="151">
        <v>1020.0000000000014</v>
      </c>
      <c r="K28" s="3">
        <v>1122445.0494600013</v>
      </c>
      <c r="L28" s="3">
        <v>340.00000000000028</v>
      </c>
      <c r="M28" s="94">
        <v>554660.17300000053</v>
      </c>
      <c r="N28" s="139">
        <f t="shared" si="0"/>
        <v>1677105.2224600017</v>
      </c>
      <c r="O28" s="158">
        <f t="shared" si="6"/>
        <v>16245075.11128</v>
      </c>
      <c r="P28" s="162">
        <f t="shared" si="7"/>
        <v>13735</v>
      </c>
      <c r="Q28" s="215"/>
      <c r="R28" s="214"/>
      <c r="S28" s="19"/>
      <c r="T28" s="21"/>
      <c r="U28" s="48"/>
      <c r="V28" s="210">
        <f t="shared" si="10"/>
        <v>941</v>
      </c>
      <c r="W28" s="3">
        <v>88</v>
      </c>
      <c r="X28" s="3">
        <v>1582680</v>
      </c>
      <c r="Y28" s="57">
        <v>853</v>
      </c>
      <c r="Z28" s="57">
        <v>110864.41</v>
      </c>
      <c r="AA28" s="57">
        <f t="shared" si="11"/>
        <v>1693544.41</v>
      </c>
      <c r="AB28" s="203">
        <f t="shared" si="3"/>
        <v>130.51268987807575</v>
      </c>
      <c r="AC28" s="211"/>
      <c r="AD28" s="3"/>
      <c r="AE28" s="3">
        <v>90</v>
      </c>
      <c r="AF28" s="3">
        <v>12</v>
      </c>
      <c r="AG28" s="3">
        <f t="shared" si="8"/>
        <v>102</v>
      </c>
      <c r="AH28" s="3">
        <v>1345380</v>
      </c>
      <c r="AI28" s="73">
        <f t="shared" si="9"/>
        <v>103.68146336839526</v>
      </c>
      <c r="AJ28" s="229">
        <v>480</v>
      </c>
      <c r="AK28" s="3">
        <v>4032000</v>
      </c>
      <c r="AL28" s="68">
        <f t="shared" si="4"/>
        <v>310.72534176319675</v>
      </c>
      <c r="AM28" s="7"/>
    </row>
    <row r="29" spans="1:39" x14ac:dyDescent="0.25">
      <c r="A29" s="59"/>
      <c r="B29" s="90">
        <v>18</v>
      </c>
      <c r="C29" s="243">
        <v>4</v>
      </c>
      <c r="D29" s="245">
        <v>34</v>
      </c>
      <c r="E29" s="151">
        <f>11280-120</f>
        <v>11160</v>
      </c>
      <c r="F29" s="3">
        <v>12137251.87152</v>
      </c>
      <c r="G29" s="61">
        <v>2359.9999999999995</v>
      </c>
      <c r="H29" s="3">
        <v>3849994.2127999994</v>
      </c>
      <c r="I29" s="148">
        <f t="shared" si="5"/>
        <v>15987246.084319999</v>
      </c>
      <c r="J29" s="151">
        <v>1000</v>
      </c>
      <c r="K29" s="3">
        <v>1100436.3229999999</v>
      </c>
      <c r="L29" s="3">
        <v>279.99999999999983</v>
      </c>
      <c r="M29" s="94">
        <v>456778.96599999972</v>
      </c>
      <c r="N29" s="139">
        <f t="shared" si="0"/>
        <v>1557215.2889999996</v>
      </c>
      <c r="O29" s="158">
        <f t="shared" si="6"/>
        <v>17544461.373319998</v>
      </c>
      <c r="P29" s="162">
        <f t="shared" si="7"/>
        <v>14800</v>
      </c>
      <c r="Q29" s="215"/>
      <c r="R29" s="214"/>
      <c r="S29" s="19"/>
      <c r="T29" s="21"/>
      <c r="U29" s="48"/>
      <c r="V29" s="210">
        <f t="shared" si="10"/>
        <v>958</v>
      </c>
      <c r="W29" s="3">
        <v>80</v>
      </c>
      <c r="X29" s="3">
        <v>1438800</v>
      </c>
      <c r="Y29" s="57">
        <v>878</v>
      </c>
      <c r="Z29" s="57">
        <v>114113.66</v>
      </c>
      <c r="AA29" s="57">
        <f t="shared" si="11"/>
        <v>1552913.66</v>
      </c>
      <c r="AB29" s="203">
        <f t="shared" si="3"/>
        <v>119.67500687803491</v>
      </c>
      <c r="AC29" s="211"/>
      <c r="AD29" s="3"/>
      <c r="AE29" s="3">
        <v>100</v>
      </c>
      <c r="AF29" s="3">
        <v>12</v>
      </c>
      <c r="AG29" s="3">
        <f t="shared" si="8"/>
        <v>112</v>
      </c>
      <c r="AH29" s="3">
        <v>1477280</v>
      </c>
      <c r="AI29" s="73">
        <f t="shared" si="9"/>
        <v>113.84631271823793</v>
      </c>
      <c r="AJ29" s="229">
        <v>495</v>
      </c>
      <c r="AK29" s="3">
        <v>4158000</v>
      </c>
      <c r="AL29" s="68">
        <f t="shared" si="4"/>
        <v>320.43550869329664</v>
      </c>
      <c r="AM29" s="7"/>
    </row>
    <row r="30" spans="1:39" x14ac:dyDescent="0.25">
      <c r="A30" s="59"/>
      <c r="B30" s="90">
        <v>19</v>
      </c>
      <c r="C30" s="243">
        <v>7</v>
      </c>
      <c r="D30" s="245">
        <v>59</v>
      </c>
      <c r="E30" s="151">
        <v>9919.99999999996</v>
      </c>
      <c r="F30" s="3">
        <v>10788668.330239955</v>
      </c>
      <c r="G30" s="61">
        <v>2119.9999999999973</v>
      </c>
      <c r="H30" s="3">
        <v>3458469.3775999956</v>
      </c>
      <c r="I30" s="148">
        <f t="shared" si="5"/>
        <v>14247137.707839951</v>
      </c>
      <c r="J30" s="151">
        <v>1119.9999999999993</v>
      </c>
      <c r="K30" s="3">
        <v>1232488.6817599991</v>
      </c>
      <c r="L30" s="3">
        <v>300.00000000000028</v>
      </c>
      <c r="M30" s="94">
        <v>489406.0350000005</v>
      </c>
      <c r="N30" s="139">
        <f t="shared" si="0"/>
        <v>1721894.7167599997</v>
      </c>
      <c r="O30" s="158">
        <f t="shared" si="6"/>
        <v>15969032.424599951</v>
      </c>
      <c r="P30" s="162">
        <f t="shared" si="7"/>
        <v>13459.999999999956</v>
      </c>
      <c r="Q30" s="215"/>
      <c r="R30" s="214"/>
      <c r="S30" s="19"/>
      <c r="T30" s="21"/>
      <c r="U30" s="48"/>
      <c r="V30" s="210">
        <f t="shared" si="10"/>
        <v>949</v>
      </c>
      <c r="W30" s="3">
        <v>69</v>
      </c>
      <c r="X30" s="3">
        <v>1240965</v>
      </c>
      <c r="Y30" s="3">
        <v>880</v>
      </c>
      <c r="Z30" s="57">
        <v>114373.6</v>
      </c>
      <c r="AA30" s="57">
        <f t="shared" si="11"/>
        <v>1355338.6</v>
      </c>
      <c r="AB30" s="203">
        <f t="shared" si="3"/>
        <v>104.44892105403092</v>
      </c>
      <c r="AC30" s="211"/>
      <c r="AD30" s="3"/>
      <c r="AE30" s="3">
        <v>110</v>
      </c>
      <c r="AF30" s="3">
        <v>12</v>
      </c>
      <c r="AG30" s="3">
        <f t="shared" si="8"/>
        <v>122</v>
      </c>
      <c r="AH30" s="3">
        <v>1609180</v>
      </c>
      <c r="AI30" s="73">
        <f t="shared" si="9"/>
        <v>124.01116206808059</v>
      </c>
      <c r="AJ30" s="229">
        <v>415</v>
      </c>
      <c r="AK30" s="3">
        <v>3486000</v>
      </c>
      <c r="AL30" s="68">
        <f t="shared" si="4"/>
        <v>268.64795173276389</v>
      </c>
      <c r="AM30" s="7"/>
    </row>
    <row r="31" spans="1:39" x14ac:dyDescent="0.25">
      <c r="A31" s="59"/>
      <c r="B31" s="90">
        <v>20</v>
      </c>
      <c r="C31" s="243">
        <v>7</v>
      </c>
      <c r="D31" s="245">
        <v>134</v>
      </c>
      <c r="E31" s="151">
        <v>10360.000000000015</v>
      </c>
      <c r="F31" s="3">
        <v>11267197.973920016</v>
      </c>
      <c r="G31" s="61">
        <v>2119.9999999999973</v>
      </c>
      <c r="H31" s="3">
        <v>3458469.3775999956</v>
      </c>
      <c r="I31" s="148">
        <f t="shared" si="5"/>
        <v>14725667.351520011</v>
      </c>
      <c r="J31" s="151">
        <v>640.00000000000057</v>
      </c>
      <c r="K31" s="3">
        <v>704279.24672000052</v>
      </c>
      <c r="L31" s="3">
        <v>319.99999999999983</v>
      </c>
      <c r="M31" s="94">
        <v>522033.10399999976</v>
      </c>
      <c r="N31" s="139">
        <f t="shared" si="0"/>
        <v>1226312.3507200002</v>
      </c>
      <c r="O31" s="158">
        <f t="shared" si="6"/>
        <v>15951979.702240011</v>
      </c>
      <c r="P31" s="162">
        <f t="shared" si="7"/>
        <v>13440.000000000013</v>
      </c>
      <c r="Q31" s="215"/>
      <c r="R31" s="214"/>
      <c r="S31" s="19"/>
      <c r="T31" s="21"/>
      <c r="U31" s="48"/>
      <c r="V31" s="210">
        <f t="shared" si="10"/>
        <v>936</v>
      </c>
      <c r="W31" s="3">
        <v>110</v>
      </c>
      <c r="X31" s="3">
        <v>1978350</v>
      </c>
      <c r="Y31" s="3">
        <v>826</v>
      </c>
      <c r="Z31" s="57">
        <v>107355.22</v>
      </c>
      <c r="AA31" s="57">
        <f t="shared" si="11"/>
        <v>2085705.22</v>
      </c>
      <c r="AB31" s="203">
        <f t="shared" si="3"/>
        <v>160.73449089825979</v>
      </c>
      <c r="AC31" s="211"/>
      <c r="AD31" s="3"/>
      <c r="AE31" s="3">
        <v>100</v>
      </c>
      <c r="AF31" s="3">
        <v>12</v>
      </c>
      <c r="AG31" s="3">
        <f t="shared" si="8"/>
        <v>112</v>
      </c>
      <c r="AH31" s="3">
        <v>1477280</v>
      </c>
      <c r="AI31" s="73">
        <f t="shared" si="9"/>
        <v>113.84631271823793</v>
      </c>
      <c r="AJ31" s="229">
        <v>1230</v>
      </c>
      <c r="AK31" s="3">
        <v>10332000</v>
      </c>
      <c r="AL31" s="68">
        <f t="shared" si="4"/>
        <v>796.23368826819171</v>
      </c>
      <c r="AM31" s="7"/>
    </row>
    <row r="32" spans="1:39" x14ac:dyDescent="0.25">
      <c r="A32" s="59"/>
      <c r="B32" s="90">
        <v>21</v>
      </c>
      <c r="C32" s="243">
        <v>8</v>
      </c>
      <c r="D32" s="245">
        <v>175</v>
      </c>
      <c r="E32" s="151">
        <v>10960.000000000036</v>
      </c>
      <c r="F32" s="3">
        <v>11919738.39712004</v>
      </c>
      <c r="G32" s="61">
        <v>2400.0000000000055</v>
      </c>
      <c r="H32" s="3">
        <v>3915248.3520000088</v>
      </c>
      <c r="I32" s="148">
        <f t="shared" si="5"/>
        <v>15834986.749120049</v>
      </c>
      <c r="J32" s="151">
        <v>1400.0000000000005</v>
      </c>
      <c r="K32" s="3">
        <v>1540610.8522000003</v>
      </c>
      <c r="L32" s="3">
        <v>299.99999999999983</v>
      </c>
      <c r="M32" s="94">
        <v>489406.03499999974</v>
      </c>
      <c r="N32" s="139">
        <f t="shared" si="0"/>
        <v>2030016.8872</v>
      </c>
      <c r="O32" s="158">
        <f t="shared" si="6"/>
        <v>17865003.636320051</v>
      </c>
      <c r="P32" s="162">
        <f t="shared" si="7"/>
        <v>15060.000000000042</v>
      </c>
      <c r="Q32" s="215"/>
      <c r="R32" s="214"/>
      <c r="S32" s="19"/>
      <c r="T32" s="21"/>
      <c r="U32" s="48"/>
      <c r="V32" s="210">
        <f t="shared" si="10"/>
        <v>899</v>
      </c>
      <c r="W32" s="3">
        <v>90</v>
      </c>
      <c r="X32" s="3">
        <v>1618650</v>
      </c>
      <c r="Y32" s="3">
        <v>809</v>
      </c>
      <c r="Z32" s="57">
        <v>105145.73</v>
      </c>
      <c r="AA32" s="57">
        <f t="shared" si="11"/>
        <v>1723795.73</v>
      </c>
      <c r="AB32" s="203">
        <f t="shared" si="3"/>
        <v>132.8440023150271</v>
      </c>
      <c r="AC32" s="211"/>
      <c r="AD32" s="3"/>
      <c r="AE32" s="3">
        <v>110</v>
      </c>
      <c r="AF32" s="3">
        <v>12</v>
      </c>
      <c r="AG32" s="3">
        <f t="shared" si="8"/>
        <v>122</v>
      </c>
      <c r="AH32" s="3">
        <v>1609180</v>
      </c>
      <c r="AI32" s="73">
        <f t="shared" si="9"/>
        <v>124.01116206808059</v>
      </c>
      <c r="AJ32" s="229">
        <v>865</v>
      </c>
      <c r="AK32" s="3">
        <v>7266000</v>
      </c>
      <c r="AL32" s="68">
        <f t="shared" si="4"/>
        <v>559.95295963576086</v>
      </c>
      <c r="AM32" s="7"/>
    </row>
    <row r="33" spans="1:39" x14ac:dyDescent="0.25">
      <c r="A33" s="59"/>
      <c r="B33" s="90">
        <v>22</v>
      </c>
      <c r="C33" s="243">
        <v>3</v>
      </c>
      <c r="D33" s="245">
        <v>93</v>
      </c>
      <c r="E33" s="151">
        <v>10159.999999999967</v>
      </c>
      <c r="F33" s="3">
        <v>11049684.499519965</v>
      </c>
      <c r="G33" s="61">
        <v>1959.9999999999936</v>
      </c>
      <c r="H33" s="3">
        <v>3197452.8207999896</v>
      </c>
      <c r="I33" s="148">
        <f t="shared" si="5"/>
        <v>14247137.320319954</v>
      </c>
      <c r="J33" s="151">
        <v>1759.999999999998</v>
      </c>
      <c r="K33" s="3">
        <v>1936767.9284799977</v>
      </c>
      <c r="L33" s="3">
        <v>239.99999999999977</v>
      </c>
      <c r="M33" s="94">
        <v>391524.82799999963</v>
      </c>
      <c r="N33" s="139">
        <f t="shared" si="0"/>
        <v>2328292.7564799972</v>
      </c>
      <c r="O33" s="158">
        <f t="shared" si="6"/>
        <v>16575430.076799951</v>
      </c>
      <c r="P33" s="162">
        <f t="shared" si="7"/>
        <v>14119.999999999958</v>
      </c>
      <c r="Q33" s="215"/>
      <c r="R33" s="214"/>
      <c r="S33" s="19"/>
      <c r="T33" s="21"/>
      <c r="U33" s="48"/>
      <c r="V33" s="210">
        <f t="shared" si="10"/>
        <v>924</v>
      </c>
      <c r="W33" s="3">
        <v>83</v>
      </c>
      <c r="X33" s="3">
        <v>1492755</v>
      </c>
      <c r="Y33" s="3">
        <v>841</v>
      </c>
      <c r="Z33" s="57">
        <v>109304.77</v>
      </c>
      <c r="AA33" s="57">
        <f t="shared" si="11"/>
        <v>1602059.77</v>
      </c>
      <c r="AB33" s="203">
        <f t="shared" si="3"/>
        <v>123.46244284680516</v>
      </c>
      <c r="AC33" s="211"/>
      <c r="AD33" s="3"/>
      <c r="AE33" s="3">
        <v>100</v>
      </c>
      <c r="AF33" s="3">
        <v>12</v>
      </c>
      <c r="AG33" s="3">
        <f t="shared" si="8"/>
        <v>112</v>
      </c>
      <c r="AH33" s="3">
        <v>1477280</v>
      </c>
      <c r="AI33" s="73">
        <f t="shared" si="9"/>
        <v>113.84631271823793</v>
      </c>
      <c r="AJ33" s="229">
        <v>820</v>
      </c>
      <c r="AK33" s="3">
        <v>6888000</v>
      </c>
      <c r="AL33" s="68">
        <f t="shared" si="4"/>
        <v>530.82245884546114</v>
      </c>
      <c r="AM33" s="7"/>
    </row>
    <row r="34" spans="1:39" x14ac:dyDescent="0.25">
      <c r="A34" s="59"/>
      <c r="B34" s="90">
        <v>23</v>
      </c>
      <c r="C34" s="243">
        <v>6</v>
      </c>
      <c r="D34" s="245">
        <v>50</v>
      </c>
      <c r="E34" s="151">
        <v>10000</v>
      </c>
      <c r="F34" s="3">
        <v>10875673.720000001</v>
      </c>
      <c r="G34" s="61">
        <v>2000</v>
      </c>
      <c r="H34" s="3">
        <v>3262706.96</v>
      </c>
      <c r="I34" s="148">
        <f t="shared" si="5"/>
        <v>14138380.68</v>
      </c>
      <c r="J34" s="151">
        <v>1060.0000000000023</v>
      </c>
      <c r="K34" s="3">
        <v>1166462.5023800023</v>
      </c>
      <c r="L34" s="3">
        <v>220.00000000000063</v>
      </c>
      <c r="M34" s="94">
        <v>358897.75900000101</v>
      </c>
      <c r="N34" s="139">
        <f t="shared" si="0"/>
        <v>1525360.2613800033</v>
      </c>
      <c r="O34" s="158">
        <f t="shared" si="6"/>
        <v>15663740.941380003</v>
      </c>
      <c r="P34" s="162">
        <f t="shared" si="7"/>
        <v>13280.000000000004</v>
      </c>
      <c r="Q34" s="216"/>
      <c r="R34" s="214"/>
      <c r="S34" s="19"/>
      <c r="T34" s="21"/>
      <c r="U34" s="48"/>
      <c r="V34" s="210">
        <f t="shared" si="10"/>
        <v>991</v>
      </c>
      <c r="W34" s="3">
        <v>97</v>
      </c>
      <c r="X34" s="3">
        <v>1744545</v>
      </c>
      <c r="Y34" s="3">
        <v>894</v>
      </c>
      <c r="Z34" s="57">
        <v>116193.18</v>
      </c>
      <c r="AA34" s="57">
        <f t="shared" si="11"/>
        <v>1860738.18</v>
      </c>
      <c r="AB34" s="203">
        <f t="shared" si="3"/>
        <v>143.39744715087517</v>
      </c>
      <c r="AC34" s="211"/>
      <c r="AD34" s="3"/>
      <c r="AE34" s="3">
        <v>100</v>
      </c>
      <c r="AF34" s="3">
        <v>12</v>
      </c>
      <c r="AG34" s="3">
        <f t="shared" si="8"/>
        <v>112</v>
      </c>
      <c r="AH34" s="3">
        <v>1477280</v>
      </c>
      <c r="AI34" s="73">
        <f t="shared" si="9"/>
        <v>113.84631271823793</v>
      </c>
      <c r="AJ34" s="229">
        <v>850</v>
      </c>
      <c r="AK34" s="3">
        <v>7140000</v>
      </c>
      <c r="AL34" s="68">
        <f t="shared" si="4"/>
        <v>550.24279270566092</v>
      </c>
      <c r="AM34" s="7"/>
    </row>
    <row r="35" spans="1:39" x14ac:dyDescent="0.25">
      <c r="A35" s="59"/>
      <c r="B35" s="90">
        <v>24</v>
      </c>
      <c r="C35" s="243">
        <v>5</v>
      </c>
      <c r="D35" s="245">
        <v>30</v>
      </c>
      <c r="E35" s="151">
        <v>10199.999999999989</v>
      </c>
      <c r="F35" s="3">
        <v>11093187.194399988</v>
      </c>
      <c r="G35" s="61">
        <v>1920.0000000000018</v>
      </c>
      <c r="H35" s="3">
        <v>3132198.681600003</v>
      </c>
      <c r="I35" s="148">
        <f t="shared" si="5"/>
        <v>14225385.875999991</v>
      </c>
      <c r="J35" s="151">
        <v>1279.9999999999975</v>
      </c>
      <c r="K35" s="3">
        <v>1408558.4934399971</v>
      </c>
      <c r="L35" s="3">
        <v>219.99999999999974</v>
      </c>
      <c r="M35" s="94">
        <v>358897.75899999961</v>
      </c>
      <c r="N35" s="139">
        <f t="shared" si="0"/>
        <v>1767456.2524399967</v>
      </c>
      <c r="O35" s="158">
        <f t="shared" si="6"/>
        <v>15992842.128439987</v>
      </c>
      <c r="P35" s="162">
        <f t="shared" si="7"/>
        <v>13619.999999999989</v>
      </c>
      <c r="Q35" s="216"/>
      <c r="R35" s="214"/>
      <c r="S35" s="19"/>
      <c r="T35" s="21"/>
      <c r="U35" s="48"/>
      <c r="V35" s="210">
        <f t="shared" si="10"/>
        <v>898</v>
      </c>
      <c r="W35" s="3">
        <v>69</v>
      </c>
      <c r="X35" s="3">
        <v>1240965</v>
      </c>
      <c r="Y35" s="3">
        <v>829</v>
      </c>
      <c r="Z35" s="57">
        <v>107745.13</v>
      </c>
      <c r="AA35" s="57">
        <f t="shared" si="11"/>
        <v>1348710.13</v>
      </c>
      <c r="AB35" s="203">
        <f t="shared" si="3"/>
        <v>103.93809922711694</v>
      </c>
      <c r="AC35" s="211"/>
      <c r="AD35" s="3"/>
      <c r="AE35" s="3">
        <v>80</v>
      </c>
      <c r="AF35" s="3">
        <v>12</v>
      </c>
      <c r="AG35" s="3">
        <f t="shared" si="8"/>
        <v>92</v>
      </c>
      <c r="AH35" s="3">
        <v>1213480</v>
      </c>
      <c r="AI35" s="73">
        <f t="shared" si="9"/>
        <v>93.516614018552588</v>
      </c>
      <c r="AJ35" s="229">
        <v>625</v>
      </c>
      <c r="AK35" s="3">
        <v>5250000</v>
      </c>
      <c r="AL35" s="68">
        <f t="shared" si="4"/>
        <v>404.59028875416249</v>
      </c>
      <c r="AM35" s="7"/>
    </row>
    <row r="36" spans="1:39" x14ac:dyDescent="0.25">
      <c r="A36" s="59"/>
      <c r="B36" s="90">
        <v>25</v>
      </c>
      <c r="C36" s="243">
        <v>3</v>
      </c>
      <c r="D36" s="245">
        <v>66</v>
      </c>
      <c r="E36" s="151">
        <f>17640-31</f>
        <v>17609</v>
      </c>
      <c r="F36" s="3">
        <v>19150973.853547998</v>
      </c>
      <c r="G36" s="61">
        <v>1840.0000000000034</v>
      </c>
      <c r="H36" s="3">
        <v>3001690.4032000056</v>
      </c>
      <c r="I36" s="148">
        <f t="shared" si="5"/>
        <v>22152664.256748002</v>
      </c>
      <c r="J36" s="151">
        <v>1720.0000000000025</v>
      </c>
      <c r="K36" s="3">
        <v>1892750.4755600025</v>
      </c>
      <c r="L36" s="3">
        <v>320.00000000000028</v>
      </c>
      <c r="M36" s="94">
        <v>522033.10400000046</v>
      </c>
      <c r="N36" s="139">
        <f t="shared" si="0"/>
        <v>2414783.5795600028</v>
      </c>
      <c r="O36" s="158">
        <f t="shared" si="6"/>
        <v>24567447.836308006</v>
      </c>
      <c r="P36" s="162">
        <f t="shared" si="7"/>
        <v>21489.000000000007</v>
      </c>
      <c r="Q36" s="216"/>
      <c r="R36" s="214"/>
      <c r="S36" s="19"/>
      <c r="T36" s="21"/>
      <c r="U36" s="48"/>
      <c r="V36" s="210">
        <f t="shared" si="10"/>
        <v>871</v>
      </c>
      <c r="W36" s="3">
        <v>95</v>
      </c>
      <c r="X36" s="3">
        <v>1708575</v>
      </c>
      <c r="Y36" s="3">
        <v>776</v>
      </c>
      <c r="Z36" s="57">
        <v>100856.72</v>
      </c>
      <c r="AA36" s="57">
        <f t="shared" si="11"/>
        <v>1809431.72</v>
      </c>
      <c r="AB36" s="203">
        <f t="shared" si="3"/>
        <v>139.44352420490301</v>
      </c>
      <c r="AC36" s="211"/>
      <c r="AD36" s="3"/>
      <c r="AE36" s="3">
        <v>90</v>
      </c>
      <c r="AF36" s="3">
        <v>12</v>
      </c>
      <c r="AG36" s="3">
        <f t="shared" si="8"/>
        <v>102</v>
      </c>
      <c r="AH36" s="3">
        <v>1345380</v>
      </c>
      <c r="AI36" s="73">
        <f t="shared" si="9"/>
        <v>103.68146336839526</v>
      </c>
      <c r="AJ36" s="229">
        <v>765</v>
      </c>
      <c r="AK36" s="3">
        <v>6426000</v>
      </c>
      <c r="AL36" s="68">
        <f t="shared" si="4"/>
        <v>495.21851343509485</v>
      </c>
      <c r="AM36" s="7"/>
    </row>
    <row r="37" spans="1:39" x14ac:dyDescent="0.25">
      <c r="A37" s="59"/>
      <c r="B37" s="90">
        <v>26</v>
      </c>
      <c r="C37" s="243">
        <v>9</v>
      </c>
      <c r="D37" s="245">
        <v>69</v>
      </c>
      <c r="E37" s="151">
        <v>1919.9999999999591</v>
      </c>
      <c r="F37" s="3">
        <v>2088129.3542399555</v>
      </c>
      <c r="G37" s="61">
        <v>2000</v>
      </c>
      <c r="H37" s="3">
        <v>3262706.96</v>
      </c>
      <c r="I37" s="148">
        <f t="shared" si="5"/>
        <v>5350836.3142399555</v>
      </c>
      <c r="J37" s="151">
        <v>1199.9999999999993</v>
      </c>
      <c r="K37" s="3">
        <v>1320523.587599999</v>
      </c>
      <c r="L37" s="3">
        <v>279.99999999999937</v>
      </c>
      <c r="M37" s="94">
        <v>456778.96599999903</v>
      </c>
      <c r="N37" s="139">
        <f t="shared" si="0"/>
        <v>1777302.5535999981</v>
      </c>
      <c r="O37" s="158">
        <f t="shared" si="6"/>
        <v>7128138.8678399539</v>
      </c>
      <c r="P37" s="162">
        <f t="shared" si="7"/>
        <v>5399.9999999999582</v>
      </c>
      <c r="Q37" s="216"/>
      <c r="R37" s="214"/>
      <c r="S37" s="19"/>
      <c r="T37" s="21"/>
      <c r="U37" s="48"/>
      <c r="V37" s="210">
        <f t="shared" si="10"/>
        <v>906</v>
      </c>
      <c r="W37" s="3">
        <v>91</v>
      </c>
      <c r="X37" s="3">
        <v>1636635</v>
      </c>
      <c r="Y37" s="3">
        <v>815</v>
      </c>
      <c r="Z37" s="57">
        <v>105925.55</v>
      </c>
      <c r="AA37" s="57">
        <f t="shared" si="11"/>
        <v>1742560.55</v>
      </c>
      <c r="AB37" s="203">
        <f t="shared" si="3"/>
        <v>134.29010973259278</v>
      </c>
      <c r="AC37" s="211"/>
      <c r="AD37" s="3"/>
      <c r="AE37" s="3">
        <v>90</v>
      </c>
      <c r="AF37" s="3">
        <v>12</v>
      </c>
      <c r="AG37" s="3">
        <f t="shared" si="8"/>
        <v>102</v>
      </c>
      <c r="AH37" s="3">
        <v>1345380</v>
      </c>
      <c r="AI37" s="73">
        <f t="shared" si="9"/>
        <v>103.68146336839526</v>
      </c>
      <c r="AJ37" s="229">
        <v>955</v>
      </c>
      <c r="AK37" s="3">
        <v>8022000</v>
      </c>
      <c r="AL37" s="68">
        <f t="shared" si="4"/>
        <v>618.21396121636019</v>
      </c>
      <c r="AM37" s="7"/>
    </row>
    <row r="38" spans="1:39" x14ac:dyDescent="0.25">
      <c r="A38" s="59"/>
      <c r="B38" s="90">
        <v>27</v>
      </c>
      <c r="C38" s="243">
        <v>6</v>
      </c>
      <c r="D38" s="245">
        <v>68</v>
      </c>
      <c r="E38" s="151">
        <v>9560.0000000000018</v>
      </c>
      <c r="F38" s="3">
        <v>10397144.076320002</v>
      </c>
      <c r="G38" s="61">
        <v>1920.0000000000018</v>
      </c>
      <c r="H38" s="3">
        <v>3132198.681600003</v>
      </c>
      <c r="I38" s="148">
        <f t="shared" si="5"/>
        <v>13529342.757920004</v>
      </c>
      <c r="J38" s="151">
        <v>699.99999999999932</v>
      </c>
      <c r="K38" s="3">
        <v>770305.42609999923</v>
      </c>
      <c r="L38" s="3">
        <v>260.00000000000068</v>
      </c>
      <c r="M38" s="94">
        <v>424151.8970000011</v>
      </c>
      <c r="N38" s="139">
        <f t="shared" si="0"/>
        <v>1194457.3231000004</v>
      </c>
      <c r="O38" s="158">
        <f t="shared" si="6"/>
        <v>14723800.081020005</v>
      </c>
      <c r="P38" s="162">
        <f t="shared" si="7"/>
        <v>12440.000000000004</v>
      </c>
      <c r="Q38" s="216"/>
      <c r="R38" s="214"/>
      <c r="S38" s="19"/>
      <c r="T38" s="21"/>
      <c r="U38" s="48"/>
      <c r="V38" s="210">
        <f t="shared" si="10"/>
        <v>903</v>
      </c>
      <c r="W38" s="3">
        <v>93</v>
      </c>
      <c r="X38" s="3">
        <v>1672605</v>
      </c>
      <c r="Y38" s="3">
        <v>810</v>
      </c>
      <c r="Z38" s="57">
        <v>105275.7</v>
      </c>
      <c r="AA38" s="57">
        <f t="shared" si="11"/>
        <v>1777880.7</v>
      </c>
      <c r="AB38" s="203">
        <f t="shared" si="3"/>
        <v>137.0120506254195</v>
      </c>
      <c r="AC38" s="211"/>
      <c r="AD38" s="3"/>
      <c r="AE38" s="3">
        <v>92</v>
      </c>
      <c r="AF38" s="3">
        <v>12</v>
      </c>
      <c r="AG38" s="3">
        <f t="shared" si="8"/>
        <v>104</v>
      </c>
      <c r="AH38" s="3">
        <v>1371760</v>
      </c>
      <c r="AI38" s="73">
        <f t="shared" si="9"/>
        <v>105.7144332383638</v>
      </c>
      <c r="AJ38" s="229">
        <v>1325</v>
      </c>
      <c r="AK38" s="3">
        <v>11130000</v>
      </c>
      <c r="AL38" s="68">
        <f t="shared" si="4"/>
        <v>857.73141215882447</v>
      </c>
      <c r="AM38" s="7"/>
    </row>
    <row r="39" spans="1:39" x14ac:dyDescent="0.25">
      <c r="A39" s="59"/>
      <c r="B39" s="90">
        <v>28</v>
      </c>
      <c r="C39" s="243">
        <v>7</v>
      </c>
      <c r="D39" s="245">
        <v>150</v>
      </c>
      <c r="E39" s="151">
        <v>9199.9999999999891</v>
      </c>
      <c r="F39" s="3">
        <v>10005619.822399989</v>
      </c>
      <c r="G39" s="61">
        <v>1799.9999999999973</v>
      </c>
      <c r="H39" s="3">
        <v>2936436.2639999953</v>
      </c>
      <c r="I39" s="148">
        <f t="shared" si="5"/>
        <v>12942056.086399984</v>
      </c>
      <c r="J39" s="151">
        <v>1260.0000000000016</v>
      </c>
      <c r="K39" s="3">
        <v>1386549.7669800017</v>
      </c>
      <c r="L39" s="3">
        <v>299.99999999999983</v>
      </c>
      <c r="M39" s="94">
        <v>489406.03499999974</v>
      </c>
      <c r="N39" s="139">
        <f t="shared" si="0"/>
        <v>1875955.8019800014</v>
      </c>
      <c r="O39" s="158">
        <f t="shared" si="6"/>
        <v>14818011.888379985</v>
      </c>
      <c r="P39" s="162">
        <f t="shared" si="7"/>
        <v>12559.999999999987</v>
      </c>
      <c r="Q39" s="216"/>
      <c r="R39" s="214"/>
      <c r="S39" s="19"/>
      <c r="T39" s="21"/>
      <c r="U39" s="48"/>
      <c r="V39" s="210">
        <f t="shared" si="10"/>
        <v>908</v>
      </c>
      <c r="W39" s="3">
        <v>94</v>
      </c>
      <c r="X39" s="3">
        <v>1690590</v>
      </c>
      <c r="Y39" s="3">
        <v>814</v>
      </c>
      <c r="Z39" s="57">
        <v>105795.58</v>
      </c>
      <c r="AA39" s="57">
        <f t="shared" si="11"/>
        <v>1796385.58</v>
      </c>
      <c r="AB39" s="203">
        <f t="shared" si="3"/>
        <v>138.43812581447878</v>
      </c>
      <c r="AC39" s="211"/>
      <c r="AD39" s="3"/>
      <c r="AE39" s="3">
        <v>98</v>
      </c>
      <c r="AF39" s="3">
        <v>12</v>
      </c>
      <c r="AG39" s="3">
        <f t="shared" si="8"/>
        <v>110</v>
      </c>
      <c r="AH39" s="3">
        <v>1450900</v>
      </c>
      <c r="AI39" s="73">
        <f t="shared" si="9"/>
        <v>111.81334284826939</v>
      </c>
      <c r="AJ39" s="229">
        <v>820</v>
      </c>
      <c r="AK39" s="3">
        <v>6888000</v>
      </c>
      <c r="AL39" s="68">
        <f t="shared" si="4"/>
        <v>530.82245884546114</v>
      </c>
      <c r="AM39" s="7"/>
    </row>
    <row r="40" spans="1:39" x14ac:dyDescent="0.25">
      <c r="A40" s="59"/>
      <c r="B40" s="90">
        <v>29</v>
      </c>
      <c r="C40" s="243">
        <v>8</v>
      </c>
      <c r="D40" s="245">
        <v>109</v>
      </c>
      <c r="E40" s="151">
        <v>9680.0000000000073</v>
      </c>
      <c r="F40" s="3">
        <v>10527652.160960007</v>
      </c>
      <c r="G40" s="61">
        <v>1960.000000000008</v>
      </c>
      <c r="H40" s="3">
        <v>3197452.8208000129</v>
      </c>
      <c r="I40" s="148">
        <f t="shared" si="5"/>
        <v>13725104.981760021</v>
      </c>
      <c r="J40" s="151">
        <v>1299.9999999999973</v>
      </c>
      <c r="K40" s="3">
        <v>1430567.2198999969</v>
      </c>
      <c r="L40" s="3">
        <v>280.00000000000023</v>
      </c>
      <c r="M40" s="94">
        <v>456778.96600000036</v>
      </c>
      <c r="N40" s="139">
        <f t="shared" si="0"/>
        <v>1887346.1858999971</v>
      </c>
      <c r="O40" s="158">
        <f t="shared" si="6"/>
        <v>15612451.167660018</v>
      </c>
      <c r="P40" s="162">
        <f t="shared" si="7"/>
        <v>13220.000000000013</v>
      </c>
      <c r="Q40" s="215"/>
      <c r="R40" s="214"/>
      <c r="S40" s="19"/>
      <c r="T40" s="21"/>
      <c r="U40" s="48"/>
      <c r="V40" s="210">
        <f t="shared" si="10"/>
        <v>906</v>
      </c>
      <c r="W40" s="3">
        <v>100</v>
      </c>
      <c r="X40" s="3">
        <v>1798500</v>
      </c>
      <c r="Y40" s="3">
        <v>806</v>
      </c>
      <c r="Z40" s="57">
        <v>104755.81999999999</v>
      </c>
      <c r="AA40" s="57">
        <f t="shared" si="11"/>
        <v>1903255.82</v>
      </c>
      <c r="AB40" s="203">
        <f t="shared" si="3"/>
        <v>146.67406129273149</v>
      </c>
      <c r="AC40" s="211"/>
      <c r="AD40" s="3"/>
      <c r="AE40" s="3">
        <v>90</v>
      </c>
      <c r="AF40" s="3">
        <v>12</v>
      </c>
      <c r="AG40" s="3">
        <f t="shared" si="8"/>
        <v>102</v>
      </c>
      <c r="AH40" s="3">
        <v>1345380</v>
      </c>
      <c r="AI40" s="73">
        <f t="shared" si="9"/>
        <v>103.68146336839526</v>
      </c>
      <c r="AJ40" s="229">
        <v>660</v>
      </c>
      <c r="AK40" s="3">
        <v>5544000</v>
      </c>
      <c r="AL40" s="68">
        <f t="shared" si="4"/>
        <v>427.24734492439558</v>
      </c>
      <c r="AM40" s="7"/>
    </row>
    <row r="41" spans="1:39" x14ac:dyDescent="0.25">
      <c r="A41" s="59"/>
      <c r="B41" s="90">
        <v>30</v>
      </c>
      <c r="C41" s="243">
        <v>1</v>
      </c>
      <c r="D41" s="245">
        <v>16</v>
      </c>
      <c r="E41" s="151">
        <v>8759.9999999999909</v>
      </c>
      <c r="F41" s="3">
        <v>9527090.17871999</v>
      </c>
      <c r="G41" s="61">
        <v>1719.9999999999989</v>
      </c>
      <c r="H41" s="3">
        <v>2805927.9855999979</v>
      </c>
      <c r="I41" s="148">
        <f t="shared" si="5"/>
        <v>12333018.164319988</v>
      </c>
      <c r="J41" s="151">
        <v>1800.0000000000007</v>
      </c>
      <c r="K41" s="3">
        <v>1980785.3814000005</v>
      </c>
      <c r="L41" s="3">
        <v>300</v>
      </c>
      <c r="M41" s="94">
        <v>489406.03500000003</v>
      </c>
      <c r="N41" s="139">
        <f t="shared" si="0"/>
        <v>2470191.4164000005</v>
      </c>
      <c r="O41" s="158">
        <f t="shared" si="6"/>
        <v>14803209.580719989</v>
      </c>
      <c r="P41" s="162">
        <f t="shared" si="7"/>
        <v>12579.999999999991</v>
      </c>
      <c r="Q41" s="219" t="s">
        <v>75</v>
      </c>
      <c r="R41" s="220" t="s">
        <v>75</v>
      </c>
      <c r="S41" s="19"/>
      <c r="T41" s="21"/>
      <c r="U41" s="48"/>
      <c r="V41" s="210">
        <f t="shared" si="10"/>
        <v>838</v>
      </c>
      <c r="W41" s="61">
        <v>78</v>
      </c>
      <c r="X41" s="3">
        <v>1402830</v>
      </c>
      <c r="Y41" s="57">
        <v>760</v>
      </c>
      <c r="Z41" s="57">
        <v>98777.2</v>
      </c>
      <c r="AA41" s="57">
        <f t="shared" si="11"/>
        <v>1501607.2</v>
      </c>
      <c r="AB41" s="203">
        <f t="shared" si="3"/>
        <v>115.72108393206274</v>
      </c>
      <c r="AC41" s="211"/>
      <c r="AD41" s="3"/>
      <c r="AE41" s="3">
        <v>80</v>
      </c>
      <c r="AF41" s="3">
        <v>12</v>
      </c>
      <c r="AG41" s="3">
        <f t="shared" si="8"/>
        <v>92</v>
      </c>
      <c r="AH41" s="3">
        <v>1213480</v>
      </c>
      <c r="AI41" s="73">
        <f t="shared" si="9"/>
        <v>93.516614018552588</v>
      </c>
      <c r="AJ41" s="229">
        <v>620</v>
      </c>
      <c r="AK41" s="3">
        <v>5208000</v>
      </c>
      <c r="AL41" s="68">
        <f t="shared" si="4"/>
        <v>401.35356644412917</v>
      </c>
      <c r="AM41" s="7"/>
    </row>
    <row r="42" spans="1:39" ht="16.5" thickBot="1" x14ac:dyDescent="0.3">
      <c r="A42" s="59"/>
      <c r="B42" s="174"/>
      <c r="C42" s="244"/>
      <c r="D42" s="246"/>
      <c r="E42" s="149"/>
      <c r="F42" s="149"/>
      <c r="G42" s="140"/>
      <c r="H42" s="141"/>
      <c r="I42" s="150"/>
      <c r="J42" s="153"/>
      <c r="K42" s="140"/>
      <c r="L42" s="141"/>
      <c r="M42" s="142"/>
      <c r="N42" s="143"/>
      <c r="O42" s="159"/>
      <c r="P42" s="163"/>
      <c r="Q42" s="240" t="s">
        <v>76</v>
      </c>
      <c r="R42" s="241" t="s">
        <v>76</v>
      </c>
      <c r="S42" s="237"/>
      <c r="T42" s="238"/>
      <c r="U42" s="239"/>
      <c r="V42" s="23"/>
      <c r="W42" s="2"/>
      <c r="X42" s="2"/>
      <c r="Y42" s="36"/>
      <c r="Z42" s="36"/>
      <c r="AA42" s="36"/>
      <c r="AB42" s="204"/>
      <c r="AC42" s="202"/>
      <c r="AD42" s="3"/>
      <c r="AE42" s="2"/>
      <c r="AF42" s="2"/>
      <c r="AG42" s="2"/>
      <c r="AH42" s="3"/>
      <c r="AI42" s="73"/>
      <c r="AJ42" s="229"/>
      <c r="AK42" s="3"/>
      <c r="AL42" s="68"/>
      <c r="AM42" s="7"/>
    </row>
    <row r="43" spans="1:39" s="13" customFormat="1" ht="6" customHeight="1" x14ac:dyDescent="0.25">
      <c r="A43" s="30"/>
      <c r="B43" s="169"/>
      <c r="C43" s="170"/>
      <c r="D43" s="170"/>
      <c r="E43" s="168"/>
      <c r="F43" s="7"/>
      <c r="G43" s="30"/>
      <c r="H43" s="7"/>
      <c r="I43" s="30"/>
      <c r="J43" s="30"/>
      <c r="K43" s="30"/>
      <c r="L43" s="7"/>
      <c r="M43" s="95"/>
      <c r="N43" s="99"/>
      <c r="O43" s="30"/>
      <c r="P43" s="99"/>
      <c r="Q43" s="30"/>
      <c r="R43" s="126"/>
      <c r="S43" s="31">
        <f>SUM(S12:S41)</f>
        <v>0</v>
      </c>
      <c r="T43" s="30"/>
      <c r="U43" s="58"/>
      <c r="V43" s="205"/>
      <c r="W43" s="30"/>
      <c r="X43" s="30"/>
      <c r="Y43" s="30"/>
      <c r="Z43" s="30"/>
      <c r="AA43" s="30"/>
      <c r="AB43" s="58"/>
      <c r="AC43" s="30"/>
      <c r="AD43" s="7"/>
      <c r="AE43" s="30"/>
      <c r="AF43" s="30"/>
      <c r="AG43" s="30"/>
      <c r="AH43" s="30"/>
      <c r="AI43" s="30"/>
      <c r="AJ43" s="126"/>
      <c r="AK43" s="30"/>
      <c r="AL43" s="58"/>
      <c r="AM43" s="30"/>
    </row>
    <row r="44" spans="1:39" s="13" customFormat="1" ht="9.75" customHeight="1" x14ac:dyDescent="0.25">
      <c r="A44" s="30"/>
      <c r="B44" s="169"/>
      <c r="C44" s="170"/>
      <c r="D44" s="170"/>
      <c r="E44" s="168"/>
      <c r="F44" s="7"/>
      <c r="G44" s="30"/>
      <c r="H44" s="7"/>
      <c r="I44" s="30"/>
      <c r="J44" s="30"/>
      <c r="K44" s="30"/>
      <c r="L44" s="7"/>
      <c r="M44" s="95"/>
      <c r="N44" s="99"/>
      <c r="O44" s="30"/>
      <c r="P44" s="99"/>
      <c r="Q44" s="30"/>
      <c r="R44" s="126"/>
      <c r="S44" s="31"/>
      <c r="T44" s="30"/>
      <c r="U44" s="58"/>
      <c r="V44" s="205"/>
      <c r="W44" s="30"/>
      <c r="X44" s="30"/>
      <c r="Y44" s="30"/>
      <c r="Z44" s="30"/>
      <c r="AA44" s="30"/>
      <c r="AB44" s="206"/>
      <c r="AC44" s="30"/>
      <c r="AD44" s="7"/>
      <c r="AE44" s="30"/>
      <c r="AF44" s="30"/>
      <c r="AG44" s="30"/>
      <c r="AH44" s="7"/>
      <c r="AI44" s="30"/>
      <c r="AJ44" s="128"/>
      <c r="AK44" s="5"/>
      <c r="AL44" s="69"/>
      <c r="AM44" s="30"/>
    </row>
    <row r="45" spans="1:39" s="13" customFormat="1" ht="16.5" thickBot="1" x14ac:dyDescent="0.3">
      <c r="A45" s="30"/>
      <c r="B45" s="171"/>
      <c r="C45" s="172"/>
      <c r="D45" s="172"/>
      <c r="E45" s="173"/>
      <c r="F45" s="105"/>
      <c r="G45" s="104"/>
      <c r="H45" s="105"/>
      <c r="I45" s="104"/>
      <c r="J45" s="104"/>
      <c r="K45" s="104"/>
      <c r="L45" s="105"/>
      <c r="M45" s="106"/>
      <c r="N45" s="107"/>
      <c r="O45" s="104"/>
      <c r="P45" s="107"/>
      <c r="Q45" s="104"/>
      <c r="R45" s="127"/>
      <c r="S45" s="108"/>
      <c r="T45" s="104"/>
      <c r="U45" s="109"/>
      <c r="V45" s="207"/>
      <c r="W45" s="110"/>
      <c r="X45" s="104"/>
      <c r="Y45" s="104"/>
      <c r="Z45" s="104"/>
      <c r="AA45" s="104"/>
      <c r="AB45" s="109"/>
      <c r="AC45" s="111"/>
      <c r="AD45" s="105"/>
      <c r="AE45" s="111"/>
      <c r="AF45" s="111"/>
      <c r="AG45" s="111"/>
      <c r="AH45" s="105"/>
      <c r="AI45" s="104"/>
      <c r="AJ45" s="230"/>
      <c r="AK45" s="112"/>
      <c r="AL45" s="113"/>
      <c r="AM45" s="30"/>
    </row>
    <row r="46" spans="1:39" ht="17.25" thickTop="1" thickBot="1" x14ac:dyDescent="0.3">
      <c r="A46" s="50"/>
      <c r="B46" s="102"/>
      <c r="C46" s="103">
        <f>SUM(C12:C42)</f>
        <v>189</v>
      </c>
      <c r="D46" s="103">
        <f>SUM(D12:D42)</f>
        <v>2421</v>
      </c>
      <c r="E46" s="103">
        <f t="shared" ref="E46:O46" si="12">SUM(E12:E42)</f>
        <v>304920.45600000024</v>
      </c>
      <c r="F46" s="103">
        <f>SUM(F12:F42)</f>
        <v>331621539.00096196</v>
      </c>
      <c r="G46" s="103">
        <f>SUM(G12:G42)</f>
        <v>60960.000000000015</v>
      </c>
      <c r="H46" s="103">
        <f t="shared" si="12"/>
        <v>99447308.140799969</v>
      </c>
      <c r="I46" s="103">
        <f t="shared" si="12"/>
        <v>431068847.14176196</v>
      </c>
      <c r="J46" s="103">
        <f t="shared" si="12"/>
        <v>38879.999999999309</v>
      </c>
      <c r="K46" s="103">
        <f t="shared" si="12"/>
        <v>42784964.238239244</v>
      </c>
      <c r="L46" s="103">
        <f t="shared" si="12"/>
        <v>8819.9999999999636</v>
      </c>
      <c r="M46" s="103">
        <f t="shared" si="12"/>
        <v>14388537.428999942</v>
      </c>
      <c r="N46" s="103">
        <f t="shared" si="12"/>
        <v>57173501.667239182</v>
      </c>
      <c r="O46" s="103">
        <f t="shared" si="12"/>
        <v>488242348.80900097</v>
      </c>
      <c r="P46" s="115">
        <f>SUM(P12:P42)</f>
        <v>413580.45599999954</v>
      </c>
      <c r="Q46" s="116">
        <f>'Electricity Residences '!F23</f>
        <v>30925</v>
      </c>
      <c r="R46" s="175">
        <f>'Electricity Residences '!F24</f>
        <v>55287318</v>
      </c>
      <c r="S46" s="167">
        <f>Q46+P46</f>
        <v>444505.45599999954</v>
      </c>
      <c r="T46" s="164">
        <f>R46+O46</f>
        <v>543529666.80900097</v>
      </c>
      <c r="U46" s="223">
        <f>T46/AL47</f>
        <v>41887.014255372844</v>
      </c>
      <c r="V46" s="82">
        <f>SUM(V12:V41)</f>
        <v>26974</v>
      </c>
      <c r="W46" s="82">
        <f>SUM(W12:W41)</f>
        <v>2508</v>
      </c>
      <c r="X46" s="82">
        <f>SUM(X12:X41)</f>
        <v>45106380</v>
      </c>
      <c r="Y46" s="35">
        <f>SUM(Y12:Y42)</f>
        <v>24466</v>
      </c>
      <c r="Z46" s="221">
        <f>SUM(Z12:Z41)</f>
        <v>3179846.0200000005</v>
      </c>
      <c r="AA46" s="221">
        <f>SUM(AA12:AA41)</f>
        <v>48286226.020000003</v>
      </c>
      <c r="AB46" s="199">
        <f>AA46/$AL$47</f>
        <v>3721.169167291534</v>
      </c>
      <c r="AC46" s="74">
        <f>SUM(AC12:AC41)</f>
        <v>0</v>
      </c>
      <c r="AD46" s="224">
        <f>SUM(AD12:AD41)</f>
        <v>150</v>
      </c>
      <c r="AE46" s="74">
        <f>SUM(AE12:AE41)</f>
        <v>2795</v>
      </c>
      <c r="AF46" s="74">
        <f>SUM(AF12:AF41)</f>
        <v>360</v>
      </c>
      <c r="AG46" s="74">
        <f>SUM(AG12:AG41)</f>
        <v>3305</v>
      </c>
      <c r="AH46" s="234">
        <f>AG46*13190</f>
        <v>43592950</v>
      </c>
      <c r="AI46" s="235">
        <f>AH46/$AL$47</f>
        <v>3359.482710123003</v>
      </c>
      <c r="AJ46" s="231">
        <f>SUM(AJ12:AJ42)</f>
        <v>14942.01</v>
      </c>
      <c r="AK46" s="232">
        <f>SUM(AK12:AK42)</f>
        <v>125512884</v>
      </c>
      <c r="AL46" s="233">
        <f>AK46/AL47</f>
        <v>9672.6274247481324</v>
      </c>
      <c r="AM46" s="50"/>
    </row>
    <row r="47" spans="1:39" s="1" customFormat="1" x14ac:dyDescent="0.25">
      <c r="A47" s="50"/>
      <c r="B47" s="50"/>
      <c r="C47" s="5"/>
      <c r="D47" s="17"/>
      <c r="E47" s="5"/>
      <c r="F47" s="5"/>
      <c r="G47" s="17"/>
      <c r="H47" s="5"/>
      <c r="I47" s="15"/>
      <c r="J47" s="15"/>
      <c r="K47" s="15"/>
      <c r="L47" s="32"/>
      <c r="M47" s="96"/>
      <c r="N47" s="100"/>
      <c r="O47" s="16"/>
      <c r="P47" s="100"/>
      <c r="Q47" s="16"/>
      <c r="R47" s="166"/>
      <c r="S47" s="27"/>
      <c r="T47" s="114" t="s">
        <v>63</v>
      </c>
      <c r="U47" s="247">
        <f>U46/S46</f>
        <v>9.4232846166398654E-2</v>
      </c>
      <c r="V47" s="17"/>
      <c r="W47" s="17"/>
      <c r="X47" s="17"/>
      <c r="Y47" s="17"/>
      <c r="Z47" s="17"/>
      <c r="AA47" s="17"/>
      <c r="AB47" s="17"/>
      <c r="AC47" s="31"/>
      <c r="AD47" s="7"/>
      <c r="AE47" s="31"/>
      <c r="AF47" s="31"/>
      <c r="AG47" s="7"/>
      <c r="AH47" s="5"/>
      <c r="AI47" s="17"/>
      <c r="AJ47" s="128"/>
      <c r="AK47" s="17"/>
      <c r="AL47" s="236">
        <v>12976.09</v>
      </c>
      <c r="AM47" s="50"/>
    </row>
    <row r="48" spans="1:39" s="1" customFormat="1" x14ac:dyDescent="0.25">
      <c r="A48" s="50"/>
      <c r="B48" s="50"/>
      <c r="C48" s="5"/>
      <c r="D48" s="17" t="s">
        <v>78</v>
      </c>
      <c r="E48" s="5"/>
      <c r="F48" s="5"/>
      <c r="G48" s="17"/>
      <c r="H48" s="155"/>
      <c r="I48" s="15"/>
      <c r="J48" s="15"/>
      <c r="K48" s="15"/>
      <c r="L48" s="32"/>
      <c r="M48" s="96"/>
      <c r="N48" s="100"/>
      <c r="O48" s="16"/>
      <c r="P48" s="100"/>
      <c r="Q48" s="16"/>
      <c r="R48" s="166"/>
      <c r="S48" s="27"/>
      <c r="T48" s="11"/>
      <c r="U48" s="26"/>
      <c r="V48" s="17"/>
      <c r="W48" s="17"/>
      <c r="X48" s="17"/>
      <c r="Y48" s="17"/>
      <c r="Z48" s="17"/>
      <c r="AA48" s="17"/>
      <c r="AB48" s="17"/>
      <c r="AC48" s="17"/>
      <c r="AD48" s="5"/>
      <c r="AE48" s="17"/>
      <c r="AF48" s="17"/>
      <c r="AG48" s="225"/>
      <c r="AH48" s="5"/>
      <c r="AI48" s="17"/>
      <c r="AJ48" s="128"/>
      <c r="AK48" s="17"/>
      <c r="AL48" s="64"/>
      <c r="AM48" s="50"/>
    </row>
    <row r="49" spans="1:39" s="5" customFormat="1" x14ac:dyDescent="0.25">
      <c r="A49" s="7"/>
      <c r="B49" s="7"/>
      <c r="E49" s="131"/>
      <c r="F49" s="156"/>
      <c r="G49" s="123"/>
      <c r="I49" s="120"/>
      <c r="J49" s="124"/>
      <c r="K49" s="120"/>
      <c r="L49" s="124"/>
      <c r="M49" s="120"/>
      <c r="N49" s="120"/>
      <c r="O49" s="62"/>
      <c r="P49" s="100"/>
      <c r="Q49" s="32"/>
      <c r="R49" s="166"/>
      <c r="S49" s="33"/>
      <c r="T49" s="11"/>
      <c r="V49" s="14"/>
      <c r="W49" s="14"/>
      <c r="X49" s="32"/>
      <c r="Y49" s="14"/>
      <c r="Z49" s="222"/>
      <c r="AA49" s="14"/>
      <c r="AB49"/>
      <c r="AC49" s="14"/>
      <c r="AD49" s="14"/>
      <c r="AE49" s="32"/>
      <c r="AF49" s="14"/>
      <c r="AG49" s="14"/>
      <c r="AI49" s="14"/>
      <c r="AJ49" s="129"/>
      <c r="AK49" s="14"/>
      <c r="AL49" s="65"/>
      <c r="AM49" s="7"/>
    </row>
    <row r="50" spans="1:39" s="1" customFormat="1" x14ac:dyDescent="0.25">
      <c r="A50" s="49"/>
      <c r="B50" s="49"/>
      <c r="C50" s="14"/>
      <c r="D50" s="14"/>
      <c r="E50" s="14"/>
      <c r="F50" s="32"/>
      <c r="G50" s="14"/>
      <c r="H50" s="155"/>
      <c r="I50" s="32"/>
      <c r="J50" s="32"/>
      <c r="K50" s="32"/>
      <c r="M50" s="32"/>
      <c r="N50" s="100"/>
      <c r="P50" s="100"/>
      <c r="Q50" s="16"/>
      <c r="R50" s="166"/>
      <c r="S50" s="27"/>
      <c r="T50" s="11"/>
      <c r="U50" s="32"/>
      <c r="V50" s="17"/>
      <c r="W50" s="17"/>
      <c r="X50" s="17"/>
      <c r="Y50" s="17"/>
      <c r="Z50" s="12"/>
      <c r="AA50" s="12"/>
      <c r="AB50" s="17"/>
      <c r="AC50" s="17"/>
      <c r="AD50" s="5"/>
      <c r="AE50" s="17"/>
      <c r="AF50" s="17"/>
      <c r="AG50" s="17"/>
      <c r="AH50" s="5"/>
      <c r="AI50" s="17"/>
      <c r="AJ50" s="128"/>
      <c r="AK50" s="17"/>
      <c r="AL50" s="64"/>
      <c r="AM50" s="50"/>
    </row>
    <row r="51" spans="1:39" s="1" customFormat="1" ht="15" hidden="1" customHeight="1" x14ac:dyDescent="0.25">
      <c r="A51" s="50"/>
      <c r="B51" s="50"/>
      <c r="C51" s="5"/>
      <c r="D51" s="17"/>
      <c r="E51" s="5"/>
      <c r="F51" s="5"/>
      <c r="G51" s="17"/>
      <c r="H51" s="5"/>
      <c r="I51" s="15"/>
      <c r="J51" s="15"/>
      <c r="K51" s="15"/>
      <c r="L51" s="32"/>
      <c r="M51" s="96"/>
      <c r="N51" s="100"/>
      <c r="O51" s="16"/>
      <c r="P51" s="100"/>
      <c r="Q51" s="16"/>
      <c r="R51" s="166"/>
      <c r="S51" s="27"/>
      <c r="T51" s="11"/>
      <c r="U51" s="26"/>
      <c r="V51" s="17"/>
      <c r="W51" s="17"/>
      <c r="X51" s="17"/>
      <c r="Y51" s="17"/>
      <c r="Z51" s="17"/>
      <c r="AA51" s="17"/>
      <c r="AB51" s="17"/>
      <c r="AC51" s="17"/>
      <c r="AD51" s="5"/>
      <c r="AE51" s="17"/>
      <c r="AF51" s="17"/>
      <c r="AG51" s="17"/>
      <c r="AH51" s="5"/>
      <c r="AI51" s="17"/>
      <c r="AJ51" s="128"/>
      <c r="AK51" s="17"/>
      <c r="AL51" s="64"/>
      <c r="AM51" s="50"/>
    </row>
    <row r="52" spans="1:39" s="1" customFormat="1" ht="15" hidden="1" customHeight="1" x14ac:dyDescent="0.25">
      <c r="A52" s="50"/>
      <c r="B52" s="50"/>
      <c r="C52" s="5"/>
      <c r="D52" s="17"/>
      <c r="E52" s="5"/>
      <c r="F52" s="5"/>
      <c r="G52" s="17"/>
      <c r="H52" s="5"/>
      <c r="I52" s="15"/>
      <c r="J52" s="15"/>
      <c r="K52" s="15"/>
      <c r="L52" s="32"/>
      <c r="M52" s="96"/>
      <c r="N52" s="100"/>
      <c r="O52" s="16"/>
      <c r="P52" s="100"/>
      <c r="Q52" s="16"/>
      <c r="R52" s="166"/>
      <c r="S52" s="27"/>
      <c r="T52" s="11"/>
      <c r="U52" s="26"/>
      <c r="V52" s="17"/>
      <c r="W52" s="17"/>
      <c r="X52" s="17"/>
      <c r="Y52" s="17"/>
      <c r="Z52" s="17"/>
      <c r="AA52" s="17"/>
      <c r="AB52" s="17"/>
      <c r="AC52" s="17"/>
      <c r="AD52" s="5"/>
      <c r="AE52" s="17"/>
      <c r="AF52" s="17"/>
      <c r="AG52" s="17"/>
      <c r="AH52" s="5"/>
      <c r="AI52" s="17"/>
      <c r="AJ52" s="128"/>
      <c r="AK52" s="17"/>
      <c r="AL52" s="64"/>
      <c r="AM52" s="50"/>
    </row>
    <row r="53" spans="1:39" s="1" customFormat="1" ht="15" hidden="1" customHeight="1" x14ac:dyDescent="0.25">
      <c r="A53" s="50"/>
      <c r="B53" s="50"/>
      <c r="C53" s="5"/>
      <c r="D53" s="17"/>
      <c r="E53" s="5"/>
      <c r="F53" s="5"/>
      <c r="H53" s="5"/>
      <c r="I53" s="15"/>
      <c r="J53" s="15"/>
      <c r="K53" s="15"/>
      <c r="L53" s="32"/>
      <c r="M53" s="96"/>
      <c r="N53" s="100"/>
      <c r="O53" s="16"/>
      <c r="P53" s="100"/>
      <c r="Q53" s="16"/>
      <c r="R53" s="166"/>
      <c r="S53" s="27"/>
      <c r="T53" s="11"/>
      <c r="U53" s="26"/>
      <c r="V53" s="17"/>
      <c r="W53" s="17"/>
      <c r="X53" s="17"/>
      <c r="Y53" s="17"/>
      <c r="Z53" s="17"/>
      <c r="AA53" s="17"/>
      <c r="AB53" s="17"/>
      <c r="AC53" s="17"/>
      <c r="AD53" s="5"/>
      <c r="AE53" s="17"/>
      <c r="AF53" s="17"/>
      <c r="AG53" s="17"/>
      <c r="AH53" s="5"/>
      <c r="AI53" s="17"/>
      <c r="AJ53" s="128"/>
      <c r="AK53" s="17"/>
      <c r="AL53" s="64"/>
      <c r="AM53" s="50"/>
    </row>
    <row r="54" spans="1:39" x14ac:dyDescent="0.25">
      <c r="F54" s="157"/>
      <c r="M54" s="154"/>
      <c r="AK54" s="25"/>
    </row>
    <row r="55" spans="1:39" x14ac:dyDescent="0.25">
      <c r="Y55" s="29"/>
      <c r="AD55" s="4">
        <f>AD47/31</f>
        <v>0</v>
      </c>
      <c r="AH55" s="71"/>
      <c r="AK55" s="28"/>
    </row>
    <row r="56" spans="1:39" x14ac:dyDescent="0.25">
      <c r="H56" s="134"/>
      <c r="I56" s="28"/>
    </row>
  </sheetData>
  <mergeCells count="17">
    <mergeCell ref="E8:U8"/>
    <mergeCell ref="B7:AL7"/>
    <mergeCell ref="P9:P10"/>
    <mergeCell ref="Q9:Q10"/>
    <mergeCell ref="R9:R10"/>
    <mergeCell ref="S9:S10"/>
    <mergeCell ref="T9:U9"/>
    <mergeCell ref="AA9:AB9"/>
    <mergeCell ref="B8:B10"/>
    <mergeCell ref="C8:C10"/>
    <mergeCell ref="D8:D10"/>
    <mergeCell ref="J9:N9"/>
    <mergeCell ref="E9:I9"/>
    <mergeCell ref="O9:O10"/>
    <mergeCell ref="V8:AB8"/>
    <mergeCell ref="AC8:AL8"/>
    <mergeCell ref="AC9:AI9"/>
  </mergeCells>
  <hyperlinks>
    <hyperlink ref="Q42" location="'Electricity Residences '!A1" display="'Electricity Residences '!A1"/>
    <hyperlink ref="R42" location="'Electricity Residences '!A1" display="'Electricity Residences '!A1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89" zoomScaleNormal="89" workbookViewId="0">
      <selection activeCell="A12" sqref="A12"/>
    </sheetView>
  </sheetViews>
  <sheetFormatPr defaultRowHeight="15" x14ac:dyDescent="0.25"/>
  <cols>
    <col min="1" max="1" width="18.85546875" style="4" bestFit="1" customWidth="1"/>
    <col min="2" max="2" width="31.5703125" style="4" bestFit="1" customWidth="1"/>
    <col min="3" max="3" width="15.42578125" style="4" hidden="1" customWidth="1"/>
    <col min="4" max="5" width="17.42578125" style="4" hidden="1" customWidth="1"/>
    <col min="6" max="6" width="15.42578125" style="4" bestFit="1" customWidth="1"/>
    <col min="7" max="7" width="15.85546875" style="4" customWidth="1"/>
    <col min="8" max="8" width="17.140625" style="4" bestFit="1" customWidth="1"/>
    <col min="9" max="9" width="10.5703125" style="4" bestFit="1" customWidth="1"/>
    <col min="10" max="16384" width="9.140625" style="4"/>
  </cols>
  <sheetData>
    <row r="1" spans="1:10" ht="9" customHeight="1" thickBot="1" x14ac:dyDescent="0.3"/>
    <row r="2" spans="1:10" ht="15.75" thickBot="1" x14ac:dyDescent="0.3">
      <c r="A2" s="283" t="s">
        <v>70</v>
      </c>
      <c r="B2" s="284"/>
      <c r="C2" s="196" t="s">
        <v>16</v>
      </c>
      <c r="D2" s="196" t="s">
        <v>2</v>
      </c>
      <c r="E2" s="197" t="s">
        <v>3</v>
      </c>
      <c r="F2" s="198" t="s">
        <v>71</v>
      </c>
      <c r="G2" s="198" t="s">
        <v>72</v>
      </c>
    </row>
    <row r="3" spans="1:10" x14ac:dyDescent="0.25">
      <c r="A3" s="186" t="s">
        <v>18</v>
      </c>
      <c r="B3" s="7" t="s">
        <v>19</v>
      </c>
      <c r="C3" s="8">
        <v>2161</v>
      </c>
      <c r="D3" s="8">
        <v>1975</v>
      </c>
      <c r="E3" s="182">
        <v>2111</v>
      </c>
      <c r="F3" s="176">
        <v>1295</v>
      </c>
      <c r="G3" s="176">
        <v>2160</v>
      </c>
    </row>
    <row r="4" spans="1:10" x14ac:dyDescent="0.25">
      <c r="A4" s="186"/>
      <c r="B4" s="7" t="s">
        <v>17</v>
      </c>
      <c r="C4" s="9">
        <v>1736305</v>
      </c>
      <c r="D4" s="10">
        <v>3042772</v>
      </c>
      <c r="E4" s="183">
        <v>3202250</v>
      </c>
      <c r="F4" s="177">
        <v>1964431</v>
      </c>
      <c r="G4" s="177">
        <f>F4</f>
        <v>1964431</v>
      </c>
    </row>
    <row r="5" spans="1:10" x14ac:dyDescent="0.25">
      <c r="A5" s="187" t="s">
        <v>20</v>
      </c>
      <c r="B5" s="7" t="s">
        <v>21</v>
      </c>
      <c r="C5" s="8">
        <v>984</v>
      </c>
      <c r="D5" s="8">
        <v>2640</v>
      </c>
      <c r="E5" s="182">
        <v>1288</v>
      </c>
      <c r="F5" s="176">
        <v>1853</v>
      </c>
      <c r="G5" s="178">
        <v>5896</v>
      </c>
    </row>
    <row r="6" spans="1:10" x14ac:dyDescent="0.25">
      <c r="A6" s="187"/>
      <c r="B6" s="7" t="s">
        <v>17</v>
      </c>
      <c r="C6" s="34">
        <v>4454662</v>
      </c>
      <c r="D6" s="9">
        <v>4454662</v>
      </c>
      <c r="E6" s="184">
        <v>4386109</v>
      </c>
      <c r="F6" s="177">
        <f>E6</f>
        <v>4386109</v>
      </c>
      <c r="G6" s="177">
        <v>11250895</v>
      </c>
    </row>
    <row r="7" spans="1:10" x14ac:dyDescent="0.25">
      <c r="A7" s="187" t="s">
        <v>22</v>
      </c>
      <c r="B7" s="7" t="s">
        <v>23</v>
      </c>
      <c r="C7" s="8">
        <v>5180</v>
      </c>
      <c r="D7" s="8">
        <v>2120</v>
      </c>
      <c r="E7" s="182">
        <v>1206</v>
      </c>
      <c r="F7" s="176">
        <v>1134</v>
      </c>
      <c r="G7" s="176">
        <f t="shared" ref="G7:G12" si="0">D7</f>
        <v>2120</v>
      </c>
    </row>
    <row r="8" spans="1:10" x14ac:dyDescent="0.25">
      <c r="A8" s="187"/>
      <c r="B8" s="7" t="s">
        <v>17</v>
      </c>
      <c r="C8" s="9">
        <v>8740587</v>
      </c>
      <c r="D8" s="9">
        <v>3577229</v>
      </c>
      <c r="E8" s="184">
        <v>3522178</v>
      </c>
      <c r="F8" s="177">
        <f>E8</f>
        <v>3522178</v>
      </c>
      <c r="G8" s="177">
        <f t="shared" si="0"/>
        <v>3577229</v>
      </c>
    </row>
    <row r="9" spans="1:10" x14ac:dyDescent="0.25">
      <c r="A9" s="187" t="s">
        <v>24</v>
      </c>
      <c r="B9" s="7" t="s">
        <v>25</v>
      </c>
      <c r="C9" s="8">
        <v>3668</v>
      </c>
      <c r="D9" s="8">
        <v>6957</v>
      </c>
      <c r="E9" s="182">
        <v>5874</v>
      </c>
      <c r="F9" s="176">
        <v>4772</v>
      </c>
      <c r="G9" s="176">
        <f t="shared" si="0"/>
        <v>6957</v>
      </c>
      <c r="J9" s="121"/>
    </row>
    <row r="10" spans="1:10" x14ac:dyDescent="0.25">
      <c r="A10" s="187"/>
      <c r="B10" s="7" t="s">
        <v>17</v>
      </c>
      <c r="C10" s="9">
        <v>6189280</v>
      </c>
      <c r="D10" s="9">
        <v>11739047</v>
      </c>
      <c r="E10" s="184">
        <v>9759093</v>
      </c>
      <c r="F10" s="181">
        <v>7928224</v>
      </c>
      <c r="G10" s="177">
        <f t="shared" si="0"/>
        <v>11739047</v>
      </c>
      <c r="I10" s="122"/>
    </row>
    <row r="11" spans="1:10" x14ac:dyDescent="0.25">
      <c r="A11" s="187" t="s">
        <v>26</v>
      </c>
      <c r="B11" s="7" t="s">
        <v>27</v>
      </c>
      <c r="C11" s="8">
        <v>3520</v>
      </c>
      <c r="D11" s="8">
        <v>5961</v>
      </c>
      <c r="E11" s="182">
        <v>10196</v>
      </c>
      <c r="F11" s="176">
        <v>6245</v>
      </c>
      <c r="G11" s="176">
        <f t="shared" si="0"/>
        <v>5961</v>
      </c>
      <c r="J11" s="121"/>
    </row>
    <row r="12" spans="1:10" x14ac:dyDescent="0.25">
      <c r="A12" s="187"/>
      <c r="B12" s="7" t="s">
        <v>17</v>
      </c>
      <c r="C12" s="9">
        <v>5939550</v>
      </c>
      <c r="D12" s="9">
        <v>10058425</v>
      </c>
      <c r="E12" s="184">
        <v>16939685</v>
      </c>
      <c r="F12" s="177">
        <v>10375475</v>
      </c>
      <c r="G12" s="177">
        <f t="shared" si="0"/>
        <v>10058425</v>
      </c>
      <c r="I12" s="122"/>
    </row>
    <row r="13" spans="1:10" x14ac:dyDescent="0.25">
      <c r="A13" s="187" t="s">
        <v>28</v>
      </c>
      <c r="B13" s="7" t="s">
        <v>29</v>
      </c>
      <c r="C13" s="8">
        <v>2593</v>
      </c>
      <c r="D13" s="8">
        <v>4274</v>
      </c>
      <c r="E13" s="182">
        <v>5349</v>
      </c>
      <c r="F13" s="178">
        <v>3034</v>
      </c>
      <c r="G13" s="176">
        <v>4878</v>
      </c>
      <c r="J13" s="121"/>
    </row>
    <row r="14" spans="1:10" x14ac:dyDescent="0.25">
      <c r="A14" s="187"/>
      <c r="B14" s="7" t="s">
        <v>17</v>
      </c>
      <c r="C14" s="9">
        <v>4712830</v>
      </c>
      <c r="D14" s="9">
        <v>7211829</v>
      </c>
      <c r="E14" s="184">
        <v>8886855</v>
      </c>
      <c r="F14" s="177">
        <v>5040703</v>
      </c>
      <c r="G14" s="177">
        <v>10962856</v>
      </c>
      <c r="I14" s="122"/>
    </row>
    <row r="15" spans="1:10" x14ac:dyDescent="0.25">
      <c r="A15" s="187" t="s">
        <v>30</v>
      </c>
      <c r="B15" s="7" t="s">
        <v>31</v>
      </c>
      <c r="C15" s="8">
        <v>1208</v>
      </c>
      <c r="D15" s="8">
        <v>3762</v>
      </c>
      <c r="E15" s="182">
        <v>2990</v>
      </c>
      <c r="F15" s="178">
        <v>2360</v>
      </c>
      <c r="G15" s="176">
        <v>6520</v>
      </c>
      <c r="J15" s="121"/>
    </row>
    <row r="16" spans="1:10" x14ac:dyDescent="0.25">
      <c r="A16" s="187"/>
      <c r="B16" s="7" t="s">
        <v>17</v>
      </c>
      <c r="C16" s="9">
        <v>3577229</v>
      </c>
      <c r="D16" s="9">
        <v>6347893</v>
      </c>
      <c r="E16" s="184">
        <v>4967601</v>
      </c>
      <c r="F16" s="177">
        <v>3920916</v>
      </c>
      <c r="G16" s="177">
        <v>7567905</v>
      </c>
      <c r="I16" s="122"/>
    </row>
    <row r="17" spans="1:10" x14ac:dyDescent="0.25">
      <c r="A17" s="187" t="s">
        <v>32</v>
      </c>
      <c r="B17" s="7" t="s">
        <v>33</v>
      </c>
      <c r="C17" s="8">
        <v>2168</v>
      </c>
      <c r="D17" s="8">
        <v>1558</v>
      </c>
      <c r="E17" s="182">
        <v>2375</v>
      </c>
      <c r="F17" s="176">
        <v>1446</v>
      </c>
      <c r="G17" s="176">
        <v>5675</v>
      </c>
      <c r="J17" s="121"/>
    </row>
    <row r="18" spans="1:10" x14ac:dyDescent="0.25">
      <c r="A18" s="187"/>
      <c r="B18" s="7" t="s">
        <v>17</v>
      </c>
      <c r="C18" s="34">
        <v>3658222</v>
      </c>
      <c r="D18" s="9">
        <v>3577229</v>
      </c>
      <c r="E18" s="184">
        <v>3945837</v>
      </c>
      <c r="F18" s="177">
        <v>3552178</v>
      </c>
      <c r="G18" s="177">
        <v>11284680</v>
      </c>
    </row>
    <row r="19" spans="1:10" x14ac:dyDescent="0.25">
      <c r="A19" s="187" t="s">
        <v>34</v>
      </c>
      <c r="B19" s="7" t="s">
        <v>35</v>
      </c>
      <c r="C19" s="8">
        <v>5120</v>
      </c>
      <c r="D19" s="8">
        <v>4766</v>
      </c>
      <c r="E19" s="182">
        <v>5456</v>
      </c>
      <c r="F19" s="176">
        <v>5669</v>
      </c>
      <c r="G19" s="178">
        <f>E19</f>
        <v>5456</v>
      </c>
      <c r="J19" s="121"/>
    </row>
    <row r="20" spans="1:10" x14ac:dyDescent="0.25">
      <c r="A20" s="187"/>
      <c r="B20" s="7" t="s">
        <v>17</v>
      </c>
      <c r="C20" s="9">
        <v>8639345</v>
      </c>
      <c r="D20" s="9">
        <v>8042015</v>
      </c>
      <c r="E20" s="184">
        <v>9064625</v>
      </c>
      <c r="F20" s="177">
        <v>9418504</v>
      </c>
      <c r="G20" s="179">
        <f>E20</f>
        <v>9064625</v>
      </c>
    </row>
    <row r="21" spans="1:10" x14ac:dyDescent="0.25">
      <c r="A21" s="187" t="s">
        <v>36</v>
      </c>
      <c r="B21" s="7" t="s">
        <v>37</v>
      </c>
      <c r="C21" s="8">
        <v>2678</v>
      </c>
      <c r="D21" s="8">
        <v>2690</v>
      </c>
      <c r="E21" s="182">
        <v>2890</v>
      </c>
      <c r="F21" s="176">
        <v>3117</v>
      </c>
      <c r="G21" s="178">
        <v>2980</v>
      </c>
      <c r="J21" s="121"/>
    </row>
    <row r="22" spans="1:10" x14ac:dyDescent="0.25">
      <c r="A22" s="188"/>
      <c r="B22" s="7" t="s">
        <v>17</v>
      </c>
      <c r="C22" s="9">
        <v>4518783</v>
      </c>
      <c r="D22" s="9">
        <v>4539030</v>
      </c>
      <c r="E22" s="184">
        <v>4801460</v>
      </c>
      <c r="F22" s="177">
        <v>5178600</v>
      </c>
      <c r="G22" s="177">
        <v>4902560</v>
      </c>
    </row>
    <row r="23" spans="1:10" x14ac:dyDescent="0.25">
      <c r="A23" s="189"/>
      <c r="B23" s="190" t="s">
        <v>38</v>
      </c>
      <c r="C23" s="191">
        <f t="shared" ref="C23:E23" si="1">C21+C19+C17+C15+C13+C11+C9+C7+C5+C3</f>
        <v>29280</v>
      </c>
      <c r="D23" s="191">
        <f t="shared" si="1"/>
        <v>36703</v>
      </c>
      <c r="E23" s="192">
        <f t="shared" si="1"/>
        <v>39735</v>
      </c>
      <c r="F23" s="193">
        <f>F21+F19+F17+J15+J13+F11+F9+F7+F5+F3+F15+F13</f>
        <v>30925</v>
      </c>
      <c r="G23" s="194">
        <f t="shared" ref="G23" si="2">G21+G19+G17+G15+G13+G11+G9+G7+G5+G3</f>
        <v>48603</v>
      </c>
    </row>
    <row r="24" spans="1:10" x14ac:dyDescent="0.25">
      <c r="A24" s="178"/>
      <c r="B24" s="195" t="s">
        <v>45</v>
      </c>
      <c r="C24" s="191">
        <f t="shared" ref="C24:E24" si="3">C22+C20+C18+C16+C14+C12+C10+C8+C6+C4</f>
        <v>52166793</v>
      </c>
      <c r="D24" s="191">
        <f t="shared" si="3"/>
        <v>62590131</v>
      </c>
      <c r="E24" s="192">
        <f t="shared" si="3"/>
        <v>69475693</v>
      </c>
      <c r="F24" s="194">
        <f>F22+F20+F18+F16+F14+F12+F10+F8+F6+F4</f>
        <v>55287318</v>
      </c>
      <c r="G24" s="194">
        <f>G22+G20+G18+G16+G14+G12+G10+G8+G6+G4</f>
        <v>82372653</v>
      </c>
    </row>
    <row r="25" spans="1:10" s="6" customFormat="1" ht="15.75" thickBot="1" x14ac:dyDescent="0.3">
      <c r="A25" s="132"/>
      <c r="B25" s="285"/>
      <c r="C25" s="285"/>
      <c r="D25" s="285"/>
      <c r="E25" s="286"/>
      <c r="F25" s="180"/>
      <c r="G25" s="185" t="s">
        <v>1</v>
      </c>
    </row>
    <row r="26" spans="1:10" x14ac:dyDescent="0.25">
      <c r="A26" s="4" t="s">
        <v>77</v>
      </c>
      <c r="C26" s="4">
        <f t="shared" ref="C26" si="4">C24/C23</f>
        <v>1781.6527663934426</v>
      </c>
      <c r="D26" s="4" t="s">
        <v>58</v>
      </c>
    </row>
  </sheetData>
  <mergeCells count="2">
    <mergeCell ref="A2:B2"/>
    <mergeCell ref="B25:E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42" sqref="A42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51" t="s">
        <v>59</v>
      </c>
    </row>
    <row r="2" spans="1:3" ht="18.75" x14ac:dyDescent="0.3">
      <c r="A2" s="287">
        <v>44166</v>
      </c>
      <c r="B2" s="288"/>
      <c r="C2" s="288"/>
    </row>
    <row r="3" spans="1:3" x14ac:dyDescent="0.25">
      <c r="A3" s="290" t="s">
        <v>4</v>
      </c>
      <c r="B3" s="289" t="s">
        <v>5</v>
      </c>
      <c r="C3" s="289" t="s">
        <v>6</v>
      </c>
    </row>
    <row r="4" spans="1:3" x14ac:dyDescent="0.25">
      <c r="A4" s="290"/>
      <c r="B4" s="289"/>
      <c r="C4" s="289"/>
    </row>
    <row r="5" spans="1:3" x14ac:dyDescent="0.25">
      <c r="A5" s="290"/>
      <c r="B5" s="289"/>
      <c r="C5" s="289"/>
    </row>
    <row r="6" spans="1:3" x14ac:dyDescent="0.25">
      <c r="A6" s="2">
        <v>1</v>
      </c>
      <c r="B6" s="2">
        <v>2</v>
      </c>
      <c r="C6" s="2">
        <v>44</v>
      </c>
    </row>
    <row r="7" spans="1:3" x14ac:dyDescent="0.25">
      <c r="A7" s="2">
        <v>2</v>
      </c>
      <c r="B7" s="2">
        <v>1</v>
      </c>
      <c r="C7" s="2">
        <v>52</v>
      </c>
    </row>
    <row r="8" spans="1:3" x14ac:dyDescent="0.25">
      <c r="A8" s="2">
        <f>A7+1</f>
        <v>3</v>
      </c>
      <c r="B8" s="2">
        <v>5</v>
      </c>
      <c r="C8" s="2">
        <v>74</v>
      </c>
    </row>
    <row r="9" spans="1:3" x14ac:dyDescent="0.25">
      <c r="A9" s="2">
        <f>A8+1</f>
        <v>4</v>
      </c>
      <c r="B9" s="2">
        <v>10</v>
      </c>
      <c r="C9" s="2">
        <v>115</v>
      </c>
    </row>
    <row r="10" spans="1:3" x14ac:dyDescent="0.25">
      <c r="A10" s="2">
        <f t="shared" ref="A10:A36" si="0">A9+1</f>
        <v>5</v>
      </c>
      <c r="B10" s="2">
        <v>9</v>
      </c>
      <c r="C10" s="2">
        <v>138</v>
      </c>
    </row>
    <row r="11" spans="1:3" x14ac:dyDescent="0.25">
      <c r="A11" s="2">
        <f t="shared" si="0"/>
        <v>6</v>
      </c>
      <c r="B11" s="2">
        <v>6</v>
      </c>
      <c r="C11" s="2">
        <v>66</v>
      </c>
    </row>
    <row r="12" spans="1:3" x14ac:dyDescent="0.25">
      <c r="A12" s="2">
        <f t="shared" si="0"/>
        <v>7</v>
      </c>
      <c r="B12" s="2">
        <v>2</v>
      </c>
      <c r="C12" s="2">
        <v>45</v>
      </c>
    </row>
    <row r="13" spans="1:3" x14ac:dyDescent="0.25">
      <c r="A13" s="2">
        <f t="shared" si="0"/>
        <v>8</v>
      </c>
      <c r="B13" s="2">
        <v>2</v>
      </c>
      <c r="C13" s="2">
        <v>49</v>
      </c>
    </row>
    <row r="14" spans="1:3" x14ac:dyDescent="0.25">
      <c r="A14" s="2">
        <f t="shared" si="0"/>
        <v>9</v>
      </c>
      <c r="B14" s="2">
        <v>6</v>
      </c>
      <c r="C14" s="2">
        <v>82</v>
      </c>
    </row>
    <row r="15" spans="1:3" x14ac:dyDescent="0.25">
      <c r="A15" s="2">
        <f t="shared" si="0"/>
        <v>10</v>
      </c>
      <c r="B15" s="2">
        <v>8</v>
      </c>
      <c r="C15" s="2">
        <v>88</v>
      </c>
    </row>
    <row r="16" spans="1:3" x14ac:dyDescent="0.25">
      <c r="A16" s="2">
        <f t="shared" si="0"/>
        <v>11</v>
      </c>
      <c r="B16" s="2">
        <v>8</v>
      </c>
      <c r="C16" s="2">
        <v>116</v>
      </c>
    </row>
    <row r="17" spans="1:3" x14ac:dyDescent="0.25">
      <c r="A17" s="2">
        <f t="shared" si="0"/>
        <v>12</v>
      </c>
      <c r="B17" s="2">
        <v>8</v>
      </c>
      <c r="C17" s="2">
        <v>136</v>
      </c>
    </row>
    <row r="18" spans="1:3" x14ac:dyDescent="0.25">
      <c r="A18" s="2">
        <f t="shared" si="0"/>
        <v>13</v>
      </c>
      <c r="B18" s="2">
        <v>10</v>
      </c>
      <c r="C18" s="2">
        <v>83</v>
      </c>
    </row>
    <row r="19" spans="1:3" x14ac:dyDescent="0.25">
      <c r="A19" s="2">
        <f t="shared" si="0"/>
        <v>14</v>
      </c>
      <c r="B19" s="2">
        <v>9</v>
      </c>
      <c r="C19" s="2">
        <v>64</v>
      </c>
    </row>
    <row r="20" spans="1:3" x14ac:dyDescent="0.25">
      <c r="A20" s="2">
        <f t="shared" si="0"/>
        <v>15</v>
      </c>
      <c r="B20" s="2">
        <v>11</v>
      </c>
      <c r="C20" s="2">
        <v>80</v>
      </c>
    </row>
    <row r="21" spans="1:3" x14ac:dyDescent="0.25">
      <c r="A21" s="2">
        <f t="shared" si="0"/>
        <v>16</v>
      </c>
      <c r="B21" s="2">
        <v>18</v>
      </c>
      <c r="C21" s="2">
        <v>115</v>
      </c>
    </row>
    <row r="22" spans="1:3" x14ac:dyDescent="0.25">
      <c r="A22" s="2">
        <f t="shared" si="0"/>
        <v>17</v>
      </c>
      <c r="B22" s="2">
        <v>21</v>
      </c>
      <c r="C22" s="2">
        <v>121</v>
      </c>
    </row>
    <row r="23" spans="1:3" x14ac:dyDescent="0.25">
      <c r="A23" s="2">
        <f t="shared" si="0"/>
        <v>18</v>
      </c>
      <c r="B23" s="2">
        <v>26</v>
      </c>
      <c r="C23" s="2">
        <v>140</v>
      </c>
    </row>
    <row r="24" spans="1:3" x14ac:dyDescent="0.25">
      <c r="A24" s="2">
        <f t="shared" si="0"/>
        <v>19</v>
      </c>
      <c r="B24" s="2">
        <v>24</v>
      </c>
      <c r="C24" s="2">
        <v>137</v>
      </c>
    </row>
    <row r="25" spans="1:3" x14ac:dyDescent="0.25">
      <c r="A25" s="2">
        <f t="shared" si="0"/>
        <v>20</v>
      </c>
      <c r="B25" s="2">
        <v>24</v>
      </c>
      <c r="C25" s="2">
        <v>121</v>
      </c>
    </row>
    <row r="26" spans="1:3" x14ac:dyDescent="0.25">
      <c r="A26" s="2">
        <f t="shared" si="0"/>
        <v>21</v>
      </c>
      <c r="B26" s="2">
        <v>18</v>
      </c>
      <c r="C26" s="2">
        <v>120</v>
      </c>
    </row>
    <row r="27" spans="1:3" x14ac:dyDescent="0.25">
      <c r="A27" s="2">
        <f t="shared" si="0"/>
        <v>22</v>
      </c>
      <c r="B27" s="2">
        <v>16</v>
      </c>
      <c r="C27" s="2">
        <v>174</v>
      </c>
    </row>
    <row r="28" spans="1:3" x14ac:dyDescent="0.25">
      <c r="A28" s="2">
        <f t="shared" si="0"/>
        <v>23</v>
      </c>
      <c r="B28" s="2">
        <v>10</v>
      </c>
      <c r="C28" s="2">
        <v>130</v>
      </c>
    </row>
    <row r="29" spans="1:3" x14ac:dyDescent="0.25">
      <c r="A29" s="2">
        <f t="shared" si="0"/>
        <v>24</v>
      </c>
      <c r="B29" s="2">
        <v>15</v>
      </c>
      <c r="C29" s="2">
        <v>215</v>
      </c>
    </row>
    <row r="30" spans="1:3" x14ac:dyDescent="0.25">
      <c r="A30" s="2">
        <f t="shared" si="0"/>
        <v>25</v>
      </c>
      <c r="B30" s="2">
        <v>22</v>
      </c>
      <c r="C30" s="2">
        <v>268</v>
      </c>
    </row>
    <row r="31" spans="1:3" x14ac:dyDescent="0.25">
      <c r="A31" s="2">
        <f t="shared" si="0"/>
        <v>26</v>
      </c>
      <c r="B31" s="2">
        <v>27</v>
      </c>
      <c r="C31" s="2">
        <v>284</v>
      </c>
    </row>
    <row r="32" spans="1:3" x14ac:dyDescent="0.25">
      <c r="A32" s="2">
        <f t="shared" si="0"/>
        <v>27</v>
      </c>
      <c r="B32" s="2">
        <v>27</v>
      </c>
      <c r="C32" s="2">
        <v>214</v>
      </c>
    </row>
    <row r="33" spans="1:3" x14ac:dyDescent="0.25">
      <c r="A33" s="2">
        <f t="shared" si="0"/>
        <v>28</v>
      </c>
      <c r="B33" s="2">
        <v>24</v>
      </c>
      <c r="C33" s="2">
        <v>230</v>
      </c>
    </row>
    <row r="34" spans="1:3" x14ac:dyDescent="0.25">
      <c r="A34" s="2">
        <f t="shared" si="0"/>
        <v>29</v>
      </c>
      <c r="B34" s="2">
        <v>26</v>
      </c>
      <c r="C34" s="2">
        <v>293</v>
      </c>
    </row>
    <row r="35" spans="1:3" x14ac:dyDescent="0.25">
      <c r="A35" s="2">
        <f t="shared" si="0"/>
        <v>30</v>
      </c>
      <c r="B35" s="2">
        <v>36</v>
      </c>
      <c r="C35" s="2">
        <v>377</v>
      </c>
    </row>
    <row r="36" spans="1:3" x14ac:dyDescent="0.25">
      <c r="A36" s="2">
        <f t="shared" si="0"/>
        <v>31</v>
      </c>
      <c r="B36" s="2">
        <v>38</v>
      </c>
      <c r="C36" s="2">
        <v>427</v>
      </c>
    </row>
    <row r="38" spans="1:3" x14ac:dyDescent="0.25">
      <c r="B38" s="6">
        <f>SUM(B6:B37)</f>
        <v>469</v>
      </c>
      <c r="C38" s="6">
        <f>SUM(C6:C37)</f>
        <v>4598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ed2f2222-2bff-489f-89bb-9539c67e7b9c"/>
    <ds:schemaRef ds:uri="http://schemas.microsoft.com/office/infopath/2007/PartnerControls"/>
    <ds:schemaRef ds:uri="77842aba-bda6-4832-96cd-e75cb532429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November 2020</vt:lpstr>
      <vt:lpstr>Electricity Residences </vt:lpstr>
      <vt:lpstr>December'20 RNs &amp; Covers Fcst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Joe El Khoury</cp:lastModifiedBy>
  <cp:lastPrinted>2020-11-17T04:34:44Z</cp:lastPrinted>
  <dcterms:created xsi:type="dcterms:W3CDTF">2020-09-16T08:52:25Z</dcterms:created>
  <dcterms:modified xsi:type="dcterms:W3CDTF">2020-12-09T13:29:49Z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