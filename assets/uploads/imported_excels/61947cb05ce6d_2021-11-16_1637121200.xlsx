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1" i="4" l="1"/>
  <c r="O18" i="4"/>
  <c r="AE15" i="1" l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T15" i="1" l="1"/>
  <c r="U15" i="1" s="1"/>
  <c r="U15" i="2"/>
  <c r="R15" i="2"/>
  <c r="Q15" i="2"/>
  <c r="O15" i="2"/>
  <c r="M15" i="2"/>
  <c r="I15" i="2"/>
  <c r="G15" i="2"/>
  <c r="AD16" i="1" l="1"/>
  <c r="AD17" i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E12" i="1"/>
  <c r="AE13" i="1"/>
  <c r="AE11" i="1"/>
  <c r="W13" i="4" l="1"/>
  <c r="S13" i="4"/>
  <c r="Q13" i="4"/>
  <c r="O13" i="4"/>
  <c r="Z13" i="4" s="1"/>
  <c r="M13" i="4"/>
  <c r="K13" i="4"/>
  <c r="H13" i="4"/>
  <c r="F13" i="4"/>
  <c r="X13" i="4" l="1"/>
  <c r="I13" i="4"/>
  <c r="Y13" i="4" s="1"/>
  <c r="W12" i="4"/>
  <c r="AE14" i="1" l="1"/>
  <c r="AB18" i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C32" i="1" s="1"/>
  <c r="X19" i="1" l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Z19" i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K10" i="2"/>
  <c r="AE16" i="1" l="1"/>
  <c r="K4" i="4"/>
  <c r="N19" i="1" l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9" i="4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19" i="4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T19" i="2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R2" i="2"/>
  <c r="Q19" i="1" l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AE17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E18" i="1" l="1"/>
  <c r="AC25" i="1"/>
  <c r="AE19" i="1" l="1"/>
  <c r="AC27" i="1"/>
  <c r="AC26" i="1"/>
  <c r="D18" i="4"/>
  <c r="AE20" i="1" l="1"/>
  <c r="AA30" i="1"/>
  <c r="AC28" i="1"/>
  <c r="AC4" i="1"/>
  <c r="AC5" i="1"/>
  <c r="AC6" i="1"/>
  <c r="AC7" i="1"/>
  <c r="AC8" i="1"/>
  <c r="AE21" i="1" l="1"/>
  <c r="AC29" i="1"/>
  <c r="C11" i="5"/>
  <c r="AE22" i="1" l="1"/>
  <c r="AC30" i="1"/>
  <c r="C9" i="5"/>
  <c r="O10" i="1"/>
  <c r="AE23" i="1" l="1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AE24" i="1" l="1"/>
  <c r="Y3" i="1"/>
  <c r="AA4" i="1"/>
  <c r="J3" i="2"/>
  <c r="AE25" i="1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AE26" i="1" l="1"/>
  <c r="E15" i="2"/>
  <c r="G25" i="2"/>
  <c r="AE27" i="1" l="1"/>
  <c r="R14" i="2"/>
  <c r="R17" i="2" s="1"/>
  <c r="R18" i="2" s="1"/>
  <c r="R21" i="2" s="1"/>
  <c r="R24" i="2" s="1"/>
  <c r="R25" i="2" s="1"/>
  <c r="R26" i="2" s="1"/>
  <c r="R27" i="2" s="1"/>
  <c r="AE28" i="1" l="1"/>
  <c r="M26" i="2"/>
  <c r="AE29" i="1" l="1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E30" i="1" l="1"/>
  <c r="AA33" i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AE32" i="1" l="1"/>
  <c r="AE31" i="1"/>
  <c r="D22" i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AE33" i="1" l="1"/>
  <c r="Q20" i="2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<sst xmlns="http://schemas.openxmlformats.org/spreadsheetml/2006/main" count="441" uniqueCount="148">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</sst>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36" sqref="P3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6">
        <v>1.27</v>
      </c>
      <c r="G8" s="42">
        <f>Gas!C9*0.9147</f>
        <v>2001.3635999999999</v>
      </c>
      <c r="H8" s="147">
        <v>3.65</v>
      </c>
      <c r="I8" s="149">
        <f>Submetering!H8+Submetering!AD8+Submetering!AE8</f>
        <v>806</v>
      </c>
      <c r="J8" s="149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6">
        <v>1.27</v>
      </c>
      <c r="G9" s="42">
        <f>Gas!C10*0.9147</f>
        <v>2802.6407999999997</v>
      </c>
      <c r="H9" s="147">
        <v>3.65</v>
      </c>
      <c r="I9" s="149">
        <f>Submetering!H9+Submetering!AD9+Submetering!AE9</f>
        <v>766</v>
      </c>
      <c r="J9" s="149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6">
        <v>1.27</v>
      </c>
      <c r="G10" s="42">
        <f>Gas!C11*0.9147</f>
        <v>2166.9242999999997</v>
      </c>
      <c r="H10" s="147">
        <v>3.65</v>
      </c>
      <c r="I10" s="149">
        <f>Submetering!H10+Submetering!AD10+Submetering!AE10</f>
        <v>816</v>
      </c>
      <c r="J10" s="149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6">
        <v>1.27</v>
      </c>
      <c r="G11" s="42">
        <f>Gas!C12*0.9147</f>
        <v>2081.8571999999999</v>
      </c>
      <c r="H11" s="147">
        <v>3.65</v>
      </c>
      <c r="I11" s="149">
        <f>Submetering!H11+Submetering!AD11+Submetering!AE11</f>
        <v>755.99999999999989</v>
      </c>
      <c r="J11" s="149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6">
        <v>1.27</v>
      </c>
      <c r="G12" s="42">
        <f>Gas!C13*0.9147</f>
        <v>2198.9387999999999</v>
      </c>
      <c r="H12" s="147">
        <v>3.65</v>
      </c>
      <c r="I12" s="149">
        <f>Submetering!H12+Submetering!AD12+Submetering!AE12</f>
        <v>776.00000000000011</v>
      </c>
      <c r="J12" s="149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6">
        <v>1.27</v>
      </c>
      <c r="G13" s="42">
        <f>Gas!C14*0.9147</f>
        <v>2158.692</v>
      </c>
      <c r="H13" s="147">
        <v>3.65</v>
      </c>
      <c r="I13" s="149">
        <f>Submetering!H13+Submetering!AD13+Submetering!AE13</f>
        <v>656</v>
      </c>
      <c r="J13" s="149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6">
        <v>1.27</v>
      </c>
      <c r="G14" s="42">
        <f>Gas!C15*0.9147</f>
        <v>2133.0803999999998</v>
      </c>
      <c r="H14" s="147">
        <v>3.65</v>
      </c>
      <c r="I14" s="149">
        <f>Submetering!H14+Submetering!AD14+Submetering!AE14</f>
        <v>745.99999999999989</v>
      </c>
      <c r="J14" s="149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6">
        <v>1.27</v>
      </c>
      <c r="G15" s="42">
        <f>Gas!C16*0.9147</f>
        <v>2022.4016999999999</v>
      </c>
      <c r="H15" s="147">
        <v>3.65</v>
      </c>
      <c r="I15" s="149">
        <f>Submetering!H15+Submetering!AD15+Submetering!AE15</f>
        <v>726</v>
      </c>
      <c r="J15" s="149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6">
        <v>1.27</v>
      </c>
      <c r="G16" s="42">
        <f>Gas!C17*0.9147</f>
        <v>2198.0241000000001</v>
      </c>
      <c r="H16" s="147">
        <v>3.65</v>
      </c>
      <c r="I16" s="149">
        <f>Submetering!H16+Submetering!AD16+Submetering!AE16</f>
        <v>725.99999999999989</v>
      </c>
      <c r="J16" s="149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69779.103659999993</v>
      </c>
      <c r="F17" s="146">
        <v>1.27</v>
      </c>
      <c r="G17" s="42">
        <f>Gas!C18*0.9147</f>
        <v>2281.2617999999998</v>
      </c>
      <c r="H17" s="147">
        <v>3.65</v>
      </c>
      <c r="I17" s="149">
        <f>Submetering!H17+Submetering!AD17+Submetering!AE17</f>
        <v>716</v>
      </c>
      <c r="J17" s="149">
        <v>10.029999999999999</v>
      </c>
      <c r="K17" s="42">
        <f>ELECT.!B18</f>
        <v>250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D23" sqref="D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910</v>
      </c>
      <c r="F17" s="42">
        <f>Water!E18</f>
        <v>0</v>
      </c>
      <c r="G17" s="42">
        <f>Water!G18</f>
        <v>440.1</v>
      </c>
      <c r="H17" s="42">
        <f>Water!I18</f>
        <v>4.8600000000000003</v>
      </c>
      <c r="I17" s="42">
        <f>ELECT.!F18</f>
        <v>12986</v>
      </c>
      <c r="J17" s="42">
        <f>ELECT.!H18</f>
        <v>59680</v>
      </c>
      <c r="K17" s="42">
        <f>ELECT.!K18</f>
        <v>6524</v>
      </c>
      <c r="L17" s="42">
        <f>ELECT.!M18</f>
        <v>8267</v>
      </c>
      <c r="M17" s="42">
        <f>ELECT.!O18</f>
        <v>4550</v>
      </c>
      <c r="N17" s="42">
        <f>ELECT.!Q18</f>
        <v>13935</v>
      </c>
      <c r="O17" s="42">
        <f>ELECT.!S18</f>
        <v>12127</v>
      </c>
      <c r="P17" s="42">
        <f>ELECT.!W18*2</f>
        <v>25738</v>
      </c>
      <c r="Q17" s="42">
        <f>ELECT.!D18</f>
        <v>800</v>
      </c>
      <c r="R17" s="43">
        <f>BTU!C18</f>
        <v>5.294000000001688</v>
      </c>
      <c r="S17" s="43">
        <f>BTU!F18</f>
        <v>1.9659999999998945</v>
      </c>
      <c r="T17" s="43">
        <f>BTU!I18</f>
        <v>5</v>
      </c>
      <c r="U17" s="43">
        <f>BTU!O18</f>
        <v>1.5109999999999673</v>
      </c>
      <c r="V17" s="43">
        <f>BTU!L18</f>
        <v>1.2399999999997817</v>
      </c>
      <c r="W17" s="43">
        <f>BTU!R18</f>
        <v>2.0799999999999272</v>
      </c>
      <c r="X17" s="40">
        <f>ELECT.!B18</f>
        <v>250</v>
      </c>
      <c r="Y17" s="40">
        <f t="shared" si="0"/>
        <v>1525</v>
      </c>
      <c r="Z17">
        <f>'Mall, Citadel, Rotana'!C18+'Mall, Citadel, Rotana'!E18+'Mall, Citadel, Rotana'!G18+'Mall, Citadel, Rotana'!I18</f>
        <v>1396</v>
      </c>
      <c r="AA17">
        <f>'Mall, Citadel, Rotana'!K18+'Mall, Citadel, Rotana'!M18</f>
        <v>480</v>
      </c>
      <c r="AB17">
        <f>'Mall, Citadel, Rotana'!O18</f>
        <v>3</v>
      </c>
      <c r="AC17">
        <f>'Mall, Citadel, Rotana'!Q18+'Mall, Citadel, Rotana'!S18</f>
        <v>125</v>
      </c>
      <c r="AD17" s="40">
        <f t="shared" si="1"/>
        <v>93.728251999999998</v>
      </c>
      <c r="AE17" s="40">
        <f t="shared" si="2"/>
        <v>617.41174799999999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 t="str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D45" sqref="D45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v>46209</v>
      </c>
      <c r="C18" s="16">
        <f t="shared" si="1"/>
        <v>800</v>
      </c>
      <c r="D18" s="37">
        <v>40039</v>
      </c>
      <c r="E18" s="16">
        <f t="shared" si="2"/>
        <v>480</v>
      </c>
      <c r="F18" s="37">
        <v>21006</v>
      </c>
      <c r="G18" s="16">
        <f t="shared" si="3"/>
        <v>80</v>
      </c>
      <c r="H18" s="37">
        <v>251758</v>
      </c>
      <c r="I18" s="16">
        <f t="shared" si="4"/>
        <v>36</v>
      </c>
      <c r="J18" s="37">
        <v>303517</v>
      </c>
      <c r="K18" s="16">
        <f t="shared" si="5"/>
        <v>0</v>
      </c>
      <c r="L18" s="37">
        <v>25588</v>
      </c>
      <c r="M18" s="16">
        <f t="shared" si="6"/>
        <v>480</v>
      </c>
      <c r="N18" s="37">
        <v>216076</v>
      </c>
      <c r="O18" s="16">
        <f t="shared" si="7"/>
        <v>3</v>
      </c>
      <c r="P18" s="37">
        <v>130920</v>
      </c>
      <c r="Q18" s="16">
        <f t="shared" si="8"/>
        <v>125</v>
      </c>
      <c r="R18" s="1">
        <f t="shared" si="12"/>
        <v>55047</v>
      </c>
      <c r="S18" s="16">
        <f t="shared" si="9"/>
        <v>0</v>
      </c>
      <c r="T18" s="37">
        <v>3839</v>
      </c>
      <c r="U18" s="16">
        <f t="shared" si="10"/>
        <v>160</v>
      </c>
    </row>
    <row r="19" spans="1:23" ht="13.5" thickBot="1" x14ac:dyDescent="0.25">
      <c r="A19" s="10">
        <v>44517</v>
      </c>
      <c r="B19" s="37">
        <f t="shared" ref="B18:B32" si="19">B18</f>
        <v>46209</v>
      </c>
      <c r="C19" s="16">
        <f t="shared" si="1"/>
        <v>0</v>
      </c>
      <c r="D19" s="37">
        <f t="shared" ref="D18:D32" si="20">D18</f>
        <v>40039</v>
      </c>
      <c r="E19" s="16">
        <f t="shared" si="2"/>
        <v>0</v>
      </c>
      <c r="F19" s="37">
        <f t="shared" ref="F18:F32" si="21">F18</f>
        <v>21006</v>
      </c>
      <c r="G19" s="16">
        <f t="shared" si="3"/>
        <v>0</v>
      </c>
      <c r="H19" s="37">
        <f t="shared" ref="H18:H32" si="22">H18</f>
        <v>251758</v>
      </c>
      <c r="I19" s="16">
        <f t="shared" si="4"/>
        <v>0</v>
      </c>
      <c r="J19" s="37">
        <v>303517</v>
      </c>
      <c r="K19" s="16">
        <f t="shared" si="5"/>
        <v>0</v>
      </c>
      <c r="L19" s="37">
        <f t="shared" ref="L18:L32" si="23">L18</f>
        <v>25588</v>
      </c>
      <c r="M19" s="16">
        <f t="shared" si="6"/>
        <v>0</v>
      </c>
      <c r="N19" s="37">
        <f t="shared" ref="N18:N32" si="24">N18</f>
        <v>216076</v>
      </c>
      <c r="O19" s="16">
        <f t="shared" si="7"/>
        <v>0</v>
      </c>
      <c r="P19" s="37">
        <f t="shared" si="11"/>
        <v>130920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ref="T18:T32" si="25">T18</f>
        <v>3839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44518</v>
      </c>
      <c r="B20" s="37">
        <f t="shared" si="19"/>
        <v>46209</v>
      </c>
      <c r="C20" s="16">
        <f t="shared" si="1"/>
        <v>0</v>
      </c>
      <c r="D20" s="37">
        <f t="shared" si="20"/>
        <v>40039</v>
      </c>
      <c r="E20" s="16">
        <f t="shared" si="2"/>
        <v>0</v>
      </c>
      <c r="F20" s="37">
        <f t="shared" si="21"/>
        <v>21006</v>
      </c>
      <c r="G20" s="16">
        <f t="shared" si="3"/>
        <v>0</v>
      </c>
      <c r="H20" s="37">
        <f t="shared" si="22"/>
        <v>251758</v>
      </c>
      <c r="I20" s="16">
        <f t="shared" si="4"/>
        <v>0</v>
      </c>
      <c r="J20" s="37">
        <v>303517</v>
      </c>
      <c r="K20" s="16">
        <v>0</v>
      </c>
      <c r="L20" s="37">
        <f t="shared" si="23"/>
        <v>25588</v>
      </c>
      <c r="M20" s="16">
        <f t="shared" si="6"/>
        <v>0</v>
      </c>
      <c r="N20" s="37">
        <f t="shared" si="24"/>
        <v>216076</v>
      </c>
      <c r="O20" s="16">
        <f t="shared" si="7"/>
        <v>0</v>
      </c>
      <c r="P20" s="37">
        <f t="shared" si="11"/>
        <v>130920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25"/>
        <v>3839</v>
      </c>
      <c r="U20" s="16">
        <f t="shared" si="10"/>
        <v>0</v>
      </c>
    </row>
    <row r="21" spans="1:23" ht="13.5" thickBot="1" x14ac:dyDescent="0.25">
      <c r="A21" s="10">
        <v>44519</v>
      </c>
      <c r="B21" s="37">
        <f t="shared" si="19"/>
        <v>46209</v>
      </c>
      <c r="C21" s="16">
        <f t="shared" si="1"/>
        <v>0</v>
      </c>
      <c r="D21" s="37">
        <f t="shared" si="20"/>
        <v>40039</v>
      </c>
      <c r="E21" s="16">
        <f t="shared" si="2"/>
        <v>0</v>
      </c>
      <c r="F21" s="37">
        <f t="shared" si="21"/>
        <v>21006</v>
      </c>
      <c r="G21" s="16">
        <f t="shared" si="3"/>
        <v>0</v>
      </c>
      <c r="H21" s="37">
        <f t="shared" si="22"/>
        <v>251758</v>
      </c>
      <c r="I21" s="16">
        <f t="shared" si="4"/>
        <v>0</v>
      </c>
      <c r="J21" s="37">
        <v>303517</v>
      </c>
      <c r="K21" s="16">
        <f t="shared" si="5"/>
        <v>0</v>
      </c>
      <c r="L21" s="37">
        <f t="shared" si="23"/>
        <v>25588</v>
      </c>
      <c r="M21" s="16">
        <f t="shared" si="6"/>
        <v>0</v>
      </c>
      <c r="N21" s="37">
        <f t="shared" si="24"/>
        <v>216076</v>
      </c>
      <c r="O21" s="16">
        <f t="shared" si="7"/>
        <v>0</v>
      </c>
      <c r="P21" s="37">
        <f t="shared" si="11"/>
        <v>130920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f t="shared" si="25"/>
        <v>3839</v>
      </c>
      <c r="U21" s="16">
        <f t="shared" si="10"/>
        <v>0</v>
      </c>
    </row>
    <row r="22" spans="1:23" ht="13.5" thickBot="1" x14ac:dyDescent="0.25">
      <c r="A22" s="10">
        <v>44520</v>
      </c>
      <c r="B22" s="37">
        <f t="shared" si="19"/>
        <v>46209</v>
      </c>
      <c r="C22" s="16">
        <f t="shared" si="1"/>
        <v>0</v>
      </c>
      <c r="D22" s="37">
        <f t="shared" si="20"/>
        <v>40039</v>
      </c>
      <c r="E22" s="16">
        <f t="shared" si="2"/>
        <v>0</v>
      </c>
      <c r="F22" s="37">
        <f t="shared" si="21"/>
        <v>21006</v>
      </c>
      <c r="G22" s="16">
        <f t="shared" si="3"/>
        <v>0</v>
      </c>
      <c r="H22" s="37">
        <f t="shared" si="22"/>
        <v>251758</v>
      </c>
      <c r="I22" s="16">
        <f t="shared" si="4"/>
        <v>0</v>
      </c>
      <c r="J22" s="37">
        <v>303517</v>
      </c>
      <c r="K22" s="16">
        <f t="shared" si="5"/>
        <v>0</v>
      </c>
      <c r="L22" s="37">
        <f t="shared" si="23"/>
        <v>25588</v>
      </c>
      <c r="M22" s="16">
        <f t="shared" si="6"/>
        <v>0</v>
      </c>
      <c r="N22" s="37">
        <f t="shared" si="24"/>
        <v>216076</v>
      </c>
      <c r="O22" s="16">
        <f t="shared" si="7"/>
        <v>0</v>
      </c>
      <c r="P22" s="37">
        <f t="shared" si="11"/>
        <v>130920</v>
      </c>
      <c r="Q22" s="16">
        <f>P22-P21</f>
        <v>0</v>
      </c>
      <c r="R22" s="1">
        <v>55047</v>
      </c>
      <c r="S22" s="16">
        <f t="shared" si="9"/>
        <v>0</v>
      </c>
      <c r="T22" s="37">
        <f t="shared" si="25"/>
        <v>3839</v>
      </c>
      <c r="U22" s="16">
        <f t="shared" si="10"/>
        <v>0</v>
      </c>
    </row>
    <row r="23" spans="1:23" ht="13.5" thickBot="1" x14ac:dyDescent="0.25">
      <c r="A23" s="10">
        <v>44521</v>
      </c>
      <c r="B23" s="37">
        <f t="shared" si="19"/>
        <v>46209</v>
      </c>
      <c r="C23" s="16">
        <f t="shared" si="1"/>
        <v>0</v>
      </c>
      <c r="D23" s="37">
        <f t="shared" si="20"/>
        <v>40039</v>
      </c>
      <c r="E23" s="16">
        <f t="shared" si="2"/>
        <v>0</v>
      </c>
      <c r="F23" s="37">
        <f t="shared" si="21"/>
        <v>21006</v>
      </c>
      <c r="G23" s="16">
        <f t="shared" si="3"/>
        <v>0</v>
      </c>
      <c r="H23" s="37">
        <f t="shared" si="22"/>
        <v>251758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si="23"/>
        <v>25588</v>
      </c>
      <c r="M23" s="16">
        <f t="shared" si="6"/>
        <v>0</v>
      </c>
      <c r="N23" s="37">
        <f t="shared" si="24"/>
        <v>216076</v>
      </c>
      <c r="O23" s="16">
        <f t="shared" si="7"/>
        <v>0</v>
      </c>
      <c r="P23" s="37">
        <f t="shared" si="11"/>
        <v>130920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si="25"/>
        <v>3839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9"/>
        <v>46209</v>
      </c>
      <c r="C24" s="16">
        <f t="shared" si="1"/>
        <v>0</v>
      </c>
      <c r="D24" s="37">
        <f t="shared" si="20"/>
        <v>40039</v>
      </c>
      <c r="E24" s="16">
        <f t="shared" si="2"/>
        <v>0</v>
      </c>
      <c r="F24" s="37">
        <f t="shared" si="21"/>
        <v>21006</v>
      </c>
      <c r="G24" s="16">
        <f t="shared" si="3"/>
        <v>0</v>
      </c>
      <c r="H24" s="37">
        <f t="shared" si="22"/>
        <v>251758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23"/>
        <v>25588</v>
      </c>
      <c r="M24" s="16">
        <f t="shared" si="6"/>
        <v>0</v>
      </c>
      <c r="N24" s="37">
        <f t="shared" si="24"/>
        <v>216076</v>
      </c>
      <c r="O24" s="16">
        <f t="shared" si="7"/>
        <v>0</v>
      </c>
      <c r="P24" s="37">
        <f t="shared" si="11"/>
        <v>130920</v>
      </c>
      <c r="Q24" s="16">
        <f t="shared" si="8"/>
        <v>0</v>
      </c>
      <c r="R24" s="1">
        <f t="shared" si="12"/>
        <v>55047</v>
      </c>
      <c r="S24" s="16">
        <f t="shared" si="9"/>
        <v>0</v>
      </c>
      <c r="T24" s="37">
        <f t="shared" si="25"/>
        <v>3839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9"/>
        <v>46209</v>
      </c>
      <c r="C25" s="16">
        <f t="shared" si="1"/>
        <v>0</v>
      </c>
      <c r="D25" s="37">
        <f t="shared" si="20"/>
        <v>40039</v>
      </c>
      <c r="E25" s="16">
        <f t="shared" si="2"/>
        <v>0</v>
      </c>
      <c r="F25" s="37">
        <f t="shared" si="21"/>
        <v>21006</v>
      </c>
      <c r="G25" s="16">
        <f t="shared" si="3"/>
        <v>0</v>
      </c>
      <c r="H25" s="37">
        <f t="shared" si="22"/>
        <v>251758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23"/>
        <v>25588</v>
      </c>
      <c r="M25" s="16">
        <f t="shared" si="6"/>
        <v>0</v>
      </c>
      <c r="N25" s="37">
        <f t="shared" si="24"/>
        <v>216076</v>
      </c>
      <c r="O25" s="16">
        <f t="shared" si="7"/>
        <v>0</v>
      </c>
      <c r="P25" s="37">
        <f t="shared" si="11"/>
        <v>130920</v>
      </c>
      <c r="Q25" s="16">
        <f t="shared" si="8"/>
        <v>0</v>
      </c>
      <c r="R25" s="1">
        <f t="shared" si="12"/>
        <v>55047</v>
      </c>
      <c r="S25" s="16">
        <f t="shared" si="9"/>
        <v>0</v>
      </c>
      <c r="T25" s="37">
        <f t="shared" si="25"/>
        <v>3839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9"/>
        <v>46209</v>
      </c>
      <c r="C26" s="16">
        <f t="shared" si="1"/>
        <v>0</v>
      </c>
      <c r="D26" s="37">
        <f t="shared" si="20"/>
        <v>40039</v>
      </c>
      <c r="E26" s="16">
        <f t="shared" si="2"/>
        <v>0</v>
      </c>
      <c r="F26" s="37">
        <f t="shared" si="21"/>
        <v>21006</v>
      </c>
      <c r="G26" s="16">
        <f t="shared" si="3"/>
        <v>0</v>
      </c>
      <c r="H26" s="37">
        <f t="shared" si="22"/>
        <v>251758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23"/>
        <v>25588</v>
      </c>
      <c r="M26" s="16">
        <f t="shared" si="6"/>
        <v>0</v>
      </c>
      <c r="N26" s="37">
        <f t="shared" si="24"/>
        <v>216076</v>
      </c>
      <c r="O26" s="16">
        <f t="shared" si="7"/>
        <v>0</v>
      </c>
      <c r="P26" s="37">
        <f t="shared" si="11"/>
        <v>130920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f t="shared" si="25"/>
        <v>3839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9"/>
        <v>46209</v>
      </c>
      <c r="C27" s="16">
        <f t="shared" si="1"/>
        <v>0</v>
      </c>
      <c r="D27" s="37">
        <f t="shared" si="20"/>
        <v>40039</v>
      </c>
      <c r="E27" s="16">
        <f t="shared" si="2"/>
        <v>0</v>
      </c>
      <c r="F27" s="37">
        <f t="shared" si="21"/>
        <v>21006</v>
      </c>
      <c r="G27" s="16">
        <f t="shared" si="3"/>
        <v>0</v>
      </c>
      <c r="H27" s="37">
        <f t="shared" si="22"/>
        <v>251758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23"/>
        <v>25588</v>
      </c>
      <c r="M27" s="16">
        <f t="shared" si="6"/>
        <v>0</v>
      </c>
      <c r="N27" s="37">
        <f t="shared" si="24"/>
        <v>216076</v>
      </c>
      <c r="O27" s="16">
        <f t="shared" si="7"/>
        <v>0</v>
      </c>
      <c r="P27" s="37">
        <f t="shared" si="11"/>
        <v>130920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si="25"/>
        <v>3839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9"/>
        <v>46209</v>
      </c>
      <c r="C28" s="16">
        <f t="shared" si="1"/>
        <v>0</v>
      </c>
      <c r="D28" s="37">
        <f t="shared" si="20"/>
        <v>40039</v>
      </c>
      <c r="E28" s="16">
        <f t="shared" si="2"/>
        <v>0</v>
      </c>
      <c r="F28" s="37">
        <f t="shared" si="21"/>
        <v>21006</v>
      </c>
      <c r="G28" s="16">
        <f t="shared" si="3"/>
        <v>0</v>
      </c>
      <c r="H28" s="37">
        <f t="shared" si="22"/>
        <v>251758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23"/>
        <v>25588</v>
      </c>
      <c r="M28" s="16">
        <f t="shared" si="6"/>
        <v>0</v>
      </c>
      <c r="N28" s="37">
        <f t="shared" si="24"/>
        <v>216076</v>
      </c>
      <c r="O28" s="16">
        <f t="shared" si="7"/>
        <v>0</v>
      </c>
      <c r="P28" s="37">
        <f t="shared" si="11"/>
        <v>130920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25"/>
        <v>3839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9"/>
        <v>46209</v>
      </c>
      <c r="C29" s="16">
        <f t="shared" si="1"/>
        <v>0</v>
      </c>
      <c r="D29" s="37">
        <f t="shared" si="20"/>
        <v>40039</v>
      </c>
      <c r="E29" s="16">
        <f t="shared" si="2"/>
        <v>0</v>
      </c>
      <c r="F29" s="37">
        <f t="shared" si="21"/>
        <v>21006</v>
      </c>
      <c r="G29" s="16">
        <f t="shared" si="3"/>
        <v>0</v>
      </c>
      <c r="H29" s="37">
        <f t="shared" si="22"/>
        <v>251758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23"/>
        <v>25588</v>
      </c>
      <c r="M29" s="16">
        <f t="shared" si="6"/>
        <v>0</v>
      </c>
      <c r="N29" s="37">
        <f t="shared" si="24"/>
        <v>216076</v>
      </c>
      <c r="O29" s="16">
        <f t="shared" si="7"/>
        <v>0</v>
      </c>
      <c r="P29" s="37">
        <f t="shared" si="11"/>
        <v>130920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25"/>
        <v>3839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9"/>
        <v>46209</v>
      </c>
      <c r="C30" s="16">
        <f t="shared" si="1"/>
        <v>0</v>
      </c>
      <c r="D30" s="37">
        <f t="shared" si="20"/>
        <v>40039</v>
      </c>
      <c r="E30" s="16">
        <f t="shared" si="2"/>
        <v>0</v>
      </c>
      <c r="F30" s="37">
        <f t="shared" si="21"/>
        <v>21006</v>
      </c>
      <c r="G30" s="16">
        <f t="shared" si="3"/>
        <v>0</v>
      </c>
      <c r="H30" s="37">
        <f t="shared" si="22"/>
        <v>251758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23"/>
        <v>25588</v>
      </c>
      <c r="M30" s="16">
        <f t="shared" si="6"/>
        <v>0</v>
      </c>
      <c r="N30" s="37">
        <f t="shared" si="24"/>
        <v>216076</v>
      </c>
      <c r="O30" s="16">
        <f t="shared" si="7"/>
        <v>0</v>
      </c>
      <c r="P30" s="37">
        <f t="shared" si="11"/>
        <v>130920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25"/>
        <v>3839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46209</v>
      </c>
      <c r="C31" s="16">
        <f t="shared" si="1"/>
        <v>0</v>
      </c>
      <c r="D31" s="37">
        <f t="shared" si="20"/>
        <v>40039</v>
      </c>
      <c r="E31" s="16">
        <f t="shared" si="2"/>
        <v>0</v>
      </c>
      <c r="F31" s="37">
        <f t="shared" si="21"/>
        <v>21006</v>
      </c>
      <c r="G31" s="16">
        <f t="shared" si="3"/>
        <v>0</v>
      </c>
      <c r="H31" s="37">
        <f t="shared" si="22"/>
        <v>251758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25588</v>
      </c>
      <c r="M31" s="16">
        <f t="shared" si="6"/>
        <v>0</v>
      </c>
      <c r="N31" s="37">
        <f t="shared" si="24"/>
        <v>216076</v>
      </c>
      <c r="O31" s="16">
        <f t="shared" si="7"/>
        <v>0</v>
      </c>
      <c r="P31" s="37">
        <f t="shared" si="11"/>
        <v>130920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3839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46209</v>
      </c>
      <c r="C32" s="16">
        <f t="shared" si="1"/>
        <v>0</v>
      </c>
      <c r="D32" s="37">
        <f t="shared" si="20"/>
        <v>40039</v>
      </c>
      <c r="E32" s="16">
        <f t="shared" si="2"/>
        <v>0</v>
      </c>
      <c r="F32" s="37">
        <f t="shared" si="21"/>
        <v>21006</v>
      </c>
      <c r="G32" s="16">
        <f t="shared" si="3"/>
        <v>0</v>
      </c>
      <c r="H32" s="37">
        <f t="shared" si="22"/>
        <v>251758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25588</v>
      </c>
      <c r="M32" s="16">
        <f t="shared" si="6"/>
        <v>0</v>
      </c>
      <c r="N32" s="37">
        <f t="shared" si="24"/>
        <v>216076</v>
      </c>
      <c r="O32" s="16">
        <f t="shared" si="7"/>
        <v>0</v>
      </c>
      <c r="P32" s="37">
        <f t="shared" si="11"/>
        <v>130920</v>
      </c>
      <c r="Q32" s="16">
        <f t="shared" si="8"/>
        <v>0</v>
      </c>
      <c r="R32" s="1">
        <v>55047</v>
      </c>
      <c r="S32" s="16">
        <v>0</v>
      </c>
      <c r="T32" s="37">
        <f t="shared" si="25"/>
        <v>3839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12160</v>
      </c>
      <c r="D33" s="13"/>
      <c r="E33" s="11">
        <f>SUM(E3:E32)</f>
        <v>8000</v>
      </c>
      <c r="F33" s="13"/>
      <c r="G33" s="11">
        <f>SUM(G3:G32)</f>
        <v>1120</v>
      </c>
      <c r="H33" s="13"/>
      <c r="I33" s="11">
        <f>SUM(I3:I32)</f>
        <v>827</v>
      </c>
      <c r="J33" s="13"/>
      <c r="K33" s="11">
        <f>SUM(K3:K32)</f>
        <v>0</v>
      </c>
      <c r="L33" s="13"/>
      <c r="M33" s="11">
        <f>SUM(M3:M32)</f>
        <v>7840</v>
      </c>
      <c r="N33" s="38"/>
      <c r="O33" s="11">
        <f>SUM(O3:O32)</f>
        <v>48</v>
      </c>
      <c r="P33" s="13"/>
      <c r="Q33" s="11">
        <f>SUM(Q3:Q32)</f>
        <v>1785</v>
      </c>
      <c r="R33" s="1"/>
      <c r="S33" s="11">
        <f>SUM(S3:S32)</f>
        <v>0</v>
      </c>
      <c r="T33" s="1"/>
      <c r="U33" s="11">
        <f>SUM(U3:U32)</f>
        <v>3040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topLeftCell="F1" zoomScaleNormal="100" zoomScaleSheetLayoutView="110" workbookViewId="0">
      <pane ySplit="1" topLeftCell="A2" activePane="bottomLeft" state="frozen"/>
      <selection pane="bottomLeft" activeCell="X12" sqref="X12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1">
        <v>44500</v>
      </c>
      <c r="B2" s="172">
        <v>0</v>
      </c>
      <c r="C2" s="173">
        <v>19066</v>
      </c>
      <c r="D2" s="172">
        <v>0</v>
      </c>
      <c r="E2" s="3">
        <v>28607675</v>
      </c>
      <c r="F2" s="172">
        <v>0</v>
      </c>
      <c r="G2" s="3">
        <v>90758905</v>
      </c>
      <c r="H2" s="172">
        <v>0</v>
      </c>
      <c r="I2" s="174">
        <v>0</v>
      </c>
      <c r="J2" s="3">
        <v>8949694</v>
      </c>
      <c r="K2" s="172">
        <v>0</v>
      </c>
      <c r="L2" s="3">
        <v>8875418</v>
      </c>
      <c r="M2" s="172">
        <v>0</v>
      </c>
      <c r="N2" s="3">
        <v>6026763</v>
      </c>
      <c r="O2" s="172">
        <v>0</v>
      </c>
      <c r="P2" s="3">
        <v>5373608</v>
      </c>
      <c r="Q2" s="172">
        <v>0</v>
      </c>
      <c r="R2" s="3">
        <v>19149295</v>
      </c>
      <c r="S2" s="172">
        <v>0</v>
      </c>
      <c r="T2" s="3">
        <v>0</v>
      </c>
      <c r="U2" s="175"/>
      <c r="V2" s="3">
        <v>6980730</v>
      </c>
      <c r="W2" s="172">
        <v>0</v>
      </c>
      <c r="X2" s="174">
        <v>0</v>
      </c>
      <c r="Y2" s="176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(IF((N3-N2)&lt;P91,"0",(N3-N2)))*2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(IF((N4-N3)&lt;P93,"0",(N4-N3)))*2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2">
        <v>19094</v>
      </c>
      <c r="D9" s="44">
        <f t="shared" si="0"/>
        <v>960</v>
      </c>
      <c r="E9" s="153">
        <v>28744336</v>
      </c>
      <c r="F9" s="44">
        <f t="shared" si="1"/>
        <v>13981</v>
      </c>
      <c r="G9" s="154">
        <v>91041489</v>
      </c>
      <c r="H9" s="44">
        <f t="shared" si="2"/>
        <v>37423</v>
      </c>
      <c r="I9" s="155">
        <f t="shared" si="3"/>
        <v>51404</v>
      </c>
      <c r="J9" s="153">
        <v>8985539</v>
      </c>
      <c r="K9" s="44">
        <f t="shared" si="4"/>
        <v>4642</v>
      </c>
      <c r="L9" s="156">
        <v>8913838</v>
      </c>
      <c r="M9" s="44">
        <f t="shared" si="5"/>
        <v>4211</v>
      </c>
      <c r="N9" s="153">
        <v>6075248</v>
      </c>
      <c r="O9" s="44">
        <f t="shared" si="12"/>
        <v>9714</v>
      </c>
      <c r="P9" s="156">
        <v>5396478</v>
      </c>
      <c r="Q9" s="44">
        <f t="shared" si="6"/>
        <v>2674</v>
      </c>
      <c r="R9" s="153">
        <v>19216170</v>
      </c>
      <c r="S9" s="44">
        <f t="shared" si="7"/>
        <v>9091</v>
      </c>
      <c r="T9" s="153">
        <v>0</v>
      </c>
      <c r="U9" s="157"/>
      <c r="V9" s="153">
        <v>7055657</v>
      </c>
      <c r="W9" s="44">
        <f t="shared" si="8"/>
        <v>10033</v>
      </c>
      <c r="X9" s="22">
        <f t="shared" si="9"/>
        <v>40365</v>
      </c>
      <c r="Y9" s="158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2">
        <v>19097</v>
      </c>
      <c r="D10" s="44">
        <f t="shared" si="0"/>
        <v>480</v>
      </c>
      <c r="E10" s="153">
        <v>28767541</v>
      </c>
      <c r="F10" s="44">
        <f t="shared" si="1"/>
        <v>23205</v>
      </c>
      <c r="G10" s="154">
        <v>91094967</v>
      </c>
      <c r="H10" s="44">
        <f t="shared" si="2"/>
        <v>53478</v>
      </c>
      <c r="I10" s="155">
        <f t="shared" si="3"/>
        <v>76683</v>
      </c>
      <c r="J10" s="153">
        <v>8992278</v>
      </c>
      <c r="K10" s="44">
        <f t="shared" si="4"/>
        <v>6739</v>
      </c>
      <c r="L10" s="156">
        <v>8919615</v>
      </c>
      <c r="M10" s="44">
        <f t="shared" si="5"/>
        <v>5777</v>
      </c>
      <c r="N10" s="153">
        <v>6083850</v>
      </c>
      <c r="O10" s="44">
        <f t="shared" si="12"/>
        <v>17204</v>
      </c>
      <c r="P10" s="156">
        <v>5401028</v>
      </c>
      <c r="Q10" s="44">
        <f t="shared" si="6"/>
        <v>4550</v>
      </c>
      <c r="R10" s="153">
        <v>19228750</v>
      </c>
      <c r="S10" s="44">
        <f t="shared" si="7"/>
        <v>12580</v>
      </c>
      <c r="T10" s="153">
        <v>0</v>
      </c>
      <c r="U10" s="157"/>
      <c r="V10" s="153">
        <v>7069757</v>
      </c>
      <c r="W10" s="44">
        <f t="shared" si="8"/>
        <v>14100</v>
      </c>
      <c r="X10" s="22">
        <f t="shared" si="9"/>
        <v>60950</v>
      </c>
      <c r="Y10" s="158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2">
        <v>19101</v>
      </c>
      <c r="D11" s="44">
        <f t="shared" si="0"/>
        <v>640</v>
      </c>
      <c r="E11" s="153">
        <v>28778351</v>
      </c>
      <c r="F11" s="44">
        <f t="shared" si="1"/>
        <v>10810</v>
      </c>
      <c r="G11" s="154">
        <v>91135605</v>
      </c>
      <c r="H11" s="44">
        <f t="shared" si="2"/>
        <v>40638</v>
      </c>
      <c r="I11" s="155">
        <v>8996879</v>
      </c>
      <c r="J11" s="153">
        <v>8996879</v>
      </c>
      <c r="K11" s="44">
        <f t="shared" si="4"/>
        <v>4601</v>
      </c>
      <c r="L11" s="156">
        <v>8923330</v>
      </c>
      <c r="M11" s="44">
        <f t="shared" si="5"/>
        <v>3715</v>
      </c>
      <c r="N11" s="153">
        <v>6087321</v>
      </c>
      <c r="O11" s="44">
        <f t="shared" si="12"/>
        <v>6942</v>
      </c>
      <c r="P11" s="156">
        <v>5408119</v>
      </c>
      <c r="Q11" s="44">
        <f t="shared" si="6"/>
        <v>7091</v>
      </c>
      <c r="R11" s="153">
        <v>19247680</v>
      </c>
      <c r="S11" s="44">
        <f t="shared" si="7"/>
        <v>18930</v>
      </c>
      <c r="T11" s="153">
        <v>0</v>
      </c>
      <c r="U11" s="157"/>
      <c r="V11" s="153">
        <v>7079270</v>
      </c>
      <c r="W11" s="44">
        <f t="shared" si="8"/>
        <v>9513</v>
      </c>
      <c r="X11" s="22">
        <f t="shared" si="9"/>
        <v>50792</v>
      </c>
      <c r="Y11" s="158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2">
        <v>19106</v>
      </c>
      <c r="D12" s="44">
        <f t="shared" si="0"/>
        <v>800</v>
      </c>
      <c r="E12" s="153">
        <v>28791212</v>
      </c>
      <c r="F12" s="44">
        <f t="shared" si="1"/>
        <v>12861</v>
      </c>
      <c r="G12" s="154">
        <v>91190392</v>
      </c>
      <c r="H12" s="44">
        <f t="shared" si="2"/>
        <v>54787</v>
      </c>
      <c r="I12" s="155">
        <f t="shared" si="3"/>
        <v>67648</v>
      </c>
      <c r="J12" s="153">
        <v>9002658</v>
      </c>
      <c r="K12" s="44">
        <f t="shared" si="4"/>
        <v>5779</v>
      </c>
      <c r="L12" s="156">
        <v>8928118</v>
      </c>
      <c r="M12" s="44">
        <f t="shared" si="5"/>
        <v>4788</v>
      </c>
      <c r="N12" s="153">
        <v>6091266</v>
      </c>
      <c r="O12" s="44">
        <f t="shared" si="12"/>
        <v>7890</v>
      </c>
      <c r="P12" s="156">
        <v>5419404</v>
      </c>
      <c r="Q12" s="44">
        <f t="shared" si="6"/>
        <v>11285</v>
      </c>
      <c r="R12" s="153">
        <v>19249481</v>
      </c>
      <c r="S12" s="44">
        <f t="shared" si="7"/>
        <v>1801</v>
      </c>
      <c r="T12" s="153">
        <v>0</v>
      </c>
      <c r="U12" s="157"/>
      <c r="V12" s="153">
        <v>7091744</v>
      </c>
      <c r="W12" s="44">
        <f t="shared" si="8"/>
        <v>12474</v>
      </c>
      <c r="X12" s="22">
        <f t="shared" si="9"/>
        <v>44017</v>
      </c>
      <c r="Y12" s="158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2">
        <v>19110</v>
      </c>
      <c r="D13" s="44">
        <f t="shared" si="0"/>
        <v>640</v>
      </c>
      <c r="E13" s="153">
        <v>28801445</v>
      </c>
      <c r="F13" s="44">
        <f t="shared" ref="F13" si="14">IF((E13-E12)&lt;0,"0",(E13-E12))</f>
        <v>10233</v>
      </c>
      <c r="G13" s="154">
        <v>91228282</v>
      </c>
      <c r="H13" s="44">
        <f t="shared" ref="H13" si="15">IF((G13-G12)&lt;0,"0",(G13-G12))</f>
        <v>37890</v>
      </c>
      <c r="I13" s="155">
        <f t="shared" ref="I13" si="16">F13+H13</f>
        <v>48123</v>
      </c>
      <c r="J13" s="153">
        <v>9006265</v>
      </c>
      <c r="K13" s="44">
        <f t="shared" ref="K13" si="17">IF((J13-J12)&lt;0,"0",(J13-J12))</f>
        <v>3607</v>
      </c>
      <c r="L13" s="156">
        <v>8931818</v>
      </c>
      <c r="M13" s="44">
        <f t="shared" ref="M13" si="18">IF((L13-L12)&lt;0,"0",(L13-L12))</f>
        <v>3700</v>
      </c>
      <c r="N13" s="153">
        <v>6094484</v>
      </c>
      <c r="O13" s="44">
        <f t="shared" ref="O13" si="19">(IF((N13-N12)&lt;0,"0",(N13-N12)))*2</f>
        <v>6436</v>
      </c>
      <c r="P13" s="156">
        <v>5425362</v>
      </c>
      <c r="Q13" s="44">
        <f t="shared" ref="Q13" si="20">IF((P13-P12)&lt;0,"0",(P13-P12))</f>
        <v>5958</v>
      </c>
      <c r="R13" s="153">
        <v>19257608</v>
      </c>
      <c r="S13" s="44">
        <f t="shared" ref="S13" si="21">IF((R13-R12)&lt;0,"0",(R13-R12))</f>
        <v>8127</v>
      </c>
      <c r="T13" s="153">
        <v>0</v>
      </c>
      <c r="U13" s="157"/>
      <c r="V13" s="153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8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2">
        <v>19114</v>
      </c>
      <c r="D14" s="44">
        <f t="shared" si="0"/>
        <v>640</v>
      </c>
      <c r="E14" s="153">
        <v>28813842</v>
      </c>
      <c r="F14" s="44">
        <f t="shared" si="1"/>
        <v>12397</v>
      </c>
      <c r="G14" s="154">
        <v>91284043</v>
      </c>
      <c r="H14" s="44">
        <f t="shared" si="2"/>
        <v>55761</v>
      </c>
      <c r="I14" s="155">
        <f t="shared" si="3"/>
        <v>68158</v>
      </c>
      <c r="J14" s="153">
        <v>9010804</v>
      </c>
      <c r="K14" s="44">
        <f t="shared" si="4"/>
        <v>4539</v>
      </c>
      <c r="L14" s="156">
        <v>8937015</v>
      </c>
      <c r="M14" s="44">
        <f t="shared" si="5"/>
        <v>5197</v>
      </c>
      <c r="N14" s="153">
        <v>6098001</v>
      </c>
      <c r="O14" s="44">
        <f t="shared" si="12"/>
        <v>7034</v>
      </c>
      <c r="P14" s="156">
        <v>5435943</v>
      </c>
      <c r="Q14" s="44">
        <f t="shared" si="6"/>
        <v>10581</v>
      </c>
      <c r="R14" s="153">
        <v>19269970</v>
      </c>
      <c r="S14" s="44">
        <f>IF((R14-R13)&lt;0,"0",(R14-R13))</f>
        <v>12362</v>
      </c>
      <c r="T14" s="153">
        <v>0</v>
      </c>
      <c r="U14" s="157"/>
      <c r="V14" s="153">
        <v>7114746</v>
      </c>
      <c r="W14" s="44">
        <f t="shared" si="8"/>
        <v>13476</v>
      </c>
      <c r="X14" s="22">
        <f t="shared" si="9"/>
        <v>53189</v>
      </c>
      <c r="Y14" s="158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2">
        <v>19118</v>
      </c>
      <c r="D15" s="44">
        <f t="shared" si="0"/>
        <v>640</v>
      </c>
      <c r="E15" s="153">
        <v>28823292</v>
      </c>
      <c r="F15" s="44">
        <f t="shared" si="1"/>
        <v>9450</v>
      </c>
      <c r="G15" s="154">
        <v>91317298</v>
      </c>
      <c r="H15" s="44">
        <f t="shared" si="2"/>
        <v>33255</v>
      </c>
      <c r="I15" s="155">
        <f t="shared" si="3"/>
        <v>42705</v>
      </c>
      <c r="J15" s="153">
        <v>9013768</v>
      </c>
      <c r="K15" s="44">
        <f t="shared" si="4"/>
        <v>2964</v>
      </c>
      <c r="L15" s="156">
        <v>8941179</v>
      </c>
      <c r="M15" s="44">
        <f t="shared" si="5"/>
        <v>4164</v>
      </c>
      <c r="N15" s="153">
        <v>6100582</v>
      </c>
      <c r="O15" s="44">
        <f t="shared" si="12"/>
        <v>5162</v>
      </c>
      <c r="P15" s="156">
        <v>5442682</v>
      </c>
      <c r="Q15" s="44">
        <f t="shared" si="6"/>
        <v>6739</v>
      </c>
      <c r="R15" s="153">
        <v>19277172</v>
      </c>
      <c r="S15" s="44">
        <f>IF((R15-R14)&lt;0,"0",(R15-R14))</f>
        <v>7202</v>
      </c>
      <c r="T15" s="153">
        <v>0</v>
      </c>
      <c r="U15" s="157"/>
      <c r="V15" s="153">
        <v>7122569</v>
      </c>
      <c r="W15" s="44">
        <f t="shared" si="8"/>
        <v>7823</v>
      </c>
      <c r="X15" s="22">
        <f t="shared" si="9"/>
        <v>34054</v>
      </c>
      <c r="Y15" s="158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2">
        <v>19122</v>
      </c>
      <c r="D16" s="44">
        <f t="shared" si="0"/>
        <v>640</v>
      </c>
      <c r="E16" s="153">
        <v>28836482</v>
      </c>
      <c r="F16" s="44">
        <f t="shared" si="1"/>
        <v>13190</v>
      </c>
      <c r="G16" s="154">
        <v>91372347</v>
      </c>
      <c r="H16" s="44">
        <f t="shared" si="2"/>
        <v>55049</v>
      </c>
      <c r="I16" s="155">
        <f t="shared" si="3"/>
        <v>68239</v>
      </c>
      <c r="J16" s="153">
        <v>9018758</v>
      </c>
      <c r="K16" s="44">
        <f t="shared" si="4"/>
        <v>4990</v>
      </c>
      <c r="L16" s="156">
        <v>8949180</v>
      </c>
      <c r="M16" s="44">
        <f t="shared" si="5"/>
        <v>8001</v>
      </c>
      <c r="N16" s="153">
        <v>6103089</v>
      </c>
      <c r="O16" s="44">
        <f t="shared" si="12"/>
        <v>5014</v>
      </c>
      <c r="P16" s="156">
        <v>5457315</v>
      </c>
      <c r="Q16" s="44">
        <f t="shared" si="6"/>
        <v>14633</v>
      </c>
      <c r="R16" s="153">
        <v>19287807</v>
      </c>
      <c r="S16" s="44">
        <f t="shared" si="7"/>
        <v>10635</v>
      </c>
      <c r="T16" s="153">
        <v>0</v>
      </c>
      <c r="U16" s="157"/>
      <c r="V16" s="153">
        <v>7134359</v>
      </c>
      <c r="W16" s="44">
        <f t="shared" si="8"/>
        <v>11790</v>
      </c>
      <c r="X16" s="22">
        <f t="shared" si="9"/>
        <v>55063</v>
      </c>
      <c r="Y16" s="158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2">
        <v>19126</v>
      </c>
      <c r="D17" s="44">
        <f t="shared" si="0"/>
        <v>640</v>
      </c>
      <c r="E17" s="153">
        <v>28847164</v>
      </c>
      <c r="F17" s="44">
        <f t="shared" si="1"/>
        <v>10682</v>
      </c>
      <c r="G17" s="154">
        <v>91419324</v>
      </c>
      <c r="H17" s="44">
        <f t="shared" si="2"/>
        <v>46977</v>
      </c>
      <c r="I17" s="159">
        <f t="shared" si="3"/>
        <v>57659</v>
      </c>
      <c r="J17" s="153">
        <v>9023662</v>
      </c>
      <c r="K17" s="44">
        <f t="shared" si="4"/>
        <v>4904</v>
      </c>
      <c r="L17" s="156">
        <v>8955436</v>
      </c>
      <c r="M17" s="135">
        <f t="shared" si="5"/>
        <v>6256</v>
      </c>
      <c r="N17" s="153">
        <v>6105231</v>
      </c>
      <c r="O17" s="135">
        <f t="shared" si="12"/>
        <v>4284</v>
      </c>
      <c r="P17" s="156">
        <v>5470382</v>
      </c>
      <c r="Q17" s="135">
        <f t="shared" si="6"/>
        <v>13067</v>
      </c>
      <c r="R17" s="153">
        <v>19296668</v>
      </c>
      <c r="S17" s="135">
        <f t="shared" si="7"/>
        <v>8861</v>
      </c>
      <c r="T17" s="160">
        <v>0</v>
      </c>
      <c r="U17" s="157"/>
      <c r="V17" s="153">
        <v>7143925</v>
      </c>
      <c r="W17" s="135">
        <f t="shared" si="8"/>
        <v>9566</v>
      </c>
      <c r="X17" s="22">
        <f t="shared" si="9"/>
        <v>46938</v>
      </c>
      <c r="Y17" s="161">
        <f t="shared" si="10"/>
        <v>10721</v>
      </c>
      <c r="Z17" s="162">
        <f t="shared" si="11"/>
        <v>6984.3825583999997</v>
      </c>
      <c r="AA17" s="162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250</v>
      </c>
      <c r="C18" s="152">
        <v>19131</v>
      </c>
      <c r="D18" s="44">
        <f t="shared" si="0"/>
        <v>800</v>
      </c>
      <c r="E18" s="153">
        <v>28860150</v>
      </c>
      <c r="F18" s="44">
        <f t="shared" si="1"/>
        <v>12986</v>
      </c>
      <c r="G18" s="154">
        <v>91479004</v>
      </c>
      <c r="H18" s="44">
        <f t="shared" si="2"/>
        <v>59680</v>
      </c>
      <c r="I18" s="159">
        <f t="shared" si="3"/>
        <v>72666</v>
      </c>
      <c r="J18" s="153">
        <v>9030186</v>
      </c>
      <c r="K18" s="44">
        <f t="shared" si="4"/>
        <v>6524</v>
      </c>
      <c r="L18" s="156">
        <v>8963703</v>
      </c>
      <c r="M18" s="135">
        <f t="shared" si="5"/>
        <v>8267</v>
      </c>
      <c r="N18" s="153">
        <v>6107506</v>
      </c>
      <c r="O18" s="135">
        <f t="shared" si="12"/>
        <v>4550</v>
      </c>
      <c r="P18" s="156">
        <v>5484317</v>
      </c>
      <c r="Q18" s="135">
        <f t="shared" si="6"/>
        <v>13935</v>
      </c>
      <c r="R18" s="153">
        <v>19308795</v>
      </c>
      <c r="S18" s="135">
        <f t="shared" si="7"/>
        <v>12127</v>
      </c>
      <c r="T18" s="160">
        <v>0</v>
      </c>
      <c r="U18" s="157"/>
      <c r="V18" s="153">
        <v>7156794</v>
      </c>
      <c r="W18" s="135">
        <f t="shared" si="8"/>
        <v>12869</v>
      </c>
      <c r="X18" s="22">
        <f t="shared" si="9"/>
        <v>58272</v>
      </c>
      <c r="Y18" s="161">
        <f t="shared" si="10"/>
        <v>14394</v>
      </c>
      <c r="Z18" s="162">
        <f t="shared" si="11"/>
        <v>8742.9456192000016</v>
      </c>
      <c r="AA18" s="162">
        <f t="shared" si="13"/>
        <v>29384.153281600004</v>
      </c>
    </row>
    <row r="19" spans="1:27" s="136" customFormat="1" ht="16.5" thickBot="1" x14ac:dyDescent="0.3">
      <c r="A19" s="10">
        <v>44517</v>
      </c>
      <c r="B19" s="44">
        <v>0</v>
      </c>
      <c r="C19" s="152">
        <f t="shared" ref="C18:C32" si="27">C18</f>
        <v>19131</v>
      </c>
      <c r="D19" s="44">
        <f t="shared" si="0"/>
        <v>0</v>
      </c>
      <c r="E19" s="153">
        <f t="shared" ref="E18:E32" si="28">E18</f>
        <v>28860150</v>
      </c>
      <c r="F19" s="44">
        <f t="shared" si="1"/>
        <v>0</v>
      </c>
      <c r="G19" s="154">
        <f t="shared" ref="G18:G32" si="29">G18</f>
        <v>91479004</v>
      </c>
      <c r="H19" s="44">
        <f t="shared" si="2"/>
        <v>0</v>
      </c>
      <c r="I19" s="159">
        <f t="shared" si="3"/>
        <v>0</v>
      </c>
      <c r="J19" s="153">
        <f t="shared" ref="J18:J32" si="30">J18</f>
        <v>9030186</v>
      </c>
      <c r="K19" s="44">
        <f t="shared" si="4"/>
        <v>0</v>
      </c>
      <c r="L19" s="156">
        <f t="shared" ref="L18:L32" si="31">L18</f>
        <v>8963703</v>
      </c>
      <c r="M19" s="135">
        <f t="shared" si="5"/>
        <v>0</v>
      </c>
      <c r="N19" s="153">
        <f t="shared" ref="N18:N32" si="32">N18</f>
        <v>6107506</v>
      </c>
      <c r="O19" s="135">
        <f t="shared" si="12"/>
        <v>0</v>
      </c>
      <c r="P19" s="156">
        <f t="shared" ref="P18:P32" si="33">P18</f>
        <v>5484317</v>
      </c>
      <c r="Q19" s="135">
        <f t="shared" si="6"/>
        <v>0</v>
      </c>
      <c r="R19" s="153">
        <f t="shared" ref="R18:R32" si="34">R18</f>
        <v>19308795</v>
      </c>
      <c r="S19" s="135">
        <f t="shared" si="7"/>
        <v>0</v>
      </c>
      <c r="T19" s="160">
        <v>0</v>
      </c>
      <c r="U19" s="157"/>
      <c r="V19" s="153">
        <f t="shared" ref="V18:V32" si="35">V18</f>
        <v>7156794</v>
      </c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24014.473433600004</v>
      </c>
    </row>
    <row r="20" spans="1:27" s="136" customFormat="1" ht="16.5" thickBot="1" x14ac:dyDescent="0.3">
      <c r="A20" s="10">
        <v>44518</v>
      </c>
      <c r="B20" s="44">
        <v>0</v>
      </c>
      <c r="C20" s="152">
        <f t="shared" si="27"/>
        <v>19131</v>
      </c>
      <c r="D20" s="44">
        <f t="shared" si="0"/>
        <v>0</v>
      </c>
      <c r="E20" s="153">
        <f t="shared" si="28"/>
        <v>28860150</v>
      </c>
      <c r="F20" s="44">
        <f t="shared" si="1"/>
        <v>0</v>
      </c>
      <c r="G20" s="154">
        <f t="shared" si="29"/>
        <v>91479004</v>
      </c>
      <c r="H20" s="44">
        <f t="shared" si="2"/>
        <v>0</v>
      </c>
      <c r="I20" s="159">
        <f t="shared" si="3"/>
        <v>0</v>
      </c>
      <c r="J20" s="153">
        <f t="shared" si="30"/>
        <v>9030186</v>
      </c>
      <c r="K20" s="44">
        <f t="shared" si="4"/>
        <v>0</v>
      </c>
      <c r="L20" s="156">
        <f t="shared" si="31"/>
        <v>8963703</v>
      </c>
      <c r="M20" s="135">
        <f t="shared" si="5"/>
        <v>0</v>
      </c>
      <c r="N20" s="153">
        <f t="shared" si="32"/>
        <v>6107506</v>
      </c>
      <c r="O20" s="135">
        <f t="shared" si="12"/>
        <v>0</v>
      </c>
      <c r="P20" s="156">
        <f t="shared" si="33"/>
        <v>5484317</v>
      </c>
      <c r="Q20" s="135">
        <f t="shared" si="6"/>
        <v>0</v>
      </c>
      <c r="R20" s="153">
        <f t="shared" si="34"/>
        <v>19308795</v>
      </c>
      <c r="S20" s="135">
        <f t="shared" si="7"/>
        <v>0</v>
      </c>
      <c r="T20" s="160">
        <v>0</v>
      </c>
      <c r="U20" s="157"/>
      <c r="V20" s="153">
        <f t="shared" si="35"/>
        <v>7156794</v>
      </c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15727.3281776</v>
      </c>
    </row>
    <row r="21" spans="1:27" s="136" customFormat="1" ht="16.5" thickBot="1" x14ac:dyDescent="0.3">
      <c r="A21" s="10">
        <v>44519</v>
      </c>
      <c r="B21" s="44">
        <v>0</v>
      </c>
      <c r="C21" s="152">
        <f t="shared" si="27"/>
        <v>19131</v>
      </c>
      <c r="D21" s="44">
        <f t="shared" si="0"/>
        <v>0</v>
      </c>
      <c r="E21" s="153">
        <f t="shared" si="28"/>
        <v>28860150</v>
      </c>
      <c r="F21" s="44">
        <f t="shared" si="1"/>
        <v>0</v>
      </c>
      <c r="G21" s="154">
        <f t="shared" si="29"/>
        <v>91479004</v>
      </c>
      <c r="H21" s="44">
        <f t="shared" si="2"/>
        <v>0</v>
      </c>
      <c r="I21" s="159">
        <f t="shared" si="3"/>
        <v>0</v>
      </c>
      <c r="J21" s="153">
        <f t="shared" si="30"/>
        <v>9030186</v>
      </c>
      <c r="K21" s="44">
        <f t="shared" si="4"/>
        <v>0</v>
      </c>
      <c r="L21" s="156">
        <f t="shared" si="31"/>
        <v>8963703</v>
      </c>
      <c r="M21" s="135">
        <f t="shared" si="5"/>
        <v>0</v>
      </c>
      <c r="N21" s="153">
        <f t="shared" si="32"/>
        <v>6107506</v>
      </c>
      <c r="O21" s="135">
        <f t="shared" si="12"/>
        <v>0</v>
      </c>
      <c r="P21" s="156">
        <f t="shared" si="33"/>
        <v>5484317</v>
      </c>
      <c r="Q21" s="135">
        <f t="shared" si="6"/>
        <v>0</v>
      </c>
      <c r="R21" s="153">
        <f t="shared" si="34"/>
        <v>19308795</v>
      </c>
      <c r="S21" s="135">
        <f t="shared" si="7"/>
        <v>0</v>
      </c>
      <c r="T21" s="160">
        <v>0</v>
      </c>
      <c r="U21" s="157"/>
      <c r="V21" s="153">
        <f t="shared" si="35"/>
        <v>7156794</v>
      </c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8742.9456192000016</v>
      </c>
    </row>
    <row r="22" spans="1:27" ht="16.5" thickBot="1" x14ac:dyDescent="0.3">
      <c r="A22" s="10">
        <v>44520</v>
      </c>
      <c r="B22" s="44">
        <v>0</v>
      </c>
      <c r="C22" s="152">
        <f t="shared" si="27"/>
        <v>19131</v>
      </c>
      <c r="D22" s="44">
        <f t="shared" si="0"/>
        <v>0</v>
      </c>
      <c r="E22" s="153">
        <f t="shared" si="28"/>
        <v>28860150</v>
      </c>
      <c r="F22" s="44">
        <f t="shared" si="1"/>
        <v>0</v>
      </c>
      <c r="G22" s="154">
        <f t="shared" si="29"/>
        <v>91479004</v>
      </c>
      <c r="H22" s="44">
        <f t="shared" si="2"/>
        <v>0</v>
      </c>
      <c r="I22" s="155">
        <f t="shared" si="3"/>
        <v>0</v>
      </c>
      <c r="J22" s="153">
        <f t="shared" si="30"/>
        <v>9030186</v>
      </c>
      <c r="K22" s="44">
        <f t="shared" si="4"/>
        <v>0</v>
      </c>
      <c r="L22" s="156">
        <f t="shared" si="31"/>
        <v>8963703</v>
      </c>
      <c r="M22" s="44">
        <f t="shared" si="5"/>
        <v>0</v>
      </c>
      <c r="N22" s="153">
        <f t="shared" si="32"/>
        <v>6107506</v>
      </c>
      <c r="O22" s="44">
        <f t="shared" si="12"/>
        <v>0</v>
      </c>
      <c r="P22" s="156">
        <f t="shared" si="33"/>
        <v>5484317</v>
      </c>
      <c r="Q22" s="44">
        <f t="shared" si="6"/>
        <v>0</v>
      </c>
      <c r="R22" s="153">
        <f t="shared" si="34"/>
        <v>19308795</v>
      </c>
      <c r="S22" s="44">
        <f t="shared" si="7"/>
        <v>0</v>
      </c>
      <c r="T22" s="153">
        <v>0</v>
      </c>
      <c r="U22" s="157"/>
      <c r="V22" s="153">
        <f t="shared" si="35"/>
        <v>7156794</v>
      </c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44521</v>
      </c>
      <c r="B23" s="44">
        <v>0</v>
      </c>
      <c r="C23" s="152">
        <f t="shared" si="27"/>
        <v>19131</v>
      </c>
      <c r="D23" s="44">
        <f t="shared" si="0"/>
        <v>0</v>
      </c>
      <c r="E23" s="153">
        <f t="shared" si="28"/>
        <v>28860150</v>
      </c>
      <c r="F23" s="44">
        <f t="shared" si="1"/>
        <v>0</v>
      </c>
      <c r="G23" s="154">
        <f t="shared" si="29"/>
        <v>91479004</v>
      </c>
      <c r="H23" s="44">
        <f t="shared" si="2"/>
        <v>0</v>
      </c>
      <c r="I23" s="155">
        <f t="shared" si="3"/>
        <v>0</v>
      </c>
      <c r="J23" s="153">
        <f t="shared" si="30"/>
        <v>9030186</v>
      </c>
      <c r="K23" s="44">
        <f t="shared" si="4"/>
        <v>0</v>
      </c>
      <c r="L23" s="156">
        <f t="shared" si="31"/>
        <v>8963703</v>
      </c>
      <c r="M23" s="44">
        <f t="shared" si="5"/>
        <v>0</v>
      </c>
      <c r="N23" s="153">
        <f t="shared" si="32"/>
        <v>6107506</v>
      </c>
      <c r="O23" s="44">
        <f t="shared" si="12"/>
        <v>0</v>
      </c>
      <c r="P23" s="156">
        <f t="shared" si="33"/>
        <v>5484317</v>
      </c>
      <c r="Q23" s="44">
        <f t="shared" si="6"/>
        <v>0</v>
      </c>
      <c r="R23" s="153">
        <f t="shared" si="34"/>
        <v>19308795</v>
      </c>
      <c r="S23" s="44">
        <f t="shared" si="7"/>
        <v>0</v>
      </c>
      <c r="T23" s="153">
        <v>0</v>
      </c>
      <c r="U23" s="157"/>
      <c r="V23" s="153">
        <f t="shared" si="35"/>
        <v>7156794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44522</v>
      </c>
      <c r="B24" s="44">
        <v>0</v>
      </c>
      <c r="C24" s="152">
        <f t="shared" si="27"/>
        <v>19131</v>
      </c>
      <c r="D24" s="44">
        <f t="shared" si="0"/>
        <v>0</v>
      </c>
      <c r="E24" s="153">
        <f t="shared" si="28"/>
        <v>28860150</v>
      </c>
      <c r="F24" s="44">
        <f t="shared" si="1"/>
        <v>0</v>
      </c>
      <c r="G24" s="154">
        <f t="shared" si="29"/>
        <v>91479004</v>
      </c>
      <c r="H24" s="44">
        <f t="shared" si="2"/>
        <v>0</v>
      </c>
      <c r="I24" s="155">
        <f t="shared" si="3"/>
        <v>0</v>
      </c>
      <c r="J24" s="153">
        <f t="shared" si="30"/>
        <v>9030186</v>
      </c>
      <c r="K24" s="44">
        <f t="shared" si="4"/>
        <v>0</v>
      </c>
      <c r="L24" s="156">
        <f t="shared" si="31"/>
        <v>8963703</v>
      </c>
      <c r="M24" s="44">
        <f t="shared" si="5"/>
        <v>0</v>
      </c>
      <c r="N24" s="153">
        <f t="shared" si="32"/>
        <v>6107506</v>
      </c>
      <c r="O24" s="44">
        <f t="shared" si="12"/>
        <v>0</v>
      </c>
      <c r="P24" s="156">
        <f t="shared" si="33"/>
        <v>5484317</v>
      </c>
      <c r="Q24" s="44">
        <f t="shared" si="6"/>
        <v>0</v>
      </c>
      <c r="R24" s="153">
        <f t="shared" si="34"/>
        <v>19308795</v>
      </c>
      <c r="S24" s="44">
        <f t="shared" si="7"/>
        <v>0</v>
      </c>
      <c r="T24" s="153">
        <v>0</v>
      </c>
      <c r="U24" s="157"/>
      <c r="V24" s="153">
        <f t="shared" si="35"/>
        <v>7156794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44523</v>
      </c>
      <c r="B25" s="44">
        <v>0</v>
      </c>
      <c r="C25" s="152">
        <f t="shared" si="27"/>
        <v>19131</v>
      </c>
      <c r="D25" s="44">
        <f t="shared" si="0"/>
        <v>0</v>
      </c>
      <c r="E25" s="153">
        <f t="shared" si="28"/>
        <v>28860150</v>
      </c>
      <c r="F25" s="44">
        <f t="shared" si="1"/>
        <v>0</v>
      </c>
      <c r="G25" s="154">
        <f t="shared" si="29"/>
        <v>91479004</v>
      </c>
      <c r="H25" s="44">
        <f t="shared" si="2"/>
        <v>0</v>
      </c>
      <c r="I25" s="155">
        <f t="shared" si="3"/>
        <v>0</v>
      </c>
      <c r="J25" s="153">
        <f t="shared" si="30"/>
        <v>9030186</v>
      </c>
      <c r="K25" s="44">
        <f t="shared" si="4"/>
        <v>0</v>
      </c>
      <c r="L25" s="156">
        <f t="shared" si="31"/>
        <v>8963703</v>
      </c>
      <c r="M25" s="44">
        <f t="shared" si="5"/>
        <v>0</v>
      </c>
      <c r="N25" s="153">
        <f t="shared" si="32"/>
        <v>6107506</v>
      </c>
      <c r="O25" s="44">
        <f t="shared" si="12"/>
        <v>0</v>
      </c>
      <c r="P25" s="156">
        <f t="shared" si="33"/>
        <v>5484317</v>
      </c>
      <c r="Q25" s="44">
        <f t="shared" si="6"/>
        <v>0</v>
      </c>
      <c r="R25" s="153">
        <f t="shared" si="34"/>
        <v>19308795</v>
      </c>
      <c r="S25" s="44">
        <f t="shared" si="7"/>
        <v>0</v>
      </c>
      <c r="T25" s="153">
        <v>0</v>
      </c>
      <c r="U25" s="157"/>
      <c r="V25" s="153">
        <f t="shared" si="35"/>
        <v>7156794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44524</v>
      </c>
      <c r="B26" s="44">
        <v>0</v>
      </c>
      <c r="C26" s="152">
        <f t="shared" si="27"/>
        <v>19131</v>
      </c>
      <c r="D26" s="44">
        <f t="shared" si="0"/>
        <v>0</v>
      </c>
      <c r="E26" s="153">
        <f t="shared" si="28"/>
        <v>28860150</v>
      </c>
      <c r="F26" s="44">
        <f t="shared" si="1"/>
        <v>0</v>
      </c>
      <c r="G26" s="154">
        <f t="shared" si="29"/>
        <v>91479004</v>
      </c>
      <c r="H26" s="44">
        <f t="shared" si="2"/>
        <v>0</v>
      </c>
      <c r="I26" s="155">
        <f t="shared" si="3"/>
        <v>0</v>
      </c>
      <c r="J26" s="153">
        <f t="shared" si="30"/>
        <v>9030186</v>
      </c>
      <c r="K26" s="44">
        <f t="shared" si="4"/>
        <v>0</v>
      </c>
      <c r="L26" s="156">
        <f t="shared" si="31"/>
        <v>8963703</v>
      </c>
      <c r="M26" s="44">
        <f t="shared" si="5"/>
        <v>0</v>
      </c>
      <c r="N26" s="153">
        <f t="shared" si="32"/>
        <v>6107506</v>
      </c>
      <c r="O26" s="44">
        <f t="shared" si="12"/>
        <v>0</v>
      </c>
      <c r="P26" s="156">
        <f t="shared" si="33"/>
        <v>5484317</v>
      </c>
      <c r="Q26" s="44">
        <f t="shared" si="6"/>
        <v>0</v>
      </c>
      <c r="R26" s="153">
        <f t="shared" si="34"/>
        <v>19308795</v>
      </c>
      <c r="S26" s="44">
        <f t="shared" si="7"/>
        <v>0</v>
      </c>
      <c r="T26" s="153">
        <v>0</v>
      </c>
      <c r="U26" s="157"/>
      <c r="V26" s="153">
        <f t="shared" si="35"/>
        <v>7156794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27"/>
        <v>19131</v>
      </c>
      <c r="D27" s="44">
        <f t="shared" si="0"/>
        <v>0</v>
      </c>
      <c r="E27" s="153">
        <f t="shared" si="28"/>
        <v>28860150</v>
      </c>
      <c r="F27" s="44">
        <f t="shared" si="1"/>
        <v>0</v>
      </c>
      <c r="G27" s="154">
        <f t="shared" si="29"/>
        <v>91479004</v>
      </c>
      <c r="H27" s="44">
        <f t="shared" si="2"/>
        <v>0</v>
      </c>
      <c r="I27" s="155">
        <f t="shared" si="3"/>
        <v>0</v>
      </c>
      <c r="J27" s="153">
        <f t="shared" si="30"/>
        <v>9030186</v>
      </c>
      <c r="K27" s="44">
        <f t="shared" si="4"/>
        <v>0</v>
      </c>
      <c r="L27" s="156">
        <f t="shared" si="31"/>
        <v>8963703</v>
      </c>
      <c r="M27" s="44">
        <f t="shared" si="5"/>
        <v>0</v>
      </c>
      <c r="N27" s="153">
        <f t="shared" si="32"/>
        <v>6107506</v>
      </c>
      <c r="O27" s="44">
        <f t="shared" si="12"/>
        <v>0</v>
      </c>
      <c r="P27" s="156">
        <f t="shared" si="33"/>
        <v>5484317</v>
      </c>
      <c r="Q27" s="44">
        <f t="shared" si="6"/>
        <v>0</v>
      </c>
      <c r="R27" s="153">
        <f t="shared" si="34"/>
        <v>19308795</v>
      </c>
      <c r="S27" s="44">
        <f t="shared" si="7"/>
        <v>0</v>
      </c>
      <c r="T27" s="153">
        <v>0</v>
      </c>
      <c r="U27" s="157"/>
      <c r="V27" s="153">
        <f t="shared" si="35"/>
        <v>7156794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27"/>
        <v>19131</v>
      </c>
      <c r="D28" s="44">
        <f t="shared" si="0"/>
        <v>0</v>
      </c>
      <c r="E28" s="153">
        <f t="shared" si="28"/>
        <v>28860150</v>
      </c>
      <c r="F28" s="44">
        <f t="shared" si="1"/>
        <v>0</v>
      </c>
      <c r="G28" s="154">
        <f t="shared" si="29"/>
        <v>91479004</v>
      </c>
      <c r="H28" s="44">
        <f t="shared" si="2"/>
        <v>0</v>
      </c>
      <c r="I28" s="155">
        <f t="shared" si="3"/>
        <v>0</v>
      </c>
      <c r="J28" s="153">
        <f t="shared" si="30"/>
        <v>9030186</v>
      </c>
      <c r="K28" s="44">
        <f t="shared" si="4"/>
        <v>0</v>
      </c>
      <c r="L28" s="156">
        <f t="shared" si="31"/>
        <v>8963703</v>
      </c>
      <c r="M28" s="44">
        <f t="shared" si="5"/>
        <v>0</v>
      </c>
      <c r="N28" s="153">
        <f t="shared" si="32"/>
        <v>6107506</v>
      </c>
      <c r="O28" s="44">
        <f t="shared" si="12"/>
        <v>0</v>
      </c>
      <c r="P28" s="156">
        <f t="shared" si="33"/>
        <v>5484317</v>
      </c>
      <c r="Q28" s="44">
        <f t="shared" si="6"/>
        <v>0</v>
      </c>
      <c r="R28" s="153">
        <f t="shared" si="34"/>
        <v>19308795</v>
      </c>
      <c r="S28" s="44">
        <f t="shared" si="7"/>
        <v>0</v>
      </c>
      <c r="T28" s="153">
        <v>0</v>
      </c>
      <c r="U28" s="157"/>
      <c r="V28" s="153">
        <f t="shared" si="35"/>
        <v>7156794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27"/>
        <v>19131</v>
      </c>
      <c r="D29" s="44">
        <f t="shared" si="0"/>
        <v>0</v>
      </c>
      <c r="E29" s="153">
        <f t="shared" si="28"/>
        <v>28860150</v>
      </c>
      <c r="F29" s="44">
        <f t="shared" si="1"/>
        <v>0</v>
      </c>
      <c r="G29" s="154">
        <f t="shared" si="29"/>
        <v>91479004</v>
      </c>
      <c r="H29" s="44">
        <f t="shared" si="2"/>
        <v>0</v>
      </c>
      <c r="I29" s="155">
        <f t="shared" si="3"/>
        <v>0</v>
      </c>
      <c r="J29" s="153">
        <f t="shared" si="30"/>
        <v>9030186</v>
      </c>
      <c r="K29" s="44">
        <f t="shared" si="4"/>
        <v>0</v>
      </c>
      <c r="L29" s="156">
        <f t="shared" si="31"/>
        <v>8963703</v>
      </c>
      <c r="M29" s="44">
        <f t="shared" si="5"/>
        <v>0</v>
      </c>
      <c r="N29" s="153">
        <f t="shared" si="32"/>
        <v>6107506</v>
      </c>
      <c r="O29" s="44">
        <f t="shared" si="12"/>
        <v>0</v>
      </c>
      <c r="P29" s="156">
        <f t="shared" si="33"/>
        <v>5484317</v>
      </c>
      <c r="Q29" s="44">
        <f t="shared" si="6"/>
        <v>0</v>
      </c>
      <c r="R29" s="153">
        <f t="shared" si="34"/>
        <v>19308795</v>
      </c>
      <c r="S29" s="44">
        <f t="shared" si="7"/>
        <v>0</v>
      </c>
      <c r="T29" s="153">
        <v>0</v>
      </c>
      <c r="U29" s="157"/>
      <c r="V29" s="153">
        <f t="shared" si="35"/>
        <v>7156794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27"/>
        <v>19131</v>
      </c>
      <c r="D30" s="44">
        <f t="shared" si="0"/>
        <v>0</v>
      </c>
      <c r="E30" s="153">
        <f t="shared" si="28"/>
        <v>28860150</v>
      </c>
      <c r="F30" s="44">
        <f t="shared" si="1"/>
        <v>0</v>
      </c>
      <c r="G30" s="154">
        <f t="shared" si="29"/>
        <v>91479004</v>
      </c>
      <c r="H30" s="44">
        <f t="shared" si="2"/>
        <v>0</v>
      </c>
      <c r="I30" s="155">
        <f t="shared" si="3"/>
        <v>0</v>
      </c>
      <c r="J30" s="153">
        <f t="shared" si="30"/>
        <v>9030186</v>
      </c>
      <c r="K30" s="44">
        <f t="shared" si="4"/>
        <v>0</v>
      </c>
      <c r="L30" s="156">
        <f t="shared" si="31"/>
        <v>8963703</v>
      </c>
      <c r="M30" s="44">
        <f t="shared" si="5"/>
        <v>0</v>
      </c>
      <c r="N30" s="153">
        <f t="shared" si="32"/>
        <v>6107506</v>
      </c>
      <c r="O30" s="44">
        <f t="shared" si="12"/>
        <v>0</v>
      </c>
      <c r="P30" s="156">
        <f t="shared" si="33"/>
        <v>5484317</v>
      </c>
      <c r="Q30" s="44">
        <f t="shared" si="6"/>
        <v>0</v>
      </c>
      <c r="R30" s="153">
        <f t="shared" si="34"/>
        <v>19308795</v>
      </c>
      <c r="S30" s="44">
        <f t="shared" si="7"/>
        <v>0</v>
      </c>
      <c r="T30" s="153">
        <v>0</v>
      </c>
      <c r="U30" s="157"/>
      <c r="V30" s="153">
        <f t="shared" si="35"/>
        <v>7156794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27"/>
        <v>19131</v>
      </c>
      <c r="D31" s="44">
        <f t="shared" si="0"/>
        <v>0</v>
      </c>
      <c r="E31" s="153">
        <f t="shared" si="28"/>
        <v>28860150</v>
      </c>
      <c r="F31" s="44">
        <f t="shared" si="1"/>
        <v>0</v>
      </c>
      <c r="G31" s="154">
        <f t="shared" si="29"/>
        <v>91479004</v>
      </c>
      <c r="H31" s="44">
        <f t="shared" si="2"/>
        <v>0</v>
      </c>
      <c r="I31" s="155">
        <f t="shared" si="3"/>
        <v>0</v>
      </c>
      <c r="J31" s="153">
        <f t="shared" si="30"/>
        <v>9030186</v>
      </c>
      <c r="K31" s="44">
        <f t="shared" si="4"/>
        <v>0</v>
      </c>
      <c r="L31" s="156">
        <f t="shared" si="31"/>
        <v>8963703</v>
      </c>
      <c r="M31" s="44">
        <f t="shared" si="5"/>
        <v>0</v>
      </c>
      <c r="N31" s="153">
        <f t="shared" si="32"/>
        <v>6107506</v>
      </c>
      <c r="O31" s="44">
        <f t="shared" si="12"/>
        <v>0</v>
      </c>
      <c r="P31" s="156">
        <f t="shared" si="33"/>
        <v>5484317</v>
      </c>
      <c r="Q31" s="44">
        <f t="shared" si="6"/>
        <v>0</v>
      </c>
      <c r="R31" s="153">
        <f t="shared" si="34"/>
        <v>19308795</v>
      </c>
      <c r="S31" s="44">
        <f t="shared" si="7"/>
        <v>0</v>
      </c>
      <c r="T31" s="153">
        <v>0</v>
      </c>
      <c r="U31" s="11"/>
      <c r="V31" s="153">
        <f t="shared" si="35"/>
        <v>7156794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27"/>
        <v>19131</v>
      </c>
      <c r="D32" s="44">
        <f t="shared" si="0"/>
        <v>0</v>
      </c>
      <c r="E32" s="153">
        <f t="shared" si="28"/>
        <v>28860150</v>
      </c>
      <c r="F32" s="44">
        <f t="shared" si="1"/>
        <v>0</v>
      </c>
      <c r="G32" s="154">
        <f t="shared" si="29"/>
        <v>91479004</v>
      </c>
      <c r="H32" s="44">
        <f t="shared" si="2"/>
        <v>0</v>
      </c>
      <c r="I32" s="22">
        <f>F32+H32</f>
        <v>0</v>
      </c>
      <c r="J32" s="153">
        <f t="shared" si="30"/>
        <v>9030186</v>
      </c>
      <c r="K32" s="44">
        <f t="shared" si="4"/>
        <v>0</v>
      </c>
      <c r="L32" s="156">
        <f t="shared" si="31"/>
        <v>8963703</v>
      </c>
      <c r="M32" s="44">
        <f t="shared" si="5"/>
        <v>0</v>
      </c>
      <c r="N32" s="153">
        <f t="shared" si="32"/>
        <v>6107506</v>
      </c>
      <c r="O32" s="44">
        <f t="shared" si="12"/>
        <v>0</v>
      </c>
      <c r="P32" s="156">
        <f t="shared" si="33"/>
        <v>5484317</v>
      </c>
      <c r="Q32" s="44">
        <f t="shared" si="6"/>
        <v>0</v>
      </c>
      <c r="R32" s="153">
        <f t="shared" si="34"/>
        <v>19308795</v>
      </c>
      <c r="S32" s="44">
        <f t="shared" si="7"/>
        <v>0</v>
      </c>
      <c r="T32" s="153">
        <v>0</v>
      </c>
      <c r="U32" s="11"/>
      <c r="V32" s="153">
        <f t="shared" si="35"/>
        <v>7156794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4">
        <f>SUM(B2:B32)</f>
        <v>4186</v>
      </c>
      <c r="C33" s="144"/>
      <c r="D33" s="144">
        <f>SUM(D2:D32)</f>
        <v>10400</v>
      </c>
      <c r="E33" s="61">
        <v>0</v>
      </c>
      <c r="F33" s="61">
        <f>SUM(F2:F32)</f>
        <v>252475</v>
      </c>
      <c r="G33" s="61">
        <v>0</v>
      </c>
      <c r="H33" s="61">
        <f>SUM(H2:H32)</f>
        <v>720099</v>
      </c>
      <c r="I33" s="61">
        <f>SUM(I5:I32)</f>
        <v>9804561</v>
      </c>
      <c r="J33" s="61">
        <v>0</v>
      </c>
      <c r="K33" s="61">
        <f>SUM(K2:K32)</f>
        <v>80492</v>
      </c>
      <c r="L33" s="61">
        <v>0</v>
      </c>
      <c r="M33" s="61">
        <f>SUM(M2:M32)</f>
        <v>88285</v>
      </c>
      <c r="N33" s="61">
        <v>0</v>
      </c>
      <c r="O33" s="61">
        <f>SUM(O2:O32)</f>
        <v>161486</v>
      </c>
      <c r="P33" s="61">
        <v>0</v>
      </c>
      <c r="Q33" s="61">
        <f>SUM(Q2:Q32)</f>
        <v>110709</v>
      </c>
      <c r="R33" s="61">
        <v>0</v>
      </c>
      <c r="S33" s="61">
        <f>SUM(S2:S32)</f>
        <v>159500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176064</v>
      </c>
      <c r="X33" s="61">
        <f>SUM(X5:X32)</f>
        <v>686270</v>
      </c>
      <c r="Y33" s="61">
        <f>SUM(Y2:Y32)</f>
        <v>9157402</v>
      </c>
      <c r="Z33" s="61">
        <f>SUM(Z2:Z32)</f>
        <v>130645.36392980002</v>
      </c>
      <c r="AA33" s="61">
        <f>SUM(AA2:AA32)</f>
        <v>528809.48945519992</v>
      </c>
    </row>
    <row r="34" spans="1:27" x14ac:dyDescent="0.25"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 t="s">
        <v>12</v>
      </c>
      <c r="V34" s="163"/>
      <c r="W34" s="163"/>
      <c r="X34" s="163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v>431720</v>
      </c>
      <c r="C18" s="44">
        <f t="shared" si="8"/>
        <v>910</v>
      </c>
      <c r="D18" s="3">
        <v>4377000</v>
      </c>
      <c r="E18" s="44">
        <f t="shared" si="3"/>
        <v>0</v>
      </c>
      <c r="F18" s="3">
        <v>6689300</v>
      </c>
      <c r="G18" s="44">
        <f t="shared" si="6"/>
        <v>440.1</v>
      </c>
      <c r="H18" s="3">
        <v>758272</v>
      </c>
      <c r="I18" s="49">
        <f t="shared" si="7"/>
        <v>4.8600000000000003</v>
      </c>
      <c r="J18" s="22">
        <f t="shared" si="4"/>
        <v>1354.9599999999998</v>
      </c>
      <c r="K18" s="23">
        <f t="shared" si="5"/>
        <v>7940.065599999999</v>
      </c>
      <c r="Q18" t="s">
        <v>43</v>
      </c>
    </row>
    <row r="19" spans="1:25" ht="16.5" thickBot="1" x14ac:dyDescent="0.3">
      <c r="A19" s="10">
        <v>44517</v>
      </c>
      <c r="B19" s="3">
        <f t="shared" ref="B18:B32" si="10">B18</f>
        <v>431720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ref="F18:F32" si="11">F18</f>
        <v>6689300</v>
      </c>
      <c r="G19" s="44">
        <f t="shared" si="6"/>
        <v>0</v>
      </c>
      <c r="H19" s="3">
        <f t="shared" si="9"/>
        <v>758272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44518</v>
      </c>
      <c r="B20" s="3">
        <f t="shared" si="10"/>
        <v>431720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1"/>
        <v>6689300</v>
      </c>
      <c r="G20" s="44">
        <f t="shared" si="6"/>
        <v>0</v>
      </c>
      <c r="H20" s="3">
        <f t="shared" si="9"/>
        <v>758272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44519</v>
      </c>
      <c r="B21" s="3">
        <f t="shared" si="10"/>
        <v>431720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1"/>
        <v>6689300</v>
      </c>
      <c r="G21" s="44">
        <f t="shared" si="6"/>
        <v>0</v>
      </c>
      <c r="H21" s="3">
        <f t="shared" si="9"/>
        <v>758272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44520</v>
      </c>
      <c r="B22" s="3">
        <f t="shared" si="10"/>
        <v>431720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1"/>
        <v>6689300</v>
      </c>
      <c r="G22" s="44">
        <f t="shared" si="6"/>
        <v>0</v>
      </c>
      <c r="H22" s="3">
        <f t="shared" si="9"/>
        <v>758272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f t="shared" si="10"/>
        <v>431720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1"/>
        <v>6689300</v>
      </c>
      <c r="G23" s="44">
        <f t="shared" si="6"/>
        <v>0</v>
      </c>
      <c r="H23" s="3">
        <f t="shared" si="9"/>
        <v>758272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44522</v>
      </c>
      <c r="B24" s="3">
        <f t="shared" si="10"/>
        <v>431720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1"/>
        <v>6689300</v>
      </c>
      <c r="G24" s="44">
        <f t="shared" si="6"/>
        <v>0</v>
      </c>
      <c r="H24" s="3">
        <f t="shared" si="9"/>
        <v>758272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10"/>
        <v>431720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1"/>
        <v>6689300</v>
      </c>
      <c r="G25" s="44">
        <f t="shared" si="6"/>
        <v>0</v>
      </c>
      <c r="H25" s="3">
        <f t="shared" si="9"/>
        <v>758272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10"/>
        <v>431720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6689300</v>
      </c>
      <c r="G26" s="44">
        <f t="shared" si="6"/>
        <v>0</v>
      </c>
      <c r="H26" s="3">
        <f t="shared" si="9"/>
        <v>758272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10"/>
        <v>431720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6689300</v>
      </c>
      <c r="G27" s="44">
        <f t="shared" si="6"/>
        <v>0</v>
      </c>
      <c r="H27" s="3">
        <f t="shared" si="9"/>
        <v>758272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431720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6689300</v>
      </c>
      <c r="G28" s="44">
        <f t="shared" si="6"/>
        <v>0</v>
      </c>
      <c r="H28" s="3">
        <f t="shared" si="9"/>
        <v>758272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431720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6689300</v>
      </c>
      <c r="G29" s="44">
        <f t="shared" si="6"/>
        <v>0</v>
      </c>
      <c r="H29" s="3">
        <f t="shared" si="9"/>
        <v>758272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431720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6689300</v>
      </c>
      <c r="G30" s="44">
        <f t="shared" si="6"/>
        <v>0</v>
      </c>
      <c r="H30" s="3">
        <f t="shared" si="9"/>
        <v>758272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431720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6689300</v>
      </c>
      <c r="G31" s="44">
        <f t="shared" si="6"/>
        <v>0</v>
      </c>
      <c r="H31" s="3">
        <f t="shared" si="9"/>
        <v>758272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431720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6689300</v>
      </c>
      <c r="G32" s="44">
        <f t="shared" si="6"/>
        <v>0</v>
      </c>
      <c r="H32" s="3">
        <f t="shared" si="9"/>
        <v>758272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15650</v>
      </c>
      <c r="D33" s="3"/>
      <c r="E33" s="61">
        <f>SUM(E3:E32)</f>
        <v>0</v>
      </c>
      <c r="F33" s="3"/>
      <c r="G33" s="61">
        <f>SUM(G3:G32)</f>
        <v>7859.7000000000007</v>
      </c>
      <c r="H33" s="3"/>
      <c r="I33" s="61">
        <f>SUM(I3:I32)</f>
        <v>63.855000000000004</v>
      </c>
      <c r="J33" s="61">
        <f>SUM(J3:J32)</f>
        <v>23573.554999999997</v>
      </c>
      <c r="K33" s="61">
        <f>SUM(K3:K32)</f>
        <v>138141.03229999999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4" zoomScale="80" zoomScaleNormal="55" zoomScaleSheetLayoutView="80" workbookViewId="0">
      <pane xSplit="1" topLeftCell="B1" activePane="topRight" state="frozen"/>
      <selection pane="topRight" activeCell="A18" sqref="A18:XFD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9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9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9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9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9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9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9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9">
        <v>17745501</v>
      </c>
      <c r="C17" s="50">
        <f t="shared" si="0"/>
        <v>2403</v>
      </c>
      <c r="F17" s="137"/>
    </row>
    <row r="18" spans="1:9" ht="24" thickBot="1" x14ac:dyDescent="0.4">
      <c r="A18" s="10">
        <v>44516</v>
      </c>
      <c r="B18" s="139">
        <v>17747995</v>
      </c>
      <c r="C18" s="50">
        <f t="shared" si="0"/>
        <v>2494</v>
      </c>
    </row>
    <row r="19" spans="1:9" ht="24" thickBot="1" x14ac:dyDescent="0.4">
      <c r="A19" s="10">
        <v>44517</v>
      </c>
      <c r="B19" s="139"/>
      <c r="C19" s="50" t="str">
        <f t="shared" si="0"/>
        <v>0</v>
      </c>
      <c r="F19" s="139"/>
    </row>
    <row r="20" spans="1:9" ht="24" thickBot="1" x14ac:dyDescent="0.4">
      <c r="A20" s="10">
        <v>44518</v>
      </c>
      <c r="B20" s="139"/>
      <c r="C20" s="50">
        <f t="shared" si="0"/>
        <v>0</v>
      </c>
    </row>
    <row r="21" spans="1:9" ht="24" thickBot="1" x14ac:dyDescent="0.4">
      <c r="A21" s="10">
        <v>44519</v>
      </c>
      <c r="B21" s="139"/>
      <c r="C21" s="50">
        <f t="shared" si="0"/>
        <v>0</v>
      </c>
    </row>
    <row r="22" spans="1:9" ht="24" thickBot="1" x14ac:dyDescent="0.4">
      <c r="A22" s="10">
        <v>44520</v>
      </c>
      <c r="B22" s="139"/>
      <c r="C22" s="50">
        <f t="shared" si="0"/>
        <v>0</v>
      </c>
    </row>
    <row r="23" spans="1:9" ht="24" thickBot="1" x14ac:dyDescent="0.4">
      <c r="A23" s="10">
        <v>44521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79" t="s">
        <v>138</v>
      </c>
      <c r="B33" s="180"/>
      <c r="C33" s="142">
        <f>SUM(C3:C32)</f>
        <v>37209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zoomScale="80" zoomScaleNormal="8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1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1" t="s">
        <v>142</v>
      </c>
      <c r="X1" s="182"/>
      <c r="Y1" s="182"/>
      <c r="Z1" s="182"/>
      <c r="AA1" s="183"/>
      <c r="AB1" s="181" t="s">
        <v>144</v>
      </c>
      <c r="AC1" s="182"/>
      <c r="AD1" s="181" t="s">
        <v>147</v>
      </c>
      <c r="AE1" s="182"/>
    </row>
    <row r="2" spans="1:31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178">
        <v>0</v>
      </c>
      <c r="Z2" s="166">
        <v>7686</v>
      </c>
      <c r="AA2" s="178">
        <v>0</v>
      </c>
      <c r="AB2" s="166">
        <v>13.35</v>
      </c>
      <c r="AC2" s="178">
        <v>0</v>
      </c>
      <c r="AD2" s="166">
        <v>0</v>
      </c>
      <c r="AE2" s="177">
        <v>0</v>
      </c>
    </row>
    <row r="3" spans="1:31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7">
        <f t="shared" ref="Y3" si="19">X3-X2</f>
        <v>526</v>
      </c>
      <c r="Z3" s="166">
        <v>7739</v>
      </c>
      <c r="AA3" s="177">
        <f>Z3-Z2</f>
        <v>53</v>
      </c>
      <c r="AB3" s="166">
        <v>13.35</v>
      </c>
      <c r="AC3" s="178">
        <v>0</v>
      </c>
      <c r="AD3" s="166">
        <v>0</v>
      </c>
      <c r="AE3" s="177">
        <v>0</v>
      </c>
    </row>
    <row r="4" spans="1:31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7">
        <f>X4-X3</f>
        <v>195</v>
      </c>
      <c r="Z4" s="166">
        <v>7744</v>
      </c>
      <c r="AA4" s="177">
        <f>Z4-Z3</f>
        <v>5</v>
      </c>
      <c r="AB4" s="166">
        <v>13.35</v>
      </c>
      <c r="AC4" s="178">
        <f t="shared" ref="AC4:AC8" si="22">AB4-AB3</f>
        <v>0</v>
      </c>
      <c r="AD4" s="166">
        <v>0</v>
      </c>
      <c r="AE4" s="177">
        <v>0</v>
      </c>
    </row>
    <row r="5" spans="1:31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178">
        <f t="shared" ref="Y5:Y32" si="23">X5-X4</f>
        <v>236</v>
      </c>
      <c r="Z5" s="166">
        <v>7750</v>
      </c>
      <c r="AA5" s="178">
        <f t="shared" ref="AA5:AA32" si="24">Z5-Z4</f>
        <v>6</v>
      </c>
      <c r="AB5" s="166">
        <v>13.35</v>
      </c>
      <c r="AC5" s="178">
        <f t="shared" si="22"/>
        <v>0</v>
      </c>
      <c r="AD5" s="166">
        <v>0</v>
      </c>
      <c r="AE5" s="177">
        <v>0</v>
      </c>
    </row>
    <row r="6" spans="1:31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5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178">
        <f t="shared" si="23"/>
        <v>213</v>
      </c>
      <c r="Z6" s="166">
        <v>7783</v>
      </c>
      <c r="AA6" s="178">
        <f t="shared" si="24"/>
        <v>33</v>
      </c>
      <c r="AB6" s="166">
        <v>13.35</v>
      </c>
      <c r="AC6" s="178">
        <f t="shared" si="22"/>
        <v>0</v>
      </c>
      <c r="AD6" s="166">
        <v>0</v>
      </c>
      <c r="AE6" s="177">
        <v>0</v>
      </c>
    </row>
    <row r="7" spans="1:31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5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178">
        <f t="shared" si="23"/>
        <v>187</v>
      </c>
      <c r="Z7" s="166">
        <v>7789</v>
      </c>
      <c r="AA7" s="178">
        <f t="shared" si="24"/>
        <v>6</v>
      </c>
      <c r="AB7" s="166">
        <v>13.35</v>
      </c>
      <c r="AC7" s="178">
        <f t="shared" si="22"/>
        <v>0</v>
      </c>
      <c r="AD7" s="166">
        <v>0</v>
      </c>
      <c r="AE7" s="177">
        <v>0</v>
      </c>
    </row>
    <row r="8" spans="1:31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5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178">
        <f t="shared" si="23"/>
        <v>-831</v>
      </c>
      <c r="Z8" s="166">
        <v>7739</v>
      </c>
      <c r="AA8" s="178">
        <f t="shared" si="24"/>
        <v>-50</v>
      </c>
      <c r="AB8" s="166">
        <v>13.35</v>
      </c>
      <c r="AC8" s="178">
        <f t="shared" si="22"/>
        <v>0</v>
      </c>
      <c r="AD8" s="166">
        <v>0</v>
      </c>
      <c r="AE8" s="177">
        <v>0</v>
      </c>
    </row>
    <row r="9" spans="1:31" ht="16.5" thickBot="1" x14ac:dyDescent="0.25">
      <c r="A9" s="10">
        <v>44507</v>
      </c>
      <c r="B9" s="168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5"/>
        <v>17.195000000000164</v>
      </c>
      <c r="U9" s="35">
        <f t="shared" si="21"/>
        <v>32670.500000000309</v>
      </c>
      <c r="W9" s="165">
        <v>44507</v>
      </c>
      <c r="X9" s="166">
        <v>156045</v>
      </c>
      <c r="Y9" s="178">
        <f t="shared" si="23"/>
        <v>938</v>
      </c>
      <c r="Z9" s="166">
        <v>7798</v>
      </c>
      <c r="AA9" s="178">
        <f t="shared" si="24"/>
        <v>59</v>
      </c>
      <c r="AB9" s="166">
        <v>13.35</v>
      </c>
      <c r="AC9" s="178">
        <f>AB9-AB8</f>
        <v>0</v>
      </c>
      <c r="AD9" s="166">
        <v>0</v>
      </c>
      <c r="AE9" s="177">
        <v>0</v>
      </c>
    </row>
    <row r="10" spans="1:31" ht="16.5" thickBot="1" x14ac:dyDescent="0.25">
      <c r="A10" s="10">
        <v>44508</v>
      </c>
      <c r="B10" s="168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5"/>
        <v>17.201999999999771</v>
      </c>
      <c r="U10" s="35">
        <f t="shared" si="21"/>
        <v>32683.799999999566</v>
      </c>
      <c r="W10" s="165">
        <v>44508</v>
      </c>
      <c r="X10" s="166">
        <v>156132</v>
      </c>
      <c r="Y10" s="178">
        <f t="shared" si="23"/>
        <v>87</v>
      </c>
      <c r="Z10" s="166">
        <v>7802</v>
      </c>
      <c r="AA10" s="178">
        <f t="shared" si="24"/>
        <v>4</v>
      </c>
      <c r="AB10" s="166">
        <v>13.35</v>
      </c>
      <c r="AC10" s="178">
        <f t="shared" ref="AC10:AC32" si="26">AB10-AB9</f>
        <v>0</v>
      </c>
      <c r="AD10" s="166">
        <v>1</v>
      </c>
      <c r="AE10" s="177">
        <v>0</v>
      </c>
    </row>
    <row r="11" spans="1:31" ht="16.5" thickBot="1" x14ac:dyDescent="0.25">
      <c r="A11" s="10">
        <v>44509</v>
      </c>
      <c r="B11" s="168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5"/>
        <v>20.384000000000469</v>
      </c>
      <c r="U11" s="35">
        <f t="shared" si="21"/>
        <v>38729.600000000893</v>
      </c>
      <c r="W11" s="165">
        <v>44509</v>
      </c>
      <c r="X11" s="166">
        <v>156316</v>
      </c>
      <c r="Y11" s="178">
        <f t="shared" si="23"/>
        <v>184</v>
      </c>
      <c r="Z11" s="166">
        <v>7814</v>
      </c>
      <c r="AA11" s="178">
        <f t="shared" si="24"/>
        <v>12</v>
      </c>
      <c r="AB11" s="166">
        <v>13.35</v>
      </c>
      <c r="AC11" s="178">
        <f t="shared" si="26"/>
        <v>0</v>
      </c>
      <c r="AD11" s="166">
        <v>1</v>
      </c>
      <c r="AE11" s="177">
        <f>AD11-AD10</f>
        <v>0</v>
      </c>
    </row>
    <row r="12" spans="1:31" ht="16.5" thickBot="1" x14ac:dyDescent="0.25">
      <c r="A12" s="10">
        <v>44510</v>
      </c>
      <c r="B12" s="168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5"/>
        <v>15.578999999998814</v>
      </c>
      <c r="U12" s="35">
        <f t="shared" si="21"/>
        <v>29600.099999997747</v>
      </c>
      <c r="W12" s="165">
        <v>44510</v>
      </c>
      <c r="X12" s="166">
        <v>156344</v>
      </c>
      <c r="Y12" s="178">
        <f t="shared" si="23"/>
        <v>28</v>
      </c>
      <c r="Z12" s="166">
        <v>7817</v>
      </c>
      <c r="AA12" s="178">
        <f t="shared" si="24"/>
        <v>3</v>
      </c>
      <c r="AB12" s="166">
        <v>13.45</v>
      </c>
      <c r="AC12" s="178">
        <f t="shared" si="26"/>
        <v>9.9999999999999645E-2</v>
      </c>
      <c r="AD12" s="166">
        <v>2</v>
      </c>
      <c r="AE12" s="177">
        <f>AD12-AD11</f>
        <v>1</v>
      </c>
    </row>
    <row r="13" spans="1:31" ht="16.5" thickBot="1" x14ac:dyDescent="0.25">
      <c r="A13" s="10">
        <v>44511</v>
      </c>
      <c r="B13" s="168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5"/>
        <v>17.600999999999203</v>
      </c>
      <c r="U13" s="35">
        <f t="shared" si="21"/>
        <v>33441.899999998481</v>
      </c>
      <c r="W13" s="165">
        <v>44511</v>
      </c>
      <c r="X13" s="166">
        <v>156511</v>
      </c>
      <c r="Y13" s="178">
        <f t="shared" si="23"/>
        <v>167</v>
      </c>
      <c r="Z13" s="166">
        <v>7825</v>
      </c>
      <c r="AA13" s="178">
        <f t="shared" si="24"/>
        <v>8</v>
      </c>
      <c r="AB13" s="166">
        <v>13.46</v>
      </c>
      <c r="AC13" s="178">
        <f t="shared" si="26"/>
        <v>1.0000000000001563E-2</v>
      </c>
      <c r="AD13" s="166">
        <v>2</v>
      </c>
      <c r="AE13" s="177">
        <f t="shared" ref="AE13:AE32" si="27">AD13-AD12</f>
        <v>0</v>
      </c>
    </row>
    <row r="14" spans="1:31" ht="16.5" thickBot="1" x14ac:dyDescent="0.25">
      <c r="A14" s="10">
        <v>44512</v>
      </c>
      <c r="B14" s="168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5"/>
        <v>13.689000000002579</v>
      </c>
      <c r="U14" s="35">
        <f t="shared" si="21"/>
        <v>26009.100000004899</v>
      </c>
      <c r="W14" s="165">
        <v>44512</v>
      </c>
      <c r="X14" s="166">
        <v>156662</v>
      </c>
      <c r="Y14" s="178">
        <f t="shared" si="23"/>
        <v>151</v>
      </c>
      <c r="Z14" s="166">
        <v>7829</v>
      </c>
      <c r="AA14" s="178">
        <f t="shared" si="24"/>
        <v>4</v>
      </c>
      <c r="AB14" s="166">
        <v>13.46</v>
      </c>
      <c r="AC14" s="178">
        <f t="shared" si="26"/>
        <v>0</v>
      </c>
      <c r="AD14" s="166">
        <v>2</v>
      </c>
      <c r="AE14" s="177">
        <f t="shared" si="27"/>
        <v>0</v>
      </c>
    </row>
    <row r="15" spans="1:31" ht="16.5" thickBot="1" x14ac:dyDescent="0.25">
      <c r="A15" s="10">
        <v>44513</v>
      </c>
      <c r="B15" s="168">
        <v>22634.105</v>
      </c>
      <c r="C15" s="49">
        <f t="shared" ref="C15" si="28">IF((B15-B14)&lt;0,"0",(B15-B14))</f>
        <v>4.7409999999981665</v>
      </c>
      <c r="D15" s="33">
        <f t="shared" ref="D15" si="29">C15*1.9*1000</f>
        <v>9007.8999999965163</v>
      </c>
      <c r="E15" s="1">
        <v>4037.174</v>
      </c>
      <c r="F15" s="49">
        <f t="shared" ref="F15" si="30">IF((E15-E14)&lt;0,"0",(E15-E14))</f>
        <v>1.0419999999999163</v>
      </c>
      <c r="G15" s="33">
        <f t="shared" ref="G15" si="31">F15*1.9*1000</f>
        <v>1979.799999999841</v>
      </c>
      <c r="H15" s="1">
        <v>4345</v>
      </c>
      <c r="I15" s="49">
        <f t="shared" ref="I15" si="32">IF((H15-H14)&lt;0,"0",(H15-H14))</f>
        <v>4</v>
      </c>
      <c r="J15" s="33">
        <f t="shared" ref="J15" si="33">I15*1.9*1000</f>
        <v>7600</v>
      </c>
      <c r="K15" s="7">
        <v>13823.16</v>
      </c>
      <c r="L15" s="49">
        <f t="shared" ref="L15" si="34">IF((K15-K14)&lt;0,"0",(K15-K14))</f>
        <v>1.0900000000001455</v>
      </c>
      <c r="M15" s="33">
        <f t="shared" ref="M15" si="35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6">O15*1.9*1000</f>
        <v>2749.3000000002212</v>
      </c>
      <c r="Q15" s="7">
        <v>5252.4</v>
      </c>
      <c r="R15" s="49">
        <f t="shared" ref="R15" si="37">IF((Q15-Q14)&lt;0,"0",(Q15-Q14))</f>
        <v>2.089999999999236</v>
      </c>
      <c r="S15" s="33">
        <f t="shared" ref="S15" si="38">R15*1.9*1000</f>
        <v>3970.9999999985484</v>
      </c>
      <c r="T15" s="8">
        <f t="shared" ref="T15" si="39">C15+F15+I15+L15+O15+R15</f>
        <v>14.409999999997581</v>
      </c>
      <c r="U15" s="35">
        <f t="shared" ref="U15" si="40">T15*1.9*1000</f>
        <v>27378.999999995402</v>
      </c>
      <c r="W15" s="165">
        <v>44512</v>
      </c>
      <c r="X15" s="166">
        <v>156809</v>
      </c>
      <c r="Y15" s="178">
        <f t="shared" ref="Y15" si="41">X15-X14</f>
        <v>147</v>
      </c>
      <c r="Z15" s="166">
        <v>7835</v>
      </c>
      <c r="AA15" s="178">
        <f t="shared" ref="AA15" si="42">Z15-Z14</f>
        <v>6</v>
      </c>
      <c r="AB15" s="166">
        <v>13.46</v>
      </c>
      <c r="AC15" s="178">
        <f t="shared" ref="AC15" si="43">AB15-AB14</f>
        <v>0</v>
      </c>
      <c r="AD15" s="166">
        <v>2</v>
      </c>
      <c r="AE15" s="177">
        <f t="shared" ref="AE15" si="44">AD15-AD14</f>
        <v>0</v>
      </c>
    </row>
    <row r="16" spans="1:31" ht="16.5" thickBot="1" x14ac:dyDescent="0.25">
      <c r="A16" s="10">
        <v>44514</v>
      </c>
      <c r="B16" s="168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5"/>
        <v>15.688000000000102</v>
      </c>
      <c r="U16" s="35">
        <f t="shared" si="21"/>
        <v>29807.200000000194</v>
      </c>
      <c r="W16" s="165">
        <v>44514</v>
      </c>
      <c r="X16" s="166">
        <v>156952</v>
      </c>
      <c r="Y16" s="178">
        <f t="shared" si="23"/>
        <v>143</v>
      </c>
      <c r="Z16" s="166">
        <v>7839</v>
      </c>
      <c r="AA16" s="178">
        <f t="shared" si="24"/>
        <v>4</v>
      </c>
      <c r="AB16" s="166">
        <v>13.5</v>
      </c>
      <c r="AC16" s="178">
        <f t="shared" si="26"/>
        <v>3.9999999999999147E-2</v>
      </c>
      <c r="AD16" s="166">
        <f t="shared" ref="AD16:AD32" si="45">AD15</f>
        <v>2</v>
      </c>
      <c r="AE16" s="177">
        <f t="shared" si="27"/>
        <v>0</v>
      </c>
    </row>
    <row r="17" spans="1:31" ht="16.5" thickBot="1" x14ac:dyDescent="0.25">
      <c r="A17" s="10">
        <v>44515</v>
      </c>
      <c r="B17" s="168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5"/>
        <v>16.60300000000143</v>
      </c>
      <c r="U17" s="35">
        <f t="shared" si="21"/>
        <v>31545.700000002715</v>
      </c>
      <c r="W17" s="165">
        <v>44515</v>
      </c>
      <c r="X17" s="166">
        <v>157121</v>
      </c>
      <c r="Y17" s="178">
        <f t="shared" si="23"/>
        <v>169</v>
      </c>
      <c r="Z17" s="166">
        <v>7843</v>
      </c>
      <c r="AA17" s="178">
        <f t="shared" si="24"/>
        <v>4</v>
      </c>
      <c r="AB17" s="166">
        <v>13.5</v>
      </c>
      <c r="AC17" s="178">
        <f t="shared" si="26"/>
        <v>0</v>
      </c>
      <c r="AD17" s="166">
        <f t="shared" si="45"/>
        <v>2</v>
      </c>
      <c r="AE17" s="177">
        <f t="shared" si="27"/>
        <v>0</v>
      </c>
    </row>
    <row r="18" spans="1:31" ht="16.5" thickBot="1" x14ac:dyDescent="0.25">
      <c r="A18" s="10">
        <v>44516</v>
      </c>
      <c r="B18" s="168">
        <v>22649.705000000002</v>
      </c>
      <c r="C18" s="49">
        <f t="shared" si="20"/>
        <v>5.294000000001688</v>
      </c>
      <c r="D18" s="33">
        <f t="shared" si="8"/>
        <v>10058.600000003207</v>
      </c>
      <c r="E18" s="1">
        <v>4042.7939999999999</v>
      </c>
      <c r="F18" s="49">
        <f t="shared" si="9"/>
        <v>1.9659999999998945</v>
      </c>
      <c r="G18" s="33">
        <f t="shared" si="10"/>
        <v>3735.3999999997995</v>
      </c>
      <c r="H18" s="1">
        <v>4359</v>
      </c>
      <c r="I18" s="49">
        <f t="shared" si="11"/>
        <v>5</v>
      </c>
      <c r="J18" s="33">
        <f t="shared" si="12"/>
        <v>9500</v>
      </c>
      <c r="K18" s="7">
        <v>13827.61</v>
      </c>
      <c r="L18" s="49">
        <f t="shared" si="13"/>
        <v>1.2399999999997817</v>
      </c>
      <c r="M18" s="33">
        <f t="shared" si="14"/>
        <v>2355.9999999995853</v>
      </c>
      <c r="N18" s="7">
        <v>3313.355</v>
      </c>
      <c r="O18" s="49">
        <f t="shared" si="15"/>
        <v>1.5109999999999673</v>
      </c>
      <c r="P18" s="33">
        <f t="shared" si="16"/>
        <v>2870.8999999999378</v>
      </c>
      <c r="Q18" s="7">
        <v>5257.78</v>
      </c>
      <c r="R18" s="49">
        <f t="shared" si="17"/>
        <v>2.0799999999999272</v>
      </c>
      <c r="S18" s="33">
        <f t="shared" si="18"/>
        <v>3951.9999999998613</v>
      </c>
      <c r="T18" s="8">
        <f t="shared" si="25"/>
        <v>17.091000000001259</v>
      </c>
      <c r="U18" s="35">
        <f t="shared" si="21"/>
        <v>32472.900000002392</v>
      </c>
      <c r="W18" s="165">
        <v>44516</v>
      </c>
      <c r="X18" s="166">
        <v>157266</v>
      </c>
      <c r="Y18" s="178">
        <f t="shared" si="23"/>
        <v>145</v>
      </c>
      <c r="Z18" s="166">
        <v>7847</v>
      </c>
      <c r="AA18" s="178">
        <f t="shared" si="24"/>
        <v>4</v>
      </c>
      <c r="AB18" s="166">
        <f t="shared" ref="AB18:AB31" si="46">AB17</f>
        <v>13.5</v>
      </c>
      <c r="AC18" s="178">
        <f t="shared" si="26"/>
        <v>0</v>
      </c>
      <c r="AD18" s="166">
        <v>3</v>
      </c>
      <c r="AE18" s="177">
        <f t="shared" si="27"/>
        <v>1</v>
      </c>
    </row>
    <row r="19" spans="1:31" ht="16.5" thickBot="1" x14ac:dyDescent="0.25">
      <c r="A19" s="10">
        <v>44517</v>
      </c>
      <c r="B19" s="168">
        <f t="shared" ref="B18:B32" si="47">B18</f>
        <v>22649.705000000002</v>
      </c>
      <c r="C19" s="49">
        <f t="shared" si="20"/>
        <v>0</v>
      </c>
      <c r="D19" s="33">
        <f t="shared" si="8"/>
        <v>0</v>
      </c>
      <c r="E19" s="1">
        <v>4042.7939999999999</v>
      </c>
      <c r="F19" s="49">
        <f t="shared" si="9"/>
        <v>0</v>
      </c>
      <c r="G19" s="33">
        <f t="shared" si="10"/>
        <v>0</v>
      </c>
      <c r="H19" s="1">
        <f t="shared" ref="H18:H32" si="48">H18</f>
        <v>4359</v>
      </c>
      <c r="I19" s="49">
        <f t="shared" si="11"/>
        <v>0</v>
      </c>
      <c r="J19" s="33">
        <f t="shared" si="12"/>
        <v>0</v>
      </c>
      <c r="K19" s="7">
        <v>13823.16</v>
      </c>
      <c r="L19" s="49" t="str">
        <f t="shared" si="13"/>
        <v>0</v>
      </c>
      <c r="M19" s="33">
        <f t="shared" si="14"/>
        <v>0</v>
      </c>
      <c r="N19" s="7">
        <f t="shared" ref="N18:N32" si="49">N18</f>
        <v>3313.355</v>
      </c>
      <c r="O19" s="49">
        <f t="shared" si="15"/>
        <v>0</v>
      </c>
      <c r="P19" s="33">
        <f t="shared" si="16"/>
        <v>0</v>
      </c>
      <c r="Q19" s="7">
        <f t="shared" ref="Q18:Q32" si="50">Q18</f>
        <v>5257.78</v>
      </c>
      <c r="R19" s="49">
        <f t="shared" si="17"/>
        <v>0</v>
      </c>
      <c r="S19" s="33">
        <f t="shared" si="18"/>
        <v>0</v>
      </c>
      <c r="T19" s="8">
        <f t="shared" si="25"/>
        <v>0</v>
      </c>
      <c r="U19" s="35">
        <f t="shared" si="21"/>
        <v>0</v>
      </c>
      <c r="W19" s="165">
        <v>44517</v>
      </c>
      <c r="X19" s="166">
        <f t="shared" ref="X18:X32" si="51">X18</f>
        <v>157266</v>
      </c>
      <c r="Y19" s="178">
        <f t="shared" si="23"/>
        <v>0</v>
      </c>
      <c r="Z19" s="166">
        <f t="shared" ref="Z18:Z32" si="52">Z18</f>
        <v>7847</v>
      </c>
      <c r="AA19" s="178">
        <f t="shared" si="24"/>
        <v>0</v>
      </c>
      <c r="AB19" s="166">
        <f t="shared" si="46"/>
        <v>13.5</v>
      </c>
      <c r="AC19" s="178">
        <f t="shared" si="26"/>
        <v>0</v>
      </c>
      <c r="AD19" s="166">
        <v>3</v>
      </c>
      <c r="AE19" s="177">
        <f t="shared" si="27"/>
        <v>0</v>
      </c>
    </row>
    <row r="20" spans="1:31" ht="16.5" thickBot="1" x14ac:dyDescent="0.25">
      <c r="A20" s="10">
        <v>44518</v>
      </c>
      <c r="B20" s="168">
        <f t="shared" si="47"/>
        <v>22649.705000000002</v>
      </c>
      <c r="C20" s="49">
        <f t="shared" si="20"/>
        <v>0</v>
      </c>
      <c r="D20" s="33">
        <f t="shared" si="8"/>
        <v>0</v>
      </c>
      <c r="E20" s="1">
        <v>4042.7939999999999</v>
      </c>
      <c r="F20" s="49">
        <f t="shared" si="9"/>
        <v>0</v>
      </c>
      <c r="G20" s="33">
        <f t="shared" si="10"/>
        <v>0</v>
      </c>
      <c r="H20" s="1">
        <f t="shared" si="48"/>
        <v>4359</v>
      </c>
      <c r="I20" s="49">
        <f t="shared" si="11"/>
        <v>0</v>
      </c>
      <c r="J20" s="33">
        <f t="shared" si="12"/>
        <v>0</v>
      </c>
      <c r="K20" s="7">
        <v>13823.16</v>
      </c>
      <c r="L20" s="49">
        <f t="shared" si="13"/>
        <v>0</v>
      </c>
      <c r="M20" s="33">
        <f t="shared" si="14"/>
        <v>0</v>
      </c>
      <c r="N20" s="7">
        <f t="shared" si="49"/>
        <v>3313.355</v>
      </c>
      <c r="O20" s="49">
        <f t="shared" si="15"/>
        <v>0</v>
      </c>
      <c r="P20" s="33">
        <f t="shared" si="16"/>
        <v>0</v>
      </c>
      <c r="Q20" s="7">
        <f t="shared" si="50"/>
        <v>5257.78</v>
      </c>
      <c r="R20" s="49">
        <f t="shared" si="17"/>
        <v>0</v>
      </c>
      <c r="S20" s="33">
        <f t="shared" si="18"/>
        <v>0</v>
      </c>
      <c r="T20" s="8">
        <f t="shared" si="25"/>
        <v>0</v>
      </c>
      <c r="U20" s="35">
        <f t="shared" si="21"/>
        <v>0</v>
      </c>
      <c r="W20" s="165">
        <v>44518</v>
      </c>
      <c r="X20" s="166">
        <f t="shared" si="51"/>
        <v>157266</v>
      </c>
      <c r="Y20" s="178">
        <f t="shared" si="23"/>
        <v>0</v>
      </c>
      <c r="Z20" s="166">
        <f t="shared" si="52"/>
        <v>7847</v>
      </c>
      <c r="AA20" s="178">
        <f t="shared" si="24"/>
        <v>0</v>
      </c>
      <c r="AB20" s="166">
        <f t="shared" si="46"/>
        <v>13.5</v>
      </c>
      <c r="AC20" s="178">
        <f t="shared" si="26"/>
        <v>0</v>
      </c>
      <c r="AD20" s="166">
        <f t="shared" si="45"/>
        <v>3</v>
      </c>
      <c r="AE20" s="177">
        <f t="shared" si="27"/>
        <v>0</v>
      </c>
    </row>
    <row r="21" spans="1:31" ht="16.5" thickBot="1" x14ac:dyDescent="0.25">
      <c r="A21" s="10">
        <v>44519</v>
      </c>
      <c r="B21" s="168">
        <f t="shared" si="47"/>
        <v>22649.705000000002</v>
      </c>
      <c r="C21" s="49">
        <f t="shared" si="20"/>
        <v>0</v>
      </c>
      <c r="D21" s="33">
        <f t="shared" si="8"/>
        <v>0</v>
      </c>
      <c r="E21" s="1">
        <v>4042.7939999999999</v>
      </c>
      <c r="F21" s="49">
        <f t="shared" si="9"/>
        <v>0</v>
      </c>
      <c r="G21" s="33">
        <f t="shared" si="10"/>
        <v>0</v>
      </c>
      <c r="H21" s="1">
        <f t="shared" si="48"/>
        <v>4359</v>
      </c>
      <c r="I21" s="49">
        <f t="shared" si="11"/>
        <v>0</v>
      </c>
      <c r="J21" s="33">
        <f t="shared" si="12"/>
        <v>0</v>
      </c>
      <c r="K21" s="7">
        <v>13823.16</v>
      </c>
      <c r="L21" s="49">
        <f t="shared" si="13"/>
        <v>0</v>
      </c>
      <c r="M21" s="33">
        <f t="shared" si="14"/>
        <v>0</v>
      </c>
      <c r="N21" s="7">
        <f t="shared" si="49"/>
        <v>3313.355</v>
      </c>
      <c r="O21" s="49">
        <f t="shared" si="15"/>
        <v>0</v>
      </c>
      <c r="P21" s="33">
        <f t="shared" si="16"/>
        <v>0</v>
      </c>
      <c r="Q21" s="7">
        <f t="shared" si="50"/>
        <v>5257.78</v>
      </c>
      <c r="R21" s="49">
        <f t="shared" si="17"/>
        <v>0</v>
      </c>
      <c r="S21" s="33">
        <f t="shared" si="18"/>
        <v>0</v>
      </c>
      <c r="T21" s="8">
        <f t="shared" si="25"/>
        <v>0</v>
      </c>
      <c r="U21" s="35">
        <f t="shared" si="21"/>
        <v>0</v>
      </c>
      <c r="W21" s="165">
        <v>44519</v>
      </c>
      <c r="X21" s="166">
        <f t="shared" si="51"/>
        <v>157266</v>
      </c>
      <c r="Y21" s="178">
        <f t="shared" si="23"/>
        <v>0</v>
      </c>
      <c r="Z21" s="166">
        <f t="shared" si="52"/>
        <v>7847</v>
      </c>
      <c r="AA21" s="178">
        <f t="shared" si="24"/>
        <v>0</v>
      </c>
      <c r="AB21" s="166">
        <f t="shared" si="46"/>
        <v>13.5</v>
      </c>
      <c r="AC21" s="178">
        <f t="shared" si="26"/>
        <v>0</v>
      </c>
      <c r="AD21" s="166">
        <f t="shared" si="45"/>
        <v>3</v>
      </c>
      <c r="AE21" s="177">
        <f t="shared" si="27"/>
        <v>0</v>
      </c>
    </row>
    <row r="22" spans="1:31" ht="16.5" thickBot="1" x14ac:dyDescent="0.25">
      <c r="A22" s="10">
        <v>44520</v>
      </c>
      <c r="B22" s="168">
        <f t="shared" si="47"/>
        <v>22649.705000000002</v>
      </c>
      <c r="C22" s="49">
        <f t="shared" si="20"/>
        <v>0</v>
      </c>
      <c r="D22" s="33">
        <f t="shared" si="8"/>
        <v>0</v>
      </c>
      <c r="E22" s="1">
        <v>4042.7939999999999</v>
      </c>
      <c r="F22" s="49">
        <f t="shared" si="9"/>
        <v>0</v>
      </c>
      <c r="G22" s="33">
        <f t="shared" si="10"/>
        <v>0</v>
      </c>
      <c r="H22" s="1">
        <f t="shared" si="48"/>
        <v>4359</v>
      </c>
      <c r="I22" s="49">
        <f t="shared" si="11"/>
        <v>0</v>
      </c>
      <c r="J22" s="33">
        <f t="shared" si="12"/>
        <v>0</v>
      </c>
      <c r="K22" s="7">
        <v>13823.16</v>
      </c>
      <c r="L22" s="49">
        <f t="shared" si="13"/>
        <v>0</v>
      </c>
      <c r="M22" s="33">
        <f t="shared" si="14"/>
        <v>0</v>
      </c>
      <c r="N22" s="7">
        <f t="shared" si="49"/>
        <v>3313.355</v>
      </c>
      <c r="O22" s="49">
        <f t="shared" si="15"/>
        <v>0</v>
      </c>
      <c r="P22" s="33">
        <f t="shared" si="16"/>
        <v>0</v>
      </c>
      <c r="Q22" s="7">
        <f t="shared" si="50"/>
        <v>5257.78</v>
      </c>
      <c r="R22" s="49">
        <f t="shared" si="17"/>
        <v>0</v>
      </c>
      <c r="S22" s="33">
        <f t="shared" si="18"/>
        <v>0</v>
      </c>
      <c r="T22" s="8">
        <f t="shared" si="25"/>
        <v>0</v>
      </c>
      <c r="U22" s="35">
        <f t="shared" si="21"/>
        <v>0</v>
      </c>
      <c r="W22" s="165">
        <v>44520</v>
      </c>
      <c r="X22" s="166">
        <f t="shared" si="51"/>
        <v>157266</v>
      </c>
      <c r="Y22" s="178">
        <f t="shared" si="23"/>
        <v>0</v>
      </c>
      <c r="Z22" s="166">
        <f t="shared" si="52"/>
        <v>7847</v>
      </c>
      <c r="AA22" s="178">
        <f t="shared" si="24"/>
        <v>0</v>
      </c>
      <c r="AB22" s="166">
        <f t="shared" si="46"/>
        <v>13.5</v>
      </c>
      <c r="AC22" s="178">
        <f t="shared" si="26"/>
        <v>0</v>
      </c>
      <c r="AD22" s="166">
        <f t="shared" si="45"/>
        <v>3</v>
      </c>
      <c r="AE22" s="177">
        <f t="shared" si="27"/>
        <v>0</v>
      </c>
    </row>
    <row r="23" spans="1:31" ht="16.5" thickBot="1" x14ac:dyDescent="0.25">
      <c r="A23" s="10">
        <v>44521</v>
      </c>
      <c r="B23" s="168">
        <f t="shared" si="47"/>
        <v>22649.705000000002</v>
      </c>
      <c r="C23" s="49">
        <f t="shared" si="20"/>
        <v>0</v>
      </c>
      <c r="D23" s="33">
        <f t="shared" si="8"/>
        <v>0</v>
      </c>
      <c r="E23" s="1">
        <v>4042.7939999999999</v>
      </c>
      <c r="F23" s="49">
        <f t="shared" si="9"/>
        <v>0</v>
      </c>
      <c r="G23" s="33">
        <f t="shared" si="10"/>
        <v>0</v>
      </c>
      <c r="H23" s="1">
        <f t="shared" si="48"/>
        <v>4359</v>
      </c>
      <c r="I23" s="49">
        <f t="shared" si="11"/>
        <v>0</v>
      </c>
      <c r="J23" s="33">
        <f t="shared" si="12"/>
        <v>0</v>
      </c>
      <c r="K23" s="7">
        <v>13823.16</v>
      </c>
      <c r="L23" s="49">
        <f t="shared" si="13"/>
        <v>0</v>
      </c>
      <c r="M23" s="33">
        <f t="shared" si="14"/>
        <v>0</v>
      </c>
      <c r="N23" s="7">
        <f t="shared" si="49"/>
        <v>3313.355</v>
      </c>
      <c r="O23" s="49">
        <f t="shared" si="15"/>
        <v>0</v>
      </c>
      <c r="P23" s="33">
        <f t="shared" si="16"/>
        <v>0</v>
      </c>
      <c r="Q23" s="7">
        <f t="shared" si="50"/>
        <v>5257.78</v>
      </c>
      <c r="R23" s="49">
        <f t="shared" si="17"/>
        <v>0</v>
      </c>
      <c r="S23" s="33">
        <f t="shared" si="18"/>
        <v>0</v>
      </c>
      <c r="T23" s="8">
        <f t="shared" si="25"/>
        <v>0</v>
      </c>
      <c r="U23" s="35">
        <f t="shared" si="21"/>
        <v>0</v>
      </c>
      <c r="W23" s="165">
        <v>44521</v>
      </c>
      <c r="X23" s="166">
        <f t="shared" si="51"/>
        <v>157266</v>
      </c>
      <c r="Y23" s="178">
        <f t="shared" si="23"/>
        <v>0</v>
      </c>
      <c r="Z23" s="166">
        <f t="shared" si="52"/>
        <v>7847</v>
      </c>
      <c r="AA23" s="178">
        <f t="shared" si="24"/>
        <v>0</v>
      </c>
      <c r="AB23" s="166">
        <f t="shared" si="46"/>
        <v>13.5</v>
      </c>
      <c r="AC23" s="178">
        <f t="shared" si="26"/>
        <v>0</v>
      </c>
      <c r="AD23" s="166">
        <f t="shared" si="45"/>
        <v>3</v>
      </c>
      <c r="AE23" s="177">
        <f t="shared" si="27"/>
        <v>0</v>
      </c>
    </row>
    <row r="24" spans="1:31" ht="16.5" thickBot="1" x14ac:dyDescent="0.25">
      <c r="A24" s="10">
        <v>44522</v>
      </c>
      <c r="B24" s="168">
        <f t="shared" si="47"/>
        <v>22649.705000000002</v>
      </c>
      <c r="C24" s="49">
        <f t="shared" si="20"/>
        <v>0</v>
      </c>
      <c r="D24" s="33">
        <f t="shared" si="8"/>
        <v>0</v>
      </c>
      <c r="E24" s="1">
        <v>4042.7939999999999</v>
      </c>
      <c r="F24" s="49">
        <f t="shared" si="9"/>
        <v>0</v>
      </c>
      <c r="G24" s="33">
        <f t="shared" si="10"/>
        <v>0</v>
      </c>
      <c r="H24" s="1">
        <f t="shared" si="48"/>
        <v>4359</v>
      </c>
      <c r="I24" s="49">
        <f t="shared" si="11"/>
        <v>0</v>
      </c>
      <c r="J24" s="33">
        <f t="shared" si="12"/>
        <v>0</v>
      </c>
      <c r="K24" s="7">
        <v>13823.16</v>
      </c>
      <c r="L24" s="49">
        <f t="shared" si="13"/>
        <v>0</v>
      </c>
      <c r="M24" s="33">
        <f t="shared" si="14"/>
        <v>0</v>
      </c>
      <c r="N24" s="7">
        <f t="shared" si="49"/>
        <v>3313.355</v>
      </c>
      <c r="O24" s="49">
        <f t="shared" si="15"/>
        <v>0</v>
      </c>
      <c r="P24" s="33">
        <f t="shared" si="16"/>
        <v>0</v>
      </c>
      <c r="Q24" s="7">
        <f t="shared" si="50"/>
        <v>5257.78</v>
      </c>
      <c r="R24" s="49">
        <f t="shared" si="17"/>
        <v>0</v>
      </c>
      <c r="S24" s="33">
        <f t="shared" si="18"/>
        <v>0</v>
      </c>
      <c r="T24" s="8">
        <f t="shared" si="25"/>
        <v>0</v>
      </c>
      <c r="U24" s="35">
        <f t="shared" si="21"/>
        <v>0</v>
      </c>
      <c r="W24" s="165">
        <v>44522</v>
      </c>
      <c r="X24" s="166">
        <f t="shared" si="51"/>
        <v>157266</v>
      </c>
      <c r="Y24" s="178">
        <f t="shared" si="23"/>
        <v>0</v>
      </c>
      <c r="Z24" s="166">
        <f t="shared" si="52"/>
        <v>7847</v>
      </c>
      <c r="AA24" s="178">
        <f t="shared" si="24"/>
        <v>0</v>
      </c>
      <c r="AB24" s="166">
        <f t="shared" si="46"/>
        <v>13.5</v>
      </c>
      <c r="AC24" s="178">
        <f t="shared" si="26"/>
        <v>0</v>
      </c>
      <c r="AD24" s="166">
        <f t="shared" si="45"/>
        <v>3</v>
      </c>
      <c r="AE24" s="177">
        <f t="shared" si="27"/>
        <v>0</v>
      </c>
    </row>
    <row r="25" spans="1:31" ht="16.5" thickBot="1" x14ac:dyDescent="0.25">
      <c r="A25" s="10">
        <v>44523</v>
      </c>
      <c r="B25" s="168">
        <f t="shared" si="47"/>
        <v>22649.705000000002</v>
      </c>
      <c r="C25" s="49">
        <f t="shared" si="20"/>
        <v>0</v>
      </c>
      <c r="D25" s="33">
        <f t="shared" si="8"/>
        <v>0</v>
      </c>
      <c r="E25" s="1">
        <v>4042.7939999999999</v>
      </c>
      <c r="F25" s="49">
        <f t="shared" si="9"/>
        <v>0</v>
      </c>
      <c r="G25" s="33">
        <f t="shared" si="10"/>
        <v>0</v>
      </c>
      <c r="H25" s="1">
        <f t="shared" si="48"/>
        <v>4359</v>
      </c>
      <c r="I25" s="49">
        <f t="shared" si="11"/>
        <v>0</v>
      </c>
      <c r="J25" s="33">
        <f t="shared" si="12"/>
        <v>0</v>
      </c>
      <c r="K25" s="7">
        <v>13823.16</v>
      </c>
      <c r="L25" s="49">
        <f t="shared" si="13"/>
        <v>0</v>
      </c>
      <c r="M25" s="33">
        <f t="shared" si="14"/>
        <v>0</v>
      </c>
      <c r="N25" s="7">
        <f t="shared" si="49"/>
        <v>3313.355</v>
      </c>
      <c r="O25" s="49">
        <f t="shared" si="15"/>
        <v>0</v>
      </c>
      <c r="P25" s="33">
        <f t="shared" si="16"/>
        <v>0</v>
      </c>
      <c r="Q25" s="7">
        <f t="shared" si="50"/>
        <v>5257.78</v>
      </c>
      <c r="R25" s="49">
        <f t="shared" si="17"/>
        <v>0</v>
      </c>
      <c r="S25" s="33">
        <f t="shared" si="18"/>
        <v>0</v>
      </c>
      <c r="T25" s="8">
        <f t="shared" si="25"/>
        <v>0</v>
      </c>
      <c r="U25" s="35">
        <f t="shared" si="21"/>
        <v>0</v>
      </c>
      <c r="W25" s="165">
        <v>44523</v>
      </c>
      <c r="X25" s="166">
        <f t="shared" si="51"/>
        <v>157266</v>
      </c>
      <c r="Y25" s="178">
        <f t="shared" si="23"/>
        <v>0</v>
      </c>
      <c r="Z25" s="166">
        <f t="shared" si="52"/>
        <v>7847</v>
      </c>
      <c r="AA25" s="178">
        <f t="shared" si="24"/>
        <v>0</v>
      </c>
      <c r="AB25" s="166">
        <f t="shared" si="46"/>
        <v>13.5</v>
      </c>
      <c r="AC25" s="178">
        <f t="shared" si="26"/>
        <v>0</v>
      </c>
      <c r="AD25" s="166">
        <f t="shared" si="45"/>
        <v>3</v>
      </c>
      <c r="AE25" s="177">
        <f t="shared" si="27"/>
        <v>0</v>
      </c>
    </row>
    <row r="26" spans="1:31" ht="16.5" thickBot="1" x14ac:dyDescent="0.25">
      <c r="A26" s="10">
        <v>44524</v>
      </c>
      <c r="B26" s="168">
        <f t="shared" si="47"/>
        <v>22649.705000000002</v>
      </c>
      <c r="C26" s="49">
        <f t="shared" si="20"/>
        <v>0</v>
      </c>
      <c r="D26" s="33">
        <f t="shared" si="8"/>
        <v>0</v>
      </c>
      <c r="E26" s="1">
        <v>4042.7939999999999</v>
      </c>
      <c r="F26" s="49">
        <f t="shared" si="9"/>
        <v>0</v>
      </c>
      <c r="G26" s="33">
        <f t="shared" si="10"/>
        <v>0</v>
      </c>
      <c r="H26" s="1">
        <f t="shared" si="48"/>
        <v>4359</v>
      </c>
      <c r="I26" s="49">
        <f t="shared" si="11"/>
        <v>0</v>
      </c>
      <c r="J26" s="33">
        <f t="shared" si="12"/>
        <v>0</v>
      </c>
      <c r="K26" s="7">
        <v>13823.16</v>
      </c>
      <c r="L26" s="49">
        <f t="shared" si="13"/>
        <v>0</v>
      </c>
      <c r="M26" s="33">
        <f t="shared" si="14"/>
        <v>0</v>
      </c>
      <c r="N26" s="7">
        <f t="shared" si="49"/>
        <v>3313.355</v>
      </c>
      <c r="O26" s="49">
        <f t="shared" si="15"/>
        <v>0</v>
      </c>
      <c r="P26" s="33">
        <f t="shared" si="16"/>
        <v>0</v>
      </c>
      <c r="Q26" s="7">
        <f t="shared" si="50"/>
        <v>5257.78</v>
      </c>
      <c r="R26" s="49">
        <f t="shared" si="17"/>
        <v>0</v>
      </c>
      <c r="S26" s="33">
        <f t="shared" si="18"/>
        <v>0</v>
      </c>
      <c r="T26" s="8">
        <f t="shared" si="25"/>
        <v>0</v>
      </c>
      <c r="U26" s="35">
        <f t="shared" si="21"/>
        <v>0</v>
      </c>
      <c r="V26" t="s">
        <v>12</v>
      </c>
      <c r="W26" s="165">
        <v>44524</v>
      </c>
      <c r="X26" s="166">
        <f t="shared" si="51"/>
        <v>157266</v>
      </c>
      <c r="Y26" s="178">
        <f t="shared" si="23"/>
        <v>0</v>
      </c>
      <c r="Z26" s="166">
        <f t="shared" si="52"/>
        <v>7847</v>
      </c>
      <c r="AA26" s="178">
        <f t="shared" si="24"/>
        <v>0</v>
      </c>
      <c r="AB26" s="166">
        <f t="shared" si="46"/>
        <v>13.5</v>
      </c>
      <c r="AC26" s="178">
        <f t="shared" si="26"/>
        <v>0</v>
      </c>
      <c r="AD26" s="166">
        <f t="shared" si="45"/>
        <v>3</v>
      </c>
      <c r="AE26" s="177">
        <f t="shared" si="27"/>
        <v>0</v>
      </c>
    </row>
    <row r="27" spans="1:31" ht="16.5" thickBot="1" x14ac:dyDescent="0.25">
      <c r="A27" s="10">
        <v>44525</v>
      </c>
      <c r="B27" s="168">
        <f t="shared" si="47"/>
        <v>22649.705000000002</v>
      </c>
      <c r="C27" s="49">
        <f t="shared" si="20"/>
        <v>0</v>
      </c>
      <c r="D27" s="33">
        <f t="shared" si="8"/>
        <v>0</v>
      </c>
      <c r="E27" s="1">
        <v>4042.7939999999999</v>
      </c>
      <c r="F27" s="49">
        <f t="shared" si="9"/>
        <v>0</v>
      </c>
      <c r="G27" s="33">
        <f t="shared" si="10"/>
        <v>0</v>
      </c>
      <c r="H27" s="1">
        <f t="shared" si="48"/>
        <v>4359</v>
      </c>
      <c r="I27" s="49">
        <f t="shared" si="11"/>
        <v>0</v>
      </c>
      <c r="J27" s="33">
        <f t="shared" si="12"/>
        <v>0</v>
      </c>
      <c r="K27" s="7">
        <v>13823.16</v>
      </c>
      <c r="L27" s="49">
        <f t="shared" si="13"/>
        <v>0</v>
      </c>
      <c r="M27" s="33">
        <f t="shared" si="14"/>
        <v>0</v>
      </c>
      <c r="N27" s="7">
        <f t="shared" si="49"/>
        <v>3313.355</v>
      </c>
      <c r="O27" s="49">
        <f t="shared" si="15"/>
        <v>0</v>
      </c>
      <c r="P27" s="33">
        <f t="shared" si="16"/>
        <v>0</v>
      </c>
      <c r="Q27" s="7">
        <f t="shared" si="50"/>
        <v>5257.78</v>
      </c>
      <c r="R27" s="49">
        <f t="shared" si="17"/>
        <v>0</v>
      </c>
      <c r="S27" s="33">
        <f t="shared" si="18"/>
        <v>0</v>
      </c>
      <c r="T27" s="8">
        <f t="shared" si="25"/>
        <v>0</v>
      </c>
      <c r="U27" s="35">
        <f t="shared" si="21"/>
        <v>0</v>
      </c>
      <c r="V27" t="s">
        <v>12</v>
      </c>
      <c r="W27" s="165">
        <v>44525</v>
      </c>
      <c r="X27" s="166">
        <f t="shared" si="51"/>
        <v>157266</v>
      </c>
      <c r="Y27" s="178">
        <f t="shared" si="23"/>
        <v>0</v>
      </c>
      <c r="Z27" s="166">
        <f t="shared" si="52"/>
        <v>7847</v>
      </c>
      <c r="AA27" s="178">
        <f t="shared" si="24"/>
        <v>0</v>
      </c>
      <c r="AB27" s="166">
        <f t="shared" si="46"/>
        <v>13.5</v>
      </c>
      <c r="AC27" s="178">
        <f t="shared" si="26"/>
        <v>0</v>
      </c>
      <c r="AD27" s="166">
        <f t="shared" si="45"/>
        <v>3</v>
      </c>
      <c r="AE27" s="177">
        <f t="shared" si="27"/>
        <v>0</v>
      </c>
    </row>
    <row r="28" spans="1:31" ht="16.5" thickBot="1" x14ac:dyDescent="0.25">
      <c r="A28" s="10">
        <v>44526</v>
      </c>
      <c r="B28" s="168">
        <f t="shared" si="47"/>
        <v>22649.705000000002</v>
      </c>
      <c r="C28" s="49">
        <f t="shared" si="20"/>
        <v>0</v>
      </c>
      <c r="D28" s="33">
        <f t="shared" si="8"/>
        <v>0</v>
      </c>
      <c r="E28" s="1">
        <v>4042.7939999999999</v>
      </c>
      <c r="F28" s="49">
        <f t="shared" si="9"/>
        <v>0</v>
      </c>
      <c r="G28" s="33">
        <f t="shared" si="10"/>
        <v>0</v>
      </c>
      <c r="H28" s="1">
        <f t="shared" si="48"/>
        <v>4359</v>
      </c>
      <c r="I28" s="49">
        <f t="shared" si="11"/>
        <v>0</v>
      </c>
      <c r="J28" s="33">
        <f t="shared" si="12"/>
        <v>0</v>
      </c>
      <c r="K28" s="7">
        <v>13823.16</v>
      </c>
      <c r="L28" s="49">
        <f t="shared" si="13"/>
        <v>0</v>
      </c>
      <c r="M28" s="33">
        <f t="shared" si="14"/>
        <v>0</v>
      </c>
      <c r="N28" s="7">
        <f t="shared" si="49"/>
        <v>3313.355</v>
      </c>
      <c r="O28" s="49">
        <f t="shared" si="15"/>
        <v>0</v>
      </c>
      <c r="P28" s="33">
        <f t="shared" si="16"/>
        <v>0</v>
      </c>
      <c r="Q28" s="7">
        <f t="shared" si="50"/>
        <v>5257.78</v>
      </c>
      <c r="R28" s="49">
        <f t="shared" si="17"/>
        <v>0</v>
      </c>
      <c r="S28" s="33">
        <f t="shared" si="18"/>
        <v>0</v>
      </c>
      <c r="T28" s="8">
        <f t="shared" si="25"/>
        <v>0</v>
      </c>
      <c r="U28" s="35">
        <f t="shared" si="21"/>
        <v>0</v>
      </c>
      <c r="W28" s="165">
        <v>44526</v>
      </c>
      <c r="X28" s="166">
        <f t="shared" si="51"/>
        <v>157266</v>
      </c>
      <c r="Y28" s="178">
        <f t="shared" si="23"/>
        <v>0</v>
      </c>
      <c r="Z28" s="166">
        <f t="shared" si="52"/>
        <v>7847</v>
      </c>
      <c r="AA28" s="178">
        <f t="shared" si="24"/>
        <v>0</v>
      </c>
      <c r="AB28" s="166">
        <f t="shared" si="46"/>
        <v>13.5</v>
      </c>
      <c r="AC28" s="178">
        <f t="shared" si="26"/>
        <v>0</v>
      </c>
      <c r="AD28" s="166">
        <f t="shared" si="45"/>
        <v>3</v>
      </c>
      <c r="AE28" s="177">
        <f t="shared" si="27"/>
        <v>0</v>
      </c>
    </row>
    <row r="29" spans="1:31" ht="16.5" thickBot="1" x14ac:dyDescent="0.25">
      <c r="A29" s="10">
        <v>44527</v>
      </c>
      <c r="B29" s="168">
        <f t="shared" si="47"/>
        <v>22649.705000000002</v>
      </c>
      <c r="C29" s="49">
        <f t="shared" si="20"/>
        <v>0</v>
      </c>
      <c r="D29" s="33">
        <f t="shared" si="8"/>
        <v>0</v>
      </c>
      <c r="E29" s="1">
        <v>4042.7939999999999</v>
      </c>
      <c r="F29" s="49">
        <f t="shared" si="9"/>
        <v>0</v>
      </c>
      <c r="G29" s="33">
        <f t="shared" si="10"/>
        <v>0</v>
      </c>
      <c r="H29" s="1">
        <f t="shared" si="48"/>
        <v>4359</v>
      </c>
      <c r="I29" s="49">
        <f t="shared" si="11"/>
        <v>0</v>
      </c>
      <c r="J29" s="33">
        <f t="shared" si="12"/>
        <v>0</v>
      </c>
      <c r="K29" s="7">
        <v>13823.16</v>
      </c>
      <c r="L29" s="49">
        <f t="shared" si="13"/>
        <v>0</v>
      </c>
      <c r="M29" s="33">
        <f t="shared" si="14"/>
        <v>0</v>
      </c>
      <c r="N29" s="7">
        <f t="shared" si="49"/>
        <v>3313.355</v>
      </c>
      <c r="O29" s="49">
        <f t="shared" si="15"/>
        <v>0</v>
      </c>
      <c r="P29" s="33">
        <f t="shared" si="16"/>
        <v>0</v>
      </c>
      <c r="Q29" s="7">
        <f t="shared" si="50"/>
        <v>5257.78</v>
      </c>
      <c r="R29" s="49">
        <f t="shared" si="17"/>
        <v>0</v>
      </c>
      <c r="S29" s="33">
        <f t="shared" si="18"/>
        <v>0</v>
      </c>
      <c r="T29" s="8">
        <f t="shared" si="25"/>
        <v>0</v>
      </c>
      <c r="U29" s="35">
        <f t="shared" si="21"/>
        <v>0</v>
      </c>
      <c r="W29" s="165">
        <v>44527</v>
      </c>
      <c r="X29" s="166">
        <f t="shared" si="51"/>
        <v>157266</v>
      </c>
      <c r="Y29" s="178">
        <f t="shared" si="23"/>
        <v>0</v>
      </c>
      <c r="Z29" s="166">
        <f t="shared" si="52"/>
        <v>7847</v>
      </c>
      <c r="AA29" s="178">
        <f t="shared" si="24"/>
        <v>0</v>
      </c>
      <c r="AB29" s="166">
        <f t="shared" si="46"/>
        <v>13.5</v>
      </c>
      <c r="AC29" s="178">
        <f t="shared" si="26"/>
        <v>0</v>
      </c>
      <c r="AD29" s="166">
        <f t="shared" si="45"/>
        <v>3</v>
      </c>
      <c r="AE29" s="177">
        <f t="shared" si="27"/>
        <v>0</v>
      </c>
    </row>
    <row r="30" spans="1:31" ht="16.5" thickBot="1" x14ac:dyDescent="0.25">
      <c r="A30" s="10">
        <v>44528</v>
      </c>
      <c r="B30" s="168">
        <f t="shared" si="47"/>
        <v>22649.705000000002</v>
      </c>
      <c r="C30" s="49">
        <f t="shared" si="20"/>
        <v>0</v>
      </c>
      <c r="D30" s="33">
        <f t="shared" si="8"/>
        <v>0</v>
      </c>
      <c r="E30" s="1">
        <v>4042.7939999999999</v>
      </c>
      <c r="F30" s="49">
        <f t="shared" si="9"/>
        <v>0</v>
      </c>
      <c r="G30" s="33">
        <f t="shared" si="10"/>
        <v>0</v>
      </c>
      <c r="H30" s="1">
        <f t="shared" si="48"/>
        <v>4359</v>
      </c>
      <c r="I30" s="49">
        <f t="shared" si="11"/>
        <v>0</v>
      </c>
      <c r="J30" s="33">
        <f t="shared" si="12"/>
        <v>0</v>
      </c>
      <c r="K30" s="7">
        <v>13823.16</v>
      </c>
      <c r="L30" s="49">
        <f t="shared" si="13"/>
        <v>0</v>
      </c>
      <c r="M30" s="33">
        <f t="shared" si="14"/>
        <v>0</v>
      </c>
      <c r="N30" s="7">
        <f t="shared" si="49"/>
        <v>3313.355</v>
      </c>
      <c r="O30" s="49">
        <f t="shared" si="15"/>
        <v>0</v>
      </c>
      <c r="P30" s="33">
        <f t="shared" si="16"/>
        <v>0</v>
      </c>
      <c r="Q30" s="7">
        <f t="shared" si="50"/>
        <v>5257.78</v>
      </c>
      <c r="R30" s="49">
        <f t="shared" si="17"/>
        <v>0</v>
      </c>
      <c r="S30" s="33">
        <f t="shared" si="18"/>
        <v>0</v>
      </c>
      <c r="T30" s="8">
        <f t="shared" si="25"/>
        <v>0</v>
      </c>
      <c r="U30" s="35">
        <f t="shared" si="21"/>
        <v>0</v>
      </c>
      <c r="W30" s="165">
        <v>44528</v>
      </c>
      <c r="X30" s="166">
        <f t="shared" si="51"/>
        <v>157266</v>
      </c>
      <c r="Y30" s="178">
        <f t="shared" si="23"/>
        <v>0</v>
      </c>
      <c r="Z30" s="166">
        <f t="shared" si="52"/>
        <v>7847</v>
      </c>
      <c r="AA30" s="178">
        <f>Z30-Z29</f>
        <v>0</v>
      </c>
      <c r="AB30" s="166">
        <f t="shared" si="46"/>
        <v>13.5</v>
      </c>
      <c r="AC30" s="178">
        <f t="shared" si="26"/>
        <v>0</v>
      </c>
      <c r="AD30" s="166">
        <f t="shared" si="45"/>
        <v>3</v>
      </c>
      <c r="AE30" s="177">
        <f t="shared" si="27"/>
        <v>0</v>
      </c>
    </row>
    <row r="31" spans="1:31" ht="16.5" thickBot="1" x14ac:dyDescent="0.25">
      <c r="A31" s="10">
        <v>44529</v>
      </c>
      <c r="B31" s="168">
        <f t="shared" si="47"/>
        <v>22649.705000000002</v>
      </c>
      <c r="C31" s="49">
        <f t="shared" si="20"/>
        <v>0</v>
      </c>
      <c r="D31" s="33">
        <f t="shared" si="8"/>
        <v>0</v>
      </c>
      <c r="E31" s="1">
        <v>4042.7939999999999</v>
      </c>
      <c r="F31" s="49">
        <f t="shared" si="9"/>
        <v>0</v>
      </c>
      <c r="G31" s="33">
        <f t="shared" si="10"/>
        <v>0</v>
      </c>
      <c r="H31" s="1">
        <f t="shared" si="48"/>
        <v>4359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49"/>
        <v>3313.355</v>
      </c>
      <c r="O31" s="49">
        <f t="shared" si="15"/>
        <v>0</v>
      </c>
      <c r="P31" s="33">
        <f t="shared" si="16"/>
        <v>0</v>
      </c>
      <c r="Q31" s="7">
        <f t="shared" si="50"/>
        <v>5257.78</v>
      </c>
      <c r="R31" s="49">
        <f t="shared" si="17"/>
        <v>0</v>
      </c>
      <c r="S31" s="33">
        <f t="shared" si="18"/>
        <v>0</v>
      </c>
      <c r="T31" s="8">
        <f t="shared" si="25"/>
        <v>0</v>
      </c>
      <c r="U31" s="35">
        <f t="shared" si="21"/>
        <v>0</v>
      </c>
      <c r="W31" s="165">
        <v>44529</v>
      </c>
      <c r="X31" s="166">
        <f t="shared" si="51"/>
        <v>157266</v>
      </c>
      <c r="Y31" s="178">
        <f t="shared" si="23"/>
        <v>0</v>
      </c>
      <c r="Z31" s="166">
        <f t="shared" si="52"/>
        <v>7847</v>
      </c>
      <c r="AA31" s="178">
        <f t="shared" si="24"/>
        <v>0</v>
      </c>
      <c r="AB31" s="166">
        <f t="shared" si="46"/>
        <v>13.5</v>
      </c>
      <c r="AC31" s="178">
        <f t="shared" si="26"/>
        <v>0</v>
      </c>
      <c r="AD31" s="166">
        <f t="shared" si="45"/>
        <v>3</v>
      </c>
      <c r="AE31" s="177">
        <f t="shared" si="27"/>
        <v>0</v>
      </c>
    </row>
    <row r="32" spans="1:31" ht="16.5" thickBot="1" x14ac:dyDescent="0.25">
      <c r="A32" s="10">
        <v>44530</v>
      </c>
      <c r="B32" s="168">
        <f t="shared" si="47"/>
        <v>22649.705000000002</v>
      </c>
      <c r="C32" s="49">
        <f t="shared" si="20"/>
        <v>0</v>
      </c>
      <c r="D32" s="33">
        <f t="shared" si="8"/>
        <v>0</v>
      </c>
      <c r="E32" s="1">
        <v>4042.7939999999999</v>
      </c>
      <c r="F32" s="49">
        <f t="shared" si="9"/>
        <v>0</v>
      </c>
      <c r="G32" s="33">
        <f t="shared" si="10"/>
        <v>0</v>
      </c>
      <c r="H32" s="1">
        <f t="shared" si="48"/>
        <v>4359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9"/>
        <v>3313.355</v>
      </c>
      <c r="O32" s="49">
        <f t="shared" si="15"/>
        <v>0</v>
      </c>
      <c r="P32" s="33">
        <f t="shared" si="16"/>
        <v>0</v>
      </c>
      <c r="Q32" s="7">
        <f t="shared" si="50"/>
        <v>5257.78</v>
      </c>
      <c r="R32" s="49">
        <f t="shared" si="17"/>
        <v>0</v>
      </c>
      <c r="S32" s="33">
        <f t="shared" si="18"/>
        <v>0</v>
      </c>
      <c r="T32" s="8">
        <f t="shared" si="25"/>
        <v>0</v>
      </c>
      <c r="U32" s="35">
        <f t="shared" si="21"/>
        <v>0</v>
      </c>
      <c r="W32" s="165">
        <v>44530</v>
      </c>
      <c r="X32" s="166">
        <f t="shared" si="51"/>
        <v>157266</v>
      </c>
      <c r="Y32" s="178">
        <f t="shared" si="23"/>
        <v>0</v>
      </c>
      <c r="Z32" s="166">
        <f t="shared" si="52"/>
        <v>7847</v>
      </c>
      <c r="AA32" s="178">
        <f t="shared" si="24"/>
        <v>0</v>
      </c>
      <c r="AB32" s="166">
        <v>13.35</v>
      </c>
      <c r="AC32" s="178">
        <f t="shared" si="26"/>
        <v>-0.15000000000000036</v>
      </c>
      <c r="AD32" s="166">
        <f t="shared" si="45"/>
        <v>3</v>
      </c>
      <c r="AE32" s="177">
        <f t="shared" si="27"/>
        <v>0</v>
      </c>
    </row>
    <row r="33" spans="1:31" s="25" customFormat="1" ht="16.5" thickBot="1" x14ac:dyDescent="0.25">
      <c r="A33" s="6" t="s">
        <v>23</v>
      </c>
      <c r="B33" s="169"/>
      <c r="C33" s="144">
        <f>SUM(C3:C32)</f>
        <v>167.64800000000105</v>
      </c>
      <c r="D33" s="144">
        <f>SUM(D2:D32)</f>
        <v>318531.20000000205</v>
      </c>
      <c r="E33" s="144">
        <v>0</v>
      </c>
      <c r="F33" s="144">
        <f>SUM(F2:F32)</f>
        <v>29.221999999999753</v>
      </c>
      <c r="G33" s="144">
        <f>SUM(G2:G32)</f>
        <v>55521.79999999953</v>
      </c>
      <c r="H33" s="144"/>
      <c r="I33" s="144">
        <f>SUM(I2:I32)</f>
        <v>75</v>
      </c>
      <c r="J33" s="144">
        <f>SUM(J2:J32)</f>
        <v>142500</v>
      </c>
      <c r="K33" s="144"/>
      <c r="L33" s="144">
        <f>SUM(L2:L32)</f>
        <v>24.760000000000218</v>
      </c>
      <c r="M33" s="144">
        <f>SUM(M2:M32)</f>
        <v>47044.000000000415</v>
      </c>
      <c r="N33" s="144"/>
      <c r="O33" s="144">
        <f>SUM(O2:O32)</f>
        <v>22.949000000000069</v>
      </c>
      <c r="P33" s="144">
        <f>SUM(P2:P32)</f>
        <v>43603.10000000013</v>
      </c>
      <c r="Q33" s="144"/>
      <c r="R33" s="144">
        <f>SUM(R2:R32)</f>
        <v>33.880000000000109</v>
      </c>
      <c r="S33" s="144">
        <f>SUM(S2:S32)</f>
        <v>64372.000000000211</v>
      </c>
      <c r="T33" s="144">
        <f>SUM(T2:T32)</f>
        <v>353.4590000000012</v>
      </c>
      <c r="U33" s="144">
        <f>SUM(U2:U32)</f>
        <v>671572.10000000231</v>
      </c>
      <c r="V33"/>
      <c r="W33" s="144" t="s">
        <v>143</v>
      </c>
      <c r="X33" s="144"/>
      <c r="Y33" s="144">
        <f>SUM(Y4:Y32)</f>
        <v>2159</v>
      </c>
      <c r="Z33" s="144"/>
      <c r="AA33" s="144">
        <f>SUM(AA4:AA32)</f>
        <v>108</v>
      </c>
      <c r="AB33" s="144"/>
      <c r="AC33" s="144"/>
      <c r="AD33" s="144"/>
      <c r="AE33" s="144">
        <f>SUM(AE4:AE32)</f>
        <v>2</v>
      </c>
    </row>
    <row r="37" spans="1:31" x14ac:dyDescent="0.2">
      <c r="AA37" t="s">
        <v>12</v>
      </c>
    </row>
  </sheetData>
  <mergeCells count="3">
    <mergeCell ref="W1:AA1"/>
    <mergeCell ref="AB1:AC1"/>
    <mergeCell ref="AD1:AE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5">
        <f>ELECT.!J2</f>
        <v>8949694</v>
      </c>
      <c r="J6" s="141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5">
        <f>ELECT.!L2</f>
        <v>8875418</v>
      </c>
      <c r="J7" s="141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5">
        <f>ELECT.!N2</f>
        <v>6026763</v>
      </c>
      <c r="J8" s="141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5">
        <f>ELECT.!P2</f>
        <v>5373608</v>
      </c>
      <c r="J9" s="141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5">
        <f>ELECT.!R2</f>
        <v>19149295</v>
      </c>
      <c r="J10" s="141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1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87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87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89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89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88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88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87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87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89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89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88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88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87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87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89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9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8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88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87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87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89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9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8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88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87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87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89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9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88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88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87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87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89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89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88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88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87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87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189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89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88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88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87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87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89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9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88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8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87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7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189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89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88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88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87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7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89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189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88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8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7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87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89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89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88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88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87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87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89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89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88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88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87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87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89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189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88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8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7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87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89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189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88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88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7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87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89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89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87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87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89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89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87">
        <v>23</v>
      </c>
      <c r="D49" s="66" t="s">
        <v>83</v>
      </c>
      <c r="E49" s="81"/>
      <c r="F49" s="81"/>
      <c r="G49" s="68">
        <f t="shared" si="2"/>
        <v>0</v>
      </c>
      <c r="H49" s="69"/>
      <c r="J49" s="187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9"/>
      <c r="D50" s="66" t="s">
        <v>82</v>
      </c>
      <c r="E50" s="81"/>
      <c r="F50" s="81"/>
      <c r="G50" s="68">
        <f t="shared" si="2"/>
        <v>0</v>
      </c>
      <c r="H50" s="69"/>
      <c r="J50" s="189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0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190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191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191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192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192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87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87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8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88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7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87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88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88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87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87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88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88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7">
        <v>28</v>
      </c>
      <c r="D62" s="196" t="s">
        <v>86</v>
      </c>
      <c r="E62" s="67"/>
      <c r="F62" s="67"/>
      <c r="G62" s="68"/>
      <c r="H62" s="198" t="s">
        <v>87</v>
      </c>
      <c r="I62" s="72"/>
      <c r="J62" s="187">
        <v>28</v>
      </c>
      <c r="K62" s="196" t="s">
        <v>86</v>
      </c>
      <c r="L62" s="67"/>
      <c r="M62" s="67"/>
      <c r="N62" s="68"/>
      <c r="O62" s="198" t="s">
        <v>87</v>
      </c>
    </row>
    <row r="63" spans="1:15" ht="15" x14ac:dyDescent="0.2">
      <c r="A63" s="72"/>
      <c r="B63" s="62"/>
      <c r="C63" s="188"/>
      <c r="D63" s="197"/>
      <c r="E63" s="67"/>
      <c r="F63" s="67"/>
      <c r="G63" s="68"/>
      <c r="H63" s="199"/>
      <c r="I63" s="72"/>
      <c r="J63" s="188"/>
      <c r="K63" s="197"/>
      <c r="L63" s="67"/>
      <c r="M63" s="67"/>
      <c r="N63" s="68"/>
      <c r="O63" s="199"/>
    </row>
    <row r="64" spans="1:15" x14ac:dyDescent="0.2">
      <c r="A64" s="72"/>
      <c r="B64" s="62"/>
      <c r="C64" s="200" t="s">
        <v>88</v>
      </c>
      <c r="D64" s="200"/>
      <c r="E64" s="200"/>
      <c r="F64" s="200"/>
      <c r="G64" s="86">
        <f>SUM(G2:G63)</f>
        <v>28925</v>
      </c>
      <c r="H64" s="87"/>
      <c r="I64" s="72"/>
      <c r="J64" s="200" t="s">
        <v>88</v>
      </c>
      <c r="K64" s="200"/>
      <c r="L64" s="200"/>
      <c r="M64" s="200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201">
        <v>44409</v>
      </c>
      <c r="C69" s="202"/>
      <c r="D69" s="202"/>
      <c r="E69" s="203"/>
      <c r="F69" s="90"/>
      <c r="G69" s="201">
        <v>44470</v>
      </c>
      <c r="H69" s="202"/>
      <c r="I69" s="202"/>
      <c r="J69" s="203"/>
      <c r="K69" s="90"/>
      <c r="L69" s="193" t="s">
        <v>25</v>
      </c>
      <c r="M69" s="194"/>
      <c r="N69" s="194"/>
      <c r="O69" s="195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2021-11-17T03:47:54Z</dcterms:modified>
</cp:coreProperties>
</file>